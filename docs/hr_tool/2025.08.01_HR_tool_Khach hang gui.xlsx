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drawings/drawing3.xml" ContentType="application/vnd.openxmlformats-officedocument.drawing+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slicers/slicer1.xml" ContentType="application/vnd.ms-excel.slicer+xml"/>
  <Override PartName="/xl/comments4.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1. Khách hàng\Presale.VHT_HRTool\KH gửi\"/>
    </mc:Choice>
  </mc:AlternateContent>
  <xr:revisionPtr revIDLastSave="0" documentId="13_ncr:1_{24A7AABA-1E9E-4450-939D-001538E1568A}" xr6:coauthVersionLast="47" xr6:coauthVersionMax="47" xr10:uidLastSave="{00000000-0000-0000-0000-000000000000}"/>
  <bookViews>
    <workbookView xWindow="-120" yWindow="-120" windowWidth="29040" windowHeight="15840" tabRatio="785" firstSheet="2" activeTab="2" xr2:uid="{00000000-000D-0000-FFFF-FFFF00000000}"/>
  </bookViews>
  <sheets>
    <sheet name="Estimate HR KH" sheetId="2" state="hidden" r:id="rId1"/>
    <sheet name="Sheet1" sheetId="23" state="hidden" r:id="rId2"/>
    <sheet name="0.QuyTrinh" sheetId="22" r:id="rId3"/>
    <sheet name="1.DS Nhân sự" sheetId="8" r:id="rId4"/>
    <sheet name="2.Chấm công" sheetId="10" r:id="rId5"/>
    <sheet name="3.Báo cáo" sheetId="11" r:id="rId6"/>
    <sheet name="4. Trình ký" sheetId="17" r:id="rId7"/>
    <sheet name="List" sheetId="9" r:id="rId8"/>
    <sheet name="BM0.Bang luong thang import" sheetId="13" r:id="rId9"/>
    <sheet name="BM0.Bang cong thang import" sheetId="20" r:id="rId10"/>
    <sheet name="BM1.DSNhanSu" sheetId="4" r:id="rId11"/>
    <sheet name="BM2.1.Bang cham cong_KHCN" sheetId="6" r:id="rId12"/>
    <sheet name="BM2.2.Bang cham cong_SXKD" sheetId="7" r:id="rId13"/>
    <sheet name="BM3.Bang TH phan bo" sheetId="14" r:id="rId14"/>
    <sheet name="BM3.1.Bang luong_KHCN" sheetId="12" r:id="rId15"/>
    <sheet name="BM3.2.Bang luong_SXKD" sheetId="15" r:id="rId16"/>
    <sheet name="BM4. BTH phan bo CPNC" sheetId="18" r:id="rId17"/>
    <sheet name="BM5.DS Nhiem vu" sheetId="19" r:id="rId18"/>
  </sheets>
  <externalReferences>
    <externalReference r:id="rId19"/>
    <externalReference r:id="rId20"/>
    <externalReference r:id="rId21"/>
    <externalReference r:id="rId22"/>
    <externalReference r:id="rId23"/>
    <externalReference r:id="rId24"/>
    <externalReference r:id="rId25"/>
  </externalReferences>
  <definedNames>
    <definedName name="_xlnm._FilterDatabase" localSheetId="9" hidden="1">'BM0.Bang cong thang import'!$A$3:$AN$1179</definedName>
    <definedName name="_xlnm._FilterDatabase" localSheetId="8" hidden="1">'BM0.Bang luong thang import'!$A$14:$Z$2502</definedName>
    <definedName name="_xlnm._FilterDatabase" localSheetId="14" hidden="1">'BM3.1.Bang luong_KHCN'!$A$14:$AL$39</definedName>
    <definedName name="_xlnm._FilterDatabase" localSheetId="15" hidden="1">'BM3.2.Bang luong_SXKD'!$A$13:$AD$23</definedName>
    <definedName name="_xlnm._FilterDatabase" localSheetId="13" hidden="1">'BM3.Bang TH phan bo'!$A$4:$AZ$9</definedName>
    <definedName name="_xlnm._FilterDatabase" localSheetId="1" hidden="1">Sheet1!$A$1:$C$148</definedName>
    <definedName name="a" localSheetId="9">#REF!</definedName>
    <definedName name="a" localSheetId="8">#REF!</definedName>
    <definedName name="a" localSheetId="11">#REF!</definedName>
    <definedName name="a" localSheetId="12">#REF!</definedName>
    <definedName name="a" localSheetId="14">#REF!</definedName>
    <definedName name="a" localSheetId="15">#REF!</definedName>
    <definedName name="a" localSheetId="13">#REF!</definedName>
    <definedName name="a">#REF!</definedName>
    <definedName name="DPCD">'[1]BCT-NV (CK)'!$BB$14:$BB$713</definedName>
    <definedName name="DT" localSheetId="9">#REF!</definedName>
    <definedName name="DT" localSheetId="8">#REF!</definedName>
    <definedName name="DT" localSheetId="11">#REF!</definedName>
    <definedName name="DT" localSheetId="12">#REF!</definedName>
    <definedName name="DT" localSheetId="14">#REF!</definedName>
    <definedName name="DT" localSheetId="15">#REF!</definedName>
    <definedName name="DT" localSheetId="13">#REF!</definedName>
    <definedName name="DT">#REF!</definedName>
    <definedName name="HTTT" localSheetId="9">#REF!</definedName>
    <definedName name="HTTT" localSheetId="8">#REF!</definedName>
    <definedName name="HTTT" localSheetId="11">#REF!</definedName>
    <definedName name="HTTT" localSheetId="12">#REF!</definedName>
    <definedName name="HTTT" localSheetId="14">#REF!</definedName>
    <definedName name="HTTT" localSheetId="15">#REF!</definedName>
    <definedName name="HTTT" localSheetId="13">#REF!</definedName>
    <definedName name="HTTT">#REF!</definedName>
    <definedName name="MANV1">'[1]BCT-NV (CK)'!$D$14:$D$713</definedName>
    <definedName name="_xlnm.Print_Area" localSheetId="11">'BM2.1.Bang cham cong_KHCN'!$A$1:$AL$37</definedName>
    <definedName name="_xlnm.Print_Area" localSheetId="12">'BM2.2.Bang cham cong_SXKD'!$A$2:$AL$43</definedName>
    <definedName name="_xlnm.Print_Area" localSheetId="14">'BM3.1.Bang luong_KHCN'!$A$1:$Y$51</definedName>
    <definedName name="_xlnm.Print_Area" localSheetId="15">'BM3.2.Bang luong_SXKD'!$A$1:$AC$37</definedName>
    <definedName name="_xlnm.Print_Titles" localSheetId="14">'BM3.1.Bang luong_KHCN'!$10:$14</definedName>
    <definedName name="Slicer_TÌNH_TRẠNG_PHÂN_BỔ">#N/A</definedName>
    <definedName name="T7.2020" localSheetId="9">#REF!</definedName>
    <definedName name="T7.2020" localSheetId="8">#REF!</definedName>
    <definedName name="T7.2020" localSheetId="11">#REF!</definedName>
    <definedName name="T7.2020" localSheetId="12">#REF!</definedName>
    <definedName name="T7.2020" localSheetId="14">#REF!</definedName>
    <definedName name="T7.2020" localSheetId="15">#REF!</definedName>
    <definedName name="T7.2020" localSheetId="13">#REF!</definedName>
    <definedName name="T7.2020">#REF!</definedName>
  </definedNames>
  <calcPr calcId="191029"/>
  <extLst>
    <ext xmlns:x14="http://schemas.microsoft.com/office/spreadsheetml/2009/9/main" uri="{876F7934-8845-4945-9796-88D515C7AA90}">
      <x14:pivotCaches>
        <pivotCache cacheId="0" r:id="rId26"/>
      </x14:pivotCaches>
    </ext>
    <ext xmlns:x14="http://schemas.microsoft.com/office/spreadsheetml/2009/9/main" uri="{BBE1A952-AA13-448e-AADC-164F8A28A991}">
      <x14:slicerCaches>
        <x14:slicerCache r:id="rId27"/>
      </x14:slicerCaches>
    </ext>
    <ext xmlns:x14="http://schemas.microsoft.com/office/spreadsheetml/2009/9/main" uri="{79F54976-1DA5-4618-B147-4CDE4B953A38}">
      <x14:workbookPr/>
    </ext>
  </extLst>
</workbook>
</file>

<file path=xl/calcChain.xml><?xml version="1.0" encoding="utf-8"?>
<calcChain xmlns="http://schemas.openxmlformats.org/spreadsheetml/2006/main">
  <c r="Q10" i="19" l="1"/>
  <c r="Q9" i="19"/>
  <c r="P9" i="19" s="1"/>
  <c r="Q8" i="19"/>
  <c r="Q7" i="19"/>
  <c r="P7" i="19" s="1"/>
  <c r="Q6" i="19"/>
  <c r="Z6" i="19"/>
  <c r="Y6" i="19"/>
  <c r="Q5" i="19"/>
  <c r="Q4" i="19"/>
  <c r="Q3" i="19"/>
  <c r="Q2" i="19"/>
  <c r="P2" i="19" s="1"/>
  <c r="Z2" i="19" l="1"/>
  <c r="Y2" i="19"/>
  <c r="N12" i="18" l="1"/>
  <c r="M12" i="18"/>
  <c r="L12" i="18"/>
  <c r="K12" i="18"/>
  <c r="J12" i="18"/>
  <c r="I12" i="18"/>
  <c r="H12" i="18"/>
  <c r="G12" i="18"/>
  <c r="F12" i="18"/>
  <c r="E12" i="18"/>
  <c r="G49" i="11" l="1"/>
  <c r="F49" i="11"/>
  <c r="E49" i="11"/>
  <c r="D49" i="11"/>
  <c r="C49" i="11"/>
  <c r="F14" i="11"/>
  <c r="G13" i="11"/>
  <c r="G12" i="11"/>
  <c r="G11" i="11"/>
  <c r="G10" i="11"/>
  <c r="A15" i="15" l="1"/>
  <c r="W22" i="15" l="1"/>
  <c r="W23" i="15" s="1"/>
  <c r="V22" i="15"/>
  <c r="V23" i="15" s="1"/>
  <c r="AA22" i="15"/>
  <c r="AA23" i="15" s="1"/>
  <c r="S22" i="15"/>
  <c r="S23" i="15" s="1"/>
  <c r="AB22" i="15"/>
  <c r="AB23" i="15" s="1"/>
  <c r="X22" i="15"/>
  <c r="X23" i="15" s="1"/>
  <c r="Y22" i="15"/>
  <c r="Y23" i="15" s="1"/>
  <c r="U22" i="15"/>
  <c r="U23" i="15" s="1"/>
  <c r="Z22" i="15"/>
  <c r="Z23" i="15" s="1"/>
  <c r="A20" i="15"/>
  <c r="A17" i="15"/>
  <c r="A19" i="15"/>
  <c r="A16" i="15"/>
  <c r="A21" i="15"/>
  <c r="A18" i="15"/>
  <c r="T22" i="15" l="1"/>
  <c r="AC22" i="15" s="1"/>
  <c r="AC23" i="15" s="1"/>
  <c r="T23" i="15"/>
  <c r="Q5" i="14" l="1"/>
  <c r="AX9" i="14"/>
  <c r="AW9" i="14"/>
  <c r="AD9" i="14"/>
  <c r="AC9" i="14"/>
  <c r="AB9" i="14"/>
  <c r="AA9" i="14"/>
  <c r="Z9" i="14"/>
  <c r="Y9" i="14"/>
  <c r="X9" i="14"/>
  <c r="W9" i="14"/>
  <c r="V9" i="14"/>
  <c r="U9" i="14"/>
  <c r="T9" i="14"/>
  <c r="S9" i="14"/>
  <c r="Q9" i="14"/>
  <c r="L9" i="14"/>
  <c r="AX8" i="14"/>
  <c r="AW8" i="14"/>
  <c r="AD8" i="14"/>
  <c r="AC8" i="14"/>
  <c r="AB8" i="14"/>
  <c r="AA8" i="14"/>
  <c r="Z8" i="14"/>
  <c r="Y8" i="14"/>
  <c r="X8" i="14"/>
  <c r="W8" i="14"/>
  <c r="V8" i="14"/>
  <c r="U8" i="14"/>
  <c r="T8" i="14"/>
  <c r="S8" i="14"/>
  <c r="Q8" i="14"/>
  <c r="L8" i="14"/>
  <c r="AX7" i="14"/>
  <c r="AW7" i="14"/>
  <c r="AD7" i="14"/>
  <c r="AC7" i="14"/>
  <c r="AB7" i="14"/>
  <c r="AA7" i="14"/>
  <c r="Z7" i="14"/>
  <c r="Y7" i="14"/>
  <c r="X7" i="14"/>
  <c r="W7" i="14"/>
  <c r="V7" i="14"/>
  <c r="U7" i="14"/>
  <c r="T7" i="14"/>
  <c r="S7" i="14"/>
  <c r="Q7" i="14"/>
  <c r="L7" i="14"/>
  <c r="AX6" i="14"/>
  <c r="AW6" i="14"/>
  <c r="AD6" i="14"/>
  <c r="AC6" i="14"/>
  <c r="AB6" i="14"/>
  <c r="AA6" i="14"/>
  <c r="Z6" i="14"/>
  <c r="Y6" i="14"/>
  <c r="X6" i="14"/>
  <c r="W6" i="14"/>
  <c r="V6" i="14"/>
  <c r="U6" i="14"/>
  <c r="T6" i="14"/>
  <c r="S6" i="14"/>
  <c r="Q6" i="14"/>
  <c r="L6" i="14"/>
  <c r="AX5" i="14"/>
  <c r="AW5" i="14"/>
  <c r="AD5" i="14"/>
  <c r="AC5" i="14"/>
  <c r="AB5" i="14"/>
  <c r="AA5" i="14"/>
  <c r="Z5" i="14"/>
  <c r="Y5" i="14"/>
  <c r="X5" i="14"/>
  <c r="W5" i="14"/>
  <c r="V5" i="14"/>
  <c r="U5" i="14"/>
  <c r="T5" i="14"/>
  <c r="S5" i="14"/>
  <c r="L5" i="14"/>
  <c r="A9" i="14" l="1"/>
  <c r="G9" i="14"/>
  <c r="M9" i="14"/>
  <c r="M8" i="14"/>
  <c r="G8" i="14"/>
  <c r="A8" i="14"/>
  <c r="N7" i="14"/>
  <c r="E7" i="14"/>
  <c r="A7" i="14"/>
  <c r="N6" i="14"/>
  <c r="E6" i="14"/>
  <c r="A6" i="14"/>
  <c r="N5" i="14"/>
  <c r="E5" i="14"/>
  <c r="A5" i="14"/>
  <c r="H2503" i="13"/>
  <c r="U2503" i="13" s="1"/>
  <c r="A2503" i="13"/>
  <c r="H2502" i="13"/>
  <c r="U2502" i="13" s="1"/>
  <c r="A2502" i="13"/>
  <c r="H2501" i="13"/>
  <c r="U2501" i="13" s="1"/>
  <c r="A2501" i="13"/>
  <c r="H2500" i="13"/>
  <c r="U2500" i="13" s="1"/>
  <c r="A2500" i="13"/>
  <c r="H2499" i="13"/>
  <c r="U2499" i="13" s="1"/>
  <c r="A2499" i="13"/>
  <c r="H2498" i="13"/>
  <c r="U2498" i="13" s="1"/>
  <c r="A2498" i="13"/>
  <c r="U2497" i="13"/>
  <c r="H2497" i="13"/>
  <c r="A2497" i="13"/>
  <c r="H2496" i="13"/>
  <c r="U2496" i="13" s="1"/>
  <c r="A2496" i="13"/>
  <c r="U2495" i="13"/>
  <c r="H2495" i="13"/>
  <c r="A2495" i="13"/>
  <c r="H2494" i="13"/>
  <c r="U2494" i="13" s="1"/>
  <c r="A2494" i="13"/>
  <c r="H2493" i="13"/>
  <c r="U2493" i="13" s="1"/>
  <c r="A2493" i="13"/>
  <c r="H2492" i="13"/>
  <c r="U2492" i="13" s="1"/>
  <c r="A2492" i="13"/>
  <c r="H2491" i="13"/>
  <c r="U2491" i="13" s="1"/>
  <c r="A2491" i="13"/>
  <c r="U2490" i="13"/>
  <c r="H2490" i="13"/>
  <c r="A2490" i="13"/>
  <c r="H2489" i="13"/>
  <c r="U2489" i="13" s="1"/>
  <c r="A2489" i="13"/>
  <c r="U2488" i="13"/>
  <c r="H2488" i="13"/>
  <c r="A2488" i="13"/>
  <c r="H2487" i="13"/>
  <c r="U2487" i="13" s="1"/>
  <c r="A2487" i="13"/>
  <c r="H2486" i="13"/>
  <c r="U2486" i="13" s="1"/>
  <c r="A2486" i="13"/>
  <c r="H2485" i="13"/>
  <c r="U2485" i="13" s="1"/>
  <c r="A2485" i="13"/>
  <c r="H2484" i="13"/>
  <c r="U2484" i="13" s="1"/>
  <c r="A2484" i="13"/>
  <c r="H2483" i="13"/>
  <c r="U2483" i="13" s="1"/>
  <c r="A2483" i="13"/>
  <c r="H2482" i="13"/>
  <c r="U2482" i="13" s="1"/>
  <c r="A2482" i="13"/>
  <c r="H2481" i="13"/>
  <c r="U2481" i="13" s="1"/>
  <c r="A2481" i="13"/>
  <c r="H2480" i="13"/>
  <c r="U2480" i="13" s="1"/>
  <c r="A2480" i="13"/>
  <c r="H2479" i="13"/>
  <c r="U2479" i="13" s="1"/>
  <c r="A2479" i="13"/>
  <c r="U2478" i="13"/>
  <c r="H2478" i="13"/>
  <c r="A2478" i="13"/>
  <c r="H2477" i="13"/>
  <c r="U2477" i="13" s="1"/>
  <c r="A2477" i="13"/>
  <c r="H2476" i="13"/>
  <c r="U2476" i="13" s="1"/>
  <c r="A2476" i="13"/>
  <c r="H2475" i="13"/>
  <c r="U2475" i="13" s="1"/>
  <c r="A2475" i="13"/>
  <c r="H2474" i="13"/>
  <c r="U2474" i="13" s="1"/>
  <c r="A2474" i="13"/>
  <c r="U2473" i="13"/>
  <c r="H2473" i="13"/>
  <c r="A2473" i="13"/>
  <c r="H2472" i="13"/>
  <c r="U2472" i="13" s="1"/>
  <c r="A2472" i="13"/>
  <c r="U2471" i="13"/>
  <c r="H2471" i="13"/>
  <c r="A2471" i="13"/>
  <c r="H2470" i="13"/>
  <c r="U2470" i="13" s="1"/>
  <c r="A2470" i="13"/>
  <c r="H2469" i="13"/>
  <c r="U2469" i="13" s="1"/>
  <c r="A2469" i="13"/>
  <c r="H2468" i="13"/>
  <c r="U2468" i="13" s="1"/>
  <c r="A2468" i="13"/>
  <c r="U2467" i="13"/>
  <c r="H2467" i="13"/>
  <c r="A2467" i="13"/>
  <c r="U2466" i="13"/>
  <c r="H2466" i="13"/>
  <c r="A2466" i="13"/>
  <c r="H2465" i="13"/>
  <c r="U2465" i="13" s="1"/>
  <c r="A2465" i="13"/>
  <c r="H2464" i="13"/>
  <c r="U2464" i="13" s="1"/>
  <c r="A2464" i="13"/>
  <c r="U2463" i="13"/>
  <c r="H2463" i="13"/>
  <c r="A2463" i="13"/>
  <c r="H2462" i="13"/>
  <c r="U2462" i="13" s="1"/>
  <c r="A2462" i="13"/>
  <c r="H2461" i="13"/>
  <c r="U2461" i="13" s="1"/>
  <c r="A2461" i="13"/>
  <c r="H2460" i="13"/>
  <c r="U2460" i="13" s="1"/>
  <c r="A2460" i="13"/>
  <c r="H2459" i="13"/>
  <c r="U2459" i="13" s="1"/>
  <c r="A2459" i="13"/>
  <c r="U2458" i="13"/>
  <c r="H2458" i="13"/>
  <c r="A2458" i="13"/>
  <c r="H2457" i="13"/>
  <c r="U2457" i="13" s="1"/>
  <c r="A2457" i="13"/>
  <c r="H2456" i="13"/>
  <c r="U2456" i="13" s="1"/>
  <c r="A2456" i="13"/>
  <c r="H2455" i="13"/>
  <c r="U2455" i="13" s="1"/>
  <c r="A2455" i="13"/>
  <c r="H2454" i="13"/>
  <c r="U2454" i="13" s="1"/>
  <c r="A2454" i="13"/>
  <c r="H2453" i="13"/>
  <c r="U2453" i="13" s="1"/>
  <c r="A2453" i="13"/>
  <c r="H2452" i="13"/>
  <c r="U2452" i="13" s="1"/>
  <c r="A2452" i="13"/>
  <c r="H2451" i="13"/>
  <c r="U2451" i="13" s="1"/>
  <c r="A2451" i="13"/>
  <c r="H2450" i="13"/>
  <c r="U2450" i="13" s="1"/>
  <c r="A2450" i="13"/>
  <c r="H2449" i="13"/>
  <c r="U2449" i="13" s="1"/>
  <c r="A2449" i="13"/>
  <c r="H2448" i="13"/>
  <c r="U2448" i="13" s="1"/>
  <c r="A2448" i="13"/>
  <c r="U2447" i="13"/>
  <c r="H2447" i="13"/>
  <c r="A2447" i="13"/>
  <c r="H2446" i="13"/>
  <c r="U2446" i="13" s="1"/>
  <c r="A2446" i="13"/>
  <c r="H2445" i="13"/>
  <c r="U2445" i="13" s="1"/>
  <c r="A2445" i="13"/>
  <c r="H2444" i="13"/>
  <c r="U2444" i="13" s="1"/>
  <c r="A2444" i="13"/>
  <c r="U2443" i="13"/>
  <c r="H2443" i="13"/>
  <c r="A2443" i="13"/>
  <c r="U2442" i="13"/>
  <c r="H2442" i="13"/>
  <c r="A2442" i="13"/>
  <c r="H2441" i="13"/>
  <c r="U2441" i="13" s="1"/>
  <c r="A2441" i="13"/>
  <c r="H2440" i="13"/>
  <c r="U2440" i="13" s="1"/>
  <c r="A2440" i="13"/>
  <c r="H2439" i="13"/>
  <c r="U2439" i="13" s="1"/>
  <c r="A2439" i="13"/>
  <c r="H2438" i="13"/>
  <c r="U2438" i="13" s="1"/>
  <c r="A2438" i="13"/>
  <c r="H2437" i="13"/>
  <c r="U2437" i="13" s="1"/>
  <c r="A2437" i="13"/>
  <c r="H2436" i="13"/>
  <c r="U2436" i="13" s="1"/>
  <c r="A2436" i="13"/>
  <c r="U2435" i="13"/>
  <c r="H2435" i="13"/>
  <c r="A2435" i="13"/>
  <c r="H2434" i="13"/>
  <c r="U2434" i="13" s="1"/>
  <c r="A2434" i="13"/>
  <c r="U2433" i="13"/>
  <c r="H2433" i="13"/>
  <c r="A2433" i="13"/>
  <c r="H2432" i="13"/>
  <c r="U2432" i="13" s="1"/>
  <c r="A2432" i="13"/>
  <c r="U2431" i="13"/>
  <c r="H2431" i="13"/>
  <c r="A2431" i="13"/>
  <c r="H2430" i="13"/>
  <c r="U2430" i="13" s="1"/>
  <c r="A2430" i="13"/>
  <c r="H2429" i="13"/>
  <c r="U2429" i="13" s="1"/>
  <c r="A2429" i="13"/>
  <c r="H2428" i="13"/>
  <c r="U2428" i="13" s="1"/>
  <c r="A2428" i="13"/>
  <c r="U2427" i="13"/>
  <c r="H2427" i="13"/>
  <c r="A2427" i="13"/>
  <c r="U2426" i="13"/>
  <c r="H2426" i="13"/>
  <c r="A2426" i="13"/>
  <c r="U2425" i="13"/>
  <c r="H2425" i="13"/>
  <c r="A2425" i="13"/>
  <c r="H2424" i="13"/>
  <c r="U2424" i="13" s="1"/>
  <c r="A2424" i="13"/>
  <c r="H2423" i="13"/>
  <c r="U2423" i="13" s="1"/>
  <c r="A2423" i="13"/>
  <c r="H2422" i="13"/>
  <c r="U2422" i="13" s="1"/>
  <c r="A2422" i="13"/>
  <c r="H2421" i="13"/>
  <c r="U2421" i="13" s="1"/>
  <c r="A2421" i="13"/>
  <c r="H2420" i="13"/>
  <c r="U2420" i="13" s="1"/>
  <c r="A2420" i="13"/>
  <c r="H2419" i="13"/>
  <c r="U2419" i="13" s="1"/>
  <c r="A2419" i="13"/>
  <c r="H2418" i="13"/>
  <c r="U2418" i="13" s="1"/>
  <c r="A2418" i="13"/>
  <c r="H2417" i="13"/>
  <c r="U2417" i="13" s="1"/>
  <c r="A2417" i="13"/>
  <c r="H2416" i="13"/>
  <c r="U2416" i="13" s="1"/>
  <c r="A2416" i="13"/>
  <c r="H2415" i="13"/>
  <c r="U2415" i="13" s="1"/>
  <c r="A2415" i="13"/>
  <c r="H2414" i="13"/>
  <c r="U2414" i="13" s="1"/>
  <c r="A2414" i="13"/>
  <c r="H2413" i="13"/>
  <c r="U2413" i="13" s="1"/>
  <c r="A2413" i="13"/>
  <c r="H2412" i="13"/>
  <c r="U2412" i="13" s="1"/>
  <c r="A2412" i="13"/>
  <c r="H2411" i="13"/>
  <c r="U2411" i="13" s="1"/>
  <c r="A2411" i="13"/>
  <c r="H2410" i="13"/>
  <c r="U2410" i="13" s="1"/>
  <c r="A2410" i="13"/>
  <c r="H2409" i="13"/>
  <c r="U2409" i="13" s="1"/>
  <c r="A2409" i="13"/>
  <c r="H2408" i="13"/>
  <c r="U2408" i="13" s="1"/>
  <c r="A2408" i="13"/>
  <c r="U2407" i="13"/>
  <c r="H2407" i="13"/>
  <c r="A2407" i="13"/>
  <c r="H2406" i="13"/>
  <c r="U2406" i="13" s="1"/>
  <c r="A2406" i="13"/>
  <c r="H2405" i="13"/>
  <c r="U2405" i="13" s="1"/>
  <c r="A2405" i="13"/>
  <c r="H2404" i="13"/>
  <c r="U2404" i="13" s="1"/>
  <c r="A2404" i="13"/>
  <c r="U2403" i="13"/>
  <c r="H2403" i="13"/>
  <c r="A2403" i="13"/>
  <c r="U2402" i="13"/>
  <c r="H2402" i="13"/>
  <c r="A2402" i="13"/>
  <c r="U2401" i="13"/>
  <c r="H2401" i="13"/>
  <c r="A2401" i="13"/>
  <c r="H2400" i="13"/>
  <c r="U2400" i="13" s="1"/>
  <c r="A2400" i="13"/>
  <c r="H2399" i="13"/>
  <c r="U2399" i="13" s="1"/>
  <c r="A2399" i="13"/>
  <c r="H2398" i="13"/>
  <c r="U2398" i="13" s="1"/>
  <c r="A2398" i="13"/>
  <c r="H2397" i="13"/>
  <c r="U2397" i="13" s="1"/>
  <c r="A2397" i="13"/>
  <c r="H2396" i="13"/>
  <c r="U2396" i="13" s="1"/>
  <c r="A2396" i="13"/>
  <c r="H2395" i="13"/>
  <c r="U2395" i="13" s="1"/>
  <c r="A2395" i="13"/>
  <c r="H2394" i="13"/>
  <c r="U2394" i="13" s="1"/>
  <c r="A2394" i="13"/>
  <c r="H2393" i="13"/>
  <c r="U2393" i="13" s="1"/>
  <c r="A2393" i="13"/>
  <c r="H2392" i="13"/>
  <c r="U2392" i="13" s="1"/>
  <c r="A2392" i="13"/>
  <c r="H2391" i="13"/>
  <c r="U2391" i="13" s="1"/>
  <c r="A2391" i="13"/>
  <c r="H2390" i="13"/>
  <c r="U2390" i="13" s="1"/>
  <c r="A2390" i="13"/>
  <c r="H2389" i="13"/>
  <c r="U2389" i="13" s="1"/>
  <c r="A2389" i="13"/>
  <c r="H2388" i="13"/>
  <c r="U2388" i="13" s="1"/>
  <c r="A2388" i="13"/>
  <c r="H2387" i="13"/>
  <c r="U2387" i="13" s="1"/>
  <c r="A2387" i="13"/>
  <c r="H2386" i="13"/>
  <c r="U2386" i="13" s="1"/>
  <c r="A2386" i="13"/>
  <c r="H2385" i="13"/>
  <c r="U2385" i="13" s="1"/>
  <c r="A2385" i="13"/>
  <c r="H2384" i="13"/>
  <c r="U2384" i="13" s="1"/>
  <c r="A2384" i="13"/>
  <c r="U2383" i="13"/>
  <c r="H2383" i="13"/>
  <c r="A2383" i="13"/>
  <c r="H2382" i="13"/>
  <c r="U2382" i="13" s="1"/>
  <c r="A2382" i="13"/>
  <c r="H2381" i="13"/>
  <c r="U2381" i="13" s="1"/>
  <c r="A2381" i="13"/>
  <c r="H2380" i="13"/>
  <c r="U2380" i="13" s="1"/>
  <c r="A2380" i="13"/>
  <c r="U2379" i="13"/>
  <c r="H2379" i="13"/>
  <c r="A2379" i="13"/>
  <c r="U2378" i="13"/>
  <c r="H2378" i="13"/>
  <c r="A2378" i="13"/>
  <c r="U2377" i="13"/>
  <c r="H2377" i="13"/>
  <c r="A2377" i="13"/>
  <c r="H2376" i="13"/>
  <c r="U2376" i="13" s="1"/>
  <c r="A2376" i="13"/>
  <c r="H2375" i="13"/>
  <c r="U2375" i="13" s="1"/>
  <c r="A2375" i="13"/>
  <c r="H2374" i="13"/>
  <c r="U2374" i="13" s="1"/>
  <c r="A2374" i="13"/>
  <c r="H2373" i="13"/>
  <c r="U2373" i="13" s="1"/>
  <c r="A2373" i="13"/>
  <c r="H2372" i="13"/>
  <c r="U2372" i="13" s="1"/>
  <c r="A2372" i="13"/>
  <c r="H2371" i="13"/>
  <c r="U2371" i="13" s="1"/>
  <c r="A2371" i="13"/>
  <c r="H2370" i="13"/>
  <c r="U2370" i="13" s="1"/>
  <c r="A2370" i="13"/>
  <c r="H2369" i="13"/>
  <c r="U2369" i="13" s="1"/>
  <c r="A2369" i="13"/>
  <c r="H2368" i="13"/>
  <c r="U2368" i="13" s="1"/>
  <c r="A2368" i="13"/>
  <c r="H2367" i="13"/>
  <c r="U2367" i="13" s="1"/>
  <c r="A2367" i="13"/>
  <c r="H2366" i="13"/>
  <c r="U2366" i="13" s="1"/>
  <c r="A2366" i="13"/>
  <c r="H2365" i="13"/>
  <c r="U2365" i="13" s="1"/>
  <c r="A2365" i="13"/>
  <c r="H2364" i="13"/>
  <c r="U2364" i="13" s="1"/>
  <c r="A2364" i="13"/>
  <c r="H2363" i="13"/>
  <c r="U2363" i="13" s="1"/>
  <c r="A2363" i="13"/>
  <c r="U2362" i="13"/>
  <c r="H2362" i="13"/>
  <c r="A2362" i="13"/>
  <c r="H2361" i="13"/>
  <c r="U2361" i="13" s="1"/>
  <c r="A2361" i="13"/>
  <c r="H2360" i="13"/>
  <c r="U2360" i="13" s="1"/>
  <c r="A2360" i="13"/>
  <c r="U2359" i="13"/>
  <c r="H2359" i="13"/>
  <c r="A2359" i="13"/>
  <c r="H2358" i="13"/>
  <c r="U2358" i="13" s="1"/>
  <c r="A2358" i="13"/>
  <c r="H2357" i="13"/>
  <c r="U2357" i="13" s="1"/>
  <c r="A2357" i="13"/>
  <c r="H2356" i="13"/>
  <c r="U2356" i="13" s="1"/>
  <c r="A2356" i="13"/>
  <c r="U2355" i="13"/>
  <c r="H2355" i="13"/>
  <c r="A2355" i="13"/>
  <c r="U2354" i="13"/>
  <c r="H2354" i="13"/>
  <c r="A2354" i="13"/>
  <c r="U2353" i="13"/>
  <c r="H2353" i="13"/>
  <c r="A2353" i="13"/>
  <c r="H2352" i="13"/>
  <c r="U2352" i="13" s="1"/>
  <c r="A2352" i="13"/>
  <c r="H2351" i="13"/>
  <c r="U2351" i="13" s="1"/>
  <c r="A2351" i="13"/>
  <c r="H2350" i="13"/>
  <c r="U2350" i="13" s="1"/>
  <c r="A2350" i="13"/>
  <c r="H2349" i="13"/>
  <c r="U2349" i="13" s="1"/>
  <c r="A2349" i="13"/>
  <c r="H2348" i="13"/>
  <c r="U2348" i="13" s="1"/>
  <c r="A2348" i="13"/>
  <c r="H2347" i="13"/>
  <c r="U2347" i="13" s="1"/>
  <c r="A2347" i="13"/>
  <c r="H2346" i="13"/>
  <c r="U2346" i="13" s="1"/>
  <c r="A2346" i="13"/>
  <c r="H2345" i="13"/>
  <c r="U2345" i="13" s="1"/>
  <c r="A2345" i="13"/>
  <c r="H2344" i="13"/>
  <c r="U2344" i="13" s="1"/>
  <c r="A2344" i="13"/>
  <c r="H2343" i="13"/>
  <c r="U2343" i="13" s="1"/>
  <c r="A2343" i="13"/>
  <c r="H2342" i="13"/>
  <c r="U2342" i="13" s="1"/>
  <c r="A2342" i="13"/>
  <c r="H2341" i="13"/>
  <c r="U2341" i="13" s="1"/>
  <c r="A2341" i="13"/>
  <c r="H2340" i="13"/>
  <c r="U2340" i="13" s="1"/>
  <c r="A2340" i="13"/>
  <c r="H2339" i="13"/>
  <c r="U2339" i="13" s="1"/>
  <c r="A2339" i="13"/>
  <c r="H2338" i="13"/>
  <c r="U2338" i="13" s="1"/>
  <c r="A2338" i="13"/>
  <c r="H2337" i="13"/>
  <c r="U2337" i="13" s="1"/>
  <c r="A2337" i="13"/>
  <c r="H2336" i="13"/>
  <c r="U2336" i="13" s="1"/>
  <c r="A2336" i="13"/>
  <c r="U2335" i="13"/>
  <c r="H2335" i="13"/>
  <c r="A2335" i="13"/>
  <c r="H2334" i="13"/>
  <c r="U2334" i="13" s="1"/>
  <c r="A2334" i="13"/>
  <c r="H2333" i="13"/>
  <c r="U2333" i="13" s="1"/>
  <c r="A2333" i="13"/>
  <c r="H2332" i="13"/>
  <c r="U2332" i="13" s="1"/>
  <c r="A2332" i="13"/>
  <c r="U2331" i="13"/>
  <c r="H2331" i="13"/>
  <c r="A2331" i="13"/>
  <c r="U2330" i="13"/>
  <c r="H2330" i="13"/>
  <c r="A2330" i="13"/>
  <c r="U2329" i="13"/>
  <c r="H2329" i="13"/>
  <c r="A2329" i="13"/>
  <c r="H2328" i="13"/>
  <c r="U2328" i="13" s="1"/>
  <c r="A2328" i="13"/>
  <c r="H2327" i="13"/>
  <c r="U2327" i="13" s="1"/>
  <c r="A2327" i="13"/>
  <c r="H2326" i="13"/>
  <c r="U2326" i="13" s="1"/>
  <c r="A2326" i="13"/>
  <c r="H2325" i="13"/>
  <c r="U2325" i="13" s="1"/>
  <c r="A2325" i="13"/>
  <c r="H2324" i="13"/>
  <c r="U2324" i="13" s="1"/>
  <c r="A2324" i="13"/>
  <c r="H2323" i="13"/>
  <c r="U2323" i="13" s="1"/>
  <c r="A2323" i="13"/>
  <c r="H2322" i="13"/>
  <c r="U2322" i="13" s="1"/>
  <c r="A2322" i="13"/>
  <c r="H2321" i="13"/>
  <c r="U2321" i="13" s="1"/>
  <c r="A2321" i="13"/>
  <c r="H2320" i="13"/>
  <c r="U2320" i="13" s="1"/>
  <c r="A2320" i="13"/>
  <c r="H2319" i="13"/>
  <c r="U2319" i="13" s="1"/>
  <c r="A2319" i="13"/>
  <c r="H2318" i="13"/>
  <c r="U2318" i="13" s="1"/>
  <c r="A2318" i="13"/>
  <c r="H2317" i="13"/>
  <c r="U2317" i="13" s="1"/>
  <c r="A2317" i="13"/>
  <c r="H2316" i="13"/>
  <c r="U2316" i="13" s="1"/>
  <c r="A2316" i="13"/>
  <c r="H2315" i="13"/>
  <c r="U2315" i="13" s="1"/>
  <c r="A2315" i="13"/>
  <c r="H2314" i="13"/>
  <c r="U2314" i="13" s="1"/>
  <c r="A2314" i="13"/>
  <c r="H2313" i="13"/>
  <c r="U2313" i="13" s="1"/>
  <c r="A2313" i="13"/>
  <c r="H2312" i="13"/>
  <c r="U2312" i="13" s="1"/>
  <c r="A2312" i="13"/>
  <c r="U2311" i="13"/>
  <c r="H2311" i="13"/>
  <c r="A2311" i="13"/>
  <c r="H2310" i="13"/>
  <c r="U2310" i="13" s="1"/>
  <c r="A2310" i="13"/>
  <c r="H2309" i="13"/>
  <c r="U2309" i="13" s="1"/>
  <c r="A2309" i="13"/>
  <c r="H2308" i="13"/>
  <c r="U2308" i="13" s="1"/>
  <c r="A2308" i="13"/>
  <c r="U2307" i="13"/>
  <c r="H2307" i="13"/>
  <c r="A2307" i="13"/>
  <c r="U2306" i="13"/>
  <c r="H2306" i="13"/>
  <c r="A2306" i="13"/>
  <c r="U2305" i="13"/>
  <c r="H2305" i="13"/>
  <c r="A2305" i="13"/>
  <c r="H2304" i="13"/>
  <c r="U2304" i="13" s="1"/>
  <c r="A2304" i="13"/>
  <c r="H2303" i="13"/>
  <c r="U2303" i="13" s="1"/>
  <c r="A2303" i="13"/>
  <c r="H2302" i="13"/>
  <c r="U2302" i="13" s="1"/>
  <c r="A2302" i="13"/>
  <c r="H2301" i="13"/>
  <c r="U2301" i="13" s="1"/>
  <c r="A2301" i="13"/>
  <c r="H2300" i="13"/>
  <c r="U2300" i="13" s="1"/>
  <c r="A2300" i="13"/>
  <c r="H2299" i="13"/>
  <c r="U2299" i="13" s="1"/>
  <c r="A2299" i="13"/>
  <c r="H2298" i="13"/>
  <c r="U2298" i="13" s="1"/>
  <c r="A2298" i="13"/>
  <c r="H2297" i="13"/>
  <c r="U2297" i="13" s="1"/>
  <c r="A2297" i="13"/>
  <c r="H2296" i="13"/>
  <c r="U2296" i="13" s="1"/>
  <c r="A2296" i="13"/>
  <c r="H2295" i="13"/>
  <c r="U2295" i="13" s="1"/>
  <c r="A2295" i="13"/>
  <c r="H2294" i="13"/>
  <c r="U2294" i="13" s="1"/>
  <c r="A2294" i="13"/>
  <c r="H2293" i="13"/>
  <c r="U2293" i="13" s="1"/>
  <c r="A2293" i="13"/>
  <c r="H2292" i="13"/>
  <c r="U2292" i="13" s="1"/>
  <c r="A2292" i="13"/>
  <c r="H2291" i="13"/>
  <c r="U2291" i="13" s="1"/>
  <c r="A2291" i="13"/>
  <c r="H2290" i="13"/>
  <c r="U2290" i="13" s="1"/>
  <c r="A2290" i="13"/>
  <c r="H2289" i="13"/>
  <c r="U2289" i="13" s="1"/>
  <c r="A2289" i="13"/>
  <c r="H2288" i="13"/>
  <c r="U2288" i="13" s="1"/>
  <c r="A2288" i="13"/>
  <c r="U2287" i="13"/>
  <c r="H2287" i="13"/>
  <c r="A2287" i="13"/>
  <c r="H2286" i="13"/>
  <c r="U2286" i="13" s="1"/>
  <c r="A2286" i="13"/>
  <c r="H2285" i="13"/>
  <c r="U2285" i="13" s="1"/>
  <c r="A2285" i="13"/>
  <c r="H2284" i="13"/>
  <c r="U2284" i="13" s="1"/>
  <c r="A2284" i="13"/>
  <c r="U2283" i="13"/>
  <c r="H2283" i="13"/>
  <c r="A2283" i="13"/>
  <c r="U2282" i="13"/>
  <c r="H2282" i="13"/>
  <c r="A2282" i="13"/>
  <c r="U2281" i="13"/>
  <c r="H2281" i="13"/>
  <c r="A2281" i="13"/>
  <c r="H2280" i="13"/>
  <c r="U2280" i="13" s="1"/>
  <c r="A2280" i="13"/>
  <c r="H2279" i="13"/>
  <c r="U2279" i="13" s="1"/>
  <c r="A2279" i="13"/>
  <c r="H2278" i="13"/>
  <c r="U2278" i="13" s="1"/>
  <c r="A2278" i="13"/>
  <c r="H2277" i="13"/>
  <c r="U2277" i="13" s="1"/>
  <c r="A2277" i="13"/>
  <c r="H2276" i="13"/>
  <c r="U2276" i="13" s="1"/>
  <c r="A2276" i="13"/>
  <c r="H2275" i="13"/>
  <c r="U2275" i="13" s="1"/>
  <c r="A2275" i="13"/>
  <c r="H2274" i="13"/>
  <c r="U2274" i="13" s="1"/>
  <c r="A2274" i="13"/>
  <c r="H2273" i="13"/>
  <c r="U2273" i="13" s="1"/>
  <c r="A2273" i="13"/>
  <c r="H2272" i="13"/>
  <c r="U2272" i="13" s="1"/>
  <c r="A2272" i="13"/>
  <c r="H2271" i="13"/>
  <c r="U2271" i="13" s="1"/>
  <c r="A2271" i="13"/>
  <c r="H2270" i="13"/>
  <c r="U2270" i="13" s="1"/>
  <c r="A2270" i="13"/>
  <c r="H2269" i="13"/>
  <c r="U2269" i="13" s="1"/>
  <c r="A2269" i="13"/>
  <c r="H2268" i="13"/>
  <c r="U2268" i="13" s="1"/>
  <c r="A2268" i="13"/>
  <c r="H2267" i="13"/>
  <c r="U2267" i="13" s="1"/>
  <c r="A2267" i="13"/>
  <c r="H2266" i="13"/>
  <c r="U2266" i="13" s="1"/>
  <c r="A2266" i="13"/>
  <c r="H2265" i="13"/>
  <c r="U2265" i="13" s="1"/>
  <c r="A2265" i="13"/>
  <c r="H2264" i="13"/>
  <c r="U2264" i="13" s="1"/>
  <c r="A2264" i="13"/>
  <c r="U2263" i="13"/>
  <c r="H2263" i="13"/>
  <c r="A2263" i="13"/>
  <c r="H2262" i="13"/>
  <c r="U2262" i="13" s="1"/>
  <c r="A2262" i="13"/>
  <c r="H2261" i="13"/>
  <c r="U2261" i="13" s="1"/>
  <c r="A2261" i="13"/>
  <c r="H2260" i="13"/>
  <c r="U2260" i="13" s="1"/>
  <c r="A2260" i="13"/>
  <c r="U2259" i="13"/>
  <c r="H2259" i="13"/>
  <c r="A2259" i="13"/>
  <c r="U2258" i="13"/>
  <c r="H2258" i="13"/>
  <c r="A2258" i="13"/>
  <c r="U2257" i="13"/>
  <c r="H2257" i="13"/>
  <c r="A2257" i="13"/>
  <c r="H2256" i="13"/>
  <c r="U2256" i="13" s="1"/>
  <c r="A2256" i="13"/>
  <c r="H2255" i="13"/>
  <c r="U2255" i="13" s="1"/>
  <c r="A2255" i="13"/>
  <c r="H2254" i="13"/>
  <c r="U2254" i="13" s="1"/>
  <c r="A2254" i="13"/>
  <c r="H2253" i="13"/>
  <c r="U2253" i="13" s="1"/>
  <c r="A2253" i="13"/>
  <c r="H2252" i="13"/>
  <c r="U2252" i="13" s="1"/>
  <c r="A2252" i="13"/>
  <c r="H2251" i="13"/>
  <c r="U2251" i="13" s="1"/>
  <c r="A2251" i="13"/>
  <c r="H2250" i="13"/>
  <c r="U2250" i="13" s="1"/>
  <c r="A2250" i="13"/>
  <c r="H2249" i="13"/>
  <c r="U2249" i="13" s="1"/>
  <c r="A2249" i="13"/>
  <c r="H2248" i="13"/>
  <c r="U2248" i="13" s="1"/>
  <c r="A2248" i="13"/>
  <c r="H2247" i="13"/>
  <c r="U2247" i="13" s="1"/>
  <c r="A2247" i="13"/>
  <c r="H2246" i="13"/>
  <c r="U2246" i="13" s="1"/>
  <c r="A2246" i="13"/>
  <c r="H2245" i="13"/>
  <c r="U2245" i="13" s="1"/>
  <c r="A2245" i="13"/>
  <c r="H2244" i="13"/>
  <c r="U2244" i="13" s="1"/>
  <c r="A2244" i="13"/>
  <c r="H2243" i="13"/>
  <c r="U2243" i="13" s="1"/>
  <c r="A2243" i="13"/>
  <c r="H2242" i="13"/>
  <c r="U2242" i="13" s="1"/>
  <c r="A2242" i="13"/>
  <c r="H2241" i="13"/>
  <c r="U2241" i="13" s="1"/>
  <c r="A2241" i="13"/>
  <c r="H2240" i="13"/>
  <c r="U2240" i="13" s="1"/>
  <c r="A2240" i="13"/>
  <c r="U2239" i="13"/>
  <c r="H2239" i="13"/>
  <c r="A2239" i="13"/>
  <c r="H2238" i="13"/>
  <c r="U2238" i="13" s="1"/>
  <c r="A2238" i="13"/>
  <c r="H2237" i="13"/>
  <c r="U2237" i="13" s="1"/>
  <c r="A2237" i="13"/>
  <c r="H2236" i="13"/>
  <c r="U2236" i="13" s="1"/>
  <c r="A2236" i="13"/>
  <c r="U2235" i="13"/>
  <c r="H2235" i="13"/>
  <c r="A2235" i="13"/>
  <c r="U2234" i="13"/>
  <c r="H2234" i="13"/>
  <c r="A2234" i="13"/>
  <c r="U2233" i="13"/>
  <c r="H2233" i="13"/>
  <c r="A2233" i="13"/>
  <c r="H2232" i="13"/>
  <c r="U2232" i="13" s="1"/>
  <c r="A2232" i="13"/>
  <c r="H2231" i="13"/>
  <c r="U2231" i="13" s="1"/>
  <c r="A2231" i="13"/>
  <c r="H2230" i="13"/>
  <c r="U2230" i="13" s="1"/>
  <c r="A2230" i="13"/>
  <c r="H2229" i="13"/>
  <c r="U2229" i="13" s="1"/>
  <c r="A2229" i="13"/>
  <c r="H2228" i="13"/>
  <c r="U2228" i="13" s="1"/>
  <c r="A2228" i="13"/>
  <c r="H2227" i="13"/>
  <c r="U2227" i="13" s="1"/>
  <c r="A2227" i="13"/>
  <c r="H2226" i="13"/>
  <c r="U2226" i="13" s="1"/>
  <c r="A2226" i="13"/>
  <c r="H2225" i="13"/>
  <c r="U2225" i="13" s="1"/>
  <c r="A2225" i="13"/>
  <c r="H2224" i="13"/>
  <c r="U2224" i="13" s="1"/>
  <c r="A2224" i="13"/>
  <c r="H2223" i="13"/>
  <c r="U2223" i="13" s="1"/>
  <c r="A2223" i="13"/>
  <c r="H2222" i="13"/>
  <c r="U2222" i="13" s="1"/>
  <c r="A2222" i="13"/>
  <c r="H2221" i="13"/>
  <c r="U2221" i="13" s="1"/>
  <c r="A2221" i="13"/>
  <c r="H2220" i="13"/>
  <c r="U2220" i="13" s="1"/>
  <c r="A2220" i="13"/>
  <c r="H2219" i="13"/>
  <c r="U2219" i="13" s="1"/>
  <c r="A2219" i="13"/>
  <c r="H2218" i="13"/>
  <c r="U2218" i="13" s="1"/>
  <c r="A2218" i="13"/>
  <c r="H2217" i="13"/>
  <c r="U2217" i="13" s="1"/>
  <c r="A2217" i="13"/>
  <c r="H2216" i="13"/>
  <c r="U2216" i="13" s="1"/>
  <c r="A2216" i="13"/>
  <c r="U2215" i="13"/>
  <c r="H2215" i="13"/>
  <c r="A2215" i="13"/>
  <c r="H2214" i="13"/>
  <c r="U2214" i="13" s="1"/>
  <c r="A2214" i="13"/>
  <c r="H2213" i="13"/>
  <c r="U2213" i="13" s="1"/>
  <c r="A2213" i="13"/>
  <c r="H2212" i="13"/>
  <c r="U2212" i="13" s="1"/>
  <c r="A2212" i="13"/>
  <c r="U2211" i="13"/>
  <c r="H2211" i="13"/>
  <c r="A2211" i="13"/>
  <c r="H2210" i="13"/>
  <c r="U2210" i="13" s="1"/>
  <c r="A2210" i="13"/>
  <c r="H2209" i="13"/>
  <c r="U2209" i="13" s="1"/>
  <c r="A2209" i="13"/>
  <c r="H2208" i="13"/>
  <c r="U2208" i="13" s="1"/>
  <c r="A2208" i="13"/>
  <c r="H2207" i="13"/>
  <c r="U2207" i="13" s="1"/>
  <c r="A2207" i="13"/>
  <c r="H2206" i="13"/>
  <c r="U2206" i="13" s="1"/>
  <c r="A2206" i="13"/>
  <c r="H2205" i="13"/>
  <c r="U2205" i="13" s="1"/>
  <c r="A2205" i="13"/>
  <c r="H2204" i="13"/>
  <c r="U2204" i="13" s="1"/>
  <c r="A2204" i="13"/>
  <c r="H2203" i="13"/>
  <c r="U2203" i="13" s="1"/>
  <c r="A2203" i="13"/>
  <c r="H2202" i="13"/>
  <c r="U2202" i="13" s="1"/>
  <c r="A2202" i="13"/>
  <c r="U2201" i="13"/>
  <c r="H2201" i="13"/>
  <c r="A2201" i="13"/>
  <c r="H2200" i="13"/>
  <c r="U2200" i="13" s="1"/>
  <c r="A2200" i="13"/>
  <c r="H2199" i="13"/>
  <c r="U2199" i="13" s="1"/>
  <c r="A2199" i="13"/>
  <c r="H2198" i="13"/>
  <c r="U2198" i="13" s="1"/>
  <c r="A2198" i="13"/>
  <c r="H2197" i="13"/>
  <c r="U2197" i="13" s="1"/>
  <c r="A2197" i="13"/>
  <c r="H2196" i="13"/>
  <c r="U2196" i="13" s="1"/>
  <c r="A2196" i="13"/>
  <c r="H2195" i="13"/>
  <c r="U2195" i="13" s="1"/>
  <c r="A2195" i="13"/>
  <c r="H2194" i="13"/>
  <c r="U2194" i="13" s="1"/>
  <c r="A2194" i="13"/>
  <c r="H2193" i="13"/>
  <c r="U2193" i="13" s="1"/>
  <c r="A2193" i="13"/>
  <c r="H2192" i="13"/>
  <c r="U2192" i="13" s="1"/>
  <c r="A2192" i="13"/>
  <c r="U2191" i="13"/>
  <c r="H2191" i="13"/>
  <c r="A2191" i="13"/>
  <c r="H2190" i="13"/>
  <c r="U2190" i="13" s="1"/>
  <c r="A2190" i="13"/>
  <c r="H2189" i="13"/>
  <c r="U2189" i="13" s="1"/>
  <c r="A2189" i="13"/>
  <c r="H2188" i="13"/>
  <c r="U2188" i="13" s="1"/>
  <c r="A2188" i="13"/>
  <c r="U2187" i="13"/>
  <c r="H2187" i="13"/>
  <c r="A2187" i="13"/>
  <c r="H2186" i="13"/>
  <c r="U2186" i="13" s="1"/>
  <c r="A2186" i="13"/>
  <c r="H2185" i="13"/>
  <c r="U2185" i="13" s="1"/>
  <c r="A2185" i="13"/>
  <c r="H2184" i="13"/>
  <c r="U2184" i="13" s="1"/>
  <c r="A2184" i="13"/>
  <c r="H2183" i="13"/>
  <c r="U2183" i="13" s="1"/>
  <c r="A2183" i="13"/>
  <c r="H2182" i="13"/>
  <c r="U2182" i="13" s="1"/>
  <c r="A2182" i="13"/>
  <c r="H2181" i="13"/>
  <c r="U2181" i="13" s="1"/>
  <c r="A2181" i="13"/>
  <c r="H2180" i="13"/>
  <c r="U2180" i="13" s="1"/>
  <c r="A2180" i="13"/>
  <c r="H2179" i="13"/>
  <c r="U2179" i="13" s="1"/>
  <c r="A2179" i="13"/>
  <c r="H2178" i="13"/>
  <c r="U2178" i="13" s="1"/>
  <c r="A2178" i="13"/>
  <c r="U2177" i="13"/>
  <c r="H2177" i="13"/>
  <c r="A2177" i="13"/>
  <c r="H2176" i="13"/>
  <c r="U2176" i="13" s="1"/>
  <c r="A2176" i="13"/>
  <c r="H2175" i="13"/>
  <c r="U2175" i="13" s="1"/>
  <c r="A2175" i="13"/>
  <c r="H2174" i="13"/>
  <c r="U2174" i="13" s="1"/>
  <c r="A2174" i="13"/>
  <c r="H2173" i="13"/>
  <c r="U2173" i="13" s="1"/>
  <c r="A2173" i="13"/>
  <c r="H2172" i="13"/>
  <c r="U2172" i="13" s="1"/>
  <c r="A2172" i="13"/>
  <c r="H2171" i="13"/>
  <c r="U2171" i="13" s="1"/>
  <c r="A2171" i="13"/>
  <c r="H2170" i="13"/>
  <c r="U2170" i="13" s="1"/>
  <c r="A2170" i="13"/>
  <c r="H2169" i="13"/>
  <c r="U2169" i="13" s="1"/>
  <c r="A2169" i="13"/>
  <c r="H2168" i="13"/>
  <c r="U2168" i="13" s="1"/>
  <c r="A2168" i="13"/>
  <c r="U2167" i="13"/>
  <c r="H2167" i="13"/>
  <c r="A2167" i="13"/>
  <c r="H2166" i="13"/>
  <c r="U2166" i="13" s="1"/>
  <c r="A2166" i="13"/>
  <c r="H2165" i="13"/>
  <c r="U2165" i="13" s="1"/>
  <c r="A2165" i="13"/>
  <c r="H2164" i="13"/>
  <c r="U2164" i="13" s="1"/>
  <c r="A2164" i="13"/>
  <c r="U2163" i="13"/>
  <c r="H2163" i="13"/>
  <c r="A2163" i="13"/>
  <c r="H2162" i="13"/>
  <c r="U2162" i="13" s="1"/>
  <c r="A2162" i="13"/>
  <c r="H2161" i="13"/>
  <c r="U2161" i="13" s="1"/>
  <c r="A2161" i="13"/>
  <c r="H2160" i="13"/>
  <c r="U2160" i="13" s="1"/>
  <c r="A2160" i="13"/>
  <c r="H2159" i="13"/>
  <c r="U2159" i="13" s="1"/>
  <c r="A2159" i="13"/>
  <c r="H2158" i="13"/>
  <c r="U2158" i="13" s="1"/>
  <c r="A2158" i="13"/>
  <c r="H2157" i="13"/>
  <c r="U2157" i="13" s="1"/>
  <c r="A2157" i="13"/>
  <c r="H2156" i="13"/>
  <c r="U2156" i="13" s="1"/>
  <c r="A2156" i="13"/>
  <c r="H2155" i="13"/>
  <c r="U2155" i="13" s="1"/>
  <c r="A2155" i="13"/>
  <c r="H2154" i="13"/>
  <c r="U2154" i="13" s="1"/>
  <c r="A2154" i="13"/>
  <c r="U2153" i="13"/>
  <c r="H2153" i="13"/>
  <c r="A2153" i="13"/>
  <c r="H2152" i="13"/>
  <c r="U2152" i="13" s="1"/>
  <c r="A2152" i="13"/>
  <c r="H2151" i="13"/>
  <c r="U2151" i="13" s="1"/>
  <c r="A2151" i="13"/>
  <c r="H2150" i="13"/>
  <c r="U2150" i="13" s="1"/>
  <c r="A2150" i="13"/>
  <c r="H2149" i="13"/>
  <c r="U2149" i="13" s="1"/>
  <c r="A2149" i="13"/>
  <c r="H2148" i="13"/>
  <c r="U2148" i="13" s="1"/>
  <c r="A2148" i="13"/>
  <c r="H2147" i="13"/>
  <c r="U2147" i="13" s="1"/>
  <c r="A2147" i="13"/>
  <c r="H2146" i="13"/>
  <c r="U2146" i="13" s="1"/>
  <c r="A2146" i="13"/>
  <c r="H2145" i="13"/>
  <c r="U2145" i="13" s="1"/>
  <c r="A2145" i="13"/>
  <c r="H2144" i="13"/>
  <c r="U2144" i="13" s="1"/>
  <c r="A2144" i="13"/>
  <c r="U2143" i="13"/>
  <c r="H2143" i="13"/>
  <c r="A2143" i="13"/>
  <c r="H2142" i="13"/>
  <c r="U2142" i="13" s="1"/>
  <c r="A2142" i="13"/>
  <c r="H2141" i="13"/>
  <c r="U2141" i="13" s="1"/>
  <c r="A2141" i="13"/>
  <c r="H2140" i="13"/>
  <c r="U2140" i="13" s="1"/>
  <c r="A2140" i="13"/>
  <c r="U2139" i="13"/>
  <c r="H2139" i="13"/>
  <c r="A2139" i="13"/>
  <c r="H2138" i="13"/>
  <c r="U2138" i="13" s="1"/>
  <c r="A2138" i="13"/>
  <c r="H2137" i="13"/>
  <c r="U2137" i="13" s="1"/>
  <c r="A2137" i="13"/>
  <c r="H2136" i="13"/>
  <c r="U2136" i="13" s="1"/>
  <c r="A2136" i="13"/>
  <c r="H2135" i="13"/>
  <c r="U2135" i="13" s="1"/>
  <c r="A2135" i="13"/>
  <c r="H2134" i="13"/>
  <c r="U2134" i="13" s="1"/>
  <c r="A2134" i="13"/>
  <c r="H2133" i="13"/>
  <c r="U2133" i="13" s="1"/>
  <c r="A2133" i="13"/>
  <c r="H2132" i="13"/>
  <c r="U2132" i="13" s="1"/>
  <c r="A2132" i="13"/>
  <c r="H2131" i="13"/>
  <c r="U2131" i="13" s="1"/>
  <c r="A2131" i="13"/>
  <c r="H2130" i="13"/>
  <c r="U2130" i="13" s="1"/>
  <c r="A2130" i="13"/>
  <c r="U2129" i="13"/>
  <c r="H2129" i="13"/>
  <c r="A2129" i="13"/>
  <c r="H2128" i="13"/>
  <c r="U2128" i="13" s="1"/>
  <c r="A2128" i="13"/>
  <c r="H2127" i="13"/>
  <c r="U2127" i="13" s="1"/>
  <c r="A2127" i="13"/>
  <c r="H2126" i="13"/>
  <c r="U2126" i="13" s="1"/>
  <c r="A2126" i="13"/>
  <c r="H2125" i="13"/>
  <c r="U2125" i="13" s="1"/>
  <c r="A2125" i="13"/>
  <c r="H2124" i="13"/>
  <c r="U2124" i="13" s="1"/>
  <c r="A2124" i="13"/>
  <c r="H2123" i="13"/>
  <c r="U2123" i="13" s="1"/>
  <c r="A2123" i="13"/>
  <c r="H2122" i="13"/>
  <c r="U2122" i="13" s="1"/>
  <c r="A2122" i="13"/>
  <c r="H2121" i="13"/>
  <c r="U2121" i="13" s="1"/>
  <c r="A2121" i="13"/>
  <c r="H2120" i="13"/>
  <c r="U2120" i="13" s="1"/>
  <c r="A2120" i="13"/>
  <c r="U2119" i="13"/>
  <c r="H2119" i="13"/>
  <c r="A2119" i="13"/>
  <c r="H2118" i="13"/>
  <c r="U2118" i="13" s="1"/>
  <c r="A2118" i="13"/>
  <c r="H2117" i="13"/>
  <c r="U2117" i="13" s="1"/>
  <c r="A2117" i="13"/>
  <c r="H2116" i="13"/>
  <c r="U2116" i="13" s="1"/>
  <c r="A2116" i="13"/>
  <c r="U2115" i="13"/>
  <c r="H2115" i="13"/>
  <c r="A2115" i="13"/>
  <c r="H2114" i="13"/>
  <c r="U2114" i="13" s="1"/>
  <c r="A2114" i="13"/>
  <c r="H2113" i="13"/>
  <c r="U2113" i="13" s="1"/>
  <c r="A2113" i="13"/>
  <c r="H2112" i="13"/>
  <c r="U2112" i="13" s="1"/>
  <c r="A2112" i="13"/>
  <c r="H2111" i="13"/>
  <c r="U2111" i="13" s="1"/>
  <c r="A2111" i="13"/>
  <c r="H2110" i="13"/>
  <c r="U2110" i="13" s="1"/>
  <c r="A2110" i="13"/>
  <c r="H2109" i="13"/>
  <c r="U2109" i="13" s="1"/>
  <c r="A2109" i="13"/>
  <c r="H2108" i="13"/>
  <c r="U2108" i="13" s="1"/>
  <c r="A2108" i="13"/>
  <c r="H2107" i="13"/>
  <c r="U2107" i="13" s="1"/>
  <c r="A2107" i="13"/>
  <c r="H2106" i="13"/>
  <c r="U2106" i="13" s="1"/>
  <c r="A2106" i="13"/>
  <c r="U2105" i="13"/>
  <c r="H2105" i="13"/>
  <c r="A2105" i="13"/>
  <c r="H2104" i="13"/>
  <c r="U2104" i="13" s="1"/>
  <c r="A2104" i="13"/>
  <c r="H2103" i="13"/>
  <c r="U2103" i="13" s="1"/>
  <c r="A2103" i="13"/>
  <c r="H2102" i="13"/>
  <c r="U2102" i="13" s="1"/>
  <c r="A2102" i="13"/>
  <c r="H2101" i="13"/>
  <c r="U2101" i="13" s="1"/>
  <c r="A2101" i="13"/>
  <c r="H2100" i="13"/>
  <c r="U2100" i="13" s="1"/>
  <c r="A2100" i="13"/>
  <c r="H2099" i="13"/>
  <c r="U2099" i="13" s="1"/>
  <c r="A2099" i="13"/>
  <c r="H2098" i="13"/>
  <c r="U2098" i="13" s="1"/>
  <c r="A2098" i="13"/>
  <c r="H2097" i="13"/>
  <c r="U2097" i="13" s="1"/>
  <c r="A2097" i="13"/>
  <c r="H2096" i="13"/>
  <c r="U2096" i="13" s="1"/>
  <c r="A2096" i="13"/>
  <c r="U2095" i="13"/>
  <c r="H2095" i="13"/>
  <c r="A2095" i="13"/>
  <c r="H2094" i="13"/>
  <c r="U2094" i="13" s="1"/>
  <c r="A2094" i="13"/>
  <c r="H2093" i="13"/>
  <c r="U2093" i="13" s="1"/>
  <c r="A2093" i="13"/>
  <c r="H2092" i="13"/>
  <c r="U2092" i="13" s="1"/>
  <c r="A2092" i="13"/>
  <c r="U2091" i="13"/>
  <c r="H2091" i="13"/>
  <c r="A2091" i="13"/>
  <c r="H2090" i="13"/>
  <c r="U2090" i="13" s="1"/>
  <c r="A2090" i="13"/>
  <c r="H2089" i="13"/>
  <c r="U2089" i="13" s="1"/>
  <c r="A2089" i="13"/>
  <c r="H2088" i="13"/>
  <c r="U2088" i="13" s="1"/>
  <c r="A2088" i="13"/>
  <c r="H2087" i="13"/>
  <c r="U2087" i="13" s="1"/>
  <c r="A2087" i="13"/>
  <c r="H2086" i="13"/>
  <c r="U2086" i="13" s="1"/>
  <c r="A2086" i="13"/>
  <c r="H2085" i="13"/>
  <c r="U2085" i="13" s="1"/>
  <c r="A2085" i="13"/>
  <c r="H2084" i="13"/>
  <c r="U2084" i="13" s="1"/>
  <c r="A2084" i="13"/>
  <c r="H2083" i="13"/>
  <c r="U2083" i="13" s="1"/>
  <c r="A2083" i="13"/>
  <c r="H2082" i="13"/>
  <c r="U2082" i="13" s="1"/>
  <c r="A2082" i="13"/>
  <c r="U2081" i="13"/>
  <c r="H2081" i="13"/>
  <c r="A2081" i="13"/>
  <c r="H2080" i="13"/>
  <c r="U2080" i="13" s="1"/>
  <c r="A2080" i="13"/>
  <c r="H2079" i="13"/>
  <c r="U2079" i="13" s="1"/>
  <c r="A2079" i="13"/>
  <c r="H2078" i="13"/>
  <c r="U2078" i="13" s="1"/>
  <c r="A2078" i="13"/>
  <c r="H2077" i="13"/>
  <c r="U2077" i="13" s="1"/>
  <c r="A2077" i="13"/>
  <c r="H2076" i="13"/>
  <c r="U2076" i="13" s="1"/>
  <c r="A2076" i="13"/>
  <c r="H2075" i="13"/>
  <c r="U2075" i="13" s="1"/>
  <c r="A2075" i="13"/>
  <c r="H2074" i="13"/>
  <c r="U2074" i="13" s="1"/>
  <c r="A2074" i="13"/>
  <c r="H2073" i="13"/>
  <c r="U2073" i="13" s="1"/>
  <c r="A2073" i="13"/>
  <c r="H2072" i="13"/>
  <c r="U2072" i="13" s="1"/>
  <c r="A2072" i="13"/>
  <c r="U2071" i="13"/>
  <c r="H2071" i="13"/>
  <c r="A2071" i="13"/>
  <c r="H2070" i="13"/>
  <c r="U2070" i="13" s="1"/>
  <c r="A2070" i="13"/>
  <c r="H2069" i="13"/>
  <c r="U2069" i="13" s="1"/>
  <c r="A2069" i="13"/>
  <c r="H2068" i="13"/>
  <c r="U2068" i="13" s="1"/>
  <c r="A2068" i="13"/>
  <c r="U2067" i="13"/>
  <c r="H2067" i="13"/>
  <c r="A2067" i="13"/>
  <c r="H2066" i="13"/>
  <c r="U2066" i="13" s="1"/>
  <c r="A2066" i="13"/>
  <c r="H2065" i="13"/>
  <c r="U2065" i="13" s="1"/>
  <c r="A2065" i="13"/>
  <c r="H2064" i="13"/>
  <c r="U2064" i="13" s="1"/>
  <c r="A2064" i="13"/>
  <c r="H2063" i="13"/>
  <c r="U2063" i="13" s="1"/>
  <c r="A2063" i="13"/>
  <c r="H2062" i="13"/>
  <c r="U2062" i="13" s="1"/>
  <c r="A2062" i="13"/>
  <c r="H2061" i="13"/>
  <c r="U2061" i="13" s="1"/>
  <c r="A2061" i="13"/>
  <c r="H2060" i="13"/>
  <c r="U2060" i="13" s="1"/>
  <c r="A2060" i="13"/>
  <c r="H2059" i="13"/>
  <c r="U2059" i="13" s="1"/>
  <c r="A2059" i="13"/>
  <c r="H2058" i="13"/>
  <c r="U2058" i="13" s="1"/>
  <c r="A2058" i="13"/>
  <c r="U2057" i="13"/>
  <c r="H2057" i="13"/>
  <c r="A2057" i="13"/>
  <c r="H2056" i="13"/>
  <c r="U2056" i="13" s="1"/>
  <c r="A2056" i="13"/>
  <c r="H2055" i="13"/>
  <c r="U2055" i="13" s="1"/>
  <c r="A2055" i="13"/>
  <c r="H2054" i="13"/>
  <c r="U2054" i="13" s="1"/>
  <c r="A2054" i="13"/>
  <c r="H2053" i="13"/>
  <c r="U2053" i="13" s="1"/>
  <c r="A2053" i="13"/>
  <c r="H2052" i="13"/>
  <c r="U2052" i="13" s="1"/>
  <c r="A2052" i="13"/>
  <c r="H2051" i="13"/>
  <c r="U2051" i="13" s="1"/>
  <c r="A2051" i="13"/>
  <c r="H2050" i="13"/>
  <c r="U2050" i="13" s="1"/>
  <c r="A2050" i="13"/>
  <c r="H2049" i="13"/>
  <c r="U2049" i="13" s="1"/>
  <c r="A2049" i="13"/>
  <c r="H2048" i="13"/>
  <c r="U2048" i="13" s="1"/>
  <c r="A2048" i="13"/>
  <c r="U2047" i="13"/>
  <c r="H2047" i="13"/>
  <c r="A2047" i="13"/>
  <c r="H2046" i="13"/>
  <c r="U2046" i="13" s="1"/>
  <c r="A2046" i="13"/>
  <c r="H2045" i="13"/>
  <c r="U2045" i="13" s="1"/>
  <c r="A2045" i="13"/>
  <c r="H2044" i="13"/>
  <c r="U2044" i="13" s="1"/>
  <c r="A2044" i="13"/>
  <c r="U2043" i="13"/>
  <c r="H2043" i="13"/>
  <c r="A2043" i="13"/>
  <c r="H2042" i="13"/>
  <c r="U2042" i="13" s="1"/>
  <c r="A2042" i="13"/>
  <c r="H2041" i="13"/>
  <c r="U2041" i="13" s="1"/>
  <c r="A2041" i="13"/>
  <c r="H2040" i="13"/>
  <c r="U2040" i="13" s="1"/>
  <c r="A2040" i="13"/>
  <c r="H2039" i="13"/>
  <c r="U2039" i="13" s="1"/>
  <c r="A2039" i="13"/>
  <c r="H2038" i="13"/>
  <c r="U2038" i="13" s="1"/>
  <c r="A2038" i="13"/>
  <c r="H2037" i="13"/>
  <c r="U2037" i="13" s="1"/>
  <c r="A2037" i="13"/>
  <c r="H2036" i="13"/>
  <c r="U2036" i="13" s="1"/>
  <c r="A2036" i="13"/>
  <c r="H2035" i="13"/>
  <c r="U2035" i="13" s="1"/>
  <c r="A2035" i="13"/>
  <c r="H2034" i="13"/>
  <c r="U2034" i="13" s="1"/>
  <c r="A2034" i="13"/>
  <c r="U2033" i="13"/>
  <c r="H2033" i="13"/>
  <c r="A2033" i="13"/>
  <c r="H2032" i="13"/>
  <c r="U2032" i="13" s="1"/>
  <c r="A2032" i="13"/>
  <c r="H2031" i="13"/>
  <c r="U2031" i="13" s="1"/>
  <c r="A2031" i="13"/>
  <c r="H2030" i="13"/>
  <c r="U2030" i="13" s="1"/>
  <c r="A2030" i="13"/>
  <c r="H2029" i="13"/>
  <c r="U2029" i="13" s="1"/>
  <c r="A2029" i="13"/>
  <c r="H2028" i="13"/>
  <c r="U2028" i="13" s="1"/>
  <c r="A2028" i="13"/>
  <c r="H2027" i="13"/>
  <c r="U2027" i="13" s="1"/>
  <c r="A2027" i="13"/>
  <c r="H2026" i="13"/>
  <c r="U2026" i="13" s="1"/>
  <c r="A2026" i="13"/>
  <c r="H2025" i="13"/>
  <c r="U2025" i="13" s="1"/>
  <c r="A2025" i="13"/>
  <c r="H2024" i="13"/>
  <c r="U2024" i="13" s="1"/>
  <c r="A2024" i="13"/>
  <c r="U2023" i="13"/>
  <c r="H2023" i="13"/>
  <c r="A2023" i="13"/>
  <c r="H2022" i="13"/>
  <c r="U2022" i="13" s="1"/>
  <c r="A2022" i="13"/>
  <c r="H2021" i="13"/>
  <c r="U2021" i="13" s="1"/>
  <c r="A2021" i="13"/>
  <c r="H2020" i="13"/>
  <c r="U2020" i="13" s="1"/>
  <c r="A2020" i="13"/>
  <c r="U2019" i="13"/>
  <c r="H2019" i="13"/>
  <c r="A2019" i="13"/>
  <c r="H2018" i="13"/>
  <c r="U2018" i="13" s="1"/>
  <c r="A2018" i="13"/>
  <c r="H2017" i="13"/>
  <c r="U2017" i="13" s="1"/>
  <c r="A2017" i="13"/>
  <c r="H2016" i="13"/>
  <c r="U2016" i="13" s="1"/>
  <c r="A2016" i="13"/>
  <c r="H2015" i="13"/>
  <c r="U2015" i="13" s="1"/>
  <c r="A2015" i="13"/>
  <c r="H2014" i="13"/>
  <c r="U2014" i="13" s="1"/>
  <c r="A2014" i="13"/>
  <c r="H2013" i="13"/>
  <c r="U2013" i="13" s="1"/>
  <c r="A2013" i="13"/>
  <c r="H2012" i="13"/>
  <c r="U2012" i="13" s="1"/>
  <c r="A2012" i="13"/>
  <c r="H2011" i="13"/>
  <c r="U2011" i="13" s="1"/>
  <c r="A2011" i="13"/>
  <c r="H2010" i="13"/>
  <c r="U2010" i="13" s="1"/>
  <c r="A2010" i="13"/>
  <c r="U2009" i="13"/>
  <c r="H2009" i="13"/>
  <c r="A2009" i="13"/>
  <c r="H2008" i="13"/>
  <c r="U2008" i="13" s="1"/>
  <c r="A2008" i="13"/>
  <c r="H2007" i="13"/>
  <c r="U2007" i="13" s="1"/>
  <c r="A2007" i="13"/>
  <c r="H2006" i="13"/>
  <c r="U2006" i="13" s="1"/>
  <c r="A2006" i="13"/>
  <c r="H2005" i="13"/>
  <c r="U2005" i="13" s="1"/>
  <c r="A2005" i="13"/>
  <c r="H2004" i="13"/>
  <c r="U2004" i="13" s="1"/>
  <c r="A2004" i="13"/>
  <c r="H2003" i="13"/>
  <c r="U2003" i="13" s="1"/>
  <c r="A2003" i="13"/>
  <c r="H2002" i="13"/>
  <c r="U2002" i="13" s="1"/>
  <c r="A2002" i="13"/>
  <c r="H2001" i="13"/>
  <c r="U2001" i="13" s="1"/>
  <c r="A2001" i="13"/>
  <c r="H2000" i="13"/>
  <c r="U2000" i="13" s="1"/>
  <c r="A2000" i="13"/>
  <c r="U1999" i="13"/>
  <c r="H1999" i="13"/>
  <c r="A1999" i="13"/>
  <c r="H1998" i="13"/>
  <c r="U1998" i="13" s="1"/>
  <c r="A1998" i="13"/>
  <c r="H1997" i="13"/>
  <c r="U1997" i="13" s="1"/>
  <c r="A1997" i="13"/>
  <c r="H1996" i="13"/>
  <c r="U1996" i="13" s="1"/>
  <c r="A1996" i="13"/>
  <c r="U1995" i="13"/>
  <c r="H1995" i="13"/>
  <c r="A1995" i="13"/>
  <c r="H1994" i="13"/>
  <c r="U1994" i="13" s="1"/>
  <c r="A1994" i="13"/>
  <c r="H1993" i="13"/>
  <c r="U1993" i="13" s="1"/>
  <c r="A1993" i="13"/>
  <c r="H1992" i="13"/>
  <c r="U1992" i="13" s="1"/>
  <c r="A1992" i="13"/>
  <c r="H1991" i="13"/>
  <c r="U1991" i="13" s="1"/>
  <c r="A1991" i="13"/>
  <c r="H1990" i="13"/>
  <c r="U1990" i="13" s="1"/>
  <c r="A1990" i="13"/>
  <c r="H1989" i="13"/>
  <c r="U1989" i="13" s="1"/>
  <c r="A1989" i="13"/>
  <c r="H1988" i="13"/>
  <c r="U1988" i="13" s="1"/>
  <c r="A1988" i="13"/>
  <c r="H1987" i="13"/>
  <c r="U1987" i="13" s="1"/>
  <c r="A1987" i="13"/>
  <c r="H1986" i="13"/>
  <c r="U1986" i="13" s="1"/>
  <c r="A1986" i="13"/>
  <c r="U1985" i="13"/>
  <c r="H1985" i="13"/>
  <c r="A1985" i="13"/>
  <c r="H1984" i="13"/>
  <c r="U1984" i="13" s="1"/>
  <c r="A1984" i="13"/>
  <c r="H1983" i="13"/>
  <c r="U1983" i="13" s="1"/>
  <c r="A1983" i="13"/>
  <c r="H1982" i="13"/>
  <c r="U1982" i="13" s="1"/>
  <c r="A1982" i="13"/>
  <c r="H1981" i="13"/>
  <c r="U1981" i="13" s="1"/>
  <c r="A1981" i="13"/>
  <c r="H1980" i="13"/>
  <c r="U1980" i="13" s="1"/>
  <c r="A1980" i="13"/>
  <c r="H1979" i="13"/>
  <c r="U1979" i="13" s="1"/>
  <c r="A1979" i="13"/>
  <c r="H1978" i="13"/>
  <c r="U1978" i="13" s="1"/>
  <c r="A1978" i="13"/>
  <c r="H1977" i="13"/>
  <c r="U1977" i="13" s="1"/>
  <c r="A1977" i="13"/>
  <c r="H1976" i="13"/>
  <c r="U1976" i="13" s="1"/>
  <c r="A1976" i="13"/>
  <c r="U1975" i="13"/>
  <c r="H1975" i="13"/>
  <c r="A1975" i="13"/>
  <c r="H1974" i="13"/>
  <c r="U1974" i="13" s="1"/>
  <c r="A1974" i="13"/>
  <c r="H1973" i="13"/>
  <c r="U1973" i="13" s="1"/>
  <c r="A1973" i="13"/>
  <c r="H1972" i="13"/>
  <c r="U1972" i="13" s="1"/>
  <c r="A1972" i="13"/>
  <c r="U1971" i="13"/>
  <c r="H1971" i="13"/>
  <c r="A1971" i="13"/>
  <c r="H1970" i="13"/>
  <c r="U1970" i="13" s="1"/>
  <c r="A1970" i="13"/>
  <c r="H1969" i="13"/>
  <c r="U1969" i="13" s="1"/>
  <c r="A1969" i="13"/>
  <c r="H1968" i="13"/>
  <c r="U1968" i="13" s="1"/>
  <c r="A1968" i="13"/>
  <c r="H1967" i="13"/>
  <c r="U1967" i="13" s="1"/>
  <c r="A1967" i="13"/>
  <c r="H1966" i="13"/>
  <c r="U1966" i="13" s="1"/>
  <c r="A1966" i="13"/>
  <c r="H1965" i="13"/>
  <c r="U1965" i="13" s="1"/>
  <c r="A1965" i="13"/>
  <c r="H1964" i="13"/>
  <c r="U1964" i="13" s="1"/>
  <c r="A1964" i="13"/>
  <c r="H1963" i="13"/>
  <c r="U1963" i="13" s="1"/>
  <c r="A1963" i="13"/>
  <c r="H1962" i="13"/>
  <c r="U1962" i="13" s="1"/>
  <c r="A1962" i="13"/>
  <c r="U1961" i="13"/>
  <c r="H1961" i="13"/>
  <c r="A1961" i="13"/>
  <c r="H1960" i="13"/>
  <c r="U1960" i="13" s="1"/>
  <c r="A1960" i="13"/>
  <c r="H1959" i="13"/>
  <c r="U1959" i="13" s="1"/>
  <c r="A1959" i="13"/>
  <c r="H1958" i="13"/>
  <c r="U1958" i="13" s="1"/>
  <c r="A1958" i="13"/>
  <c r="H1957" i="13"/>
  <c r="U1957" i="13" s="1"/>
  <c r="A1957" i="13"/>
  <c r="H1956" i="13"/>
  <c r="U1956" i="13" s="1"/>
  <c r="A1956" i="13"/>
  <c r="H1955" i="13"/>
  <c r="U1955" i="13" s="1"/>
  <c r="A1955" i="13"/>
  <c r="H1954" i="13"/>
  <c r="U1954" i="13" s="1"/>
  <c r="A1954" i="13"/>
  <c r="H1953" i="13"/>
  <c r="U1953" i="13" s="1"/>
  <c r="A1953" i="13"/>
  <c r="H1952" i="13"/>
  <c r="U1952" i="13" s="1"/>
  <c r="A1952" i="13"/>
  <c r="U1951" i="13"/>
  <c r="H1951" i="13"/>
  <c r="A1951" i="13"/>
  <c r="H1950" i="13"/>
  <c r="U1950" i="13" s="1"/>
  <c r="A1950" i="13"/>
  <c r="H1949" i="13"/>
  <c r="U1949" i="13" s="1"/>
  <c r="A1949" i="13"/>
  <c r="H1948" i="13"/>
  <c r="U1948" i="13" s="1"/>
  <c r="A1948" i="13"/>
  <c r="U1947" i="13"/>
  <c r="H1947" i="13"/>
  <c r="A1947" i="13"/>
  <c r="H1946" i="13"/>
  <c r="U1946" i="13" s="1"/>
  <c r="A1946" i="13"/>
  <c r="H1945" i="13"/>
  <c r="U1945" i="13" s="1"/>
  <c r="A1945" i="13"/>
  <c r="H1944" i="13"/>
  <c r="U1944" i="13" s="1"/>
  <c r="A1944" i="13"/>
  <c r="H1943" i="13"/>
  <c r="U1943" i="13" s="1"/>
  <c r="A1943" i="13"/>
  <c r="H1942" i="13"/>
  <c r="U1942" i="13" s="1"/>
  <c r="A1942" i="13"/>
  <c r="H1941" i="13"/>
  <c r="U1941" i="13" s="1"/>
  <c r="A1941" i="13"/>
  <c r="H1940" i="13"/>
  <c r="U1940" i="13" s="1"/>
  <c r="A1940" i="13"/>
  <c r="H1939" i="13"/>
  <c r="U1939" i="13" s="1"/>
  <c r="A1939" i="13"/>
  <c r="H1938" i="13"/>
  <c r="U1938" i="13" s="1"/>
  <c r="A1938" i="13"/>
  <c r="U1937" i="13"/>
  <c r="H1937" i="13"/>
  <c r="A1937" i="13"/>
  <c r="H1936" i="13"/>
  <c r="U1936" i="13" s="1"/>
  <c r="A1936" i="13"/>
  <c r="H1935" i="13"/>
  <c r="U1935" i="13" s="1"/>
  <c r="A1935" i="13"/>
  <c r="H1934" i="13"/>
  <c r="U1934" i="13" s="1"/>
  <c r="A1934" i="13"/>
  <c r="H1933" i="13"/>
  <c r="U1933" i="13" s="1"/>
  <c r="A1933" i="13"/>
  <c r="H1932" i="13"/>
  <c r="U1932" i="13" s="1"/>
  <c r="A1932" i="13"/>
  <c r="H1931" i="13"/>
  <c r="U1931" i="13" s="1"/>
  <c r="A1931" i="13"/>
  <c r="H1930" i="13"/>
  <c r="U1930" i="13" s="1"/>
  <c r="A1930" i="13"/>
  <c r="H1929" i="13"/>
  <c r="U1929" i="13" s="1"/>
  <c r="A1929" i="13"/>
  <c r="H1928" i="13"/>
  <c r="U1928" i="13" s="1"/>
  <c r="A1928" i="13"/>
  <c r="U1927" i="13"/>
  <c r="H1927" i="13"/>
  <c r="A1927" i="13"/>
  <c r="H1926" i="13"/>
  <c r="U1926" i="13" s="1"/>
  <c r="A1926" i="13"/>
  <c r="H1925" i="13"/>
  <c r="U1925" i="13" s="1"/>
  <c r="A1925" i="13"/>
  <c r="H1924" i="13"/>
  <c r="U1924" i="13" s="1"/>
  <c r="A1924" i="13"/>
  <c r="U1923" i="13"/>
  <c r="H1923" i="13"/>
  <c r="A1923" i="13"/>
  <c r="H1922" i="13"/>
  <c r="U1922" i="13" s="1"/>
  <c r="A1922" i="13"/>
  <c r="H1921" i="13"/>
  <c r="U1921" i="13" s="1"/>
  <c r="A1921" i="13"/>
  <c r="H1920" i="13"/>
  <c r="U1920" i="13" s="1"/>
  <c r="A1920" i="13"/>
  <c r="H1919" i="13"/>
  <c r="U1919" i="13" s="1"/>
  <c r="A1919" i="13"/>
  <c r="H1918" i="13"/>
  <c r="U1918" i="13" s="1"/>
  <c r="A1918" i="13"/>
  <c r="H1917" i="13"/>
  <c r="U1917" i="13" s="1"/>
  <c r="A1917" i="13"/>
  <c r="H1916" i="13"/>
  <c r="U1916" i="13" s="1"/>
  <c r="A1916" i="13"/>
  <c r="H1915" i="13"/>
  <c r="U1915" i="13" s="1"/>
  <c r="A1915" i="13"/>
  <c r="H1914" i="13"/>
  <c r="U1914" i="13" s="1"/>
  <c r="A1914" i="13"/>
  <c r="U1913" i="13"/>
  <c r="H1913" i="13"/>
  <c r="A1913" i="13"/>
  <c r="H1912" i="13"/>
  <c r="U1912" i="13" s="1"/>
  <c r="A1912" i="13"/>
  <c r="H1911" i="13"/>
  <c r="U1911" i="13" s="1"/>
  <c r="A1911" i="13"/>
  <c r="H1910" i="13"/>
  <c r="U1910" i="13" s="1"/>
  <c r="A1910" i="13"/>
  <c r="H1909" i="13"/>
  <c r="U1909" i="13" s="1"/>
  <c r="A1909" i="13"/>
  <c r="H1908" i="13"/>
  <c r="U1908" i="13" s="1"/>
  <c r="A1908" i="13"/>
  <c r="H1907" i="13"/>
  <c r="U1907" i="13" s="1"/>
  <c r="A1907" i="13"/>
  <c r="H1906" i="13"/>
  <c r="U1906" i="13" s="1"/>
  <c r="A1906" i="13"/>
  <c r="H1905" i="13"/>
  <c r="U1905" i="13" s="1"/>
  <c r="A1905" i="13"/>
  <c r="H1904" i="13"/>
  <c r="U1904" i="13" s="1"/>
  <c r="A1904" i="13"/>
  <c r="U1903" i="13"/>
  <c r="H1903" i="13"/>
  <c r="A1903" i="13"/>
  <c r="H1902" i="13"/>
  <c r="U1902" i="13" s="1"/>
  <c r="A1902" i="13"/>
  <c r="H1901" i="13"/>
  <c r="U1901" i="13" s="1"/>
  <c r="A1901" i="13"/>
  <c r="H1900" i="13"/>
  <c r="U1900" i="13" s="1"/>
  <c r="A1900" i="13"/>
  <c r="U1899" i="13"/>
  <c r="H1899" i="13"/>
  <c r="A1899" i="13"/>
  <c r="H1898" i="13"/>
  <c r="U1898" i="13" s="1"/>
  <c r="A1898" i="13"/>
  <c r="H1897" i="13"/>
  <c r="U1897" i="13" s="1"/>
  <c r="A1897" i="13"/>
  <c r="H1896" i="13"/>
  <c r="U1896" i="13" s="1"/>
  <c r="A1896" i="13"/>
  <c r="H1895" i="13"/>
  <c r="U1895" i="13" s="1"/>
  <c r="A1895" i="13"/>
  <c r="H1894" i="13"/>
  <c r="U1894" i="13" s="1"/>
  <c r="A1894" i="13"/>
  <c r="H1893" i="13"/>
  <c r="U1893" i="13" s="1"/>
  <c r="A1893" i="13"/>
  <c r="U1892" i="13"/>
  <c r="H1892" i="13"/>
  <c r="A1892" i="13"/>
  <c r="U1891" i="13"/>
  <c r="H1891" i="13"/>
  <c r="A1891" i="13"/>
  <c r="H1890" i="13"/>
  <c r="U1890" i="13" s="1"/>
  <c r="A1890" i="13"/>
  <c r="H1889" i="13"/>
  <c r="U1889" i="13" s="1"/>
  <c r="A1889" i="13"/>
  <c r="H1888" i="13"/>
  <c r="U1888" i="13" s="1"/>
  <c r="A1888" i="13"/>
  <c r="H1887" i="13"/>
  <c r="U1887" i="13" s="1"/>
  <c r="A1887" i="13"/>
  <c r="H1886" i="13"/>
  <c r="U1886" i="13" s="1"/>
  <c r="A1886" i="13"/>
  <c r="H1885" i="13"/>
  <c r="U1885" i="13" s="1"/>
  <c r="A1885" i="13"/>
  <c r="H1884" i="13"/>
  <c r="U1884" i="13" s="1"/>
  <c r="A1884" i="13"/>
  <c r="U1883" i="13"/>
  <c r="H1883" i="13"/>
  <c r="A1883" i="13"/>
  <c r="H1882" i="13"/>
  <c r="U1882" i="13" s="1"/>
  <c r="A1882" i="13"/>
  <c r="H1881" i="13"/>
  <c r="U1881" i="13" s="1"/>
  <c r="A1881" i="13"/>
  <c r="H1880" i="13"/>
  <c r="U1880" i="13" s="1"/>
  <c r="A1880" i="13"/>
  <c r="H1879" i="13"/>
  <c r="U1879" i="13" s="1"/>
  <c r="A1879" i="13"/>
  <c r="U1878" i="13"/>
  <c r="H1878" i="13"/>
  <c r="A1878" i="13"/>
  <c r="H1877" i="13"/>
  <c r="U1877" i="13" s="1"/>
  <c r="A1877" i="13"/>
  <c r="H1876" i="13"/>
  <c r="U1876" i="13" s="1"/>
  <c r="A1876" i="13"/>
  <c r="H1875" i="13"/>
  <c r="U1875" i="13" s="1"/>
  <c r="A1875" i="13"/>
  <c r="H1874" i="13"/>
  <c r="U1874" i="13" s="1"/>
  <c r="A1874" i="13"/>
  <c r="H1873" i="13"/>
  <c r="U1873" i="13" s="1"/>
  <c r="A1873" i="13"/>
  <c r="H1872" i="13"/>
  <c r="U1872" i="13" s="1"/>
  <c r="A1872" i="13"/>
  <c r="H1871" i="13"/>
  <c r="U1871" i="13" s="1"/>
  <c r="A1871" i="13"/>
  <c r="H1870" i="13"/>
  <c r="U1870" i="13" s="1"/>
  <c r="A1870" i="13"/>
  <c r="H1869" i="13"/>
  <c r="U1869" i="13" s="1"/>
  <c r="A1869" i="13"/>
  <c r="H1868" i="13"/>
  <c r="U1868" i="13" s="1"/>
  <c r="A1868" i="13"/>
  <c r="H1867" i="13"/>
  <c r="U1867" i="13" s="1"/>
  <c r="A1867" i="13"/>
  <c r="H1866" i="13"/>
  <c r="U1866" i="13" s="1"/>
  <c r="A1866" i="13"/>
  <c r="H1865" i="13"/>
  <c r="U1865" i="13" s="1"/>
  <c r="A1865" i="13"/>
  <c r="H1864" i="13"/>
  <c r="U1864" i="13" s="1"/>
  <c r="A1864" i="13"/>
  <c r="H1863" i="13"/>
  <c r="U1863" i="13" s="1"/>
  <c r="A1863" i="13"/>
  <c r="H1862" i="13"/>
  <c r="U1862" i="13" s="1"/>
  <c r="A1862" i="13"/>
  <c r="H1861" i="13"/>
  <c r="U1861" i="13" s="1"/>
  <c r="A1861" i="13"/>
  <c r="H1860" i="13"/>
  <c r="U1860" i="13" s="1"/>
  <c r="A1860" i="13"/>
  <c r="H1859" i="13"/>
  <c r="U1859" i="13" s="1"/>
  <c r="A1859" i="13"/>
  <c r="H1858" i="13"/>
  <c r="U1858" i="13" s="1"/>
  <c r="A1858" i="13"/>
  <c r="H1857" i="13"/>
  <c r="U1857" i="13" s="1"/>
  <c r="A1857" i="13"/>
  <c r="H1856" i="13"/>
  <c r="U1856" i="13" s="1"/>
  <c r="A1856" i="13"/>
  <c r="H1855" i="13"/>
  <c r="U1855" i="13" s="1"/>
  <c r="A1855" i="13"/>
  <c r="H1854" i="13"/>
  <c r="U1854" i="13" s="1"/>
  <c r="A1854" i="13"/>
  <c r="U1853" i="13"/>
  <c r="H1853" i="13"/>
  <c r="A1853" i="13"/>
  <c r="H1852" i="13"/>
  <c r="U1852" i="13" s="1"/>
  <c r="A1852" i="13"/>
  <c r="H1851" i="13"/>
  <c r="U1851" i="13" s="1"/>
  <c r="A1851" i="13"/>
  <c r="H1850" i="13"/>
  <c r="U1850" i="13" s="1"/>
  <c r="A1850" i="13"/>
  <c r="H1849" i="13"/>
  <c r="U1849" i="13" s="1"/>
  <c r="A1849" i="13"/>
  <c r="H1848" i="13"/>
  <c r="U1848" i="13" s="1"/>
  <c r="A1848" i="13"/>
  <c r="H1847" i="13"/>
  <c r="U1847" i="13" s="1"/>
  <c r="A1847" i="13"/>
  <c r="H1846" i="13"/>
  <c r="U1846" i="13" s="1"/>
  <c r="A1846" i="13"/>
  <c r="H1845" i="13"/>
  <c r="U1845" i="13" s="1"/>
  <c r="A1845" i="13"/>
  <c r="H1844" i="13"/>
  <c r="U1844" i="13" s="1"/>
  <c r="A1844" i="13"/>
  <c r="U1843" i="13"/>
  <c r="H1843" i="13"/>
  <c r="A1843" i="13"/>
  <c r="U1842" i="13"/>
  <c r="H1842" i="13"/>
  <c r="A1842" i="13"/>
  <c r="H1841" i="13"/>
  <c r="U1841" i="13" s="1"/>
  <c r="A1841" i="13"/>
  <c r="H1840" i="13"/>
  <c r="U1840" i="13" s="1"/>
  <c r="A1840" i="13"/>
  <c r="H1839" i="13"/>
  <c r="U1839" i="13" s="1"/>
  <c r="A1839" i="13"/>
  <c r="H1838" i="13"/>
  <c r="U1838" i="13" s="1"/>
  <c r="A1838" i="13"/>
  <c r="H1837" i="13"/>
  <c r="U1837" i="13" s="1"/>
  <c r="A1837" i="13"/>
  <c r="H1836" i="13"/>
  <c r="U1836" i="13" s="1"/>
  <c r="A1836" i="13"/>
  <c r="H1835" i="13"/>
  <c r="U1835" i="13" s="1"/>
  <c r="A1835" i="13"/>
  <c r="H1834" i="13"/>
  <c r="U1834" i="13" s="1"/>
  <c r="A1834" i="13"/>
  <c r="H1833" i="13"/>
  <c r="U1833" i="13" s="1"/>
  <c r="A1833" i="13"/>
  <c r="H1832" i="13"/>
  <c r="U1832" i="13" s="1"/>
  <c r="A1832" i="13"/>
  <c r="H1831" i="13"/>
  <c r="U1831" i="13" s="1"/>
  <c r="A1831" i="13"/>
  <c r="H1830" i="13"/>
  <c r="U1830" i="13" s="1"/>
  <c r="A1830" i="13"/>
  <c r="H1829" i="13"/>
  <c r="U1829" i="13" s="1"/>
  <c r="A1829" i="13"/>
  <c r="H1828" i="13"/>
  <c r="U1828" i="13" s="1"/>
  <c r="A1828" i="13"/>
  <c r="H1827" i="13"/>
  <c r="U1827" i="13" s="1"/>
  <c r="A1827" i="13"/>
  <c r="H1826" i="13"/>
  <c r="U1826" i="13" s="1"/>
  <c r="A1826" i="13"/>
  <c r="H1825" i="13"/>
  <c r="U1825" i="13" s="1"/>
  <c r="A1825" i="13"/>
  <c r="H1824" i="13"/>
  <c r="U1824" i="13" s="1"/>
  <c r="A1824" i="13"/>
  <c r="H1823" i="13"/>
  <c r="U1823" i="13" s="1"/>
  <c r="A1823" i="13"/>
  <c r="H1822" i="13"/>
  <c r="U1822" i="13" s="1"/>
  <c r="A1822" i="13"/>
  <c r="H1821" i="13"/>
  <c r="U1821" i="13" s="1"/>
  <c r="A1821" i="13"/>
  <c r="H1820" i="13"/>
  <c r="U1820" i="13" s="1"/>
  <c r="A1820" i="13"/>
  <c r="H1819" i="13"/>
  <c r="U1819" i="13" s="1"/>
  <c r="A1819" i="13"/>
  <c r="H1818" i="13"/>
  <c r="U1818" i="13" s="1"/>
  <c r="A1818" i="13"/>
  <c r="U1817" i="13"/>
  <c r="H1817" i="13"/>
  <c r="A1817" i="13"/>
  <c r="H1816" i="13"/>
  <c r="U1816" i="13" s="1"/>
  <c r="A1816" i="13"/>
  <c r="H1815" i="13"/>
  <c r="U1815" i="13" s="1"/>
  <c r="A1815" i="13"/>
  <c r="H1814" i="13"/>
  <c r="U1814" i="13" s="1"/>
  <c r="A1814" i="13"/>
  <c r="H1813" i="13"/>
  <c r="U1813" i="13" s="1"/>
  <c r="A1813" i="13"/>
  <c r="H1812" i="13"/>
  <c r="U1812" i="13" s="1"/>
  <c r="A1812" i="13"/>
  <c r="H1811" i="13"/>
  <c r="U1811" i="13" s="1"/>
  <c r="A1811" i="13"/>
  <c r="H1810" i="13"/>
  <c r="U1810" i="13" s="1"/>
  <c r="A1810" i="13"/>
  <c r="H1809" i="13"/>
  <c r="U1809" i="13" s="1"/>
  <c r="A1809" i="13"/>
  <c r="H1808" i="13"/>
  <c r="U1808" i="13" s="1"/>
  <c r="A1808" i="13"/>
  <c r="U1807" i="13"/>
  <c r="H1807" i="13"/>
  <c r="A1807" i="13"/>
  <c r="H1806" i="13"/>
  <c r="U1806" i="13" s="1"/>
  <c r="A1806" i="13"/>
  <c r="H1805" i="13"/>
  <c r="U1805" i="13" s="1"/>
  <c r="A1805" i="13"/>
  <c r="H1804" i="13"/>
  <c r="U1804" i="13" s="1"/>
  <c r="A1804" i="13"/>
  <c r="U1803" i="13"/>
  <c r="H1803" i="13"/>
  <c r="A1803" i="13"/>
  <c r="H1802" i="13"/>
  <c r="U1802" i="13" s="1"/>
  <c r="A1802" i="13"/>
  <c r="H1801" i="13"/>
  <c r="U1801" i="13" s="1"/>
  <c r="A1801" i="13"/>
  <c r="H1800" i="13"/>
  <c r="U1800" i="13" s="1"/>
  <c r="A1800" i="13"/>
  <c r="U1799" i="13"/>
  <c r="H1799" i="13"/>
  <c r="A1799" i="13"/>
  <c r="H1798" i="13"/>
  <c r="U1798" i="13" s="1"/>
  <c r="A1798" i="13"/>
  <c r="H1797" i="13"/>
  <c r="U1797" i="13" s="1"/>
  <c r="A1797" i="13"/>
  <c r="H1796" i="13"/>
  <c r="U1796" i="13" s="1"/>
  <c r="A1796" i="13"/>
  <c r="U1795" i="13"/>
  <c r="H1795" i="13"/>
  <c r="A1795" i="13"/>
  <c r="H1794" i="13"/>
  <c r="U1794" i="13" s="1"/>
  <c r="A1794" i="13"/>
  <c r="H1793" i="13"/>
  <c r="U1793" i="13" s="1"/>
  <c r="A1793" i="13"/>
  <c r="H1792" i="13"/>
  <c r="U1792" i="13" s="1"/>
  <c r="A1792" i="13"/>
  <c r="U1791" i="13"/>
  <c r="H1791" i="13"/>
  <c r="A1791" i="13"/>
  <c r="H1790" i="13"/>
  <c r="U1790" i="13" s="1"/>
  <c r="A1790" i="13"/>
  <c r="H1789" i="13"/>
  <c r="U1789" i="13" s="1"/>
  <c r="A1789" i="13"/>
  <c r="H1788" i="13"/>
  <c r="U1788" i="13" s="1"/>
  <c r="A1788" i="13"/>
  <c r="U1787" i="13"/>
  <c r="H1787" i="13"/>
  <c r="A1787" i="13"/>
  <c r="H1786" i="13"/>
  <c r="U1786" i="13" s="1"/>
  <c r="A1786" i="13"/>
  <c r="H1785" i="13"/>
  <c r="U1785" i="13" s="1"/>
  <c r="A1785" i="13"/>
  <c r="H1784" i="13"/>
  <c r="U1784" i="13" s="1"/>
  <c r="A1784" i="13"/>
  <c r="U1783" i="13"/>
  <c r="H1783" i="13"/>
  <c r="A1783" i="13"/>
  <c r="H1782" i="13"/>
  <c r="U1782" i="13" s="1"/>
  <c r="A1782" i="13"/>
  <c r="H1781" i="13"/>
  <c r="U1781" i="13" s="1"/>
  <c r="A1781" i="13"/>
  <c r="H1780" i="13"/>
  <c r="U1780" i="13" s="1"/>
  <c r="A1780" i="13"/>
  <c r="U1779" i="13"/>
  <c r="H1779" i="13"/>
  <c r="A1779" i="13"/>
  <c r="H1778" i="13"/>
  <c r="U1778" i="13" s="1"/>
  <c r="A1778" i="13"/>
  <c r="H1777" i="13"/>
  <c r="U1777" i="13" s="1"/>
  <c r="A1777" i="13"/>
  <c r="H1776" i="13"/>
  <c r="U1776" i="13" s="1"/>
  <c r="A1776" i="13"/>
  <c r="H1775" i="13"/>
  <c r="U1775" i="13" s="1"/>
  <c r="A1775" i="13"/>
  <c r="H1774" i="13"/>
  <c r="U1774" i="13" s="1"/>
  <c r="A1774" i="13"/>
  <c r="H1773" i="13"/>
  <c r="U1773" i="13" s="1"/>
  <c r="A1773" i="13"/>
  <c r="H1772" i="13"/>
  <c r="U1772" i="13" s="1"/>
  <c r="A1772" i="13"/>
  <c r="H1771" i="13"/>
  <c r="U1771" i="13" s="1"/>
  <c r="A1771" i="13"/>
  <c r="H1770" i="13"/>
  <c r="U1770" i="13" s="1"/>
  <c r="A1770" i="13"/>
  <c r="U1769" i="13"/>
  <c r="H1769" i="13"/>
  <c r="A1769" i="13"/>
  <c r="H1768" i="13"/>
  <c r="U1768" i="13" s="1"/>
  <c r="A1768" i="13"/>
  <c r="U1767" i="13"/>
  <c r="H1767" i="13"/>
  <c r="A1767" i="13"/>
  <c r="H1766" i="13"/>
  <c r="U1766" i="13" s="1"/>
  <c r="A1766" i="13"/>
  <c r="H1765" i="13"/>
  <c r="U1765" i="13" s="1"/>
  <c r="A1765" i="13"/>
  <c r="H1764" i="13"/>
  <c r="U1764" i="13" s="1"/>
  <c r="A1764" i="13"/>
  <c r="H1763" i="13"/>
  <c r="U1763" i="13" s="1"/>
  <c r="A1763" i="13"/>
  <c r="H1762" i="13"/>
  <c r="U1762" i="13" s="1"/>
  <c r="A1762" i="13"/>
  <c r="H1761" i="13"/>
  <c r="U1761" i="13" s="1"/>
  <c r="A1761" i="13"/>
  <c r="H1760" i="13"/>
  <c r="U1760" i="13" s="1"/>
  <c r="A1760" i="13"/>
  <c r="U1759" i="13"/>
  <c r="H1759" i="13"/>
  <c r="A1759" i="13"/>
  <c r="H1758" i="13"/>
  <c r="U1758" i="13" s="1"/>
  <c r="A1758" i="13"/>
  <c r="H1757" i="13"/>
  <c r="U1757" i="13" s="1"/>
  <c r="A1757" i="13"/>
  <c r="H1756" i="13"/>
  <c r="U1756" i="13" s="1"/>
  <c r="A1756" i="13"/>
  <c r="U1755" i="13"/>
  <c r="H1755" i="13"/>
  <c r="A1755" i="13"/>
  <c r="H1754" i="13"/>
  <c r="U1754" i="13" s="1"/>
  <c r="A1754" i="13"/>
  <c r="H1753" i="13"/>
  <c r="U1753" i="13" s="1"/>
  <c r="A1753" i="13"/>
  <c r="H1752" i="13"/>
  <c r="U1752" i="13" s="1"/>
  <c r="A1752" i="13"/>
  <c r="H1751" i="13"/>
  <c r="U1751" i="13" s="1"/>
  <c r="A1751" i="13"/>
  <c r="H1750" i="13"/>
  <c r="U1750" i="13" s="1"/>
  <c r="A1750" i="13"/>
  <c r="H1749" i="13"/>
  <c r="U1749" i="13" s="1"/>
  <c r="A1749" i="13"/>
  <c r="H1748" i="13"/>
  <c r="U1748" i="13" s="1"/>
  <c r="A1748" i="13"/>
  <c r="H1747" i="13"/>
  <c r="U1747" i="13" s="1"/>
  <c r="A1747" i="13"/>
  <c r="H1746" i="13"/>
  <c r="U1746" i="13" s="1"/>
  <c r="A1746" i="13"/>
  <c r="U1745" i="13"/>
  <c r="H1745" i="13"/>
  <c r="A1745" i="13"/>
  <c r="H1744" i="13"/>
  <c r="U1744" i="13" s="1"/>
  <c r="A1744" i="13"/>
  <c r="H1743" i="13"/>
  <c r="U1743" i="13" s="1"/>
  <c r="A1743" i="13"/>
  <c r="H1742" i="13"/>
  <c r="U1742" i="13" s="1"/>
  <c r="A1742" i="13"/>
  <c r="H1741" i="13"/>
  <c r="U1741" i="13" s="1"/>
  <c r="A1741" i="13"/>
  <c r="H1740" i="13"/>
  <c r="U1740" i="13" s="1"/>
  <c r="A1740" i="13"/>
  <c r="U1739" i="13"/>
  <c r="H1739" i="13"/>
  <c r="A1739" i="13"/>
  <c r="H1738" i="13"/>
  <c r="U1738" i="13" s="1"/>
  <c r="A1738" i="13"/>
  <c r="H1737" i="13"/>
  <c r="U1737" i="13" s="1"/>
  <c r="A1737" i="13"/>
  <c r="H1736" i="13"/>
  <c r="U1736" i="13" s="1"/>
  <c r="A1736" i="13"/>
  <c r="U1735" i="13"/>
  <c r="H1735" i="13"/>
  <c r="A1735" i="13"/>
  <c r="H1734" i="13"/>
  <c r="U1734" i="13" s="1"/>
  <c r="A1734" i="13"/>
  <c r="H1733" i="13"/>
  <c r="U1733" i="13" s="1"/>
  <c r="A1733" i="13"/>
  <c r="H1732" i="13"/>
  <c r="U1732" i="13" s="1"/>
  <c r="A1732" i="13"/>
  <c r="U1731" i="13"/>
  <c r="H1731" i="13"/>
  <c r="A1731" i="13"/>
  <c r="H1730" i="13"/>
  <c r="U1730" i="13" s="1"/>
  <c r="A1730" i="13"/>
  <c r="U1729" i="13"/>
  <c r="H1729" i="13"/>
  <c r="A1729" i="13"/>
  <c r="H1728" i="13"/>
  <c r="U1728" i="13" s="1"/>
  <c r="A1728" i="13"/>
  <c r="H1727" i="13"/>
  <c r="U1727" i="13" s="1"/>
  <c r="A1727" i="13"/>
  <c r="H1726" i="13"/>
  <c r="U1726" i="13" s="1"/>
  <c r="A1726" i="13"/>
  <c r="H1725" i="13"/>
  <c r="U1725" i="13" s="1"/>
  <c r="A1725" i="13"/>
  <c r="H1724" i="13"/>
  <c r="U1724" i="13" s="1"/>
  <c r="A1724" i="13"/>
  <c r="H1723" i="13"/>
  <c r="U1723" i="13" s="1"/>
  <c r="A1723" i="13"/>
  <c r="H1722" i="13"/>
  <c r="U1722" i="13" s="1"/>
  <c r="A1722" i="13"/>
  <c r="U1721" i="13"/>
  <c r="H1721" i="13"/>
  <c r="A1721" i="13"/>
  <c r="H1720" i="13"/>
  <c r="U1720" i="13" s="1"/>
  <c r="A1720" i="13"/>
  <c r="U1719" i="13"/>
  <c r="H1719" i="13"/>
  <c r="A1719" i="13"/>
  <c r="H1718" i="13"/>
  <c r="U1718" i="13" s="1"/>
  <c r="A1718" i="13"/>
  <c r="H1717" i="13"/>
  <c r="U1717" i="13" s="1"/>
  <c r="A1717" i="13"/>
  <c r="H1716" i="13"/>
  <c r="U1716" i="13" s="1"/>
  <c r="A1716" i="13"/>
  <c r="H1715" i="13"/>
  <c r="U1715" i="13" s="1"/>
  <c r="A1715" i="13"/>
  <c r="H1714" i="13"/>
  <c r="U1714" i="13" s="1"/>
  <c r="A1714" i="13"/>
  <c r="H1713" i="13"/>
  <c r="U1713" i="13" s="1"/>
  <c r="A1713" i="13"/>
  <c r="H1712" i="13"/>
  <c r="U1712" i="13" s="1"/>
  <c r="A1712" i="13"/>
  <c r="U1711" i="13"/>
  <c r="H1711" i="13"/>
  <c r="A1711" i="13"/>
  <c r="H1710" i="13"/>
  <c r="U1710" i="13" s="1"/>
  <c r="A1710" i="13"/>
  <c r="H1709" i="13"/>
  <c r="U1709" i="13" s="1"/>
  <c r="A1709" i="13"/>
  <c r="H1708" i="13"/>
  <c r="U1708" i="13" s="1"/>
  <c r="A1708" i="13"/>
  <c r="U1707" i="13"/>
  <c r="H1707" i="13"/>
  <c r="A1707" i="13"/>
  <c r="H1706" i="13"/>
  <c r="U1706" i="13" s="1"/>
  <c r="A1706" i="13"/>
  <c r="H1705" i="13"/>
  <c r="U1705" i="13" s="1"/>
  <c r="A1705" i="13"/>
  <c r="H1704" i="13"/>
  <c r="U1704" i="13" s="1"/>
  <c r="A1704" i="13"/>
  <c r="H1703" i="13"/>
  <c r="U1703" i="13" s="1"/>
  <c r="A1703" i="13"/>
  <c r="H1702" i="13"/>
  <c r="U1702" i="13" s="1"/>
  <c r="A1702" i="13"/>
  <c r="H1701" i="13"/>
  <c r="U1701" i="13" s="1"/>
  <c r="A1701" i="13"/>
  <c r="H1700" i="13"/>
  <c r="U1700" i="13" s="1"/>
  <c r="A1700" i="13"/>
  <c r="H1699" i="13"/>
  <c r="U1699" i="13" s="1"/>
  <c r="A1699" i="13"/>
  <c r="H1698" i="13"/>
  <c r="U1698" i="13" s="1"/>
  <c r="A1698" i="13"/>
  <c r="U1697" i="13"/>
  <c r="H1697" i="13"/>
  <c r="A1697" i="13"/>
  <c r="H1696" i="13"/>
  <c r="U1696" i="13" s="1"/>
  <c r="A1696" i="13"/>
  <c r="H1695" i="13"/>
  <c r="U1695" i="13" s="1"/>
  <c r="A1695" i="13"/>
  <c r="H1694" i="13"/>
  <c r="U1694" i="13" s="1"/>
  <c r="A1694" i="13"/>
  <c r="H1693" i="13"/>
  <c r="U1693" i="13" s="1"/>
  <c r="A1693" i="13"/>
  <c r="H1692" i="13"/>
  <c r="U1692" i="13" s="1"/>
  <c r="A1692" i="13"/>
  <c r="U1691" i="13"/>
  <c r="H1691" i="13"/>
  <c r="A1691" i="13"/>
  <c r="H1690" i="13"/>
  <c r="U1690" i="13" s="1"/>
  <c r="A1690" i="13"/>
  <c r="H1689" i="13"/>
  <c r="U1689" i="13" s="1"/>
  <c r="A1689" i="13"/>
  <c r="H1688" i="13"/>
  <c r="U1688" i="13" s="1"/>
  <c r="A1688" i="13"/>
  <c r="U1687" i="13"/>
  <c r="H1687" i="13"/>
  <c r="A1687" i="13"/>
  <c r="H1686" i="13"/>
  <c r="U1686" i="13" s="1"/>
  <c r="A1686" i="13"/>
  <c r="H1685" i="13"/>
  <c r="U1685" i="13" s="1"/>
  <c r="A1685" i="13"/>
  <c r="H1684" i="13"/>
  <c r="U1684" i="13" s="1"/>
  <c r="A1684" i="13"/>
  <c r="U1683" i="13"/>
  <c r="H1683" i="13"/>
  <c r="A1683" i="13"/>
  <c r="H1682" i="13"/>
  <c r="U1682" i="13" s="1"/>
  <c r="A1682" i="13"/>
  <c r="U1681" i="13"/>
  <c r="H1681" i="13"/>
  <c r="A1681" i="13"/>
  <c r="H1680" i="13"/>
  <c r="U1680" i="13" s="1"/>
  <c r="A1680" i="13"/>
  <c r="H1679" i="13"/>
  <c r="U1679" i="13" s="1"/>
  <c r="A1679" i="13"/>
  <c r="H1678" i="13"/>
  <c r="U1678" i="13" s="1"/>
  <c r="A1678" i="13"/>
  <c r="H1677" i="13"/>
  <c r="U1677" i="13" s="1"/>
  <c r="A1677" i="13"/>
  <c r="H1676" i="13"/>
  <c r="U1676" i="13" s="1"/>
  <c r="A1676" i="13"/>
  <c r="H1675" i="13"/>
  <c r="U1675" i="13" s="1"/>
  <c r="A1675" i="13"/>
  <c r="H1674" i="13"/>
  <c r="U1674" i="13" s="1"/>
  <c r="A1674" i="13"/>
  <c r="U1673" i="13"/>
  <c r="H1673" i="13"/>
  <c r="A1673" i="13"/>
  <c r="H1672" i="13"/>
  <c r="U1672" i="13" s="1"/>
  <c r="A1672" i="13"/>
  <c r="U1671" i="13"/>
  <c r="H1671" i="13"/>
  <c r="A1671" i="13"/>
  <c r="H1670" i="13"/>
  <c r="U1670" i="13" s="1"/>
  <c r="A1670" i="13"/>
  <c r="H1669" i="13"/>
  <c r="U1669" i="13" s="1"/>
  <c r="A1669" i="13"/>
  <c r="H1668" i="13"/>
  <c r="U1668" i="13" s="1"/>
  <c r="A1668" i="13"/>
  <c r="H1667" i="13"/>
  <c r="U1667" i="13" s="1"/>
  <c r="A1667" i="13"/>
  <c r="H1666" i="13"/>
  <c r="U1666" i="13" s="1"/>
  <c r="A1666" i="13"/>
  <c r="H1665" i="13"/>
  <c r="U1665" i="13" s="1"/>
  <c r="A1665" i="13"/>
  <c r="H1664" i="13"/>
  <c r="U1664" i="13" s="1"/>
  <c r="A1664" i="13"/>
  <c r="U1663" i="13"/>
  <c r="H1663" i="13"/>
  <c r="A1663" i="13"/>
  <c r="H1662" i="13"/>
  <c r="U1662" i="13" s="1"/>
  <c r="A1662" i="13"/>
  <c r="H1661" i="13"/>
  <c r="U1661" i="13" s="1"/>
  <c r="A1661" i="13"/>
  <c r="H1660" i="13"/>
  <c r="U1660" i="13" s="1"/>
  <c r="A1660" i="13"/>
  <c r="U1659" i="13"/>
  <c r="H1659" i="13"/>
  <c r="A1659" i="13"/>
  <c r="H1658" i="13"/>
  <c r="U1658" i="13" s="1"/>
  <c r="A1658" i="13"/>
  <c r="H1657" i="13"/>
  <c r="U1657" i="13" s="1"/>
  <c r="A1657" i="13"/>
  <c r="H1656" i="13"/>
  <c r="U1656" i="13" s="1"/>
  <c r="A1656" i="13"/>
  <c r="H1655" i="13"/>
  <c r="U1655" i="13" s="1"/>
  <c r="A1655" i="13"/>
  <c r="H1654" i="13"/>
  <c r="U1654" i="13" s="1"/>
  <c r="A1654" i="13"/>
  <c r="H1653" i="13"/>
  <c r="U1653" i="13" s="1"/>
  <c r="A1653" i="13"/>
  <c r="H1652" i="13"/>
  <c r="U1652" i="13" s="1"/>
  <c r="A1652" i="13"/>
  <c r="H1651" i="13"/>
  <c r="U1651" i="13" s="1"/>
  <c r="A1651" i="13"/>
  <c r="H1650" i="13"/>
  <c r="U1650" i="13" s="1"/>
  <c r="A1650" i="13"/>
  <c r="U1649" i="13"/>
  <c r="H1649" i="13"/>
  <c r="A1649" i="13"/>
  <c r="H1648" i="13"/>
  <c r="U1648" i="13" s="1"/>
  <c r="A1648" i="13"/>
  <c r="H1647" i="13"/>
  <c r="U1647" i="13" s="1"/>
  <c r="A1647" i="13"/>
  <c r="H1646" i="13"/>
  <c r="U1646" i="13" s="1"/>
  <c r="A1646" i="13"/>
  <c r="H1645" i="13"/>
  <c r="U1645" i="13" s="1"/>
  <c r="A1645" i="13"/>
  <c r="H1644" i="13"/>
  <c r="U1644" i="13" s="1"/>
  <c r="A1644" i="13"/>
  <c r="U1643" i="13"/>
  <c r="H1643" i="13"/>
  <c r="A1643" i="13"/>
  <c r="H1642" i="13"/>
  <c r="U1642" i="13" s="1"/>
  <c r="A1642" i="13"/>
  <c r="H1641" i="13"/>
  <c r="U1641" i="13" s="1"/>
  <c r="A1641" i="13"/>
  <c r="H1640" i="13"/>
  <c r="U1640" i="13" s="1"/>
  <c r="A1640" i="13"/>
  <c r="U1639" i="13"/>
  <c r="H1639" i="13"/>
  <c r="A1639" i="13"/>
  <c r="H1638" i="13"/>
  <c r="U1638" i="13" s="1"/>
  <c r="A1638" i="13"/>
  <c r="H1637" i="13"/>
  <c r="U1637" i="13" s="1"/>
  <c r="A1637" i="13"/>
  <c r="H1636" i="13"/>
  <c r="U1636" i="13" s="1"/>
  <c r="A1636" i="13"/>
  <c r="U1635" i="13"/>
  <c r="H1635" i="13"/>
  <c r="A1635" i="13"/>
  <c r="H1634" i="13"/>
  <c r="U1634" i="13" s="1"/>
  <c r="A1634" i="13"/>
  <c r="U1633" i="13"/>
  <c r="H1633" i="13"/>
  <c r="A1633" i="13"/>
  <c r="H1632" i="13"/>
  <c r="U1632" i="13" s="1"/>
  <c r="A1632" i="13"/>
  <c r="H1631" i="13"/>
  <c r="U1631" i="13" s="1"/>
  <c r="A1631" i="13"/>
  <c r="H1630" i="13"/>
  <c r="U1630" i="13" s="1"/>
  <c r="A1630" i="13"/>
  <c r="H1629" i="13"/>
  <c r="U1629" i="13" s="1"/>
  <c r="A1629" i="13"/>
  <c r="H1628" i="13"/>
  <c r="U1628" i="13" s="1"/>
  <c r="A1628" i="13"/>
  <c r="H1627" i="13"/>
  <c r="U1627" i="13" s="1"/>
  <c r="A1627" i="13"/>
  <c r="H1626" i="13"/>
  <c r="U1626" i="13" s="1"/>
  <c r="A1626" i="13"/>
  <c r="U1625" i="13"/>
  <c r="H1625" i="13"/>
  <c r="A1625" i="13"/>
  <c r="H1624" i="13"/>
  <c r="U1624" i="13" s="1"/>
  <c r="A1624" i="13"/>
  <c r="U1623" i="13"/>
  <c r="H1623" i="13"/>
  <c r="A1623" i="13"/>
  <c r="H1622" i="13"/>
  <c r="U1622" i="13" s="1"/>
  <c r="A1622" i="13"/>
  <c r="H1621" i="13"/>
  <c r="U1621" i="13" s="1"/>
  <c r="A1621" i="13"/>
  <c r="H1620" i="13"/>
  <c r="U1620" i="13" s="1"/>
  <c r="A1620" i="13"/>
  <c r="H1619" i="13"/>
  <c r="U1619" i="13" s="1"/>
  <c r="A1619" i="13"/>
  <c r="H1618" i="13"/>
  <c r="U1618" i="13" s="1"/>
  <c r="A1618" i="13"/>
  <c r="H1617" i="13"/>
  <c r="U1617" i="13" s="1"/>
  <c r="A1617" i="13"/>
  <c r="H1616" i="13"/>
  <c r="U1616" i="13" s="1"/>
  <c r="A1616" i="13"/>
  <c r="U1615" i="13"/>
  <c r="H1615" i="13"/>
  <c r="A1615" i="13"/>
  <c r="H1614" i="13"/>
  <c r="U1614" i="13" s="1"/>
  <c r="A1614" i="13"/>
  <c r="H1613" i="13"/>
  <c r="U1613" i="13" s="1"/>
  <c r="A1613" i="13"/>
  <c r="H1612" i="13"/>
  <c r="U1612" i="13" s="1"/>
  <c r="A1612" i="13"/>
  <c r="U1611" i="13"/>
  <c r="H1611" i="13"/>
  <c r="A1611" i="13"/>
  <c r="H1610" i="13"/>
  <c r="U1610" i="13" s="1"/>
  <c r="A1610" i="13"/>
  <c r="H1609" i="13"/>
  <c r="U1609" i="13" s="1"/>
  <c r="A1609" i="13"/>
  <c r="H1608" i="13"/>
  <c r="U1608" i="13" s="1"/>
  <c r="A1608" i="13"/>
  <c r="H1607" i="13"/>
  <c r="U1607" i="13" s="1"/>
  <c r="A1607" i="13"/>
  <c r="H1606" i="13"/>
  <c r="U1606" i="13" s="1"/>
  <c r="A1606" i="13"/>
  <c r="H1605" i="13"/>
  <c r="U1605" i="13" s="1"/>
  <c r="A1605" i="13"/>
  <c r="H1604" i="13"/>
  <c r="U1604" i="13" s="1"/>
  <c r="A1604" i="13"/>
  <c r="H1603" i="13"/>
  <c r="U1603" i="13" s="1"/>
  <c r="A1603" i="13"/>
  <c r="H1602" i="13"/>
  <c r="U1602" i="13" s="1"/>
  <c r="A1602" i="13"/>
  <c r="U1601" i="13"/>
  <c r="H1601" i="13"/>
  <c r="A1601" i="13"/>
  <c r="H1600" i="13"/>
  <c r="U1600" i="13" s="1"/>
  <c r="A1600" i="13"/>
  <c r="H1599" i="13"/>
  <c r="U1599" i="13" s="1"/>
  <c r="A1599" i="13"/>
  <c r="H1598" i="13"/>
  <c r="U1598" i="13" s="1"/>
  <c r="A1598" i="13"/>
  <c r="H1597" i="13"/>
  <c r="U1597" i="13" s="1"/>
  <c r="A1597" i="13"/>
  <c r="H1596" i="13"/>
  <c r="U1596" i="13" s="1"/>
  <c r="A1596" i="13"/>
  <c r="U1595" i="13"/>
  <c r="H1595" i="13"/>
  <c r="A1595" i="13"/>
  <c r="H1594" i="13"/>
  <c r="U1594" i="13" s="1"/>
  <c r="A1594" i="13"/>
  <c r="H1593" i="13"/>
  <c r="U1593" i="13" s="1"/>
  <c r="A1593" i="13"/>
  <c r="H1592" i="13"/>
  <c r="U1592" i="13" s="1"/>
  <c r="A1592" i="13"/>
  <c r="U1591" i="13"/>
  <c r="H1591" i="13"/>
  <c r="A1591" i="13"/>
  <c r="H1590" i="13"/>
  <c r="U1590" i="13" s="1"/>
  <c r="A1590" i="13"/>
  <c r="H1589" i="13"/>
  <c r="U1589" i="13" s="1"/>
  <c r="A1589" i="13"/>
  <c r="H1588" i="13"/>
  <c r="U1588" i="13" s="1"/>
  <c r="A1588" i="13"/>
  <c r="U1587" i="13"/>
  <c r="H1587" i="13"/>
  <c r="A1587" i="13"/>
  <c r="H1586" i="13"/>
  <c r="U1586" i="13" s="1"/>
  <c r="A1586" i="13"/>
  <c r="U1585" i="13"/>
  <c r="H1585" i="13"/>
  <c r="A1585" i="13"/>
  <c r="H1584" i="13"/>
  <c r="U1584" i="13" s="1"/>
  <c r="A1584" i="13"/>
  <c r="H1583" i="13"/>
  <c r="U1583" i="13" s="1"/>
  <c r="A1583" i="13"/>
  <c r="H1582" i="13"/>
  <c r="U1582" i="13" s="1"/>
  <c r="A1582" i="13"/>
  <c r="H1581" i="13"/>
  <c r="U1581" i="13" s="1"/>
  <c r="A1581" i="13"/>
  <c r="H1580" i="13"/>
  <c r="U1580" i="13" s="1"/>
  <c r="A1580" i="13"/>
  <c r="H1579" i="13"/>
  <c r="U1579" i="13" s="1"/>
  <c r="A1579" i="13"/>
  <c r="H1578" i="13"/>
  <c r="U1578" i="13" s="1"/>
  <c r="A1578" i="13"/>
  <c r="U1577" i="13"/>
  <c r="H1577" i="13"/>
  <c r="A1577" i="13"/>
  <c r="H1576" i="13"/>
  <c r="U1576" i="13" s="1"/>
  <c r="A1576" i="13"/>
  <c r="U1575" i="13"/>
  <c r="H1575" i="13"/>
  <c r="A1575" i="13"/>
  <c r="H1574" i="13"/>
  <c r="U1574" i="13" s="1"/>
  <c r="A1574" i="13"/>
  <c r="H1573" i="13"/>
  <c r="U1573" i="13" s="1"/>
  <c r="A1573" i="13"/>
  <c r="H1572" i="13"/>
  <c r="U1572" i="13" s="1"/>
  <c r="A1572" i="13"/>
  <c r="H1571" i="13"/>
  <c r="U1571" i="13" s="1"/>
  <c r="A1571" i="13"/>
  <c r="H1570" i="13"/>
  <c r="U1570" i="13" s="1"/>
  <c r="A1570" i="13"/>
  <c r="H1569" i="13"/>
  <c r="U1569" i="13" s="1"/>
  <c r="A1569" i="13"/>
  <c r="H1568" i="13"/>
  <c r="U1568" i="13" s="1"/>
  <c r="A1568" i="13"/>
  <c r="U1567" i="13"/>
  <c r="H1567" i="13"/>
  <c r="A1567" i="13"/>
  <c r="H1566" i="13"/>
  <c r="U1566" i="13" s="1"/>
  <c r="A1566" i="13"/>
  <c r="H1565" i="13"/>
  <c r="U1565" i="13" s="1"/>
  <c r="A1565" i="13"/>
  <c r="H1564" i="13"/>
  <c r="U1564" i="13" s="1"/>
  <c r="A1564" i="13"/>
  <c r="U1563" i="13"/>
  <c r="H1563" i="13"/>
  <c r="A1563" i="13"/>
  <c r="H1562" i="13"/>
  <c r="U1562" i="13" s="1"/>
  <c r="A1562" i="13"/>
  <c r="H1561" i="13"/>
  <c r="U1561" i="13" s="1"/>
  <c r="A1561" i="13"/>
  <c r="H1560" i="13"/>
  <c r="U1560" i="13" s="1"/>
  <c r="A1560" i="13"/>
  <c r="H1559" i="13"/>
  <c r="U1559" i="13" s="1"/>
  <c r="A1559" i="13"/>
  <c r="H1558" i="13"/>
  <c r="U1558" i="13" s="1"/>
  <c r="A1558" i="13"/>
  <c r="H1557" i="13"/>
  <c r="U1557" i="13" s="1"/>
  <c r="A1557" i="13"/>
  <c r="H1556" i="13"/>
  <c r="U1556" i="13" s="1"/>
  <c r="A1556" i="13"/>
  <c r="H1555" i="13"/>
  <c r="U1555" i="13" s="1"/>
  <c r="A1555" i="13"/>
  <c r="H1554" i="13"/>
  <c r="U1554" i="13" s="1"/>
  <c r="A1554" i="13"/>
  <c r="U1553" i="13"/>
  <c r="H1553" i="13"/>
  <c r="A1553" i="13"/>
  <c r="H1552" i="13"/>
  <c r="U1552" i="13" s="1"/>
  <c r="A1552" i="13"/>
  <c r="H1551" i="13"/>
  <c r="U1551" i="13" s="1"/>
  <c r="A1551" i="13"/>
  <c r="H1550" i="13"/>
  <c r="U1550" i="13" s="1"/>
  <c r="A1550" i="13"/>
  <c r="H1549" i="13"/>
  <c r="U1549" i="13" s="1"/>
  <c r="A1549" i="13"/>
  <c r="H1548" i="13"/>
  <c r="U1548" i="13" s="1"/>
  <c r="A1548" i="13"/>
  <c r="U1547" i="13"/>
  <c r="H1547" i="13"/>
  <c r="A1547" i="13"/>
  <c r="H1546" i="13"/>
  <c r="U1546" i="13" s="1"/>
  <c r="A1546" i="13"/>
  <c r="H1545" i="13"/>
  <c r="U1545" i="13" s="1"/>
  <c r="A1545" i="13"/>
  <c r="H1544" i="13"/>
  <c r="U1544" i="13" s="1"/>
  <c r="A1544" i="13"/>
  <c r="U1543" i="13"/>
  <c r="H1543" i="13"/>
  <c r="A1543" i="13"/>
  <c r="H1542" i="13"/>
  <c r="U1542" i="13" s="1"/>
  <c r="A1542" i="13"/>
  <c r="H1541" i="13"/>
  <c r="U1541" i="13" s="1"/>
  <c r="A1541" i="13"/>
  <c r="H1540" i="13"/>
  <c r="U1540" i="13" s="1"/>
  <c r="A1540" i="13"/>
  <c r="U1539" i="13"/>
  <c r="H1539" i="13"/>
  <c r="A1539" i="13"/>
  <c r="H1538" i="13"/>
  <c r="U1538" i="13" s="1"/>
  <c r="A1538" i="13"/>
  <c r="U1537" i="13"/>
  <c r="H1537" i="13"/>
  <c r="A1537" i="13"/>
  <c r="H1536" i="13"/>
  <c r="U1536" i="13" s="1"/>
  <c r="A1536" i="13"/>
  <c r="H1535" i="13"/>
  <c r="U1535" i="13" s="1"/>
  <c r="A1535" i="13"/>
  <c r="H1534" i="13"/>
  <c r="U1534" i="13" s="1"/>
  <c r="A1534" i="13"/>
  <c r="H1533" i="13"/>
  <c r="U1533" i="13" s="1"/>
  <c r="A1533" i="13"/>
  <c r="H1532" i="13"/>
  <c r="U1532" i="13" s="1"/>
  <c r="A1532" i="13"/>
  <c r="H1531" i="13"/>
  <c r="U1531" i="13" s="1"/>
  <c r="A1531" i="13"/>
  <c r="H1530" i="13"/>
  <c r="U1530" i="13" s="1"/>
  <c r="A1530" i="13"/>
  <c r="U1529" i="13"/>
  <c r="H1529" i="13"/>
  <c r="A1529" i="13"/>
  <c r="H1528" i="13"/>
  <c r="U1528" i="13" s="1"/>
  <c r="A1528" i="13"/>
  <c r="U1527" i="13"/>
  <c r="H1527" i="13"/>
  <c r="A1527" i="13"/>
  <c r="H1526" i="13"/>
  <c r="U1526" i="13" s="1"/>
  <c r="A1526" i="13"/>
  <c r="H1525" i="13"/>
  <c r="U1525" i="13" s="1"/>
  <c r="A1525" i="13"/>
  <c r="H1524" i="13"/>
  <c r="U1524" i="13" s="1"/>
  <c r="A1524" i="13"/>
  <c r="H1523" i="13"/>
  <c r="U1523" i="13" s="1"/>
  <c r="A1523" i="13"/>
  <c r="H1522" i="13"/>
  <c r="U1522" i="13" s="1"/>
  <c r="A1522" i="13"/>
  <c r="H1521" i="13"/>
  <c r="U1521" i="13" s="1"/>
  <c r="A1521" i="13"/>
  <c r="H1520" i="13"/>
  <c r="U1520" i="13" s="1"/>
  <c r="A1520" i="13"/>
  <c r="U1519" i="13"/>
  <c r="H1519" i="13"/>
  <c r="A1519" i="13"/>
  <c r="H1518" i="13"/>
  <c r="U1518" i="13" s="1"/>
  <c r="A1518" i="13"/>
  <c r="H1517" i="13"/>
  <c r="U1517" i="13" s="1"/>
  <c r="A1517" i="13"/>
  <c r="H1516" i="13"/>
  <c r="U1516" i="13" s="1"/>
  <c r="A1516" i="13"/>
  <c r="U1515" i="13"/>
  <c r="H1515" i="13"/>
  <c r="A1515" i="13"/>
  <c r="H1514" i="13"/>
  <c r="U1514" i="13" s="1"/>
  <c r="A1514" i="13"/>
  <c r="H1513" i="13"/>
  <c r="U1513" i="13" s="1"/>
  <c r="A1513" i="13"/>
  <c r="H1512" i="13"/>
  <c r="U1512" i="13" s="1"/>
  <c r="A1512" i="13"/>
  <c r="H1511" i="13"/>
  <c r="U1511" i="13" s="1"/>
  <c r="A1511" i="13"/>
  <c r="H1510" i="13"/>
  <c r="U1510" i="13" s="1"/>
  <c r="A1510" i="13"/>
  <c r="H1509" i="13"/>
  <c r="U1509" i="13" s="1"/>
  <c r="A1509" i="13"/>
  <c r="H1508" i="13"/>
  <c r="U1508" i="13" s="1"/>
  <c r="A1508" i="13"/>
  <c r="H1507" i="13"/>
  <c r="U1507" i="13" s="1"/>
  <c r="A1507" i="13"/>
  <c r="H1506" i="13"/>
  <c r="U1506" i="13" s="1"/>
  <c r="A1506" i="13"/>
  <c r="U1505" i="13"/>
  <c r="H1505" i="13"/>
  <c r="A1505" i="13"/>
  <c r="H1504" i="13"/>
  <c r="U1504" i="13" s="1"/>
  <c r="A1504" i="13"/>
  <c r="H1503" i="13"/>
  <c r="U1503" i="13" s="1"/>
  <c r="A1503" i="13"/>
  <c r="H1502" i="13"/>
  <c r="U1502" i="13" s="1"/>
  <c r="A1502" i="13"/>
  <c r="H1501" i="13"/>
  <c r="U1501" i="13" s="1"/>
  <c r="A1501" i="13"/>
  <c r="H1500" i="13"/>
  <c r="U1500" i="13" s="1"/>
  <c r="A1500" i="13"/>
  <c r="U1499" i="13"/>
  <c r="H1499" i="13"/>
  <c r="A1499" i="13"/>
  <c r="H1498" i="13"/>
  <c r="U1498" i="13" s="1"/>
  <c r="A1498" i="13"/>
  <c r="H1497" i="13"/>
  <c r="U1497" i="13" s="1"/>
  <c r="A1497" i="13"/>
  <c r="H1496" i="13"/>
  <c r="U1496" i="13" s="1"/>
  <c r="A1496" i="13"/>
  <c r="U1495" i="13"/>
  <c r="H1495" i="13"/>
  <c r="A1495" i="13"/>
  <c r="H1494" i="13"/>
  <c r="U1494" i="13" s="1"/>
  <c r="A1494" i="13"/>
  <c r="H1493" i="13"/>
  <c r="U1493" i="13" s="1"/>
  <c r="A1493" i="13"/>
  <c r="H1492" i="13"/>
  <c r="U1492" i="13" s="1"/>
  <c r="A1492" i="13"/>
  <c r="U1491" i="13"/>
  <c r="H1491" i="13"/>
  <c r="A1491" i="13"/>
  <c r="H1490" i="13"/>
  <c r="U1490" i="13" s="1"/>
  <c r="A1490" i="13"/>
  <c r="U1489" i="13"/>
  <c r="H1489" i="13"/>
  <c r="A1489" i="13"/>
  <c r="H1488" i="13"/>
  <c r="U1488" i="13" s="1"/>
  <c r="A1488" i="13"/>
  <c r="H1487" i="13"/>
  <c r="U1487" i="13" s="1"/>
  <c r="A1487" i="13"/>
  <c r="H1486" i="13"/>
  <c r="U1486" i="13" s="1"/>
  <c r="A1486" i="13"/>
  <c r="H1485" i="13"/>
  <c r="U1485" i="13" s="1"/>
  <c r="A1485" i="13"/>
  <c r="H1484" i="13"/>
  <c r="U1484" i="13" s="1"/>
  <c r="A1484" i="13"/>
  <c r="H1483" i="13"/>
  <c r="U1483" i="13" s="1"/>
  <c r="A1483" i="13"/>
  <c r="H1482" i="13"/>
  <c r="U1482" i="13" s="1"/>
  <c r="A1482" i="13"/>
  <c r="U1481" i="13"/>
  <c r="H1481" i="13"/>
  <c r="A1481" i="13"/>
  <c r="H1480" i="13"/>
  <c r="U1480" i="13" s="1"/>
  <c r="A1480" i="13"/>
  <c r="U1479" i="13"/>
  <c r="H1479" i="13"/>
  <c r="A1479" i="13"/>
  <c r="H1478" i="13"/>
  <c r="U1478" i="13" s="1"/>
  <c r="A1478" i="13"/>
  <c r="H1477" i="13"/>
  <c r="U1477" i="13" s="1"/>
  <c r="A1477" i="13"/>
  <c r="H1476" i="13"/>
  <c r="U1476" i="13" s="1"/>
  <c r="A1476" i="13"/>
  <c r="H1475" i="13"/>
  <c r="U1475" i="13" s="1"/>
  <c r="A1475" i="13"/>
  <c r="H1474" i="13"/>
  <c r="U1474" i="13" s="1"/>
  <c r="A1474" i="13"/>
  <c r="H1473" i="13"/>
  <c r="U1473" i="13" s="1"/>
  <c r="A1473" i="13"/>
  <c r="H1472" i="13"/>
  <c r="U1472" i="13" s="1"/>
  <c r="A1472" i="13"/>
  <c r="U1471" i="13"/>
  <c r="H1471" i="13"/>
  <c r="A1471" i="13"/>
  <c r="H1470" i="13"/>
  <c r="U1470" i="13" s="1"/>
  <c r="A1470" i="13"/>
  <c r="H1469" i="13"/>
  <c r="U1469" i="13" s="1"/>
  <c r="A1469" i="13"/>
  <c r="W1468" i="13"/>
  <c r="X1468" i="13" s="1"/>
  <c r="H1468" i="13"/>
  <c r="U1468" i="13" s="1"/>
  <c r="A1468" i="13"/>
  <c r="W1467" i="13"/>
  <c r="X1467" i="13" s="1"/>
  <c r="U1467" i="13"/>
  <c r="H1467" i="13"/>
  <c r="A1467" i="13"/>
  <c r="W1466" i="13"/>
  <c r="X1466" i="13" s="1"/>
  <c r="H1466" i="13"/>
  <c r="U1466" i="13" s="1"/>
  <c r="A1466" i="13"/>
  <c r="W1465" i="13"/>
  <c r="X1465" i="13" s="1"/>
  <c r="U1465" i="13"/>
  <c r="H1465" i="13"/>
  <c r="A1465" i="13"/>
  <c r="W1464" i="13"/>
  <c r="X1464" i="13" s="1"/>
  <c r="U1464" i="13"/>
  <c r="H1464" i="13"/>
  <c r="A1464" i="13"/>
  <c r="W1463" i="13"/>
  <c r="X1463" i="13" s="1"/>
  <c r="H1463" i="13"/>
  <c r="U1463" i="13" s="1"/>
  <c r="A1463" i="13"/>
  <c r="W1462" i="13"/>
  <c r="X1462" i="13" s="1"/>
  <c r="H1462" i="13"/>
  <c r="U1462" i="13" s="1"/>
  <c r="A1462" i="13"/>
  <c r="W1461" i="13"/>
  <c r="X1461" i="13" s="1"/>
  <c r="H1461" i="13"/>
  <c r="U1461" i="13" s="1"/>
  <c r="A1461" i="13"/>
  <c r="W1460" i="13"/>
  <c r="X1460" i="13" s="1"/>
  <c r="H1460" i="13"/>
  <c r="U1460" i="13" s="1"/>
  <c r="A1460" i="13"/>
  <c r="W1459" i="13"/>
  <c r="X1459" i="13" s="1"/>
  <c r="H1459" i="13"/>
  <c r="U1459" i="13" s="1"/>
  <c r="A1459" i="13"/>
  <c r="W1458" i="13"/>
  <c r="X1458" i="13" s="1"/>
  <c r="H1458" i="13"/>
  <c r="U1458" i="13" s="1"/>
  <c r="A1458" i="13"/>
  <c r="W1457" i="13"/>
  <c r="X1457" i="13" s="1"/>
  <c r="U1457" i="13"/>
  <c r="H1457" i="13"/>
  <c r="A1457" i="13"/>
  <c r="W1456" i="13"/>
  <c r="X1456" i="13" s="1"/>
  <c r="H1456" i="13"/>
  <c r="U1456" i="13" s="1"/>
  <c r="A1456" i="13"/>
  <c r="W1455" i="13"/>
  <c r="X1455" i="13" s="1"/>
  <c r="U1455" i="13"/>
  <c r="H1455" i="13"/>
  <c r="A1455" i="13"/>
  <c r="W1454" i="13"/>
  <c r="X1454" i="13" s="1"/>
  <c r="H1454" i="13"/>
  <c r="U1454" i="13" s="1"/>
  <c r="A1454" i="13"/>
  <c r="W1453" i="13"/>
  <c r="X1453" i="13" s="1"/>
  <c r="H1453" i="13"/>
  <c r="U1453" i="13" s="1"/>
  <c r="A1453" i="13"/>
  <c r="W1452" i="13"/>
  <c r="X1452" i="13" s="1"/>
  <c r="H1452" i="13"/>
  <c r="U1452" i="13" s="1"/>
  <c r="A1452" i="13"/>
  <c r="W1451" i="13"/>
  <c r="X1451" i="13" s="1"/>
  <c r="H1451" i="13"/>
  <c r="U1451" i="13" s="1"/>
  <c r="A1451" i="13"/>
  <c r="W1450" i="13"/>
  <c r="X1450" i="13" s="1"/>
  <c r="H1450" i="13"/>
  <c r="U1450" i="13" s="1"/>
  <c r="A1450" i="13"/>
  <c r="W1449" i="13"/>
  <c r="X1449" i="13" s="1"/>
  <c r="H1449" i="13"/>
  <c r="U1449" i="13" s="1"/>
  <c r="A1449" i="13"/>
  <c r="W1448" i="13"/>
  <c r="X1448" i="13" s="1"/>
  <c r="H1448" i="13"/>
  <c r="U1448" i="13" s="1"/>
  <c r="A1448" i="13"/>
  <c r="W1447" i="13"/>
  <c r="X1447" i="13" s="1"/>
  <c r="H1447" i="13"/>
  <c r="U1447" i="13" s="1"/>
  <c r="A1447" i="13"/>
  <c r="W1446" i="13"/>
  <c r="X1446" i="13" s="1"/>
  <c r="H1446" i="13"/>
  <c r="U1446" i="13" s="1"/>
  <c r="A1446" i="13"/>
  <c r="W1445" i="13"/>
  <c r="X1445" i="13" s="1"/>
  <c r="H1445" i="13"/>
  <c r="U1445" i="13" s="1"/>
  <c r="A1445" i="13"/>
  <c r="W1444" i="13"/>
  <c r="X1444" i="13" s="1"/>
  <c r="H1444" i="13"/>
  <c r="U1444" i="13" s="1"/>
  <c r="A1444" i="13"/>
  <c r="W1443" i="13"/>
  <c r="X1443" i="13" s="1"/>
  <c r="U1443" i="13"/>
  <c r="H1443" i="13"/>
  <c r="A1443" i="13"/>
  <c r="W1442" i="13"/>
  <c r="X1442" i="13" s="1"/>
  <c r="H1442" i="13"/>
  <c r="U1442" i="13" s="1"/>
  <c r="A1442" i="13"/>
  <c r="W1441" i="13"/>
  <c r="X1441" i="13" s="1"/>
  <c r="H1441" i="13"/>
  <c r="U1441" i="13" s="1"/>
  <c r="A1441" i="13"/>
  <c r="W1440" i="13"/>
  <c r="X1440" i="13" s="1"/>
  <c r="H1440" i="13"/>
  <c r="U1440" i="13" s="1"/>
  <c r="A1440" i="13"/>
  <c r="W1439" i="13"/>
  <c r="X1439" i="13" s="1"/>
  <c r="H1439" i="13"/>
  <c r="U1439" i="13" s="1"/>
  <c r="A1439" i="13"/>
  <c r="X1438" i="13"/>
  <c r="W1438" i="13"/>
  <c r="H1438" i="13"/>
  <c r="U1438" i="13" s="1"/>
  <c r="A1438" i="13"/>
  <c r="W1437" i="13"/>
  <c r="X1437" i="13" s="1"/>
  <c r="H1437" i="13"/>
  <c r="U1437" i="13" s="1"/>
  <c r="A1437" i="13"/>
  <c r="W1436" i="13"/>
  <c r="X1436" i="13" s="1"/>
  <c r="U1436" i="13"/>
  <c r="H1436" i="13"/>
  <c r="A1436" i="13"/>
  <c r="W1435" i="13"/>
  <c r="X1435" i="13" s="1"/>
  <c r="U1435" i="13"/>
  <c r="H1435" i="13"/>
  <c r="A1435" i="13"/>
  <c r="W1434" i="13"/>
  <c r="X1434" i="13" s="1"/>
  <c r="H1434" i="13"/>
  <c r="U1434" i="13" s="1"/>
  <c r="A1434" i="13"/>
  <c r="W1433" i="13"/>
  <c r="X1433" i="13" s="1"/>
  <c r="U1433" i="13"/>
  <c r="H1433" i="13"/>
  <c r="A1433" i="13"/>
  <c r="W1432" i="13"/>
  <c r="X1432" i="13" s="1"/>
  <c r="H1432" i="13"/>
  <c r="U1432" i="13" s="1"/>
  <c r="A1432" i="13"/>
  <c r="W1431" i="13"/>
  <c r="X1431" i="13" s="1"/>
  <c r="H1431" i="13"/>
  <c r="U1431" i="13" s="1"/>
  <c r="A1431" i="13"/>
  <c r="W1430" i="13"/>
  <c r="X1430" i="13" s="1"/>
  <c r="H1430" i="13"/>
  <c r="U1430" i="13" s="1"/>
  <c r="A1430" i="13"/>
  <c r="W1429" i="13"/>
  <c r="X1429" i="13" s="1"/>
  <c r="H1429" i="13"/>
  <c r="U1429" i="13" s="1"/>
  <c r="A1429" i="13"/>
  <c r="W1428" i="13"/>
  <c r="X1428" i="13" s="1"/>
  <c r="U1428" i="13"/>
  <c r="H1428" i="13"/>
  <c r="A1428" i="13"/>
  <c r="W1427" i="13"/>
  <c r="X1427" i="13" s="1"/>
  <c r="H1427" i="13"/>
  <c r="U1427" i="13" s="1"/>
  <c r="A1427" i="13"/>
  <c r="W1426" i="13"/>
  <c r="X1426" i="13" s="1"/>
  <c r="H1426" i="13"/>
  <c r="U1426" i="13" s="1"/>
  <c r="A1426" i="13"/>
  <c r="W1425" i="13"/>
  <c r="X1425" i="13" s="1"/>
  <c r="H1425" i="13"/>
  <c r="U1425" i="13" s="1"/>
  <c r="A1425" i="13"/>
  <c r="W1424" i="13"/>
  <c r="X1424" i="13" s="1"/>
  <c r="H1424" i="13"/>
  <c r="U1424" i="13" s="1"/>
  <c r="A1424" i="13"/>
  <c r="W1423" i="13"/>
  <c r="X1423" i="13" s="1"/>
  <c r="H1423" i="13"/>
  <c r="U1423" i="13" s="1"/>
  <c r="A1423" i="13"/>
  <c r="W1422" i="13"/>
  <c r="X1422" i="13" s="1"/>
  <c r="H1422" i="13"/>
  <c r="U1422" i="13" s="1"/>
  <c r="A1422" i="13"/>
  <c r="W1421" i="13"/>
  <c r="X1421" i="13" s="1"/>
  <c r="U1421" i="13"/>
  <c r="H1421" i="13"/>
  <c r="A1421" i="13"/>
  <c r="W1420" i="13"/>
  <c r="X1420" i="13" s="1"/>
  <c r="H1420" i="13"/>
  <c r="U1420" i="13" s="1"/>
  <c r="A1420" i="13"/>
  <c r="W1419" i="13"/>
  <c r="X1419" i="13" s="1"/>
  <c r="U1419" i="13"/>
  <c r="H1419" i="13"/>
  <c r="A1419" i="13"/>
  <c r="W1418" i="13"/>
  <c r="X1418" i="13" s="1"/>
  <c r="H1418" i="13"/>
  <c r="U1418" i="13" s="1"/>
  <c r="A1418" i="13"/>
  <c r="W1417" i="13"/>
  <c r="X1417" i="13" s="1"/>
  <c r="H1417" i="13"/>
  <c r="U1417" i="13" s="1"/>
  <c r="A1417" i="13"/>
  <c r="W1416" i="13"/>
  <c r="X1416" i="13" s="1"/>
  <c r="H1416" i="13"/>
  <c r="U1416" i="13" s="1"/>
  <c r="A1416" i="13"/>
  <c r="W1415" i="13"/>
  <c r="X1415" i="13" s="1"/>
  <c r="H1415" i="13"/>
  <c r="U1415" i="13" s="1"/>
  <c r="A1415" i="13"/>
  <c r="W1414" i="13"/>
  <c r="X1414" i="13" s="1"/>
  <c r="H1414" i="13"/>
  <c r="U1414" i="13" s="1"/>
  <c r="A1414" i="13"/>
  <c r="W1413" i="13"/>
  <c r="X1413" i="13" s="1"/>
  <c r="U1413" i="13"/>
  <c r="H1413" i="13"/>
  <c r="A1413" i="13"/>
  <c r="W1412" i="13"/>
  <c r="X1412" i="13" s="1"/>
  <c r="H1412" i="13"/>
  <c r="U1412" i="13" s="1"/>
  <c r="A1412" i="13"/>
  <c r="W1411" i="13"/>
  <c r="X1411" i="13" s="1"/>
  <c r="H1411" i="13"/>
  <c r="U1411" i="13" s="1"/>
  <c r="A1411" i="13"/>
  <c r="W1410" i="13"/>
  <c r="X1410" i="13" s="1"/>
  <c r="H1410" i="13"/>
  <c r="U1410" i="13" s="1"/>
  <c r="A1410" i="13"/>
  <c r="W1409" i="13"/>
  <c r="X1409" i="13" s="1"/>
  <c r="H1409" i="13"/>
  <c r="U1409" i="13" s="1"/>
  <c r="A1409" i="13"/>
  <c r="W1408" i="13"/>
  <c r="X1408" i="13" s="1"/>
  <c r="H1408" i="13"/>
  <c r="U1408" i="13" s="1"/>
  <c r="A1408" i="13"/>
  <c r="W1407" i="13"/>
  <c r="X1407" i="13" s="1"/>
  <c r="H1407" i="13"/>
  <c r="U1407" i="13" s="1"/>
  <c r="A1407" i="13"/>
  <c r="W1406" i="13"/>
  <c r="X1406" i="13" s="1"/>
  <c r="H1406" i="13"/>
  <c r="U1406" i="13" s="1"/>
  <c r="A1406" i="13"/>
  <c r="W1405" i="13"/>
  <c r="X1405" i="13" s="1"/>
  <c r="U1405" i="13"/>
  <c r="H1405" i="13"/>
  <c r="A1405" i="13"/>
  <c r="W1404" i="13"/>
  <c r="X1404" i="13" s="1"/>
  <c r="H1404" i="13"/>
  <c r="U1404" i="13" s="1"/>
  <c r="A1404" i="13"/>
  <c r="W1403" i="13"/>
  <c r="X1403" i="13" s="1"/>
  <c r="H1403" i="13"/>
  <c r="U1403" i="13" s="1"/>
  <c r="A1403" i="13"/>
  <c r="W1402" i="13"/>
  <c r="X1402" i="13" s="1"/>
  <c r="H1402" i="13"/>
  <c r="U1402" i="13" s="1"/>
  <c r="A1402" i="13"/>
  <c r="W1401" i="13"/>
  <c r="X1401" i="13" s="1"/>
  <c r="U1401" i="13"/>
  <c r="H1401" i="13"/>
  <c r="A1401" i="13"/>
  <c r="W1400" i="13"/>
  <c r="X1400" i="13" s="1"/>
  <c r="H1400" i="13"/>
  <c r="U1400" i="13" s="1"/>
  <c r="A1400" i="13"/>
  <c r="W1399" i="13"/>
  <c r="X1399" i="13" s="1"/>
  <c r="H1399" i="13"/>
  <c r="U1399" i="13" s="1"/>
  <c r="A1399" i="13"/>
  <c r="W1398" i="13"/>
  <c r="X1398" i="13" s="1"/>
  <c r="H1398" i="13"/>
  <c r="U1398" i="13" s="1"/>
  <c r="A1398" i="13"/>
  <c r="W1397" i="13"/>
  <c r="X1397" i="13" s="1"/>
  <c r="H1397" i="13"/>
  <c r="U1397" i="13" s="1"/>
  <c r="A1397" i="13"/>
  <c r="W1396" i="13"/>
  <c r="X1396" i="13" s="1"/>
  <c r="H1396" i="13"/>
  <c r="U1396" i="13" s="1"/>
  <c r="A1396" i="13"/>
  <c r="W1395" i="13"/>
  <c r="X1395" i="13" s="1"/>
  <c r="U1395" i="13"/>
  <c r="H1395" i="13"/>
  <c r="A1395" i="13"/>
  <c r="W1394" i="13"/>
  <c r="X1394" i="13" s="1"/>
  <c r="H1394" i="13"/>
  <c r="U1394" i="13" s="1"/>
  <c r="A1394" i="13"/>
  <c r="W1393" i="13"/>
  <c r="X1393" i="13" s="1"/>
  <c r="U1393" i="13"/>
  <c r="H1393" i="13"/>
  <c r="A1393" i="13"/>
  <c r="W1392" i="13"/>
  <c r="X1392" i="13" s="1"/>
  <c r="H1392" i="13"/>
  <c r="U1392" i="13" s="1"/>
  <c r="A1392" i="13"/>
  <c r="W1391" i="13"/>
  <c r="X1391" i="13" s="1"/>
  <c r="H1391" i="13"/>
  <c r="U1391" i="13" s="1"/>
  <c r="A1391" i="13"/>
  <c r="W1390" i="13"/>
  <c r="X1390" i="13" s="1"/>
  <c r="H1390" i="13"/>
  <c r="U1390" i="13" s="1"/>
  <c r="A1390" i="13"/>
  <c r="W1389" i="13"/>
  <c r="X1389" i="13" s="1"/>
  <c r="U1389" i="13"/>
  <c r="H1389" i="13"/>
  <c r="A1389" i="13"/>
  <c r="W1388" i="13"/>
  <c r="X1388" i="13" s="1"/>
  <c r="H1388" i="13"/>
  <c r="U1388" i="13" s="1"/>
  <c r="A1388" i="13"/>
  <c r="W1387" i="13"/>
  <c r="X1387" i="13" s="1"/>
  <c r="H1387" i="13"/>
  <c r="U1387" i="13" s="1"/>
  <c r="A1387" i="13"/>
  <c r="W1386" i="13"/>
  <c r="X1386" i="13" s="1"/>
  <c r="H1386" i="13"/>
  <c r="U1386" i="13" s="1"/>
  <c r="A1386" i="13"/>
  <c r="W1385" i="13"/>
  <c r="X1385" i="13" s="1"/>
  <c r="U1385" i="13"/>
  <c r="H1385" i="13"/>
  <c r="A1385" i="13"/>
  <c r="W1384" i="13"/>
  <c r="X1384" i="13" s="1"/>
  <c r="U1384" i="13"/>
  <c r="H1384" i="13"/>
  <c r="A1384" i="13"/>
  <c r="W1383" i="13"/>
  <c r="X1383" i="13" s="1"/>
  <c r="U1383" i="13"/>
  <c r="H1383" i="13"/>
  <c r="A1383" i="13"/>
  <c r="W1382" i="13"/>
  <c r="X1382" i="13" s="1"/>
  <c r="H1382" i="13"/>
  <c r="U1382" i="13" s="1"/>
  <c r="A1382" i="13"/>
  <c r="W1381" i="13"/>
  <c r="X1381" i="13" s="1"/>
  <c r="H1381" i="13"/>
  <c r="U1381" i="13" s="1"/>
  <c r="A1381" i="13"/>
  <c r="W1380" i="13"/>
  <c r="X1380" i="13" s="1"/>
  <c r="H1380" i="13"/>
  <c r="U1380" i="13" s="1"/>
  <c r="A1380" i="13"/>
  <c r="W1379" i="13"/>
  <c r="X1379" i="13" s="1"/>
  <c r="H1379" i="13"/>
  <c r="U1379" i="13" s="1"/>
  <c r="A1379" i="13"/>
  <c r="W1378" i="13"/>
  <c r="X1378" i="13" s="1"/>
  <c r="H1378" i="13"/>
  <c r="U1378" i="13" s="1"/>
  <c r="A1378" i="13"/>
  <c r="W1377" i="13"/>
  <c r="X1377" i="13" s="1"/>
  <c r="U1377" i="13"/>
  <c r="H1377" i="13"/>
  <c r="A1377" i="13"/>
  <c r="W1376" i="13"/>
  <c r="X1376" i="13" s="1"/>
  <c r="U1376" i="13"/>
  <c r="H1376" i="13"/>
  <c r="A1376" i="13"/>
  <c r="W1375" i="13"/>
  <c r="X1375" i="13" s="1"/>
  <c r="H1375" i="13"/>
  <c r="U1375" i="13" s="1"/>
  <c r="A1375" i="13"/>
  <c r="W1374" i="13"/>
  <c r="X1374" i="13" s="1"/>
  <c r="H1374" i="13"/>
  <c r="U1374" i="13" s="1"/>
  <c r="A1374" i="13"/>
  <c r="W1373" i="13"/>
  <c r="X1373" i="13" s="1"/>
  <c r="H1373" i="13"/>
  <c r="U1373" i="13" s="1"/>
  <c r="A1373" i="13"/>
  <c r="W1372" i="13"/>
  <c r="X1372" i="13" s="1"/>
  <c r="H1372" i="13"/>
  <c r="U1372" i="13" s="1"/>
  <c r="A1372" i="13"/>
  <c r="W1371" i="13"/>
  <c r="X1371" i="13" s="1"/>
  <c r="U1371" i="13"/>
  <c r="H1371" i="13"/>
  <c r="A1371" i="13"/>
  <c r="W1370" i="13"/>
  <c r="X1370" i="13" s="1"/>
  <c r="H1370" i="13"/>
  <c r="U1370" i="13" s="1"/>
  <c r="A1370" i="13"/>
  <c r="W1369" i="13"/>
  <c r="X1369" i="13" s="1"/>
  <c r="U1369" i="13"/>
  <c r="H1369" i="13"/>
  <c r="A1369" i="13"/>
  <c r="W1368" i="13"/>
  <c r="X1368" i="13" s="1"/>
  <c r="H1368" i="13"/>
  <c r="U1368" i="13" s="1"/>
  <c r="A1368" i="13"/>
  <c r="W1367" i="13"/>
  <c r="X1367" i="13" s="1"/>
  <c r="U1367" i="13"/>
  <c r="H1367" i="13"/>
  <c r="A1367" i="13"/>
  <c r="W1366" i="13"/>
  <c r="X1366" i="13" s="1"/>
  <c r="H1366" i="13"/>
  <c r="U1366" i="13" s="1"/>
  <c r="A1366" i="13"/>
  <c r="W1365" i="13"/>
  <c r="X1365" i="13" s="1"/>
  <c r="H1365" i="13"/>
  <c r="U1365" i="13" s="1"/>
  <c r="A1365" i="13"/>
  <c r="W1364" i="13"/>
  <c r="X1364" i="13" s="1"/>
  <c r="H1364" i="13"/>
  <c r="U1364" i="13" s="1"/>
  <c r="A1364" i="13"/>
  <c r="W1363" i="13"/>
  <c r="X1363" i="13" s="1"/>
  <c r="H1363" i="13"/>
  <c r="U1363" i="13" s="1"/>
  <c r="A1363" i="13"/>
  <c r="W1362" i="13"/>
  <c r="X1362" i="13" s="1"/>
  <c r="H1362" i="13"/>
  <c r="U1362" i="13" s="1"/>
  <c r="A1362" i="13"/>
  <c r="W1361" i="13"/>
  <c r="X1361" i="13" s="1"/>
  <c r="H1361" i="13"/>
  <c r="U1361" i="13" s="1"/>
  <c r="A1361" i="13"/>
  <c r="W1360" i="13"/>
  <c r="X1360" i="13" s="1"/>
  <c r="U1360" i="13"/>
  <c r="H1360" i="13"/>
  <c r="A1360" i="13"/>
  <c r="W1359" i="13"/>
  <c r="X1359" i="13" s="1"/>
  <c r="U1359" i="13"/>
  <c r="H1359" i="13"/>
  <c r="A1359" i="13"/>
  <c r="W1358" i="13"/>
  <c r="X1358" i="13" s="1"/>
  <c r="H1358" i="13"/>
  <c r="U1358" i="13" s="1"/>
  <c r="A1358" i="13"/>
  <c r="W1357" i="13"/>
  <c r="X1357" i="13" s="1"/>
  <c r="H1357" i="13"/>
  <c r="U1357" i="13" s="1"/>
  <c r="A1357" i="13"/>
  <c r="W1356" i="13"/>
  <c r="X1356" i="13" s="1"/>
  <c r="H1356" i="13"/>
  <c r="U1356" i="13" s="1"/>
  <c r="A1356" i="13"/>
  <c r="W1355" i="13"/>
  <c r="X1355" i="13" s="1"/>
  <c r="H1355" i="13"/>
  <c r="U1355" i="13" s="1"/>
  <c r="A1355" i="13"/>
  <c r="W1354" i="13"/>
  <c r="X1354" i="13" s="1"/>
  <c r="H1354" i="13"/>
  <c r="U1354" i="13" s="1"/>
  <c r="A1354" i="13"/>
  <c r="W1353" i="13"/>
  <c r="X1353" i="13" s="1"/>
  <c r="U1353" i="13"/>
  <c r="H1353" i="13"/>
  <c r="A1353" i="13"/>
  <c r="W1352" i="13"/>
  <c r="X1352" i="13" s="1"/>
  <c r="U1352" i="13"/>
  <c r="H1352" i="13"/>
  <c r="A1352" i="13"/>
  <c r="W1351" i="13"/>
  <c r="X1351" i="13" s="1"/>
  <c r="U1351" i="13"/>
  <c r="H1351" i="13"/>
  <c r="A1351" i="13"/>
  <c r="W1350" i="13"/>
  <c r="X1350" i="13" s="1"/>
  <c r="H1350" i="13"/>
  <c r="U1350" i="13" s="1"/>
  <c r="A1350" i="13"/>
  <c r="W1349" i="13"/>
  <c r="X1349" i="13" s="1"/>
  <c r="H1349" i="13"/>
  <c r="U1349" i="13" s="1"/>
  <c r="A1349" i="13"/>
  <c r="W1348" i="13"/>
  <c r="X1348" i="13" s="1"/>
  <c r="H1348" i="13"/>
  <c r="U1348" i="13" s="1"/>
  <c r="A1348" i="13"/>
  <c r="W1347" i="13"/>
  <c r="X1347" i="13" s="1"/>
  <c r="U1347" i="13"/>
  <c r="H1347" i="13"/>
  <c r="A1347" i="13"/>
  <c r="W1346" i="13"/>
  <c r="X1346" i="13" s="1"/>
  <c r="H1346" i="13"/>
  <c r="U1346" i="13" s="1"/>
  <c r="A1346" i="13"/>
  <c r="W1345" i="13"/>
  <c r="X1345" i="13" s="1"/>
  <c r="H1345" i="13"/>
  <c r="U1345" i="13" s="1"/>
  <c r="A1345" i="13"/>
  <c r="W1344" i="13"/>
  <c r="X1344" i="13" s="1"/>
  <c r="H1344" i="13"/>
  <c r="U1344" i="13" s="1"/>
  <c r="A1344" i="13"/>
  <c r="X1343" i="13"/>
  <c r="W1343" i="13"/>
  <c r="U1343" i="13"/>
  <c r="H1343" i="13"/>
  <c r="A1343" i="13"/>
  <c r="W1342" i="13"/>
  <c r="X1342" i="13" s="1"/>
  <c r="H1342" i="13"/>
  <c r="U1342" i="13" s="1"/>
  <c r="A1342" i="13"/>
  <c r="W1341" i="13"/>
  <c r="X1341" i="13" s="1"/>
  <c r="H1341" i="13"/>
  <c r="U1341" i="13" s="1"/>
  <c r="A1341" i="13"/>
  <c r="W1340" i="13"/>
  <c r="X1340" i="13" s="1"/>
  <c r="H1340" i="13"/>
  <c r="U1340" i="13" s="1"/>
  <c r="A1340" i="13"/>
  <c r="W1339" i="13"/>
  <c r="X1339" i="13" s="1"/>
  <c r="H1339" i="13"/>
  <c r="U1339" i="13" s="1"/>
  <c r="A1339" i="13"/>
  <c r="W1338" i="13"/>
  <c r="X1338" i="13" s="1"/>
  <c r="H1338" i="13"/>
  <c r="U1338" i="13" s="1"/>
  <c r="A1338" i="13"/>
  <c r="W1337" i="13"/>
  <c r="X1337" i="13" s="1"/>
  <c r="U1337" i="13"/>
  <c r="H1337" i="13"/>
  <c r="A1337" i="13"/>
  <c r="W1336" i="13"/>
  <c r="X1336" i="13" s="1"/>
  <c r="U1336" i="13"/>
  <c r="H1336" i="13"/>
  <c r="A1336" i="13"/>
  <c r="W1335" i="13"/>
  <c r="X1335" i="13" s="1"/>
  <c r="H1335" i="13"/>
  <c r="U1335" i="13" s="1"/>
  <c r="A1335" i="13"/>
  <c r="W1334" i="13"/>
  <c r="X1334" i="13" s="1"/>
  <c r="H1334" i="13"/>
  <c r="U1334" i="13" s="1"/>
  <c r="A1334" i="13"/>
  <c r="W1333" i="13"/>
  <c r="X1333" i="13" s="1"/>
  <c r="H1333" i="13"/>
  <c r="U1333" i="13" s="1"/>
  <c r="A1333" i="13"/>
  <c r="W1332" i="13"/>
  <c r="X1332" i="13" s="1"/>
  <c r="H1332" i="13"/>
  <c r="U1332" i="13" s="1"/>
  <c r="A1332" i="13"/>
  <c r="W1331" i="13"/>
  <c r="X1331" i="13" s="1"/>
  <c r="H1331" i="13"/>
  <c r="U1331" i="13" s="1"/>
  <c r="A1331" i="13"/>
  <c r="W1330" i="13"/>
  <c r="X1330" i="13" s="1"/>
  <c r="H1330" i="13"/>
  <c r="U1330" i="13" s="1"/>
  <c r="A1330" i="13"/>
  <c r="W1329" i="13"/>
  <c r="X1329" i="13" s="1"/>
  <c r="U1329" i="13"/>
  <c r="H1329" i="13"/>
  <c r="A1329" i="13"/>
  <c r="W1328" i="13"/>
  <c r="X1328" i="13" s="1"/>
  <c r="H1328" i="13"/>
  <c r="U1328" i="13" s="1"/>
  <c r="A1328" i="13"/>
  <c r="W1327" i="13"/>
  <c r="X1327" i="13" s="1"/>
  <c r="H1327" i="13"/>
  <c r="U1327" i="13" s="1"/>
  <c r="A1327" i="13"/>
  <c r="W1326" i="13"/>
  <c r="X1326" i="13" s="1"/>
  <c r="H1326" i="13"/>
  <c r="U1326" i="13" s="1"/>
  <c r="A1326" i="13"/>
  <c r="W1325" i="13"/>
  <c r="X1325" i="13" s="1"/>
  <c r="H1325" i="13"/>
  <c r="U1325" i="13" s="1"/>
  <c r="A1325" i="13"/>
  <c r="W1324" i="13"/>
  <c r="X1324" i="13" s="1"/>
  <c r="H1324" i="13"/>
  <c r="U1324" i="13" s="1"/>
  <c r="A1324" i="13"/>
  <c r="W1323" i="13"/>
  <c r="X1323" i="13" s="1"/>
  <c r="U1323" i="13"/>
  <c r="H1323" i="13"/>
  <c r="A1323" i="13"/>
  <c r="W1322" i="13"/>
  <c r="X1322" i="13" s="1"/>
  <c r="H1322" i="13"/>
  <c r="U1322" i="13" s="1"/>
  <c r="A1322" i="13"/>
  <c r="W1321" i="13"/>
  <c r="X1321" i="13" s="1"/>
  <c r="H1321" i="13"/>
  <c r="U1321" i="13" s="1"/>
  <c r="A1321" i="13"/>
  <c r="W1320" i="13"/>
  <c r="X1320" i="13" s="1"/>
  <c r="H1320" i="13"/>
  <c r="U1320" i="13" s="1"/>
  <c r="A1320" i="13"/>
  <c r="W1319" i="13"/>
  <c r="X1319" i="13" s="1"/>
  <c r="H1319" i="13"/>
  <c r="U1319" i="13" s="1"/>
  <c r="A1319" i="13"/>
  <c r="W1318" i="13"/>
  <c r="X1318" i="13" s="1"/>
  <c r="H1318" i="13"/>
  <c r="U1318" i="13" s="1"/>
  <c r="A1318" i="13"/>
  <c r="W1317" i="13"/>
  <c r="X1317" i="13" s="1"/>
  <c r="H1317" i="13"/>
  <c r="U1317" i="13" s="1"/>
  <c r="A1317" i="13"/>
  <c r="W1316" i="13"/>
  <c r="X1316" i="13" s="1"/>
  <c r="H1316" i="13"/>
  <c r="U1316" i="13" s="1"/>
  <c r="A1316" i="13"/>
  <c r="W1315" i="13"/>
  <c r="X1315" i="13" s="1"/>
  <c r="U1315" i="13"/>
  <c r="H1315" i="13"/>
  <c r="A1315" i="13"/>
  <c r="W1314" i="13"/>
  <c r="X1314" i="13" s="1"/>
  <c r="H1314" i="13"/>
  <c r="U1314" i="13" s="1"/>
  <c r="A1314" i="13"/>
  <c r="W1313" i="13"/>
  <c r="X1313" i="13" s="1"/>
  <c r="H1313" i="13"/>
  <c r="U1313" i="13" s="1"/>
  <c r="A1313" i="13"/>
  <c r="W1312" i="13"/>
  <c r="X1312" i="13" s="1"/>
  <c r="U1312" i="13"/>
  <c r="H1312" i="13"/>
  <c r="A1312" i="13"/>
  <c r="W1311" i="13"/>
  <c r="X1311" i="13" s="1"/>
  <c r="H1311" i="13"/>
  <c r="U1311" i="13" s="1"/>
  <c r="A1311" i="13"/>
  <c r="W1310" i="13"/>
  <c r="X1310" i="13" s="1"/>
  <c r="H1310" i="13"/>
  <c r="U1310" i="13" s="1"/>
  <c r="A1310" i="13"/>
  <c r="W1309" i="13"/>
  <c r="X1309" i="13" s="1"/>
  <c r="H1309" i="13"/>
  <c r="U1309" i="13" s="1"/>
  <c r="A1309" i="13"/>
  <c r="W1308" i="13"/>
  <c r="X1308" i="13" s="1"/>
  <c r="H1308" i="13"/>
  <c r="U1308" i="13" s="1"/>
  <c r="A1308" i="13"/>
  <c r="W1307" i="13"/>
  <c r="X1307" i="13" s="1"/>
  <c r="U1307" i="13"/>
  <c r="H1307" i="13"/>
  <c r="A1307" i="13"/>
  <c r="W1306" i="13"/>
  <c r="X1306" i="13" s="1"/>
  <c r="H1306" i="13"/>
  <c r="U1306" i="13" s="1"/>
  <c r="A1306" i="13"/>
  <c r="W1305" i="13"/>
  <c r="X1305" i="13" s="1"/>
  <c r="U1305" i="13"/>
  <c r="H1305" i="13"/>
  <c r="A1305" i="13"/>
  <c r="W1304" i="13"/>
  <c r="X1304" i="13" s="1"/>
  <c r="H1304" i="13"/>
  <c r="U1304" i="13" s="1"/>
  <c r="A1304" i="13"/>
  <c r="W1303" i="13"/>
  <c r="X1303" i="13" s="1"/>
  <c r="H1303" i="13"/>
  <c r="U1303" i="13" s="1"/>
  <c r="A1303" i="13"/>
  <c r="W1302" i="13"/>
  <c r="X1302" i="13" s="1"/>
  <c r="H1302" i="13"/>
  <c r="U1302" i="13" s="1"/>
  <c r="A1302" i="13"/>
  <c r="W1301" i="13"/>
  <c r="X1301" i="13" s="1"/>
  <c r="H1301" i="13"/>
  <c r="U1301" i="13" s="1"/>
  <c r="A1301" i="13"/>
  <c r="W1300" i="13"/>
  <c r="X1300" i="13" s="1"/>
  <c r="H1300" i="13"/>
  <c r="U1300" i="13" s="1"/>
  <c r="A1300" i="13"/>
  <c r="W1299" i="13"/>
  <c r="X1299" i="13" s="1"/>
  <c r="U1299" i="13"/>
  <c r="H1299" i="13"/>
  <c r="A1299" i="13"/>
  <c r="W1298" i="13"/>
  <c r="X1298" i="13" s="1"/>
  <c r="H1298" i="13"/>
  <c r="U1298" i="13" s="1"/>
  <c r="A1298" i="13"/>
  <c r="W1297" i="13"/>
  <c r="X1297" i="13" s="1"/>
  <c r="H1297" i="13"/>
  <c r="U1297" i="13" s="1"/>
  <c r="A1297" i="13"/>
  <c r="W1296" i="13"/>
  <c r="X1296" i="13" s="1"/>
  <c r="H1296" i="13"/>
  <c r="U1296" i="13" s="1"/>
  <c r="A1296" i="13"/>
  <c r="X1295" i="13"/>
  <c r="W1295" i="13"/>
  <c r="U1295" i="13"/>
  <c r="H1295" i="13"/>
  <c r="A1295" i="13"/>
  <c r="W1294" i="13"/>
  <c r="X1294" i="13" s="1"/>
  <c r="H1294" i="13"/>
  <c r="U1294" i="13" s="1"/>
  <c r="A1294" i="13"/>
  <c r="W1293" i="13"/>
  <c r="X1293" i="13" s="1"/>
  <c r="H1293" i="13"/>
  <c r="U1293" i="13" s="1"/>
  <c r="A1293" i="13"/>
  <c r="W1292" i="13"/>
  <c r="X1292" i="13" s="1"/>
  <c r="H1292" i="13"/>
  <c r="U1292" i="13" s="1"/>
  <c r="A1292" i="13"/>
  <c r="W1291" i="13"/>
  <c r="X1291" i="13" s="1"/>
  <c r="H1291" i="13"/>
  <c r="U1291" i="13" s="1"/>
  <c r="A1291" i="13"/>
  <c r="W1290" i="13"/>
  <c r="X1290" i="13" s="1"/>
  <c r="H1290" i="13"/>
  <c r="U1290" i="13" s="1"/>
  <c r="A1290" i="13"/>
  <c r="W1289" i="13"/>
  <c r="X1289" i="13" s="1"/>
  <c r="U1289" i="13"/>
  <c r="H1289" i="13"/>
  <c r="A1289" i="13"/>
  <c r="W1288" i="13"/>
  <c r="X1288" i="13" s="1"/>
  <c r="U1288" i="13"/>
  <c r="H1288" i="13"/>
  <c r="A1288" i="13"/>
  <c r="W1287" i="13"/>
  <c r="X1287" i="13" s="1"/>
  <c r="U1287" i="13"/>
  <c r="H1287" i="13"/>
  <c r="A1287" i="13"/>
  <c r="W1286" i="13"/>
  <c r="X1286" i="13" s="1"/>
  <c r="H1286" i="13"/>
  <c r="U1286" i="13" s="1"/>
  <c r="A1286" i="13"/>
  <c r="W1285" i="13"/>
  <c r="X1285" i="13" s="1"/>
  <c r="H1285" i="13"/>
  <c r="U1285" i="13" s="1"/>
  <c r="A1285" i="13"/>
  <c r="W1284" i="13"/>
  <c r="X1284" i="13" s="1"/>
  <c r="H1284" i="13"/>
  <c r="U1284" i="13" s="1"/>
  <c r="A1284" i="13"/>
  <c r="W1283" i="13"/>
  <c r="X1283" i="13" s="1"/>
  <c r="U1283" i="13"/>
  <c r="H1283" i="13"/>
  <c r="A1283" i="13"/>
  <c r="W1282" i="13"/>
  <c r="X1282" i="13" s="1"/>
  <c r="H1282" i="13"/>
  <c r="U1282" i="13" s="1"/>
  <c r="A1282" i="13"/>
  <c r="W1281" i="13"/>
  <c r="X1281" i="13" s="1"/>
  <c r="H1281" i="13"/>
  <c r="U1281" i="13" s="1"/>
  <c r="A1281" i="13"/>
  <c r="W1280" i="13"/>
  <c r="X1280" i="13" s="1"/>
  <c r="U1280" i="13"/>
  <c r="H1280" i="13"/>
  <c r="A1280" i="13"/>
  <c r="X1279" i="13"/>
  <c r="W1279" i="13"/>
  <c r="H1279" i="13"/>
  <c r="U1279" i="13" s="1"/>
  <c r="A1279" i="13"/>
  <c r="W1278" i="13"/>
  <c r="X1278" i="13" s="1"/>
  <c r="H1278" i="13"/>
  <c r="U1278" i="13" s="1"/>
  <c r="A1278" i="13"/>
  <c r="W1277" i="13"/>
  <c r="X1277" i="13" s="1"/>
  <c r="H1277" i="13"/>
  <c r="U1277" i="13" s="1"/>
  <c r="A1277" i="13"/>
  <c r="W1276" i="13"/>
  <c r="X1276" i="13" s="1"/>
  <c r="H1276" i="13"/>
  <c r="U1276" i="13" s="1"/>
  <c r="A1276" i="13"/>
  <c r="W1275" i="13"/>
  <c r="X1275" i="13" s="1"/>
  <c r="U1275" i="13"/>
  <c r="H1275" i="13"/>
  <c r="A1275" i="13"/>
  <c r="W1274" i="13"/>
  <c r="X1274" i="13" s="1"/>
  <c r="H1274" i="13"/>
  <c r="U1274" i="13" s="1"/>
  <c r="A1274" i="13"/>
  <c r="W1273" i="13"/>
  <c r="X1273" i="13" s="1"/>
  <c r="U1273" i="13"/>
  <c r="H1273" i="13"/>
  <c r="A1273" i="13"/>
  <c r="W1272" i="13"/>
  <c r="X1272" i="13" s="1"/>
  <c r="H1272" i="13"/>
  <c r="U1272" i="13" s="1"/>
  <c r="A1272" i="13"/>
  <c r="W1271" i="13"/>
  <c r="X1271" i="13" s="1"/>
  <c r="H1271" i="13"/>
  <c r="U1271" i="13" s="1"/>
  <c r="A1271" i="13"/>
  <c r="W1270" i="13"/>
  <c r="X1270" i="13" s="1"/>
  <c r="H1270" i="13"/>
  <c r="U1270" i="13" s="1"/>
  <c r="A1270" i="13"/>
  <c r="W1269" i="13"/>
  <c r="X1269" i="13" s="1"/>
  <c r="H1269" i="13"/>
  <c r="U1269" i="13" s="1"/>
  <c r="A1269" i="13"/>
  <c r="W1268" i="13"/>
  <c r="X1268" i="13" s="1"/>
  <c r="H1268" i="13"/>
  <c r="U1268" i="13" s="1"/>
  <c r="A1268" i="13"/>
  <c r="W1267" i="13"/>
  <c r="X1267" i="13" s="1"/>
  <c r="H1267" i="13"/>
  <c r="U1267" i="13" s="1"/>
  <c r="A1267" i="13"/>
  <c r="W1266" i="13"/>
  <c r="X1266" i="13" s="1"/>
  <c r="H1266" i="13"/>
  <c r="U1266" i="13" s="1"/>
  <c r="A1266" i="13"/>
  <c r="W1265" i="13"/>
  <c r="X1265" i="13" s="1"/>
  <c r="U1265" i="13"/>
  <c r="H1265" i="13"/>
  <c r="A1265" i="13"/>
  <c r="W1264" i="13"/>
  <c r="X1264" i="13" s="1"/>
  <c r="H1264" i="13"/>
  <c r="U1264" i="13" s="1"/>
  <c r="A1264" i="13"/>
  <c r="W1263" i="13"/>
  <c r="X1263" i="13" s="1"/>
  <c r="H1263" i="13"/>
  <c r="U1263" i="13" s="1"/>
  <c r="A1263" i="13"/>
  <c r="W1262" i="13"/>
  <c r="X1262" i="13" s="1"/>
  <c r="H1262" i="13"/>
  <c r="U1262" i="13" s="1"/>
  <c r="A1262" i="13"/>
  <c r="W1261" i="13"/>
  <c r="X1261" i="13" s="1"/>
  <c r="H1261" i="13"/>
  <c r="U1261" i="13" s="1"/>
  <c r="A1261" i="13"/>
  <c r="W1260" i="13"/>
  <c r="X1260" i="13" s="1"/>
  <c r="H1260" i="13"/>
  <c r="U1260" i="13" s="1"/>
  <c r="A1260" i="13"/>
  <c r="W1259" i="13"/>
  <c r="X1259" i="13" s="1"/>
  <c r="U1259" i="13"/>
  <c r="H1259" i="13"/>
  <c r="A1259" i="13"/>
  <c r="W1258" i="13"/>
  <c r="X1258" i="13" s="1"/>
  <c r="H1258" i="13"/>
  <c r="U1258" i="13" s="1"/>
  <c r="A1258" i="13"/>
  <c r="W1257" i="13"/>
  <c r="X1257" i="13" s="1"/>
  <c r="H1257" i="13"/>
  <c r="U1257" i="13" s="1"/>
  <c r="A1257" i="13"/>
  <c r="W1256" i="13"/>
  <c r="X1256" i="13" s="1"/>
  <c r="H1256" i="13"/>
  <c r="U1256" i="13" s="1"/>
  <c r="A1256" i="13"/>
  <c r="W1255" i="13"/>
  <c r="X1255" i="13" s="1"/>
  <c r="H1255" i="13"/>
  <c r="U1255" i="13" s="1"/>
  <c r="A1255" i="13"/>
  <c r="W1254" i="13"/>
  <c r="X1254" i="13" s="1"/>
  <c r="H1254" i="13"/>
  <c r="U1254" i="13" s="1"/>
  <c r="A1254" i="13"/>
  <c r="W1253" i="13"/>
  <c r="X1253" i="13" s="1"/>
  <c r="H1253" i="13"/>
  <c r="U1253" i="13" s="1"/>
  <c r="A1253" i="13"/>
  <c r="W1252" i="13"/>
  <c r="X1252" i="13" s="1"/>
  <c r="H1252" i="13"/>
  <c r="U1252" i="13" s="1"/>
  <c r="A1252" i="13"/>
  <c r="W1251" i="13"/>
  <c r="X1251" i="13" s="1"/>
  <c r="U1251" i="13"/>
  <c r="H1251" i="13"/>
  <c r="A1251" i="13"/>
  <c r="W1250" i="13"/>
  <c r="X1250" i="13" s="1"/>
  <c r="H1250" i="13"/>
  <c r="U1250" i="13" s="1"/>
  <c r="A1250" i="13"/>
  <c r="W1249" i="13"/>
  <c r="X1249" i="13" s="1"/>
  <c r="H1249" i="13"/>
  <c r="U1249" i="13" s="1"/>
  <c r="A1249" i="13"/>
  <c r="W1248" i="13"/>
  <c r="X1248" i="13" s="1"/>
  <c r="H1248" i="13"/>
  <c r="U1248" i="13" s="1"/>
  <c r="A1248" i="13"/>
  <c r="W1247" i="13"/>
  <c r="X1247" i="13" s="1"/>
  <c r="H1247" i="13"/>
  <c r="U1247" i="13" s="1"/>
  <c r="A1247" i="13"/>
  <c r="W1246" i="13"/>
  <c r="X1246" i="13" s="1"/>
  <c r="H1246" i="13"/>
  <c r="U1246" i="13" s="1"/>
  <c r="A1246" i="13"/>
  <c r="W1245" i="13"/>
  <c r="X1245" i="13" s="1"/>
  <c r="H1245" i="13"/>
  <c r="U1245" i="13" s="1"/>
  <c r="A1245" i="13"/>
  <c r="W1244" i="13"/>
  <c r="X1244" i="13" s="1"/>
  <c r="H1244" i="13"/>
  <c r="U1244" i="13" s="1"/>
  <c r="A1244" i="13"/>
  <c r="W1243" i="13"/>
  <c r="X1243" i="13" s="1"/>
  <c r="H1243" i="13"/>
  <c r="U1243" i="13" s="1"/>
  <c r="A1243" i="13"/>
  <c r="W1242" i="13"/>
  <c r="X1242" i="13" s="1"/>
  <c r="H1242" i="13"/>
  <c r="U1242" i="13" s="1"/>
  <c r="A1242" i="13"/>
  <c r="W1241" i="13"/>
  <c r="X1241" i="13" s="1"/>
  <c r="U1241" i="13"/>
  <c r="H1241" i="13"/>
  <c r="A1241" i="13"/>
  <c r="W1240" i="13"/>
  <c r="X1240" i="13" s="1"/>
  <c r="H1240" i="13"/>
  <c r="U1240" i="13" s="1"/>
  <c r="A1240" i="13"/>
  <c r="W1239" i="13"/>
  <c r="X1239" i="13" s="1"/>
  <c r="H1239" i="13"/>
  <c r="U1239" i="13" s="1"/>
  <c r="A1239" i="13"/>
  <c r="W1238" i="13"/>
  <c r="X1238" i="13" s="1"/>
  <c r="H1238" i="13"/>
  <c r="U1238" i="13" s="1"/>
  <c r="A1238" i="13"/>
  <c r="W1237" i="13"/>
  <c r="X1237" i="13" s="1"/>
  <c r="H1237" i="13"/>
  <c r="U1237" i="13" s="1"/>
  <c r="A1237" i="13"/>
  <c r="W1236" i="13"/>
  <c r="X1236" i="13" s="1"/>
  <c r="H1236" i="13"/>
  <c r="U1236" i="13" s="1"/>
  <c r="A1236" i="13"/>
  <c r="W1235" i="13"/>
  <c r="X1235" i="13" s="1"/>
  <c r="H1235" i="13"/>
  <c r="U1235" i="13" s="1"/>
  <c r="A1235" i="13"/>
  <c r="W1234" i="13"/>
  <c r="X1234" i="13" s="1"/>
  <c r="H1234" i="13"/>
  <c r="U1234" i="13" s="1"/>
  <c r="A1234" i="13"/>
  <c r="W1233" i="13"/>
  <c r="X1233" i="13" s="1"/>
  <c r="U1233" i="13"/>
  <c r="H1233" i="13"/>
  <c r="A1233" i="13"/>
  <c r="W1232" i="13"/>
  <c r="X1232" i="13" s="1"/>
  <c r="H1232" i="13"/>
  <c r="U1232" i="13" s="1"/>
  <c r="A1232" i="13"/>
  <c r="X1231" i="13"/>
  <c r="W1231" i="13"/>
  <c r="U1231" i="13"/>
  <c r="H1231" i="13"/>
  <c r="A1231" i="13"/>
  <c r="W1230" i="13"/>
  <c r="X1230" i="13" s="1"/>
  <c r="H1230" i="13"/>
  <c r="U1230" i="13" s="1"/>
  <c r="A1230" i="13"/>
  <c r="W1229" i="13"/>
  <c r="X1229" i="13" s="1"/>
  <c r="H1229" i="13"/>
  <c r="U1229" i="13" s="1"/>
  <c r="A1229" i="13"/>
  <c r="W1228" i="13"/>
  <c r="X1228" i="13" s="1"/>
  <c r="H1228" i="13"/>
  <c r="U1228" i="13" s="1"/>
  <c r="A1228" i="13"/>
  <c r="W1227" i="13"/>
  <c r="X1227" i="13" s="1"/>
  <c r="H1227" i="13"/>
  <c r="U1227" i="13" s="1"/>
  <c r="A1227" i="13"/>
  <c r="W1226" i="13"/>
  <c r="X1226" i="13" s="1"/>
  <c r="H1226" i="13"/>
  <c r="U1226" i="13" s="1"/>
  <c r="A1226" i="13"/>
  <c r="W1225" i="13"/>
  <c r="X1225" i="13" s="1"/>
  <c r="H1225" i="13"/>
  <c r="U1225" i="13" s="1"/>
  <c r="A1225" i="13"/>
  <c r="W1224" i="13"/>
  <c r="X1224" i="13" s="1"/>
  <c r="U1224" i="13"/>
  <c r="H1224" i="13"/>
  <c r="A1224" i="13"/>
  <c r="X1223" i="13"/>
  <c r="W1223" i="13"/>
  <c r="U1223" i="13"/>
  <c r="H1223" i="13"/>
  <c r="A1223" i="13"/>
  <c r="W1222" i="13"/>
  <c r="X1222" i="13" s="1"/>
  <c r="H1222" i="13"/>
  <c r="U1222" i="13" s="1"/>
  <c r="A1222" i="13"/>
  <c r="W1221" i="13"/>
  <c r="X1221" i="13" s="1"/>
  <c r="H1221" i="13"/>
  <c r="U1221" i="13" s="1"/>
  <c r="A1221" i="13"/>
  <c r="W1220" i="13"/>
  <c r="X1220" i="13" s="1"/>
  <c r="H1220" i="13"/>
  <c r="U1220" i="13" s="1"/>
  <c r="A1220" i="13"/>
  <c r="W1219" i="13"/>
  <c r="X1219" i="13" s="1"/>
  <c r="U1219" i="13"/>
  <c r="H1219" i="13"/>
  <c r="A1219" i="13"/>
  <c r="W1218" i="13"/>
  <c r="X1218" i="13" s="1"/>
  <c r="H1218" i="13"/>
  <c r="U1218" i="13" s="1"/>
  <c r="A1218" i="13"/>
  <c r="W1217" i="13"/>
  <c r="X1217" i="13" s="1"/>
  <c r="H1217" i="13"/>
  <c r="U1217" i="13" s="1"/>
  <c r="A1217" i="13"/>
  <c r="W1216" i="13"/>
  <c r="X1216" i="13" s="1"/>
  <c r="H1216" i="13"/>
  <c r="U1216" i="13" s="1"/>
  <c r="A1216" i="13"/>
  <c r="X1215" i="13"/>
  <c r="W1215" i="13"/>
  <c r="U1215" i="13"/>
  <c r="H1215" i="13"/>
  <c r="A1215" i="13"/>
  <c r="W1214" i="13"/>
  <c r="X1214" i="13" s="1"/>
  <c r="H1214" i="13"/>
  <c r="U1214" i="13" s="1"/>
  <c r="A1214" i="13"/>
  <c r="W1213" i="13"/>
  <c r="X1213" i="13" s="1"/>
  <c r="H1213" i="13"/>
  <c r="U1213" i="13" s="1"/>
  <c r="A1213" i="13"/>
  <c r="W1212" i="13"/>
  <c r="X1212" i="13" s="1"/>
  <c r="H1212" i="13"/>
  <c r="U1212" i="13" s="1"/>
  <c r="A1212" i="13"/>
  <c r="W1211" i="13"/>
  <c r="X1211" i="13" s="1"/>
  <c r="H1211" i="13"/>
  <c r="U1211" i="13" s="1"/>
  <c r="A1211" i="13"/>
  <c r="W1210" i="13"/>
  <c r="X1210" i="13" s="1"/>
  <c r="H1210" i="13"/>
  <c r="U1210" i="13" s="1"/>
  <c r="A1210" i="13"/>
  <c r="W1209" i="13"/>
  <c r="X1209" i="13" s="1"/>
  <c r="H1209" i="13"/>
  <c r="U1209" i="13" s="1"/>
  <c r="A1209" i="13"/>
  <c r="W1208" i="13"/>
  <c r="X1208" i="13" s="1"/>
  <c r="U1208" i="13"/>
  <c r="H1208" i="13"/>
  <c r="A1208" i="13"/>
  <c r="X1207" i="13"/>
  <c r="W1207" i="13"/>
  <c r="H1207" i="13"/>
  <c r="U1207" i="13" s="1"/>
  <c r="A1207" i="13"/>
  <c r="W1206" i="13"/>
  <c r="X1206" i="13" s="1"/>
  <c r="H1206" i="13"/>
  <c r="U1206" i="13" s="1"/>
  <c r="A1206" i="13"/>
  <c r="W1205" i="13"/>
  <c r="X1205" i="13" s="1"/>
  <c r="H1205" i="13"/>
  <c r="U1205" i="13" s="1"/>
  <c r="A1205" i="13"/>
  <c r="W1204" i="13"/>
  <c r="X1204" i="13" s="1"/>
  <c r="H1204" i="13"/>
  <c r="U1204" i="13" s="1"/>
  <c r="A1204" i="13"/>
  <c r="W1203" i="13"/>
  <c r="X1203" i="13" s="1"/>
  <c r="U1203" i="13"/>
  <c r="H1203" i="13"/>
  <c r="A1203" i="13"/>
  <c r="W1202" i="13"/>
  <c r="X1202" i="13" s="1"/>
  <c r="H1202" i="13"/>
  <c r="U1202" i="13" s="1"/>
  <c r="A1202" i="13"/>
  <c r="W1201" i="13"/>
  <c r="X1201" i="13" s="1"/>
  <c r="H1201" i="13"/>
  <c r="U1201" i="13" s="1"/>
  <c r="A1201" i="13"/>
  <c r="W1200" i="13"/>
  <c r="X1200" i="13" s="1"/>
  <c r="H1200" i="13"/>
  <c r="U1200" i="13" s="1"/>
  <c r="A1200" i="13"/>
  <c r="W1199" i="13"/>
  <c r="X1199" i="13" s="1"/>
  <c r="U1199" i="13"/>
  <c r="H1199" i="13"/>
  <c r="A1199" i="13"/>
  <c r="W1198" i="13"/>
  <c r="X1198" i="13" s="1"/>
  <c r="H1198" i="13"/>
  <c r="U1198" i="13" s="1"/>
  <c r="A1198" i="13"/>
  <c r="W1197" i="13"/>
  <c r="X1197" i="13" s="1"/>
  <c r="H1197" i="13"/>
  <c r="U1197" i="13" s="1"/>
  <c r="A1197" i="13"/>
  <c r="W1196" i="13"/>
  <c r="X1196" i="13" s="1"/>
  <c r="H1196" i="13"/>
  <c r="U1196" i="13" s="1"/>
  <c r="A1196" i="13"/>
  <c r="X1195" i="13"/>
  <c r="W1195" i="13"/>
  <c r="H1195" i="13"/>
  <c r="U1195" i="13" s="1"/>
  <c r="A1195" i="13"/>
  <c r="W1194" i="13"/>
  <c r="X1194" i="13" s="1"/>
  <c r="H1194" i="13"/>
  <c r="U1194" i="13" s="1"/>
  <c r="A1194" i="13"/>
  <c r="W1193" i="13"/>
  <c r="X1193" i="13" s="1"/>
  <c r="H1193" i="13"/>
  <c r="U1193" i="13" s="1"/>
  <c r="A1193" i="13"/>
  <c r="W1192" i="13"/>
  <c r="X1192" i="13" s="1"/>
  <c r="H1192" i="13"/>
  <c r="U1192" i="13" s="1"/>
  <c r="A1192" i="13"/>
  <c r="W1191" i="13"/>
  <c r="X1191" i="13" s="1"/>
  <c r="U1191" i="13"/>
  <c r="H1191" i="13"/>
  <c r="A1191" i="13"/>
  <c r="W1190" i="13"/>
  <c r="X1190" i="13" s="1"/>
  <c r="H1190" i="13"/>
  <c r="U1190" i="13" s="1"/>
  <c r="A1190" i="13"/>
  <c r="X1189" i="13"/>
  <c r="W1189" i="13"/>
  <c r="H1189" i="13"/>
  <c r="U1189" i="13" s="1"/>
  <c r="A1189" i="13"/>
  <c r="W1188" i="13"/>
  <c r="X1188" i="13" s="1"/>
  <c r="H1188" i="13"/>
  <c r="U1188" i="13" s="1"/>
  <c r="A1188" i="13"/>
  <c r="W1187" i="13"/>
  <c r="X1187" i="13" s="1"/>
  <c r="U1187" i="13"/>
  <c r="H1187" i="13"/>
  <c r="A1187" i="13"/>
  <c r="W1186" i="13"/>
  <c r="X1186" i="13" s="1"/>
  <c r="H1186" i="13"/>
  <c r="U1186" i="13" s="1"/>
  <c r="A1186" i="13"/>
  <c r="W1185" i="13"/>
  <c r="X1185" i="13" s="1"/>
  <c r="H1185" i="13"/>
  <c r="U1185" i="13" s="1"/>
  <c r="A1185" i="13"/>
  <c r="W1184" i="13"/>
  <c r="X1184" i="13" s="1"/>
  <c r="H1184" i="13"/>
  <c r="U1184" i="13" s="1"/>
  <c r="A1184" i="13"/>
  <c r="W1183" i="13"/>
  <c r="X1183" i="13" s="1"/>
  <c r="U1183" i="13"/>
  <c r="H1183" i="13"/>
  <c r="A1183" i="13"/>
  <c r="W1182" i="13"/>
  <c r="X1182" i="13" s="1"/>
  <c r="H1182" i="13"/>
  <c r="U1182" i="13" s="1"/>
  <c r="A1182" i="13"/>
  <c r="W1181" i="13"/>
  <c r="X1181" i="13" s="1"/>
  <c r="H1181" i="13"/>
  <c r="U1181" i="13" s="1"/>
  <c r="A1181" i="13"/>
  <c r="W1180" i="13"/>
  <c r="X1180" i="13" s="1"/>
  <c r="H1180" i="13"/>
  <c r="U1180" i="13" s="1"/>
  <c r="A1180" i="13"/>
  <c r="X1179" i="13"/>
  <c r="W1179" i="13"/>
  <c r="H1179" i="13"/>
  <c r="U1179" i="13" s="1"/>
  <c r="A1179" i="13"/>
  <c r="W1178" i="13"/>
  <c r="X1178" i="13" s="1"/>
  <c r="H1178" i="13"/>
  <c r="U1178" i="13" s="1"/>
  <c r="A1178" i="13"/>
  <c r="W1177" i="13"/>
  <c r="X1177" i="13" s="1"/>
  <c r="H1177" i="13"/>
  <c r="U1177" i="13" s="1"/>
  <c r="A1177" i="13"/>
  <c r="W1176" i="13"/>
  <c r="X1176" i="13" s="1"/>
  <c r="H1176" i="13"/>
  <c r="U1176" i="13" s="1"/>
  <c r="A1176" i="13"/>
  <c r="W1175" i="13"/>
  <c r="X1175" i="13" s="1"/>
  <c r="U1175" i="13"/>
  <c r="H1175" i="13"/>
  <c r="A1175" i="13"/>
  <c r="W1174" i="13"/>
  <c r="X1174" i="13" s="1"/>
  <c r="H1174" i="13"/>
  <c r="U1174" i="13" s="1"/>
  <c r="A1174" i="13"/>
  <c r="X1173" i="13"/>
  <c r="W1173" i="13"/>
  <c r="H1173" i="13"/>
  <c r="U1173" i="13" s="1"/>
  <c r="A1173" i="13"/>
  <c r="W1172" i="13"/>
  <c r="X1172" i="13" s="1"/>
  <c r="H1172" i="13"/>
  <c r="U1172" i="13" s="1"/>
  <c r="A1172" i="13"/>
  <c r="W1171" i="13"/>
  <c r="X1171" i="13" s="1"/>
  <c r="U1171" i="13"/>
  <c r="H1171" i="13"/>
  <c r="A1171" i="13"/>
  <c r="W1170" i="13"/>
  <c r="X1170" i="13" s="1"/>
  <c r="H1170" i="13"/>
  <c r="U1170" i="13" s="1"/>
  <c r="A1170" i="13"/>
  <c r="W1169" i="13"/>
  <c r="X1169" i="13" s="1"/>
  <c r="H1169" i="13"/>
  <c r="U1169" i="13" s="1"/>
  <c r="A1169" i="13"/>
  <c r="W1168" i="13"/>
  <c r="X1168" i="13" s="1"/>
  <c r="H1168" i="13"/>
  <c r="U1168" i="13" s="1"/>
  <c r="A1168" i="13"/>
  <c r="W1167" i="13"/>
  <c r="X1167" i="13" s="1"/>
  <c r="U1167" i="13"/>
  <c r="H1167" i="13"/>
  <c r="A1167" i="13"/>
  <c r="W1166" i="13"/>
  <c r="X1166" i="13" s="1"/>
  <c r="H1166" i="13"/>
  <c r="U1166" i="13" s="1"/>
  <c r="A1166" i="13"/>
  <c r="W1165" i="13"/>
  <c r="X1165" i="13" s="1"/>
  <c r="H1165" i="13"/>
  <c r="U1165" i="13" s="1"/>
  <c r="A1165" i="13"/>
  <c r="W1164" i="13"/>
  <c r="X1164" i="13" s="1"/>
  <c r="H1164" i="13"/>
  <c r="U1164" i="13" s="1"/>
  <c r="A1164" i="13"/>
  <c r="W1163" i="13"/>
  <c r="X1163" i="13" s="1"/>
  <c r="U1163" i="13"/>
  <c r="H1163" i="13"/>
  <c r="A1163" i="13"/>
  <c r="W1162" i="13"/>
  <c r="X1162" i="13" s="1"/>
  <c r="H1162" i="13"/>
  <c r="U1162" i="13" s="1"/>
  <c r="A1162" i="13"/>
  <c r="W1161" i="13"/>
  <c r="X1161" i="13" s="1"/>
  <c r="H1161" i="13"/>
  <c r="U1161" i="13" s="1"/>
  <c r="A1161" i="13"/>
  <c r="W1160" i="13"/>
  <c r="X1160" i="13" s="1"/>
  <c r="H1160" i="13"/>
  <c r="U1160" i="13" s="1"/>
  <c r="A1160" i="13"/>
  <c r="W1159" i="13"/>
  <c r="X1159" i="13" s="1"/>
  <c r="U1159" i="13"/>
  <c r="H1159" i="13"/>
  <c r="A1159" i="13"/>
  <c r="W1158" i="13"/>
  <c r="X1158" i="13" s="1"/>
  <c r="H1158" i="13"/>
  <c r="U1158" i="13" s="1"/>
  <c r="A1158" i="13"/>
  <c r="W1157" i="13"/>
  <c r="X1157" i="13" s="1"/>
  <c r="H1157" i="13"/>
  <c r="U1157" i="13" s="1"/>
  <c r="A1157" i="13"/>
  <c r="W1156" i="13"/>
  <c r="X1156" i="13" s="1"/>
  <c r="H1156" i="13"/>
  <c r="U1156" i="13" s="1"/>
  <c r="A1156" i="13"/>
  <c r="W1155" i="13"/>
  <c r="X1155" i="13" s="1"/>
  <c r="H1155" i="13"/>
  <c r="U1155" i="13" s="1"/>
  <c r="A1155" i="13"/>
  <c r="W1154" i="13"/>
  <c r="X1154" i="13" s="1"/>
  <c r="H1154" i="13"/>
  <c r="U1154" i="13" s="1"/>
  <c r="A1154" i="13"/>
  <c r="W1153" i="13"/>
  <c r="X1153" i="13" s="1"/>
  <c r="U1153" i="13"/>
  <c r="H1153" i="13"/>
  <c r="A1153" i="13"/>
  <c r="W1152" i="13"/>
  <c r="X1152" i="13" s="1"/>
  <c r="H1152" i="13"/>
  <c r="U1152" i="13" s="1"/>
  <c r="A1152" i="13"/>
  <c r="W1151" i="13"/>
  <c r="X1151" i="13" s="1"/>
  <c r="H1151" i="13"/>
  <c r="U1151" i="13" s="1"/>
  <c r="A1151" i="13"/>
  <c r="W1150" i="13"/>
  <c r="X1150" i="13" s="1"/>
  <c r="H1150" i="13"/>
  <c r="U1150" i="13" s="1"/>
  <c r="A1150" i="13"/>
  <c r="W1149" i="13"/>
  <c r="X1149" i="13" s="1"/>
  <c r="H1149" i="13"/>
  <c r="U1149" i="13" s="1"/>
  <c r="A1149" i="13"/>
  <c r="W1148" i="13"/>
  <c r="X1148" i="13" s="1"/>
  <c r="H1148" i="13"/>
  <c r="U1148" i="13" s="1"/>
  <c r="A1148" i="13"/>
  <c r="W1147" i="13"/>
  <c r="X1147" i="13" s="1"/>
  <c r="H1147" i="13"/>
  <c r="U1147" i="13" s="1"/>
  <c r="A1147" i="13"/>
  <c r="W1146" i="13"/>
  <c r="X1146" i="13" s="1"/>
  <c r="H1146" i="13"/>
  <c r="U1146" i="13" s="1"/>
  <c r="A1146" i="13"/>
  <c r="W1145" i="13"/>
  <c r="X1145" i="13" s="1"/>
  <c r="H1145" i="13"/>
  <c r="U1145" i="13" s="1"/>
  <c r="A1145" i="13"/>
  <c r="W1144" i="13"/>
  <c r="X1144" i="13" s="1"/>
  <c r="U1144" i="13"/>
  <c r="H1144" i="13"/>
  <c r="A1144" i="13"/>
  <c r="W1143" i="13"/>
  <c r="X1143" i="13" s="1"/>
  <c r="U1143" i="13"/>
  <c r="H1143" i="13"/>
  <c r="A1143" i="13"/>
  <c r="W1142" i="13"/>
  <c r="X1142" i="13" s="1"/>
  <c r="H1142" i="13"/>
  <c r="U1142" i="13" s="1"/>
  <c r="A1142" i="13"/>
  <c r="W1141" i="13"/>
  <c r="X1141" i="13" s="1"/>
  <c r="H1141" i="13"/>
  <c r="U1141" i="13" s="1"/>
  <c r="A1141" i="13"/>
  <c r="W1140" i="13"/>
  <c r="X1140" i="13" s="1"/>
  <c r="H1140" i="13"/>
  <c r="U1140" i="13" s="1"/>
  <c r="A1140" i="13"/>
  <c r="W1139" i="13"/>
  <c r="X1139" i="13" s="1"/>
  <c r="H1139" i="13"/>
  <c r="U1139" i="13" s="1"/>
  <c r="A1139" i="13"/>
  <c r="W1138" i="13"/>
  <c r="X1138" i="13" s="1"/>
  <c r="H1138" i="13"/>
  <c r="U1138" i="13" s="1"/>
  <c r="A1138" i="13"/>
  <c r="W1137" i="13"/>
  <c r="X1137" i="13" s="1"/>
  <c r="H1137" i="13"/>
  <c r="U1137" i="13" s="1"/>
  <c r="A1137" i="13"/>
  <c r="W1136" i="13"/>
  <c r="X1136" i="13" s="1"/>
  <c r="U1136" i="13"/>
  <c r="H1136" i="13"/>
  <c r="A1136" i="13"/>
  <c r="W1135" i="13"/>
  <c r="X1135" i="13" s="1"/>
  <c r="H1135" i="13"/>
  <c r="U1135" i="13" s="1"/>
  <c r="A1135" i="13"/>
  <c r="W1134" i="13"/>
  <c r="X1134" i="13" s="1"/>
  <c r="H1134" i="13"/>
  <c r="U1134" i="13" s="1"/>
  <c r="A1134" i="13"/>
  <c r="W1133" i="13"/>
  <c r="X1133" i="13" s="1"/>
  <c r="H1133" i="13"/>
  <c r="U1133" i="13" s="1"/>
  <c r="A1133" i="13"/>
  <c r="W1132" i="13"/>
  <c r="X1132" i="13" s="1"/>
  <c r="H1132" i="13"/>
  <c r="U1132" i="13" s="1"/>
  <c r="A1132" i="13"/>
  <c r="W1131" i="13"/>
  <c r="X1131" i="13" s="1"/>
  <c r="U1131" i="13"/>
  <c r="H1131" i="13"/>
  <c r="A1131" i="13"/>
  <c r="W1130" i="13"/>
  <c r="X1130" i="13" s="1"/>
  <c r="H1130" i="13"/>
  <c r="U1130" i="13" s="1"/>
  <c r="A1130" i="13"/>
  <c r="W1129" i="13"/>
  <c r="X1129" i="13" s="1"/>
  <c r="U1129" i="13"/>
  <c r="H1129" i="13"/>
  <c r="A1129" i="13"/>
  <c r="W1128" i="13"/>
  <c r="X1128" i="13" s="1"/>
  <c r="U1128" i="13"/>
  <c r="H1128" i="13"/>
  <c r="A1128" i="13"/>
  <c r="W1127" i="13"/>
  <c r="X1127" i="13" s="1"/>
  <c r="H1127" i="13"/>
  <c r="U1127" i="13" s="1"/>
  <c r="A1127" i="13"/>
  <c r="W1126" i="13"/>
  <c r="X1126" i="13" s="1"/>
  <c r="H1126" i="13"/>
  <c r="U1126" i="13" s="1"/>
  <c r="A1126" i="13"/>
  <c r="W1125" i="13"/>
  <c r="X1125" i="13" s="1"/>
  <c r="H1125" i="13"/>
  <c r="U1125" i="13" s="1"/>
  <c r="A1125" i="13"/>
  <c r="W1124" i="13"/>
  <c r="X1124" i="13" s="1"/>
  <c r="U1124" i="13"/>
  <c r="H1124" i="13"/>
  <c r="A1124" i="13"/>
  <c r="X1123" i="13"/>
  <c r="W1123" i="13"/>
  <c r="H1123" i="13"/>
  <c r="U1123" i="13" s="1"/>
  <c r="A1123" i="13"/>
  <c r="W1122" i="13"/>
  <c r="X1122" i="13" s="1"/>
  <c r="H1122" i="13"/>
  <c r="U1122" i="13" s="1"/>
  <c r="A1122" i="13"/>
  <c r="W1121" i="13"/>
  <c r="X1121" i="13" s="1"/>
  <c r="H1121" i="13"/>
  <c r="U1121" i="13" s="1"/>
  <c r="A1121" i="13"/>
  <c r="W1120" i="13"/>
  <c r="X1120" i="13" s="1"/>
  <c r="H1120" i="13"/>
  <c r="U1120" i="13" s="1"/>
  <c r="A1120" i="13"/>
  <c r="W1119" i="13"/>
  <c r="X1119" i="13" s="1"/>
  <c r="U1119" i="13"/>
  <c r="H1119" i="13"/>
  <c r="A1119" i="13"/>
  <c r="W1118" i="13"/>
  <c r="X1118" i="13" s="1"/>
  <c r="H1118" i="13"/>
  <c r="U1118" i="13" s="1"/>
  <c r="A1118" i="13"/>
  <c r="W1117" i="13"/>
  <c r="X1117" i="13" s="1"/>
  <c r="H1117" i="13"/>
  <c r="U1117" i="13" s="1"/>
  <c r="A1117" i="13"/>
  <c r="W1116" i="13"/>
  <c r="X1116" i="13" s="1"/>
  <c r="H1116" i="13"/>
  <c r="U1116" i="13" s="1"/>
  <c r="A1116" i="13"/>
  <c r="W1115" i="13"/>
  <c r="X1115" i="13" s="1"/>
  <c r="H1115" i="13"/>
  <c r="U1115" i="13" s="1"/>
  <c r="A1115" i="13"/>
  <c r="W1114" i="13"/>
  <c r="X1114" i="13" s="1"/>
  <c r="H1114" i="13"/>
  <c r="U1114" i="13" s="1"/>
  <c r="A1114" i="13"/>
  <c r="W1113" i="13"/>
  <c r="X1113" i="13" s="1"/>
  <c r="U1113" i="13"/>
  <c r="H1113" i="13"/>
  <c r="A1113" i="13"/>
  <c r="W1112" i="13"/>
  <c r="X1112" i="13" s="1"/>
  <c r="H1112" i="13"/>
  <c r="U1112" i="13" s="1"/>
  <c r="A1112" i="13"/>
  <c r="W1111" i="13"/>
  <c r="X1111" i="13" s="1"/>
  <c r="H1111" i="13"/>
  <c r="U1111" i="13" s="1"/>
  <c r="A1111" i="13"/>
  <c r="W1110" i="13"/>
  <c r="X1110" i="13" s="1"/>
  <c r="H1110" i="13"/>
  <c r="U1110" i="13" s="1"/>
  <c r="A1110" i="13"/>
  <c r="W1109" i="13"/>
  <c r="X1109" i="13" s="1"/>
  <c r="U1109" i="13"/>
  <c r="H1109" i="13"/>
  <c r="A1109" i="13"/>
  <c r="W1108" i="13"/>
  <c r="X1108" i="13" s="1"/>
  <c r="U1108" i="13"/>
  <c r="H1108" i="13"/>
  <c r="A1108" i="13"/>
  <c r="W1107" i="13"/>
  <c r="X1107" i="13" s="1"/>
  <c r="U1107" i="13"/>
  <c r="H1107" i="13"/>
  <c r="A1107" i="13"/>
  <c r="W1106" i="13"/>
  <c r="X1106" i="13" s="1"/>
  <c r="H1106" i="13"/>
  <c r="U1106" i="13" s="1"/>
  <c r="A1106" i="13"/>
  <c r="W1105" i="13"/>
  <c r="X1105" i="13" s="1"/>
  <c r="H1105" i="13"/>
  <c r="U1105" i="13" s="1"/>
  <c r="A1105" i="13"/>
  <c r="W1104" i="13"/>
  <c r="X1104" i="13" s="1"/>
  <c r="U1104" i="13"/>
  <c r="H1104" i="13"/>
  <c r="A1104" i="13"/>
  <c r="W1103" i="13"/>
  <c r="X1103" i="13" s="1"/>
  <c r="U1103" i="13"/>
  <c r="H1103" i="13"/>
  <c r="A1103" i="13"/>
  <c r="W1102" i="13"/>
  <c r="X1102" i="13" s="1"/>
  <c r="H1102" i="13"/>
  <c r="U1102" i="13" s="1"/>
  <c r="A1102" i="13"/>
  <c r="W1101" i="13"/>
  <c r="X1101" i="13" s="1"/>
  <c r="H1101" i="13"/>
  <c r="U1101" i="13" s="1"/>
  <c r="A1101" i="13"/>
  <c r="W1100" i="13"/>
  <c r="X1100" i="13" s="1"/>
  <c r="H1100" i="13"/>
  <c r="U1100" i="13" s="1"/>
  <c r="A1100" i="13"/>
  <c r="W1099" i="13"/>
  <c r="X1099" i="13" s="1"/>
  <c r="U1099" i="13"/>
  <c r="H1099" i="13"/>
  <c r="A1099" i="13"/>
  <c r="W1098" i="13"/>
  <c r="X1098" i="13" s="1"/>
  <c r="H1098" i="13"/>
  <c r="U1098" i="13" s="1"/>
  <c r="A1098" i="13"/>
  <c r="W1097" i="13"/>
  <c r="X1097" i="13" s="1"/>
  <c r="H1097" i="13"/>
  <c r="U1097" i="13" s="1"/>
  <c r="A1097" i="13"/>
  <c r="W1096" i="13"/>
  <c r="X1096" i="13" s="1"/>
  <c r="H1096" i="13"/>
  <c r="U1096" i="13" s="1"/>
  <c r="A1096" i="13"/>
  <c r="W1095" i="13"/>
  <c r="X1095" i="13" s="1"/>
  <c r="U1095" i="13"/>
  <c r="H1095" i="13"/>
  <c r="A1095" i="13"/>
  <c r="X1094" i="13"/>
  <c r="W1094" i="13"/>
  <c r="H1094" i="13"/>
  <c r="U1094" i="13" s="1"/>
  <c r="A1094" i="13"/>
  <c r="W1093" i="13"/>
  <c r="X1093" i="13" s="1"/>
  <c r="H1093" i="13"/>
  <c r="U1093" i="13" s="1"/>
  <c r="A1093" i="13"/>
  <c r="W1092" i="13"/>
  <c r="X1092" i="13" s="1"/>
  <c r="U1092" i="13"/>
  <c r="H1092" i="13"/>
  <c r="A1092" i="13"/>
  <c r="W1091" i="13"/>
  <c r="X1091" i="13" s="1"/>
  <c r="H1091" i="13"/>
  <c r="U1091" i="13" s="1"/>
  <c r="A1091" i="13"/>
  <c r="W1090" i="13"/>
  <c r="X1090" i="13" s="1"/>
  <c r="H1090" i="13"/>
  <c r="U1090" i="13" s="1"/>
  <c r="A1090" i="13"/>
  <c r="W1089" i="13"/>
  <c r="X1089" i="13" s="1"/>
  <c r="H1089" i="13"/>
  <c r="U1089" i="13" s="1"/>
  <c r="A1089" i="13"/>
  <c r="W1088" i="13"/>
  <c r="X1088" i="13" s="1"/>
  <c r="H1088" i="13"/>
  <c r="U1088" i="13" s="1"/>
  <c r="A1088" i="13"/>
  <c r="W1087" i="13"/>
  <c r="X1087" i="13" s="1"/>
  <c r="U1087" i="13"/>
  <c r="H1087" i="13"/>
  <c r="A1087" i="13"/>
  <c r="W1086" i="13"/>
  <c r="X1086" i="13" s="1"/>
  <c r="H1086" i="13"/>
  <c r="U1086" i="13" s="1"/>
  <c r="A1086" i="13"/>
  <c r="W1085" i="13"/>
  <c r="X1085" i="13" s="1"/>
  <c r="U1085" i="13"/>
  <c r="H1085" i="13"/>
  <c r="A1085" i="13"/>
  <c r="W1084" i="13"/>
  <c r="X1084" i="13" s="1"/>
  <c r="H1084" i="13"/>
  <c r="U1084" i="13" s="1"/>
  <c r="A1084" i="13"/>
  <c r="W1083" i="13"/>
  <c r="X1083" i="13" s="1"/>
  <c r="H1083" i="13"/>
  <c r="U1083" i="13" s="1"/>
  <c r="A1083" i="13"/>
  <c r="W1082" i="13"/>
  <c r="X1082" i="13" s="1"/>
  <c r="H1082" i="13"/>
  <c r="U1082" i="13" s="1"/>
  <c r="A1082" i="13"/>
  <c r="W1081" i="13"/>
  <c r="X1081" i="13" s="1"/>
  <c r="U1081" i="13"/>
  <c r="H1081" i="13"/>
  <c r="A1081" i="13"/>
  <c r="W1080" i="13"/>
  <c r="X1080" i="13" s="1"/>
  <c r="U1080" i="13"/>
  <c r="H1080" i="13"/>
  <c r="A1080" i="13"/>
  <c r="W1079" i="13"/>
  <c r="X1079" i="13" s="1"/>
  <c r="U1079" i="13"/>
  <c r="H1079" i="13"/>
  <c r="A1079" i="13"/>
  <c r="W1078" i="13"/>
  <c r="X1078" i="13" s="1"/>
  <c r="H1078" i="13"/>
  <c r="U1078" i="13" s="1"/>
  <c r="A1078" i="13"/>
  <c r="W1077" i="13"/>
  <c r="X1077" i="13" s="1"/>
  <c r="H1077" i="13"/>
  <c r="U1077" i="13" s="1"/>
  <c r="A1077" i="13"/>
  <c r="W1076" i="13"/>
  <c r="X1076" i="13" s="1"/>
  <c r="U1076" i="13"/>
  <c r="H1076" i="13"/>
  <c r="A1076" i="13"/>
  <c r="W1075" i="13"/>
  <c r="X1075" i="13" s="1"/>
  <c r="U1075" i="13"/>
  <c r="H1075" i="13"/>
  <c r="A1075" i="13"/>
  <c r="W1074" i="13"/>
  <c r="X1074" i="13" s="1"/>
  <c r="H1074" i="13"/>
  <c r="U1074" i="13" s="1"/>
  <c r="A1074" i="13"/>
  <c r="W1073" i="13"/>
  <c r="X1073" i="13" s="1"/>
  <c r="H1073" i="13"/>
  <c r="U1073" i="13" s="1"/>
  <c r="A1073" i="13"/>
  <c r="W1072" i="13"/>
  <c r="X1072" i="13" s="1"/>
  <c r="U1072" i="13"/>
  <c r="H1072" i="13"/>
  <c r="A1072" i="13"/>
  <c r="W1071" i="13"/>
  <c r="X1071" i="13" s="1"/>
  <c r="U1071" i="13"/>
  <c r="H1071" i="13"/>
  <c r="A1071" i="13"/>
  <c r="X1070" i="13"/>
  <c r="W1070" i="13"/>
  <c r="H1070" i="13"/>
  <c r="U1070" i="13" s="1"/>
  <c r="A1070" i="13"/>
  <c r="W1069" i="13"/>
  <c r="X1069" i="13" s="1"/>
  <c r="U1069" i="13"/>
  <c r="H1069" i="13"/>
  <c r="A1069" i="13"/>
  <c r="W1068" i="13"/>
  <c r="X1068" i="13" s="1"/>
  <c r="H1068" i="13"/>
  <c r="U1068" i="13" s="1"/>
  <c r="A1068" i="13"/>
  <c r="W1067" i="13"/>
  <c r="X1067" i="13" s="1"/>
  <c r="U1067" i="13"/>
  <c r="H1067" i="13"/>
  <c r="A1067" i="13"/>
  <c r="W1066" i="13"/>
  <c r="X1066" i="13" s="1"/>
  <c r="H1066" i="13"/>
  <c r="U1066" i="13" s="1"/>
  <c r="A1066" i="13"/>
  <c r="W1065" i="13"/>
  <c r="X1065" i="13" s="1"/>
  <c r="U1065" i="13"/>
  <c r="H1065" i="13"/>
  <c r="A1065" i="13"/>
  <c r="W1064" i="13"/>
  <c r="X1064" i="13" s="1"/>
  <c r="U1064" i="13"/>
  <c r="H1064" i="13"/>
  <c r="A1064" i="13"/>
  <c r="W1063" i="13"/>
  <c r="X1063" i="13" s="1"/>
  <c r="U1063" i="13"/>
  <c r="H1063" i="13"/>
  <c r="A1063" i="13"/>
  <c r="W1062" i="13"/>
  <c r="X1062" i="13" s="1"/>
  <c r="H1062" i="13"/>
  <c r="U1062" i="13" s="1"/>
  <c r="A1062" i="13"/>
  <c r="W1061" i="13"/>
  <c r="X1061" i="13" s="1"/>
  <c r="H1061" i="13"/>
  <c r="U1061" i="13" s="1"/>
  <c r="A1061" i="13"/>
  <c r="W1060" i="13"/>
  <c r="X1060" i="13" s="1"/>
  <c r="U1060" i="13"/>
  <c r="H1060" i="13"/>
  <c r="A1060" i="13"/>
  <c r="W1059" i="13"/>
  <c r="X1059" i="13" s="1"/>
  <c r="U1059" i="13"/>
  <c r="H1059" i="13"/>
  <c r="A1059" i="13"/>
  <c r="W1058" i="13"/>
  <c r="X1058" i="13" s="1"/>
  <c r="H1058" i="13"/>
  <c r="U1058" i="13" s="1"/>
  <c r="A1058" i="13"/>
  <c r="X1057" i="13"/>
  <c r="W1057" i="13"/>
  <c r="H1057" i="13"/>
  <c r="U1057" i="13" s="1"/>
  <c r="A1057" i="13"/>
  <c r="W1056" i="13"/>
  <c r="X1056" i="13" s="1"/>
  <c r="H1056" i="13"/>
  <c r="U1056" i="13" s="1"/>
  <c r="A1056" i="13"/>
  <c r="W1055" i="13"/>
  <c r="X1055" i="13" s="1"/>
  <c r="H1055" i="13"/>
  <c r="U1055" i="13" s="1"/>
  <c r="A1055" i="13"/>
  <c r="W1054" i="13"/>
  <c r="X1054" i="13" s="1"/>
  <c r="H1054" i="13"/>
  <c r="U1054" i="13" s="1"/>
  <c r="A1054" i="13"/>
  <c r="W1053" i="13"/>
  <c r="X1053" i="13" s="1"/>
  <c r="H1053" i="13"/>
  <c r="U1053" i="13" s="1"/>
  <c r="A1053" i="13"/>
  <c r="W1052" i="13"/>
  <c r="X1052" i="13" s="1"/>
  <c r="H1052" i="13"/>
  <c r="U1052" i="13" s="1"/>
  <c r="A1052" i="13"/>
  <c r="W1051" i="13"/>
  <c r="X1051" i="13" s="1"/>
  <c r="U1051" i="13"/>
  <c r="H1051" i="13"/>
  <c r="A1051" i="13"/>
  <c r="W1050" i="13"/>
  <c r="X1050" i="13" s="1"/>
  <c r="H1050" i="13"/>
  <c r="U1050" i="13" s="1"/>
  <c r="A1050" i="13"/>
  <c r="W1049" i="13"/>
  <c r="X1049" i="13" s="1"/>
  <c r="U1049" i="13"/>
  <c r="H1049" i="13"/>
  <c r="A1049" i="13"/>
  <c r="W1048" i="13"/>
  <c r="X1048" i="13" s="1"/>
  <c r="H1048" i="13"/>
  <c r="U1048" i="13" s="1"/>
  <c r="A1048" i="13"/>
  <c r="W1047" i="13"/>
  <c r="X1047" i="13" s="1"/>
  <c r="U1047" i="13"/>
  <c r="H1047" i="13"/>
  <c r="A1047" i="13"/>
  <c r="W1046" i="13"/>
  <c r="X1046" i="13" s="1"/>
  <c r="H1046" i="13"/>
  <c r="U1046" i="13" s="1"/>
  <c r="A1046" i="13"/>
  <c r="W1045" i="13"/>
  <c r="X1045" i="13" s="1"/>
  <c r="H1045" i="13"/>
  <c r="U1045" i="13" s="1"/>
  <c r="A1045" i="13"/>
  <c r="W1044" i="13"/>
  <c r="X1044" i="13" s="1"/>
  <c r="U1044" i="13"/>
  <c r="H1044" i="13"/>
  <c r="A1044" i="13"/>
  <c r="W1043" i="13"/>
  <c r="X1043" i="13" s="1"/>
  <c r="H1043" i="13"/>
  <c r="U1043" i="13" s="1"/>
  <c r="A1043" i="13"/>
  <c r="W1042" i="13"/>
  <c r="X1042" i="13" s="1"/>
  <c r="H1042" i="13"/>
  <c r="U1042" i="13" s="1"/>
  <c r="A1042" i="13"/>
  <c r="W1041" i="13"/>
  <c r="X1041" i="13" s="1"/>
  <c r="H1041" i="13"/>
  <c r="U1041" i="13" s="1"/>
  <c r="A1041" i="13"/>
  <c r="W1040" i="13"/>
  <c r="X1040" i="13" s="1"/>
  <c r="U1040" i="13"/>
  <c r="H1040" i="13"/>
  <c r="A1040" i="13"/>
  <c r="W1039" i="13"/>
  <c r="X1039" i="13" s="1"/>
  <c r="U1039" i="13"/>
  <c r="H1039" i="13"/>
  <c r="A1039" i="13"/>
  <c r="W1038" i="13"/>
  <c r="X1038" i="13" s="1"/>
  <c r="H1038" i="13"/>
  <c r="U1038" i="13" s="1"/>
  <c r="A1038" i="13"/>
  <c r="W1037" i="13"/>
  <c r="X1037" i="13" s="1"/>
  <c r="H1037" i="13"/>
  <c r="U1037" i="13" s="1"/>
  <c r="A1037" i="13"/>
  <c r="W1036" i="13"/>
  <c r="X1036" i="13" s="1"/>
  <c r="H1036" i="13"/>
  <c r="U1036" i="13" s="1"/>
  <c r="A1036" i="13"/>
  <c r="W1035" i="13"/>
  <c r="X1035" i="13" s="1"/>
  <c r="H1035" i="13"/>
  <c r="U1035" i="13" s="1"/>
  <c r="A1035" i="13"/>
  <c r="W1034" i="13"/>
  <c r="X1034" i="13" s="1"/>
  <c r="H1034" i="13"/>
  <c r="U1034" i="13" s="1"/>
  <c r="A1034" i="13"/>
  <c r="W1033" i="13"/>
  <c r="X1033" i="13" s="1"/>
  <c r="U1033" i="13"/>
  <c r="H1033" i="13"/>
  <c r="A1033" i="13"/>
  <c r="W1032" i="13"/>
  <c r="X1032" i="13" s="1"/>
  <c r="U1032" i="13"/>
  <c r="H1032" i="13"/>
  <c r="A1032" i="13"/>
  <c r="W1031" i="13"/>
  <c r="X1031" i="13" s="1"/>
  <c r="U1031" i="13"/>
  <c r="H1031" i="13"/>
  <c r="A1031" i="13"/>
  <c r="W1030" i="13"/>
  <c r="X1030" i="13" s="1"/>
  <c r="H1030" i="13"/>
  <c r="U1030" i="13" s="1"/>
  <c r="A1030" i="13"/>
  <c r="X1029" i="13"/>
  <c r="W1029" i="13"/>
  <c r="H1029" i="13"/>
  <c r="U1029" i="13" s="1"/>
  <c r="A1029" i="13"/>
  <c r="W1028" i="13"/>
  <c r="X1028" i="13" s="1"/>
  <c r="H1028" i="13"/>
  <c r="U1028" i="13" s="1"/>
  <c r="A1028" i="13"/>
  <c r="X1027" i="13"/>
  <c r="W1027" i="13"/>
  <c r="U1027" i="13"/>
  <c r="H1027" i="13"/>
  <c r="A1027" i="13"/>
  <c r="W1026" i="13"/>
  <c r="X1026" i="13" s="1"/>
  <c r="H1026" i="13"/>
  <c r="U1026" i="13" s="1"/>
  <c r="A1026" i="13"/>
  <c r="W1025" i="13"/>
  <c r="X1025" i="13" s="1"/>
  <c r="H1025" i="13"/>
  <c r="U1025" i="13" s="1"/>
  <c r="A1025" i="13"/>
  <c r="W1024" i="13"/>
  <c r="X1024" i="13" s="1"/>
  <c r="U1024" i="13"/>
  <c r="H1024" i="13"/>
  <c r="A1024" i="13"/>
  <c r="W1023" i="13"/>
  <c r="X1023" i="13" s="1"/>
  <c r="U1023" i="13"/>
  <c r="H1023" i="13"/>
  <c r="A1023" i="13"/>
  <c r="W1022" i="13"/>
  <c r="X1022" i="13" s="1"/>
  <c r="H1022" i="13"/>
  <c r="U1022" i="13" s="1"/>
  <c r="A1022" i="13"/>
  <c r="W1021" i="13"/>
  <c r="X1021" i="13" s="1"/>
  <c r="U1021" i="13"/>
  <c r="H1021" i="13"/>
  <c r="A1021" i="13"/>
  <c r="W1020" i="13"/>
  <c r="X1020" i="13" s="1"/>
  <c r="H1020" i="13"/>
  <c r="U1020" i="13" s="1"/>
  <c r="A1020" i="13"/>
  <c r="W1019" i="13"/>
  <c r="X1019" i="13" s="1"/>
  <c r="U1019" i="13"/>
  <c r="H1019" i="13"/>
  <c r="A1019" i="13"/>
  <c r="W1018" i="13"/>
  <c r="X1018" i="13" s="1"/>
  <c r="H1018" i="13"/>
  <c r="U1018" i="13" s="1"/>
  <c r="A1018" i="13"/>
  <c r="W1017" i="13"/>
  <c r="X1017" i="13" s="1"/>
  <c r="H1017" i="13"/>
  <c r="U1017" i="13" s="1"/>
  <c r="A1017" i="13"/>
  <c r="W1016" i="13"/>
  <c r="X1016" i="13" s="1"/>
  <c r="H1016" i="13"/>
  <c r="U1016" i="13" s="1"/>
  <c r="A1016" i="13"/>
  <c r="W1015" i="13"/>
  <c r="X1015" i="13" s="1"/>
  <c r="U1015" i="13"/>
  <c r="H1015" i="13"/>
  <c r="A1015" i="13"/>
  <c r="W1014" i="13"/>
  <c r="X1014" i="13" s="1"/>
  <c r="H1014" i="13"/>
  <c r="U1014" i="13" s="1"/>
  <c r="A1014" i="13"/>
  <c r="W1013" i="13"/>
  <c r="X1013" i="13" s="1"/>
  <c r="H1013" i="13"/>
  <c r="U1013" i="13" s="1"/>
  <c r="A1013" i="13"/>
  <c r="W1012" i="13"/>
  <c r="X1012" i="13" s="1"/>
  <c r="U1012" i="13"/>
  <c r="H1012" i="13"/>
  <c r="A1012" i="13"/>
  <c r="W1011" i="13"/>
  <c r="X1011" i="13" s="1"/>
  <c r="U1011" i="13"/>
  <c r="H1011" i="13"/>
  <c r="A1011" i="13"/>
  <c r="W1010" i="13"/>
  <c r="X1010" i="13" s="1"/>
  <c r="H1010" i="13"/>
  <c r="U1010" i="13" s="1"/>
  <c r="A1010" i="13"/>
  <c r="W1009" i="13"/>
  <c r="X1009" i="13" s="1"/>
  <c r="H1009" i="13"/>
  <c r="U1009" i="13" s="1"/>
  <c r="A1009" i="13"/>
  <c r="W1008" i="13"/>
  <c r="X1008" i="13" s="1"/>
  <c r="U1008" i="13"/>
  <c r="H1008" i="13"/>
  <c r="A1008" i="13"/>
  <c r="W1007" i="13"/>
  <c r="X1007" i="13" s="1"/>
  <c r="U1007" i="13"/>
  <c r="H1007" i="13"/>
  <c r="A1007" i="13"/>
  <c r="W1006" i="13"/>
  <c r="X1006" i="13" s="1"/>
  <c r="H1006" i="13"/>
  <c r="U1006" i="13" s="1"/>
  <c r="A1006" i="13"/>
  <c r="W1005" i="13"/>
  <c r="X1005" i="13" s="1"/>
  <c r="H1005" i="13"/>
  <c r="U1005" i="13" s="1"/>
  <c r="A1005" i="13"/>
  <c r="W1004" i="13"/>
  <c r="X1004" i="13" s="1"/>
  <c r="H1004" i="13"/>
  <c r="U1004" i="13" s="1"/>
  <c r="A1004" i="13"/>
  <c r="W1003" i="13"/>
  <c r="X1003" i="13" s="1"/>
  <c r="H1003" i="13"/>
  <c r="U1003" i="13" s="1"/>
  <c r="A1003" i="13"/>
  <c r="W1002" i="13"/>
  <c r="X1002" i="13" s="1"/>
  <c r="H1002" i="13"/>
  <c r="U1002" i="13" s="1"/>
  <c r="A1002" i="13"/>
  <c r="W1001" i="13"/>
  <c r="X1001" i="13" s="1"/>
  <c r="U1001" i="13"/>
  <c r="H1001" i="13"/>
  <c r="A1001" i="13"/>
  <c r="W1000" i="13"/>
  <c r="X1000" i="13" s="1"/>
  <c r="H1000" i="13"/>
  <c r="U1000" i="13" s="1"/>
  <c r="A1000" i="13"/>
  <c r="W999" i="13"/>
  <c r="X999" i="13" s="1"/>
  <c r="H999" i="13"/>
  <c r="U999" i="13" s="1"/>
  <c r="A999" i="13"/>
  <c r="W998" i="13"/>
  <c r="X998" i="13" s="1"/>
  <c r="H998" i="13"/>
  <c r="U998" i="13" s="1"/>
  <c r="A998" i="13"/>
  <c r="W997" i="13"/>
  <c r="X997" i="13" s="1"/>
  <c r="H997" i="13"/>
  <c r="U997" i="13" s="1"/>
  <c r="A997" i="13"/>
  <c r="W996" i="13"/>
  <c r="X996" i="13" s="1"/>
  <c r="H996" i="13"/>
  <c r="U996" i="13" s="1"/>
  <c r="A996" i="13"/>
  <c r="W995" i="13"/>
  <c r="X995" i="13" s="1"/>
  <c r="U995" i="13"/>
  <c r="H995" i="13"/>
  <c r="A995" i="13"/>
  <c r="W994" i="13"/>
  <c r="X994" i="13" s="1"/>
  <c r="H994" i="13"/>
  <c r="U994" i="13" s="1"/>
  <c r="A994" i="13"/>
  <c r="W993" i="13"/>
  <c r="X993" i="13" s="1"/>
  <c r="H993" i="13"/>
  <c r="U993" i="13" s="1"/>
  <c r="A993" i="13"/>
  <c r="W992" i="13"/>
  <c r="X992" i="13" s="1"/>
  <c r="H992" i="13"/>
  <c r="U992" i="13" s="1"/>
  <c r="A992" i="13"/>
  <c r="W991" i="13"/>
  <c r="X991" i="13" s="1"/>
  <c r="H991" i="13"/>
  <c r="U991" i="13" s="1"/>
  <c r="A991" i="13"/>
  <c r="W990" i="13"/>
  <c r="X990" i="13" s="1"/>
  <c r="H990" i="13"/>
  <c r="U990" i="13" s="1"/>
  <c r="A990" i="13"/>
  <c r="W989" i="13"/>
  <c r="X989" i="13" s="1"/>
  <c r="H989" i="13"/>
  <c r="U989" i="13" s="1"/>
  <c r="A989" i="13"/>
  <c r="W988" i="13"/>
  <c r="X988" i="13" s="1"/>
  <c r="H988" i="13"/>
  <c r="U988" i="13" s="1"/>
  <c r="A988" i="13"/>
  <c r="W987" i="13"/>
  <c r="X987" i="13" s="1"/>
  <c r="H987" i="13"/>
  <c r="U987" i="13" s="1"/>
  <c r="A987" i="13"/>
  <c r="W986" i="13"/>
  <c r="X986" i="13" s="1"/>
  <c r="H986" i="13"/>
  <c r="U986" i="13" s="1"/>
  <c r="A986" i="13"/>
  <c r="W985" i="13"/>
  <c r="X985" i="13" s="1"/>
  <c r="H985" i="13"/>
  <c r="U985" i="13" s="1"/>
  <c r="A985" i="13"/>
  <c r="W984" i="13"/>
  <c r="X984" i="13" s="1"/>
  <c r="H984" i="13"/>
  <c r="U984" i="13" s="1"/>
  <c r="A984" i="13"/>
  <c r="W983" i="13"/>
  <c r="X983" i="13" s="1"/>
  <c r="U983" i="13"/>
  <c r="H983" i="13"/>
  <c r="A983" i="13"/>
  <c r="W982" i="13"/>
  <c r="X982" i="13" s="1"/>
  <c r="H982" i="13"/>
  <c r="U982" i="13" s="1"/>
  <c r="A982" i="13"/>
  <c r="W981" i="13"/>
  <c r="X981" i="13" s="1"/>
  <c r="H981" i="13"/>
  <c r="U981" i="13" s="1"/>
  <c r="A981" i="13"/>
  <c r="W980" i="13"/>
  <c r="X980" i="13" s="1"/>
  <c r="H980" i="13"/>
  <c r="U980" i="13" s="1"/>
  <c r="A980" i="13"/>
  <c r="W979" i="13"/>
  <c r="X979" i="13" s="1"/>
  <c r="U979" i="13"/>
  <c r="H979" i="13"/>
  <c r="A979" i="13"/>
  <c r="W978" i="13"/>
  <c r="X978" i="13" s="1"/>
  <c r="H978" i="13"/>
  <c r="U978" i="13" s="1"/>
  <c r="A978" i="13"/>
  <c r="W977" i="13"/>
  <c r="X977" i="13" s="1"/>
  <c r="H977" i="13"/>
  <c r="U977" i="13" s="1"/>
  <c r="A977" i="13"/>
  <c r="W976" i="13"/>
  <c r="X976" i="13" s="1"/>
  <c r="H976" i="13"/>
  <c r="U976" i="13" s="1"/>
  <c r="A976" i="13"/>
  <c r="W975" i="13"/>
  <c r="X975" i="13" s="1"/>
  <c r="U975" i="13"/>
  <c r="H975" i="13"/>
  <c r="A975" i="13"/>
  <c r="X974" i="13"/>
  <c r="W974" i="13"/>
  <c r="H974" i="13"/>
  <c r="U974" i="13" s="1"/>
  <c r="A974" i="13"/>
  <c r="W973" i="13"/>
  <c r="X973" i="13" s="1"/>
  <c r="H973" i="13"/>
  <c r="U973" i="13" s="1"/>
  <c r="A973" i="13"/>
  <c r="W972" i="13"/>
  <c r="X972" i="13" s="1"/>
  <c r="H972" i="13"/>
  <c r="U972" i="13" s="1"/>
  <c r="A972" i="13"/>
  <c r="W971" i="13"/>
  <c r="X971" i="13" s="1"/>
  <c r="U971" i="13"/>
  <c r="H971" i="13"/>
  <c r="A971" i="13"/>
  <c r="W970" i="13"/>
  <c r="X970" i="13" s="1"/>
  <c r="H970" i="13"/>
  <c r="U970" i="13" s="1"/>
  <c r="A970" i="13"/>
  <c r="W969" i="13"/>
  <c r="X969" i="13" s="1"/>
  <c r="U969" i="13"/>
  <c r="H969" i="13"/>
  <c r="A969" i="13"/>
  <c r="W968" i="13"/>
  <c r="X968" i="13" s="1"/>
  <c r="H968" i="13"/>
  <c r="U968" i="13" s="1"/>
  <c r="A968" i="13"/>
  <c r="W967" i="13"/>
  <c r="X967" i="13" s="1"/>
  <c r="H967" i="13"/>
  <c r="U967" i="13" s="1"/>
  <c r="A967" i="13"/>
  <c r="W966" i="13"/>
  <c r="X966" i="13" s="1"/>
  <c r="H966" i="13"/>
  <c r="U966" i="13" s="1"/>
  <c r="A966" i="13"/>
  <c r="W965" i="13"/>
  <c r="X965" i="13" s="1"/>
  <c r="H965" i="13"/>
  <c r="U965" i="13" s="1"/>
  <c r="A965" i="13"/>
  <c r="W964" i="13"/>
  <c r="X964" i="13" s="1"/>
  <c r="H964" i="13"/>
  <c r="U964" i="13" s="1"/>
  <c r="A964" i="13"/>
  <c r="W963" i="13"/>
  <c r="X963" i="13" s="1"/>
  <c r="H963" i="13"/>
  <c r="U963" i="13" s="1"/>
  <c r="A963" i="13"/>
  <c r="W962" i="13"/>
  <c r="X962" i="13" s="1"/>
  <c r="H962" i="13"/>
  <c r="U962" i="13" s="1"/>
  <c r="A962" i="13"/>
  <c r="W961" i="13"/>
  <c r="X961" i="13" s="1"/>
  <c r="H961" i="13"/>
  <c r="U961" i="13" s="1"/>
  <c r="A961" i="13"/>
  <c r="W960" i="13"/>
  <c r="X960" i="13" s="1"/>
  <c r="H960" i="13"/>
  <c r="U960" i="13" s="1"/>
  <c r="A960" i="13"/>
  <c r="W959" i="13"/>
  <c r="X959" i="13" s="1"/>
  <c r="U959" i="13"/>
  <c r="H959" i="13"/>
  <c r="A959" i="13"/>
  <c r="X958" i="13"/>
  <c r="W958" i="13"/>
  <c r="H958" i="13"/>
  <c r="U958" i="13" s="1"/>
  <c r="A958" i="13"/>
  <c r="W957" i="13"/>
  <c r="X957" i="13" s="1"/>
  <c r="H957" i="13"/>
  <c r="U957" i="13" s="1"/>
  <c r="A957" i="13"/>
  <c r="W956" i="13"/>
  <c r="X956" i="13" s="1"/>
  <c r="H956" i="13"/>
  <c r="U956" i="13" s="1"/>
  <c r="A956" i="13"/>
  <c r="W955" i="13"/>
  <c r="X955" i="13" s="1"/>
  <c r="H955" i="13"/>
  <c r="U955" i="13" s="1"/>
  <c r="A955" i="13"/>
  <c r="W954" i="13"/>
  <c r="X954" i="13" s="1"/>
  <c r="H954" i="13"/>
  <c r="U954" i="13" s="1"/>
  <c r="A954" i="13"/>
  <c r="W953" i="13"/>
  <c r="X953" i="13" s="1"/>
  <c r="U953" i="13"/>
  <c r="H953" i="13"/>
  <c r="A953" i="13"/>
  <c r="W952" i="13"/>
  <c r="X952" i="13" s="1"/>
  <c r="H952" i="13"/>
  <c r="U952" i="13" s="1"/>
  <c r="A952" i="13"/>
  <c r="W951" i="13"/>
  <c r="X951" i="13" s="1"/>
  <c r="H951" i="13"/>
  <c r="U951" i="13" s="1"/>
  <c r="A951" i="13"/>
  <c r="W950" i="13"/>
  <c r="X950" i="13" s="1"/>
  <c r="H950" i="13"/>
  <c r="U950" i="13" s="1"/>
  <c r="A950" i="13"/>
  <c r="W949" i="13"/>
  <c r="X949" i="13" s="1"/>
  <c r="H949" i="13"/>
  <c r="U949" i="13" s="1"/>
  <c r="A949" i="13"/>
  <c r="W948" i="13"/>
  <c r="X948" i="13" s="1"/>
  <c r="H948" i="13"/>
  <c r="U948" i="13" s="1"/>
  <c r="A948" i="13"/>
  <c r="W947" i="13"/>
  <c r="X947" i="13" s="1"/>
  <c r="U947" i="13"/>
  <c r="H947" i="13"/>
  <c r="A947" i="13"/>
  <c r="W946" i="13"/>
  <c r="X946" i="13" s="1"/>
  <c r="H946" i="13"/>
  <c r="U946" i="13" s="1"/>
  <c r="A946" i="13"/>
  <c r="W945" i="13"/>
  <c r="X945" i="13" s="1"/>
  <c r="H945" i="13"/>
  <c r="U945" i="13" s="1"/>
  <c r="A945" i="13"/>
  <c r="W944" i="13"/>
  <c r="X944" i="13" s="1"/>
  <c r="H944" i="13"/>
  <c r="U944" i="13" s="1"/>
  <c r="A944" i="13"/>
  <c r="W943" i="13"/>
  <c r="X943" i="13" s="1"/>
  <c r="H943" i="13"/>
  <c r="U943" i="13" s="1"/>
  <c r="A943" i="13"/>
  <c r="W942" i="13"/>
  <c r="X942" i="13" s="1"/>
  <c r="H942" i="13"/>
  <c r="U942" i="13" s="1"/>
  <c r="A942" i="13"/>
  <c r="W941" i="13"/>
  <c r="X941" i="13" s="1"/>
  <c r="H941" i="13"/>
  <c r="U941" i="13" s="1"/>
  <c r="A941" i="13"/>
  <c r="W940" i="13"/>
  <c r="X940" i="13" s="1"/>
  <c r="H940" i="13"/>
  <c r="U940" i="13" s="1"/>
  <c r="A940" i="13"/>
  <c r="W939" i="13"/>
  <c r="X939" i="13" s="1"/>
  <c r="H939" i="13"/>
  <c r="U939" i="13" s="1"/>
  <c r="A939" i="13"/>
  <c r="W938" i="13"/>
  <c r="X938" i="13" s="1"/>
  <c r="H938" i="13"/>
  <c r="U938" i="13" s="1"/>
  <c r="A938" i="13"/>
  <c r="W937" i="13"/>
  <c r="X937" i="13" s="1"/>
  <c r="U937" i="13"/>
  <c r="H937" i="13"/>
  <c r="A937" i="13"/>
  <c r="W936" i="13"/>
  <c r="X936" i="13" s="1"/>
  <c r="H936" i="13"/>
  <c r="U936" i="13" s="1"/>
  <c r="A936" i="13"/>
  <c r="W935" i="13"/>
  <c r="X935" i="13" s="1"/>
  <c r="H935" i="13"/>
  <c r="U935" i="13" s="1"/>
  <c r="A935" i="13"/>
  <c r="W934" i="13"/>
  <c r="X934" i="13" s="1"/>
  <c r="H934" i="13"/>
  <c r="U934" i="13" s="1"/>
  <c r="A934" i="13"/>
  <c r="W933" i="13"/>
  <c r="X933" i="13" s="1"/>
  <c r="U933" i="13"/>
  <c r="H933" i="13"/>
  <c r="A933" i="13"/>
  <c r="W932" i="13"/>
  <c r="X932" i="13" s="1"/>
  <c r="H932" i="13"/>
  <c r="U932" i="13" s="1"/>
  <c r="A932" i="13"/>
  <c r="W931" i="13"/>
  <c r="X931" i="13" s="1"/>
  <c r="H931" i="13"/>
  <c r="U931" i="13" s="1"/>
  <c r="A931" i="13"/>
  <c r="W930" i="13"/>
  <c r="X930" i="13" s="1"/>
  <c r="H930" i="13"/>
  <c r="U930" i="13" s="1"/>
  <c r="A930" i="13"/>
  <c r="W929" i="13"/>
  <c r="X929" i="13" s="1"/>
  <c r="U929" i="13"/>
  <c r="H929" i="13"/>
  <c r="A929" i="13"/>
  <c r="W928" i="13"/>
  <c r="X928" i="13" s="1"/>
  <c r="U928" i="13"/>
  <c r="H928" i="13"/>
  <c r="A928" i="13"/>
  <c r="W927" i="13"/>
  <c r="X927" i="13" s="1"/>
  <c r="H927" i="13"/>
  <c r="U927" i="13" s="1"/>
  <c r="A927" i="13"/>
  <c r="W926" i="13"/>
  <c r="X926" i="13" s="1"/>
  <c r="H926" i="13"/>
  <c r="U926" i="13" s="1"/>
  <c r="A926" i="13"/>
  <c r="W925" i="13"/>
  <c r="X925" i="13" s="1"/>
  <c r="H925" i="13"/>
  <c r="U925" i="13" s="1"/>
  <c r="A925" i="13"/>
  <c r="W924" i="13"/>
  <c r="X924" i="13" s="1"/>
  <c r="H924" i="13"/>
  <c r="U924" i="13" s="1"/>
  <c r="A924" i="13"/>
  <c r="W923" i="13"/>
  <c r="X923" i="13" s="1"/>
  <c r="U923" i="13"/>
  <c r="H923" i="13"/>
  <c r="A923" i="13"/>
  <c r="W922" i="13"/>
  <c r="X922" i="13" s="1"/>
  <c r="H922" i="13"/>
  <c r="U922" i="13" s="1"/>
  <c r="A922" i="13"/>
  <c r="W921" i="13"/>
  <c r="X921" i="13" s="1"/>
  <c r="U921" i="13"/>
  <c r="H921" i="13"/>
  <c r="A921" i="13"/>
  <c r="W920" i="13"/>
  <c r="X920" i="13" s="1"/>
  <c r="H920" i="13"/>
  <c r="U920" i="13" s="1"/>
  <c r="A920" i="13"/>
  <c r="W919" i="13"/>
  <c r="X919" i="13" s="1"/>
  <c r="H919" i="13"/>
  <c r="U919" i="13" s="1"/>
  <c r="A919" i="13"/>
  <c r="W918" i="13"/>
  <c r="X918" i="13" s="1"/>
  <c r="H918" i="13"/>
  <c r="U918" i="13" s="1"/>
  <c r="A918" i="13"/>
  <c r="W917" i="13"/>
  <c r="X917" i="13" s="1"/>
  <c r="H917" i="13"/>
  <c r="U917" i="13" s="1"/>
  <c r="A917" i="13"/>
  <c r="W916" i="13"/>
  <c r="X916" i="13" s="1"/>
  <c r="U916" i="13"/>
  <c r="H916" i="13"/>
  <c r="A916" i="13"/>
  <c r="X915" i="13"/>
  <c r="W915" i="13"/>
  <c r="H915" i="13"/>
  <c r="U915" i="13" s="1"/>
  <c r="A915" i="13"/>
  <c r="W914" i="13"/>
  <c r="X914" i="13" s="1"/>
  <c r="H914" i="13"/>
  <c r="U914" i="13" s="1"/>
  <c r="A914" i="13"/>
  <c r="W913" i="13"/>
  <c r="X913" i="13" s="1"/>
  <c r="H913" i="13"/>
  <c r="U913" i="13" s="1"/>
  <c r="A913" i="13"/>
  <c r="W912" i="13"/>
  <c r="X912" i="13" s="1"/>
  <c r="H912" i="13"/>
  <c r="U912" i="13" s="1"/>
  <c r="A912" i="13"/>
  <c r="W911" i="13"/>
  <c r="X911" i="13" s="1"/>
  <c r="U911" i="13"/>
  <c r="H911" i="13"/>
  <c r="A911" i="13"/>
  <c r="W910" i="13"/>
  <c r="X910" i="13" s="1"/>
  <c r="H910" i="13"/>
  <c r="U910" i="13" s="1"/>
  <c r="A910" i="13"/>
  <c r="W909" i="13"/>
  <c r="X909" i="13" s="1"/>
  <c r="H909" i="13"/>
  <c r="U909" i="13" s="1"/>
  <c r="A909" i="13"/>
  <c r="W908" i="13"/>
  <c r="X908" i="13" s="1"/>
  <c r="H908" i="13"/>
  <c r="U908" i="13" s="1"/>
  <c r="A908" i="13"/>
  <c r="W907" i="13"/>
  <c r="X907" i="13" s="1"/>
  <c r="U907" i="13"/>
  <c r="H907" i="13"/>
  <c r="A907" i="13"/>
  <c r="W906" i="13"/>
  <c r="X906" i="13" s="1"/>
  <c r="H906" i="13"/>
  <c r="U906" i="13" s="1"/>
  <c r="A906" i="13"/>
  <c r="W905" i="13"/>
  <c r="X905" i="13" s="1"/>
  <c r="U905" i="13"/>
  <c r="H905" i="13"/>
  <c r="A905" i="13"/>
  <c r="W904" i="13"/>
  <c r="X904" i="13" s="1"/>
  <c r="H904" i="13"/>
  <c r="U904" i="13" s="1"/>
  <c r="A904" i="13"/>
  <c r="W903" i="13"/>
  <c r="X903" i="13" s="1"/>
  <c r="H903" i="13"/>
  <c r="U903" i="13" s="1"/>
  <c r="A903" i="13"/>
  <c r="W902" i="13"/>
  <c r="X902" i="13" s="1"/>
  <c r="H902" i="13"/>
  <c r="U902" i="13" s="1"/>
  <c r="A902" i="13"/>
  <c r="W901" i="13"/>
  <c r="X901" i="13" s="1"/>
  <c r="H901" i="13"/>
  <c r="U901" i="13" s="1"/>
  <c r="A901" i="13"/>
  <c r="W900" i="13"/>
  <c r="X900" i="13" s="1"/>
  <c r="H900" i="13"/>
  <c r="U900" i="13" s="1"/>
  <c r="A900" i="13"/>
  <c r="W899" i="13"/>
  <c r="X899" i="13" s="1"/>
  <c r="H899" i="13"/>
  <c r="U899" i="13" s="1"/>
  <c r="A899" i="13"/>
  <c r="W898" i="13"/>
  <c r="X898" i="13" s="1"/>
  <c r="H898" i="13"/>
  <c r="U898" i="13" s="1"/>
  <c r="A898" i="13"/>
  <c r="W897" i="13"/>
  <c r="X897" i="13" s="1"/>
  <c r="U897" i="13"/>
  <c r="H897" i="13"/>
  <c r="A897" i="13"/>
  <c r="W896" i="13"/>
  <c r="X896" i="13" s="1"/>
  <c r="H896" i="13"/>
  <c r="U896" i="13" s="1"/>
  <c r="A896" i="13"/>
  <c r="W895" i="13"/>
  <c r="X895" i="13" s="1"/>
  <c r="H895" i="13"/>
  <c r="U895" i="13" s="1"/>
  <c r="A895" i="13"/>
  <c r="W894" i="13"/>
  <c r="X894" i="13" s="1"/>
  <c r="H894" i="13"/>
  <c r="U894" i="13" s="1"/>
  <c r="A894" i="13"/>
  <c r="W893" i="13"/>
  <c r="X893" i="13" s="1"/>
  <c r="H893" i="13"/>
  <c r="U893" i="13" s="1"/>
  <c r="A893" i="13"/>
  <c r="W892" i="13"/>
  <c r="X892" i="13" s="1"/>
  <c r="H892" i="13"/>
  <c r="U892" i="13" s="1"/>
  <c r="A892" i="13"/>
  <c r="W891" i="13"/>
  <c r="X891" i="13" s="1"/>
  <c r="U891" i="13"/>
  <c r="H891" i="13"/>
  <c r="A891" i="13"/>
  <c r="W890" i="13"/>
  <c r="X890" i="13" s="1"/>
  <c r="H890" i="13"/>
  <c r="U890" i="13" s="1"/>
  <c r="A890" i="13"/>
  <c r="W889" i="13"/>
  <c r="X889" i="13" s="1"/>
  <c r="H889" i="13"/>
  <c r="U889" i="13" s="1"/>
  <c r="A889" i="13"/>
  <c r="W888" i="13"/>
  <c r="X888" i="13" s="1"/>
  <c r="H888" i="13"/>
  <c r="U888" i="13" s="1"/>
  <c r="A888" i="13"/>
  <c r="W887" i="13"/>
  <c r="X887" i="13" s="1"/>
  <c r="U887" i="13"/>
  <c r="H887" i="13"/>
  <c r="A887" i="13"/>
  <c r="W886" i="13"/>
  <c r="X886" i="13" s="1"/>
  <c r="H886" i="13"/>
  <c r="U886" i="13" s="1"/>
  <c r="A886" i="13"/>
  <c r="W885" i="13"/>
  <c r="X885" i="13" s="1"/>
  <c r="H885" i="13"/>
  <c r="U885" i="13" s="1"/>
  <c r="A885" i="13"/>
  <c r="W884" i="13"/>
  <c r="X884" i="13" s="1"/>
  <c r="H884" i="13"/>
  <c r="U884" i="13" s="1"/>
  <c r="A884" i="13"/>
  <c r="W883" i="13"/>
  <c r="X883" i="13" s="1"/>
  <c r="H883" i="13"/>
  <c r="U883" i="13" s="1"/>
  <c r="A883" i="13"/>
  <c r="W882" i="13"/>
  <c r="X882" i="13" s="1"/>
  <c r="H882" i="13"/>
  <c r="U882" i="13" s="1"/>
  <c r="A882" i="13"/>
  <c r="W881" i="13"/>
  <c r="X881" i="13" s="1"/>
  <c r="H881" i="13"/>
  <c r="U881" i="13" s="1"/>
  <c r="A881" i="13"/>
  <c r="W880" i="13"/>
  <c r="X880" i="13" s="1"/>
  <c r="H880" i="13"/>
  <c r="U880" i="13" s="1"/>
  <c r="A880" i="13"/>
  <c r="W879" i="13"/>
  <c r="X879" i="13" s="1"/>
  <c r="U879" i="13"/>
  <c r="H879" i="13"/>
  <c r="A879" i="13"/>
  <c r="W878" i="13"/>
  <c r="X878" i="13" s="1"/>
  <c r="H878" i="13"/>
  <c r="U878" i="13" s="1"/>
  <c r="A878" i="13"/>
  <c r="W877" i="13"/>
  <c r="X877" i="13" s="1"/>
  <c r="H877" i="13"/>
  <c r="U877" i="13" s="1"/>
  <c r="A877" i="13"/>
  <c r="W876" i="13"/>
  <c r="X876" i="13" s="1"/>
  <c r="H876" i="13"/>
  <c r="U876" i="13" s="1"/>
  <c r="A876" i="13"/>
  <c r="X875" i="13"/>
  <c r="W875" i="13"/>
  <c r="U875" i="13"/>
  <c r="H875" i="13"/>
  <c r="A875" i="13"/>
  <c r="W874" i="13"/>
  <c r="X874" i="13" s="1"/>
  <c r="H874" i="13"/>
  <c r="U874" i="13" s="1"/>
  <c r="A874" i="13"/>
  <c r="X873" i="13"/>
  <c r="W873" i="13"/>
  <c r="U873" i="13"/>
  <c r="H873" i="13"/>
  <c r="A873" i="13"/>
  <c r="W872" i="13"/>
  <c r="X872" i="13" s="1"/>
  <c r="H872" i="13"/>
  <c r="U872" i="13" s="1"/>
  <c r="A872" i="13"/>
  <c r="X871" i="13"/>
  <c r="W871" i="13"/>
  <c r="H871" i="13"/>
  <c r="U871" i="13" s="1"/>
  <c r="A871" i="13"/>
  <c r="W870" i="13"/>
  <c r="X870" i="13" s="1"/>
  <c r="H870" i="13"/>
  <c r="U870" i="13" s="1"/>
  <c r="A870" i="13"/>
  <c r="W869" i="13"/>
  <c r="X869" i="13" s="1"/>
  <c r="H869" i="13"/>
  <c r="U869" i="13" s="1"/>
  <c r="A869" i="13"/>
  <c r="W868" i="13"/>
  <c r="X868" i="13" s="1"/>
  <c r="H868" i="13"/>
  <c r="U868" i="13" s="1"/>
  <c r="A868" i="13"/>
  <c r="W867" i="13"/>
  <c r="X867" i="13" s="1"/>
  <c r="U867" i="13"/>
  <c r="H867" i="13"/>
  <c r="A867" i="13"/>
  <c r="W866" i="13"/>
  <c r="X866" i="13" s="1"/>
  <c r="H866" i="13"/>
  <c r="U866" i="13" s="1"/>
  <c r="A866" i="13"/>
  <c r="W865" i="13"/>
  <c r="X865" i="13" s="1"/>
  <c r="U865" i="13"/>
  <c r="H865" i="13"/>
  <c r="A865" i="13"/>
  <c r="W864" i="13"/>
  <c r="X864" i="13" s="1"/>
  <c r="H864" i="13"/>
  <c r="U864" i="13" s="1"/>
  <c r="A864" i="13"/>
  <c r="W863" i="13"/>
  <c r="X863" i="13" s="1"/>
  <c r="U863" i="13"/>
  <c r="H863" i="13"/>
  <c r="A863" i="13"/>
  <c r="W862" i="13"/>
  <c r="X862" i="13" s="1"/>
  <c r="H862" i="13"/>
  <c r="U862" i="13" s="1"/>
  <c r="A862" i="13"/>
  <c r="W861" i="13"/>
  <c r="X861" i="13" s="1"/>
  <c r="H861" i="13"/>
  <c r="U861" i="13" s="1"/>
  <c r="A861" i="13"/>
  <c r="W860" i="13"/>
  <c r="X860" i="13" s="1"/>
  <c r="H860" i="13"/>
  <c r="U860" i="13" s="1"/>
  <c r="A860" i="13"/>
  <c r="W859" i="13"/>
  <c r="X859" i="13" s="1"/>
  <c r="H859" i="13"/>
  <c r="U859" i="13" s="1"/>
  <c r="A859" i="13"/>
  <c r="W858" i="13"/>
  <c r="X858" i="13" s="1"/>
  <c r="H858" i="13"/>
  <c r="U858" i="13" s="1"/>
  <c r="A858" i="13"/>
  <c r="W857" i="13"/>
  <c r="X857" i="13" s="1"/>
  <c r="U857" i="13"/>
  <c r="H857" i="13"/>
  <c r="A857" i="13"/>
  <c r="W856" i="13"/>
  <c r="X856" i="13" s="1"/>
  <c r="H856" i="13"/>
  <c r="U856" i="13" s="1"/>
  <c r="A856" i="13"/>
  <c r="W855" i="13"/>
  <c r="X855" i="13" s="1"/>
  <c r="H855" i="13"/>
  <c r="U855" i="13" s="1"/>
  <c r="A855" i="13"/>
  <c r="W854" i="13"/>
  <c r="X854" i="13" s="1"/>
  <c r="H854" i="13"/>
  <c r="U854" i="13" s="1"/>
  <c r="A854" i="13"/>
  <c r="W853" i="13"/>
  <c r="X853" i="13" s="1"/>
  <c r="H853" i="13"/>
  <c r="U853" i="13" s="1"/>
  <c r="A853" i="13"/>
  <c r="W852" i="13"/>
  <c r="X852" i="13" s="1"/>
  <c r="H852" i="13"/>
  <c r="U852" i="13" s="1"/>
  <c r="A852" i="13"/>
  <c r="W851" i="13"/>
  <c r="X851" i="13" s="1"/>
  <c r="H851" i="13"/>
  <c r="U851" i="13" s="1"/>
  <c r="A851" i="13"/>
  <c r="W850" i="13"/>
  <c r="X850" i="13" s="1"/>
  <c r="H850" i="13"/>
  <c r="U850" i="13" s="1"/>
  <c r="A850" i="13"/>
  <c r="W849" i="13"/>
  <c r="X849" i="13" s="1"/>
  <c r="H849" i="13"/>
  <c r="U849" i="13" s="1"/>
  <c r="A849" i="13"/>
  <c r="W848" i="13"/>
  <c r="X848" i="13" s="1"/>
  <c r="H848" i="13"/>
  <c r="U848" i="13" s="1"/>
  <c r="A848" i="13"/>
  <c r="W847" i="13"/>
  <c r="X847" i="13" s="1"/>
  <c r="U847" i="13"/>
  <c r="H847" i="13"/>
  <c r="A847" i="13"/>
  <c r="W846" i="13"/>
  <c r="X846" i="13" s="1"/>
  <c r="H846" i="13"/>
  <c r="U846" i="13" s="1"/>
  <c r="A846" i="13"/>
  <c r="W845" i="13"/>
  <c r="X845" i="13" s="1"/>
  <c r="H845" i="13"/>
  <c r="U845" i="13" s="1"/>
  <c r="A845" i="13"/>
  <c r="W844" i="13"/>
  <c r="X844" i="13" s="1"/>
  <c r="H844" i="13"/>
  <c r="U844" i="13" s="1"/>
  <c r="A844" i="13"/>
  <c r="W843" i="13"/>
  <c r="X843" i="13" s="1"/>
  <c r="H843" i="13"/>
  <c r="U843" i="13" s="1"/>
  <c r="A843" i="13"/>
  <c r="W842" i="13"/>
  <c r="X842" i="13" s="1"/>
  <c r="H842" i="13"/>
  <c r="U842" i="13" s="1"/>
  <c r="A842" i="13"/>
  <c r="W841" i="13"/>
  <c r="X841" i="13" s="1"/>
  <c r="U841" i="13"/>
  <c r="H841" i="13"/>
  <c r="A841" i="13"/>
  <c r="W840" i="13"/>
  <c r="X840" i="13" s="1"/>
  <c r="H840" i="13"/>
  <c r="U840" i="13" s="1"/>
  <c r="A840" i="13"/>
  <c r="W839" i="13"/>
  <c r="X839" i="13" s="1"/>
  <c r="H839" i="13"/>
  <c r="U839" i="13" s="1"/>
  <c r="A839" i="13"/>
  <c r="W838" i="13"/>
  <c r="X838" i="13" s="1"/>
  <c r="H838" i="13"/>
  <c r="U838" i="13" s="1"/>
  <c r="A838" i="13"/>
  <c r="W837" i="13"/>
  <c r="X837" i="13" s="1"/>
  <c r="H837" i="13"/>
  <c r="U837" i="13" s="1"/>
  <c r="A837" i="13"/>
  <c r="W836" i="13"/>
  <c r="X836" i="13" s="1"/>
  <c r="H836" i="13"/>
  <c r="U836" i="13" s="1"/>
  <c r="A836" i="13"/>
  <c r="W835" i="13"/>
  <c r="X835" i="13" s="1"/>
  <c r="U835" i="13"/>
  <c r="H835" i="13"/>
  <c r="A835" i="13"/>
  <c r="W834" i="13"/>
  <c r="X834" i="13" s="1"/>
  <c r="H834" i="13"/>
  <c r="U834" i="13" s="1"/>
  <c r="A834" i="13"/>
  <c r="W833" i="13"/>
  <c r="X833" i="13" s="1"/>
  <c r="H833" i="13"/>
  <c r="U833" i="13" s="1"/>
  <c r="A833" i="13"/>
  <c r="W832" i="13"/>
  <c r="X832" i="13" s="1"/>
  <c r="H832" i="13"/>
  <c r="U832" i="13" s="1"/>
  <c r="A832" i="13"/>
  <c r="W831" i="13"/>
  <c r="X831" i="13" s="1"/>
  <c r="U831" i="13"/>
  <c r="H831" i="13"/>
  <c r="A831" i="13"/>
  <c r="W830" i="13"/>
  <c r="X830" i="13" s="1"/>
  <c r="H830" i="13"/>
  <c r="U830" i="13" s="1"/>
  <c r="A830" i="13"/>
  <c r="W829" i="13"/>
  <c r="X829" i="13" s="1"/>
  <c r="H829" i="13"/>
  <c r="U829" i="13" s="1"/>
  <c r="A829" i="13"/>
  <c r="W828" i="13"/>
  <c r="X828" i="13" s="1"/>
  <c r="U828" i="13"/>
  <c r="H828" i="13"/>
  <c r="A828" i="13"/>
  <c r="W827" i="13"/>
  <c r="X827" i="13" s="1"/>
  <c r="H827" i="13"/>
  <c r="U827" i="13" s="1"/>
  <c r="A827" i="13"/>
  <c r="W826" i="13"/>
  <c r="X826" i="13" s="1"/>
  <c r="H826" i="13"/>
  <c r="U826" i="13" s="1"/>
  <c r="A826" i="13"/>
  <c r="W825" i="13"/>
  <c r="X825" i="13" s="1"/>
  <c r="H825" i="13"/>
  <c r="U825" i="13" s="1"/>
  <c r="A825" i="13"/>
  <c r="W824" i="13"/>
  <c r="X824" i="13" s="1"/>
  <c r="U824" i="13"/>
  <c r="H824" i="13"/>
  <c r="A824" i="13"/>
  <c r="W823" i="13"/>
  <c r="X823" i="13" s="1"/>
  <c r="H823" i="13"/>
  <c r="U823" i="13" s="1"/>
  <c r="A823" i="13"/>
  <c r="W822" i="13"/>
  <c r="X822" i="13" s="1"/>
  <c r="H822" i="13"/>
  <c r="U822" i="13" s="1"/>
  <c r="A822" i="13"/>
  <c r="W821" i="13"/>
  <c r="X821" i="13" s="1"/>
  <c r="H821" i="13"/>
  <c r="U821" i="13" s="1"/>
  <c r="A821" i="13"/>
  <c r="W820" i="13"/>
  <c r="X820" i="13" s="1"/>
  <c r="U820" i="13"/>
  <c r="H820" i="13"/>
  <c r="A820" i="13"/>
  <c r="W819" i="13"/>
  <c r="X819" i="13" s="1"/>
  <c r="H819" i="13"/>
  <c r="U819" i="13" s="1"/>
  <c r="A819" i="13"/>
  <c r="W818" i="13"/>
  <c r="X818" i="13" s="1"/>
  <c r="H818" i="13"/>
  <c r="U818" i="13" s="1"/>
  <c r="A818" i="13"/>
  <c r="W817" i="13"/>
  <c r="X817" i="13" s="1"/>
  <c r="H817" i="13"/>
  <c r="U817" i="13" s="1"/>
  <c r="A817" i="13"/>
  <c r="W816" i="13"/>
  <c r="X816" i="13" s="1"/>
  <c r="U816" i="13"/>
  <c r="H816" i="13"/>
  <c r="A816" i="13"/>
  <c r="W815" i="13"/>
  <c r="X815" i="13" s="1"/>
  <c r="H815" i="13"/>
  <c r="U815" i="13" s="1"/>
  <c r="A815" i="13"/>
  <c r="W814" i="13"/>
  <c r="X814" i="13" s="1"/>
  <c r="U814" i="13"/>
  <c r="H814" i="13"/>
  <c r="A814" i="13"/>
  <c r="W813" i="13"/>
  <c r="X813" i="13" s="1"/>
  <c r="H813" i="13"/>
  <c r="U813" i="13" s="1"/>
  <c r="A813" i="13"/>
  <c r="W812" i="13"/>
  <c r="X812" i="13" s="1"/>
  <c r="U812" i="13"/>
  <c r="H812" i="13"/>
  <c r="A812" i="13"/>
  <c r="W811" i="13"/>
  <c r="X811" i="13" s="1"/>
  <c r="H811" i="13"/>
  <c r="U811" i="13" s="1"/>
  <c r="A811" i="13"/>
  <c r="W810" i="13"/>
  <c r="X810" i="13" s="1"/>
  <c r="H810" i="13"/>
  <c r="U810" i="13" s="1"/>
  <c r="A810" i="13"/>
  <c r="W809" i="13"/>
  <c r="X809" i="13" s="1"/>
  <c r="H809" i="13"/>
  <c r="U809" i="13" s="1"/>
  <c r="A809" i="13"/>
  <c r="W808" i="13"/>
  <c r="X808" i="13" s="1"/>
  <c r="U808" i="13"/>
  <c r="H808" i="13"/>
  <c r="A808" i="13"/>
  <c r="W807" i="13"/>
  <c r="X807" i="13" s="1"/>
  <c r="H807" i="13"/>
  <c r="U807" i="13" s="1"/>
  <c r="A807" i="13"/>
  <c r="W806" i="13"/>
  <c r="X806" i="13" s="1"/>
  <c r="H806" i="13"/>
  <c r="U806" i="13" s="1"/>
  <c r="A806" i="13"/>
  <c r="W805" i="13"/>
  <c r="X805" i="13" s="1"/>
  <c r="H805" i="13"/>
  <c r="U805" i="13" s="1"/>
  <c r="A805" i="13"/>
  <c r="W804" i="13"/>
  <c r="X804" i="13" s="1"/>
  <c r="U804" i="13"/>
  <c r="H804" i="13"/>
  <c r="A804" i="13"/>
  <c r="W803" i="13"/>
  <c r="X803" i="13" s="1"/>
  <c r="H803" i="13"/>
  <c r="U803" i="13" s="1"/>
  <c r="A803" i="13"/>
  <c r="W802" i="13"/>
  <c r="X802" i="13" s="1"/>
  <c r="H802" i="13"/>
  <c r="U802" i="13" s="1"/>
  <c r="A802" i="13"/>
  <c r="W801" i="13"/>
  <c r="X801" i="13" s="1"/>
  <c r="H801" i="13"/>
  <c r="U801" i="13" s="1"/>
  <c r="A801" i="13"/>
  <c r="W800" i="13"/>
  <c r="X800" i="13" s="1"/>
  <c r="U800" i="13"/>
  <c r="H800" i="13"/>
  <c r="A800" i="13"/>
  <c r="W799" i="13"/>
  <c r="X799" i="13" s="1"/>
  <c r="H799" i="13"/>
  <c r="U799" i="13" s="1"/>
  <c r="A799" i="13"/>
  <c r="W798" i="13"/>
  <c r="X798" i="13" s="1"/>
  <c r="H798" i="13"/>
  <c r="U798" i="13" s="1"/>
  <c r="A798" i="13"/>
  <c r="W797" i="13"/>
  <c r="X797" i="13" s="1"/>
  <c r="H797" i="13"/>
  <c r="U797" i="13" s="1"/>
  <c r="A797" i="13"/>
  <c r="W796" i="13"/>
  <c r="X796" i="13" s="1"/>
  <c r="U796" i="13"/>
  <c r="H796" i="13"/>
  <c r="A796" i="13"/>
  <c r="W795" i="13"/>
  <c r="X795" i="13" s="1"/>
  <c r="H795" i="13"/>
  <c r="U795" i="13" s="1"/>
  <c r="A795" i="13"/>
  <c r="W794" i="13"/>
  <c r="X794" i="13" s="1"/>
  <c r="H794" i="13"/>
  <c r="U794" i="13" s="1"/>
  <c r="A794" i="13"/>
  <c r="W793" i="13"/>
  <c r="X793" i="13" s="1"/>
  <c r="H793" i="13"/>
  <c r="U793" i="13" s="1"/>
  <c r="A793" i="13"/>
  <c r="W792" i="13"/>
  <c r="X792" i="13" s="1"/>
  <c r="U792" i="13"/>
  <c r="H792" i="13"/>
  <c r="A792" i="13"/>
  <c r="W791" i="13"/>
  <c r="X791" i="13" s="1"/>
  <c r="U791" i="13"/>
  <c r="H791" i="13"/>
  <c r="A791" i="13"/>
  <c r="W790" i="13"/>
  <c r="X790" i="13" s="1"/>
  <c r="U790" i="13"/>
  <c r="H790" i="13"/>
  <c r="A790" i="13"/>
  <c r="W789" i="13"/>
  <c r="X789" i="13" s="1"/>
  <c r="H789" i="13"/>
  <c r="U789" i="13" s="1"/>
  <c r="A789" i="13"/>
  <c r="W788" i="13"/>
  <c r="X788" i="13" s="1"/>
  <c r="H788" i="13"/>
  <c r="U788" i="13" s="1"/>
  <c r="A788" i="13"/>
  <c r="W787" i="13"/>
  <c r="X787" i="13" s="1"/>
  <c r="H787" i="13"/>
  <c r="U787" i="13" s="1"/>
  <c r="A787" i="13"/>
  <c r="W786" i="13"/>
  <c r="X786" i="13" s="1"/>
  <c r="U786" i="13"/>
  <c r="H786" i="13"/>
  <c r="A786" i="13"/>
  <c r="W785" i="13"/>
  <c r="X785" i="13" s="1"/>
  <c r="H785" i="13"/>
  <c r="U785" i="13" s="1"/>
  <c r="A785" i="13"/>
  <c r="W784" i="13"/>
  <c r="X784" i="13" s="1"/>
  <c r="H784" i="13"/>
  <c r="U784" i="13" s="1"/>
  <c r="A784" i="13"/>
  <c r="W783" i="13"/>
  <c r="X783" i="13" s="1"/>
  <c r="H783" i="13"/>
  <c r="U783" i="13" s="1"/>
  <c r="A783" i="13"/>
  <c r="W782" i="13"/>
  <c r="X782" i="13" s="1"/>
  <c r="U782" i="13"/>
  <c r="H782" i="13"/>
  <c r="A782" i="13"/>
  <c r="W781" i="13"/>
  <c r="X781" i="13" s="1"/>
  <c r="H781" i="13"/>
  <c r="U781" i="13" s="1"/>
  <c r="A781" i="13"/>
  <c r="W780" i="13"/>
  <c r="X780" i="13" s="1"/>
  <c r="H780" i="13"/>
  <c r="U780" i="13" s="1"/>
  <c r="A780" i="13"/>
  <c r="W779" i="13"/>
  <c r="X779" i="13" s="1"/>
  <c r="H779" i="13"/>
  <c r="U779" i="13" s="1"/>
  <c r="A779" i="13"/>
  <c r="W778" i="13"/>
  <c r="X778" i="13" s="1"/>
  <c r="U778" i="13"/>
  <c r="H778" i="13"/>
  <c r="A778" i="13"/>
  <c r="W777" i="13"/>
  <c r="X777" i="13" s="1"/>
  <c r="H777" i="13"/>
  <c r="U777" i="13" s="1"/>
  <c r="A777" i="13"/>
  <c r="X776" i="13"/>
  <c r="W776" i="13"/>
  <c r="U776" i="13"/>
  <c r="H776" i="13"/>
  <c r="A776" i="13"/>
  <c r="W775" i="13"/>
  <c r="X775" i="13" s="1"/>
  <c r="U775" i="13"/>
  <c r="H775" i="13"/>
  <c r="A775" i="13"/>
  <c r="W774" i="13"/>
  <c r="X774" i="13" s="1"/>
  <c r="U774" i="13"/>
  <c r="H774" i="13"/>
  <c r="A774" i="13"/>
  <c r="W773" i="13"/>
  <c r="X773" i="13" s="1"/>
  <c r="H773" i="13"/>
  <c r="U773" i="13" s="1"/>
  <c r="A773" i="13"/>
  <c r="X772" i="13"/>
  <c r="W772" i="13"/>
  <c r="U772" i="13"/>
  <c r="H772" i="13"/>
  <c r="A772" i="13"/>
  <c r="W771" i="13"/>
  <c r="X771" i="13" s="1"/>
  <c r="H771" i="13"/>
  <c r="U771" i="13" s="1"/>
  <c r="A771" i="13"/>
  <c r="W770" i="13"/>
  <c r="X770" i="13" s="1"/>
  <c r="H770" i="13"/>
  <c r="U770" i="13" s="1"/>
  <c r="A770" i="13"/>
  <c r="W769" i="13"/>
  <c r="X769" i="13" s="1"/>
  <c r="H769" i="13"/>
  <c r="U769" i="13" s="1"/>
  <c r="A769" i="13"/>
  <c r="W768" i="13"/>
  <c r="X768" i="13" s="1"/>
  <c r="H768" i="13"/>
  <c r="U768" i="13" s="1"/>
  <c r="A768" i="13"/>
  <c r="W767" i="13"/>
  <c r="X767" i="13" s="1"/>
  <c r="H767" i="13"/>
  <c r="U767" i="13" s="1"/>
  <c r="A767" i="13"/>
  <c r="W766" i="13"/>
  <c r="X766" i="13" s="1"/>
  <c r="U766" i="13"/>
  <c r="H766" i="13"/>
  <c r="A766" i="13"/>
  <c r="W765" i="13"/>
  <c r="X765" i="13" s="1"/>
  <c r="H765" i="13"/>
  <c r="U765" i="13" s="1"/>
  <c r="A765" i="13"/>
  <c r="W764" i="13"/>
  <c r="X764" i="13" s="1"/>
  <c r="U764" i="13"/>
  <c r="H764" i="13"/>
  <c r="A764" i="13"/>
  <c r="W763" i="13"/>
  <c r="X763" i="13" s="1"/>
  <c r="H763" i="13"/>
  <c r="U763" i="13" s="1"/>
  <c r="A763" i="13"/>
  <c r="W762" i="13"/>
  <c r="X762" i="13" s="1"/>
  <c r="H762" i="13"/>
  <c r="U762" i="13" s="1"/>
  <c r="A762" i="13"/>
  <c r="W761" i="13"/>
  <c r="X761" i="13" s="1"/>
  <c r="H761" i="13"/>
  <c r="U761" i="13" s="1"/>
  <c r="A761" i="13"/>
  <c r="W760" i="13"/>
  <c r="X760" i="13" s="1"/>
  <c r="U760" i="13"/>
  <c r="H760" i="13"/>
  <c r="A760" i="13"/>
  <c r="W759" i="13"/>
  <c r="X759" i="13" s="1"/>
  <c r="U759" i="13"/>
  <c r="H759" i="13"/>
  <c r="A759" i="13"/>
  <c r="W758" i="13"/>
  <c r="X758" i="13" s="1"/>
  <c r="U758" i="13"/>
  <c r="H758" i="13"/>
  <c r="A758" i="13"/>
  <c r="W757" i="13"/>
  <c r="X757" i="13" s="1"/>
  <c r="H757" i="13"/>
  <c r="U757" i="13" s="1"/>
  <c r="A757" i="13"/>
  <c r="W756" i="13"/>
  <c r="X756" i="13" s="1"/>
  <c r="H756" i="13"/>
  <c r="U756" i="13" s="1"/>
  <c r="A756" i="13"/>
  <c r="W755" i="13"/>
  <c r="X755" i="13" s="1"/>
  <c r="H755" i="13"/>
  <c r="U755" i="13" s="1"/>
  <c r="A755" i="13"/>
  <c r="W754" i="13"/>
  <c r="X754" i="13" s="1"/>
  <c r="U754" i="13"/>
  <c r="H754" i="13"/>
  <c r="A754" i="13"/>
  <c r="W753" i="13"/>
  <c r="X753" i="13" s="1"/>
  <c r="H753" i="13"/>
  <c r="U753" i="13" s="1"/>
  <c r="A753" i="13"/>
  <c r="W752" i="13"/>
  <c r="X752" i="13" s="1"/>
  <c r="H752" i="13"/>
  <c r="U752" i="13" s="1"/>
  <c r="A752" i="13"/>
  <c r="W751" i="13"/>
  <c r="X751" i="13" s="1"/>
  <c r="U751" i="13"/>
  <c r="H751" i="13"/>
  <c r="A751" i="13"/>
  <c r="W750" i="13"/>
  <c r="X750" i="13" s="1"/>
  <c r="H750" i="13"/>
  <c r="U750" i="13" s="1"/>
  <c r="A750" i="13"/>
  <c r="W749" i="13"/>
  <c r="X749" i="13" s="1"/>
  <c r="H749" i="13"/>
  <c r="U749" i="13" s="1"/>
  <c r="A749" i="13"/>
  <c r="W748" i="13"/>
  <c r="X748" i="13" s="1"/>
  <c r="H748" i="13"/>
  <c r="U748" i="13" s="1"/>
  <c r="A748" i="13"/>
  <c r="W747" i="13"/>
  <c r="X747" i="13" s="1"/>
  <c r="H747" i="13"/>
  <c r="U747" i="13" s="1"/>
  <c r="A747" i="13"/>
  <c r="W746" i="13"/>
  <c r="X746" i="13" s="1"/>
  <c r="H746" i="13"/>
  <c r="U746" i="13" s="1"/>
  <c r="A746" i="13"/>
  <c r="W745" i="13"/>
  <c r="X745" i="13" s="1"/>
  <c r="H745" i="13"/>
  <c r="U745" i="13" s="1"/>
  <c r="A745" i="13"/>
  <c r="W744" i="13"/>
  <c r="X744" i="13" s="1"/>
  <c r="H744" i="13"/>
  <c r="U744" i="13" s="1"/>
  <c r="A744" i="13"/>
  <c r="W743" i="13"/>
  <c r="X743" i="13" s="1"/>
  <c r="U743" i="13"/>
  <c r="H743" i="13"/>
  <c r="A743" i="13"/>
  <c r="W742" i="13"/>
  <c r="X742" i="13" s="1"/>
  <c r="H742" i="13"/>
  <c r="U742" i="13" s="1"/>
  <c r="A742" i="13"/>
  <c r="W741" i="13"/>
  <c r="X741" i="13" s="1"/>
  <c r="H741" i="13"/>
  <c r="U741" i="13" s="1"/>
  <c r="A741" i="13"/>
  <c r="W740" i="13"/>
  <c r="X740" i="13" s="1"/>
  <c r="U740" i="13"/>
  <c r="H740" i="13"/>
  <c r="A740" i="13"/>
  <c r="W739" i="13"/>
  <c r="X739" i="13" s="1"/>
  <c r="H739" i="13"/>
  <c r="U739" i="13" s="1"/>
  <c r="A739" i="13"/>
  <c r="W738" i="13"/>
  <c r="X738" i="13" s="1"/>
  <c r="H738" i="13"/>
  <c r="U738" i="13" s="1"/>
  <c r="A738" i="13"/>
  <c r="W737" i="13"/>
  <c r="X737" i="13" s="1"/>
  <c r="H737" i="13"/>
  <c r="U737" i="13" s="1"/>
  <c r="A737" i="13"/>
  <c r="W736" i="13"/>
  <c r="X736" i="13" s="1"/>
  <c r="U736" i="13"/>
  <c r="H736" i="13"/>
  <c r="A736" i="13"/>
  <c r="W735" i="13"/>
  <c r="X735" i="13" s="1"/>
  <c r="H735" i="13"/>
  <c r="U735" i="13" s="1"/>
  <c r="A735" i="13"/>
  <c r="W734" i="13"/>
  <c r="X734" i="13" s="1"/>
  <c r="H734" i="13"/>
  <c r="U734" i="13" s="1"/>
  <c r="A734" i="13"/>
  <c r="W733" i="13"/>
  <c r="X733" i="13" s="1"/>
  <c r="H733" i="13"/>
  <c r="U733" i="13" s="1"/>
  <c r="A733" i="13"/>
  <c r="W732" i="13"/>
  <c r="X732" i="13" s="1"/>
  <c r="U732" i="13"/>
  <c r="H732" i="13"/>
  <c r="A732" i="13"/>
  <c r="W731" i="13"/>
  <c r="X731" i="13" s="1"/>
  <c r="H731" i="13"/>
  <c r="U731" i="13" s="1"/>
  <c r="A731" i="13"/>
  <c r="W730" i="13"/>
  <c r="X730" i="13" s="1"/>
  <c r="H730" i="13"/>
  <c r="U730" i="13" s="1"/>
  <c r="A730" i="13"/>
  <c r="W729" i="13"/>
  <c r="X729" i="13" s="1"/>
  <c r="H729" i="13"/>
  <c r="U729" i="13" s="1"/>
  <c r="A729" i="13"/>
  <c r="W728" i="13"/>
  <c r="X728" i="13" s="1"/>
  <c r="U728" i="13"/>
  <c r="H728" i="13"/>
  <c r="A728" i="13"/>
  <c r="W727" i="13"/>
  <c r="X727" i="13" s="1"/>
  <c r="H727" i="13"/>
  <c r="U727" i="13" s="1"/>
  <c r="A727" i="13"/>
  <c r="W726" i="13"/>
  <c r="X726" i="13" s="1"/>
  <c r="U726" i="13"/>
  <c r="H726" i="13"/>
  <c r="A726" i="13"/>
  <c r="W725" i="13"/>
  <c r="X725" i="13" s="1"/>
  <c r="H725" i="13"/>
  <c r="U725" i="13" s="1"/>
  <c r="A725" i="13"/>
  <c r="W724" i="13"/>
  <c r="X724" i="13" s="1"/>
  <c r="H724" i="13"/>
  <c r="U724" i="13" s="1"/>
  <c r="A724" i="13"/>
  <c r="W723" i="13"/>
  <c r="X723" i="13" s="1"/>
  <c r="H723" i="13"/>
  <c r="U723" i="13" s="1"/>
  <c r="A723" i="13"/>
  <c r="X722" i="13"/>
  <c r="W722" i="13"/>
  <c r="H722" i="13"/>
  <c r="U722" i="13" s="1"/>
  <c r="A722" i="13"/>
  <c r="W721" i="13"/>
  <c r="X721" i="13" s="1"/>
  <c r="H721" i="13"/>
  <c r="U721" i="13" s="1"/>
  <c r="A721" i="13"/>
  <c r="W720" i="13"/>
  <c r="X720" i="13" s="1"/>
  <c r="H720" i="13"/>
  <c r="U720" i="13" s="1"/>
  <c r="A720" i="13"/>
  <c r="W719" i="13"/>
  <c r="X719" i="13" s="1"/>
  <c r="H719" i="13"/>
  <c r="U719" i="13" s="1"/>
  <c r="A719" i="13"/>
  <c r="W718" i="13"/>
  <c r="X718" i="13" s="1"/>
  <c r="H718" i="13"/>
  <c r="U718" i="13" s="1"/>
  <c r="A718" i="13"/>
  <c r="W717" i="13"/>
  <c r="X717" i="13" s="1"/>
  <c r="H717" i="13"/>
  <c r="U717" i="13" s="1"/>
  <c r="A717" i="13"/>
  <c r="W716" i="13"/>
  <c r="X716" i="13" s="1"/>
  <c r="H716" i="13"/>
  <c r="U716" i="13" s="1"/>
  <c r="A716" i="13"/>
  <c r="W715" i="13"/>
  <c r="X715" i="13" s="1"/>
  <c r="H715" i="13"/>
  <c r="U715" i="13" s="1"/>
  <c r="A715" i="13"/>
  <c r="W714" i="13"/>
  <c r="X714" i="13" s="1"/>
  <c r="U714" i="13"/>
  <c r="H714" i="13"/>
  <c r="A714" i="13"/>
  <c r="W713" i="13"/>
  <c r="X713" i="13" s="1"/>
  <c r="H713" i="13"/>
  <c r="U713" i="13" s="1"/>
  <c r="A713" i="13"/>
  <c r="X712" i="13"/>
  <c r="W712" i="13"/>
  <c r="U712" i="13"/>
  <c r="H712" i="13"/>
  <c r="A712" i="13"/>
  <c r="W711" i="13"/>
  <c r="X711" i="13" s="1"/>
  <c r="U711" i="13"/>
  <c r="H711" i="13"/>
  <c r="A711" i="13"/>
  <c r="W710" i="13"/>
  <c r="X710" i="13" s="1"/>
  <c r="U710" i="13"/>
  <c r="H710" i="13"/>
  <c r="A710" i="13"/>
  <c r="W709" i="13"/>
  <c r="X709" i="13" s="1"/>
  <c r="H709" i="13"/>
  <c r="U709" i="13" s="1"/>
  <c r="A709" i="13"/>
  <c r="X708" i="13"/>
  <c r="W708" i="13"/>
  <c r="U708" i="13"/>
  <c r="H708" i="13"/>
  <c r="A708" i="13"/>
  <c r="W707" i="13"/>
  <c r="X707" i="13" s="1"/>
  <c r="H707" i="13"/>
  <c r="U707" i="13" s="1"/>
  <c r="A707" i="13"/>
  <c r="W706" i="13"/>
  <c r="X706" i="13" s="1"/>
  <c r="H706" i="13"/>
  <c r="U706" i="13" s="1"/>
  <c r="A706" i="13"/>
  <c r="W705" i="13"/>
  <c r="X705" i="13" s="1"/>
  <c r="H705" i="13"/>
  <c r="U705" i="13" s="1"/>
  <c r="A705" i="13"/>
  <c r="W704" i="13"/>
  <c r="X704" i="13" s="1"/>
  <c r="U704" i="13"/>
  <c r="H704" i="13"/>
  <c r="A704" i="13"/>
  <c r="W703" i="13"/>
  <c r="X703" i="13" s="1"/>
  <c r="H703" i="13"/>
  <c r="U703" i="13" s="1"/>
  <c r="A703" i="13"/>
  <c r="W702" i="13"/>
  <c r="X702" i="13" s="1"/>
  <c r="H702" i="13"/>
  <c r="U702" i="13" s="1"/>
  <c r="A702" i="13"/>
  <c r="W701" i="13"/>
  <c r="X701" i="13" s="1"/>
  <c r="H701" i="13"/>
  <c r="U701" i="13" s="1"/>
  <c r="A701" i="13"/>
  <c r="W700" i="13"/>
  <c r="X700" i="13" s="1"/>
  <c r="U700" i="13"/>
  <c r="H700" i="13"/>
  <c r="A700" i="13"/>
  <c r="W699" i="13"/>
  <c r="X699" i="13" s="1"/>
  <c r="H699" i="13"/>
  <c r="U699" i="13" s="1"/>
  <c r="A699" i="13"/>
  <c r="W698" i="13"/>
  <c r="X698" i="13" s="1"/>
  <c r="U698" i="13"/>
  <c r="H698" i="13"/>
  <c r="A698" i="13"/>
  <c r="W697" i="13"/>
  <c r="X697" i="13" s="1"/>
  <c r="H697" i="13"/>
  <c r="U697" i="13" s="1"/>
  <c r="A697" i="13"/>
  <c r="W696" i="13"/>
  <c r="X696" i="13" s="1"/>
  <c r="U696" i="13"/>
  <c r="H696" i="13"/>
  <c r="A696" i="13"/>
  <c r="W695" i="13"/>
  <c r="X695" i="13" s="1"/>
  <c r="H695" i="13"/>
  <c r="U695" i="13" s="1"/>
  <c r="A695" i="13"/>
  <c r="W694" i="13"/>
  <c r="X694" i="13" s="1"/>
  <c r="H694" i="13"/>
  <c r="U694" i="13" s="1"/>
  <c r="A694" i="13"/>
  <c r="W693" i="13"/>
  <c r="X693" i="13" s="1"/>
  <c r="H693" i="13"/>
  <c r="U693" i="13" s="1"/>
  <c r="A693" i="13"/>
  <c r="W692" i="13"/>
  <c r="X692" i="13" s="1"/>
  <c r="H692" i="13"/>
  <c r="U692" i="13" s="1"/>
  <c r="A692" i="13"/>
  <c r="W691" i="13"/>
  <c r="X691" i="13" s="1"/>
  <c r="H691" i="13"/>
  <c r="U691" i="13" s="1"/>
  <c r="A691" i="13"/>
  <c r="W690" i="13"/>
  <c r="X690" i="13" s="1"/>
  <c r="H690" i="13"/>
  <c r="U690" i="13" s="1"/>
  <c r="A690" i="13"/>
  <c r="W689" i="13"/>
  <c r="X689" i="13" s="1"/>
  <c r="H689" i="13"/>
  <c r="U689" i="13" s="1"/>
  <c r="A689" i="13"/>
  <c r="W688" i="13"/>
  <c r="X688" i="13" s="1"/>
  <c r="H688" i="13"/>
  <c r="U688" i="13" s="1"/>
  <c r="A688" i="13"/>
  <c r="W687" i="13"/>
  <c r="X687" i="13" s="1"/>
  <c r="H687" i="13"/>
  <c r="U687" i="13" s="1"/>
  <c r="A687" i="13"/>
  <c r="W686" i="13"/>
  <c r="X686" i="13" s="1"/>
  <c r="H686" i="13"/>
  <c r="U686" i="13" s="1"/>
  <c r="A686" i="13"/>
  <c r="W685" i="13"/>
  <c r="X685" i="13" s="1"/>
  <c r="H685" i="13"/>
  <c r="U685" i="13" s="1"/>
  <c r="A685" i="13"/>
  <c r="W684" i="13"/>
  <c r="X684" i="13" s="1"/>
  <c r="H684" i="13"/>
  <c r="U684" i="13" s="1"/>
  <c r="A684" i="13"/>
  <c r="W683" i="13"/>
  <c r="X683" i="13" s="1"/>
  <c r="U683" i="13"/>
  <c r="H683" i="13"/>
  <c r="A683" i="13"/>
  <c r="W682" i="13"/>
  <c r="X682" i="13" s="1"/>
  <c r="H682" i="13"/>
  <c r="U682" i="13" s="1"/>
  <c r="A682" i="13"/>
  <c r="W681" i="13"/>
  <c r="X681" i="13" s="1"/>
  <c r="H681" i="13"/>
  <c r="U681" i="13" s="1"/>
  <c r="A681" i="13"/>
  <c r="W680" i="13"/>
  <c r="X680" i="13" s="1"/>
  <c r="U680" i="13"/>
  <c r="H680" i="13"/>
  <c r="A680" i="13"/>
  <c r="W679" i="13"/>
  <c r="X679" i="13" s="1"/>
  <c r="H679" i="13"/>
  <c r="U679" i="13" s="1"/>
  <c r="A679" i="13"/>
  <c r="W678" i="13"/>
  <c r="X678" i="13" s="1"/>
  <c r="H678" i="13"/>
  <c r="U678" i="13" s="1"/>
  <c r="A678" i="13"/>
  <c r="W677" i="13"/>
  <c r="X677" i="13" s="1"/>
  <c r="H677" i="13"/>
  <c r="U677" i="13" s="1"/>
  <c r="A677" i="13"/>
  <c r="W676" i="13"/>
  <c r="X676" i="13" s="1"/>
  <c r="U676" i="13"/>
  <c r="H676" i="13"/>
  <c r="A676" i="13"/>
  <c r="W675" i="13"/>
  <c r="X675" i="13" s="1"/>
  <c r="H675" i="13"/>
  <c r="U675" i="13" s="1"/>
  <c r="A675" i="13"/>
  <c r="W674" i="13"/>
  <c r="X674" i="13" s="1"/>
  <c r="H674" i="13"/>
  <c r="U674" i="13" s="1"/>
  <c r="A674" i="13"/>
  <c r="W673" i="13"/>
  <c r="X673" i="13" s="1"/>
  <c r="H673" i="13"/>
  <c r="U673" i="13" s="1"/>
  <c r="A673" i="13"/>
  <c r="W672" i="13"/>
  <c r="X672" i="13" s="1"/>
  <c r="H672" i="13"/>
  <c r="U672" i="13" s="1"/>
  <c r="A672" i="13"/>
  <c r="W671" i="13"/>
  <c r="X671" i="13" s="1"/>
  <c r="H671" i="13"/>
  <c r="U671" i="13" s="1"/>
  <c r="A671" i="13"/>
  <c r="W670" i="13"/>
  <c r="X670" i="13" s="1"/>
  <c r="U670" i="13"/>
  <c r="H670" i="13"/>
  <c r="A670" i="13"/>
  <c r="X669" i="13"/>
  <c r="W669" i="13"/>
  <c r="H669" i="13"/>
  <c r="U669" i="13" s="1"/>
  <c r="A669" i="13"/>
  <c r="W668" i="13"/>
  <c r="X668" i="13" s="1"/>
  <c r="H668" i="13"/>
  <c r="U668" i="13" s="1"/>
  <c r="A668" i="13"/>
  <c r="W667" i="13"/>
  <c r="X667" i="13" s="1"/>
  <c r="U667" i="13"/>
  <c r="H667" i="13"/>
  <c r="A667" i="13"/>
  <c r="W666" i="13"/>
  <c r="X666" i="13" s="1"/>
  <c r="U666" i="13"/>
  <c r="H666" i="13"/>
  <c r="A666" i="13"/>
  <c r="W665" i="13"/>
  <c r="X665" i="13" s="1"/>
  <c r="H665" i="13"/>
  <c r="U665" i="13" s="1"/>
  <c r="A665" i="13"/>
  <c r="W664" i="13"/>
  <c r="X664" i="13" s="1"/>
  <c r="H664" i="13"/>
  <c r="U664" i="13" s="1"/>
  <c r="A664" i="13"/>
  <c r="W663" i="13"/>
  <c r="X663" i="13" s="1"/>
  <c r="H663" i="13"/>
  <c r="U663" i="13" s="1"/>
  <c r="A663" i="13"/>
  <c r="W662" i="13"/>
  <c r="X662" i="13" s="1"/>
  <c r="U662" i="13"/>
  <c r="H662" i="13"/>
  <c r="A662" i="13"/>
  <c r="W661" i="13"/>
  <c r="X661" i="13" s="1"/>
  <c r="H661" i="13"/>
  <c r="U661" i="13" s="1"/>
  <c r="A661" i="13"/>
  <c r="X660" i="13"/>
  <c r="W660" i="13"/>
  <c r="U660" i="13"/>
  <c r="H660" i="13"/>
  <c r="A660" i="13"/>
  <c r="W659" i="13"/>
  <c r="X659" i="13" s="1"/>
  <c r="H659" i="13"/>
  <c r="U659" i="13" s="1"/>
  <c r="A659" i="13"/>
  <c r="W658" i="13"/>
  <c r="X658" i="13" s="1"/>
  <c r="H658" i="13"/>
  <c r="U658" i="13" s="1"/>
  <c r="A658" i="13"/>
  <c r="W657" i="13"/>
  <c r="X657" i="13" s="1"/>
  <c r="H657" i="13"/>
  <c r="U657" i="13" s="1"/>
  <c r="A657" i="13"/>
  <c r="W656" i="13"/>
  <c r="X656" i="13" s="1"/>
  <c r="H656" i="13"/>
  <c r="U656" i="13" s="1"/>
  <c r="A656" i="13"/>
  <c r="W655" i="13"/>
  <c r="X655" i="13" s="1"/>
  <c r="U655" i="13"/>
  <c r="H655" i="13"/>
  <c r="A655" i="13"/>
  <c r="W654" i="13"/>
  <c r="X654" i="13" s="1"/>
  <c r="H654" i="13"/>
  <c r="U654" i="13" s="1"/>
  <c r="A654" i="13"/>
  <c r="W653" i="13"/>
  <c r="X653" i="13" s="1"/>
  <c r="H653" i="13"/>
  <c r="U653" i="13" s="1"/>
  <c r="A653" i="13"/>
  <c r="W652" i="13"/>
  <c r="X652" i="13" s="1"/>
  <c r="H652" i="13"/>
  <c r="U652" i="13" s="1"/>
  <c r="A652" i="13"/>
  <c r="W651" i="13"/>
  <c r="X651" i="13" s="1"/>
  <c r="H651" i="13"/>
  <c r="U651" i="13" s="1"/>
  <c r="A651" i="13"/>
  <c r="W650" i="13"/>
  <c r="X650" i="13" s="1"/>
  <c r="H650" i="13"/>
  <c r="U650" i="13" s="1"/>
  <c r="A650" i="13"/>
  <c r="W649" i="13"/>
  <c r="X649" i="13" s="1"/>
  <c r="H649" i="13"/>
  <c r="U649" i="13" s="1"/>
  <c r="A649" i="13"/>
  <c r="W648" i="13"/>
  <c r="X648" i="13" s="1"/>
  <c r="U648" i="13"/>
  <c r="H648" i="13"/>
  <c r="A648" i="13"/>
  <c r="W647" i="13"/>
  <c r="X647" i="13" s="1"/>
  <c r="H647" i="13"/>
  <c r="U647" i="13" s="1"/>
  <c r="A647" i="13"/>
  <c r="W646" i="13"/>
  <c r="X646" i="13" s="1"/>
  <c r="U646" i="13"/>
  <c r="H646" i="13"/>
  <c r="A646" i="13"/>
  <c r="W645" i="13"/>
  <c r="X645" i="13" s="1"/>
  <c r="H645" i="13"/>
  <c r="U645" i="13" s="1"/>
  <c r="A645" i="13"/>
  <c r="W644" i="13"/>
  <c r="X644" i="13" s="1"/>
  <c r="U644" i="13"/>
  <c r="H644" i="13"/>
  <c r="A644" i="13"/>
  <c r="W643" i="13"/>
  <c r="X643" i="13" s="1"/>
  <c r="U643" i="13"/>
  <c r="H643" i="13"/>
  <c r="A643" i="13"/>
  <c r="W642" i="13"/>
  <c r="X642" i="13" s="1"/>
  <c r="H642" i="13"/>
  <c r="U642" i="13" s="1"/>
  <c r="A642" i="13"/>
  <c r="W641" i="13"/>
  <c r="X641" i="13" s="1"/>
  <c r="H641" i="13"/>
  <c r="U641" i="13" s="1"/>
  <c r="A641" i="13"/>
  <c r="W640" i="13"/>
  <c r="X640" i="13" s="1"/>
  <c r="H640" i="13"/>
  <c r="U640" i="13" s="1"/>
  <c r="A640" i="13"/>
  <c r="W639" i="13"/>
  <c r="X639" i="13" s="1"/>
  <c r="H639" i="13"/>
  <c r="U639" i="13" s="1"/>
  <c r="A639" i="13"/>
  <c r="W638" i="13"/>
  <c r="X638" i="13" s="1"/>
  <c r="U638" i="13"/>
  <c r="H638" i="13"/>
  <c r="A638" i="13"/>
  <c r="W637" i="13"/>
  <c r="X637" i="13" s="1"/>
  <c r="H637" i="13"/>
  <c r="U637" i="13" s="1"/>
  <c r="A637" i="13"/>
  <c r="X636" i="13"/>
  <c r="W636" i="13"/>
  <c r="H636" i="13"/>
  <c r="U636" i="13" s="1"/>
  <c r="A636" i="13"/>
  <c r="W635" i="13"/>
  <c r="X635" i="13" s="1"/>
  <c r="H635" i="13"/>
  <c r="U635" i="13" s="1"/>
  <c r="A635" i="13"/>
  <c r="X634" i="13"/>
  <c r="W634" i="13"/>
  <c r="U634" i="13"/>
  <c r="H634" i="13"/>
  <c r="A634" i="13"/>
  <c r="W633" i="13"/>
  <c r="X633" i="13" s="1"/>
  <c r="H633" i="13"/>
  <c r="U633" i="13" s="1"/>
  <c r="A633" i="13"/>
  <c r="W632" i="13"/>
  <c r="X632" i="13" s="1"/>
  <c r="H632" i="13"/>
  <c r="U632" i="13" s="1"/>
  <c r="A632" i="13"/>
  <c r="W631" i="13"/>
  <c r="X631" i="13" s="1"/>
  <c r="U631" i="13"/>
  <c r="H631" i="13"/>
  <c r="A631" i="13"/>
  <c r="W630" i="13"/>
  <c r="X630" i="13" s="1"/>
  <c r="H630" i="13"/>
  <c r="U630" i="13" s="1"/>
  <c r="A630" i="13"/>
  <c r="W629" i="13"/>
  <c r="X629" i="13" s="1"/>
  <c r="H629" i="13"/>
  <c r="U629" i="13" s="1"/>
  <c r="A629" i="13"/>
  <c r="W628" i="13"/>
  <c r="X628" i="13" s="1"/>
  <c r="H628" i="13"/>
  <c r="U628" i="13" s="1"/>
  <c r="A628" i="13"/>
  <c r="W627" i="13"/>
  <c r="X627" i="13" s="1"/>
  <c r="H627" i="13"/>
  <c r="U627" i="13" s="1"/>
  <c r="A627" i="13"/>
  <c r="W626" i="13"/>
  <c r="X626" i="13" s="1"/>
  <c r="H626" i="13"/>
  <c r="U626" i="13" s="1"/>
  <c r="A626" i="13"/>
  <c r="W625" i="13"/>
  <c r="X625" i="13" s="1"/>
  <c r="H625" i="13"/>
  <c r="U625" i="13" s="1"/>
  <c r="A625" i="13"/>
  <c r="W624" i="13"/>
  <c r="X624" i="13" s="1"/>
  <c r="H624" i="13"/>
  <c r="U624" i="13" s="1"/>
  <c r="A624" i="13"/>
  <c r="W623" i="13"/>
  <c r="X623" i="13" s="1"/>
  <c r="H623" i="13"/>
  <c r="U623" i="13" s="1"/>
  <c r="A623" i="13"/>
  <c r="W622" i="13"/>
  <c r="X622" i="13" s="1"/>
  <c r="H622" i="13"/>
  <c r="U622" i="13" s="1"/>
  <c r="A622" i="13"/>
  <c r="W621" i="13"/>
  <c r="X621" i="13" s="1"/>
  <c r="H621" i="13"/>
  <c r="U621" i="13" s="1"/>
  <c r="A621" i="13"/>
  <c r="W620" i="13"/>
  <c r="X620" i="13" s="1"/>
  <c r="H620" i="13"/>
  <c r="U620" i="13" s="1"/>
  <c r="A620" i="13"/>
  <c r="W619" i="13"/>
  <c r="X619" i="13" s="1"/>
  <c r="H619" i="13"/>
  <c r="U619" i="13" s="1"/>
  <c r="A619" i="13"/>
  <c r="W618" i="13"/>
  <c r="X618" i="13" s="1"/>
  <c r="U618" i="13"/>
  <c r="H618" i="13"/>
  <c r="A618" i="13"/>
  <c r="W617" i="13"/>
  <c r="X617" i="13" s="1"/>
  <c r="H617" i="13"/>
  <c r="U617" i="13" s="1"/>
  <c r="A617" i="13"/>
  <c r="W616" i="13"/>
  <c r="X616" i="13" s="1"/>
  <c r="H616" i="13"/>
  <c r="U616" i="13" s="1"/>
  <c r="A616" i="13"/>
  <c r="W615" i="13"/>
  <c r="X615" i="13" s="1"/>
  <c r="H615" i="13"/>
  <c r="U615" i="13" s="1"/>
  <c r="A615" i="13"/>
  <c r="W614" i="13"/>
  <c r="X614" i="13" s="1"/>
  <c r="U614" i="13"/>
  <c r="H614" i="13"/>
  <c r="A614" i="13"/>
  <c r="W613" i="13"/>
  <c r="X613" i="13" s="1"/>
  <c r="H613" i="13"/>
  <c r="U613" i="13" s="1"/>
  <c r="A613" i="13"/>
  <c r="W612" i="13"/>
  <c r="X612" i="13" s="1"/>
  <c r="H612" i="13"/>
  <c r="U612" i="13" s="1"/>
  <c r="A612" i="13"/>
  <c r="W611" i="13"/>
  <c r="X611" i="13" s="1"/>
  <c r="H611" i="13"/>
  <c r="U611" i="13" s="1"/>
  <c r="A611" i="13"/>
  <c r="W610" i="13"/>
  <c r="X610" i="13" s="1"/>
  <c r="H610" i="13"/>
  <c r="U610" i="13" s="1"/>
  <c r="A610" i="13"/>
  <c r="W609" i="13"/>
  <c r="X609" i="13" s="1"/>
  <c r="H609" i="13"/>
  <c r="U609" i="13" s="1"/>
  <c r="A609" i="13"/>
  <c r="W608" i="13"/>
  <c r="X608" i="13" s="1"/>
  <c r="H608" i="13"/>
  <c r="U608" i="13" s="1"/>
  <c r="A608" i="13"/>
  <c r="W607" i="13"/>
  <c r="X607" i="13" s="1"/>
  <c r="H607" i="13"/>
  <c r="U607" i="13" s="1"/>
  <c r="A607" i="13"/>
  <c r="W606" i="13"/>
  <c r="X606" i="13" s="1"/>
  <c r="U606" i="13"/>
  <c r="H606" i="13"/>
  <c r="A606" i="13"/>
  <c r="W605" i="13"/>
  <c r="X605" i="13" s="1"/>
  <c r="H605" i="13"/>
  <c r="U605" i="13" s="1"/>
  <c r="A605" i="13"/>
  <c r="W604" i="13"/>
  <c r="X604" i="13" s="1"/>
  <c r="H604" i="13"/>
  <c r="U604" i="13" s="1"/>
  <c r="A604" i="13"/>
  <c r="W603" i="13"/>
  <c r="X603" i="13" s="1"/>
  <c r="H603" i="13"/>
  <c r="U603" i="13" s="1"/>
  <c r="A603" i="13"/>
  <c r="W602" i="13"/>
  <c r="X602" i="13" s="1"/>
  <c r="H602" i="13"/>
  <c r="U602" i="13" s="1"/>
  <c r="A602" i="13"/>
  <c r="W601" i="13"/>
  <c r="X601" i="13" s="1"/>
  <c r="H601" i="13"/>
  <c r="U601" i="13" s="1"/>
  <c r="A601" i="13"/>
  <c r="W600" i="13"/>
  <c r="X600" i="13" s="1"/>
  <c r="H600" i="13"/>
  <c r="U600" i="13" s="1"/>
  <c r="A600" i="13"/>
  <c r="W599" i="13"/>
  <c r="X599" i="13" s="1"/>
  <c r="U599" i="13"/>
  <c r="H599" i="13"/>
  <c r="A599" i="13"/>
  <c r="W598" i="13"/>
  <c r="X598" i="13" s="1"/>
  <c r="H598" i="13"/>
  <c r="U598" i="13" s="1"/>
  <c r="A598" i="13"/>
  <c r="W597" i="13"/>
  <c r="X597" i="13" s="1"/>
  <c r="H597" i="13"/>
  <c r="U597" i="13" s="1"/>
  <c r="A597" i="13"/>
  <c r="W596" i="13"/>
  <c r="X596" i="13" s="1"/>
  <c r="H596" i="13"/>
  <c r="U596" i="13" s="1"/>
  <c r="A596" i="13"/>
  <c r="W595" i="13"/>
  <c r="X595" i="13" s="1"/>
  <c r="H595" i="13"/>
  <c r="U595" i="13" s="1"/>
  <c r="A595" i="13"/>
  <c r="W594" i="13"/>
  <c r="X594" i="13" s="1"/>
  <c r="U594" i="13"/>
  <c r="H594" i="13"/>
  <c r="A594" i="13"/>
  <c r="W593" i="13"/>
  <c r="X593" i="13" s="1"/>
  <c r="H593" i="13"/>
  <c r="U593" i="13" s="1"/>
  <c r="A593" i="13"/>
  <c r="W592" i="13"/>
  <c r="X592" i="13" s="1"/>
  <c r="H592" i="13"/>
  <c r="U592" i="13" s="1"/>
  <c r="A592" i="13"/>
  <c r="W591" i="13"/>
  <c r="X591" i="13" s="1"/>
  <c r="H591" i="13"/>
  <c r="U591" i="13" s="1"/>
  <c r="A591" i="13"/>
  <c r="W590" i="13"/>
  <c r="X590" i="13" s="1"/>
  <c r="U590" i="13"/>
  <c r="H590" i="13"/>
  <c r="A590" i="13"/>
  <c r="W589" i="13"/>
  <c r="X589" i="13" s="1"/>
  <c r="H589" i="13"/>
  <c r="U589" i="13" s="1"/>
  <c r="A589" i="13"/>
  <c r="W588" i="13"/>
  <c r="X588" i="13" s="1"/>
  <c r="U588" i="13"/>
  <c r="H588" i="13"/>
  <c r="A588" i="13"/>
  <c r="X587" i="13"/>
  <c r="W587" i="13"/>
  <c r="H587" i="13"/>
  <c r="U587" i="13" s="1"/>
  <c r="A587" i="13"/>
  <c r="W586" i="13"/>
  <c r="X586" i="13" s="1"/>
  <c r="H586" i="13"/>
  <c r="U586" i="13" s="1"/>
  <c r="A586" i="13"/>
  <c r="W585" i="13"/>
  <c r="X585" i="13" s="1"/>
  <c r="H585" i="13"/>
  <c r="U585" i="13" s="1"/>
  <c r="A585" i="13"/>
  <c r="W584" i="13"/>
  <c r="X584" i="13" s="1"/>
  <c r="H584" i="13"/>
  <c r="U584" i="13" s="1"/>
  <c r="A584" i="13"/>
  <c r="W583" i="13"/>
  <c r="X583" i="13" s="1"/>
  <c r="H583" i="13"/>
  <c r="U583" i="13" s="1"/>
  <c r="A583" i="13"/>
  <c r="W582" i="13"/>
  <c r="X582" i="13" s="1"/>
  <c r="H582" i="13"/>
  <c r="U582" i="13" s="1"/>
  <c r="A582" i="13"/>
  <c r="W581" i="13"/>
  <c r="X581" i="13" s="1"/>
  <c r="H581" i="13"/>
  <c r="U581" i="13" s="1"/>
  <c r="A581" i="13"/>
  <c r="W580" i="13"/>
  <c r="X580" i="13" s="1"/>
  <c r="U580" i="13"/>
  <c r="H580" i="13"/>
  <c r="A580" i="13"/>
  <c r="W579" i="13"/>
  <c r="X579" i="13" s="1"/>
  <c r="H579" i="13"/>
  <c r="U579" i="13" s="1"/>
  <c r="A579" i="13"/>
  <c r="W578" i="13"/>
  <c r="X578" i="13" s="1"/>
  <c r="U578" i="13"/>
  <c r="H578" i="13"/>
  <c r="A578" i="13"/>
  <c r="W577" i="13"/>
  <c r="X577" i="13" s="1"/>
  <c r="H577" i="13"/>
  <c r="U577" i="13" s="1"/>
  <c r="A577" i="13"/>
  <c r="W576" i="13"/>
  <c r="X576" i="13" s="1"/>
  <c r="H576" i="13"/>
  <c r="U576" i="13" s="1"/>
  <c r="A576" i="13"/>
  <c r="W575" i="13"/>
  <c r="X575" i="13" s="1"/>
  <c r="H575" i="13"/>
  <c r="U575" i="13" s="1"/>
  <c r="A575" i="13"/>
  <c r="W574" i="13"/>
  <c r="X574" i="13" s="1"/>
  <c r="U574" i="13"/>
  <c r="H574" i="13"/>
  <c r="A574" i="13"/>
  <c r="W573" i="13"/>
  <c r="X573" i="13" s="1"/>
  <c r="H573" i="13"/>
  <c r="U573" i="13" s="1"/>
  <c r="A573" i="13"/>
  <c r="W572" i="13"/>
  <c r="X572" i="13" s="1"/>
  <c r="H572" i="13"/>
  <c r="U572" i="13" s="1"/>
  <c r="A572" i="13"/>
  <c r="W571" i="13"/>
  <c r="X571" i="13" s="1"/>
  <c r="H571" i="13"/>
  <c r="U571" i="13" s="1"/>
  <c r="A571" i="13"/>
  <c r="W570" i="13"/>
  <c r="X570" i="13" s="1"/>
  <c r="H570" i="13"/>
  <c r="U570" i="13" s="1"/>
  <c r="A570" i="13"/>
  <c r="X569" i="13"/>
  <c r="W569" i="13"/>
  <c r="H569" i="13"/>
  <c r="U569" i="13" s="1"/>
  <c r="A569" i="13"/>
  <c r="W568" i="13"/>
  <c r="X568" i="13" s="1"/>
  <c r="H568" i="13"/>
  <c r="U568" i="13" s="1"/>
  <c r="A568" i="13"/>
  <c r="W567" i="13"/>
  <c r="X567" i="13" s="1"/>
  <c r="U567" i="13"/>
  <c r="H567" i="13"/>
  <c r="A567" i="13"/>
  <c r="W566" i="13"/>
  <c r="X566" i="13" s="1"/>
  <c r="U566" i="13"/>
  <c r="H566" i="13"/>
  <c r="A566" i="13"/>
  <c r="W565" i="13"/>
  <c r="X565" i="13" s="1"/>
  <c r="H565" i="13"/>
  <c r="U565" i="13" s="1"/>
  <c r="A565" i="13"/>
  <c r="W564" i="13"/>
  <c r="X564" i="13" s="1"/>
  <c r="H564" i="13"/>
  <c r="U564" i="13" s="1"/>
  <c r="A564" i="13"/>
  <c r="W563" i="13"/>
  <c r="X563" i="13" s="1"/>
  <c r="H563" i="13"/>
  <c r="U563" i="13" s="1"/>
  <c r="A563" i="13"/>
  <c r="W562" i="13"/>
  <c r="X562" i="13" s="1"/>
  <c r="U562" i="13"/>
  <c r="H562" i="13"/>
  <c r="A562" i="13"/>
  <c r="W561" i="13"/>
  <c r="X561" i="13" s="1"/>
  <c r="H561" i="13"/>
  <c r="U561" i="13" s="1"/>
  <c r="A561" i="13"/>
  <c r="W560" i="13"/>
  <c r="X560" i="13" s="1"/>
  <c r="H560" i="13"/>
  <c r="U560" i="13" s="1"/>
  <c r="A560" i="13"/>
  <c r="W559" i="13"/>
  <c r="X559" i="13" s="1"/>
  <c r="H559" i="13"/>
  <c r="U559" i="13" s="1"/>
  <c r="A559" i="13"/>
  <c r="W558" i="13"/>
  <c r="X558" i="13" s="1"/>
  <c r="H558" i="13"/>
  <c r="U558" i="13" s="1"/>
  <c r="A558" i="13"/>
  <c r="W557" i="13"/>
  <c r="X557" i="13" s="1"/>
  <c r="H557" i="13"/>
  <c r="U557" i="13" s="1"/>
  <c r="A557" i="13"/>
  <c r="W556" i="13"/>
  <c r="X556" i="13" s="1"/>
  <c r="H556" i="13"/>
  <c r="U556" i="13" s="1"/>
  <c r="A556" i="13"/>
  <c r="X555" i="13"/>
  <c r="W555" i="13"/>
  <c r="H555" i="13"/>
  <c r="U555" i="13" s="1"/>
  <c r="A555" i="13"/>
  <c r="W554" i="13"/>
  <c r="X554" i="13" s="1"/>
  <c r="H554" i="13"/>
  <c r="U554" i="13" s="1"/>
  <c r="A554" i="13"/>
  <c r="W553" i="13"/>
  <c r="X553" i="13" s="1"/>
  <c r="H553" i="13"/>
  <c r="U553" i="13" s="1"/>
  <c r="A553" i="13"/>
  <c r="W552" i="13"/>
  <c r="X552" i="13" s="1"/>
  <c r="H552" i="13"/>
  <c r="U552" i="13" s="1"/>
  <c r="A552" i="13"/>
  <c r="W551" i="13"/>
  <c r="X551" i="13" s="1"/>
  <c r="H551" i="13"/>
  <c r="U551" i="13" s="1"/>
  <c r="A551" i="13"/>
  <c r="W550" i="13"/>
  <c r="X550" i="13" s="1"/>
  <c r="H550" i="13"/>
  <c r="U550" i="13" s="1"/>
  <c r="A550" i="13"/>
  <c r="W549" i="13"/>
  <c r="X549" i="13" s="1"/>
  <c r="H549" i="13"/>
  <c r="U549" i="13" s="1"/>
  <c r="A549" i="13"/>
  <c r="W548" i="13"/>
  <c r="X548" i="13" s="1"/>
  <c r="H548" i="13"/>
  <c r="U548" i="13" s="1"/>
  <c r="A548" i="13"/>
  <c r="W547" i="13"/>
  <c r="X547" i="13" s="1"/>
  <c r="H547" i="13"/>
  <c r="U547" i="13" s="1"/>
  <c r="A547" i="13"/>
  <c r="W546" i="13"/>
  <c r="X546" i="13" s="1"/>
  <c r="U546" i="13"/>
  <c r="H546" i="13"/>
  <c r="A546" i="13"/>
  <c r="W545" i="13"/>
  <c r="X545" i="13" s="1"/>
  <c r="H545" i="13"/>
  <c r="U545" i="13" s="1"/>
  <c r="A545" i="13"/>
  <c r="W544" i="13"/>
  <c r="X544" i="13" s="1"/>
  <c r="U544" i="13"/>
  <c r="H544" i="13"/>
  <c r="A544" i="13"/>
  <c r="W543" i="13"/>
  <c r="X543" i="13" s="1"/>
  <c r="H543" i="13"/>
  <c r="U543" i="13" s="1"/>
  <c r="A543" i="13"/>
  <c r="W542" i="13"/>
  <c r="X542" i="13" s="1"/>
  <c r="H542" i="13"/>
  <c r="U542" i="13" s="1"/>
  <c r="A542" i="13"/>
  <c r="W541" i="13"/>
  <c r="X541" i="13" s="1"/>
  <c r="H541" i="13"/>
  <c r="U541" i="13" s="1"/>
  <c r="A541" i="13"/>
  <c r="W540" i="13"/>
  <c r="X540" i="13" s="1"/>
  <c r="U540" i="13"/>
  <c r="H540" i="13"/>
  <c r="A540" i="13"/>
  <c r="W539" i="13"/>
  <c r="X539" i="13" s="1"/>
  <c r="U539" i="13"/>
  <c r="H539" i="13"/>
  <c r="A539" i="13"/>
  <c r="W538" i="13"/>
  <c r="X538" i="13" s="1"/>
  <c r="U538" i="13"/>
  <c r="H538" i="13"/>
  <c r="A538" i="13"/>
  <c r="W537" i="13"/>
  <c r="X537" i="13" s="1"/>
  <c r="H537" i="13"/>
  <c r="U537" i="13" s="1"/>
  <c r="A537" i="13"/>
  <c r="W536" i="13"/>
  <c r="X536" i="13" s="1"/>
  <c r="H536" i="13"/>
  <c r="U536" i="13" s="1"/>
  <c r="A536" i="13"/>
  <c r="W535" i="13"/>
  <c r="X535" i="13" s="1"/>
  <c r="H535" i="13"/>
  <c r="U535" i="13" s="1"/>
  <c r="A535" i="13"/>
  <c r="W534" i="13"/>
  <c r="X534" i="13" s="1"/>
  <c r="H534" i="13"/>
  <c r="U534" i="13" s="1"/>
  <c r="A534" i="13"/>
  <c r="X533" i="13"/>
  <c r="W533" i="13"/>
  <c r="H533" i="13"/>
  <c r="U533" i="13" s="1"/>
  <c r="A533" i="13"/>
  <c r="W532" i="13"/>
  <c r="X532" i="13" s="1"/>
  <c r="H532" i="13"/>
  <c r="U532" i="13" s="1"/>
  <c r="A532" i="13"/>
  <c r="W531" i="13"/>
  <c r="X531" i="13" s="1"/>
  <c r="H531" i="13"/>
  <c r="U531" i="13" s="1"/>
  <c r="A531" i="13"/>
  <c r="W530" i="13"/>
  <c r="X530" i="13" s="1"/>
  <c r="H530" i="13"/>
  <c r="U530" i="13" s="1"/>
  <c r="A530" i="13"/>
  <c r="W529" i="13"/>
  <c r="X529" i="13" s="1"/>
  <c r="H529" i="13"/>
  <c r="U529" i="13" s="1"/>
  <c r="A529" i="13"/>
  <c r="W528" i="13"/>
  <c r="X528" i="13" s="1"/>
  <c r="H528" i="13"/>
  <c r="U528" i="13" s="1"/>
  <c r="A528" i="13"/>
  <c r="W527" i="13"/>
  <c r="X527" i="13" s="1"/>
  <c r="H527" i="13"/>
  <c r="U527" i="13" s="1"/>
  <c r="A527" i="13"/>
  <c r="W526" i="13"/>
  <c r="X526" i="13" s="1"/>
  <c r="U526" i="13"/>
  <c r="H526" i="13"/>
  <c r="A526" i="13"/>
  <c r="W525" i="13"/>
  <c r="X525" i="13" s="1"/>
  <c r="H525" i="13"/>
  <c r="U525" i="13" s="1"/>
  <c r="A525" i="13"/>
  <c r="W524" i="13"/>
  <c r="X524" i="13" s="1"/>
  <c r="H524" i="13"/>
  <c r="U524" i="13" s="1"/>
  <c r="A524" i="13"/>
  <c r="W523" i="13"/>
  <c r="X523" i="13" s="1"/>
  <c r="H523" i="13"/>
  <c r="U523" i="13" s="1"/>
  <c r="A523" i="13"/>
  <c r="W522" i="13"/>
  <c r="X522" i="13" s="1"/>
  <c r="H522" i="13"/>
  <c r="U522" i="13" s="1"/>
  <c r="A522" i="13"/>
  <c r="W521" i="13"/>
  <c r="X521" i="13" s="1"/>
  <c r="H521" i="13"/>
  <c r="U521" i="13" s="1"/>
  <c r="A521" i="13"/>
  <c r="W520" i="13"/>
  <c r="X520" i="13" s="1"/>
  <c r="H520" i="13"/>
  <c r="U520" i="13" s="1"/>
  <c r="A520" i="13"/>
  <c r="W519" i="13"/>
  <c r="X519" i="13" s="1"/>
  <c r="H519" i="13"/>
  <c r="U519" i="13" s="1"/>
  <c r="A519" i="13"/>
  <c r="W518" i="13"/>
  <c r="X518" i="13" s="1"/>
  <c r="U518" i="13"/>
  <c r="H518" i="13"/>
  <c r="A518" i="13"/>
  <c r="W517" i="13"/>
  <c r="X517" i="13" s="1"/>
  <c r="H517" i="13"/>
  <c r="U517" i="13" s="1"/>
  <c r="A517" i="13"/>
  <c r="W516" i="13"/>
  <c r="X516" i="13" s="1"/>
  <c r="H516" i="13"/>
  <c r="U516" i="13" s="1"/>
  <c r="A516" i="13"/>
  <c r="W515" i="13"/>
  <c r="X515" i="13" s="1"/>
  <c r="H515" i="13"/>
  <c r="U515" i="13" s="1"/>
  <c r="A515" i="13"/>
  <c r="W514" i="13"/>
  <c r="X514" i="13" s="1"/>
  <c r="U514" i="13"/>
  <c r="H514" i="13"/>
  <c r="A514" i="13"/>
  <c r="W513" i="13"/>
  <c r="X513" i="13" s="1"/>
  <c r="H513" i="13"/>
  <c r="U513" i="13" s="1"/>
  <c r="A513" i="13"/>
  <c r="W512" i="13"/>
  <c r="X512" i="13" s="1"/>
  <c r="H512" i="13"/>
  <c r="U512" i="13" s="1"/>
  <c r="A512" i="13"/>
  <c r="W511" i="13"/>
  <c r="X511" i="13" s="1"/>
  <c r="H511" i="13"/>
  <c r="U511" i="13" s="1"/>
  <c r="A511" i="13"/>
  <c r="W510" i="13"/>
  <c r="X510" i="13" s="1"/>
  <c r="U510" i="13"/>
  <c r="H510" i="13"/>
  <c r="A510" i="13"/>
  <c r="W509" i="13"/>
  <c r="X509" i="13" s="1"/>
  <c r="H509" i="13"/>
  <c r="U509" i="13" s="1"/>
  <c r="A509" i="13"/>
  <c r="W508" i="13"/>
  <c r="X508" i="13" s="1"/>
  <c r="H508" i="13"/>
  <c r="U508" i="13" s="1"/>
  <c r="A508" i="13"/>
  <c r="W507" i="13"/>
  <c r="X507" i="13" s="1"/>
  <c r="U507" i="13"/>
  <c r="H507" i="13"/>
  <c r="A507" i="13"/>
  <c r="X506" i="13"/>
  <c r="W506" i="13"/>
  <c r="U506" i="13"/>
  <c r="H506" i="13"/>
  <c r="A506" i="13"/>
  <c r="W505" i="13"/>
  <c r="X505" i="13" s="1"/>
  <c r="H505" i="13"/>
  <c r="U505" i="13" s="1"/>
  <c r="A505" i="13"/>
  <c r="W504" i="13"/>
  <c r="X504" i="13" s="1"/>
  <c r="H504" i="13"/>
  <c r="U504" i="13" s="1"/>
  <c r="A504" i="13"/>
  <c r="W503" i="13"/>
  <c r="X503" i="13" s="1"/>
  <c r="U503" i="13"/>
  <c r="H503" i="13"/>
  <c r="A503" i="13"/>
  <c r="W502" i="13"/>
  <c r="X502" i="13" s="1"/>
  <c r="U502" i="13"/>
  <c r="H502" i="13"/>
  <c r="A502" i="13"/>
  <c r="W501" i="13"/>
  <c r="X501" i="13" s="1"/>
  <c r="H501" i="13"/>
  <c r="U501" i="13" s="1"/>
  <c r="A501" i="13"/>
  <c r="W500" i="13"/>
  <c r="X500" i="13" s="1"/>
  <c r="H500" i="13"/>
  <c r="U500" i="13" s="1"/>
  <c r="A500" i="13"/>
  <c r="W499" i="13"/>
  <c r="X499" i="13" s="1"/>
  <c r="H499" i="13"/>
  <c r="U499" i="13" s="1"/>
  <c r="A499" i="13"/>
  <c r="X498" i="13"/>
  <c r="W498" i="13"/>
  <c r="U498" i="13"/>
  <c r="H498" i="13"/>
  <c r="A498" i="13"/>
  <c r="W497" i="13"/>
  <c r="X497" i="13" s="1"/>
  <c r="H497" i="13"/>
  <c r="U497" i="13" s="1"/>
  <c r="A497" i="13"/>
  <c r="X496" i="13"/>
  <c r="W496" i="13"/>
  <c r="H496" i="13"/>
  <c r="U496" i="13" s="1"/>
  <c r="A496" i="13"/>
  <c r="W495" i="13"/>
  <c r="X495" i="13" s="1"/>
  <c r="H495" i="13"/>
  <c r="U495" i="13" s="1"/>
  <c r="A495" i="13"/>
  <c r="X494" i="13"/>
  <c r="W494" i="13"/>
  <c r="U494" i="13"/>
  <c r="H494" i="13"/>
  <c r="A494" i="13"/>
  <c r="W493" i="13"/>
  <c r="X493" i="13" s="1"/>
  <c r="H493" i="13"/>
  <c r="U493" i="13" s="1"/>
  <c r="A493" i="13"/>
  <c r="X492" i="13"/>
  <c r="W492" i="13"/>
  <c r="U492" i="13"/>
  <c r="H492" i="13"/>
  <c r="A492" i="13"/>
  <c r="W491" i="13"/>
  <c r="X491" i="13" s="1"/>
  <c r="H491" i="13"/>
  <c r="U491" i="13" s="1"/>
  <c r="A491" i="13"/>
  <c r="W490" i="13"/>
  <c r="X490" i="13" s="1"/>
  <c r="H490" i="13"/>
  <c r="U490" i="13" s="1"/>
  <c r="A490" i="13"/>
  <c r="W489" i="13"/>
  <c r="X489" i="13" s="1"/>
  <c r="H489" i="13"/>
  <c r="U489" i="13" s="1"/>
  <c r="A489" i="13"/>
  <c r="W488" i="13"/>
  <c r="X488" i="13" s="1"/>
  <c r="H488" i="13"/>
  <c r="U488" i="13" s="1"/>
  <c r="A488" i="13"/>
  <c r="W487" i="13"/>
  <c r="X487" i="13" s="1"/>
  <c r="H487" i="13"/>
  <c r="U487" i="13" s="1"/>
  <c r="A487" i="13"/>
  <c r="W486" i="13"/>
  <c r="X486" i="13" s="1"/>
  <c r="H486" i="13"/>
  <c r="U486" i="13" s="1"/>
  <c r="A486" i="13"/>
  <c r="W485" i="13"/>
  <c r="X485" i="13" s="1"/>
  <c r="H485" i="13"/>
  <c r="U485" i="13" s="1"/>
  <c r="A485" i="13"/>
  <c r="W484" i="13"/>
  <c r="X484" i="13" s="1"/>
  <c r="U484" i="13"/>
  <c r="H484" i="13"/>
  <c r="A484" i="13"/>
  <c r="W483" i="13"/>
  <c r="X483" i="13" s="1"/>
  <c r="H483" i="13"/>
  <c r="U483" i="13" s="1"/>
  <c r="A483" i="13"/>
  <c r="X482" i="13"/>
  <c r="W482" i="13"/>
  <c r="H482" i="13"/>
  <c r="U482" i="13" s="1"/>
  <c r="A482" i="13"/>
  <c r="W481" i="13"/>
  <c r="X481" i="13" s="1"/>
  <c r="H481" i="13"/>
  <c r="U481" i="13" s="1"/>
  <c r="A481" i="13"/>
  <c r="W480" i="13"/>
  <c r="X480" i="13" s="1"/>
  <c r="U480" i="13"/>
  <c r="H480" i="13"/>
  <c r="A480" i="13"/>
  <c r="W479" i="13"/>
  <c r="X479" i="13" s="1"/>
  <c r="H479" i="13"/>
  <c r="U479" i="13" s="1"/>
  <c r="A479" i="13"/>
  <c r="W478" i="13"/>
  <c r="X478" i="13" s="1"/>
  <c r="H478" i="13"/>
  <c r="U478" i="13" s="1"/>
  <c r="A478" i="13"/>
  <c r="W477" i="13"/>
  <c r="X477" i="13" s="1"/>
  <c r="H477" i="13"/>
  <c r="U477" i="13" s="1"/>
  <c r="A477" i="13"/>
  <c r="W476" i="13"/>
  <c r="X476" i="13" s="1"/>
  <c r="U476" i="13"/>
  <c r="H476" i="13"/>
  <c r="A476" i="13"/>
  <c r="W475" i="13"/>
  <c r="X475" i="13" s="1"/>
  <c r="U475" i="13"/>
  <c r="H475" i="13"/>
  <c r="A475" i="13"/>
  <c r="W474" i="13"/>
  <c r="X474" i="13" s="1"/>
  <c r="U474" i="13"/>
  <c r="H474" i="13"/>
  <c r="A474" i="13"/>
  <c r="W473" i="13"/>
  <c r="X473" i="13" s="1"/>
  <c r="H473" i="13"/>
  <c r="U473" i="13" s="1"/>
  <c r="A473" i="13"/>
  <c r="W472" i="13"/>
  <c r="X472" i="13" s="1"/>
  <c r="H472" i="13"/>
  <c r="U472" i="13" s="1"/>
  <c r="A472" i="13"/>
  <c r="W471" i="13"/>
  <c r="X471" i="13" s="1"/>
  <c r="U471" i="13"/>
  <c r="H471" i="13"/>
  <c r="A471" i="13"/>
  <c r="W470" i="13"/>
  <c r="X470" i="13" s="1"/>
  <c r="H470" i="13"/>
  <c r="U470" i="13" s="1"/>
  <c r="A470" i="13"/>
  <c r="W469" i="13"/>
  <c r="X469" i="13" s="1"/>
  <c r="H469" i="13"/>
  <c r="U469" i="13" s="1"/>
  <c r="A469" i="13"/>
  <c r="W468" i="13"/>
  <c r="X468" i="13" s="1"/>
  <c r="H468" i="13"/>
  <c r="U468" i="13" s="1"/>
  <c r="A468" i="13"/>
  <c r="W467" i="13"/>
  <c r="X467" i="13" s="1"/>
  <c r="H467" i="13"/>
  <c r="U467" i="13" s="1"/>
  <c r="A467" i="13"/>
  <c r="W466" i="13"/>
  <c r="X466" i="13" s="1"/>
  <c r="U466" i="13"/>
  <c r="H466" i="13"/>
  <c r="A466" i="13"/>
  <c r="W465" i="13"/>
  <c r="X465" i="13" s="1"/>
  <c r="H465" i="13"/>
  <c r="U465" i="13" s="1"/>
  <c r="A465" i="13"/>
  <c r="W464" i="13"/>
  <c r="X464" i="13" s="1"/>
  <c r="H464" i="13"/>
  <c r="U464" i="13" s="1"/>
  <c r="A464" i="13"/>
  <c r="W463" i="13"/>
  <c r="X463" i="13" s="1"/>
  <c r="H463" i="13"/>
  <c r="U463" i="13" s="1"/>
  <c r="A463" i="13"/>
  <c r="W462" i="13"/>
  <c r="X462" i="13" s="1"/>
  <c r="H462" i="13"/>
  <c r="U462" i="13" s="1"/>
  <c r="A462" i="13"/>
  <c r="W461" i="13"/>
  <c r="X461" i="13" s="1"/>
  <c r="H461" i="13"/>
  <c r="U461" i="13" s="1"/>
  <c r="A461" i="13"/>
  <c r="W460" i="13"/>
  <c r="X460" i="13" s="1"/>
  <c r="U460" i="13"/>
  <c r="H460" i="13"/>
  <c r="A460" i="13"/>
  <c r="W459" i="13"/>
  <c r="X459" i="13" s="1"/>
  <c r="H459" i="13"/>
  <c r="U459" i="13" s="1"/>
  <c r="A459" i="13"/>
  <c r="W458" i="13"/>
  <c r="X458" i="13" s="1"/>
  <c r="H458" i="13"/>
  <c r="U458" i="13" s="1"/>
  <c r="A458" i="13"/>
  <c r="W457" i="13"/>
  <c r="X457" i="13" s="1"/>
  <c r="H457" i="13"/>
  <c r="U457" i="13" s="1"/>
  <c r="A457" i="13"/>
  <c r="W456" i="13"/>
  <c r="X456" i="13" s="1"/>
  <c r="U456" i="13"/>
  <c r="H456" i="13"/>
  <c r="A456" i="13"/>
  <c r="W455" i="13"/>
  <c r="X455" i="13" s="1"/>
  <c r="H455" i="13"/>
  <c r="U455" i="13" s="1"/>
  <c r="A455" i="13"/>
  <c r="W454" i="13"/>
  <c r="X454" i="13" s="1"/>
  <c r="U454" i="13"/>
  <c r="H454" i="13"/>
  <c r="A454" i="13"/>
  <c r="W453" i="13"/>
  <c r="X453" i="13" s="1"/>
  <c r="H453" i="13"/>
  <c r="U453" i="13" s="1"/>
  <c r="A453" i="13"/>
  <c r="X452" i="13"/>
  <c r="W452" i="13"/>
  <c r="H452" i="13"/>
  <c r="U452" i="13" s="1"/>
  <c r="A452" i="13"/>
  <c r="W451" i="13"/>
  <c r="X451" i="13" s="1"/>
  <c r="H451" i="13"/>
  <c r="U451" i="13" s="1"/>
  <c r="A451" i="13"/>
  <c r="W450" i="13"/>
  <c r="X450" i="13" s="1"/>
  <c r="H450" i="13"/>
  <c r="U450" i="13" s="1"/>
  <c r="A450" i="13"/>
  <c r="W449" i="13"/>
  <c r="X449" i="13" s="1"/>
  <c r="H449" i="13"/>
  <c r="U449" i="13" s="1"/>
  <c r="A449" i="13"/>
  <c r="W448" i="13"/>
  <c r="X448" i="13" s="1"/>
  <c r="U448" i="13"/>
  <c r="H448" i="13"/>
  <c r="A448" i="13"/>
  <c r="W447" i="13"/>
  <c r="X447" i="13" s="1"/>
  <c r="H447" i="13"/>
  <c r="U447" i="13" s="1"/>
  <c r="A447" i="13"/>
  <c r="W446" i="13"/>
  <c r="X446" i="13" s="1"/>
  <c r="U446" i="13"/>
  <c r="H446" i="13"/>
  <c r="A446" i="13"/>
  <c r="W445" i="13"/>
  <c r="X445" i="13" s="1"/>
  <c r="H445" i="13"/>
  <c r="U445" i="13" s="1"/>
  <c r="A445" i="13"/>
  <c r="W444" i="13"/>
  <c r="X444" i="13" s="1"/>
  <c r="U444" i="13"/>
  <c r="H444" i="13"/>
  <c r="A444" i="13"/>
  <c r="W443" i="13"/>
  <c r="X443" i="13" s="1"/>
  <c r="U443" i="13"/>
  <c r="H443" i="13"/>
  <c r="A443" i="13"/>
  <c r="W442" i="13"/>
  <c r="X442" i="13" s="1"/>
  <c r="U442" i="13"/>
  <c r="H442" i="13"/>
  <c r="A442" i="13"/>
  <c r="W441" i="13"/>
  <c r="X441" i="13" s="1"/>
  <c r="H441" i="13"/>
  <c r="U441" i="13" s="1"/>
  <c r="A441" i="13"/>
  <c r="W440" i="13"/>
  <c r="X440" i="13" s="1"/>
  <c r="H440" i="13"/>
  <c r="U440" i="13" s="1"/>
  <c r="A440" i="13"/>
  <c r="W439" i="13"/>
  <c r="X439" i="13" s="1"/>
  <c r="U439" i="13"/>
  <c r="H439" i="13"/>
  <c r="A439" i="13"/>
  <c r="W438" i="13"/>
  <c r="X438" i="13" s="1"/>
  <c r="U438" i="13"/>
  <c r="H438" i="13"/>
  <c r="A438" i="13"/>
  <c r="W437" i="13"/>
  <c r="X437" i="13" s="1"/>
  <c r="H437" i="13"/>
  <c r="U437" i="13" s="1"/>
  <c r="A437" i="13"/>
  <c r="W436" i="13"/>
  <c r="X436" i="13" s="1"/>
  <c r="H436" i="13"/>
  <c r="U436" i="13" s="1"/>
  <c r="A436" i="13"/>
  <c r="W435" i="13"/>
  <c r="X435" i="13" s="1"/>
  <c r="H435" i="13"/>
  <c r="U435" i="13" s="1"/>
  <c r="A435" i="13"/>
  <c r="W434" i="13"/>
  <c r="X434" i="13" s="1"/>
  <c r="U434" i="13"/>
  <c r="H434" i="13"/>
  <c r="A434" i="13"/>
  <c r="W433" i="13"/>
  <c r="X433" i="13" s="1"/>
  <c r="H433" i="13"/>
  <c r="U433" i="13" s="1"/>
  <c r="A433" i="13"/>
  <c r="W432" i="13"/>
  <c r="X432" i="13" s="1"/>
  <c r="H432" i="13"/>
  <c r="U432" i="13" s="1"/>
  <c r="A432" i="13"/>
  <c r="W431" i="13"/>
  <c r="X431" i="13" s="1"/>
  <c r="U431" i="13"/>
  <c r="H431" i="13"/>
  <c r="A431" i="13"/>
  <c r="W430" i="13"/>
  <c r="X430" i="13" s="1"/>
  <c r="U430" i="13"/>
  <c r="H430" i="13"/>
  <c r="A430" i="13"/>
  <c r="X429" i="13"/>
  <c r="W429" i="13"/>
  <c r="H429" i="13"/>
  <c r="U429" i="13" s="1"/>
  <c r="A429" i="13"/>
  <c r="W428" i="13"/>
  <c r="X428" i="13" s="1"/>
  <c r="U428" i="13"/>
  <c r="H428" i="13"/>
  <c r="A428" i="13"/>
  <c r="W427" i="13"/>
  <c r="X427" i="13" s="1"/>
  <c r="H427" i="13"/>
  <c r="U427" i="13" s="1"/>
  <c r="A427" i="13"/>
  <c r="W426" i="13"/>
  <c r="X426" i="13" s="1"/>
  <c r="U426" i="13"/>
  <c r="H426" i="13"/>
  <c r="A426" i="13"/>
  <c r="W425" i="13"/>
  <c r="X425" i="13" s="1"/>
  <c r="H425" i="13"/>
  <c r="U425" i="13" s="1"/>
  <c r="A425" i="13"/>
  <c r="W424" i="13"/>
  <c r="X424" i="13" s="1"/>
  <c r="U424" i="13"/>
  <c r="H424" i="13"/>
  <c r="A424" i="13"/>
  <c r="W423" i="13"/>
  <c r="X423" i="13" s="1"/>
  <c r="H423" i="13"/>
  <c r="U423" i="13" s="1"/>
  <c r="A423" i="13"/>
  <c r="W422" i="13"/>
  <c r="X422" i="13" s="1"/>
  <c r="H422" i="13"/>
  <c r="U422" i="13" s="1"/>
  <c r="A422" i="13"/>
  <c r="W421" i="13"/>
  <c r="X421" i="13" s="1"/>
  <c r="H421" i="13"/>
  <c r="U421" i="13" s="1"/>
  <c r="A421" i="13"/>
  <c r="W420" i="13"/>
  <c r="X420" i="13" s="1"/>
  <c r="U420" i="13"/>
  <c r="H420" i="13"/>
  <c r="A420" i="13"/>
  <c r="W419" i="13"/>
  <c r="X419" i="13" s="1"/>
  <c r="H419" i="13"/>
  <c r="U419" i="13" s="1"/>
  <c r="A419" i="13"/>
  <c r="W418" i="13"/>
  <c r="X418" i="13" s="1"/>
  <c r="H418" i="13"/>
  <c r="U418" i="13" s="1"/>
  <c r="A418" i="13"/>
  <c r="W417" i="13"/>
  <c r="X417" i="13" s="1"/>
  <c r="H417" i="13"/>
  <c r="U417" i="13" s="1"/>
  <c r="A417" i="13"/>
  <c r="W416" i="13"/>
  <c r="X416" i="13" s="1"/>
  <c r="H416" i="13"/>
  <c r="U416" i="13" s="1"/>
  <c r="A416" i="13"/>
  <c r="W415" i="13"/>
  <c r="X415" i="13" s="1"/>
  <c r="H415" i="13"/>
  <c r="U415" i="13" s="1"/>
  <c r="A415" i="13"/>
  <c r="W414" i="13"/>
  <c r="X414" i="13" s="1"/>
  <c r="U414" i="13"/>
  <c r="H414" i="13"/>
  <c r="A414" i="13"/>
  <c r="W413" i="13"/>
  <c r="X413" i="13" s="1"/>
  <c r="U413" i="13"/>
  <c r="H413" i="13"/>
  <c r="A413" i="13"/>
  <c r="W412" i="13"/>
  <c r="X412" i="13" s="1"/>
  <c r="U412" i="13"/>
  <c r="H412" i="13"/>
  <c r="A412" i="13"/>
  <c r="W411" i="13"/>
  <c r="X411" i="13" s="1"/>
  <c r="H411" i="13"/>
  <c r="U411" i="13" s="1"/>
  <c r="A411" i="13"/>
  <c r="W410" i="13"/>
  <c r="X410" i="13" s="1"/>
  <c r="H410" i="13"/>
  <c r="U410" i="13" s="1"/>
  <c r="A410" i="13"/>
  <c r="W409" i="13"/>
  <c r="X409" i="13" s="1"/>
  <c r="H409" i="13"/>
  <c r="U409" i="13" s="1"/>
  <c r="A409" i="13"/>
  <c r="W408" i="13"/>
  <c r="X408" i="13" s="1"/>
  <c r="U408" i="13"/>
  <c r="H408" i="13"/>
  <c r="A408" i="13"/>
  <c r="W407" i="13"/>
  <c r="X407" i="13" s="1"/>
  <c r="H407" i="13"/>
  <c r="U407" i="13" s="1"/>
  <c r="A407" i="13"/>
  <c r="W406" i="13"/>
  <c r="X406" i="13" s="1"/>
  <c r="U406" i="13"/>
  <c r="H406" i="13"/>
  <c r="A406" i="13"/>
  <c r="W405" i="13"/>
  <c r="X405" i="13" s="1"/>
  <c r="H405" i="13"/>
  <c r="U405" i="13" s="1"/>
  <c r="A405" i="13"/>
  <c r="W404" i="13"/>
  <c r="X404" i="13" s="1"/>
  <c r="U404" i="13"/>
  <c r="H404" i="13"/>
  <c r="A404" i="13"/>
  <c r="W403" i="13"/>
  <c r="X403" i="13" s="1"/>
  <c r="H403" i="13"/>
  <c r="U403" i="13" s="1"/>
  <c r="A403" i="13"/>
  <c r="W402" i="13"/>
  <c r="X402" i="13" s="1"/>
  <c r="H402" i="13"/>
  <c r="U402" i="13" s="1"/>
  <c r="A402" i="13"/>
  <c r="W401" i="13"/>
  <c r="X401" i="13" s="1"/>
  <c r="H401" i="13"/>
  <c r="U401" i="13" s="1"/>
  <c r="A401" i="13"/>
  <c r="W400" i="13"/>
  <c r="X400" i="13" s="1"/>
  <c r="H400" i="13"/>
  <c r="U400" i="13" s="1"/>
  <c r="A400" i="13"/>
  <c r="W399" i="13"/>
  <c r="X399" i="13" s="1"/>
  <c r="H399" i="13"/>
  <c r="U399" i="13" s="1"/>
  <c r="A399" i="13"/>
  <c r="W398" i="13"/>
  <c r="X398" i="13" s="1"/>
  <c r="U398" i="13"/>
  <c r="H398" i="13"/>
  <c r="A398" i="13"/>
  <c r="W397" i="13"/>
  <c r="X397" i="13" s="1"/>
  <c r="U397" i="13"/>
  <c r="H397" i="13"/>
  <c r="A397" i="13"/>
  <c r="W396" i="13"/>
  <c r="X396" i="13" s="1"/>
  <c r="U396" i="13"/>
  <c r="H396" i="13"/>
  <c r="A396" i="13"/>
  <c r="W395" i="13"/>
  <c r="X395" i="13" s="1"/>
  <c r="H395" i="13"/>
  <c r="U395" i="13" s="1"/>
  <c r="A395" i="13"/>
  <c r="W394" i="13"/>
  <c r="X394" i="13" s="1"/>
  <c r="U394" i="13"/>
  <c r="H394" i="13"/>
  <c r="A394" i="13"/>
  <c r="W393" i="13"/>
  <c r="X393" i="13" s="1"/>
  <c r="H393" i="13"/>
  <c r="U393" i="13" s="1"/>
  <c r="A393" i="13"/>
  <c r="W392" i="13"/>
  <c r="X392" i="13" s="1"/>
  <c r="U392" i="13"/>
  <c r="H392" i="13"/>
  <c r="A392" i="13"/>
  <c r="W391" i="13"/>
  <c r="X391" i="13" s="1"/>
  <c r="H391" i="13"/>
  <c r="U391" i="13" s="1"/>
  <c r="A391" i="13"/>
  <c r="W390" i="13"/>
  <c r="X390" i="13" s="1"/>
  <c r="H390" i="13"/>
  <c r="U390" i="13" s="1"/>
  <c r="A390" i="13"/>
  <c r="W389" i="13"/>
  <c r="X389" i="13" s="1"/>
  <c r="H389" i="13"/>
  <c r="U389" i="13" s="1"/>
  <c r="A389" i="13"/>
  <c r="W388" i="13"/>
  <c r="X388" i="13" s="1"/>
  <c r="H388" i="13"/>
  <c r="U388" i="13" s="1"/>
  <c r="A388" i="13"/>
  <c r="W387" i="13"/>
  <c r="X387" i="13" s="1"/>
  <c r="H387" i="13"/>
  <c r="U387" i="13" s="1"/>
  <c r="A387" i="13"/>
  <c r="W386" i="13"/>
  <c r="X386" i="13" s="1"/>
  <c r="U386" i="13"/>
  <c r="H386" i="13"/>
  <c r="A386" i="13"/>
  <c r="W385" i="13"/>
  <c r="X385" i="13" s="1"/>
  <c r="H385" i="13"/>
  <c r="U385" i="13" s="1"/>
  <c r="A385" i="13"/>
  <c r="W384" i="13"/>
  <c r="X384" i="13" s="1"/>
  <c r="H384" i="13"/>
  <c r="U384" i="13" s="1"/>
  <c r="A384" i="13"/>
  <c r="W383" i="13"/>
  <c r="X383" i="13" s="1"/>
  <c r="H383" i="13"/>
  <c r="U383" i="13" s="1"/>
  <c r="A383" i="13"/>
  <c r="W382" i="13"/>
  <c r="X382" i="13" s="1"/>
  <c r="H382" i="13"/>
  <c r="U382" i="13" s="1"/>
  <c r="A382" i="13"/>
  <c r="W381" i="13"/>
  <c r="X381" i="13" s="1"/>
  <c r="H381" i="13"/>
  <c r="U381" i="13" s="1"/>
  <c r="A381" i="13"/>
  <c r="W380" i="13"/>
  <c r="X380" i="13" s="1"/>
  <c r="U380" i="13"/>
  <c r="H380" i="13"/>
  <c r="A380" i="13"/>
  <c r="W379" i="13"/>
  <c r="X379" i="13" s="1"/>
  <c r="H379" i="13"/>
  <c r="U379" i="13" s="1"/>
  <c r="A379" i="13"/>
  <c r="W378" i="13"/>
  <c r="X378" i="13" s="1"/>
  <c r="H378" i="13"/>
  <c r="U378" i="13" s="1"/>
  <c r="A378" i="13"/>
  <c r="W377" i="13"/>
  <c r="X377" i="13" s="1"/>
  <c r="H377" i="13"/>
  <c r="U377" i="13" s="1"/>
  <c r="A377" i="13"/>
  <c r="W376" i="13"/>
  <c r="X376" i="13" s="1"/>
  <c r="H376" i="13"/>
  <c r="U376" i="13" s="1"/>
  <c r="A376" i="13"/>
  <c r="W375" i="13"/>
  <c r="X375" i="13" s="1"/>
  <c r="H375" i="13"/>
  <c r="U375" i="13" s="1"/>
  <c r="A375" i="13"/>
  <c r="W374" i="13"/>
  <c r="X374" i="13" s="1"/>
  <c r="H374" i="13"/>
  <c r="U374" i="13" s="1"/>
  <c r="A374" i="13"/>
  <c r="W373" i="13"/>
  <c r="X373" i="13" s="1"/>
  <c r="H373" i="13"/>
  <c r="U373" i="13" s="1"/>
  <c r="A373" i="13"/>
  <c r="W372" i="13"/>
  <c r="X372" i="13" s="1"/>
  <c r="U372" i="13"/>
  <c r="H372" i="13"/>
  <c r="A372" i="13"/>
  <c r="X371" i="13"/>
  <c r="W371" i="13"/>
  <c r="H371" i="13"/>
  <c r="U371" i="13" s="1"/>
  <c r="A371" i="13"/>
  <c r="W370" i="13"/>
  <c r="X370" i="13" s="1"/>
  <c r="H370" i="13"/>
  <c r="U370" i="13" s="1"/>
  <c r="A370" i="13"/>
  <c r="W369" i="13"/>
  <c r="X369" i="13" s="1"/>
  <c r="H369" i="13"/>
  <c r="U369" i="13" s="1"/>
  <c r="A369" i="13"/>
  <c r="W368" i="13"/>
  <c r="X368" i="13" s="1"/>
  <c r="H368" i="13"/>
  <c r="U368" i="13" s="1"/>
  <c r="A368" i="13"/>
  <c r="W367" i="13"/>
  <c r="X367" i="13" s="1"/>
  <c r="H367" i="13"/>
  <c r="U367" i="13" s="1"/>
  <c r="A367" i="13"/>
  <c r="W366" i="13"/>
  <c r="X366" i="13" s="1"/>
  <c r="H366" i="13"/>
  <c r="U366" i="13" s="1"/>
  <c r="A366" i="13"/>
  <c r="W365" i="13"/>
  <c r="X365" i="13" s="1"/>
  <c r="H365" i="13"/>
  <c r="U365" i="13" s="1"/>
  <c r="A365" i="13"/>
  <c r="W364" i="13"/>
  <c r="X364" i="13" s="1"/>
  <c r="U364" i="13"/>
  <c r="H364" i="13"/>
  <c r="A364" i="13"/>
  <c r="W363" i="13"/>
  <c r="X363" i="13" s="1"/>
  <c r="U363" i="13"/>
  <c r="H363" i="13"/>
  <c r="A363" i="13"/>
  <c r="W362" i="13"/>
  <c r="X362" i="13" s="1"/>
  <c r="H362" i="13"/>
  <c r="U362" i="13" s="1"/>
  <c r="A362" i="13"/>
  <c r="W361" i="13"/>
  <c r="X361" i="13" s="1"/>
  <c r="H361" i="13"/>
  <c r="U361" i="13" s="1"/>
  <c r="A361" i="13"/>
  <c r="W360" i="13"/>
  <c r="X360" i="13" s="1"/>
  <c r="U360" i="13"/>
  <c r="H360" i="13"/>
  <c r="A360" i="13"/>
  <c r="W359" i="13"/>
  <c r="X359" i="13" s="1"/>
  <c r="H359" i="13"/>
  <c r="U359" i="13" s="1"/>
  <c r="A359" i="13"/>
  <c r="W358" i="13"/>
  <c r="X358" i="13" s="1"/>
  <c r="U358" i="13"/>
  <c r="H358" i="13"/>
  <c r="A358" i="13"/>
  <c r="W357" i="13"/>
  <c r="X357" i="13" s="1"/>
  <c r="H357" i="13"/>
  <c r="U357" i="13" s="1"/>
  <c r="A357" i="13"/>
  <c r="W356" i="13"/>
  <c r="X356" i="13" s="1"/>
  <c r="U356" i="13"/>
  <c r="H356" i="13"/>
  <c r="A356" i="13"/>
  <c r="W355" i="13"/>
  <c r="X355" i="13" s="1"/>
  <c r="H355" i="13"/>
  <c r="U355" i="13" s="1"/>
  <c r="A355" i="13"/>
  <c r="W354" i="13"/>
  <c r="X354" i="13" s="1"/>
  <c r="H354" i="13"/>
  <c r="U354" i="13" s="1"/>
  <c r="A354" i="13"/>
  <c r="W353" i="13"/>
  <c r="X353" i="13" s="1"/>
  <c r="U353" i="13"/>
  <c r="H353" i="13"/>
  <c r="A353" i="13"/>
  <c r="X352" i="13"/>
  <c r="W352" i="13"/>
  <c r="H352" i="13"/>
  <c r="U352" i="13" s="1"/>
  <c r="A352" i="13"/>
  <c r="W351" i="13"/>
  <c r="X351" i="13" s="1"/>
  <c r="H351" i="13"/>
  <c r="U351" i="13" s="1"/>
  <c r="A351" i="13"/>
  <c r="W350" i="13"/>
  <c r="X350" i="13" s="1"/>
  <c r="H350" i="13"/>
  <c r="U350" i="13" s="1"/>
  <c r="A350" i="13"/>
  <c r="W349" i="13"/>
  <c r="X349" i="13" s="1"/>
  <c r="H349" i="13"/>
  <c r="U349" i="13" s="1"/>
  <c r="A349" i="13"/>
  <c r="W348" i="13"/>
  <c r="X348" i="13" s="1"/>
  <c r="U348" i="13"/>
  <c r="H348" i="13"/>
  <c r="A348" i="13"/>
  <c r="W347" i="13"/>
  <c r="X347" i="13" s="1"/>
  <c r="H347" i="13"/>
  <c r="U347" i="13" s="1"/>
  <c r="A347" i="13"/>
  <c r="W346" i="13"/>
  <c r="X346" i="13" s="1"/>
  <c r="H346" i="13"/>
  <c r="U346" i="13" s="1"/>
  <c r="A346" i="13"/>
  <c r="W345" i="13"/>
  <c r="X345" i="13" s="1"/>
  <c r="H345" i="13"/>
  <c r="U345" i="13" s="1"/>
  <c r="A345" i="13"/>
  <c r="W344" i="13"/>
  <c r="X344" i="13" s="1"/>
  <c r="U344" i="13"/>
  <c r="H344" i="13"/>
  <c r="A344" i="13"/>
  <c r="W343" i="13"/>
  <c r="X343" i="13" s="1"/>
  <c r="H343" i="13"/>
  <c r="U343" i="13" s="1"/>
  <c r="A343" i="13"/>
  <c r="W342" i="13"/>
  <c r="X342" i="13" s="1"/>
  <c r="H342" i="13"/>
  <c r="U342" i="13" s="1"/>
  <c r="A342" i="13"/>
  <c r="W341" i="13"/>
  <c r="X341" i="13" s="1"/>
  <c r="H341" i="13"/>
  <c r="U341" i="13" s="1"/>
  <c r="A341" i="13"/>
  <c r="W340" i="13"/>
  <c r="X340" i="13" s="1"/>
  <c r="H340" i="13"/>
  <c r="U340" i="13" s="1"/>
  <c r="A340" i="13"/>
  <c r="W339" i="13"/>
  <c r="X339" i="13" s="1"/>
  <c r="H339" i="13"/>
  <c r="U339" i="13" s="1"/>
  <c r="A339" i="13"/>
  <c r="W338" i="13"/>
  <c r="X338" i="13" s="1"/>
  <c r="U338" i="13"/>
  <c r="H338" i="13"/>
  <c r="A338" i="13"/>
  <c r="W337" i="13"/>
  <c r="X337" i="13" s="1"/>
  <c r="H337" i="13"/>
  <c r="U337" i="13" s="1"/>
  <c r="A337" i="13"/>
  <c r="W336" i="13"/>
  <c r="X336" i="13" s="1"/>
  <c r="H336" i="13"/>
  <c r="U336" i="13" s="1"/>
  <c r="A336" i="13"/>
  <c r="W335" i="13"/>
  <c r="X335" i="13" s="1"/>
  <c r="H335" i="13"/>
  <c r="U335" i="13" s="1"/>
  <c r="A335" i="13"/>
  <c r="W334" i="13"/>
  <c r="X334" i="13" s="1"/>
  <c r="H334" i="13"/>
  <c r="U334" i="13" s="1"/>
  <c r="A334" i="13"/>
  <c r="W333" i="13"/>
  <c r="X333" i="13" s="1"/>
  <c r="H333" i="13"/>
  <c r="U333" i="13" s="1"/>
  <c r="A333" i="13"/>
  <c r="W332" i="13"/>
  <c r="X332" i="13" s="1"/>
  <c r="H332" i="13"/>
  <c r="U332" i="13" s="1"/>
  <c r="A332" i="13"/>
  <c r="W331" i="13"/>
  <c r="X331" i="13" s="1"/>
  <c r="H331" i="13"/>
  <c r="U331" i="13" s="1"/>
  <c r="A331" i="13"/>
  <c r="X330" i="13"/>
  <c r="W330" i="13"/>
  <c r="H330" i="13"/>
  <c r="U330" i="13" s="1"/>
  <c r="A330" i="13"/>
  <c r="W329" i="13"/>
  <c r="X329" i="13" s="1"/>
  <c r="H329" i="13"/>
  <c r="U329" i="13" s="1"/>
  <c r="A329" i="13"/>
  <c r="W328" i="13"/>
  <c r="X328" i="13" s="1"/>
  <c r="U328" i="13"/>
  <c r="H328" i="13"/>
  <c r="A328" i="13"/>
  <c r="W327" i="13"/>
  <c r="X327" i="13" s="1"/>
  <c r="H327" i="13"/>
  <c r="U327" i="13" s="1"/>
  <c r="A327" i="13"/>
  <c r="W326" i="13"/>
  <c r="X326" i="13" s="1"/>
  <c r="H326" i="13"/>
  <c r="U326" i="13" s="1"/>
  <c r="A326" i="13"/>
  <c r="W325" i="13"/>
  <c r="X325" i="13" s="1"/>
  <c r="H325" i="13"/>
  <c r="U325" i="13" s="1"/>
  <c r="A325" i="13"/>
  <c r="W324" i="13"/>
  <c r="X324" i="13" s="1"/>
  <c r="U324" i="13"/>
  <c r="H324" i="13"/>
  <c r="A324" i="13"/>
  <c r="W323" i="13"/>
  <c r="X323" i="13" s="1"/>
  <c r="H323" i="13"/>
  <c r="U323" i="13" s="1"/>
  <c r="A323" i="13"/>
  <c r="W322" i="13"/>
  <c r="X322" i="13" s="1"/>
  <c r="H322" i="13"/>
  <c r="U322" i="13" s="1"/>
  <c r="A322" i="13"/>
  <c r="W321" i="13"/>
  <c r="X321" i="13" s="1"/>
  <c r="H321" i="13"/>
  <c r="U321" i="13" s="1"/>
  <c r="A321" i="13"/>
  <c r="W320" i="13"/>
  <c r="X320" i="13" s="1"/>
  <c r="H320" i="13"/>
  <c r="U320" i="13" s="1"/>
  <c r="A320" i="13"/>
  <c r="W319" i="13"/>
  <c r="X319" i="13" s="1"/>
  <c r="H319" i="13"/>
  <c r="U319" i="13" s="1"/>
  <c r="A319" i="13"/>
  <c r="W318" i="13"/>
  <c r="X318" i="13" s="1"/>
  <c r="H318" i="13"/>
  <c r="U318" i="13" s="1"/>
  <c r="A318" i="13"/>
  <c r="W317" i="13"/>
  <c r="X317" i="13" s="1"/>
  <c r="H317" i="13"/>
  <c r="U317" i="13" s="1"/>
  <c r="A317" i="13"/>
  <c r="W316" i="13"/>
  <c r="X316" i="13" s="1"/>
  <c r="U316" i="13"/>
  <c r="H316" i="13"/>
  <c r="A316" i="13"/>
  <c r="W315" i="13"/>
  <c r="X315" i="13" s="1"/>
  <c r="H315" i="13"/>
  <c r="U315" i="13" s="1"/>
  <c r="A315" i="13"/>
  <c r="W314" i="13"/>
  <c r="X314" i="13" s="1"/>
  <c r="H314" i="13"/>
  <c r="U314" i="13" s="1"/>
  <c r="A314" i="13"/>
  <c r="W313" i="13"/>
  <c r="X313" i="13" s="1"/>
  <c r="H313" i="13"/>
  <c r="U313" i="13" s="1"/>
  <c r="A313" i="13"/>
  <c r="W312" i="13"/>
  <c r="X312" i="13" s="1"/>
  <c r="U312" i="13"/>
  <c r="H312" i="13"/>
  <c r="A312" i="13"/>
  <c r="W311" i="13"/>
  <c r="X311" i="13" s="1"/>
  <c r="H311" i="13"/>
  <c r="U311" i="13" s="1"/>
  <c r="A311" i="13"/>
  <c r="W310" i="13"/>
  <c r="X310" i="13" s="1"/>
  <c r="H310" i="13"/>
  <c r="U310" i="13" s="1"/>
  <c r="A310" i="13"/>
  <c r="W309" i="13"/>
  <c r="X309" i="13" s="1"/>
  <c r="U309" i="13"/>
  <c r="H309" i="13"/>
  <c r="A309" i="13"/>
  <c r="W308" i="13"/>
  <c r="X308" i="13" s="1"/>
  <c r="U308" i="13"/>
  <c r="H308" i="13"/>
  <c r="A308" i="13"/>
  <c r="W307" i="13"/>
  <c r="X307" i="13" s="1"/>
  <c r="H307" i="13"/>
  <c r="U307" i="13" s="1"/>
  <c r="A307" i="13"/>
  <c r="W306" i="13"/>
  <c r="X306" i="13" s="1"/>
  <c r="H306" i="13"/>
  <c r="U306" i="13" s="1"/>
  <c r="A306" i="13"/>
  <c r="W305" i="13"/>
  <c r="X305" i="13" s="1"/>
  <c r="H305" i="13"/>
  <c r="U305" i="13" s="1"/>
  <c r="A305" i="13"/>
  <c r="W304" i="13"/>
  <c r="X304" i="13" s="1"/>
  <c r="H304" i="13"/>
  <c r="U304" i="13" s="1"/>
  <c r="A304" i="13"/>
  <c r="W303" i="13"/>
  <c r="X303" i="13" s="1"/>
  <c r="H303" i="13"/>
  <c r="U303" i="13" s="1"/>
  <c r="A303" i="13"/>
  <c r="W302" i="13"/>
  <c r="X302" i="13" s="1"/>
  <c r="H302" i="13"/>
  <c r="U302" i="13" s="1"/>
  <c r="A302" i="13"/>
  <c r="W301" i="13"/>
  <c r="X301" i="13" s="1"/>
  <c r="H301" i="13"/>
  <c r="U301" i="13" s="1"/>
  <c r="A301" i="13"/>
  <c r="W300" i="13"/>
  <c r="X300" i="13" s="1"/>
  <c r="U300" i="13"/>
  <c r="H300" i="13"/>
  <c r="A300" i="13"/>
  <c r="W299" i="13"/>
  <c r="X299" i="13" s="1"/>
  <c r="U299" i="13"/>
  <c r="H299" i="13"/>
  <c r="A299" i="13"/>
  <c r="W298" i="13"/>
  <c r="X298" i="13" s="1"/>
  <c r="H298" i="13"/>
  <c r="U298" i="13" s="1"/>
  <c r="A298" i="13"/>
  <c r="W297" i="13"/>
  <c r="X297" i="13" s="1"/>
  <c r="H297" i="13"/>
  <c r="U297" i="13" s="1"/>
  <c r="A297" i="13"/>
  <c r="W296" i="13"/>
  <c r="X296" i="13" s="1"/>
  <c r="U296" i="13"/>
  <c r="H296" i="13"/>
  <c r="A296" i="13"/>
  <c r="W295" i="13"/>
  <c r="X295" i="13" s="1"/>
  <c r="H295" i="13"/>
  <c r="U295" i="13" s="1"/>
  <c r="A295" i="13"/>
  <c r="W294" i="13"/>
  <c r="X294" i="13" s="1"/>
  <c r="H294" i="13"/>
  <c r="U294" i="13" s="1"/>
  <c r="A294" i="13"/>
  <c r="W293" i="13"/>
  <c r="X293" i="13" s="1"/>
  <c r="H293" i="13"/>
  <c r="U293" i="13" s="1"/>
  <c r="A293" i="13"/>
  <c r="W292" i="13"/>
  <c r="X292" i="13" s="1"/>
  <c r="U292" i="13"/>
  <c r="H292" i="13"/>
  <c r="A292" i="13"/>
  <c r="W291" i="13"/>
  <c r="X291" i="13" s="1"/>
  <c r="H291" i="13"/>
  <c r="U291" i="13" s="1"/>
  <c r="A291" i="13"/>
  <c r="W290" i="13"/>
  <c r="X290" i="13" s="1"/>
  <c r="H290" i="13"/>
  <c r="U290" i="13" s="1"/>
  <c r="A290" i="13"/>
  <c r="W289" i="13"/>
  <c r="X289" i="13" s="1"/>
  <c r="H289" i="13"/>
  <c r="U289" i="13" s="1"/>
  <c r="A289" i="13"/>
  <c r="W288" i="13"/>
  <c r="X288" i="13" s="1"/>
  <c r="H288" i="13"/>
  <c r="U288" i="13" s="1"/>
  <c r="A288" i="13"/>
  <c r="W287" i="13"/>
  <c r="X287" i="13" s="1"/>
  <c r="H287" i="13"/>
  <c r="U287" i="13" s="1"/>
  <c r="A287" i="13"/>
  <c r="W286" i="13"/>
  <c r="X286" i="13" s="1"/>
  <c r="H286" i="13"/>
  <c r="U286" i="13" s="1"/>
  <c r="A286" i="13"/>
  <c r="W285" i="13"/>
  <c r="X285" i="13" s="1"/>
  <c r="H285" i="13"/>
  <c r="U285" i="13" s="1"/>
  <c r="A285" i="13"/>
  <c r="W284" i="13"/>
  <c r="X284" i="13" s="1"/>
  <c r="U284" i="13"/>
  <c r="H284" i="13"/>
  <c r="A284" i="13"/>
  <c r="W283" i="13"/>
  <c r="X283" i="13" s="1"/>
  <c r="H283" i="13"/>
  <c r="U283" i="13" s="1"/>
  <c r="A283" i="13"/>
  <c r="W282" i="13"/>
  <c r="X282" i="13" s="1"/>
  <c r="H282" i="13"/>
  <c r="U282" i="13" s="1"/>
  <c r="A282" i="13"/>
  <c r="W281" i="13"/>
  <c r="X281" i="13" s="1"/>
  <c r="H281" i="13"/>
  <c r="U281" i="13" s="1"/>
  <c r="A281" i="13"/>
  <c r="W280" i="13"/>
  <c r="X280" i="13" s="1"/>
  <c r="U280" i="13"/>
  <c r="H280" i="13"/>
  <c r="A280" i="13"/>
  <c r="W279" i="13"/>
  <c r="X279" i="13" s="1"/>
  <c r="H279" i="13"/>
  <c r="U279" i="13" s="1"/>
  <c r="A279" i="13"/>
  <c r="W278" i="13"/>
  <c r="X278" i="13" s="1"/>
  <c r="H278" i="13"/>
  <c r="U278" i="13" s="1"/>
  <c r="A278" i="13"/>
  <c r="W277" i="13"/>
  <c r="X277" i="13" s="1"/>
  <c r="H277" i="13"/>
  <c r="U277" i="13" s="1"/>
  <c r="A277" i="13"/>
  <c r="W276" i="13"/>
  <c r="X276" i="13" s="1"/>
  <c r="H276" i="13"/>
  <c r="U276" i="13" s="1"/>
  <c r="A276" i="13"/>
  <c r="W275" i="13"/>
  <c r="X275" i="13" s="1"/>
  <c r="H275" i="13"/>
  <c r="U275" i="13" s="1"/>
  <c r="A275" i="13"/>
  <c r="W274" i="13"/>
  <c r="X274" i="13" s="1"/>
  <c r="U274" i="13"/>
  <c r="H274" i="13"/>
  <c r="A274" i="13"/>
  <c r="W273" i="13"/>
  <c r="X273" i="13" s="1"/>
  <c r="H273" i="13"/>
  <c r="U273" i="13" s="1"/>
  <c r="A273" i="13"/>
  <c r="W272" i="13"/>
  <c r="X272" i="13" s="1"/>
  <c r="H272" i="13"/>
  <c r="U272" i="13" s="1"/>
  <c r="A272" i="13"/>
  <c r="W271" i="13"/>
  <c r="X271" i="13" s="1"/>
  <c r="H271" i="13"/>
  <c r="U271" i="13" s="1"/>
  <c r="A271" i="13"/>
  <c r="W270" i="13"/>
  <c r="X270" i="13" s="1"/>
  <c r="H270" i="13"/>
  <c r="U270" i="13" s="1"/>
  <c r="A270" i="13"/>
  <c r="W269" i="13"/>
  <c r="X269" i="13" s="1"/>
  <c r="H269" i="13"/>
  <c r="U269" i="13" s="1"/>
  <c r="A269" i="13"/>
  <c r="W268" i="13"/>
  <c r="X268" i="13" s="1"/>
  <c r="H268" i="13"/>
  <c r="U268" i="13" s="1"/>
  <c r="A268" i="13"/>
  <c r="W267" i="13"/>
  <c r="X267" i="13" s="1"/>
  <c r="H267" i="13"/>
  <c r="U267" i="13" s="1"/>
  <c r="A267" i="13"/>
  <c r="W266" i="13"/>
  <c r="X266" i="13" s="1"/>
  <c r="U266" i="13"/>
  <c r="H266" i="13"/>
  <c r="A266" i="13"/>
  <c r="W265" i="13"/>
  <c r="X265" i="13" s="1"/>
  <c r="H265" i="13"/>
  <c r="U265" i="13" s="1"/>
  <c r="A265" i="13"/>
  <c r="W264" i="13"/>
  <c r="X264" i="13" s="1"/>
  <c r="U264" i="13"/>
  <c r="H264" i="13"/>
  <c r="A264" i="13"/>
  <c r="W263" i="13"/>
  <c r="X263" i="13" s="1"/>
  <c r="H263" i="13"/>
  <c r="U263" i="13" s="1"/>
  <c r="A263" i="13"/>
  <c r="W262" i="13"/>
  <c r="X262" i="13" s="1"/>
  <c r="H262" i="13"/>
  <c r="U262" i="13" s="1"/>
  <c r="A262" i="13"/>
  <c r="W261" i="13"/>
  <c r="X261" i="13" s="1"/>
  <c r="H261" i="13"/>
  <c r="U261" i="13" s="1"/>
  <c r="A261" i="13"/>
  <c r="W260" i="13"/>
  <c r="X260" i="13" s="1"/>
  <c r="U260" i="13"/>
  <c r="H260" i="13"/>
  <c r="A260" i="13"/>
  <c r="W259" i="13"/>
  <c r="X259" i="13" s="1"/>
  <c r="H259" i="13"/>
  <c r="U259" i="13" s="1"/>
  <c r="A259" i="13"/>
  <c r="W258" i="13"/>
  <c r="X258" i="13" s="1"/>
  <c r="H258" i="13"/>
  <c r="U258" i="13" s="1"/>
  <c r="A258" i="13"/>
  <c r="W257" i="13"/>
  <c r="X257" i="13" s="1"/>
  <c r="H257" i="13"/>
  <c r="U257" i="13" s="1"/>
  <c r="A257" i="13"/>
  <c r="W256" i="13"/>
  <c r="X256" i="13" s="1"/>
  <c r="U256" i="13"/>
  <c r="H256" i="13"/>
  <c r="A256" i="13"/>
  <c r="W255" i="13"/>
  <c r="X255" i="13" s="1"/>
  <c r="H255" i="13"/>
  <c r="U255" i="13" s="1"/>
  <c r="A255" i="13"/>
  <c r="W254" i="13"/>
  <c r="X254" i="13" s="1"/>
  <c r="H254" i="13"/>
  <c r="U254" i="13" s="1"/>
  <c r="A254" i="13"/>
  <c r="W253" i="13"/>
  <c r="X253" i="13" s="1"/>
  <c r="H253" i="13"/>
  <c r="U253" i="13" s="1"/>
  <c r="A253" i="13"/>
  <c r="W252" i="13"/>
  <c r="X252" i="13" s="1"/>
  <c r="H252" i="13"/>
  <c r="U252" i="13" s="1"/>
  <c r="A252" i="13"/>
  <c r="W251" i="13"/>
  <c r="X251" i="13" s="1"/>
  <c r="H251" i="13"/>
  <c r="U251" i="13" s="1"/>
  <c r="A251" i="13"/>
  <c r="W250" i="13"/>
  <c r="X250" i="13" s="1"/>
  <c r="U250" i="13"/>
  <c r="H250" i="13"/>
  <c r="A250" i="13"/>
  <c r="W249" i="13"/>
  <c r="X249" i="13" s="1"/>
  <c r="H249" i="13"/>
  <c r="U249" i="13" s="1"/>
  <c r="A249" i="13"/>
  <c r="W248" i="13"/>
  <c r="X248" i="13" s="1"/>
  <c r="U248" i="13"/>
  <c r="H248" i="13"/>
  <c r="A248" i="13"/>
  <c r="W247" i="13"/>
  <c r="X247" i="13" s="1"/>
  <c r="H247" i="13"/>
  <c r="U247" i="13" s="1"/>
  <c r="A247" i="13"/>
  <c r="W246" i="13"/>
  <c r="X246" i="13" s="1"/>
  <c r="U246" i="13"/>
  <c r="H246" i="13"/>
  <c r="A246" i="13"/>
  <c r="W245" i="13"/>
  <c r="X245" i="13" s="1"/>
  <c r="H245" i="13"/>
  <c r="U245" i="13" s="1"/>
  <c r="A245" i="13"/>
  <c r="W244" i="13"/>
  <c r="X244" i="13" s="1"/>
  <c r="H244" i="13"/>
  <c r="U244" i="13" s="1"/>
  <c r="A244" i="13"/>
  <c r="W243" i="13"/>
  <c r="X243" i="13" s="1"/>
  <c r="H243" i="13"/>
  <c r="U243" i="13" s="1"/>
  <c r="A243" i="13"/>
  <c r="W242" i="13"/>
  <c r="X242" i="13" s="1"/>
  <c r="H242" i="13"/>
  <c r="U242" i="13" s="1"/>
  <c r="A242" i="13"/>
  <c r="W241" i="13"/>
  <c r="X241" i="13" s="1"/>
  <c r="H241" i="13"/>
  <c r="U241" i="13" s="1"/>
  <c r="A241" i="13"/>
  <c r="W240" i="13"/>
  <c r="X240" i="13" s="1"/>
  <c r="H240" i="13"/>
  <c r="U240" i="13" s="1"/>
  <c r="A240" i="13"/>
  <c r="W239" i="13"/>
  <c r="X239" i="13" s="1"/>
  <c r="H239" i="13"/>
  <c r="U239" i="13" s="1"/>
  <c r="A239" i="13"/>
  <c r="W238" i="13"/>
  <c r="X238" i="13" s="1"/>
  <c r="U238" i="13"/>
  <c r="H238" i="13"/>
  <c r="A238" i="13"/>
  <c r="W237" i="13"/>
  <c r="X237" i="13" s="1"/>
  <c r="H237" i="13"/>
  <c r="U237" i="13" s="1"/>
  <c r="A237" i="13"/>
  <c r="X236" i="13"/>
  <c r="W236" i="13"/>
  <c r="H236" i="13"/>
  <c r="U236" i="13" s="1"/>
  <c r="A236" i="13"/>
  <c r="W235" i="13"/>
  <c r="X235" i="13" s="1"/>
  <c r="H235" i="13"/>
  <c r="U235" i="13" s="1"/>
  <c r="A235" i="13"/>
  <c r="W234" i="13"/>
  <c r="X234" i="13" s="1"/>
  <c r="H234" i="13"/>
  <c r="U234" i="13" s="1"/>
  <c r="A234" i="13"/>
  <c r="W233" i="13"/>
  <c r="X233" i="13" s="1"/>
  <c r="H233" i="13"/>
  <c r="U233" i="13" s="1"/>
  <c r="A233" i="13"/>
  <c r="W232" i="13"/>
  <c r="X232" i="13" s="1"/>
  <c r="U232" i="13"/>
  <c r="H232" i="13"/>
  <c r="A232" i="13"/>
  <c r="W231" i="13"/>
  <c r="X231" i="13" s="1"/>
  <c r="H231" i="13"/>
  <c r="U231" i="13" s="1"/>
  <c r="A231" i="13"/>
  <c r="W230" i="13"/>
  <c r="X230" i="13" s="1"/>
  <c r="H230" i="13"/>
  <c r="U230" i="13" s="1"/>
  <c r="A230" i="13"/>
  <c r="W229" i="13"/>
  <c r="X229" i="13" s="1"/>
  <c r="H229" i="13"/>
  <c r="U229" i="13" s="1"/>
  <c r="A229" i="13"/>
  <c r="W228" i="13"/>
  <c r="X228" i="13" s="1"/>
  <c r="H228" i="13"/>
  <c r="U228" i="13" s="1"/>
  <c r="A228" i="13"/>
  <c r="W227" i="13"/>
  <c r="X227" i="13" s="1"/>
  <c r="H227" i="13"/>
  <c r="U227" i="13" s="1"/>
  <c r="A227" i="13"/>
  <c r="W226" i="13"/>
  <c r="X226" i="13" s="1"/>
  <c r="U226" i="13"/>
  <c r="H226" i="13"/>
  <c r="A226" i="13"/>
  <c r="W225" i="13"/>
  <c r="X225" i="13" s="1"/>
  <c r="H225" i="13"/>
  <c r="U225" i="13" s="1"/>
  <c r="A225" i="13"/>
  <c r="X224" i="13"/>
  <c r="W224" i="13"/>
  <c r="U224" i="13"/>
  <c r="H224" i="13"/>
  <c r="A224" i="13"/>
  <c r="W223" i="13"/>
  <c r="X223" i="13" s="1"/>
  <c r="H223" i="13"/>
  <c r="U223" i="13" s="1"/>
  <c r="A223" i="13"/>
  <c r="X222" i="13"/>
  <c r="W222" i="13"/>
  <c r="U222" i="13"/>
  <c r="H222" i="13"/>
  <c r="A222" i="13"/>
  <c r="W221" i="13"/>
  <c r="X221" i="13" s="1"/>
  <c r="H221" i="13"/>
  <c r="U221" i="13" s="1"/>
  <c r="A221" i="13"/>
  <c r="X220" i="13"/>
  <c r="W220" i="13"/>
  <c r="H220" i="13"/>
  <c r="U220" i="13" s="1"/>
  <c r="A220" i="13"/>
  <c r="W219" i="13"/>
  <c r="X219" i="13" s="1"/>
  <c r="H219" i="13"/>
  <c r="U219" i="13" s="1"/>
  <c r="A219" i="13"/>
  <c r="W218" i="13"/>
  <c r="X218" i="13" s="1"/>
  <c r="U218" i="13"/>
  <c r="H218" i="13"/>
  <c r="A218" i="13"/>
  <c r="W217" i="13"/>
  <c r="X217" i="13" s="1"/>
  <c r="H217" i="13"/>
  <c r="U217" i="13" s="1"/>
  <c r="A217" i="13"/>
  <c r="W216" i="13"/>
  <c r="X216" i="13" s="1"/>
  <c r="U216" i="13"/>
  <c r="H216" i="13"/>
  <c r="A216" i="13"/>
  <c r="W215" i="13"/>
  <c r="X215" i="13" s="1"/>
  <c r="H215" i="13"/>
  <c r="U215" i="13" s="1"/>
  <c r="A215" i="13"/>
  <c r="W214" i="13"/>
  <c r="X214" i="13" s="1"/>
  <c r="U214" i="13"/>
  <c r="H214" i="13"/>
  <c r="A214" i="13"/>
  <c r="W213" i="13"/>
  <c r="X213" i="13" s="1"/>
  <c r="H213" i="13"/>
  <c r="U213" i="13" s="1"/>
  <c r="A213" i="13"/>
  <c r="W212" i="13"/>
  <c r="X212" i="13" s="1"/>
  <c r="H212" i="13"/>
  <c r="U212" i="13" s="1"/>
  <c r="A212" i="13"/>
  <c r="W211" i="13"/>
  <c r="X211" i="13" s="1"/>
  <c r="H211" i="13"/>
  <c r="U211" i="13" s="1"/>
  <c r="A211" i="13"/>
  <c r="W210" i="13"/>
  <c r="X210" i="13" s="1"/>
  <c r="H210" i="13"/>
  <c r="U210" i="13" s="1"/>
  <c r="A210" i="13"/>
  <c r="W209" i="13"/>
  <c r="X209" i="13" s="1"/>
  <c r="H209" i="13"/>
  <c r="U209" i="13" s="1"/>
  <c r="A209" i="13"/>
  <c r="W208" i="13"/>
  <c r="X208" i="13" s="1"/>
  <c r="U208" i="13"/>
  <c r="H208" i="13"/>
  <c r="A208" i="13"/>
  <c r="W207" i="13"/>
  <c r="X207" i="13" s="1"/>
  <c r="H207" i="13"/>
  <c r="U207" i="13" s="1"/>
  <c r="A207" i="13"/>
  <c r="W206" i="13"/>
  <c r="X206" i="13" s="1"/>
  <c r="H206" i="13"/>
  <c r="U206" i="13" s="1"/>
  <c r="A206" i="13"/>
  <c r="W205" i="13"/>
  <c r="X205" i="13" s="1"/>
  <c r="H205" i="13"/>
  <c r="U205" i="13" s="1"/>
  <c r="A205" i="13"/>
  <c r="W204" i="13"/>
  <c r="X204" i="13" s="1"/>
  <c r="H204" i="13"/>
  <c r="U204" i="13" s="1"/>
  <c r="A204" i="13"/>
  <c r="W203" i="13"/>
  <c r="X203" i="13" s="1"/>
  <c r="H203" i="13"/>
  <c r="U203" i="13" s="1"/>
  <c r="A203" i="13"/>
  <c r="W202" i="13"/>
  <c r="X202" i="13" s="1"/>
  <c r="U202" i="13"/>
  <c r="H202" i="13"/>
  <c r="A202" i="13"/>
  <c r="W201" i="13"/>
  <c r="X201" i="13" s="1"/>
  <c r="H201" i="13"/>
  <c r="U201" i="13" s="1"/>
  <c r="A201" i="13"/>
  <c r="W200" i="13"/>
  <c r="X200" i="13" s="1"/>
  <c r="U200" i="13"/>
  <c r="H200" i="13"/>
  <c r="A200" i="13"/>
  <c r="W199" i="13"/>
  <c r="X199" i="13" s="1"/>
  <c r="H199" i="13"/>
  <c r="U199" i="13" s="1"/>
  <c r="A199" i="13"/>
  <c r="W198" i="13"/>
  <c r="X198" i="13" s="1"/>
  <c r="U198" i="13"/>
  <c r="H198" i="13"/>
  <c r="A198" i="13"/>
  <c r="W197" i="13"/>
  <c r="X197" i="13" s="1"/>
  <c r="H197" i="13"/>
  <c r="U197" i="13" s="1"/>
  <c r="A197" i="13"/>
  <c r="W196" i="13"/>
  <c r="X196" i="13" s="1"/>
  <c r="H196" i="13"/>
  <c r="U196" i="13" s="1"/>
  <c r="A196" i="13"/>
  <c r="W195" i="13"/>
  <c r="X195" i="13" s="1"/>
  <c r="H195" i="13"/>
  <c r="U195" i="13" s="1"/>
  <c r="A195" i="13"/>
  <c r="W194" i="13"/>
  <c r="X194" i="13" s="1"/>
  <c r="H194" i="13"/>
  <c r="U194" i="13" s="1"/>
  <c r="A194" i="13"/>
  <c r="W193" i="13"/>
  <c r="X193" i="13" s="1"/>
  <c r="H193" i="13"/>
  <c r="U193" i="13" s="1"/>
  <c r="A193" i="13"/>
  <c r="W192" i="13"/>
  <c r="X192" i="13" s="1"/>
  <c r="U192" i="13"/>
  <c r="H192" i="13"/>
  <c r="A192" i="13"/>
  <c r="W191" i="13"/>
  <c r="X191" i="13" s="1"/>
  <c r="H191" i="13"/>
  <c r="U191" i="13" s="1"/>
  <c r="A191" i="13"/>
  <c r="W190" i="13"/>
  <c r="X190" i="13" s="1"/>
  <c r="H190" i="13"/>
  <c r="U190" i="13" s="1"/>
  <c r="A190" i="13"/>
  <c r="W189" i="13"/>
  <c r="X189" i="13" s="1"/>
  <c r="H189" i="13"/>
  <c r="U189" i="13" s="1"/>
  <c r="A189" i="13"/>
  <c r="W188" i="13"/>
  <c r="X188" i="13" s="1"/>
  <c r="H188" i="13"/>
  <c r="U188" i="13" s="1"/>
  <c r="A188" i="13"/>
  <c r="W187" i="13"/>
  <c r="X187" i="13" s="1"/>
  <c r="H187" i="13"/>
  <c r="U187" i="13" s="1"/>
  <c r="A187" i="13"/>
  <c r="W186" i="13"/>
  <c r="X186" i="13" s="1"/>
  <c r="U186" i="13"/>
  <c r="H186" i="13"/>
  <c r="A186" i="13"/>
  <c r="W185" i="13"/>
  <c r="X185" i="13" s="1"/>
  <c r="H185" i="13"/>
  <c r="U185" i="13" s="1"/>
  <c r="A185" i="13"/>
  <c r="W184" i="13"/>
  <c r="X184" i="13" s="1"/>
  <c r="U184" i="13"/>
  <c r="H184" i="13"/>
  <c r="A184" i="13"/>
  <c r="W183" i="13"/>
  <c r="X183" i="13" s="1"/>
  <c r="H183" i="13"/>
  <c r="U183" i="13" s="1"/>
  <c r="A183" i="13"/>
  <c r="W182" i="13"/>
  <c r="X182" i="13" s="1"/>
  <c r="U182" i="13"/>
  <c r="H182" i="13"/>
  <c r="A182" i="13"/>
  <c r="W181" i="13"/>
  <c r="X181" i="13" s="1"/>
  <c r="H181" i="13"/>
  <c r="U181" i="13" s="1"/>
  <c r="A181" i="13"/>
  <c r="W180" i="13"/>
  <c r="X180" i="13" s="1"/>
  <c r="H180" i="13"/>
  <c r="U180" i="13" s="1"/>
  <c r="A180" i="13"/>
  <c r="W179" i="13"/>
  <c r="X179" i="13" s="1"/>
  <c r="H179" i="13"/>
  <c r="U179" i="13" s="1"/>
  <c r="A179" i="13"/>
  <c r="W178" i="13"/>
  <c r="X178" i="13" s="1"/>
  <c r="H178" i="13"/>
  <c r="U178" i="13" s="1"/>
  <c r="A178" i="13"/>
  <c r="W177" i="13"/>
  <c r="X177" i="13" s="1"/>
  <c r="H177" i="13"/>
  <c r="U177" i="13" s="1"/>
  <c r="A177" i="13"/>
  <c r="W176" i="13"/>
  <c r="X176" i="13" s="1"/>
  <c r="U176" i="13"/>
  <c r="H176" i="13"/>
  <c r="A176" i="13"/>
  <c r="W175" i="13"/>
  <c r="X175" i="13" s="1"/>
  <c r="H175" i="13"/>
  <c r="U175" i="13" s="1"/>
  <c r="A175" i="13"/>
  <c r="W174" i="13"/>
  <c r="X174" i="13" s="1"/>
  <c r="H174" i="13"/>
  <c r="U174" i="13" s="1"/>
  <c r="A174" i="13"/>
  <c r="W173" i="13"/>
  <c r="X173" i="13" s="1"/>
  <c r="H173" i="13"/>
  <c r="U173" i="13" s="1"/>
  <c r="A173" i="13"/>
  <c r="W172" i="13"/>
  <c r="X172" i="13" s="1"/>
  <c r="H172" i="13"/>
  <c r="U172" i="13" s="1"/>
  <c r="A172" i="13"/>
  <c r="W171" i="13"/>
  <c r="X171" i="13" s="1"/>
  <c r="H171" i="13"/>
  <c r="U171" i="13" s="1"/>
  <c r="A171" i="13"/>
  <c r="W170" i="13"/>
  <c r="X170" i="13" s="1"/>
  <c r="U170" i="13"/>
  <c r="H170" i="13"/>
  <c r="A170" i="13"/>
  <c r="W169" i="13"/>
  <c r="X169" i="13" s="1"/>
  <c r="H169" i="13"/>
  <c r="U169" i="13" s="1"/>
  <c r="A169" i="13"/>
  <c r="W168" i="13"/>
  <c r="X168" i="13" s="1"/>
  <c r="U168" i="13"/>
  <c r="H168" i="13"/>
  <c r="A168" i="13"/>
  <c r="W167" i="13"/>
  <c r="X167" i="13" s="1"/>
  <c r="H167" i="13"/>
  <c r="U167" i="13" s="1"/>
  <c r="A167" i="13"/>
  <c r="W166" i="13"/>
  <c r="X166" i="13" s="1"/>
  <c r="U166" i="13"/>
  <c r="H166" i="13"/>
  <c r="A166" i="13"/>
  <c r="W165" i="13"/>
  <c r="X165" i="13" s="1"/>
  <c r="H165" i="13"/>
  <c r="U165" i="13" s="1"/>
  <c r="A165" i="13"/>
  <c r="W164" i="13"/>
  <c r="X164" i="13" s="1"/>
  <c r="H164" i="13"/>
  <c r="U164" i="13" s="1"/>
  <c r="A164" i="13"/>
  <c r="W163" i="13"/>
  <c r="X163" i="13" s="1"/>
  <c r="H163" i="13"/>
  <c r="U163" i="13" s="1"/>
  <c r="A163" i="13"/>
  <c r="W162" i="13"/>
  <c r="X162" i="13" s="1"/>
  <c r="H162" i="13"/>
  <c r="U162" i="13" s="1"/>
  <c r="A162" i="13"/>
  <c r="W161" i="13"/>
  <c r="X161" i="13" s="1"/>
  <c r="H161" i="13"/>
  <c r="U161" i="13" s="1"/>
  <c r="A161" i="13"/>
  <c r="W160" i="13"/>
  <c r="X160" i="13" s="1"/>
  <c r="H160" i="13"/>
  <c r="U160" i="13" s="1"/>
  <c r="A160" i="13"/>
  <c r="W159" i="13"/>
  <c r="X159" i="13" s="1"/>
  <c r="H159" i="13"/>
  <c r="U159" i="13" s="1"/>
  <c r="A159" i="13"/>
  <c r="W158" i="13"/>
  <c r="X158" i="13" s="1"/>
  <c r="H158" i="13"/>
  <c r="U158" i="13" s="1"/>
  <c r="A158" i="13"/>
  <c r="W157" i="13"/>
  <c r="X157" i="13" s="1"/>
  <c r="H157" i="13"/>
  <c r="U157" i="13" s="1"/>
  <c r="A157" i="13"/>
  <c r="W156" i="13"/>
  <c r="X156" i="13" s="1"/>
  <c r="H156" i="13"/>
  <c r="U156" i="13" s="1"/>
  <c r="A156" i="13"/>
  <c r="W155" i="13"/>
  <c r="X155" i="13" s="1"/>
  <c r="H155" i="13"/>
  <c r="U155" i="13" s="1"/>
  <c r="A155" i="13"/>
  <c r="W154" i="13"/>
  <c r="X154" i="13" s="1"/>
  <c r="U154" i="13"/>
  <c r="H154" i="13"/>
  <c r="A154" i="13"/>
  <c r="W153" i="13"/>
  <c r="X153" i="13" s="1"/>
  <c r="H153" i="13"/>
  <c r="U153" i="13" s="1"/>
  <c r="A153" i="13"/>
  <c r="X152" i="13"/>
  <c r="W152" i="13"/>
  <c r="U152" i="13"/>
  <c r="H152" i="13"/>
  <c r="A152" i="13"/>
  <c r="W151" i="13"/>
  <c r="X151" i="13" s="1"/>
  <c r="H151" i="13"/>
  <c r="U151" i="13" s="1"/>
  <c r="A151" i="13"/>
  <c r="X150" i="13"/>
  <c r="W150" i="13"/>
  <c r="H150" i="13"/>
  <c r="U150" i="13" s="1"/>
  <c r="A150" i="13"/>
  <c r="W149" i="13"/>
  <c r="X149" i="13" s="1"/>
  <c r="H149" i="13"/>
  <c r="U149" i="13" s="1"/>
  <c r="A149" i="13"/>
  <c r="W148" i="13"/>
  <c r="X148" i="13" s="1"/>
  <c r="H148" i="13"/>
  <c r="U148" i="13" s="1"/>
  <c r="A148" i="13"/>
  <c r="W147" i="13"/>
  <c r="X147" i="13" s="1"/>
  <c r="H147" i="13"/>
  <c r="U147" i="13" s="1"/>
  <c r="A147" i="13"/>
  <c r="W146" i="13"/>
  <c r="X146" i="13" s="1"/>
  <c r="U146" i="13"/>
  <c r="H146" i="13"/>
  <c r="A146" i="13"/>
  <c r="W145" i="13"/>
  <c r="X145" i="13" s="1"/>
  <c r="H145" i="13"/>
  <c r="U145" i="13" s="1"/>
  <c r="A145" i="13"/>
  <c r="W144" i="13"/>
  <c r="X144" i="13" s="1"/>
  <c r="U144" i="13"/>
  <c r="H144" i="13"/>
  <c r="A144" i="13"/>
  <c r="W143" i="13"/>
  <c r="X143" i="13" s="1"/>
  <c r="H143" i="13"/>
  <c r="U143" i="13" s="1"/>
  <c r="A143" i="13"/>
  <c r="W142" i="13"/>
  <c r="X142" i="13" s="1"/>
  <c r="U142" i="13"/>
  <c r="H142" i="13"/>
  <c r="A142" i="13"/>
  <c r="W141" i="13"/>
  <c r="X141" i="13" s="1"/>
  <c r="H141" i="13"/>
  <c r="U141" i="13" s="1"/>
  <c r="A141" i="13"/>
  <c r="W140" i="13"/>
  <c r="X140" i="13" s="1"/>
  <c r="H140" i="13"/>
  <c r="U140" i="13" s="1"/>
  <c r="A140" i="13"/>
  <c r="W139" i="13"/>
  <c r="X139" i="13" s="1"/>
  <c r="H139" i="13"/>
  <c r="U139" i="13" s="1"/>
  <c r="A139" i="13"/>
  <c r="W138" i="13"/>
  <c r="X138" i="13" s="1"/>
  <c r="H138" i="13"/>
  <c r="U138" i="13" s="1"/>
  <c r="A138" i="13"/>
  <c r="W137" i="13"/>
  <c r="X137" i="13" s="1"/>
  <c r="H137" i="13"/>
  <c r="U137" i="13" s="1"/>
  <c r="A137" i="13"/>
  <c r="W136" i="13"/>
  <c r="X136" i="13" s="1"/>
  <c r="H136" i="13"/>
  <c r="U136" i="13" s="1"/>
  <c r="A136" i="13"/>
  <c r="W135" i="13"/>
  <c r="X135" i="13" s="1"/>
  <c r="H135" i="13"/>
  <c r="U135" i="13" s="1"/>
  <c r="A135" i="13"/>
  <c r="W134" i="13"/>
  <c r="X134" i="13" s="1"/>
  <c r="H134" i="13"/>
  <c r="U134" i="13" s="1"/>
  <c r="A134" i="13"/>
  <c r="W133" i="13"/>
  <c r="X133" i="13" s="1"/>
  <c r="H133" i="13"/>
  <c r="U133" i="13" s="1"/>
  <c r="A133" i="13"/>
  <c r="W132" i="13"/>
  <c r="X132" i="13" s="1"/>
  <c r="H132" i="13"/>
  <c r="U132" i="13" s="1"/>
  <c r="A132" i="13"/>
  <c r="W131" i="13"/>
  <c r="X131" i="13" s="1"/>
  <c r="H131" i="13"/>
  <c r="U131" i="13" s="1"/>
  <c r="A131" i="13"/>
  <c r="W130" i="13"/>
  <c r="X130" i="13" s="1"/>
  <c r="U130" i="13"/>
  <c r="H130" i="13"/>
  <c r="A130" i="13"/>
  <c r="W129" i="13"/>
  <c r="X129" i="13" s="1"/>
  <c r="H129" i="13"/>
  <c r="U129" i="13" s="1"/>
  <c r="A129" i="13"/>
  <c r="X128" i="13"/>
  <c r="W128" i="13"/>
  <c r="U128" i="13"/>
  <c r="H128" i="13"/>
  <c r="A128" i="13"/>
  <c r="W127" i="13"/>
  <c r="X127" i="13" s="1"/>
  <c r="H127" i="13"/>
  <c r="U127" i="13" s="1"/>
  <c r="A127" i="13"/>
  <c r="X126" i="13"/>
  <c r="W126" i="13"/>
  <c r="H126" i="13"/>
  <c r="U126" i="13" s="1"/>
  <c r="A126" i="13"/>
  <c r="W125" i="13"/>
  <c r="X125" i="13" s="1"/>
  <c r="H125" i="13"/>
  <c r="U125" i="13" s="1"/>
  <c r="A125" i="13"/>
  <c r="W124" i="13"/>
  <c r="X124" i="13" s="1"/>
  <c r="H124" i="13"/>
  <c r="U124" i="13" s="1"/>
  <c r="A124" i="13"/>
  <c r="W123" i="13"/>
  <c r="X123" i="13" s="1"/>
  <c r="H123" i="13"/>
  <c r="U123" i="13" s="1"/>
  <c r="A123" i="13"/>
  <c r="W122" i="13"/>
  <c r="X122" i="13" s="1"/>
  <c r="U122" i="13"/>
  <c r="H122" i="13"/>
  <c r="A122" i="13"/>
  <c r="W121" i="13"/>
  <c r="X121" i="13" s="1"/>
  <c r="H121" i="13"/>
  <c r="U121" i="13" s="1"/>
  <c r="A121" i="13"/>
  <c r="W120" i="13"/>
  <c r="X120" i="13" s="1"/>
  <c r="U120" i="13"/>
  <c r="H120" i="13"/>
  <c r="A120" i="13"/>
  <c r="W119" i="13"/>
  <c r="X119" i="13" s="1"/>
  <c r="H119" i="13"/>
  <c r="U119" i="13" s="1"/>
  <c r="A119" i="13"/>
  <c r="W118" i="13"/>
  <c r="X118" i="13" s="1"/>
  <c r="U118" i="13"/>
  <c r="H118" i="13"/>
  <c r="A118" i="13"/>
  <c r="W117" i="13"/>
  <c r="X117" i="13" s="1"/>
  <c r="H117" i="13"/>
  <c r="U117" i="13" s="1"/>
  <c r="A117" i="13"/>
  <c r="W116" i="13"/>
  <c r="X116" i="13" s="1"/>
  <c r="H116" i="13"/>
  <c r="U116" i="13" s="1"/>
  <c r="A116" i="13"/>
  <c r="W115" i="13"/>
  <c r="X115" i="13" s="1"/>
  <c r="H115" i="13"/>
  <c r="U115" i="13" s="1"/>
  <c r="A115" i="13"/>
  <c r="W114" i="13"/>
  <c r="X114" i="13" s="1"/>
  <c r="H114" i="13"/>
  <c r="U114" i="13" s="1"/>
  <c r="A114" i="13"/>
  <c r="W113" i="13"/>
  <c r="X113" i="13" s="1"/>
  <c r="H113" i="13"/>
  <c r="U113" i="13" s="1"/>
  <c r="A113" i="13"/>
  <c r="W112" i="13"/>
  <c r="X112" i="13" s="1"/>
  <c r="H112" i="13"/>
  <c r="U112" i="13" s="1"/>
  <c r="A112" i="13"/>
  <c r="W111" i="13"/>
  <c r="X111" i="13" s="1"/>
  <c r="H111" i="13"/>
  <c r="U111" i="13" s="1"/>
  <c r="A111" i="13"/>
  <c r="W110" i="13"/>
  <c r="X110" i="13" s="1"/>
  <c r="H110" i="13"/>
  <c r="U110" i="13" s="1"/>
  <c r="A110" i="13"/>
  <c r="W109" i="13"/>
  <c r="X109" i="13" s="1"/>
  <c r="H109" i="13"/>
  <c r="U109" i="13" s="1"/>
  <c r="A109" i="13"/>
  <c r="W108" i="13"/>
  <c r="X108" i="13" s="1"/>
  <c r="H108" i="13"/>
  <c r="U108" i="13" s="1"/>
  <c r="A108" i="13"/>
  <c r="W107" i="13"/>
  <c r="X107" i="13" s="1"/>
  <c r="H107" i="13"/>
  <c r="U107" i="13" s="1"/>
  <c r="A107" i="13"/>
  <c r="W106" i="13"/>
  <c r="X106" i="13" s="1"/>
  <c r="U106" i="13"/>
  <c r="H106" i="13"/>
  <c r="A106" i="13"/>
  <c r="W105" i="13"/>
  <c r="X105" i="13" s="1"/>
  <c r="H105" i="13"/>
  <c r="U105" i="13" s="1"/>
  <c r="A105" i="13"/>
  <c r="W104" i="13"/>
  <c r="X104" i="13" s="1"/>
  <c r="U104" i="13"/>
  <c r="H104" i="13"/>
  <c r="A104" i="13"/>
  <c r="W103" i="13"/>
  <c r="X103" i="13" s="1"/>
  <c r="H103" i="13"/>
  <c r="U103" i="13" s="1"/>
  <c r="A103" i="13"/>
  <c r="W102" i="13"/>
  <c r="X102" i="13" s="1"/>
  <c r="U102" i="13"/>
  <c r="H102" i="13"/>
  <c r="A102" i="13"/>
  <c r="W101" i="13"/>
  <c r="X101" i="13" s="1"/>
  <c r="H101" i="13"/>
  <c r="U101" i="13" s="1"/>
  <c r="A101" i="13"/>
  <c r="W100" i="13"/>
  <c r="X100" i="13" s="1"/>
  <c r="H100" i="13"/>
  <c r="U100" i="13" s="1"/>
  <c r="A100" i="13"/>
  <c r="W99" i="13"/>
  <c r="X99" i="13" s="1"/>
  <c r="H99" i="13"/>
  <c r="U99" i="13" s="1"/>
  <c r="A99" i="13"/>
  <c r="W98" i="13"/>
  <c r="X98" i="13" s="1"/>
  <c r="H98" i="13"/>
  <c r="U98" i="13" s="1"/>
  <c r="A98" i="13"/>
  <c r="W97" i="13"/>
  <c r="X97" i="13" s="1"/>
  <c r="H97" i="13"/>
  <c r="U97" i="13" s="1"/>
  <c r="A97" i="13"/>
  <c r="W96" i="13"/>
  <c r="X96" i="13" s="1"/>
  <c r="H96" i="13"/>
  <c r="U96" i="13" s="1"/>
  <c r="A96" i="13"/>
  <c r="W95" i="13"/>
  <c r="X95" i="13" s="1"/>
  <c r="H95" i="13"/>
  <c r="U95" i="13" s="1"/>
  <c r="A95" i="13"/>
  <c r="W94" i="13"/>
  <c r="X94" i="13" s="1"/>
  <c r="H94" i="13"/>
  <c r="U94" i="13" s="1"/>
  <c r="A94" i="13"/>
  <c r="W93" i="13"/>
  <c r="X93" i="13" s="1"/>
  <c r="H93" i="13"/>
  <c r="U93" i="13" s="1"/>
  <c r="A93" i="13"/>
  <c r="W92" i="13"/>
  <c r="X92" i="13" s="1"/>
  <c r="H92" i="13"/>
  <c r="U92" i="13" s="1"/>
  <c r="A92" i="13"/>
  <c r="W91" i="13"/>
  <c r="X91" i="13" s="1"/>
  <c r="H91" i="13"/>
  <c r="U91" i="13" s="1"/>
  <c r="A91" i="13"/>
  <c r="W90" i="13"/>
  <c r="X90" i="13" s="1"/>
  <c r="U90" i="13"/>
  <c r="H90" i="13"/>
  <c r="A90" i="13"/>
  <c r="W89" i="13"/>
  <c r="X89" i="13" s="1"/>
  <c r="H89" i="13"/>
  <c r="U89" i="13" s="1"/>
  <c r="A89" i="13"/>
  <c r="X88" i="13"/>
  <c r="W88" i="13"/>
  <c r="U88" i="13"/>
  <c r="H88" i="13"/>
  <c r="A88" i="13"/>
  <c r="W87" i="13"/>
  <c r="X87" i="13" s="1"/>
  <c r="H87" i="13"/>
  <c r="U87" i="13" s="1"/>
  <c r="A87" i="13"/>
  <c r="X86" i="13"/>
  <c r="W86" i="13"/>
  <c r="H86" i="13"/>
  <c r="U86" i="13" s="1"/>
  <c r="A86" i="13"/>
  <c r="W85" i="13"/>
  <c r="X85" i="13" s="1"/>
  <c r="H85" i="13"/>
  <c r="U85" i="13" s="1"/>
  <c r="A85" i="13"/>
  <c r="W84" i="13"/>
  <c r="X84" i="13" s="1"/>
  <c r="H84" i="13"/>
  <c r="U84" i="13" s="1"/>
  <c r="A84" i="13"/>
  <c r="W83" i="13"/>
  <c r="X83" i="13" s="1"/>
  <c r="H83" i="13"/>
  <c r="U83" i="13" s="1"/>
  <c r="A83" i="13"/>
  <c r="W82" i="13"/>
  <c r="X82" i="13" s="1"/>
  <c r="U82" i="13"/>
  <c r="H82" i="13"/>
  <c r="A82" i="13"/>
  <c r="W81" i="13"/>
  <c r="X81" i="13" s="1"/>
  <c r="H81" i="13"/>
  <c r="U81" i="13" s="1"/>
  <c r="A81" i="13"/>
  <c r="X80" i="13"/>
  <c r="W80" i="13"/>
  <c r="U80" i="13"/>
  <c r="H80" i="13"/>
  <c r="A80" i="13"/>
  <c r="W79" i="13"/>
  <c r="X79" i="13" s="1"/>
  <c r="H79" i="13"/>
  <c r="U79" i="13" s="1"/>
  <c r="A79" i="13"/>
  <c r="X78" i="13"/>
  <c r="W78" i="13"/>
  <c r="H78" i="13"/>
  <c r="U78" i="13" s="1"/>
  <c r="A78" i="13"/>
  <c r="W77" i="13"/>
  <c r="X77" i="13" s="1"/>
  <c r="H77" i="13"/>
  <c r="U77" i="13" s="1"/>
  <c r="A77" i="13"/>
  <c r="W76" i="13"/>
  <c r="X76" i="13" s="1"/>
  <c r="H76" i="13"/>
  <c r="U76" i="13" s="1"/>
  <c r="A76" i="13"/>
  <c r="W75" i="13"/>
  <c r="X75" i="13" s="1"/>
  <c r="H75" i="13"/>
  <c r="U75" i="13" s="1"/>
  <c r="A75" i="13"/>
  <c r="W74" i="13"/>
  <c r="X74" i="13" s="1"/>
  <c r="U74" i="13"/>
  <c r="H74" i="13"/>
  <c r="A74" i="13"/>
  <c r="W73" i="13"/>
  <c r="X73" i="13" s="1"/>
  <c r="H73" i="13"/>
  <c r="U73" i="13" s="1"/>
  <c r="A73" i="13"/>
  <c r="W72" i="13"/>
  <c r="X72" i="13" s="1"/>
  <c r="U72" i="13"/>
  <c r="H72" i="13"/>
  <c r="A72" i="13"/>
  <c r="W71" i="13"/>
  <c r="X71" i="13" s="1"/>
  <c r="H71" i="13"/>
  <c r="U71" i="13" s="1"/>
  <c r="A71" i="13"/>
  <c r="W70" i="13"/>
  <c r="X70" i="13" s="1"/>
  <c r="U70" i="13"/>
  <c r="H70" i="13"/>
  <c r="A70" i="13"/>
  <c r="W69" i="13"/>
  <c r="X69" i="13" s="1"/>
  <c r="H69" i="13"/>
  <c r="U69" i="13" s="1"/>
  <c r="A69" i="13"/>
  <c r="W68" i="13"/>
  <c r="X68" i="13" s="1"/>
  <c r="H68" i="13"/>
  <c r="U68" i="13" s="1"/>
  <c r="A68" i="13"/>
  <c r="W67" i="13"/>
  <c r="X67" i="13" s="1"/>
  <c r="H67" i="13"/>
  <c r="U67" i="13" s="1"/>
  <c r="A67" i="13"/>
  <c r="W66" i="13"/>
  <c r="X66" i="13" s="1"/>
  <c r="H66" i="13"/>
  <c r="U66" i="13" s="1"/>
  <c r="A66" i="13"/>
  <c r="W65" i="13"/>
  <c r="X65" i="13" s="1"/>
  <c r="H65" i="13"/>
  <c r="U65" i="13" s="1"/>
  <c r="A65" i="13"/>
  <c r="W64" i="13"/>
  <c r="X64" i="13" s="1"/>
  <c r="H64" i="13"/>
  <c r="U64" i="13" s="1"/>
  <c r="A64" i="13"/>
  <c r="W63" i="13"/>
  <c r="X63" i="13" s="1"/>
  <c r="H63" i="13"/>
  <c r="U63" i="13" s="1"/>
  <c r="A63" i="13"/>
  <c r="W62" i="13"/>
  <c r="X62" i="13" s="1"/>
  <c r="H62" i="13"/>
  <c r="U62" i="13" s="1"/>
  <c r="A62" i="13"/>
  <c r="W61" i="13"/>
  <c r="X61" i="13" s="1"/>
  <c r="H61" i="13"/>
  <c r="U61" i="13" s="1"/>
  <c r="A61" i="13"/>
  <c r="W60" i="13"/>
  <c r="X60" i="13" s="1"/>
  <c r="H60" i="13"/>
  <c r="U60" i="13" s="1"/>
  <c r="A60" i="13"/>
  <c r="W59" i="13"/>
  <c r="X59" i="13" s="1"/>
  <c r="H59" i="13"/>
  <c r="U59" i="13" s="1"/>
  <c r="A59" i="13"/>
  <c r="W58" i="13"/>
  <c r="X58" i="13" s="1"/>
  <c r="H58" i="13"/>
  <c r="U58" i="13" s="1"/>
  <c r="A58" i="13"/>
  <c r="W57" i="13"/>
  <c r="X57" i="13" s="1"/>
  <c r="H57" i="13"/>
  <c r="U57" i="13" s="1"/>
  <c r="A57" i="13"/>
  <c r="W56" i="13"/>
  <c r="X56" i="13" s="1"/>
  <c r="U56" i="13"/>
  <c r="H56" i="13"/>
  <c r="A56" i="13"/>
  <c r="W55" i="13"/>
  <c r="X55" i="13" s="1"/>
  <c r="H55" i="13"/>
  <c r="U55" i="13" s="1"/>
  <c r="A55" i="13"/>
  <c r="W54" i="13"/>
  <c r="X54" i="13" s="1"/>
  <c r="U54" i="13"/>
  <c r="H54" i="13"/>
  <c r="A54" i="13"/>
  <c r="W53" i="13"/>
  <c r="X53" i="13" s="1"/>
  <c r="H53" i="13"/>
  <c r="U53" i="13" s="1"/>
  <c r="A53" i="13"/>
  <c r="W52" i="13"/>
  <c r="X52" i="13" s="1"/>
  <c r="H52" i="13"/>
  <c r="U52" i="13" s="1"/>
  <c r="A52" i="13"/>
  <c r="W51" i="13"/>
  <c r="X51" i="13" s="1"/>
  <c r="H51" i="13"/>
  <c r="U51" i="13" s="1"/>
  <c r="A51" i="13"/>
  <c r="W50" i="13"/>
  <c r="X50" i="13" s="1"/>
  <c r="H50" i="13"/>
  <c r="U50" i="13" s="1"/>
  <c r="A50" i="13"/>
  <c r="W49" i="13"/>
  <c r="X49" i="13" s="1"/>
  <c r="H49" i="13"/>
  <c r="U49" i="13" s="1"/>
  <c r="A49" i="13"/>
  <c r="W48" i="13"/>
  <c r="X48" i="13" s="1"/>
  <c r="H48" i="13"/>
  <c r="U48" i="13" s="1"/>
  <c r="A48" i="13"/>
  <c r="W47" i="13"/>
  <c r="X47" i="13" s="1"/>
  <c r="H47" i="13"/>
  <c r="U47" i="13" s="1"/>
  <c r="A47" i="13"/>
  <c r="W46" i="13"/>
  <c r="X46" i="13" s="1"/>
  <c r="H46" i="13"/>
  <c r="U46" i="13" s="1"/>
  <c r="A46" i="13"/>
  <c r="W45" i="13"/>
  <c r="X45" i="13" s="1"/>
  <c r="H45" i="13"/>
  <c r="U45" i="13" s="1"/>
  <c r="A45" i="13"/>
  <c r="W44" i="13"/>
  <c r="X44" i="13" s="1"/>
  <c r="H44" i="13"/>
  <c r="U44" i="13" s="1"/>
  <c r="A44" i="13"/>
  <c r="W43" i="13"/>
  <c r="X43" i="13" s="1"/>
  <c r="H43" i="13"/>
  <c r="U43" i="13" s="1"/>
  <c r="A43" i="13"/>
  <c r="W42" i="13"/>
  <c r="X42" i="13" s="1"/>
  <c r="H42" i="13"/>
  <c r="U42" i="13" s="1"/>
  <c r="A42" i="13"/>
  <c r="W41" i="13"/>
  <c r="X41" i="13" s="1"/>
  <c r="H41" i="13"/>
  <c r="U41" i="13" s="1"/>
  <c r="A41" i="13"/>
  <c r="W40" i="13"/>
  <c r="X40" i="13" s="1"/>
  <c r="U40" i="13"/>
  <c r="H40" i="13"/>
  <c r="A40" i="13"/>
  <c r="W39" i="13"/>
  <c r="X39" i="13" s="1"/>
  <c r="H39" i="13"/>
  <c r="U39" i="13" s="1"/>
  <c r="A39" i="13"/>
  <c r="W38" i="13"/>
  <c r="X38" i="13" s="1"/>
  <c r="U38" i="13"/>
  <c r="H38" i="13"/>
  <c r="A38" i="13"/>
  <c r="W37" i="13"/>
  <c r="X37" i="13" s="1"/>
  <c r="H37" i="13"/>
  <c r="U37" i="13" s="1"/>
  <c r="A37" i="13"/>
  <c r="W36" i="13"/>
  <c r="X36" i="13" s="1"/>
  <c r="H36" i="13"/>
  <c r="U36" i="13" s="1"/>
  <c r="A36" i="13"/>
  <c r="W35" i="13"/>
  <c r="X35" i="13" s="1"/>
  <c r="H35" i="13"/>
  <c r="U35" i="13" s="1"/>
  <c r="A35" i="13"/>
  <c r="W34" i="13"/>
  <c r="X34" i="13" s="1"/>
  <c r="H34" i="13"/>
  <c r="U34" i="13" s="1"/>
  <c r="A34" i="13"/>
  <c r="W33" i="13"/>
  <c r="X33" i="13" s="1"/>
  <c r="H33" i="13"/>
  <c r="U33" i="13" s="1"/>
  <c r="A33" i="13"/>
  <c r="W32" i="13"/>
  <c r="X32" i="13" s="1"/>
  <c r="H32" i="13"/>
  <c r="U32" i="13" s="1"/>
  <c r="A32" i="13"/>
  <c r="W31" i="13"/>
  <c r="X31" i="13" s="1"/>
  <c r="H31" i="13"/>
  <c r="U31" i="13" s="1"/>
  <c r="A31" i="13"/>
  <c r="W30" i="13"/>
  <c r="X30" i="13" s="1"/>
  <c r="H30" i="13"/>
  <c r="U30" i="13" s="1"/>
  <c r="A30" i="13"/>
  <c r="W29" i="13"/>
  <c r="X29" i="13" s="1"/>
  <c r="H29" i="13"/>
  <c r="U29" i="13" s="1"/>
  <c r="A29" i="13"/>
  <c r="W28" i="13"/>
  <c r="X28" i="13" s="1"/>
  <c r="H28" i="13"/>
  <c r="U28" i="13" s="1"/>
  <c r="A28" i="13"/>
  <c r="W27" i="13"/>
  <c r="X27" i="13" s="1"/>
  <c r="H27" i="13"/>
  <c r="U27" i="13" s="1"/>
  <c r="A27" i="13"/>
  <c r="W26" i="13"/>
  <c r="X26" i="13" s="1"/>
  <c r="H26" i="13"/>
  <c r="U26" i="13" s="1"/>
  <c r="A26" i="13"/>
  <c r="W25" i="13"/>
  <c r="X25" i="13" s="1"/>
  <c r="H25" i="13"/>
  <c r="U25" i="13" s="1"/>
  <c r="A25" i="13"/>
  <c r="W24" i="13"/>
  <c r="X24" i="13" s="1"/>
  <c r="U24" i="13"/>
  <c r="H24" i="13"/>
  <c r="A24" i="13"/>
  <c r="W23" i="13"/>
  <c r="X23" i="13" s="1"/>
  <c r="H23" i="13"/>
  <c r="U23" i="13" s="1"/>
  <c r="A23" i="13"/>
  <c r="W22" i="13"/>
  <c r="X22" i="13" s="1"/>
  <c r="U22" i="13"/>
  <c r="H22" i="13"/>
  <c r="A22" i="13"/>
  <c r="W21" i="13"/>
  <c r="X21" i="13" s="1"/>
  <c r="H21" i="13"/>
  <c r="U21" i="13" s="1"/>
  <c r="A21" i="13"/>
  <c r="W20" i="13"/>
  <c r="X20" i="13" s="1"/>
  <c r="H20" i="13"/>
  <c r="U20" i="13" s="1"/>
  <c r="A20" i="13"/>
  <c r="W19" i="13"/>
  <c r="X19" i="13" s="1"/>
  <c r="H19" i="13"/>
  <c r="U19" i="13" s="1"/>
  <c r="A19" i="13"/>
  <c r="W18" i="13"/>
  <c r="X18" i="13" s="1"/>
  <c r="H18" i="13"/>
  <c r="U18" i="13" s="1"/>
  <c r="A18" i="13"/>
  <c r="W17" i="13"/>
  <c r="X17" i="13" s="1"/>
  <c r="H17" i="13"/>
  <c r="U17" i="13" s="1"/>
  <c r="A17" i="13"/>
  <c r="W16" i="13"/>
  <c r="X16" i="13" s="1"/>
  <c r="H16" i="13"/>
  <c r="U16" i="13" s="1"/>
  <c r="A16" i="13"/>
  <c r="W15" i="13"/>
  <c r="X15" i="13" s="1"/>
  <c r="H15" i="13"/>
  <c r="U15" i="13" s="1"/>
  <c r="A15" i="13"/>
  <c r="V14" i="13"/>
  <c r="T14" i="13"/>
  <c r="S14" i="13"/>
  <c r="R14" i="13"/>
  <c r="Q14" i="13"/>
  <c r="P14" i="13"/>
  <c r="O14" i="13"/>
  <c r="N14" i="13"/>
  <c r="M14" i="13"/>
  <c r="L14" i="13"/>
  <c r="K14" i="13"/>
  <c r="J14" i="13"/>
  <c r="I14" i="13"/>
  <c r="G14" i="13"/>
  <c r="R8" i="14" l="1"/>
  <c r="R7" i="14"/>
  <c r="R6" i="14"/>
  <c r="AE8" i="14"/>
  <c r="AE7" i="14"/>
  <c r="AE6" i="14"/>
  <c r="R5" i="14"/>
  <c r="R9" i="14"/>
  <c r="AE9" i="14"/>
  <c r="AE5" i="14"/>
  <c r="H14" i="13"/>
  <c r="U8" i="13" s="1"/>
  <c r="J7" i="14"/>
  <c r="J6" i="14"/>
  <c r="J8" i="14"/>
  <c r="J9" i="14"/>
  <c r="J5" i="14"/>
  <c r="N9" i="14"/>
  <c r="N8" i="14"/>
  <c r="P5" i="14"/>
  <c r="P6" i="14"/>
  <c r="P7" i="14"/>
  <c r="U14" i="13"/>
  <c r="P9" i="14" l="1"/>
  <c r="O9" i="14"/>
  <c r="O6" i="14"/>
  <c r="P8" i="14"/>
  <c r="O7" i="14"/>
  <c r="O5" i="14"/>
  <c r="O8" i="14"/>
  <c r="AS5" i="14" l="1"/>
  <c r="AS9" i="14" s="1"/>
  <c r="AK5" i="14"/>
  <c r="AK9" i="14" s="1"/>
  <c r="AR5" i="14"/>
  <c r="AR9" i="14" s="1"/>
  <c r="AJ5" i="14"/>
  <c r="AJ9" i="14" s="1"/>
  <c r="AQ5" i="14"/>
  <c r="AQ9" i="14" s="1"/>
  <c r="AI5" i="14"/>
  <c r="AI9" i="14" s="1"/>
  <c r="AP5" i="14"/>
  <c r="AP9" i="14" s="1"/>
  <c r="AH5" i="14"/>
  <c r="AH9" i="14" s="1"/>
  <c r="AO5" i="14"/>
  <c r="AO9" i="14" s="1"/>
  <c r="AN5" i="14"/>
  <c r="AN9" i="14" s="1"/>
  <c r="AF5" i="14"/>
  <c r="AF9" i="14" s="1"/>
  <c r="AM5" i="14"/>
  <c r="AM9" i="14" s="1"/>
  <c r="AL5" i="14"/>
  <c r="AL9" i="14" s="1"/>
  <c r="AR6" i="14"/>
  <c r="AJ6" i="14"/>
  <c r="AQ6" i="14"/>
  <c r="AI6" i="14"/>
  <c r="AP6" i="14"/>
  <c r="AP8" i="14" s="1"/>
  <c r="AH6" i="14"/>
  <c r="AN6" i="14"/>
  <c r="AF6" i="14"/>
  <c r="AO6" i="14"/>
  <c r="AM6" i="14"/>
  <c r="AL6" i="14"/>
  <c r="AL8" i="14" s="1"/>
  <c r="AS6" i="14"/>
  <c r="AK6" i="14"/>
  <c r="AQ7" i="14"/>
  <c r="AI7" i="14"/>
  <c r="AI8" i="14" s="1"/>
  <c r="AP7" i="14"/>
  <c r="AH7" i="14"/>
  <c r="AO7" i="14"/>
  <c r="AN7" i="14"/>
  <c r="AN8" i="14" s="1"/>
  <c r="AF7" i="14"/>
  <c r="AM7" i="14"/>
  <c r="AL7" i="14"/>
  <c r="AS7" i="14"/>
  <c r="AS8" i="14" s="1"/>
  <c r="AK7" i="14"/>
  <c r="AR7" i="14"/>
  <c r="AJ7" i="14"/>
  <c r="AQ8" i="14" l="1"/>
  <c r="AF8" i="14"/>
  <c r="AO8" i="14"/>
  <c r="AK8" i="14"/>
  <c r="AR8" i="14"/>
  <c r="AH8" i="14"/>
  <c r="AJ8" i="14"/>
  <c r="AM8" i="14"/>
  <c r="AG9" i="14"/>
  <c r="AT9" i="14" s="1"/>
  <c r="AG8" i="14"/>
  <c r="AG7" i="14"/>
  <c r="AT7" i="14" s="1"/>
  <c r="AG5" i="14"/>
  <c r="AT5" i="14" s="1"/>
  <c r="AG6" i="14"/>
  <c r="AT6" i="14" s="1"/>
  <c r="AT8" i="14" l="1"/>
  <c r="C7" i="12"/>
  <c r="A44" i="12" s="1"/>
  <c r="C8" i="12"/>
  <c r="F48" i="12"/>
  <c r="AA39" i="12"/>
  <c r="A45" i="12" l="1"/>
  <c r="AA37" i="12"/>
  <c r="AA35" i="12"/>
  <c r="AA31" i="12"/>
  <c r="AA27" i="12"/>
  <c r="AA23" i="12"/>
  <c r="AA19" i="12"/>
  <c r="AA38" i="12"/>
  <c r="AA34" i="12"/>
  <c r="AA30" i="12"/>
  <c r="AA26" i="12"/>
  <c r="AA22" i="12"/>
  <c r="AA18" i="12"/>
  <c r="AA32" i="12"/>
  <c r="AA33" i="12"/>
  <c r="AA29" i="12"/>
  <c r="AA25" i="12"/>
  <c r="AA21" i="12"/>
  <c r="AA17" i="12"/>
  <c r="AA36" i="12"/>
  <c r="AA24" i="12"/>
  <c r="AA28" i="12"/>
  <c r="AA20" i="12"/>
  <c r="AA16" i="12"/>
  <c r="J46" i="12" l="1"/>
  <c r="J47" i="12" s="1"/>
  <c r="J48" i="12" s="1"/>
  <c r="Q10" i="7" l="1"/>
  <c r="E14" i="11" l="1"/>
  <c r="D14" i="11"/>
  <c r="G14" i="11" l="1"/>
  <c r="AJ38" i="7" l="1"/>
  <c r="AJ37" i="7"/>
  <c r="AJ35" i="7"/>
  <c r="AJ34" i="7"/>
  <c r="AJ32" i="7"/>
  <c r="AJ31" i="7"/>
  <c r="AJ29" i="7"/>
  <c r="AJ28" i="7"/>
  <c r="AJ26" i="7"/>
  <c r="AJ24" i="7"/>
  <c r="AJ22" i="7"/>
  <c r="AJ19" i="7"/>
  <c r="AJ15" i="7"/>
  <c r="AJ14" i="7"/>
  <c r="E11" i="7"/>
  <c r="E12" i="7" s="1"/>
  <c r="S10" i="7"/>
  <c r="R10" i="7"/>
  <c r="AM2" i="7"/>
  <c r="AJ34" i="6"/>
  <c r="B34" i="6"/>
  <c r="B33" i="6"/>
  <c r="AJ32" i="6"/>
  <c r="B32" i="6"/>
  <c r="AJ31" i="6"/>
  <c r="B31" i="6"/>
  <c r="B30" i="6"/>
  <c r="AJ29" i="6"/>
  <c r="B29" i="6"/>
  <c r="B28" i="6"/>
  <c r="AJ27" i="6"/>
  <c r="B27" i="6"/>
  <c r="AJ26" i="6"/>
  <c r="B26" i="6"/>
  <c r="B25" i="6"/>
  <c r="AJ24" i="6"/>
  <c r="B24" i="6"/>
  <c r="B23" i="6"/>
  <c r="AJ22" i="6"/>
  <c r="B22" i="6"/>
  <c r="B21" i="6"/>
  <c r="AJ20" i="6"/>
  <c r="B20" i="6"/>
  <c r="B19" i="6"/>
  <c r="AJ18" i="6"/>
  <c r="B18" i="6"/>
  <c r="B17" i="6"/>
  <c r="AJ16" i="6"/>
  <c r="B16" i="6"/>
  <c r="B15" i="6"/>
  <c r="AJ13" i="6"/>
  <c r="AJ12" i="6"/>
  <c r="E9" i="6"/>
  <c r="E10" i="6" s="1"/>
  <c r="S8" i="6"/>
  <c r="R8" i="6"/>
  <c r="Q8" i="6"/>
  <c r="AJ39" i="7" l="1"/>
  <c r="F9" i="6"/>
  <c r="F10" i="6" s="1"/>
  <c r="AJ35" i="6"/>
  <c r="G9" i="6"/>
  <c r="G10" i="6" s="1"/>
  <c r="F11" i="7"/>
  <c r="F12" i="7" s="1"/>
  <c r="G11" i="7" l="1"/>
  <c r="G12" i="7" s="1"/>
  <c r="H9" i="6"/>
  <c r="H10" i="6" s="1"/>
  <c r="I9" i="6" l="1"/>
  <c r="I10" i="6" s="1"/>
  <c r="H11" i="7"/>
  <c r="H12" i="7" s="1"/>
  <c r="I11" i="7" l="1"/>
  <c r="I12" i="7" s="1"/>
  <c r="J9" i="6"/>
  <c r="J10" i="6" s="1"/>
  <c r="K9" i="6" l="1"/>
  <c r="K10" i="6" s="1"/>
  <c r="J11" i="7"/>
  <c r="J12" i="7" s="1"/>
  <c r="K11" i="7" l="1"/>
  <c r="K12" i="7" s="1"/>
  <c r="L9" i="6"/>
  <c r="L10" i="6" s="1"/>
  <c r="M9" i="6" l="1"/>
  <c r="M10" i="6" s="1"/>
  <c r="L11" i="7"/>
  <c r="L12" i="7" s="1"/>
  <c r="M11" i="7" l="1"/>
  <c r="M12" i="7" s="1"/>
  <c r="N9" i="6"/>
  <c r="N10" i="6" s="1"/>
  <c r="O9" i="6" l="1"/>
  <c r="O10" i="6" s="1"/>
  <c r="N11" i="7"/>
  <c r="N12" i="7" s="1"/>
  <c r="O11" i="7" l="1"/>
  <c r="O12" i="7" s="1"/>
  <c r="P9" i="6"/>
  <c r="P10" i="6" s="1"/>
  <c r="Q9" i="6" l="1"/>
  <c r="Q10" i="6" s="1"/>
  <c r="P11" i="7"/>
  <c r="P12" i="7" s="1"/>
  <c r="Q11" i="7" l="1"/>
  <c r="Q12" i="7" s="1"/>
  <c r="R9" i="6"/>
  <c r="R10" i="6" s="1"/>
  <c r="S9" i="6" l="1"/>
  <c r="S10" i="6" s="1"/>
  <c r="R11" i="7"/>
  <c r="R12" i="7" s="1"/>
  <c r="S11" i="7" l="1"/>
  <c r="S12" i="7" s="1"/>
  <c r="T9" i="6"/>
  <c r="T10" i="6" s="1"/>
  <c r="U9" i="6" l="1"/>
  <c r="U10" i="6" s="1"/>
  <c r="T11" i="7"/>
  <c r="T12" i="7" s="1"/>
  <c r="U11" i="7" l="1"/>
  <c r="U12" i="7" s="1"/>
  <c r="V9" i="6"/>
  <c r="V10" i="6" s="1"/>
  <c r="W9" i="6" l="1"/>
  <c r="W10" i="6" s="1"/>
  <c r="V11" i="7"/>
  <c r="V12" i="7" s="1"/>
  <c r="W11" i="7" l="1"/>
  <c r="W12" i="7" s="1"/>
  <c r="X9" i="6"/>
  <c r="X10" i="6" s="1"/>
  <c r="Y9" i="6" l="1"/>
  <c r="Y10" i="6" s="1"/>
  <c r="X11" i="7"/>
  <c r="X12" i="7" s="1"/>
  <c r="Y11" i="7" l="1"/>
  <c r="Y12" i="7" s="1"/>
  <c r="Z9" i="6"/>
  <c r="Z10" i="6" s="1"/>
  <c r="AA9" i="6" l="1"/>
  <c r="AA10" i="6" s="1"/>
  <c r="Z11" i="7"/>
  <c r="Z12" i="7" s="1"/>
  <c r="AA11" i="7" l="1"/>
  <c r="AA12" i="7" s="1"/>
  <c r="AB9" i="6"/>
  <c r="AB10" i="6" s="1"/>
  <c r="AC9" i="6" l="1"/>
  <c r="AC10" i="6" s="1"/>
  <c r="AB11" i="7"/>
  <c r="AB12" i="7" s="1"/>
  <c r="AC11" i="7" l="1"/>
  <c r="AC12" i="7" s="1"/>
  <c r="AD9" i="6"/>
  <c r="AD10" i="6" s="1"/>
  <c r="AE9" i="6" l="1"/>
  <c r="AE10" i="6" s="1"/>
  <c r="AD11" i="7"/>
  <c r="AD12" i="7" s="1"/>
  <c r="AE11" i="7" l="1"/>
  <c r="AE12" i="7" s="1"/>
  <c r="AF9" i="6"/>
  <c r="AF10" i="6" s="1"/>
  <c r="AG9" i="6" l="1"/>
  <c r="AG10" i="6" s="1"/>
  <c r="AF11" i="7"/>
  <c r="AF12" i="7" s="1"/>
  <c r="AG11" i="7" l="1"/>
  <c r="AG12" i="7" s="1"/>
  <c r="AH9" i="6"/>
  <c r="AH10" i="6" s="1"/>
  <c r="AI9" i="6" l="1"/>
  <c r="AI10" i="6" s="1"/>
  <c r="AH11" i="7"/>
  <c r="AH12" i="7" s="1"/>
  <c r="AI11" i="7" l="1"/>
  <c r="AI12" i="7" s="1"/>
  <c r="D1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huonghtt22</author>
  </authors>
  <commentList>
    <comment ref="G14" authorId="0" shapeId="0" xr:uid="{00000000-0006-0000-0700-000001000000}">
      <text>
        <r>
          <rPr>
            <b/>
            <sz val="9"/>
            <color indexed="81"/>
            <rFont val="Tahoma"/>
            <family val="2"/>
          </rPr>
          <t>huonghtt22:</t>
        </r>
        <r>
          <rPr>
            <sz val="9"/>
            <color indexed="81"/>
            <rFont val="Tahoma"/>
            <family val="2"/>
          </rPr>
          <t xml:space="preserve">
lương tháng - lương LT - lương phép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1" authorId="0" shapeId="0" xr:uid="{00000000-0006-0000-0900-000001000000}">
      <text>
        <r>
          <rPr>
            <b/>
            <sz val="9"/>
            <color rgb="FF000000"/>
            <rFont val="Tahoma"/>
            <family val="2"/>
          </rPr>
          <t>Author:</t>
        </r>
        <r>
          <rPr>
            <sz val="9"/>
            <color rgb="FF000000"/>
            <rFont val="Tahoma"/>
            <family val="2"/>
          </rPr>
          <t xml:space="preserve">
</t>
        </r>
        <r>
          <rPr>
            <sz val="9"/>
            <color rgb="FF000000"/>
            <rFont val="Tahoma"/>
            <family val="2"/>
          </rPr>
          <t>Theo các nội dung công việc được phê duyệt trong dự toán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thulh</author>
    <author>Pham Thuy Quynh</author>
  </authors>
  <commentList>
    <comment ref="V5" authorId="0" shapeId="0" xr:uid="{00000000-0006-0000-0A00-000001000000}">
      <text>
        <r>
          <rPr>
            <b/>
            <sz val="9"/>
            <color indexed="81"/>
            <rFont val="Tahoma"/>
            <family val="2"/>
          </rPr>
          <t>thulh:</t>
        </r>
        <r>
          <rPr>
            <sz val="9"/>
            <color indexed="81"/>
            <rFont val="Tahoma"/>
            <family val="2"/>
          </rPr>
          <t xml:space="preserve">
Chọn tháng năm chấm công</t>
        </r>
      </text>
    </comment>
    <comment ref="Q8" authorId="0" shapeId="0" xr:uid="{00000000-0006-0000-0A00-000002000000}">
      <text>
        <r>
          <rPr>
            <b/>
            <sz val="9"/>
            <color indexed="81"/>
            <rFont val="Tahoma"/>
            <family val="2"/>
          </rPr>
          <t>thulh:</t>
        </r>
        <r>
          <rPr>
            <sz val="9"/>
            <color indexed="81"/>
            <rFont val="Tahoma"/>
            <family val="2"/>
          </rPr>
          <t xml:space="preserve">
ko sửa Công thức</t>
        </r>
      </text>
    </comment>
    <comment ref="AK10" authorId="1" shapeId="0" xr:uid="{00000000-0006-0000-0A00-000003000000}">
      <text>
        <r>
          <rPr>
            <sz val="9"/>
            <color rgb="FF000000"/>
            <rFont val="Tahoma"/>
            <family val="2"/>
          </rPr>
          <t xml:space="preserve">Số ngày tham gia đề tài/ Số ngày công chế độ </t>
        </r>
      </text>
    </comment>
    <comment ref="B11" authorId="1" shapeId="0" xr:uid="{00000000-0006-0000-0A00-000004000000}">
      <text>
        <r>
          <rPr>
            <sz val="8"/>
            <color indexed="81"/>
            <rFont val="Tahoma"/>
            <family val="2"/>
          </rPr>
          <t>Chỉ bao gồm chủ nhiệm và thư ký đề tài</t>
        </r>
      </text>
    </comment>
    <comment ref="B15" authorId="1" shapeId="0" xr:uid="{00000000-0006-0000-0A00-000005000000}">
      <text>
        <r>
          <rPr>
            <sz val="8"/>
            <color indexed="81"/>
            <rFont val="Tahoma"/>
            <family val="2"/>
          </rPr>
          <t>Chọn 1 trong các Nội dung công việc được phê duyệt trong dự toán đề tài. Xem chi phí còn lại từng nội dung CV tại Bảng bên. Lưu ý ko phân bổ vào các mục đã vượt CP nếu chưa điều chỉnh dự toán.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thulh</author>
    <author>Pham Thuy Quynh</author>
  </authors>
  <commentList>
    <comment ref="V6" authorId="0" shapeId="0" xr:uid="{00000000-0006-0000-0B00-000001000000}">
      <text>
        <r>
          <rPr>
            <b/>
            <sz val="9"/>
            <color indexed="81"/>
            <rFont val="Tahoma"/>
            <family val="2"/>
          </rPr>
          <t>thulh:</t>
        </r>
        <r>
          <rPr>
            <sz val="9"/>
            <color indexed="81"/>
            <rFont val="Tahoma"/>
            <family val="2"/>
          </rPr>
          <t xml:space="preserve">
Chọn tháng năm chấm công</t>
        </r>
      </text>
    </comment>
    <comment ref="Q10" authorId="0" shapeId="0" xr:uid="{00000000-0006-0000-0B00-000002000000}">
      <text>
        <r>
          <rPr>
            <b/>
            <sz val="9"/>
            <color indexed="81"/>
            <rFont val="Tahoma"/>
            <family val="2"/>
          </rPr>
          <t>thulh:</t>
        </r>
        <r>
          <rPr>
            <sz val="9"/>
            <color indexed="81"/>
            <rFont val="Tahoma"/>
            <family val="2"/>
          </rPr>
          <t xml:space="preserve">
ko sửa Công thức</t>
        </r>
      </text>
    </comment>
    <comment ref="AK12" authorId="1" shapeId="0" xr:uid="{00000000-0006-0000-0B00-000003000000}">
      <text>
        <r>
          <rPr>
            <sz val="9"/>
            <color indexed="81"/>
            <rFont val="Tahoma"/>
            <family val="2"/>
          </rPr>
          <t xml:space="preserve">Số ngày tham gia đề tài/ Số ngày công chế độ </t>
        </r>
      </text>
    </comment>
    <comment ref="B13" authorId="1" shapeId="0" xr:uid="{00000000-0006-0000-0B00-000004000000}">
      <text>
        <r>
          <rPr>
            <sz val="8"/>
            <color indexed="81"/>
            <rFont val="Tahoma"/>
            <family val="2"/>
          </rPr>
          <t>Chỉ bao gồm chủ nhiệm và thư ký đề tài</t>
        </r>
      </text>
    </comment>
    <comment ref="B18" authorId="0" shapeId="0" xr:uid="{00000000-0006-0000-0B00-000005000000}">
      <text>
        <r>
          <rPr>
            <sz val="9"/>
            <color indexed="81"/>
            <rFont val="Tahoma"/>
            <family val="2"/>
          </rPr>
          <t>Ghi ngắn gọn nd CV được giao</t>
        </r>
      </text>
    </comment>
  </commentList>
</comments>
</file>

<file path=xl/sharedStrings.xml><?xml version="1.0" encoding="utf-8"?>
<sst xmlns="http://schemas.openxmlformats.org/spreadsheetml/2006/main" count="47295" uniqueCount="3515">
  <si>
    <t>Chức năng</t>
  </si>
  <si>
    <t>Mô tả</t>
  </si>
  <si>
    <t>Module</t>
  </si>
  <si>
    <t>Quản lý đề tài dự án</t>
  </si>
  <si>
    <t>Quản lý đề tài đã được phê duyệt</t>
  </si>
  <si>
    <t>Cho phép import hoặc tạo mới đề tài đã được trình ký</t>
  </si>
  <si>
    <t>Quản lý nhân sự thuộc đề tài</t>
  </si>
  <si>
    <t>Cho phép thêm, sửa update nhân sự thuộc đề tài
Cho phép view báo cáo dư kiến chi phí của đề tài theo như nhân sự được load vào đề tài</t>
  </si>
  <si>
    <t>Giao nhiệm vụ cho nhân viên thuộc đề tài</t>
  </si>
  <si>
    <t>Cho phép giao nhiệm vụ của đề tài cho nhân viên</t>
  </si>
  <si>
    <t>Báo cáo  chi phí đề tài theo tháng và theo lũy kế</t>
  </si>
  <si>
    <t>Module quản lý lương</t>
  </si>
  <si>
    <t>Quản lý lương mục tiêu</t>
  </si>
  <si>
    <t>Quản lý lịch sử lương mục tiêu</t>
  </si>
  <si>
    <t>Quản lý bảng lương tháng</t>
  </si>
  <si>
    <t>Module chấm công</t>
  </si>
  <si>
    <t>Chấm công tháng</t>
  </si>
  <si>
    <t>Chi phí nhân công</t>
  </si>
  <si>
    <t>Tổng hợp chi phí nhân công</t>
  </si>
  <si>
    <t xml:space="preserve">Trình ký Voffice các Biểu mẫu tại Sheet 7.BM3.2 BTH CÔNG, Sheet 9.BM 4.1 HR_PBNC Tháng,Sheet 10.BM 4.2 HR_BTH PBNC </t>
  </si>
  <si>
    <t>Lập bảng tông hợp chi phí nhân công theo biểu mẫu</t>
  </si>
  <si>
    <t>Trình ký Voffice sheet 12.BM05_BTH CPNC theo nội dung CV</t>
  </si>
  <si>
    <t>Quản lý nhân viên, phòng ban, đơn vi
(Tái sử dụng 1 phần HR)</t>
  </si>
  <si>
    <t>Quản lý nhân viên</t>
  </si>
  <si>
    <t>Quản lý chức danh, vài trò</t>
  </si>
  <si>
    <t>Quản lý cây đơn vị</t>
  </si>
  <si>
    <t>Xác thực, phân quyền</t>
  </si>
  <si>
    <t>Tích hợp xác thực với SSO</t>
  </si>
  <si>
    <t>Tích hợp phân quyền với hệ thống phan quền</t>
  </si>
  <si>
    <t>Tích hợp với hệ thống phân quyền hiện có của khách hàng.
(Không phải phân quyền của VTIT)</t>
  </si>
  <si>
    <t>Tích hợp Voffice để trình ký</t>
  </si>
  <si>
    <t>Module chung trình ký chung. Tích hợp Voffice</t>
  </si>
  <si>
    <t>Tạo văn bản danh sách nhân sự trình ký</t>
  </si>
  <si>
    <t>Trình ký chấm công</t>
  </si>
  <si>
    <t>Trình ký CPNC tổng hợp biểu mẫu 7</t>
  </si>
  <si>
    <t>Trình ký  tổng hợp CPNC biểu mẫu 12</t>
  </si>
  <si>
    <t>STT</t>
  </si>
  <si>
    <t>I</t>
  </si>
  <si>
    <t>II</t>
  </si>
  <si>
    <t>III</t>
  </si>
  <si>
    <t>IV</t>
  </si>
  <si>
    <t>V</t>
  </si>
  <si>
    <t>VI</t>
  </si>
  <si>
    <t>VII</t>
  </si>
  <si>
    <t>Quản lý chấm công : HR Upload bảng chấm công tháng (n-1)</t>
  </si>
  <si>
    <t>1. PA thực hiện chấm công, và view chi phí đã sử dụng, chưa sử dụng
2. HR duyệt công
3. Kế toán xác nhận
4. Xuất báo cáo
5. Trình ký Voffice</t>
  </si>
  <si>
    <t>Tính chi phí của từng đề tài theo lương thực tế, theo lũy kế đến thời điểm hiện tại</t>
  </si>
  <si>
    <t>BM.06</t>
  </si>
  <si>
    <t>TẬP ĐOÀN CÔNG NGHIỆP -  VIỄN THÔNG QUÂN ĐỘI</t>
  </si>
  <si>
    <t>CỘNG HÒA XÃ HỘI CHỦ NGHĨA VIỆT NAM</t>
  </si>
  <si>
    <t xml:space="preserve">      ĐƠN VỊ TRỰC THUỘC TẬP ĐOÀN</t>
  </si>
  <si>
    <t>Độc lập - Tự do - Hạnh phúc</t>
  </si>
  <si>
    <t>Hà Nội, ngày    tháng    năm 20..</t>
  </si>
  <si>
    <r>
      <t xml:space="preserve">Tên nhiệm vụ KHCN: </t>
    </r>
    <r>
      <rPr>
        <i/>
        <sz val="11"/>
        <color theme="1"/>
        <rFont val="Times New Roman"/>
        <family val="1"/>
      </rPr>
      <t>………</t>
    </r>
  </si>
  <si>
    <r>
      <t xml:space="preserve">Mã số: </t>
    </r>
    <r>
      <rPr>
        <i/>
        <sz val="11"/>
        <color theme="1"/>
        <rFont val="Times New Roman"/>
        <family val="1"/>
      </rPr>
      <t>…………</t>
    </r>
  </si>
  <si>
    <t>TT</t>
  </si>
  <si>
    <t>MÃ NV</t>
  </si>
  <si>
    <t>Họ và tên</t>
  </si>
  <si>
    <t>Chức danh</t>
  </si>
  <si>
    <t>Nội dung công việc tham gia nhiệm vụ KHCN</t>
  </si>
  <si>
    <t>Thời gian tham gia</t>
  </si>
  <si>
    <t>Ghi chú</t>
  </si>
  <si>
    <t>123204</t>
  </si>
  <si>
    <t>Nguyễn Văn X1</t>
  </si>
  <si>
    <t>Phó giám đốc</t>
  </si>
  <si>
    <t>Thiết kế phần cứng</t>
  </si>
  <si>
    <t>từ ngày … đến khi kết thúc đề tài</t>
  </si>
  <si>
    <t>130448</t>
  </si>
  <si>
    <t>Nguyễn Văn X2</t>
  </si>
  <si>
    <t>từ ngày … đến ngày …</t>
  </si>
  <si>
    <t>131748</t>
  </si>
  <si>
    <t>Nguyễn Văn X3</t>
  </si>
  <si>
    <t>Trưởng phòng</t>
  </si>
  <si>
    <t>135755</t>
  </si>
  <si>
    <t>Nguyễn Văn X4</t>
  </si>
  <si>
    <t>Kỹ sư</t>
  </si>
  <si>
    <t>Thiết kế cơ khí</t>
  </si>
  <si>
    <t>Thay thế cho đồng chí A đã nghỉ việc</t>
  </si>
  <si>
    <t>135756</t>
  </si>
  <si>
    <t>Nguyễn Văn X5</t>
  </si>
  <si>
    <t>Kỹ sư chính</t>
  </si>
  <si>
    <t>Nhân sự tuyển mới theo thuyết minh đề tài</t>
  </si>
  <si>
    <t>135757</t>
  </si>
  <si>
    <t>Nguyễn Văn X6</t>
  </si>
  <si>
    <t>CHỦ NHIỆM NHIỆM VỤ</t>
  </si>
  <si>
    <t>THỦ TRƯỞNG ĐƠN VỊ</t>
  </si>
  <si>
    <t>DANH SÁCH NHÂN SỰ THAM GIA NHIỆM VỤ KHCN</t>
  </si>
  <si>
    <t>TRUNG TÂM</t>
  </si>
  <si>
    <t>NGƯỜI LẬP BIỂU</t>
  </si>
  <si>
    <t>TỔNG CỘNG</t>
  </si>
  <si>
    <t>VD: nhân sự bổ sung</t>
  </si>
  <si>
    <t>Hà Thị Hải</t>
  </si>
  <si>
    <t>234522</t>
  </si>
  <si>
    <t>Nguyễn Minh Hùng</t>
  </si>
  <si>
    <t>123333</t>
  </si>
  <si>
    <t>II - Nhân sự nghiên cứu trực tiếp</t>
  </si>
  <si>
    <t>Nguyễn Văn B</t>
  </si>
  <si>
    <t>241253</t>
  </si>
  <si>
    <t>Thư ký đề tài</t>
  </si>
  <si>
    <t>Nguyễn Văn A</t>
  </si>
  <si>
    <t>123456</t>
  </si>
  <si>
    <t>Chủ nhiệm đề tài</t>
  </si>
  <si>
    <t>I - Nhân sự quản lý đề tài</t>
  </si>
  <si>
    <t>Số man-month</t>
  </si>
  <si>
    <t>Số ngày</t>
  </si>
  <si>
    <t>Tổng thời gian thực hiện trong tháng</t>
  </si>
  <si>
    <t>Mã nhân viên</t>
  </si>
  <si>
    <t>Nhân sự tham gia</t>
  </si>
  <si>
    <t>Nội dung</t>
  </si>
  <si>
    <t>ĐƠN VỊ TRỰC THUỘC TẬP ĐOÀN</t>
  </si>
  <si>
    <t>BM.03.01</t>
  </si>
  <si>
    <t>PHÒNG NHÂN SỰ</t>
  </si>
  <si>
    <t>TỔNG CÔNG TY CÔNG NGHIỆP CÔNG NGHỆ CAO VIETTEL</t>
  </si>
  <si>
    <t>BẢNG CHẤM CÔNG THEO NỘI DUNG CÔNG VIỆC THÁNG</t>
  </si>
  <si>
    <t>/</t>
  </si>
  <si>
    <t>Tên nhiệm vụ KHCN:</t>
  </si>
  <si>
    <t xml:space="preserve">Mã số: </t>
  </si>
  <si>
    <t>Tháng</t>
  </si>
  <si>
    <t>Tên nhiệm vụ SXKD:</t>
  </si>
  <si>
    <t>Sản xuất 03 đài Ra đa 3D cảnh giới tầm trung băng S VRS-MRS, gói vật tư dự phòng và gói triển khai hạ tầng</t>
  </si>
  <si>
    <t>Nguồn:</t>
  </si>
  <si>
    <t>I - Nhân sự quản lý dự án</t>
  </si>
  <si>
    <t>Chủ nhiệm dự án</t>
  </si>
  <si>
    <t>Thư ký dự án</t>
  </si>
  <si>
    <t>A</t>
  </si>
  <si>
    <t>Đài Ra đa VRS-MRS</t>
  </si>
  <si>
    <t>Phát triển phần mềm</t>
  </si>
  <si>
    <t>B</t>
  </si>
  <si>
    <t>Bộ ZIP cho đài Ra đa VRS-MRS</t>
  </si>
  <si>
    <t>…</t>
  </si>
  <si>
    <t>CHỌN NGUỒN (SXKD/Bán hàng/Bảo hành/Đầu tư phát triển)</t>
  </si>
  <si>
    <t>Mã nhiệm vụ:</t>
  </si>
  <si>
    <t>Sản phẩm</t>
  </si>
  <si>
    <t>Chi phí nhân công được phê duyệt</t>
  </si>
  <si>
    <t>Chi phí nhân công được phê duyệt:</t>
  </si>
  <si>
    <t>Tổng dự toán được phê duyệt:</t>
  </si>
  <si>
    <t>Đơn vị chủ trì:</t>
  </si>
  <si>
    <t>Chủ nhiệm đề tài/dự án:</t>
  </si>
  <si>
    <t>Trợ lý đề tài/Dự án:</t>
  </si>
  <si>
    <t>Phân loại:</t>
  </si>
  <si>
    <t>Đề tài KHCN/Phương án kinh doanh/Dự án ĐTPT/Nhiệm vụ QPAN</t>
  </si>
  <si>
    <t>VNĐ</t>
  </si>
  <si>
    <t>SXKD</t>
  </si>
  <si>
    <t>Bán hàng</t>
  </si>
  <si>
    <t>Bảo hành</t>
  </si>
  <si>
    <t>Thời gian bắt đầu</t>
  </si>
  <si>
    <t>Thời gian bắt đầu:</t>
  </si>
  <si>
    <t>Thời gian kết thúc:</t>
  </si>
  <si>
    <t>Nội dung CV 1</t>
  </si>
  <si>
    <t>Nội dung CV 2</t>
  </si>
  <si>
    <t>Nội dung CV 3</t>
  </si>
  <si>
    <t>Nội dung CV 4</t>
  </si>
  <si>
    <t>Nội dung CV 5</t>
  </si>
  <si>
    <t>Chi phí nhân công đã phân bổ đến tháng N-1</t>
  </si>
  <si>
    <t>Chi phí nhân công còn lại</t>
  </si>
  <si>
    <t>Dự phòng</t>
  </si>
  <si>
    <t>Phân nguồn</t>
  </si>
  <si>
    <t>Khối 1</t>
  </si>
  <si>
    <t>Khối 2</t>
  </si>
  <si>
    <t>Khối 3</t>
  </si>
  <si>
    <t>Trung tâm Kinh doanh</t>
  </si>
  <si>
    <t>Trung tâm QLCL</t>
  </si>
  <si>
    <t>Ban Giám đốc Khối</t>
  </si>
  <si>
    <t>Phòng Kinh doanh</t>
  </si>
  <si>
    <t>Phòng Kiểu dáng và đồ họa</t>
  </si>
  <si>
    <t>Phòng Tổng hợp</t>
  </si>
  <si>
    <t>Trung tâm Chỉ huy điều khiển</t>
  </si>
  <si>
    <t>Trung tâm Công nghệ Cơ khí - Tự động hóa</t>
  </si>
  <si>
    <t>Trung tâm Đảm bảo chất lượng</t>
  </si>
  <si>
    <t>Trung tâm dịch vụ sau bán hàng</t>
  </si>
  <si>
    <t>Trung tâm Khí cụ bay</t>
  </si>
  <si>
    <t>Trung tâm Mô hình mô phỏng</t>
  </si>
  <si>
    <t>Trung tâm Nghiên cứu giải pháp tích hợp công nghệ cao</t>
  </si>
  <si>
    <t>Trung tâm Quang điện tử</t>
  </si>
  <si>
    <t>Trung tâm Rada</t>
  </si>
  <si>
    <t>Trung tâm sản xuất</t>
  </si>
  <si>
    <t>Trung tâm Tác chiến điện tử</t>
  </si>
  <si>
    <t>Trung tâm Thông tin Quân sự</t>
  </si>
  <si>
    <t>Phòng Quản lý sản xuất</t>
  </si>
  <si>
    <t>Trung tâm Kỹ thuật công nghệ - TCT CNC</t>
  </si>
  <si>
    <t>Trung tâm Nghiên cứu Công nghệ chuyển mạch</t>
  </si>
  <si>
    <t>Trung tâm Nghiên cứu công nghệ Đa phương tiện</t>
  </si>
  <si>
    <t>Trung tâm Nghiên cứu Công nghệ truyền dẫn</t>
  </si>
  <si>
    <t>Trung tâm Nghiên cứu thiết bị vô tuyến băng rộng</t>
  </si>
  <si>
    <t>Trung tâm Phát triển nền tảng thanh toán</t>
  </si>
  <si>
    <t>Phòng Quản lý chất lượng</t>
  </si>
  <si>
    <t>Trung tâm Camera</t>
  </si>
  <si>
    <t>Trung tâm Nền tảng IOT</t>
  </si>
  <si>
    <t>Khối 1 - TCT CNC</t>
  </si>
  <si>
    <t>Khối 2 - TCT CNC</t>
  </si>
  <si>
    <t>Khối 3 - TCT CNC</t>
  </si>
  <si>
    <t>Trung tâm Kinh doanh - TCT CNC</t>
  </si>
  <si>
    <t>Trung tâm QLCL - TCT CNC</t>
  </si>
  <si>
    <t>+ TẠO MỚI</t>
  </si>
  <si>
    <t>Nội dung công việc tham gia nhiệm vụ</t>
  </si>
  <si>
    <t>chọn theo Tháng/Năm</t>
  </si>
  <si>
    <t>Chấm công</t>
  </si>
  <si>
    <t>T2</t>
  </si>
  <si>
    <t>T3</t>
  </si>
  <si>
    <t>T4</t>
  </si>
  <si>
    <t>T7</t>
  </si>
  <si>
    <t>CN</t>
  </si>
  <si>
    <t>Kỹ sư phát triển phần mềm</t>
  </si>
  <si>
    <t>Kỹ sư Kiểm thử</t>
  </si>
  <si>
    <t>+ THÊM MỚI</t>
  </si>
  <si>
    <t>Muốn thêm mới thì gõ mã NV  =&gt; tự động hiện ra tên/chức danh</t>
  </si>
  <si>
    <t>Khi chọn tháng mới thì Tự động hiện DS nhân sự gợi ý như tháng gần nhất</t>
  </si>
  <si>
    <t>+ XOÁ</t>
  </si>
  <si>
    <t>Tạm tính lương 6 tháng</t>
  </si>
  <si>
    <t>phần mềm tính theo bảng lương import</t>
  </si>
  <si>
    <t>Thêm mới</t>
  </si>
  <si>
    <t>Xoá</t>
  </si>
  <si>
    <t>Sửa</t>
  </si>
  <si>
    <t>PM</t>
  </si>
  <si>
    <t>HR</t>
  </si>
  <si>
    <t>Phân quyền:</t>
  </si>
  <si>
    <t>x</t>
  </si>
  <si>
    <t>PA ĐV chủ trì</t>
  </si>
  <si>
    <t>PA ĐV khác</t>
  </si>
  <si>
    <t>SUBMIT</t>
  </si>
  <si>
    <t>PA/PM chủ trì xác nhận</t>
  </si>
  <si>
    <t>Submit</t>
  </si>
  <si>
    <t>Nhiệm vụ sắp hết nguồn</t>
  </si>
  <si>
    <t>Tỷ lệ PBNC của đơn vị hàng tháng</t>
  </si>
  <si>
    <t>BGĐ Khối</t>
  </si>
  <si>
    <t>Tỷ lệ PBNC của Khối hàng quý</t>
  </si>
  <si>
    <t>GĐTT</t>
  </si>
  <si>
    <t>PA/PM</t>
  </si>
  <si>
    <t>Nhiệm vụ của ĐV Chủ trì</t>
  </si>
  <si>
    <t>Nguồn đã được lập dự toán</t>
  </si>
  <si>
    <t>Nguồn còn lại</t>
  </si>
  <si>
    <t>Nguồn đã phân bổ</t>
  </si>
  <si>
    <t>Hàng quý</t>
  </si>
  <si>
    <t>Hàng tháng</t>
  </si>
  <si>
    <t>CÁC TABS Ở CỘT TRÁI</t>
  </si>
  <si>
    <r>
      <t xml:space="preserve">NỘI DUNG FIX TRÊN MÀN HÌNH: </t>
    </r>
    <r>
      <rPr>
        <sz val="10"/>
        <color rgb="FF000000"/>
        <rFont val="Calibri"/>
        <family val="2"/>
        <scheme val="minor"/>
      </rPr>
      <t>ĐƠN VỊ - KHỐI</t>
    </r>
  </si>
  <si>
    <t>+ IMPORT</t>
  </si>
  <si>
    <t>THÔNG TIN CÔNG THÁNG…</t>
  </si>
  <si>
    <t>…%</t>
  </si>
  <si>
    <t>Mặc định để tháng hiện tại cần phân bổ, các tháng trước hiện thông tin đã duyệt</t>
  </si>
  <si>
    <t>BẢNG CHẤM CÔNG (KHCN)</t>
  </si>
  <si>
    <t>BẢNG CHẤM CÔNG (PAKD)</t>
  </si>
  <si>
    <t>BẢNG CHẤM CÔNG (ĐTPT/QPAN)</t>
  </si>
  <si>
    <t>Triệu đồng</t>
  </si>
  <si>
    <t>ĐVT:</t>
  </si>
  <si>
    <t>Tổng</t>
  </si>
  <si>
    <t>Tỷ lệ PBNC của đơn vị trong năm</t>
  </si>
  <si>
    <t>Nếu &lt;70% có nội dung cảnh báo trong mail</t>
  </si>
  <si>
    <t>Theo dõi nguồn CPNC của các nhiệm vụ</t>
  </si>
  <si>
    <t>KHCN</t>
  </si>
  <si>
    <t>ĐTPT</t>
  </si>
  <si>
    <t>Tạm tính lương năm</t>
  </si>
  <si>
    <r>
      <t xml:space="preserve">NỘI DUNG FIX TRÊN MÀN HÌNH: </t>
    </r>
    <r>
      <rPr>
        <sz val="10"/>
        <color rgb="FF000000"/>
        <rFont val="Calibri"/>
        <family val="2"/>
        <scheme val="minor"/>
      </rPr>
      <t>ĐƠN VỊ…</t>
    </r>
  </si>
  <si>
    <t>Hiện toàn bộ DS nhân sự của Đơn vị phân bổ (Đơn vị cấp 5)</t>
  </si>
  <si>
    <t xml:space="preserve">Chọn Thời gian: </t>
  </si>
  <si>
    <t>Tháng/Năm</t>
  </si>
  <si>
    <t>Tỷ lệ Chi phí nhân công đã phân bổ của Đơn vị cấp 5 theo tháng đã chọn</t>
  </si>
  <si>
    <t>Dự án A</t>
  </si>
  <si>
    <t>Dự án B</t>
  </si>
  <si>
    <t>Đề tài C</t>
  </si>
  <si>
    <t>Đề tài B</t>
  </si>
  <si>
    <t>Chú thích màu theo các nhiệm vụ:</t>
  </si>
  <si>
    <t>1. Danh sách nhân sự</t>
  </si>
  <si>
    <t>2. Chấm công</t>
  </si>
  <si>
    <t>3. Báo cáo</t>
  </si>
  <si>
    <r>
      <t>TAB 2</t>
    </r>
    <r>
      <rPr>
        <b/>
        <sz val="12"/>
        <color theme="0"/>
        <rFont val="Calibri"/>
        <family val="2"/>
        <scheme val="minor"/>
      </rPr>
      <t>: CHẤM CÔNG</t>
    </r>
  </si>
  <si>
    <t>T7/CN/Nghỉ phép</t>
  </si>
  <si>
    <t>+ SỬA</t>
  </si>
  <si>
    <t>TÊN NHIỆM VỤ</t>
  </si>
  <si>
    <t>Gõ tên nhiệm vụ/Mã nhiệm vụ để ra nhiệm vụ đã có thông tin, nếu chưa có thông tin thì ấn nút tạo mới/import</t>
  </si>
  <si>
    <t>&gt;&gt; NẾU MỤC 5 CHỌN ĐỀ TÀI KHCN, GIAO DIỆN HIỂN THỊ NHƯ SAU:</t>
  </si>
  <si>
    <t>&gt;&gt; NẾU MỤC 5 CHỌN "PAKD", GIAO DIỆN HIỂN THỊ NHƯ SAU:</t>
  </si>
  <si>
    <t>&gt;&gt; NẾU MỤC 5 CHỌN CÁC PHÂN LOẠI CÒN LẠI, GIAO DIỆN HIỂN THỊ NHƯ SAU:</t>
  </si>
  <si>
    <t>Thời gian:</t>
  </si>
  <si>
    <t>CPNC tạm tính:</t>
  </si>
  <si>
    <t xml:space="preserve">Chọn theo DS nhiệm vụ đc phê duyệt </t>
  </si>
  <si>
    <t>XUẤT BẢNG CÔNG excel</t>
  </si>
  <si>
    <t>Xuất DS Nhân sự excel</t>
  </si>
  <si>
    <t>XUẤT BẢNG LƯƠNG  excel</t>
  </si>
  <si>
    <t>BM 1</t>
  </si>
  <si>
    <t>BM 2.1</t>
  </si>
  <si>
    <t>BM.04.01</t>
  </si>
  <si>
    <t>BẢNG CHI TIẾT PHÂN BỔ CHI PHÍ NHÂN CÔNG NỘI BỘ - Tháng 04/2025</t>
  </si>
  <si>
    <t xml:space="preserve">Tên nhiệm vụ KHCN: </t>
  </si>
  <si>
    <t>MNV</t>
  </si>
  <si>
    <t>Giá trị dự toán phê duyệt</t>
  </si>
  <si>
    <t>Số tháng dự toán phê duyệt</t>
  </si>
  <si>
    <t>CĂN CỨ PHÂN BỔ</t>
  </si>
  <si>
    <t>SỐ PHÂN BỔ</t>
  </si>
  <si>
    <t>Tổng thời gian tham gia trong tháng (man-month)</t>
  </si>
  <si>
    <t>Lũy kế chi phí nhân công đến hết tháng hiện tại</t>
  </si>
  <si>
    <t>Lũy kế thời gian nhân công thực hiện đến hết tháng hiện tại</t>
  </si>
  <si>
    <t>Thông tin công</t>
  </si>
  <si>
    <t>Lương tháng</t>
  </si>
  <si>
    <t>Các khoản trích theo lương</t>
  </si>
  <si>
    <t>Các khoản hỗ trợ (ăn ca, điện thoại..)</t>
  </si>
  <si>
    <t>Thời gian tham gia trong tháng</t>
  </si>
  <si>
    <t>TỔNG</t>
  </si>
  <si>
    <t>BHXH</t>
  </si>
  <si>
    <t>BHYT</t>
  </si>
  <si>
    <t>BHTN</t>
  </si>
  <si>
    <t>KPCĐ</t>
  </si>
  <si>
    <t>Công chế độ</t>
  </si>
  <si>
    <t>Công tính lương</t>
  </si>
  <si>
    <t>I. Nhân công trực tiếp</t>
  </si>
  <si>
    <t>II. Nhân công gián tiếp</t>
  </si>
  <si>
    <t>Báo cáo tình hình thực hiện nhân công dự toán nhiệm vụ:</t>
  </si>
  <si>
    <t xml:space="preserve"> Tổng chi phí nhân công theo dự toán và Chi phí quản lý nhiệm vụ KHCN được sử dụng: </t>
  </si>
  <si>
    <t xml:space="preserve"> Chi phí nhân công đã phân bổ lũy kế đến tháng hiện tại: </t>
  </si>
  <si>
    <t>C</t>
  </si>
  <si>
    <t xml:space="preserve"> Chi phí nhân công phân bổ tháng</t>
  </si>
  <si>
    <t>04/2025:</t>
  </si>
  <si>
    <t>D</t>
  </si>
  <si>
    <t xml:space="preserve"> Chi phí nhân công đã phân bổ lũy kế đến hết tháng hiện tại: </t>
  </si>
  <si>
    <t>E</t>
  </si>
  <si>
    <t xml:space="preserve"> Chi phí nhân công còn được phân bổ tính hết</t>
  </si>
  <si>
    <r>
      <rPr>
        <i/>
        <u/>
        <sz val="12"/>
        <color theme="1"/>
        <rFont val="Times New Roman"/>
        <family val="1"/>
      </rPr>
      <t>Lưu ý</t>
    </r>
    <r>
      <rPr>
        <i/>
        <sz val="12"/>
        <color theme="1"/>
        <rFont val="Times New Roman"/>
        <family val="1"/>
      </rPr>
      <t>:</t>
    </r>
    <r>
      <rPr>
        <sz val="12"/>
        <color theme="1"/>
        <rFont val="Times New Roman"/>
        <family val="1"/>
      </rPr>
      <t xml:space="preserve"> </t>
    </r>
    <r>
      <rPr>
        <i/>
        <sz val="12"/>
        <color theme="1"/>
        <rFont val="Times New Roman"/>
        <family val="1"/>
      </rPr>
      <t>Khi tổng chi phí nhân công có khả năng/đã vượt dự toán, cơ quan Tổ chức lao động có trách nhiệm thông báo chủ nhiệm đề tài/dự án báo cáo xin bổ sung kinh phí</t>
    </r>
  </si>
  <si>
    <t>BM 3.1</t>
  </si>
  <si>
    <t>Quản lý đề tài</t>
  </si>
  <si>
    <t>176856</t>
  </si>
  <si>
    <t>Nguyễn Đức Thành</t>
  </si>
  <si>
    <t/>
  </si>
  <si>
    <t>185613</t>
  </si>
  <si>
    <t>Nguyễn Thị Phương Anh</t>
  </si>
  <si>
    <t>135608</t>
  </si>
  <si>
    <t>Nguyễn Hải Dương</t>
  </si>
  <si>
    <t>Quản lý đề tài Total</t>
  </si>
  <si>
    <t>Phát triển ứng dụng dẫn xuất và triển khai thử nghiệm</t>
  </si>
  <si>
    <t>064461</t>
  </si>
  <si>
    <t>Lương Nhật Quang</t>
  </si>
  <si>
    <t>431577</t>
  </si>
  <si>
    <t>Nguyễn Thị Thúy Hân</t>
  </si>
  <si>
    <t>448577</t>
  </si>
  <si>
    <t>Ninh Thị Lan</t>
  </si>
  <si>
    <t>Phát triển ứng dụng dẫn xuất và triển khai thử nghiệm Total</t>
  </si>
  <si>
    <t>Nghiên cứu, phát triển công nghệ bản đồ không gian và định vị trực quan</t>
  </si>
  <si>
    <t>233755</t>
  </si>
  <si>
    <t>Hoàng Kim Đức</t>
  </si>
  <si>
    <t>235301</t>
  </si>
  <si>
    <t>Trần Đức Long</t>
  </si>
  <si>
    <t>434893</t>
  </si>
  <si>
    <t>Lê Nhật Minh</t>
  </si>
  <si>
    <t>434894</t>
  </si>
  <si>
    <t>Nguyễn Hoàng Vũ</t>
  </si>
  <si>
    <t>439032</t>
  </si>
  <si>
    <t>Phạm Quang Tiến</t>
  </si>
  <si>
    <t>440651</t>
  </si>
  <si>
    <t>Nguyễn Viết Nam</t>
  </si>
  <si>
    <t>454895</t>
  </si>
  <si>
    <t>Đào Quang Nhật</t>
  </si>
  <si>
    <t>Nghiên cứu, phát triển công nghệ bản đồ không gian và định vị trực quan Total</t>
  </si>
  <si>
    <t>Phát triển công cụ tạo nội dung, và SDK cho các nền tảng</t>
  </si>
  <si>
    <t>266848</t>
  </si>
  <si>
    <t>Ngô Hải Linh</t>
  </si>
  <si>
    <t>284966</t>
  </si>
  <si>
    <t>Đặng Thị Phương Thảo</t>
  </si>
  <si>
    <t>428553</t>
  </si>
  <si>
    <t>Nguyễn Hồng Hải</t>
  </si>
  <si>
    <t>441033</t>
  </si>
  <si>
    <t>Nguyễn Thị Thu Huệ</t>
  </si>
  <si>
    <t>Phát triển công cụ tạo nội dung, và SDK cho các nền tảng Total</t>
  </si>
  <si>
    <t>Phát triển cloud service AR và các công cụ quản trị, giám sát</t>
  </si>
  <si>
    <t>452783</t>
  </si>
  <si>
    <t>Phùng Hải Nguyên</t>
  </si>
  <si>
    <t>Phát triển cloud service AR và các công cụ quản trị, giám sát Total</t>
  </si>
  <si>
    <t>TẬP ĐOÀN CÔNG NGHIỆP - VIỄN THÔNG QUÂN ĐỘI</t>
  </si>
  <si>
    <t>CỘNG HOÀ XÃ HỘI CHỦ NGHĨA VIỆT NAM</t>
  </si>
  <si>
    <r>
      <t>TỔNG CÔNG</t>
    </r>
    <r>
      <rPr>
        <b/>
        <u/>
        <sz val="12"/>
        <rFont val="Times New Roman"/>
        <family val="1"/>
      </rPr>
      <t xml:space="preserve"> TY CÔNG NGHIỆP CÔNG NGHỆ CAO</t>
    </r>
    <r>
      <rPr>
        <b/>
        <sz val="12"/>
        <rFont val="Times New Roman"/>
        <family val="1"/>
      </rPr>
      <t xml:space="preserve"> VIETTEL</t>
    </r>
  </si>
  <si>
    <t>AG</t>
  </si>
  <si>
    <t>AK</t>
  </si>
  <si>
    <t>AL</t>
  </si>
  <si>
    <t>AM</t>
  </si>
  <si>
    <t>AN</t>
  </si>
  <si>
    <t>AO</t>
  </si>
  <si>
    <t>AQ</t>
  </si>
  <si>
    <t>Stt</t>
  </si>
  <si>
    <t>Đối tượng</t>
  </si>
  <si>
    <t>Lương tháng (trừ làm thêm, lương phép)</t>
  </si>
  <si>
    <t>Lương tháng (trừ BH cá nhân)</t>
  </si>
  <si>
    <t>Truy thu/truy lĩnh (lương tháng lần 2)</t>
  </si>
  <si>
    <t>Lương SXKD (nếu có)</t>
  </si>
  <si>
    <t>Lương thử việc, tập nghề</t>
  </si>
  <si>
    <t>Lương kinh doanh thử việc, tập nghề</t>
  </si>
  <si>
    <t>Bảo hiểm, KPCĐ</t>
  </si>
  <si>
    <t>Các khoản ăn ca, điện thoại, chi phí, phụ cấp</t>
  </si>
  <si>
    <t xml:space="preserve">  </t>
  </si>
  <si>
    <t>Đơn vị</t>
  </si>
  <si>
    <t>Đơn vị cấp 5</t>
  </si>
  <si>
    <t>Đơn vị cấp 4</t>
  </si>
  <si>
    <t>GT/TT</t>
  </si>
  <si>
    <t>Công tiêu chuẩn</t>
  </si>
  <si>
    <t>Cá nhân</t>
  </si>
  <si>
    <t>HỌ VÀ TÊN</t>
  </si>
  <si>
    <t>CỘNG</t>
  </si>
  <si>
    <t>Khối/Phòng ban</t>
  </si>
  <si>
    <t>000375</t>
  </si>
  <si>
    <t>Nguyễn Ngọc Hà</t>
  </si>
  <si>
    <t>QNCN</t>
  </si>
  <si>
    <t>001615</t>
  </si>
  <si>
    <t>Đỗ Đức Ánh</t>
  </si>
  <si>
    <t>VCQP</t>
  </si>
  <si>
    <t>001618</t>
  </si>
  <si>
    <t>Nguyễn Thị Hiên</t>
  </si>
  <si>
    <t>002127</t>
  </si>
  <si>
    <t>Đỗ Thu Hằng</t>
  </si>
  <si>
    <t>003738</t>
  </si>
  <si>
    <t>Nguyễn Thế Anh</t>
  </si>
  <si>
    <t>HDDH</t>
  </si>
  <si>
    <t>003965</t>
  </si>
  <si>
    <t>Trần Trung Trực</t>
  </si>
  <si>
    <t>SQ</t>
  </si>
  <si>
    <t>003966</t>
  </si>
  <si>
    <t>Nguyễn Gia Vinh</t>
  </si>
  <si>
    <t>003990</t>
  </si>
  <si>
    <t>Vũ Ngọc Vinh</t>
  </si>
  <si>
    <t>003994</t>
  </si>
  <si>
    <t>Đinh Ngọc Kỳ Sơn</t>
  </si>
  <si>
    <t>004011</t>
  </si>
  <si>
    <t>Phan Thanh Trung</t>
  </si>
  <si>
    <t>004012</t>
  </si>
  <si>
    <t>Tống Thanh Sơn</t>
  </si>
  <si>
    <t>004032</t>
  </si>
  <si>
    <t>Nguyễn Đức Nam</t>
  </si>
  <si>
    <t>004040</t>
  </si>
  <si>
    <t>Vũ Thị Dương Hùng Hoàn</t>
  </si>
  <si>
    <t>004041</t>
  </si>
  <si>
    <t>Trần Danh Sỹ</t>
  </si>
  <si>
    <t>004110</t>
  </si>
  <si>
    <t>Phùng Hải Nam</t>
  </si>
  <si>
    <t>005583</t>
  </si>
  <si>
    <t>Trần Công Minh</t>
  </si>
  <si>
    <t>006109</t>
  </si>
  <si>
    <t>Lê Việt Hùng</t>
  </si>
  <si>
    <t>006675</t>
  </si>
  <si>
    <t>Nguyễn Tuấn Thịnh</t>
  </si>
  <si>
    <t>007265</t>
  </si>
  <si>
    <t>Đặng Đình Hiện</t>
  </si>
  <si>
    <t>007554</t>
  </si>
  <si>
    <t>Nguyễn Mạnh Tuyến</t>
  </si>
  <si>
    <t>007589</t>
  </si>
  <si>
    <t>Phạm Minh Nghĩa</t>
  </si>
  <si>
    <t>007617</t>
  </si>
  <si>
    <t>Nguyễn Hữu Mạnh</t>
  </si>
  <si>
    <t>007656</t>
  </si>
  <si>
    <t>Nguyễn Viết Giỏi</t>
  </si>
  <si>
    <t>008023</t>
  </si>
  <si>
    <t>Nguyễn Hồng Khánh</t>
  </si>
  <si>
    <t>008098</t>
  </si>
  <si>
    <t>Đặng Văn Hào</t>
  </si>
  <si>
    <t>008189</t>
  </si>
  <si>
    <t>Trần Thị Phương Lan</t>
  </si>
  <si>
    <t>008568</t>
  </si>
  <si>
    <t>Cao Xuân Thu</t>
  </si>
  <si>
    <t>008594</t>
  </si>
  <si>
    <t>Đỗ Hùng Cường</t>
  </si>
  <si>
    <t>008670</t>
  </si>
  <si>
    <t>Nông Hoài Lâm</t>
  </si>
  <si>
    <t>008828</t>
  </si>
  <si>
    <t>Bùi Xuân Anh</t>
  </si>
  <si>
    <t>009028</t>
  </si>
  <si>
    <t>Nguyễn Văn Tứ</t>
  </si>
  <si>
    <t>009646</t>
  </si>
  <si>
    <t>Phạm Duy Lập</t>
  </si>
  <si>
    <t>009870</t>
  </si>
  <si>
    <t>Nguyễn Thị Thanh Thủy</t>
  </si>
  <si>
    <t>009892</t>
  </si>
  <si>
    <t>Đinh Thị Hoan</t>
  </si>
  <si>
    <t>010099</t>
  </si>
  <si>
    <t>Tô Lan Phương</t>
  </si>
  <si>
    <t>011034</t>
  </si>
  <si>
    <t>Nguyễn Thị Luyện</t>
  </si>
  <si>
    <t>011220</t>
  </si>
  <si>
    <t>Phan Viết Thời</t>
  </si>
  <si>
    <t>011238</t>
  </si>
  <si>
    <t>Lê Thúy Mai</t>
  </si>
  <si>
    <t>011350</t>
  </si>
  <si>
    <t>Nguyễn Hoàng Long</t>
  </si>
  <si>
    <t>012486</t>
  </si>
  <si>
    <t>Đoàn Hữu Đồng</t>
  </si>
  <si>
    <t>012721</t>
  </si>
  <si>
    <t>Hồ Trọng Hiếu</t>
  </si>
  <si>
    <t>013943</t>
  </si>
  <si>
    <t>Phạm Thế Anh</t>
  </si>
  <si>
    <t>014553</t>
  </si>
  <si>
    <t>Hà Minh Đức</t>
  </si>
  <si>
    <t>014913</t>
  </si>
  <si>
    <t>Trần Thị Hồng Nhung</t>
  </si>
  <si>
    <t>015237</t>
  </si>
  <si>
    <t>Nguyễn Trần Huy Toàn</t>
  </si>
  <si>
    <t>015413</t>
  </si>
  <si>
    <t>Tạ Diệu Thúy</t>
  </si>
  <si>
    <t>016049</t>
  </si>
  <si>
    <t>Lê Thị Út Lan</t>
  </si>
  <si>
    <t>016474</t>
  </si>
  <si>
    <t>Mai Gia Hà</t>
  </si>
  <si>
    <t>017247</t>
  </si>
  <si>
    <t>Cao Thị Lệ Thúy</t>
  </si>
  <si>
    <t>018257</t>
  </si>
  <si>
    <t>Nguyễn Thị Thu Hiền</t>
  </si>
  <si>
    <t>019658</t>
  </si>
  <si>
    <t>Lê Trường Giang</t>
  </si>
  <si>
    <t>019662</t>
  </si>
  <si>
    <t>Nguyễn Đức Tuyền</t>
  </si>
  <si>
    <t>022294</t>
  </si>
  <si>
    <t>Đỗ Thị Bích Huệ</t>
  </si>
  <si>
    <t>026567</t>
  </si>
  <si>
    <t>Nông Thị Minh Hiến</t>
  </si>
  <si>
    <t>027117</t>
  </si>
  <si>
    <t>Phạm Hà Chung</t>
  </si>
  <si>
    <t>031526</t>
  </si>
  <si>
    <t>Nguyễn Thị Mai Thanh</t>
  </si>
  <si>
    <t>032489</t>
  </si>
  <si>
    <t>Phạm Hoàng Phương</t>
  </si>
  <si>
    <t>034375</t>
  </si>
  <si>
    <t>Nguyễn Tất Đạt</t>
  </si>
  <si>
    <t>037193</t>
  </si>
  <si>
    <t>Trần Thị Việt Nga</t>
  </si>
  <si>
    <t>042114</t>
  </si>
  <si>
    <t>Nguyễn Minh Quang</t>
  </si>
  <si>
    <t>042452</t>
  </si>
  <si>
    <t>Nguyễn Đình Lợi</t>
  </si>
  <si>
    <t>045090</t>
  </si>
  <si>
    <t>Nguyễn Văn Hải</t>
  </si>
  <si>
    <t>045097</t>
  </si>
  <si>
    <t>Hoàng Thị Nga</t>
  </si>
  <si>
    <t>045099</t>
  </si>
  <si>
    <t>Phan Ngọc Hoàn</t>
  </si>
  <si>
    <t>045111</t>
  </si>
  <si>
    <t>Phạm Xuân Hải</t>
  </si>
  <si>
    <t>045113</t>
  </si>
  <si>
    <t>Nguyễn Khắc Tháp</t>
  </si>
  <si>
    <t>045177</t>
  </si>
  <si>
    <t>Nguyễn Văn Tuân</t>
  </si>
  <si>
    <t>045191</t>
  </si>
  <si>
    <t>Đinh Viết Quân</t>
  </si>
  <si>
    <t>045593</t>
  </si>
  <si>
    <t>Lê Thị Thanh Nhàn</t>
  </si>
  <si>
    <t>046788</t>
  </si>
  <si>
    <t>Phạm Huy Tường</t>
  </si>
  <si>
    <t>047173</t>
  </si>
  <si>
    <t>Nguyễn Quang Dũng</t>
  </si>
  <si>
    <t>047483</t>
  </si>
  <si>
    <t>Võ Kim Chi</t>
  </si>
  <si>
    <t>047494</t>
  </si>
  <si>
    <t>Hà Mạnh Thắng</t>
  </si>
  <si>
    <t>047512</t>
  </si>
  <si>
    <t>Trần Nguyễn Dũng</t>
  </si>
  <si>
    <t>047735</t>
  </si>
  <si>
    <t>Trần Xuân Dũng</t>
  </si>
  <si>
    <t>050099</t>
  </si>
  <si>
    <t>Vũ Thị Thu Hiền</t>
  </si>
  <si>
    <t>051593</t>
  </si>
  <si>
    <t>Phan Thị Thanh Tâm</t>
  </si>
  <si>
    <t>053372</t>
  </si>
  <si>
    <t>Đỗ Lý Thanh Tùng</t>
  </si>
  <si>
    <t>053828</t>
  </si>
  <si>
    <t>Nguyễn Văn Trường</t>
  </si>
  <si>
    <t>055293</t>
  </si>
  <si>
    <t>Nguyễn Hữu Khang</t>
  </si>
  <si>
    <t>055313</t>
  </si>
  <si>
    <t>Phạm Văn Tính</t>
  </si>
  <si>
    <t>056683</t>
  </si>
  <si>
    <t>Nguyễn Thị Phương Thảo</t>
  </si>
  <si>
    <t>056921</t>
  </si>
  <si>
    <t>Ngô Quang Huy</t>
  </si>
  <si>
    <t>056933</t>
  </si>
  <si>
    <t>Vũ Việt Tiến</t>
  </si>
  <si>
    <t>056934</t>
  </si>
  <si>
    <t>Lê Anh Quân</t>
  </si>
  <si>
    <t>056954</t>
  </si>
  <si>
    <t>Nguyễn Mạnh Hùng</t>
  </si>
  <si>
    <t>056955</t>
  </si>
  <si>
    <t>Lê Thị Hải Yến</t>
  </si>
  <si>
    <t>056957</t>
  </si>
  <si>
    <t>Hoàng Thị Kim Thoa</t>
  </si>
  <si>
    <t>056995</t>
  </si>
  <si>
    <t>Nguyễn Bá Lượng</t>
  </si>
  <si>
    <t>057189</t>
  </si>
  <si>
    <t>Trịnh Thị Ngọc Hà</t>
  </si>
  <si>
    <t>057428</t>
  </si>
  <si>
    <t>Nguyễn Văn Khuyến</t>
  </si>
  <si>
    <t>058224</t>
  </si>
  <si>
    <t>Nguyễn Dương Duy</t>
  </si>
  <si>
    <t>058347</t>
  </si>
  <si>
    <t>Nguyễn Hữu Huy</t>
  </si>
  <si>
    <t>058985</t>
  </si>
  <si>
    <t>Lê Triều Dương</t>
  </si>
  <si>
    <t>059034</t>
  </si>
  <si>
    <t>Nguyễn Mạnh Linh</t>
  </si>
  <si>
    <t>059037</t>
  </si>
  <si>
    <t>Văn Tuấn Cường</t>
  </si>
  <si>
    <t>059084</t>
  </si>
  <si>
    <t>Mai Đức Hoàng</t>
  </si>
  <si>
    <t>059526</t>
  </si>
  <si>
    <t>Trần Vũ Hợp</t>
  </si>
  <si>
    <t>059527</t>
  </si>
  <si>
    <t>Phạm Đình Hưng</t>
  </si>
  <si>
    <t>059666</t>
  </si>
  <si>
    <t>Lê Thị Cẩm Bình</t>
  </si>
  <si>
    <t>059667</t>
  </si>
  <si>
    <t>Vũ Tú Quỳnh</t>
  </si>
  <si>
    <t>059868</t>
  </si>
  <si>
    <t>Lê Thị Hằng</t>
  </si>
  <si>
    <t>059925</t>
  </si>
  <si>
    <t>Phi Thu Trang</t>
  </si>
  <si>
    <t>060605</t>
  </si>
  <si>
    <t>Nguyễn Mạnh Trường</t>
  </si>
  <si>
    <t>061204</t>
  </si>
  <si>
    <t>Hà Ngọc Tú</t>
  </si>
  <si>
    <t>062184</t>
  </si>
  <si>
    <t>Phạm Văn Chung</t>
  </si>
  <si>
    <t>063766</t>
  </si>
  <si>
    <t>Nguyễn Vũ Hà</t>
  </si>
  <si>
    <t>063770</t>
  </si>
  <si>
    <t>Trương Thị Thùy Dung</t>
  </si>
  <si>
    <t>063773</t>
  </si>
  <si>
    <t>Phạm Phương Chi</t>
  </si>
  <si>
    <t>064531</t>
  </si>
  <si>
    <t>Nguyễn Thị Thu Huyền</t>
  </si>
  <si>
    <t>065452</t>
  </si>
  <si>
    <t>Nguyễn Tiến Uy</t>
  </si>
  <si>
    <t>065496</t>
  </si>
  <si>
    <t>Dương Tuấn Thanh</t>
  </si>
  <si>
    <t>065624</t>
  </si>
  <si>
    <t>Nguyễn Thị Nga</t>
  </si>
  <si>
    <t>066212</t>
  </si>
  <si>
    <t>Ngô Văn Duy</t>
  </si>
  <si>
    <t>066587</t>
  </si>
  <si>
    <t>Nguyễn Thị Thu Dung</t>
  </si>
  <si>
    <t>066815</t>
  </si>
  <si>
    <t>Nguyễn Hoài Hà</t>
  </si>
  <si>
    <t>067078</t>
  </si>
  <si>
    <t>Nguyễn Văn Quang</t>
  </si>
  <si>
    <t>067630</t>
  </si>
  <si>
    <t>Nguyễn Văn Hùng</t>
  </si>
  <si>
    <t>068094</t>
  </si>
  <si>
    <t>Bùi Văn Vựng</t>
  </si>
  <si>
    <t>070324</t>
  </si>
  <si>
    <t>Nguyễn Đức Huy</t>
  </si>
  <si>
    <t>070549</t>
  </si>
  <si>
    <t>Nguyễn Trung Dũng</t>
  </si>
  <si>
    <t>070824</t>
  </si>
  <si>
    <t>Nguyễn Phụ Mạnh</t>
  </si>
  <si>
    <t>070872</t>
  </si>
  <si>
    <t>Đỗ Kiều Minh</t>
  </si>
  <si>
    <t>071735</t>
  </si>
  <si>
    <t>Trần Văn Khiêm</t>
  </si>
  <si>
    <t>071779</t>
  </si>
  <si>
    <t>Hà Ngọc Đông</t>
  </si>
  <si>
    <t>071839</t>
  </si>
  <si>
    <t>Chu Thái Bảo</t>
  </si>
  <si>
    <t>071850</t>
  </si>
  <si>
    <t>Vũ Trường Long</t>
  </si>
  <si>
    <t>071862</t>
  </si>
  <si>
    <t>Trần Anh Đức</t>
  </si>
  <si>
    <t>071897</t>
  </si>
  <si>
    <t>Nguyễn Anh Tuấn</t>
  </si>
  <si>
    <t>071907</t>
  </si>
  <si>
    <t>Nguyễn Huy Hiếu</t>
  </si>
  <si>
    <t>072554</t>
  </si>
  <si>
    <t>Đào Trọng Nghĩa</t>
  </si>
  <si>
    <t>072555</t>
  </si>
  <si>
    <t>Lê Huy Hiếu</t>
  </si>
  <si>
    <t>072718</t>
  </si>
  <si>
    <t>Tạ Văn Luận</t>
  </si>
  <si>
    <t>074176</t>
  </si>
  <si>
    <t>Nguyễn Đình Thắng</t>
  </si>
  <si>
    <t>075875</t>
  </si>
  <si>
    <t>Nguyễn Minh Trí</t>
  </si>
  <si>
    <t>076402</t>
  </si>
  <si>
    <t>Trịnh Văn Hùng</t>
  </si>
  <si>
    <t>077152</t>
  </si>
  <si>
    <t>Trần Trọng Dũng</t>
  </si>
  <si>
    <t>077154</t>
  </si>
  <si>
    <t>Trần Công Tân</t>
  </si>
  <si>
    <t>077935</t>
  </si>
  <si>
    <t>Vũ Trường Giang</t>
  </si>
  <si>
    <t>078099</t>
  </si>
  <si>
    <t>Nguyễn Xuân Phương</t>
  </si>
  <si>
    <t>078195</t>
  </si>
  <si>
    <t>Lê Thu Hằng</t>
  </si>
  <si>
    <t>078672</t>
  </si>
  <si>
    <t>Bùi Ngọc Hoàng</t>
  </si>
  <si>
    <t>079564</t>
  </si>
  <si>
    <t>Mai Văn Sơn</t>
  </si>
  <si>
    <t>079711</t>
  </si>
  <si>
    <t>Đỗ Thị Ngọc Tuyền</t>
  </si>
  <si>
    <t>079720</t>
  </si>
  <si>
    <t>Nguyễn Minh Tùng</t>
  </si>
  <si>
    <t>080794</t>
  </si>
  <si>
    <t>Nguyễn Xuân Thắng</t>
  </si>
  <si>
    <t>081530</t>
  </si>
  <si>
    <t>Nguyễn Chí Linh</t>
  </si>
  <si>
    <t>083193</t>
  </si>
  <si>
    <t>Nguyễn Tiến Tài</t>
  </si>
  <si>
    <t>084276</t>
  </si>
  <si>
    <t>Đoàn Tất Lưu</t>
  </si>
  <si>
    <t>084439</t>
  </si>
  <si>
    <t>Phạm Hoài Nam</t>
  </si>
  <si>
    <t>084922</t>
  </si>
  <si>
    <t>Bùi Thị Khanh</t>
  </si>
  <si>
    <t>085438</t>
  </si>
  <si>
    <t>Võ Quốc Thành</t>
  </si>
  <si>
    <t>086369</t>
  </si>
  <si>
    <t>Đặng Thị Mai Hương</t>
  </si>
  <si>
    <t>086598</t>
  </si>
  <si>
    <t>Đinh Xuân Thứ</t>
  </si>
  <si>
    <t>086639</t>
  </si>
  <si>
    <t>Phan Văn Ước</t>
  </si>
  <si>
    <t>086857</t>
  </si>
  <si>
    <t>Vũ Thế Dũng</t>
  </si>
  <si>
    <t>087016</t>
  </si>
  <si>
    <t>Bùi Công Đoàn</t>
  </si>
  <si>
    <t>087196</t>
  </si>
  <si>
    <t>Nguyễn Hạnh Trang</t>
  </si>
  <si>
    <t>087198</t>
  </si>
  <si>
    <t>Hoàng Minh Châu</t>
  </si>
  <si>
    <t>087199</t>
  </si>
  <si>
    <t>Đặng Hữu Tùng</t>
  </si>
  <si>
    <t>087201</t>
  </si>
  <si>
    <t>Nguyễn Thái Bình</t>
  </si>
  <si>
    <t>087210</t>
  </si>
  <si>
    <t>Đào Vũ Kiên</t>
  </si>
  <si>
    <t>087233</t>
  </si>
  <si>
    <t>Dương Anh Trà</t>
  </si>
  <si>
    <t>087316</t>
  </si>
  <si>
    <t>Nguyễn Thị Thùy Linh</t>
  </si>
  <si>
    <t>087322</t>
  </si>
  <si>
    <t>087327</t>
  </si>
  <si>
    <t>Nguyễn Thanh Tâm</t>
  </si>
  <si>
    <t>087338</t>
  </si>
  <si>
    <t>Nguyễn Thị Thu Hương</t>
  </si>
  <si>
    <t>087345</t>
  </si>
  <si>
    <t>Nguyễn Thị Thúy Điệp</t>
  </si>
  <si>
    <t>088317</t>
  </si>
  <si>
    <t>Dương Thị Anh Thư</t>
  </si>
  <si>
    <t>088320</t>
  </si>
  <si>
    <t>Nguyễn Tiến Tùng</t>
  </si>
  <si>
    <t>089438</t>
  </si>
  <si>
    <t>Trần Huy Đạo</t>
  </si>
  <si>
    <t>090037</t>
  </si>
  <si>
    <t>Phạm Mạnh Tiến</t>
  </si>
  <si>
    <t>090177</t>
  </si>
  <si>
    <t>Đinh Việt Dũng</t>
  </si>
  <si>
    <t>091356</t>
  </si>
  <si>
    <t>Trần Đăng Tường</t>
  </si>
  <si>
    <t>091497</t>
  </si>
  <si>
    <t>Nguyễn Việt Cường</t>
  </si>
  <si>
    <t>091597</t>
  </si>
  <si>
    <t>Vũ Việt Hoàng</t>
  </si>
  <si>
    <t>092259</t>
  </si>
  <si>
    <t>Nguyễn Trần Nam</t>
  </si>
  <si>
    <t>092260</t>
  </si>
  <si>
    <t>Nguyễn Tử Minh Diện</t>
  </si>
  <si>
    <t>093576</t>
  </si>
  <si>
    <t>Nguyễn Doãn Hóa</t>
  </si>
  <si>
    <t>093857</t>
  </si>
  <si>
    <t>Vũ Huy Hùng</t>
  </si>
  <si>
    <t>094479</t>
  </si>
  <si>
    <t>Lê Thị Thanh</t>
  </si>
  <si>
    <t>095099</t>
  </si>
  <si>
    <t>Đặng Lưu Hạnh</t>
  </si>
  <si>
    <t>095676</t>
  </si>
  <si>
    <t>Vũ Tuấn Đức</t>
  </si>
  <si>
    <t>096596</t>
  </si>
  <si>
    <t>Lê Đăng Hiếu</t>
  </si>
  <si>
    <t>096877</t>
  </si>
  <si>
    <t>Nguyễn Thị Thu Thảo</t>
  </si>
  <si>
    <t>098288</t>
  </si>
  <si>
    <t>Lưu Thị Phương Thảo</t>
  </si>
  <si>
    <t>098698</t>
  </si>
  <si>
    <t>Nguyễn Hạc Tú</t>
  </si>
  <si>
    <t>099036</t>
  </si>
  <si>
    <t>Trần Hoàng Việt</t>
  </si>
  <si>
    <t>099456</t>
  </si>
  <si>
    <t>Phan Thanh Long</t>
  </si>
  <si>
    <t>100477</t>
  </si>
  <si>
    <t>Khương Văn Hữu</t>
  </si>
  <si>
    <t>102016</t>
  </si>
  <si>
    <t>Hoàng Trung Hiếu</t>
  </si>
  <si>
    <t>102022</t>
  </si>
  <si>
    <t>Trần Thu Phương</t>
  </si>
  <si>
    <t>102077</t>
  </si>
  <si>
    <t>Lê Văn Hiên</t>
  </si>
  <si>
    <t>103000</t>
  </si>
  <si>
    <t>Đinh Trung Dương</t>
  </si>
  <si>
    <t>103148</t>
  </si>
  <si>
    <t>103516</t>
  </si>
  <si>
    <t>Hoàng Thị Thanh Trà</t>
  </si>
  <si>
    <t>106416</t>
  </si>
  <si>
    <t>Lê Thị Phương Lan</t>
  </si>
  <si>
    <t>106926</t>
  </si>
  <si>
    <t>Nguyễn Phi Trương</t>
  </si>
  <si>
    <t>108440</t>
  </si>
  <si>
    <t>Lê Duy Tuấn</t>
  </si>
  <si>
    <t>108597</t>
  </si>
  <si>
    <t>Trần Thu Hiền</t>
  </si>
  <si>
    <t>108598</t>
  </si>
  <si>
    <t>Tống Thị Thùy Linh</t>
  </si>
  <si>
    <t>108961</t>
  </si>
  <si>
    <t>Kiều Văn Diễn</t>
  </si>
  <si>
    <t>109018</t>
  </si>
  <si>
    <t>Vũ Thị Thanh Hoa</t>
  </si>
  <si>
    <t>109398</t>
  </si>
  <si>
    <t>Nguyễn Anh Tú</t>
  </si>
  <si>
    <t>109958</t>
  </si>
  <si>
    <t>Hoàng Đinh Hải Truyền</t>
  </si>
  <si>
    <t>110139</t>
  </si>
  <si>
    <t>Vũ Minh Tuấn</t>
  </si>
  <si>
    <t>110558</t>
  </si>
  <si>
    <t>Nguyễn Tiến Hiến</t>
  </si>
  <si>
    <t>110838</t>
  </si>
  <si>
    <t>Nguyễn Thị Quỳnh Liên</t>
  </si>
  <si>
    <t>112687</t>
  </si>
  <si>
    <t>Lê Đức Khanh</t>
  </si>
  <si>
    <t>112898</t>
  </si>
  <si>
    <t>Trần Văn Hưởng</t>
  </si>
  <si>
    <t>113300</t>
  </si>
  <si>
    <t>114498</t>
  </si>
  <si>
    <t>Chu Bá Lâm</t>
  </si>
  <si>
    <t>116282</t>
  </si>
  <si>
    <t>Trần Bá Quỳnh</t>
  </si>
  <si>
    <t>116660</t>
  </si>
  <si>
    <t>Nguyễn Đức Hải</t>
  </si>
  <si>
    <t>116661</t>
  </si>
  <si>
    <t>Phạm Quang Điệp</t>
  </si>
  <si>
    <t>116662</t>
  </si>
  <si>
    <t>Trần Thị Vân Anh</t>
  </si>
  <si>
    <t>116874</t>
  </si>
  <si>
    <t>Cao Minh Thành</t>
  </si>
  <si>
    <t>118206</t>
  </si>
  <si>
    <t>Tạ Duy Linh</t>
  </si>
  <si>
    <t>118760</t>
  </si>
  <si>
    <t>Nguyễn Thị Linh</t>
  </si>
  <si>
    <t>118927</t>
  </si>
  <si>
    <t>Tần Thị Lê Vinh</t>
  </si>
  <si>
    <t>118970</t>
  </si>
  <si>
    <t>Từ Văn Lập</t>
  </si>
  <si>
    <t>119404</t>
  </si>
  <si>
    <t>Phan Tiến Trình</t>
  </si>
  <si>
    <t>119682</t>
  </si>
  <si>
    <t>Nguyễn Trường Giang</t>
  </si>
  <si>
    <t>119687</t>
  </si>
  <si>
    <t>Bùi Như Mạnh</t>
  </si>
  <si>
    <t>119693</t>
  </si>
  <si>
    <t>Nguyễn Văn Tuấn</t>
  </si>
  <si>
    <t>119707</t>
  </si>
  <si>
    <t>Trần Văn Khoa</t>
  </si>
  <si>
    <t>120001</t>
  </si>
  <si>
    <t>Dương Minh Tùng</t>
  </si>
  <si>
    <t>120350</t>
  </si>
  <si>
    <t>Hoàng Tiến Trung</t>
  </si>
  <si>
    <t>120475</t>
  </si>
  <si>
    <t>Nguyễn Tiến Dũng</t>
  </si>
  <si>
    <t>120505</t>
  </si>
  <si>
    <t>Bùi Việt Hưng</t>
  </si>
  <si>
    <t>121096</t>
  </si>
  <si>
    <t>Đào Thị Hồng Huệ</t>
  </si>
  <si>
    <t>121115</t>
  </si>
  <si>
    <t>Vũ Văn Nghiêm</t>
  </si>
  <si>
    <t>121262</t>
  </si>
  <si>
    <t>Lê Trần Sự</t>
  </si>
  <si>
    <t>121263</t>
  </si>
  <si>
    <t>Nguyễn Đình Việt</t>
  </si>
  <si>
    <t>121486</t>
  </si>
  <si>
    <t>Phạm Trọng Trường</t>
  </si>
  <si>
    <t>121641</t>
  </si>
  <si>
    <t>Trần Ngọc Sơn</t>
  </si>
  <si>
    <t>121860</t>
  </si>
  <si>
    <t>Nguyễn Tiến Trường</t>
  </si>
  <si>
    <t>121864</t>
  </si>
  <si>
    <t>Trần Thị Thu Huyền</t>
  </si>
  <si>
    <t>121879</t>
  </si>
  <si>
    <t>Lê Văn Hà</t>
  </si>
  <si>
    <t>121979</t>
  </si>
  <si>
    <t>Vũ Thị Quỳnh Thu</t>
  </si>
  <si>
    <t>122150</t>
  </si>
  <si>
    <t>Hoàng Văn Dũng</t>
  </si>
  <si>
    <t>122152</t>
  </si>
  <si>
    <t>Nguyễn Quốc Dựng</t>
  </si>
  <si>
    <t>122158</t>
  </si>
  <si>
    <t>Lường Văn Thắng</t>
  </si>
  <si>
    <t>122161</t>
  </si>
  <si>
    <t>Bùi Văn Thượng</t>
  </si>
  <si>
    <t>122222</t>
  </si>
  <si>
    <t>Nguyễn Thanh Đông</t>
  </si>
  <si>
    <t>122226</t>
  </si>
  <si>
    <t>Đặng Thanh Bình</t>
  </si>
  <si>
    <t>122418</t>
  </si>
  <si>
    <t>Phạm Đức Hoài</t>
  </si>
  <si>
    <t>122429</t>
  </si>
  <si>
    <t>Phạm Thị Ngọc Khanh</t>
  </si>
  <si>
    <t>122480</t>
  </si>
  <si>
    <t>Đỗ Đức Cường</t>
  </si>
  <si>
    <t>122636</t>
  </si>
  <si>
    <t>Cao Xuân Sáng</t>
  </si>
  <si>
    <t>122816</t>
  </si>
  <si>
    <t>Ngô Thị Thanh Huyền</t>
  </si>
  <si>
    <t>123139</t>
  </si>
  <si>
    <t>Nguyễn Lê Minh</t>
  </si>
  <si>
    <t>123159</t>
  </si>
  <si>
    <t>Nguyễn Vũ Huấn</t>
  </si>
  <si>
    <t>123196</t>
  </si>
  <si>
    <t>Hồ Quang Huyên</t>
  </si>
  <si>
    <t>Nguyễn Hữu Đức</t>
  </si>
  <si>
    <t>123243</t>
  </si>
  <si>
    <t>Tạ Nguyên Ngọc</t>
  </si>
  <si>
    <t>123453</t>
  </si>
  <si>
    <t>Tạ Hồng Cương</t>
  </si>
  <si>
    <t>123637</t>
  </si>
  <si>
    <t>Lương Văn Toản</t>
  </si>
  <si>
    <t>123639</t>
  </si>
  <si>
    <t>Nguyễn Xuân Hùng</t>
  </si>
  <si>
    <t>123644</t>
  </si>
  <si>
    <t>Hà Thị Thu Hằng</t>
  </si>
  <si>
    <t>123686</t>
  </si>
  <si>
    <t>Nguyễn Quang Bằng</t>
  </si>
  <si>
    <t>124171</t>
  </si>
  <si>
    <t>Mai Hồng Đoán</t>
  </si>
  <si>
    <t>125172</t>
  </si>
  <si>
    <t>Phạm Quang Hiệp</t>
  </si>
  <si>
    <t>125508</t>
  </si>
  <si>
    <t>Vũ Đức Chính</t>
  </si>
  <si>
    <t>125568</t>
  </si>
  <si>
    <t>125636</t>
  </si>
  <si>
    <t>Trịnh Thị Thanh Loan</t>
  </si>
  <si>
    <t>125748</t>
  </si>
  <si>
    <t>Trần Chuyên Tuyên</t>
  </si>
  <si>
    <t>126109</t>
  </si>
  <si>
    <t>Vũ Thị Phương</t>
  </si>
  <si>
    <t>127496</t>
  </si>
  <si>
    <t>Nghiêm Ngọc Ly</t>
  </si>
  <si>
    <t>128508</t>
  </si>
  <si>
    <t>Tống Công Viện</t>
  </si>
  <si>
    <t>129859</t>
  </si>
  <si>
    <t>Nguyễn Thị Hoài Phương</t>
  </si>
  <si>
    <t>130168</t>
  </si>
  <si>
    <t>Lê Thị Thùy Linh</t>
  </si>
  <si>
    <t>130369</t>
  </si>
  <si>
    <t>Trần Thị Diệu Thúy</t>
  </si>
  <si>
    <t>130375</t>
  </si>
  <si>
    <t>Trần Anh Tuấn</t>
  </si>
  <si>
    <t>Phạm Trung Kiên</t>
  </si>
  <si>
    <t>134048</t>
  </si>
  <si>
    <t>Lê Đức Dũng</t>
  </si>
  <si>
    <t>134368</t>
  </si>
  <si>
    <t>Nguyễn Thành Trung</t>
  </si>
  <si>
    <t>134597</t>
  </si>
  <si>
    <t>Lê Quốc Trung</t>
  </si>
  <si>
    <t>135650</t>
  </si>
  <si>
    <t>Nguyễn Văn Mạnh</t>
  </si>
  <si>
    <t>Nguyễn Hồng Huy Thông</t>
  </si>
  <si>
    <t>Nguyễn Ngọc Tú</t>
  </si>
  <si>
    <t>137028</t>
  </si>
  <si>
    <t>Nguyễn Như Thành</t>
  </si>
  <si>
    <t>137030</t>
  </si>
  <si>
    <t>Dương Đức Thanh</t>
  </si>
  <si>
    <t>137168</t>
  </si>
  <si>
    <t>Nguyễn Hương Giang</t>
  </si>
  <si>
    <t>137428</t>
  </si>
  <si>
    <t>Uông Huy Quân</t>
  </si>
  <si>
    <t>137610</t>
  </si>
  <si>
    <t>Ngô Thanh Bình</t>
  </si>
  <si>
    <t>137611</t>
  </si>
  <si>
    <t>Phùng Đức Phú</t>
  </si>
  <si>
    <t>137612</t>
  </si>
  <si>
    <t>Nguyễn Quốc Huy</t>
  </si>
  <si>
    <t>137615</t>
  </si>
  <si>
    <t>Phạm Thu Nga</t>
  </si>
  <si>
    <t>138488</t>
  </si>
  <si>
    <t>Tần Lê Hoàng Long</t>
  </si>
  <si>
    <t>138528</t>
  </si>
  <si>
    <t>Đậu Văn Công</t>
  </si>
  <si>
    <t>138931</t>
  </si>
  <si>
    <t>Nguyễn Xuân Hoàn</t>
  </si>
  <si>
    <t>139593</t>
  </si>
  <si>
    <t>Trần Quyết Thắng</t>
  </si>
  <si>
    <t>139600</t>
  </si>
  <si>
    <t>Thân Hồng Phi</t>
  </si>
  <si>
    <t>139854</t>
  </si>
  <si>
    <t>Hoàng Quốc Đạt</t>
  </si>
  <si>
    <t>140614</t>
  </si>
  <si>
    <t>Nguyễn Tuấn Hùng</t>
  </si>
  <si>
    <t>140756</t>
  </si>
  <si>
    <t>Trần Trung Kiên</t>
  </si>
  <si>
    <t>142096</t>
  </si>
  <si>
    <t>Tưởng Văn Đạt</t>
  </si>
  <si>
    <t>142576</t>
  </si>
  <si>
    <t>Lê Văn Phú</t>
  </si>
  <si>
    <t>142579</t>
  </si>
  <si>
    <t>Đoàn Viết Thường</t>
  </si>
  <si>
    <t>142581</t>
  </si>
  <si>
    <t>Phạm Văn Định</t>
  </si>
  <si>
    <t>144033</t>
  </si>
  <si>
    <t>Nguyễn Thùy Anh</t>
  </si>
  <si>
    <t>144034</t>
  </si>
  <si>
    <t>Nguyễn Vũ Lâm</t>
  </si>
  <si>
    <t>144793</t>
  </si>
  <si>
    <t>Nguyễn Thị Thanh Hoa</t>
  </si>
  <si>
    <t>145213</t>
  </si>
  <si>
    <t>Ngô Thành Sử</t>
  </si>
  <si>
    <t>148777</t>
  </si>
  <si>
    <t>Tạ Hồng Nam</t>
  </si>
  <si>
    <t>149053</t>
  </si>
  <si>
    <t>Trịnh Thị Phương Linh</t>
  </si>
  <si>
    <t>149094</t>
  </si>
  <si>
    <t>Nguyễn Thị Lan Anh</t>
  </si>
  <si>
    <t>151873</t>
  </si>
  <si>
    <t>Lê Mạnh Linh</t>
  </si>
  <si>
    <t>151933</t>
  </si>
  <si>
    <t>Phan Thế Hùng</t>
  </si>
  <si>
    <t>152993</t>
  </si>
  <si>
    <t>Lê Trung Đức</t>
  </si>
  <si>
    <t>153773</t>
  </si>
  <si>
    <t>Nguyễn Thanh Thủy</t>
  </si>
  <si>
    <t>154073</t>
  </si>
  <si>
    <t>Vũ Thị Gấm</t>
  </si>
  <si>
    <t>154613</t>
  </si>
  <si>
    <t>Phương Văn Hiệp</t>
  </si>
  <si>
    <t>154954</t>
  </si>
  <si>
    <t>Bùi Hữu Hoàng</t>
  </si>
  <si>
    <t>155353</t>
  </si>
  <si>
    <t>Lê Thị Bích Phượng</t>
  </si>
  <si>
    <t>155474</t>
  </si>
  <si>
    <t>Nguyễn Phan Khánh Hà</t>
  </si>
  <si>
    <t>155714</t>
  </si>
  <si>
    <t>Nguyễn Thị Tuyền</t>
  </si>
  <si>
    <t>155717</t>
  </si>
  <si>
    <t>Lê Thị Huyền Trang</t>
  </si>
  <si>
    <t>156893</t>
  </si>
  <si>
    <t>Nguyễn Bá Tân</t>
  </si>
  <si>
    <t>158074</t>
  </si>
  <si>
    <t>Đỗ Ngọc Tuấn</t>
  </si>
  <si>
    <t>159777</t>
  </si>
  <si>
    <t>Phạm Kim Anh Dũng</t>
  </si>
  <si>
    <t>159778</t>
  </si>
  <si>
    <t>Lương Xuân Hào</t>
  </si>
  <si>
    <t>161598</t>
  </si>
  <si>
    <t>Nguyễn Đức Anh</t>
  </si>
  <si>
    <t>161616</t>
  </si>
  <si>
    <t>161673</t>
  </si>
  <si>
    <t>Nguyễn Tuấn Anh</t>
  </si>
  <si>
    <t>162539</t>
  </si>
  <si>
    <t>Nguyễn Viết Trường</t>
  </si>
  <si>
    <t>163273</t>
  </si>
  <si>
    <t>Cao Việt Hùng</t>
  </si>
  <si>
    <t>164333</t>
  </si>
  <si>
    <t>Nguyễn Bá Thắng</t>
  </si>
  <si>
    <t>164964</t>
  </si>
  <si>
    <t>Trần Ngọc Tú</t>
  </si>
  <si>
    <t>164978</t>
  </si>
  <si>
    <t>Đoàn Ngọc Trung</t>
  </si>
  <si>
    <t>164993</t>
  </si>
  <si>
    <t>Nguyễn Quyết</t>
  </si>
  <si>
    <t>164995</t>
  </si>
  <si>
    <t>Phạm Đức Long</t>
  </si>
  <si>
    <t>165014</t>
  </si>
  <si>
    <t>Nguyễn Đức Nhật</t>
  </si>
  <si>
    <t>165018</t>
  </si>
  <si>
    <t>Đàm Mạnh Cường</t>
  </si>
  <si>
    <t>166921</t>
  </si>
  <si>
    <t>Dương Thị Hương Lan</t>
  </si>
  <si>
    <t>166923</t>
  </si>
  <si>
    <t>Trần Văn Thuyết</t>
  </si>
  <si>
    <t>166924</t>
  </si>
  <si>
    <t>Phạm Thị Hằng</t>
  </si>
  <si>
    <t>167333</t>
  </si>
  <si>
    <t>Vũ Viết Đức</t>
  </si>
  <si>
    <t>169153</t>
  </si>
  <si>
    <t>Nguyễn Mạnh Toàn</t>
  </si>
  <si>
    <t>169194</t>
  </si>
  <si>
    <t>Đỗ Ngọc Thanh</t>
  </si>
  <si>
    <t>169195</t>
  </si>
  <si>
    <t>Nguyễn Xuân Tiến</t>
  </si>
  <si>
    <t>169198</t>
  </si>
  <si>
    <t>Đoàn Văn Thọ</t>
  </si>
  <si>
    <t>170416</t>
  </si>
  <si>
    <t>Ngô Thùy Linh</t>
  </si>
  <si>
    <t>171404</t>
  </si>
  <si>
    <t>Bùi Thu Giang</t>
  </si>
  <si>
    <t>171666</t>
  </si>
  <si>
    <t>Bùi Việt Hùng</t>
  </si>
  <si>
    <t>171667</t>
  </si>
  <si>
    <t>Nguyễn Hữu Tú</t>
  </si>
  <si>
    <t>171668</t>
  </si>
  <si>
    <t>Hoàng Thị Quỳnh Hoa</t>
  </si>
  <si>
    <t>171733</t>
  </si>
  <si>
    <t>Phạm Huy Hoàng</t>
  </si>
  <si>
    <t>171853</t>
  </si>
  <si>
    <t>Phạm Minh Hằng</t>
  </si>
  <si>
    <t>171854</t>
  </si>
  <si>
    <t>Lê Văn Lực</t>
  </si>
  <si>
    <t>173314</t>
  </si>
  <si>
    <t>Nguyễn Thanh Minh</t>
  </si>
  <si>
    <t>173333</t>
  </si>
  <si>
    <t>174234</t>
  </si>
  <si>
    <t>Nguyễn Quốc Chung</t>
  </si>
  <si>
    <t>174747</t>
  </si>
  <si>
    <t>Phạm Văn Quang</t>
  </si>
  <si>
    <t>175276</t>
  </si>
  <si>
    <t>Nguyễn Thị Hồng Nhung</t>
  </si>
  <si>
    <t>175278</t>
  </si>
  <si>
    <t>Trần Thị Hương</t>
  </si>
  <si>
    <t>175665</t>
  </si>
  <si>
    <t>Đồng Xuân Hoàng</t>
  </si>
  <si>
    <t>175913</t>
  </si>
  <si>
    <t>Nguyễn Đức Hoàng</t>
  </si>
  <si>
    <t>175936</t>
  </si>
  <si>
    <t>Nguyễn Thành Tiến</t>
  </si>
  <si>
    <t>176115</t>
  </si>
  <si>
    <t>Trần Trà Linh</t>
  </si>
  <si>
    <t>176180</t>
  </si>
  <si>
    <t>Lê Xuân Tùng</t>
  </si>
  <si>
    <t>176206</t>
  </si>
  <si>
    <t>Nguyễn Quang Mạnh</t>
  </si>
  <si>
    <t>176233</t>
  </si>
  <si>
    <t>Nguyễn Lan Anh</t>
  </si>
  <si>
    <t>176234</t>
  </si>
  <si>
    <t>Lê Minh Quang</t>
  </si>
  <si>
    <t>176573</t>
  </si>
  <si>
    <t>Diệp Thị Tư</t>
  </si>
  <si>
    <t>177555</t>
  </si>
  <si>
    <t>Phạm Thị Phương</t>
  </si>
  <si>
    <t>177559</t>
  </si>
  <si>
    <t>Nguyễn Thị Hồng</t>
  </si>
  <si>
    <t>177560</t>
  </si>
  <si>
    <t>Trần Văn Hùng</t>
  </si>
  <si>
    <t>177564</t>
  </si>
  <si>
    <t>Trần Đức Bình</t>
  </si>
  <si>
    <t>179676</t>
  </si>
  <si>
    <t>Vũ Thái Sơn</t>
  </si>
  <si>
    <t>179953</t>
  </si>
  <si>
    <t>Phan Duy Nam</t>
  </si>
  <si>
    <t>179974</t>
  </si>
  <si>
    <t>Nguyễn Thanh Hào</t>
  </si>
  <si>
    <t>180454</t>
  </si>
  <si>
    <t>Nguyễn Văn Trọng</t>
  </si>
  <si>
    <t>180496</t>
  </si>
  <si>
    <t>Nguyễn Khắc Nam</t>
  </si>
  <si>
    <t>181513</t>
  </si>
  <si>
    <t>Đỗ Văn Thụ</t>
  </si>
  <si>
    <t>182136</t>
  </si>
  <si>
    <t>Bùi Hải Sơn</t>
  </si>
  <si>
    <t>182577</t>
  </si>
  <si>
    <t>Lê Minh Tú</t>
  </si>
  <si>
    <t>182676</t>
  </si>
  <si>
    <t>Đỗ Văn Thập</t>
  </si>
  <si>
    <t>183173</t>
  </si>
  <si>
    <t>Lê Ngọc Mai</t>
  </si>
  <si>
    <t>184793</t>
  </si>
  <si>
    <t>Nguyễn Văn Thọ</t>
  </si>
  <si>
    <t>184814</t>
  </si>
  <si>
    <t>Đinh Trọng Tình</t>
  </si>
  <si>
    <t>184815</t>
  </si>
  <si>
    <t>Nguyễn Thanh Hải</t>
  </si>
  <si>
    <t>185175</t>
  </si>
  <si>
    <t>Bùi Xuân Thắng</t>
  </si>
  <si>
    <t>185197</t>
  </si>
  <si>
    <t>Đinh Duy Mạnh</t>
  </si>
  <si>
    <t>185253</t>
  </si>
  <si>
    <t>Lê Xuân Thành</t>
  </si>
  <si>
    <t>185254</t>
  </si>
  <si>
    <t>Nguyễn Mạnh Thắng</t>
  </si>
  <si>
    <t>185255</t>
  </si>
  <si>
    <t>Nguyễn Mạnh Tuấn</t>
  </si>
  <si>
    <t>185256</t>
  </si>
  <si>
    <t>Nguyễn Trọng Thanh</t>
  </si>
  <si>
    <t>185257</t>
  </si>
  <si>
    <t>Nguyễn Văn Nghĩa</t>
  </si>
  <si>
    <t>185258</t>
  </si>
  <si>
    <t>Trịnh Văn Du</t>
  </si>
  <si>
    <t>185482</t>
  </si>
  <si>
    <t>Trần Duy Tiến</t>
  </si>
  <si>
    <t>185497</t>
  </si>
  <si>
    <t>Nguyễn Đức Hùng</t>
  </si>
  <si>
    <t>186359</t>
  </si>
  <si>
    <t>Trương Minh Thắng</t>
  </si>
  <si>
    <t>186819</t>
  </si>
  <si>
    <t>Hà Đình Sơn</t>
  </si>
  <si>
    <t>186936</t>
  </si>
  <si>
    <t>Dương Minh Trí</t>
  </si>
  <si>
    <t>186937</t>
  </si>
  <si>
    <t>Nguyễn Thị Huyền Trang</t>
  </si>
  <si>
    <t>187015</t>
  </si>
  <si>
    <t>Vương Công Định</t>
  </si>
  <si>
    <t>187093</t>
  </si>
  <si>
    <t>187734</t>
  </si>
  <si>
    <t>Trần Đình Thắng</t>
  </si>
  <si>
    <t>188374</t>
  </si>
  <si>
    <t>Phạm Thị Huyền</t>
  </si>
  <si>
    <t>188493</t>
  </si>
  <si>
    <t>Trần Ngọc Thịnh</t>
  </si>
  <si>
    <t>189995</t>
  </si>
  <si>
    <t>Đặng Thanh Hoàng</t>
  </si>
  <si>
    <t>190442</t>
  </si>
  <si>
    <t>Lê Hà Thu</t>
  </si>
  <si>
    <t>190459</t>
  </si>
  <si>
    <t>Nguyễn Thu Trang</t>
  </si>
  <si>
    <t>190583</t>
  </si>
  <si>
    <t>Trương Văn Lễ</t>
  </si>
  <si>
    <t>191573</t>
  </si>
  <si>
    <t>Triệu Tuấn Anh</t>
  </si>
  <si>
    <t>192595</t>
  </si>
  <si>
    <t>Ngô Mạnh Quyền</t>
  </si>
  <si>
    <t>192600</t>
  </si>
  <si>
    <t>Nguyễn Quang Thắng</t>
  </si>
  <si>
    <t>193132</t>
  </si>
  <si>
    <t>Vũ Thị Thương</t>
  </si>
  <si>
    <t>193273</t>
  </si>
  <si>
    <t>Vũ Như Thành</t>
  </si>
  <si>
    <t>193281</t>
  </si>
  <si>
    <t>Trương Huy Hoàng</t>
  </si>
  <si>
    <t>194533</t>
  </si>
  <si>
    <t>Nguyễn Văn Cương</t>
  </si>
  <si>
    <t>194627</t>
  </si>
  <si>
    <t>Nguyễn Minh Tuấn</t>
  </si>
  <si>
    <t>194737</t>
  </si>
  <si>
    <t>Nguyễn Thị Hương</t>
  </si>
  <si>
    <t>194747</t>
  </si>
  <si>
    <t>Hà Minh Thế</t>
  </si>
  <si>
    <t>194824</t>
  </si>
  <si>
    <t>Vũ Mạnh Cường</t>
  </si>
  <si>
    <t>194826</t>
  </si>
  <si>
    <t>Đỗ Trọng Toàn</t>
  </si>
  <si>
    <t>194845</t>
  </si>
  <si>
    <t>Hoàng Mạnh Cường</t>
  </si>
  <si>
    <t>194846</t>
  </si>
  <si>
    <t>Lê Văn Cường</t>
  </si>
  <si>
    <t>194853</t>
  </si>
  <si>
    <t>Lăng Khắc Thuận</t>
  </si>
  <si>
    <t>194854</t>
  </si>
  <si>
    <t>Vũ Quân Huân</t>
  </si>
  <si>
    <t>195193</t>
  </si>
  <si>
    <t>Nguyễn Viết Thu</t>
  </si>
  <si>
    <t>195475</t>
  </si>
  <si>
    <t>Đặng Xuân Thảo</t>
  </si>
  <si>
    <t>195484</t>
  </si>
  <si>
    <t>196096</t>
  </si>
  <si>
    <t>Phạm Ngọc Quốc Anh</t>
  </si>
  <si>
    <t>196134</t>
  </si>
  <si>
    <t>Nguyễn Hải Đăng</t>
  </si>
  <si>
    <t>196174</t>
  </si>
  <si>
    <t>Lê Ngọc Quý</t>
  </si>
  <si>
    <t>196175</t>
  </si>
  <si>
    <t>Lê Thị Hà</t>
  </si>
  <si>
    <t>196178</t>
  </si>
  <si>
    <t>Lương Đình Thọ</t>
  </si>
  <si>
    <t>196195</t>
  </si>
  <si>
    <t>Ngô Thị Hoài</t>
  </si>
  <si>
    <t>196197</t>
  </si>
  <si>
    <t>Nguyễn Việt Anh</t>
  </si>
  <si>
    <t>196201</t>
  </si>
  <si>
    <t>Trần Mạnh Linh</t>
  </si>
  <si>
    <t>196202</t>
  </si>
  <si>
    <t>Nguyễn Tiến Sáng</t>
  </si>
  <si>
    <t>196208</t>
  </si>
  <si>
    <t>Phí Thị Thu Giang</t>
  </si>
  <si>
    <t>196250</t>
  </si>
  <si>
    <t>Vũ Thị Hồng Mơ</t>
  </si>
  <si>
    <t>196295</t>
  </si>
  <si>
    <t>Đặng Thị Huyền</t>
  </si>
  <si>
    <t>196336</t>
  </si>
  <si>
    <t>Dương Thúy Hằng</t>
  </si>
  <si>
    <t>196695</t>
  </si>
  <si>
    <t>Phạm Thị Phương Thảo</t>
  </si>
  <si>
    <t>196908</t>
  </si>
  <si>
    <t>Vi Văn Trường</t>
  </si>
  <si>
    <t>197127</t>
  </si>
  <si>
    <t>Phạm Đình Toại</t>
  </si>
  <si>
    <t>197134</t>
  </si>
  <si>
    <t>Bùi Minh Vũ</t>
  </si>
  <si>
    <t>197361</t>
  </si>
  <si>
    <t>Đặng Lê Hoàng</t>
  </si>
  <si>
    <t>198494</t>
  </si>
  <si>
    <t>Nguyễn Đăng Tùng</t>
  </si>
  <si>
    <t>198496</t>
  </si>
  <si>
    <t>Phan Đại Thắng</t>
  </si>
  <si>
    <t>198497</t>
  </si>
  <si>
    <t>198502</t>
  </si>
  <si>
    <t>Đinh Thu Giang</t>
  </si>
  <si>
    <t>198503</t>
  </si>
  <si>
    <t>Lê Thị Tuyền</t>
  </si>
  <si>
    <t>198504</t>
  </si>
  <si>
    <t>Lê Xuân Thắng</t>
  </si>
  <si>
    <t>198507</t>
  </si>
  <si>
    <t>Đinh Văn Phong</t>
  </si>
  <si>
    <t>198508</t>
  </si>
  <si>
    <t>Đỗ Thế Anh</t>
  </si>
  <si>
    <t>198512</t>
  </si>
  <si>
    <t>Trần Thị Hoài</t>
  </si>
  <si>
    <t>198513</t>
  </si>
  <si>
    <t>Phí Ngọc Tú</t>
  </si>
  <si>
    <t>198517</t>
  </si>
  <si>
    <t>Nguyễn Thu Hương</t>
  </si>
  <si>
    <t>198556</t>
  </si>
  <si>
    <t>Nguyễn Huy Tình</t>
  </si>
  <si>
    <t>198557</t>
  </si>
  <si>
    <t>Khổng Văn Mạnh</t>
  </si>
  <si>
    <t>198558</t>
  </si>
  <si>
    <t>Lê Thị Tuyết Thanh</t>
  </si>
  <si>
    <t>198754</t>
  </si>
  <si>
    <t>Võ Thị Kim Phụng</t>
  </si>
  <si>
    <t>199099</t>
  </si>
  <si>
    <t>Phạm Thanh Tuấn</t>
  </si>
  <si>
    <t>199225</t>
  </si>
  <si>
    <t>Lương Tuấn Anh</t>
  </si>
  <si>
    <t>199311</t>
  </si>
  <si>
    <t>Nguyễn Văn Hân</t>
  </si>
  <si>
    <t>199313</t>
  </si>
  <si>
    <t>Phùng Thị Thỏa</t>
  </si>
  <si>
    <t>199314</t>
  </si>
  <si>
    <t>Phạm Trần Anh Thảo</t>
  </si>
  <si>
    <t>199317</t>
  </si>
  <si>
    <t>Lê Đình An</t>
  </si>
  <si>
    <t>199319</t>
  </si>
  <si>
    <t>Nguyễn Quốc Tuấn</t>
  </si>
  <si>
    <t>199757</t>
  </si>
  <si>
    <t>Nguyễn Trung Tiến</t>
  </si>
  <si>
    <t>199774</t>
  </si>
  <si>
    <t>Lê Hùng Cường</t>
  </si>
  <si>
    <t>200111</t>
  </si>
  <si>
    <t>Nguyễn Công Khanh</t>
  </si>
  <si>
    <t>200121</t>
  </si>
  <si>
    <t>Nguyễn Phương Nam</t>
  </si>
  <si>
    <t>200122</t>
  </si>
  <si>
    <t>Phan Văn Duẩn</t>
  </si>
  <si>
    <t>200336</t>
  </si>
  <si>
    <t>Nguyễn Như Kiên</t>
  </si>
  <si>
    <t>200814</t>
  </si>
  <si>
    <t>Nguyễn Trần Tiến</t>
  </si>
  <si>
    <t>202023</t>
  </si>
  <si>
    <t>Đoàn Thị Ngoan</t>
  </si>
  <si>
    <t>202074</t>
  </si>
  <si>
    <t>Trần Thị Hoài Thương</t>
  </si>
  <si>
    <t>202113</t>
  </si>
  <si>
    <t>Lê Thị Minh Trang</t>
  </si>
  <si>
    <t>202114</t>
  </si>
  <si>
    <t>Mai Văn Thức</t>
  </si>
  <si>
    <t>204015</t>
  </si>
  <si>
    <t>Nguyễn Duy Phương</t>
  </si>
  <si>
    <t>204319</t>
  </si>
  <si>
    <t>204326</t>
  </si>
  <si>
    <t>Nguyễn Minh Đạo</t>
  </si>
  <si>
    <t>204327</t>
  </si>
  <si>
    <t>Nguyễn Trung Hiếu</t>
  </si>
  <si>
    <t>204328</t>
  </si>
  <si>
    <t>Nguyễn Thị Hòa</t>
  </si>
  <si>
    <t>204331</t>
  </si>
  <si>
    <t>Nguyễn Văn Chuyên</t>
  </si>
  <si>
    <t>204656</t>
  </si>
  <si>
    <t>Nguyễn Tiến Thành</t>
  </si>
  <si>
    <t>204657</t>
  </si>
  <si>
    <t>Nguyễn Đức Diễn</t>
  </si>
  <si>
    <t>204660</t>
  </si>
  <si>
    <t>Vũ Duy Linh</t>
  </si>
  <si>
    <t>204662</t>
  </si>
  <si>
    <t>Trần Văn Tùng</t>
  </si>
  <si>
    <t>204686</t>
  </si>
  <si>
    <t>Nguyễn Văn Huy</t>
  </si>
  <si>
    <t>204703</t>
  </si>
  <si>
    <t>Nguyễn Thị Liêm</t>
  </si>
  <si>
    <t>204707</t>
  </si>
  <si>
    <t>Hồ Thị Xuân Hòa</t>
  </si>
  <si>
    <t>204708</t>
  </si>
  <si>
    <t>204894</t>
  </si>
  <si>
    <t>Nguyễn Thị Ngọc Anh</t>
  </si>
  <si>
    <t>204896</t>
  </si>
  <si>
    <t>Nguyễn Ngọc Hiệp</t>
  </si>
  <si>
    <t>204902</t>
  </si>
  <si>
    <t>Vũ Quang Huy</t>
  </si>
  <si>
    <t>204936</t>
  </si>
  <si>
    <t>Lê Ngọc Đức</t>
  </si>
  <si>
    <t>204945</t>
  </si>
  <si>
    <t>Lương Mỹ Linh</t>
  </si>
  <si>
    <t>205102</t>
  </si>
  <si>
    <t>Bùi Bình Giang</t>
  </si>
  <si>
    <t>205108</t>
  </si>
  <si>
    <t>Quế Đại Cường</t>
  </si>
  <si>
    <t>205109</t>
  </si>
  <si>
    <t>Nguyễn Hữu Tùng</t>
  </si>
  <si>
    <t>205153</t>
  </si>
  <si>
    <t>Vũ Thái Hưng</t>
  </si>
  <si>
    <t>205225</t>
  </si>
  <si>
    <t>205228</t>
  </si>
  <si>
    <t>Ngô Đình Nguyên</t>
  </si>
  <si>
    <t>205267</t>
  </si>
  <si>
    <t>Nguyễn Anh Dũng</t>
  </si>
  <si>
    <t>206026</t>
  </si>
  <si>
    <t>Đỗ Thị Thùy Linh</t>
  </si>
  <si>
    <t>206029</t>
  </si>
  <si>
    <t>Nguyễn Diệu Yến</t>
  </si>
  <si>
    <t>206059</t>
  </si>
  <si>
    <t>Nguyễn Thị Thanh Thúy</t>
  </si>
  <si>
    <t>206120</t>
  </si>
  <si>
    <t>Phạm Đức Mạnh</t>
  </si>
  <si>
    <t>206261</t>
  </si>
  <si>
    <t>Lê Ngọc Toàn</t>
  </si>
  <si>
    <t>206262</t>
  </si>
  <si>
    <t>Lê Thanh Bằng</t>
  </si>
  <si>
    <t>206277</t>
  </si>
  <si>
    <t>Nguyễn Hoàng Việt</t>
  </si>
  <si>
    <t>206280</t>
  </si>
  <si>
    <t>Đỗ Minh Đức</t>
  </si>
  <si>
    <t>206285</t>
  </si>
  <si>
    <t>Lại Ngọc Huyền</t>
  </si>
  <si>
    <t>206288</t>
  </si>
  <si>
    <t>Nguyễn Văn Dương</t>
  </si>
  <si>
    <t>206376</t>
  </si>
  <si>
    <t>Phan Anh Hoàng</t>
  </si>
  <si>
    <t>206412</t>
  </si>
  <si>
    <t>Tăng Thiên Vũ</t>
  </si>
  <si>
    <t>206414</t>
  </si>
  <si>
    <t>Nguyễn Đức Linh</t>
  </si>
  <si>
    <t>206456</t>
  </si>
  <si>
    <t>Chu Hữu Tiến Nam</t>
  </si>
  <si>
    <t>206741</t>
  </si>
  <si>
    <t>Nguyễn Tiến Lực</t>
  </si>
  <si>
    <t>206802</t>
  </si>
  <si>
    <t>Đặng Văn Quý</t>
  </si>
  <si>
    <t>206855</t>
  </si>
  <si>
    <t>Đỗ Văn Lộng</t>
  </si>
  <si>
    <t>206877</t>
  </si>
  <si>
    <t>Đặng Anh Quang</t>
  </si>
  <si>
    <t>206883</t>
  </si>
  <si>
    <t>Nguyễn Việt Thắng</t>
  </si>
  <si>
    <t>206888</t>
  </si>
  <si>
    <t>Trần Minh Vũ</t>
  </si>
  <si>
    <t>207125</t>
  </si>
  <si>
    <t>Hoàng Minh Anh</t>
  </si>
  <si>
    <t>207340</t>
  </si>
  <si>
    <t>Trần Tiến Nam</t>
  </si>
  <si>
    <t>207350</t>
  </si>
  <si>
    <t>Đặng Cao Quyền</t>
  </si>
  <si>
    <t>207371</t>
  </si>
  <si>
    <t>Nguyễn Văn Công</t>
  </si>
  <si>
    <t>207372</t>
  </si>
  <si>
    <t>Ngô Thị Hường</t>
  </si>
  <si>
    <t>207610</t>
  </si>
  <si>
    <t>Nguyễn Tiến Đạt</t>
  </si>
  <si>
    <t>207613</t>
  </si>
  <si>
    <t>Nguyễn Văn Luật</t>
  </si>
  <si>
    <t>207633</t>
  </si>
  <si>
    <t>Nguyễn Đăng Bản</t>
  </si>
  <si>
    <t>207638</t>
  </si>
  <si>
    <t>207639</t>
  </si>
  <si>
    <t>Lê Thanh Tùng</t>
  </si>
  <si>
    <t>207652</t>
  </si>
  <si>
    <t>Nguyễn Duy Trọng</t>
  </si>
  <si>
    <t>207660</t>
  </si>
  <si>
    <t>Đặng Xuân Du</t>
  </si>
  <si>
    <t>207672</t>
  </si>
  <si>
    <t>Bùi Thị Vân</t>
  </si>
  <si>
    <t>207688</t>
  </si>
  <si>
    <t>Dương Văn Hoàn</t>
  </si>
  <si>
    <t>207692</t>
  </si>
  <si>
    <t>Ngô Thanh Đại</t>
  </si>
  <si>
    <t>207713</t>
  </si>
  <si>
    <t>Vũ Thành Công</t>
  </si>
  <si>
    <t>207757</t>
  </si>
  <si>
    <t>207774</t>
  </si>
  <si>
    <t>Vũ Hòa Phúc</t>
  </si>
  <si>
    <t>207779</t>
  </si>
  <si>
    <t>Ngô Văn Vương</t>
  </si>
  <si>
    <t>207798</t>
  </si>
  <si>
    <t>Phạm Ngọc Chung</t>
  </si>
  <si>
    <t>207843</t>
  </si>
  <si>
    <t>Nguyễn Thế Lâm</t>
  </si>
  <si>
    <t>207851</t>
  </si>
  <si>
    <t>Đặng Thị Huệ</t>
  </si>
  <si>
    <t>207855</t>
  </si>
  <si>
    <t>Lưu Văn Hoan</t>
  </si>
  <si>
    <t>208026</t>
  </si>
  <si>
    <t>Trần Thanh Vũ</t>
  </si>
  <si>
    <t>208402</t>
  </si>
  <si>
    <t>Phạm Tuấn Anh</t>
  </si>
  <si>
    <t>208453</t>
  </si>
  <si>
    <t>Đỗ Văn Hưởng</t>
  </si>
  <si>
    <t>208474</t>
  </si>
  <si>
    <t>208740</t>
  </si>
  <si>
    <t>Nguyễn Minh Khánh Ngọc</t>
  </si>
  <si>
    <t>208742</t>
  </si>
  <si>
    <t>Nguyễn Tuấn Phước</t>
  </si>
  <si>
    <t>208987</t>
  </si>
  <si>
    <t>Nguyễn Minh Đức</t>
  </si>
  <si>
    <t>209028</t>
  </si>
  <si>
    <t>Trần Quang Hòa</t>
  </si>
  <si>
    <t>209064</t>
  </si>
  <si>
    <t>Phan Văn Mạnh</t>
  </si>
  <si>
    <t>209296</t>
  </si>
  <si>
    <t>Nguyễn Xuân Thúc</t>
  </si>
  <si>
    <t>209502</t>
  </si>
  <si>
    <t>Nguyễn Minh Anh</t>
  </si>
  <si>
    <t>209509</t>
  </si>
  <si>
    <t>Nguyễn Thị Mai Anh</t>
  </si>
  <si>
    <t>209751</t>
  </si>
  <si>
    <t>Phạm Ngọc Tùng</t>
  </si>
  <si>
    <t>209837</t>
  </si>
  <si>
    <t>Nguyễn Thế Hiếu</t>
  </si>
  <si>
    <t>209840</t>
  </si>
  <si>
    <t>Trần Xuân Hiền</t>
  </si>
  <si>
    <t>210043</t>
  </si>
  <si>
    <t>Hoàng Thu Trang</t>
  </si>
  <si>
    <t>210575</t>
  </si>
  <si>
    <t>Bùi Văn Thành</t>
  </si>
  <si>
    <t>210621</t>
  </si>
  <si>
    <t>Nguyễn Quang Huy</t>
  </si>
  <si>
    <t>211277</t>
  </si>
  <si>
    <t>Nguyễn Trung Thành</t>
  </si>
  <si>
    <t>211307</t>
  </si>
  <si>
    <t>Vũ Đức Minh</t>
  </si>
  <si>
    <t>211682</t>
  </si>
  <si>
    <t>Phạm Lê Minh</t>
  </si>
  <si>
    <t>212178</t>
  </si>
  <si>
    <t>Vũ Văn Tuấn</t>
  </si>
  <si>
    <t>213254</t>
  </si>
  <si>
    <t>La Văn Thiện</t>
  </si>
  <si>
    <t>213367</t>
  </si>
  <si>
    <t>Phạm Công Dân</t>
  </si>
  <si>
    <t>213521</t>
  </si>
  <si>
    <t>213899</t>
  </si>
  <si>
    <t>Đinh Anh Bảo</t>
  </si>
  <si>
    <t>214110</t>
  </si>
  <si>
    <t>Nguyễn Công Chiểu</t>
  </si>
  <si>
    <t>214703</t>
  </si>
  <si>
    <t>Đặng Hoài Sơn</t>
  </si>
  <si>
    <t>214807</t>
  </si>
  <si>
    <t>Đỗ Thế Hùng</t>
  </si>
  <si>
    <t>215824</t>
  </si>
  <si>
    <t>Nguyễn Thanh Tiến</t>
  </si>
  <si>
    <t>215958</t>
  </si>
  <si>
    <t>Vũ Đức Thuận</t>
  </si>
  <si>
    <t>215963</t>
  </si>
  <si>
    <t>Nguyễn Đức Hiệp</t>
  </si>
  <si>
    <t>216017</t>
  </si>
  <si>
    <t>Bá Đình Hoài</t>
  </si>
  <si>
    <t>216633</t>
  </si>
  <si>
    <t>Tạ Thị Hằng</t>
  </si>
  <si>
    <t>216730</t>
  </si>
  <si>
    <t>Nguyễn Thành Nhơn</t>
  </si>
  <si>
    <t>216737</t>
  </si>
  <si>
    <t>Trần Thị Thanh</t>
  </si>
  <si>
    <t>217178</t>
  </si>
  <si>
    <t>217257</t>
  </si>
  <si>
    <t>Vũ Anh Tuấn</t>
  </si>
  <si>
    <t>217280</t>
  </si>
  <si>
    <t>Huỳnh Quốc Anh</t>
  </si>
  <si>
    <t>217297</t>
  </si>
  <si>
    <t>Đinh Văn Hải</t>
  </si>
  <si>
    <t>217307</t>
  </si>
  <si>
    <t>Nguyễn Trần Minh</t>
  </si>
  <si>
    <t>217316</t>
  </si>
  <si>
    <t>Đào Thu Thảo</t>
  </si>
  <si>
    <t>217409</t>
  </si>
  <si>
    <t>Vũ Bá Dương</t>
  </si>
  <si>
    <t>217410</t>
  </si>
  <si>
    <t>Trần Quốc Tuân</t>
  </si>
  <si>
    <t>217507</t>
  </si>
  <si>
    <t>Nguyễn Văn Sơn</t>
  </si>
  <si>
    <t>218135</t>
  </si>
  <si>
    <t>Nguyễn Tiến Đông</t>
  </si>
  <si>
    <t>218373</t>
  </si>
  <si>
    <t>Trần Minh Lợi</t>
  </si>
  <si>
    <t>218374</t>
  </si>
  <si>
    <t>Ngô Thị Đoan Trang</t>
  </si>
  <si>
    <t>218378</t>
  </si>
  <si>
    <t>Nguyễn Đức Trung</t>
  </si>
  <si>
    <t>218430</t>
  </si>
  <si>
    <t>Nguyễn Thanh Dương</t>
  </si>
  <si>
    <t>218630</t>
  </si>
  <si>
    <t>Đoàn Văn Tới</t>
  </si>
  <si>
    <t>218632</t>
  </si>
  <si>
    <t>Nguyễn Văn Phương</t>
  </si>
  <si>
    <t>218643</t>
  </si>
  <si>
    <t>Phạm Thị Linh</t>
  </si>
  <si>
    <t>218774</t>
  </si>
  <si>
    <t>Hà Văn Đức</t>
  </si>
  <si>
    <t>218881</t>
  </si>
  <si>
    <t>Phạm Thanh Phong</t>
  </si>
  <si>
    <t>219126</t>
  </si>
  <si>
    <t>Bùi Tuấn Anh</t>
  </si>
  <si>
    <t>219128</t>
  </si>
  <si>
    <t>219357</t>
  </si>
  <si>
    <t>Vũ Thành Đạt</t>
  </si>
  <si>
    <t>219452</t>
  </si>
  <si>
    <t>Nguyễn Đức An</t>
  </si>
  <si>
    <t>219545</t>
  </si>
  <si>
    <t>Nguyễn Hải Anh</t>
  </si>
  <si>
    <t>219558</t>
  </si>
  <si>
    <t>Hoàng Anh Dũng</t>
  </si>
  <si>
    <t>219560</t>
  </si>
  <si>
    <t>Nguyễn Nho Quốc Việt</t>
  </si>
  <si>
    <t>219643</t>
  </si>
  <si>
    <t>Nguyễn Văn Khải</t>
  </si>
  <si>
    <t>220025</t>
  </si>
  <si>
    <t>Nguyễn Văn Lợi</t>
  </si>
  <si>
    <t>220154</t>
  </si>
  <si>
    <t>Lê Trọng Thảo</t>
  </si>
  <si>
    <t>220449</t>
  </si>
  <si>
    <t>221106</t>
  </si>
  <si>
    <t>Vũ Thị Hà</t>
  </si>
  <si>
    <t>221581</t>
  </si>
  <si>
    <t>Đinh Quốc Đạt</t>
  </si>
  <si>
    <t>221586</t>
  </si>
  <si>
    <t>Nguyễn Văn Đức</t>
  </si>
  <si>
    <t>222459</t>
  </si>
  <si>
    <t>Hoàng Đức Tâm</t>
  </si>
  <si>
    <t>222718</t>
  </si>
  <si>
    <t>Nguyễn Ngọc Quyết</t>
  </si>
  <si>
    <t>222725</t>
  </si>
  <si>
    <t>Nguyễn Hồng Phi</t>
  </si>
  <si>
    <t>223012</t>
  </si>
  <si>
    <t>Nguyễn Thị Mai Hương</t>
  </si>
  <si>
    <t>223305</t>
  </si>
  <si>
    <t>Phan Vinh Quang</t>
  </si>
  <si>
    <t>223361</t>
  </si>
  <si>
    <t>Nguyễn Trung Hưng</t>
  </si>
  <si>
    <t>224286</t>
  </si>
  <si>
    <t>Bùi Trung Chính</t>
  </si>
  <si>
    <t>224481</t>
  </si>
  <si>
    <t>Lưu Thị Hoàng Yến</t>
  </si>
  <si>
    <t>224485</t>
  </si>
  <si>
    <t>Trần Ngọc Thạch</t>
  </si>
  <si>
    <t>224878</t>
  </si>
  <si>
    <t>Đào Xuân Thủy</t>
  </si>
  <si>
    <t>225347</t>
  </si>
  <si>
    <t>Nguyễn Văn Hoàng</t>
  </si>
  <si>
    <t>225454</t>
  </si>
  <si>
    <t>Phạm Minh Sơn</t>
  </si>
  <si>
    <t>225591</t>
  </si>
  <si>
    <t>Nguyễn Thị Ngọc Hòa</t>
  </si>
  <si>
    <t>226529</t>
  </si>
  <si>
    <t>Nguyễn Hữu Định</t>
  </si>
  <si>
    <t>226732</t>
  </si>
  <si>
    <t>Lê Tuấn Anh</t>
  </si>
  <si>
    <t>226805</t>
  </si>
  <si>
    <t>Bùi Đình Dũng</t>
  </si>
  <si>
    <t>227383</t>
  </si>
  <si>
    <t>Nguyễn Phương Nga</t>
  </si>
  <si>
    <t>227546</t>
  </si>
  <si>
    <t>Vũ Duy Nhất</t>
  </si>
  <si>
    <t>227746</t>
  </si>
  <si>
    <t>Trần Uy Hoàng</t>
  </si>
  <si>
    <t>228392</t>
  </si>
  <si>
    <t>Phương Anh</t>
  </si>
  <si>
    <t>228393</t>
  </si>
  <si>
    <t>Lương Hải Ngọc</t>
  </si>
  <si>
    <t>228429</t>
  </si>
  <si>
    <t>Bùi Thanh Chung</t>
  </si>
  <si>
    <t>228430</t>
  </si>
  <si>
    <t>Hoàng Anh Hùng</t>
  </si>
  <si>
    <t>228435</t>
  </si>
  <si>
    <t>Trần Mạnh Hùng</t>
  </si>
  <si>
    <t>228522</t>
  </si>
  <si>
    <t>Đinh Thị Huyền</t>
  </si>
  <si>
    <t>228876</t>
  </si>
  <si>
    <t>Lê Mạnh Hà</t>
  </si>
  <si>
    <t>229088</t>
  </si>
  <si>
    <t>Nguyễn Tùng Lâm</t>
  </si>
  <si>
    <t>229327</t>
  </si>
  <si>
    <t>Nguyễn Văn Tam</t>
  </si>
  <si>
    <t>229880</t>
  </si>
  <si>
    <t>Phạm Xuân Tiến</t>
  </si>
  <si>
    <t>230147</t>
  </si>
  <si>
    <t>Nguyễn Đình Hà</t>
  </si>
  <si>
    <t>230618</t>
  </si>
  <si>
    <t>Nguyễn Tiến Long</t>
  </si>
  <si>
    <t>230843</t>
  </si>
  <si>
    <t>Phùng Văn Quả</t>
  </si>
  <si>
    <t>230844</t>
  </si>
  <si>
    <t>Mai Văn Dũng</t>
  </si>
  <si>
    <t>231063</t>
  </si>
  <si>
    <t>Kiều Vũ Thắng</t>
  </si>
  <si>
    <t>231164</t>
  </si>
  <si>
    <t>Vũ Minh Thu</t>
  </si>
  <si>
    <t>231354</t>
  </si>
  <si>
    <t>Phạm Khánh Trung</t>
  </si>
  <si>
    <t>232238</t>
  </si>
  <si>
    <t>Võ Thành Văn</t>
  </si>
  <si>
    <t>232734</t>
  </si>
  <si>
    <t>Chu Thị Ánh Hồng</t>
  </si>
  <si>
    <t>232942</t>
  </si>
  <si>
    <t>Đàm Minh Tiến</t>
  </si>
  <si>
    <t>233347</t>
  </si>
  <si>
    <t>Phan Lê Thành Nguyên</t>
  </si>
  <si>
    <t>233488</t>
  </si>
  <si>
    <t>Lữ Mạnh Hùng</t>
  </si>
  <si>
    <t>233490</t>
  </si>
  <si>
    <t>Nguyễn Thị Bích Phượng</t>
  </si>
  <si>
    <t>233511</t>
  </si>
  <si>
    <t>Phạm Thanh Sơn</t>
  </si>
  <si>
    <t>233750</t>
  </si>
  <si>
    <t>Lê Thu Hương</t>
  </si>
  <si>
    <t>233756</t>
  </si>
  <si>
    <t>Nguyễn Tiến Mạnh</t>
  </si>
  <si>
    <t>233982</t>
  </si>
  <si>
    <t>234132</t>
  </si>
  <si>
    <t>Đặng Trung Đức</t>
  </si>
  <si>
    <t>234273</t>
  </si>
  <si>
    <t>Hoàng Trung Anh</t>
  </si>
  <si>
    <t>234498</t>
  </si>
  <si>
    <t>Lê Văn Quỳnh</t>
  </si>
  <si>
    <t>234943</t>
  </si>
  <si>
    <t>Dương Tùng</t>
  </si>
  <si>
    <t>234945</t>
  </si>
  <si>
    <t>Hoàng Duy Khánh</t>
  </si>
  <si>
    <t>235018</t>
  </si>
  <si>
    <t>Nguyễn Thế Toàn</t>
  </si>
  <si>
    <t>235019</t>
  </si>
  <si>
    <t>Nguyễn Văn Minh</t>
  </si>
  <si>
    <t>235768</t>
  </si>
  <si>
    <t>Nguyễn Nhật Trường</t>
  </si>
  <si>
    <t>235799</t>
  </si>
  <si>
    <t>Trần Xuân Ngà</t>
  </si>
  <si>
    <t>235951</t>
  </si>
  <si>
    <t>Vũ Đức Tuấn</t>
  </si>
  <si>
    <t>235955</t>
  </si>
  <si>
    <t>Phạm Anh Tuấn</t>
  </si>
  <si>
    <t>236238</t>
  </si>
  <si>
    <t>Nguyễn Duy Khánh</t>
  </si>
  <si>
    <t>236333</t>
  </si>
  <si>
    <t>Nguyễn Mạnh Tiềm</t>
  </si>
  <si>
    <t>236485</t>
  </si>
  <si>
    <t>Nguyễn Thành Đô</t>
  </si>
  <si>
    <t>236487</t>
  </si>
  <si>
    <t>Cấn Tuấn Anh</t>
  </si>
  <si>
    <t>236489</t>
  </si>
  <si>
    <t>Lê Tiến Đạt</t>
  </si>
  <si>
    <t>236492</t>
  </si>
  <si>
    <t>Nguyễn Hồng Việt</t>
  </si>
  <si>
    <t>236790</t>
  </si>
  <si>
    <t>236911</t>
  </si>
  <si>
    <t>Đồng Ngọc Nhật</t>
  </si>
  <si>
    <t>237261</t>
  </si>
  <si>
    <t>Nguyễn Văn Khương</t>
  </si>
  <si>
    <t>237264</t>
  </si>
  <si>
    <t>Lương Thế Anh</t>
  </si>
  <si>
    <t>237559</t>
  </si>
  <si>
    <t>Đậu Hồng Quân</t>
  </si>
  <si>
    <t>237592</t>
  </si>
  <si>
    <t>Trần Quang Huy</t>
  </si>
  <si>
    <t>238546</t>
  </si>
  <si>
    <t>Nguyễn Văn Phú</t>
  </si>
  <si>
    <t>238618</t>
  </si>
  <si>
    <t>238826</t>
  </si>
  <si>
    <t>Bùi Hoàng Hà</t>
  </si>
  <si>
    <t>238914</t>
  </si>
  <si>
    <t>Nguyễn Trọng Đức</t>
  </si>
  <si>
    <t>239036</t>
  </si>
  <si>
    <t>Đào Huy Thương</t>
  </si>
  <si>
    <t>239037</t>
  </si>
  <si>
    <t>Nguyễn Thị Hằng</t>
  </si>
  <si>
    <t>239309</t>
  </si>
  <si>
    <t>Cao Xuân Dục</t>
  </si>
  <si>
    <t>239311</t>
  </si>
  <si>
    <t>Nguyễn Văn Hiếu</t>
  </si>
  <si>
    <t>239460</t>
  </si>
  <si>
    <t>239904</t>
  </si>
  <si>
    <t>Hoàng Đức Sơn</t>
  </si>
  <si>
    <t>240000</t>
  </si>
  <si>
    <t>240007</t>
  </si>
  <si>
    <t>Đỗ Ngọc Hải</t>
  </si>
  <si>
    <t>240214</t>
  </si>
  <si>
    <t>Lê Việt Tiệp</t>
  </si>
  <si>
    <t>240354</t>
  </si>
  <si>
    <t>Nguyễn Phi Hùng</t>
  </si>
  <si>
    <t>240447</t>
  </si>
  <si>
    <t>Lê Hồng Quân</t>
  </si>
  <si>
    <t>240660</t>
  </si>
  <si>
    <t>Đoàn Thị Phương</t>
  </si>
  <si>
    <t>240738</t>
  </si>
  <si>
    <t>Đào Thị Huyền</t>
  </si>
  <si>
    <t>240739</t>
  </si>
  <si>
    <t>Nguyễn Thị Loan</t>
  </si>
  <si>
    <t>240779</t>
  </si>
  <si>
    <t>Hoàng Văn Hiệp</t>
  </si>
  <si>
    <t>240799</t>
  </si>
  <si>
    <t>Đặng Thanh Tùng</t>
  </si>
  <si>
    <t>240865</t>
  </si>
  <si>
    <t>Đào Thị Nhung</t>
  </si>
  <si>
    <t>241051</t>
  </si>
  <si>
    <t>Đỗ Minh Thắng</t>
  </si>
  <si>
    <t>241089</t>
  </si>
  <si>
    <t>Lê Thúc Minh Tiến</t>
  </si>
  <si>
    <t>241091</t>
  </si>
  <si>
    <t>Bùi Thị Loan</t>
  </si>
  <si>
    <t>241095</t>
  </si>
  <si>
    <t>Nguyễn Xuân Chính</t>
  </si>
  <si>
    <t>241147</t>
  </si>
  <si>
    <t>Trần Nam Hải</t>
  </si>
  <si>
    <t>241353</t>
  </si>
  <si>
    <t>Lê Văn Bằng</t>
  </si>
  <si>
    <t>241354</t>
  </si>
  <si>
    <t>Đồng Quang Huy</t>
  </si>
  <si>
    <t>241355</t>
  </si>
  <si>
    <t>Đinh Công Kiên</t>
  </si>
  <si>
    <t>241356</t>
  </si>
  <si>
    <t>Võ Tùng Cương</t>
  </si>
  <si>
    <t>241516</t>
  </si>
  <si>
    <t>Hoàng Đăng Kiên</t>
  </si>
  <si>
    <t>242065</t>
  </si>
  <si>
    <t>Lê Nguyễn Thanh Tùng</t>
  </si>
  <si>
    <t>242067</t>
  </si>
  <si>
    <t>Hồ Sỹ Vinh</t>
  </si>
  <si>
    <t>242313</t>
  </si>
  <si>
    <t>Trần Quang Dũng</t>
  </si>
  <si>
    <t>242653</t>
  </si>
  <si>
    <t>Nguyễn Thị Thủy</t>
  </si>
  <si>
    <t>242654</t>
  </si>
  <si>
    <t>Lê Tuấn Đạt</t>
  </si>
  <si>
    <t>242745</t>
  </si>
  <si>
    <t>243013</t>
  </si>
  <si>
    <t>Nguyễn Viết Hùng</t>
  </si>
  <si>
    <t>243023</t>
  </si>
  <si>
    <t>Dương Thị Ngọc Huyền</t>
  </si>
  <si>
    <t>243024</t>
  </si>
  <si>
    <t>Phạm Thị Kim Dung</t>
  </si>
  <si>
    <t>243025</t>
  </si>
  <si>
    <t>Ngô Thị Yến Linh</t>
  </si>
  <si>
    <t>243249</t>
  </si>
  <si>
    <t>Nguyễn Ánh Nguyệt</t>
  </si>
  <si>
    <t>243250</t>
  </si>
  <si>
    <t>Nguyễn Thùy Tiên</t>
  </si>
  <si>
    <t>243323</t>
  </si>
  <si>
    <t>Mai Xuân Sinh</t>
  </si>
  <si>
    <t>243863</t>
  </si>
  <si>
    <t>Hoàng Anh Tuấn</t>
  </si>
  <si>
    <t>243864</t>
  </si>
  <si>
    <t>Ngô Văn Năng</t>
  </si>
  <si>
    <t>243882</t>
  </si>
  <si>
    <t>Lê Thị Tú</t>
  </si>
  <si>
    <t>243884</t>
  </si>
  <si>
    <t>Đinh Văn Lực</t>
  </si>
  <si>
    <t>243952</t>
  </si>
  <si>
    <t>Lê Minh Hiếu</t>
  </si>
  <si>
    <t>244155</t>
  </si>
  <si>
    <t>Hoàng Thị Lan Phương</t>
  </si>
  <si>
    <t>244686</t>
  </si>
  <si>
    <t>Nguyễn Văn Thuận</t>
  </si>
  <si>
    <t>244688</t>
  </si>
  <si>
    <t>Phạm Thị Thơm</t>
  </si>
  <si>
    <t>244757</t>
  </si>
  <si>
    <t>Đỗ Thị Xuân</t>
  </si>
  <si>
    <t>245314</t>
  </si>
  <si>
    <t>Đàm Quang Huy</t>
  </si>
  <si>
    <t>245315</t>
  </si>
  <si>
    <t>Nguyễn Quang Trung</t>
  </si>
  <si>
    <t>245319</t>
  </si>
  <si>
    <t>Hoàng Bá Cường</t>
  </si>
  <si>
    <t>245349</t>
  </si>
  <si>
    <t>Huỳnh Nhật Tú</t>
  </si>
  <si>
    <t>245352</t>
  </si>
  <si>
    <t>Hứa Thái Châu</t>
  </si>
  <si>
    <t>245466</t>
  </si>
  <si>
    <t>Hoàng Thị Hương Giang</t>
  </si>
  <si>
    <t>245476</t>
  </si>
  <si>
    <t>Đỗ Sơn Lâm</t>
  </si>
  <si>
    <t>245477</t>
  </si>
  <si>
    <t>Nguyễn Hữu Duy</t>
  </si>
  <si>
    <t>245555</t>
  </si>
  <si>
    <t>Trần Văn Bằng</t>
  </si>
  <si>
    <t>245558</t>
  </si>
  <si>
    <t>Lê Văn Cẩn</t>
  </si>
  <si>
    <t>245726</t>
  </si>
  <si>
    <t>Nguyễn Thị Hải Yến</t>
  </si>
  <si>
    <t>245786</t>
  </si>
  <si>
    <t>245788</t>
  </si>
  <si>
    <t>Bùi Thùy Trang</t>
  </si>
  <si>
    <t>245807</t>
  </si>
  <si>
    <t>Cao Thế Khanh</t>
  </si>
  <si>
    <t>245871</t>
  </si>
  <si>
    <t>Vũ Thị Hạnh</t>
  </si>
  <si>
    <t>246220</t>
  </si>
  <si>
    <t>Trần Văn Đức</t>
  </si>
  <si>
    <t>246234</t>
  </si>
  <si>
    <t>Nguyễn Đắc Hoàn</t>
  </si>
  <si>
    <t>246338</t>
  </si>
  <si>
    <t>Nguyễn Văn Nam</t>
  </si>
  <si>
    <t>246390</t>
  </si>
  <si>
    <t>Đinh Việt Hải</t>
  </si>
  <si>
    <t>246391</t>
  </si>
  <si>
    <t>Trương Thị Hà Trang</t>
  </si>
  <si>
    <t>246392</t>
  </si>
  <si>
    <t>Lý Nguyễn Hoàng Phúc</t>
  </si>
  <si>
    <t>246396</t>
  </si>
  <si>
    <t>Nguyễn Đình Dương</t>
  </si>
  <si>
    <t>246403</t>
  </si>
  <si>
    <t>Nguyễn Hoàng Thủ Khoa</t>
  </si>
  <si>
    <t>246503</t>
  </si>
  <si>
    <t>Dương Thị Quỳnh Ly</t>
  </si>
  <si>
    <t>246816</t>
  </si>
  <si>
    <t>Phùng Văn Lực</t>
  </si>
  <si>
    <t>246817</t>
  </si>
  <si>
    <t>Phạm Xuân Ngọc</t>
  </si>
  <si>
    <t>246818</t>
  </si>
  <si>
    <t>Trần Lê Lân</t>
  </si>
  <si>
    <t>247043</t>
  </si>
  <si>
    <t>Phạm Thị Hương Thu</t>
  </si>
  <si>
    <t>247044</t>
  </si>
  <si>
    <t>Dương Hoàng Liên</t>
  </si>
  <si>
    <t>247600</t>
  </si>
  <si>
    <t>Nguyễn Văn Thiết</t>
  </si>
  <si>
    <t>247601</t>
  </si>
  <si>
    <t>Nguyễn Thị Mai</t>
  </si>
  <si>
    <t>247994</t>
  </si>
  <si>
    <t>Trần Quang Trung</t>
  </si>
  <si>
    <t>249088</t>
  </si>
  <si>
    <t>Nguyễn Thị Vân Anh</t>
  </si>
  <si>
    <t>249094</t>
  </si>
  <si>
    <t>Lê Viết Quý</t>
  </si>
  <si>
    <t>249096</t>
  </si>
  <si>
    <t>Đặng Xuân Hoàng</t>
  </si>
  <si>
    <t>249098</t>
  </si>
  <si>
    <t>Đỗ Trường Xuân</t>
  </si>
  <si>
    <t>249101</t>
  </si>
  <si>
    <t>Bùi Thị Minh Ngọc</t>
  </si>
  <si>
    <t>249117</t>
  </si>
  <si>
    <t>Nguyễn Xuân Huy</t>
  </si>
  <si>
    <t>249339</t>
  </si>
  <si>
    <t>Cao Xuân Cảnh</t>
  </si>
  <si>
    <t>249487</t>
  </si>
  <si>
    <t>Ngô Thị Hiền</t>
  </si>
  <si>
    <t>249514</t>
  </si>
  <si>
    <t>Trần Duy Hà</t>
  </si>
  <si>
    <t>250230</t>
  </si>
  <si>
    <t>250328</t>
  </si>
  <si>
    <t>Nguyễn Quang Hưng</t>
  </si>
  <si>
    <t>250330</t>
  </si>
  <si>
    <t>Trần Minh Hiếu</t>
  </si>
  <si>
    <t>250371</t>
  </si>
  <si>
    <t>Cao Văn Đoàn</t>
  </si>
  <si>
    <t>250392</t>
  </si>
  <si>
    <t>Nguyễn Duy Quang</t>
  </si>
  <si>
    <t>250803</t>
  </si>
  <si>
    <t>Hoàng Công Tánh</t>
  </si>
  <si>
    <t>251015</t>
  </si>
  <si>
    <t>Nghiêm Văn Hào</t>
  </si>
  <si>
    <t>251016</t>
  </si>
  <si>
    <t>Trần Xuân Mạnh</t>
  </si>
  <si>
    <t>251017</t>
  </si>
  <si>
    <t>Hà Thị Hằng</t>
  </si>
  <si>
    <t>251018</t>
  </si>
  <si>
    <t>Phạm Thị Hương</t>
  </si>
  <si>
    <t>251019</t>
  </si>
  <si>
    <t>Trịnh Thị Thảo</t>
  </si>
  <si>
    <t>251354</t>
  </si>
  <si>
    <t>Nguyễn Quốc Hùng</t>
  </si>
  <si>
    <t>251384</t>
  </si>
  <si>
    <t>Nguyễn Thị Trâm Anh</t>
  </si>
  <si>
    <t>251479</t>
  </si>
  <si>
    <t>Nguyễn Việt Hà</t>
  </si>
  <si>
    <t>251830</t>
  </si>
  <si>
    <t>Đỗ Hoàng Phương Thảo</t>
  </si>
  <si>
    <t>251832</t>
  </si>
  <si>
    <t>Bùi Thanh Tùng</t>
  </si>
  <si>
    <t>251833</t>
  </si>
  <si>
    <t>Bùi Thị Lụa</t>
  </si>
  <si>
    <t>260581</t>
  </si>
  <si>
    <t>Dương Đăng Bách</t>
  </si>
  <si>
    <t>262428</t>
  </si>
  <si>
    <t>Nguyễn Hoàng Nam</t>
  </si>
  <si>
    <t>262586</t>
  </si>
  <si>
    <t>Vũ Thị Ngọc Lanh</t>
  </si>
  <si>
    <t>262670</t>
  </si>
  <si>
    <t>Nguyễn Hồng Nhật</t>
  </si>
  <si>
    <t>262696</t>
  </si>
  <si>
    <t>Nguyễn Khắc Tùng</t>
  </si>
  <si>
    <t>262883</t>
  </si>
  <si>
    <t>Nguyễn Văn Thành</t>
  </si>
  <si>
    <t>262884</t>
  </si>
  <si>
    <t>Nguyễn Thị Phương</t>
  </si>
  <si>
    <t>262904</t>
  </si>
  <si>
    <t>Lương Thu Hương</t>
  </si>
  <si>
    <t>263012</t>
  </si>
  <si>
    <t>Ngô Tuấn Minh</t>
  </si>
  <si>
    <t>263122</t>
  </si>
  <si>
    <t>Nguyễn Bảo Quốc</t>
  </si>
  <si>
    <t>264580</t>
  </si>
  <si>
    <t>Vũ Văn Dũng</t>
  </si>
  <si>
    <t>265015</t>
  </si>
  <si>
    <t>265289</t>
  </si>
  <si>
    <t>Đặng Thanh Huyền</t>
  </si>
  <si>
    <t>265460</t>
  </si>
  <si>
    <t>Lê Trung Kiên</t>
  </si>
  <si>
    <t>265528</t>
  </si>
  <si>
    <t>Nguyễn Văn Phong</t>
  </si>
  <si>
    <t>265890</t>
  </si>
  <si>
    <t>Lê Thị Thùy Trinh</t>
  </si>
  <si>
    <t>266740</t>
  </si>
  <si>
    <t>Đinh Văn Duy</t>
  </si>
  <si>
    <t>266815</t>
  </si>
  <si>
    <t>Trần Đức Thịnh</t>
  </si>
  <si>
    <t>266859</t>
  </si>
  <si>
    <t>Nguyễn Quang Linh</t>
  </si>
  <si>
    <t>266860</t>
  </si>
  <si>
    <t>266861</t>
  </si>
  <si>
    <t>Hồ Nghĩa Dương</t>
  </si>
  <si>
    <t>266900</t>
  </si>
  <si>
    <t>Lê Như Quỳnh</t>
  </si>
  <si>
    <t>266901</t>
  </si>
  <si>
    <t>Ninh Đức Tuấn</t>
  </si>
  <si>
    <t>266903</t>
  </si>
  <si>
    <t>Vũ Nhật Hiếu</t>
  </si>
  <si>
    <t>267110</t>
  </si>
  <si>
    <t>Trương Đức Tài</t>
  </si>
  <si>
    <t>267374</t>
  </si>
  <si>
    <t>Phạm Văn Đoán</t>
  </si>
  <si>
    <t>267375</t>
  </si>
  <si>
    <t>Vi Quang Hiệp</t>
  </si>
  <si>
    <t>268083</t>
  </si>
  <si>
    <t>Phan Đăng Minh</t>
  </si>
  <si>
    <t>268085</t>
  </si>
  <si>
    <t>Cao Đăng Sao</t>
  </si>
  <si>
    <t>268914</t>
  </si>
  <si>
    <t>Đinh Quốc Toàn</t>
  </si>
  <si>
    <t>269140</t>
  </si>
  <si>
    <t>Đào Ngọc Lâm</t>
  </si>
  <si>
    <t>269244</t>
  </si>
  <si>
    <t>Nguyễn Linh Phương</t>
  </si>
  <si>
    <t>269717</t>
  </si>
  <si>
    <t>Đàm Thị Minh Thu</t>
  </si>
  <si>
    <t>269724</t>
  </si>
  <si>
    <t>Lê Thị Thành</t>
  </si>
  <si>
    <t>269742</t>
  </si>
  <si>
    <t>Chu Trọng Kiên</t>
  </si>
  <si>
    <t>269930</t>
  </si>
  <si>
    <t>Phùng Thế Đạt</t>
  </si>
  <si>
    <t>270068</t>
  </si>
  <si>
    <t>Đinh Hoàng Quyết</t>
  </si>
  <si>
    <t>270149</t>
  </si>
  <si>
    <t>Vũ Văn Thuận</t>
  </si>
  <si>
    <t>270521</t>
  </si>
  <si>
    <t>Công Minh Hiếu</t>
  </si>
  <si>
    <t>270525</t>
  </si>
  <si>
    <t>Đỗ Thị Thanh Hà</t>
  </si>
  <si>
    <t>270529</t>
  </si>
  <si>
    <t>270944</t>
  </si>
  <si>
    <t>Lê Ngọc Lâm</t>
  </si>
  <si>
    <t>270951</t>
  </si>
  <si>
    <t>Nguyễn Đình Sơn</t>
  </si>
  <si>
    <t>270953</t>
  </si>
  <si>
    <t>271069</t>
  </si>
  <si>
    <t>Vũ Vân Long</t>
  </si>
  <si>
    <t>271236</t>
  </si>
  <si>
    <t>Hoàng Văn Hào</t>
  </si>
  <si>
    <t>271297</t>
  </si>
  <si>
    <t>271299</t>
  </si>
  <si>
    <t>271304</t>
  </si>
  <si>
    <t>271380</t>
  </si>
  <si>
    <t>Nguyễn Thị Thúy Hằng</t>
  </si>
  <si>
    <t>271407</t>
  </si>
  <si>
    <t>Dương Thị Thoa</t>
  </si>
  <si>
    <t>271570</t>
  </si>
  <si>
    <t>Đặng Anh Tú</t>
  </si>
  <si>
    <t>271575</t>
  </si>
  <si>
    <t>Lê Thị Lan Hương</t>
  </si>
  <si>
    <t>271598</t>
  </si>
  <si>
    <t>Lê Văn Sáng</t>
  </si>
  <si>
    <t>271822</t>
  </si>
  <si>
    <t>Nguyễn Thúy Hiền</t>
  </si>
  <si>
    <t>271900</t>
  </si>
  <si>
    <t>Lê Quang Hưng</t>
  </si>
  <si>
    <t>272207</t>
  </si>
  <si>
    <t>Nguyễn Huy Hoàng</t>
  </si>
  <si>
    <t>272499</t>
  </si>
  <si>
    <t>Thái Thị Quỳnh Trang</t>
  </si>
  <si>
    <t>272688</t>
  </si>
  <si>
    <t>Ngô Văn Ninh</t>
  </si>
  <si>
    <t>272715</t>
  </si>
  <si>
    <t>Vũ Văn Đại</t>
  </si>
  <si>
    <t>272736</t>
  </si>
  <si>
    <t>Trương Bá Mạnh</t>
  </si>
  <si>
    <t>272779</t>
  </si>
  <si>
    <t>Nguyễn Thị Huế</t>
  </si>
  <si>
    <t>272783</t>
  </si>
  <si>
    <t>Nguyễn Thị Quỳnh</t>
  </si>
  <si>
    <t>272784</t>
  </si>
  <si>
    <t>Nguyễn Đình Minh</t>
  </si>
  <si>
    <t>272785</t>
  </si>
  <si>
    <t>Trịnh Ngọc Anh</t>
  </si>
  <si>
    <t>272957</t>
  </si>
  <si>
    <t>Đào Thị Trang</t>
  </si>
  <si>
    <t>273430</t>
  </si>
  <si>
    <t>Hoàng Anh Đức</t>
  </si>
  <si>
    <t>273489</t>
  </si>
  <si>
    <t>Trần Trọng Nghĩa</t>
  </si>
  <si>
    <t>273490</t>
  </si>
  <si>
    <t>Đỗ Ngọc Hải Đăng</t>
  </si>
  <si>
    <t>273675</t>
  </si>
  <si>
    <t>273678</t>
  </si>
  <si>
    <t>Hoàng Thị Quỳnh</t>
  </si>
  <si>
    <t>273698</t>
  </si>
  <si>
    <t>Phạm Trung Sơn</t>
  </si>
  <si>
    <t>274168</t>
  </si>
  <si>
    <t>Phan Quang Huy</t>
  </si>
  <si>
    <t>274170</t>
  </si>
  <si>
    <t>Trần Thanh Tùng</t>
  </si>
  <si>
    <t>274326</t>
  </si>
  <si>
    <t>Hoàng Thanh Tùng</t>
  </si>
  <si>
    <t>275287</t>
  </si>
  <si>
    <t>Đậu Danh Quyết</t>
  </si>
  <si>
    <t>275296</t>
  </si>
  <si>
    <t>Nguyễn Đình Tâm</t>
  </si>
  <si>
    <t>275336</t>
  </si>
  <si>
    <t>Nguyễn Ngọc Quỳnh</t>
  </si>
  <si>
    <t>275807</t>
  </si>
  <si>
    <t>Nguyễn Thị Vân Nhã</t>
  </si>
  <si>
    <t>275817</t>
  </si>
  <si>
    <t>Dương Văn Ngọc</t>
  </si>
  <si>
    <t>275818</t>
  </si>
  <si>
    <t>Hán Đình Hồng</t>
  </si>
  <si>
    <t>275819</t>
  </si>
  <si>
    <t>Nguyễn Hữu Hưng</t>
  </si>
  <si>
    <t>275822</t>
  </si>
  <si>
    <t>Đoàn Đức Lợi</t>
  </si>
  <si>
    <t>275850</t>
  </si>
  <si>
    <t>Trần Thị Thu Huệ</t>
  </si>
  <si>
    <t>276031</t>
  </si>
  <si>
    <t>276033</t>
  </si>
  <si>
    <t>Nguyễn Thị Hoa</t>
  </si>
  <si>
    <t>276035</t>
  </si>
  <si>
    <t>Trần Quốc Đạt</t>
  </si>
  <si>
    <t>276311</t>
  </si>
  <si>
    <t>Trần Quốc Dũng</t>
  </si>
  <si>
    <t>276326</t>
  </si>
  <si>
    <t>276380</t>
  </si>
  <si>
    <t>Phí Văn Nam</t>
  </si>
  <si>
    <t>276463</t>
  </si>
  <si>
    <t>Trần Bình Minh</t>
  </si>
  <si>
    <t>276630</t>
  </si>
  <si>
    <t>Đoàn Văn Sơn</t>
  </si>
  <si>
    <t>277141</t>
  </si>
  <si>
    <t>Đỗ Ngọc Dương</t>
  </si>
  <si>
    <t>277339</t>
  </si>
  <si>
    <t>Nguyễn Thị Kim Ngân</t>
  </si>
  <si>
    <t>277728</t>
  </si>
  <si>
    <t>Nguyễn Thanh Bình</t>
  </si>
  <si>
    <t>277729</t>
  </si>
  <si>
    <t>Hồ Hưng Duy</t>
  </si>
  <si>
    <t>277784</t>
  </si>
  <si>
    <t>Đinh Đắc Cường</t>
  </si>
  <si>
    <t>278333</t>
  </si>
  <si>
    <t>Đỗ Duy Khánh</t>
  </si>
  <si>
    <t>278335</t>
  </si>
  <si>
    <t>Trần Hoàng Linh</t>
  </si>
  <si>
    <t>278431</t>
  </si>
  <si>
    <t>Phạm Thị Phương Linh</t>
  </si>
  <si>
    <t>278953</t>
  </si>
  <si>
    <t>Phạm Hoàng Lai</t>
  </si>
  <si>
    <t>278970</t>
  </si>
  <si>
    <t>Đoàn Hữu Hướng</t>
  </si>
  <si>
    <t>279724</t>
  </si>
  <si>
    <t>Nguyễn Đức Tài</t>
  </si>
  <si>
    <t>279732</t>
  </si>
  <si>
    <t>Trần Quang Nhường</t>
  </si>
  <si>
    <t>279772</t>
  </si>
  <si>
    <t>Phạm Thị Hà</t>
  </si>
  <si>
    <t>280086</t>
  </si>
  <si>
    <t>Đỗ Quang Thắng</t>
  </si>
  <si>
    <t>280648</t>
  </si>
  <si>
    <t>Hoàng Mỹ Linh</t>
  </si>
  <si>
    <t>281298</t>
  </si>
  <si>
    <t>Lương Thị Thoa</t>
  </si>
  <si>
    <t>281305</t>
  </si>
  <si>
    <t>Lê Thị Hồng Nguyệt</t>
  </si>
  <si>
    <t>281804</t>
  </si>
  <si>
    <t>Trần Thị Huyền Trang</t>
  </si>
  <si>
    <t>281998</t>
  </si>
  <si>
    <t>Phạm Văn Chính</t>
  </si>
  <si>
    <t>282345</t>
  </si>
  <si>
    <t>282976</t>
  </si>
  <si>
    <t>Nguyễn Thị Thương Huyền</t>
  </si>
  <si>
    <t>282982</t>
  </si>
  <si>
    <t>Chu Quang Dần</t>
  </si>
  <si>
    <t>282984</t>
  </si>
  <si>
    <t>Hồ Viết San</t>
  </si>
  <si>
    <t>282985</t>
  </si>
  <si>
    <t>Lê Văn Hiếu</t>
  </si>
  <si>
    <t>284027</t>
  </si>
  <si>
    <t>Trần Lê Hồng Khánh</t>
  </si>
  <si>
    <t>284535</t>
  </si>
  <si>
    <t>Lê Thị Hồng Ngọc</t>
  </si>
  <si>
    <t>284536</t>
  </si>
  <si>
    <t>Đào Mạnh Lượng</t>
  </si>
  <si>
    <t>284759</t>
  </si>
  <si>
    <t>Phạm Trung Hiếu</t>
  </si>
  <si>
    <t>284785</t>
  </si>
  <si>
    <t>Mai Thu Hà</t>
  </si>
  <si>
    <t>285407</t>
  </si>
  <si>
    <t>Nguyễn Tiến Nam</t>
  </si>
  <si>
    <t>286256</t>
  </si>
  <si>
    <t>Vũ Thị Trang</t>
  </si>
  <si>
    <t>288897</t>
  </si>
  <si>
    <t>Lê Công Vĩnh</t>
  </si>
  <si>
    <t>288935</t>
  </si>
  <si>
    <t>Đinh Ngọc Sơn</t>
  </si>
  <si>
    <t>289560</t>
  </si>
  <si>
    <t>Nguyễn Văn Thắng</t>
  </si>
  <si>
    <t>289566</t>
  </si>
  <si>
    <t>Trần Minh Thắng</t>
  </si>
  <si>
    <t>289567</t>
  </si>
  <si>
    <t>Đào Minh Long</t>
  </si>
  <si>
    <t>289574</t>
  </si>
  <si>
    <t>Nguyễn Đình Khuê</t>
  </si>
  <si>
    <t>289838</t>
  </si>
  <si>
    <t>Tạ Thị Thanh Lâm</t>
  </si>
  <si>
    <t>290136</t>
  </si>
  <si>
    <t>Tô Quốc Hùng</t>
  </si>
  <si>
    <t>290148</t>
  </si>
  <si>
    <t>Nghiêm Văn Quân</t>
  </si>
  <si>
    <t>290199</t>
  </si>
  <si>
    <t>290428</t>
  </si>
  <si>
    <t>Hoàng Đức Trường</t>
  </si>
  <si>
    <t>290432</t>
  </si>
  <si>
    <t>Đỗ Việt Trung</t>
  </si>
  <si>
    <t>290843</t>
  </si>
  <si>
    <t>Nguyễn Hoàng Linh</t>
  </si>
  <si>
    <t>290857</t>
  </si>
  <si>
    <t>Lương Hải Quân</t>
  </si>
  <si>
    <t>290861</t>
  </si>
  <si>
    <t>Chu Hữu Khánh</t>
  </si>
  <si>
    <t>291030</t>
  </si>
  <si>
    <t>Vũ Trà My</t>
  </si>
  <si>
    <t>291217</t>
  </si>
  <si>
    <t>Hoàng Hữu Dương</t>
  </si>
  <si>
    <t>291218</t>
  </si>
  <si>
    <t>Lâm Minh Quân</t>
  </si>
  <si>
    <t>291343</t>
  </si>
  <si>
    <t>Nguyễn Phú Lâm</t>
  </si>
  <si>
    <t>291571</t>
  </si>
  <si>
    <t>291708</t>
  </si>
  <si>
    <t>Nguyễn Minh Nguyệt</t>
  </si>
  <si>
    <t>291849</t>
  </si>
  <si>
    <t>Trương Việt Hoàng</t>
  </si>
  <si>
    <t>291887</t>
  </si>
  <si>
    <t>Phạm Thị Quyên</t>
  </si>
  <si>
    <t>292548</t>
  </si>
  <si>
    <t>Đoàn Như Nhật Anh</t>
  </si>
  <si>
    <t>292552</t>
  </si>
  <si>
    <t>Cao Ngọc Sơn</t>
  </si>
  <si>
    <t>292553</t>
  </si>
  <si>
    <t>Phạm Thị Thu Trang</t>
  </si>
  <si>
    <t>292558</t>
  </si>
  <si>
    <t>Nguyễn Chí Dũng</t>
  </si>
  <si>
    <t>292561</t>
  </si>
  <si>
    <t>Hoàng Văn Hiếu</t>
  </si>
  <si>
    <t>292563</t>
  </si>
  <si>
    <t>Phạm Văn Tiến</t>
  </si>
  <si>
    <t>293060</t>
  </si>
  <si>
    <t>Lã Văn Quy</t>
  </si>
  <si>
    <t>293213</t>
  </si>
  <si>
    <t>Lê Ngọc Anh</t>
  </si>
  <si>
    <t>293215</t>
  </si>
  <si>
    <t>Thái Phát Triển</t>
  </si>
  <si>
    <t>293830</t>
  </si>
  <si>
    <t>Phương Hàn Ly</t>
  </si>
  <si>
    <t>293832</t>
  </si>
  <si>
    <t>293973</t>
  </si>
  <si>
    <t>Nguyễn Ngọc Hải</t>
  </si>
  <si>
    <t>294128</t>
  </si>
  <si>
    <t>Huỳnh Viết Thông</t>
  </si>
  <si>
    <t>294137</t>
  </si>
  <si>
    <t>Đoàn Tuấn Sơn</t>
  </si>
  <si>
    <t>294138</t>
  </si>
  <si>
    <t>Ngô Quốc Đạt</t>
  </si>
  <si>
    <t>294152</t>
  </si>
  <si>
    <t>Nguyễn Thị Thu Trang</t>
  </si>
  <si>
    <t>305960</t>
  </si>
  <si>
    <t>Phạm Dương Nam</t>
  </si>
  <si>
    <t>427193</t>
  </si>
  <si>
    <t>427196</t>
  </si>
  <si>
    <t>Tô Bảo Đồng</t>
  </si>
  <si>
    <t>427204</t>
  </si>
  <si>
    <t>427395</t>
  </si>
  <si>
    <t>Ngô Thiên Phú</t>
  </si>
  <si>
    <t>427542</t>
  </si>
  <si>
    <t>Nguyễn Thị Hồng Minh</t>
  </si>
  <si>
    <t>428105</t>
  </si>
  <si>
    <t>Vũ Đức Thái</t>
  </si>
  <si>
    <t>428604</t>
  </si>
  <si>
    <t>Dương Mạnh Thắng</t>
  </si>
  <si>
    <t>428605</t>
  </si>
  <si>
    <t>429069</t>
  </si>
  <si>
    <t>Nguyễn Hữu Doanh</t>
  </si>
  <si>
    <t>429150</t>
  </si>
  <si>
    <t>Vũ Duy Khanh</t>
  </si>
  <si>
    <t>429229</t>
  </si>
  <si>
    <t>Nguyễn Duy Phong</t>
  </si>
  <si>
    <t>429450</t>
  </si>
  <si>
    <t>429452</t>
  </si>
  <si>
    <t>Diệp Từ Hiếu</t>
  </si>
  <si>
    <t>430133</t>
  </si>
  <si>
    <t>Nguyễn Đức Toản</t>
  </si>
  <si>
    <t>430462</t>
  </si>
  <si>
    <t>430463</t>
  </si>
  <si>
    <t>Lê Công Tuấn</t>
  </si>
  <si>
    <t>430736</t>
  </si>
  <si>
    <t>Đỗ Văn Phương</t>
  </si>
  <si>
    <t>430901</t>
  </si>
  <si>
    <t>Nguyễn Trần Đạt</t>
  </si>
  <si>
    <t>431060</t>
  </si>
  <si>
    <t>Đàm Mạnh Tiến</t>
  </si>
  <si>
    <t>431499</t>
  </si>
  <si>
    <t>Tô Thanh Nhã</t>
  </si>
  <si>
    <t>431864</t>
  </si>
  <si>
    <t>Phan Thị Hồng Linh</t>
  </si>
  <si>
    <t>431893</t>
  </si>
  <si>
    <t>431909</t>
  </si>
  <si>
    <t>Nguyễn Quang Chung</t>
  </si>
  <si>
    <t>432361</t>
  </si>
  <si>
    <t>Nguyễn Hồng Sơn</t>
  </si>
  <si>
    <t>432482</t>
  </si>
  <si>
    <t>Hà Thị Anh</t>
  </si>
  <si>
    <t>432485</t>
  </si>
  <si>
    <t>Vũ Xuân Lâm</t>
  </si>
  <si>
    <t>432901</t>
  </si>
  <si>
    <t>Nguyễn Thị Thùy</t>
  </si>
  <si>
    <t>433066</t>
  </si>
  <si>
    <t>Phạm Ngọc Thiện</t>
  </si>
  <si>
    <t>433270</t>
  </si>
  <si>
    <t>Vũ Minh Hiếu</t>
  </si>
  <si>
    <t>433553</t>
  </si>
  <si>
    <t>Phạm Quang Huy</t>
  </si>
  <si>
    <t>433642</t>
  </si>
  <si>
    <t>Lê Chí Phát</t>
  </si>
  <si>
    <t>433746</t>
  </si>
  <si>
    <t>Lê Anh Tài</t>
  </si>
  <si>
    <t>433748</t>
  </si>
  <si>
    <t>Lê Anh Tuân</t>
  </si>
  <si>
    <t>434404</t>
  </si>
  <si>
    <t>Dương Đình Nam</t>
  </si>
  <si>
    <t>434427</t>
  </si>
  <si>
    <t>Trần Thị Hoa Hiên</t>
  </si>
  <si>
    <t>434428</t>
  </si>
  <si>
    <t>Đinh Thế Cường</t>
  </si>
  <si>
    <t>434751</t>
  </si>
  <si>
    <t>Trần Việt Thắng</t>
  </si>
  <si>
    <t>434846</t>
  </si>
  <si>
    <t>Phạm Tiến Đạt</t>
  </si>
  <si>
    <t>434850</t>
  </si>
  <si>
    <t>Nguyễn Đức Long</t>
  </si>
  <si>
    <t>435016</t>
  </si>
  <si>
    <t>Huỳnh Minh Trí</t>
  </si>
  <si>
    <t>435810</t>
  </si>
  <si>
    <t>Trần Hiếu Trung</t>
  </si>
  <si>
    <t>436204</t>
  </si>
  <si>
    <t>Nguyễn Văn Trung</t>
  </si>
  <si>
    <t>436519</t>
  </si>
  <si>
    <t>Hoàng Văn Thư</t>
  </si>
  <si>
    <t>436753</t>
  </si>
  <si>
    <t>Đỗ Văn Nhất</t>
  </si>
  <si>
    <t>436782</t>
  </si>
  <si>
    <t>Bùi Xuân Hậu</t>
  </si>
  <si>
    <t>437625</t>
  </si>
  <si>
    <t>Lê Phương Nam</t>
  </si>
  <si>
    <t>437630</t>
  </si>
  <si>
    <t>Trần Ngọc Khiêm</t>
  </si>
  <si>
    <t>437633</t>
  </si>
  <si>
    <t>Nguyễn Ngọc Tiến</t>
  </si>
  <si>
    <t>437917</t>
  </si>
  <si>
    <t>Trương Quang Bách</t>
  </si>
  <si>
    <t>438155</t>
  </si>
  <si>
    <t>Hà Long Quyền</t>
  </si>
  <si>
    <t>438221</t>
  </si>
  <si>
    <t>Nguyễn Viết Tùng</t>
  </si>
  <si>
    <t>438557</t>
  </si>
  <si>
    <t>Trần Thị Minh Hồng</t>
  </si>
  <si>
    <t>439004</t>
  </si>
  <si>
    <t>Nguyễn Đặng Chung Đức</t>
  </si>
  <si>
    <t>439012</t>
  </si>
  <si>
    <t>Trần Ngọc Trâm</t>
  </si>
  <si>
    <t>439026</t>
  </si>
  <si>
    <t>Nguyễn Chi Mai</t>
  </si>
  <si>
    <t>439034</t>
  </si>
  <si>
    <t>Phùng Mạnh Dũng</t>
  </si>
  <si>
    <t>439127</t>
  </si>
  <si>
    <t>Bùi Thế Lâm</t>
  </si>
  <si>
    <t>439128</t>
  </si>
  <si>
    <t>Đào Thị Thu Giang</t>
  </si>
  <si>
    <t>439129</t>
  </si>
  <si>
    <t>Mai Xuân Ngọc</t>
  </si>
  <si>
    <t>439130</t>
  </si>
  <si>
    <t>Lê Hồ Long</t>
  </si>
  <si>
    <t>439204</t>
  </si>
  <si>
    <t>Ngô Thế Quân</t>
  </si>
  <si>
    <t>439269</t>
  </si>
  <si>
    <t>Nguyễn Thái Dương</t>
  </si>
  <si>
    <t>439329</t>
  </si>
  <si>
    <t>Hoàng Hải Long</t>
  </si>
  <si>
    <t>439487</t>
  </si>
  <si>
    <t>Đinh Tiến Dương</t>
  </si>
  <si>
    <t>439494</t>
  </si>
  <si>
    <t>Nguyễn Ngọc Hoàng</t>
  </si>
  <si>
    <t>439495</t>
  </si>
  <si>
    <t>Nguyễn Đức Kiên</t>
  </si>
  <si>
    <t>439596</t>
  </si>
  <si>
    <t>Trần Nguyên Khải</t>
  </si>
  <si>
    <t>439597</t>
  </si>
  <si>
    <t>Nguyễn Đình Tú</t>
  </si>
  <si>
    <t>439598</t>
  </si>
  <si>
    <t>Nguyễn Quang Thanh</t>
  </si>
  <si>
    <t>439599</t>
  </si>
  <si>
    <t>Nguyễn Ngô Tiến Phú</t>
  </si>
  <si>
    <t>439614</t>
  </si>
  <si>
    <t>Nguyễn Huy Đức</t>
  </si>
  <si>
    <t>439615</t>
  </si>
  <si>
    <t>Trần Duy Đạt</t>
  </si>
  <si>
    <t>439851</t>
  </si>
  <si>
    <t>Phùng Văn Huy</t>
  </si>
  <si>
    <t>439954</t>
  </si>
  <si>
    <t>Nguyễn Thế Công Minh</t>
  </si>
  <si>
    <t>440201</t>
  </si>
  <si>
    <t>Lê Đức Lâm Vũ</t>
  </si>
  <si>
    <t>440210</t>
  </si>
  <si>
    <t>Nguyễn Thanh Tùng</t>
  </si>
  <si>
    <t>440214</t>
  </si>
  <si>
    <t>440660</t>
  </si>
  <si>
    <t>Dương Đức Thăng</t>
  </si>
  <si>
    <t>441035</t>
  </si>
  <si>
    <t>Đỗ Ngọc Phi Long</t>
  </si>
  <si>
    <t>441120</t>
  </si>
  <si>
    <t>Trần Văn Tiến</t>
  </si>
  <si>
    <t>441225</t>
  </si>
  <si>
    <t>441295</t>
  </si>
  <si>
    <t>441296</t>
  </si>
  <si>
    <t>Nguyễn Trung Trí</t>
  </si>
  <si>
    <t>441341</t>
  </si>
  <si>
    <t>Hoàng Văn Thịnh</t>
  </si>
  <si>
    <t>441342</t>
  </si>
  <si>
    <t>Nguyễn Phi Đắc</t>
  </si>
  <si>
    <t>441343</t>
  </si>
  <si>
    <t>Vũ Đức Độ</t>
  </si>
  <si>
    <t>441446</t>
  </si>
  <si>
    <t>Đặng Công Mạnh</t>
  </si>
  <si>
    <t>441579</t>
  </si>
  <si>
    <t>Nguyễn Thị Trang</t>
  </si>
  <si>
    <t>441580</t>
  </si>
  <si>
    <t>Nguyễn Thế Cơ</t>
  </si>
  <si>
    <t>441582</t>
  </si>
  <si>
    <t>Nguyễn Xuân Tuấn</t>
  </si>
  <si>
    <t>441599</t>
  </si>
  <si>
    <t>Hoàng Đăng Ý</t>
  </si>
  <si>
    <t>441600</t>
  </si>
  <si>
    <t>Dương Minh Thắng</t>
  </si>
  <si>
    <t>442673</t>
  </si>
  <si>
    <t>Hồ Đặng Thanh Hồ</t>
  </si>
  <si>
    <t>442881</t>
  </si>
  <si>
    <t>Ngô Ngọc Thịnh</t>
  </si>
  <si>
    <t>443008</t>
  </si>
  <si>
    <t>Phùng Tuấn Linh</t>
  </si>
  <si>
    <t>443009</t>
  </si>
  <si>
    <t>Nguyễn Cao Lương</t>
  </si>
  <si>
    <t>443198</t>
  </si>
  <si>
    <t>Trần Uy Sơn</t>
  </si>
  <si>
    <t>443367</t>
  </si>
  <si>
    <t>Trần Quang Vinh</t>
  </si>
  <si>
    <t>443625</t>
  </si>
  <si>
    <t>Phạm Duy Giác Nguyên</t>
  </si>
  <si>
    <t>443806</t>
  </si>
  <si>
    <t>Hoàng Minh Tân</t>
  </si>
  <si>
    <t>444052</t>
  </si>
  <si>
    <t>444115</t>
  </si>
  <si>
    <t>Nguyễn Sơn Tùng</t>
  </si>
  <si>
    <t>444304</t>
  </si>
  <si>
    <t>Phan Đăng Duy</t>
  </si>
  <si>
    <t>444394</t>
  </si>
  <si>
    <t>Lê Trần Đạo</t>
  </si>
  <si>
    <t>444585</t>
  </si>
  <si>
    <t>Nguyễn Trung Phong</t>
  </si>
  <si>
    <t>444591</t>
  </si>
  <si>
    <t>Nguyễn Vũ Hoàng Long</t>
  </si>
  <si>
    <t>446141</t>
  </si>
  <si>
    <t>Đỗ Thiên Định</t>
  </si>
  <si>
    <t>446143</t>
  </si>
  <si>
    <t>Lý Hồng Thắng</t>
  </si>
  <si>
    <t>446145</t>
  </si>
  <si>
    <t>446285</t>
  </si>
  <si>
    <t>Lê Tuấn Vũ</t>
  </si>
  <si>
    <t>446289</t>
  </si>
  <si>
    <t>Kiều Tấn Phát</t>
  </si>
  <si>
    <t>446291</t>
  </si>
  <si>
    <t>Vũ Ngọc Cường</t>
  </si>
  <si>
    <t>446293</t>
  </si>
  <si>
    <t>Hoàng Minh Đức</t>
  </si>
  <si>
    <t>446297</t>
  </si>
  <si>
    <t>Bùi Duy Tiến</t>
  </si>
  <si>
    <t>447097</t>
  </si>
  <si>
    <t>Lê Tân Việt</t>
  </si>
  <si>
    <t>447099</t>
  </si>
  <si>
    <t>Nguyễn Kim Ngân</t>
  </si>
  <si>
    <t>447161</t>
  </si>
  <si>
    <t>Hoàng Thị Thu Hương</t>
  </si>
  <si>
    <t>447327</t>
  </si>
  <si>
    <t>Phạm Huy Anh</t>
  </si>
  <si>
    <t>447329</t>
  </si>
  <si>
    <t>Lê Việt Hoàng</t>
  </si>
  <si>
    <t>447341</t>
  </si>
  <si>
    <t>Nguyễn Nhật Anh</t>
  </si>
  <si>
    <t>447379</t>
  </si>
  <si>
    <t>447665</t>
  </si>
  <si>
    <t>Trần Minh Dũng</t>
  </si>
  <si>
    <t>447885</t>
  </si>
  <si>
    <t>Ngô Minh Khánh</t>
  </si>
  <si>
    <t>447905</t>
  </si>
  <si>
    <t>Nguyễn Tùng Sơn</t>
  </si>
  <si>
    <t>448217</t>
  </si>
  <si>
    <t>Lê Nam Khánh</t>
  </si>
  <si>
    <t>448219</t>
  </si>
  <si>
    <t>Lê Hoàng Nguyên</t>
  </si>
  <si>
    <t>448229</t>
  </si>
  <si>
    <t>Trần Ngọc Anh</t>
  </si>
  <si>
    <t>448235</t>
  </si>
  <si>
    <t>448239</t>
  </si>
  <si>
    <t>Nguyễn Đình Tuấn</t>
  </si>
  <si>
    <t>449469</t>
  </si>
  <si>
    <t>Lê Kiều Trang</t>
  </si>
  <si>
    <t>449471</t>
  </si>
  <si>
    <t>Phạm Sơn Lâm</t>
  </si>
  <si>
    <t>449481</t>
  </si>
  <si>
    <t>Nguyễn Huy Phương</t>
  </si>
  <si>
    <t>449871</t>
  </si>
  <si>
    <t>Phùng Hoài Nam</t>
  </si>
  <si>
    <t>449885</t>
  </si>
  <si>
    <t>Hồ Hải Quân</t>
  </si>
  <si>
    <t>449887</t>
  </si>
  <si>
    <t>450245</t>
  </si>
  <si>
    <t>Nguyễn Đắc Tú</t>
  </si>
  <si>
    <t>450321</t>
  </si>
  <si>
    <t>Hoàng Hải Hà Trang</t>
  </si>
  <si>
    <t>450533</t>
  </si>
  <si>
    <t>450561</t>
  </si>
  <si>
    <t>Đặng Văn Quang</t>
  </si>
  <si>
    <t>450567</t>
  </si>
  <si>
    <t>Mai Ngọc Trinh</t>
  </si>
  <si>
    <t>450569</t>
  </si>
  <si>
    <t>Nguyễn Sỹ Đại</t>
  </si>
  <si>
    <t>451083</t>
  </si>
  <si>
    <t>Lại Minh Hà</t>
  </si>
  <si>
    <t>451123</t>
  </si>
  <si>
    <t>451125</t>
  </si>
  <si>
    <t>Nguyễn Văn Tiến</t>
  </si>
  <si>
    <t>451131</t>
  </si>
  <si>
    <t>451139</t>
  </si>
  <si>
    <t>Phan Tuấn Bách</t>
  </si>
  <si>
    <t>451497</t>
  </si>
  <si>
    <t>451677</t>
  </si>
  <si>
    <t>Nguyễn Thiên Long</t>
  </si>
  <si>
    <t>451681</t>
  </si>
  <si>
    <t>Lê Quang Giáp</t>
  </si>
  <si>
    <t>451885</t>
  </si>
  <si>
    <t>Trần Quang Hà</t>
  </si>
  <si>
    <t>451891</t>
  </si>
  <si>
    <t>Bùi Đức Chế</t>
  </si>
  <si>
    <t>451897</t>
  </si>
  <si>
    <t>Nguyễn Đức Việt</t>
  </si>
  <si>
    <t>451899</t>
  </si>
  <si>
    <t>Vũ Văn Trung</t>
  </si>
  <si>
    <t>452469</t>
  </si>
  <si>
    <t>452761</t>
  </si>
  <si>
    <t>Lại Thị Huyền Thương</t>
  </si>
  <si>
    <t>452769</t>
  </si>
  <si>
    <t>Hà Thanh Tùng</t>
  </si>
  <si>
    <t>452773</t>
  </si>
  <si>
    <t>Phạm Thanh Trà</t>
  </si>
  <si>
    <t>452775</t>
  </si>
  <si>
    <t>Phùng Tiến Công</t>
  </si>
  <si>
    <t>452779</t>
  </si>
  <si>
    <t>Nguyễn Danh Nam</t>
  </si>
  <si>
    <t>452921</t>
  </si>
  <si>
    <t>453035</t>
  </si>
  <si>
    <t>Lê Phương Anh</t>
  </si>
  <si>
    <t>453063</t>
  </si>
  <si>
    <t>Ngô Văn Quang</t>
  </si>
  <si>
    <t>453245</t>
  </si>
  <si>
    <t>Phạm Thanh Tùng</t>
  </si>
  <si>
    <t>453247</t>
  </si>
  <si>
    <t>Đặng Văn Luân</t>
  </si>
  <si>
    <t>453385</t>
  </si>
  <si>
    <t>Đinh Thị Phương</t>
  </si>
  <si>
    <t>453411</t>
  </si>
  <si>
    <t>Nguyễn Thành Long</t>
  </si>
  <si>
    <t>454233</t>
  </si>
  <si>
    <t>Nguyễn Ngọc Dũng</t>
  </si>
  <si>
    <t>454251</t>
  </si>
  <si>
    <t>Nguyễn Phương Thắng</t>
  </si>
  <si>
    <t>454489</t>
  </si>
  <si>
    <t>Ngô Nam Khánh</t>
  </si>
  <si>
    <t>454499</t>
  </si>
  <si>
    <t>Phạm Đức Thành</t>
  </si>
  <si>
    <t>454505</t>
  </si>
  <si>
    <t>Đặng Quang Hưng</t>
  </si>
  <si>
    <t>454507</t>
  </si>
  <si>
    <t>Trần Việt Hùng</t>
  </si>
  <si>
    <t>454511</t>
  </si>
  <si>
    <t>Chử Văn Minh</t>
  </si>
  <si>
    <t>454513</t>
  </si>
  <si>
    <t>Hoa Đỗ Tùng Dương</t>
  </si>
  <si>
    <t>454519</t>
  </si>
  <si>
    <t>Phạm Xuân Việt</t>
  </si>
  <si>
    <t>454521</t>
  </si>
  <si>
    <t>Võ Hoài Nam</t>
  </si>
  <si>
    <t>454633</t>
  </si>
  <si>
    <t>Đặng Hồ Na</t>
  </si>
  <si>
    <t>454693</t>
  </si>
  <si>
    <t>Lê Công Thắng</t>
  </si>
  <si>
    <t>454701</t>
  </si>
  <si>
    <t>455281</t>
  </si>
  <si>
    <t>Bạch Ngọc Minh Châu</t>
  </si>
  <si>
    <t>456119</t>
  </si>
  <si>
    <t>Lê Thành Long</t>
  </si>
  <si>
    <t>456439</t>
  </si>
  <si>
    <t>Nguyễn Tùng Văn</t>
  </si>
  <si>
    <t>456539</t>
  </si>
  <si>
    <t>Kim Quốc Anh</t>
  </si>
  <si>
    <t>457409</t>
  </si>
  <si>
    <t>Phạm Quang Vũ</t>
  </si>
  <si>
    <t>457411</t>
  </si>
  <si>
    <t>Phạm Thùy Dương</t>
  </si>
  <si>
    <t>457721</t>
  </si>
  <si>
    <t>Vũ Long</t>
  </si>
  <si>
    <t>457723</t>
  </si>
  <si>
    <t>Lê Thúy Quỳnh</t>
  </si>
  <si>
    <t>457725</t>
  </si>
  <si>
    <t>Nguyễn Sỹ Dũng</t>
  </si>
  <si>
    <t>457749</t>
  </si>
  <si>
    <t>Ngô Quang Hải</t>
  </si>
  <si>
    <t>457751</t>
  </si>
  <si>
    <t>Phạm Hoàng Nam</t>
  </si>
  <si>
    <t>458021</t>
  </si>
  <si>
    <t>Lê Quang Huy</t>
  </si>
  <si>
    <t>458023</t>
  </si>
  <si>
    <t>Vũ Văn Kiên</t>
  </si>
  <si>
    <t>458025</t>
  </si>
  <si>
    <t>Bùi Quốc Việt</t>
  </si>
  <si>
    <t>458027</t>
  </si>
  <si>
    <t>Võ Thái Linh</t>
  </si>
  <si>
    <t>458161</t>
  </si>
  <si>
    <t>Dương Duy Khanh</t>
  </si>
  <si>
    <t>458313</t>
  </si>
  <si>
    <t>Dương Minh Long</t>
  </si>
  <si>
    <t>458501</t>
  </si>
  <si>
    <t>Nguyễn Việt Hoàng</t>
  </si>
  <si>
    <t>458529</t>
  </si>
  <si>
    <t>Đặng Hồng Kỳ</t>
  </si>
  <si>
    <t>458725</t>
  </si>
  <si>
    <t>Võ Kiều Trinh</t>
  </si>
  <si>
    <t>458727</t>
  </si>
  <si>
    <t>Cấn Quang Thịnh</t>
  </si>
  <si>
    <t>458811</t>
  </si>
  <si>
    <t>Nguyễn Thế Vinh</t>
  </si>
  <si>
    <t>458897</t>
  </si>
  <si>
    <t>Phạm Quốc Huy</t>
  </si>
  <si>
    <t>458969</t>
  </si>
  <si>
    <t>Lê Xuân Đông</t>
  </si>
  <si>
    <t>459249</t>
  </si>
  <si>
    <t>Bùi Việt Đức</t>
  </si>
  <si>
    <t>459283</t>
  </si>
  <si>
    <t>Nguyễn Hữu Nghiệp</t>
  </si>
  <si>
    <t>459467</t>
  </si>
  <si>
    <t>459615</t>
  </si>
  <si>
    <t>Dương Minh Trung</t>
  </si>
  <si>
    <t>459619</t>
  </si>
  <si>
    <t>Trịnh Việt Thắng</t>
  </si>
  <si>
    <t>459763</t>
  </si>
  <si>
    <t>Trần Tuấn Anh</t>
  </si>
  <si>
    <t>459883</t>
  </si>
  <si>
    <t>Bùi Đức Tâm</t>
  </si>
  <si>
    <t>459891</t>
  </si>
  <si>
    <t>Nguyễn Như Minh Tuấn</t>
  </si>
  <si>
    <t>459893</t>
  </si>
  <si>
    <t>Đặng Duy Tân</t>
  </si>
  <si>
    <t>460399</t>
  </si>
  <si>
    <t>Bùi Minh Quân</t>
  </si>
  <si>
    <t>460535</t>
  </si>
  <si>
    <t>Nguyễn Đức Nghĩa</t>
  </si>
  <si>
    <t>460547</t>
  </si>
  <si>
    <t>Phan Thành Thắng</t>
  </si>
  <si>
    <t>460665</t>
  </si>
  <si>
    <t>Nguyễn Đình Việt Anh</t>
  </si>
  <si>
    <t>460689</t>
  </si>
  <si>
    <t>Hồ Thái Đại Lợi</t>
  </si>
  <si>
    <t>460823</t>
  </si>
  <si>
    <t>Lê Đức Mạnh</t>
  </si>
  <si>
    <t>460829</t>
  </si>
  <si>
    <t>Phạm Thị Thùy</t>
  </si>
  <si>
    <t>460833</t>
  </si>
  <si>
    <t>Võ Đình Quốc</t>
  </si>
  <si>
    <t>460839</t>
  </si>
  <si>
    <t>460841</t>
  </si>
  <si>
    <t>Nguyễn Duy Hưng</t>
  </si>
  <si>
    <t>460983</t>
  </si>
  <si>
    <t>Đàm Đình Hảo</t>
  </si>
  <si>
    <t>461161</t>
  </si>
  <si>
    <t>Nguyễn Văn Lộc</t>
  </si>
  <si>
    <t>461165</t>
  </si>
  <si>
    <t>Lại Việt Bách</t>
  </si>
  <si>
    <t>461177</t>
  </si>
  <si>
    <t>Phạm Hồng Hùng</t>
  </si>
  <si>
    <t>461477</t>
  </si>
  <si>
    <t>Trần Phạm Đình Khuê</t>
  </si>
  <si>
    <t>461631</t>
  </si>
  <si>
    <t>Nguyễn Như Tiến Hưng</t>
  </si>
  <si>
    <t>461671</t>
  </si>
  <si>
    <t>Nguyễn Thành Nam</t>
  </si>
  <si>
    <t>462351</t>
  </si>
  <si>
    <t>Trần Minh Thành</t>
  </si>
  <si>
    <t>462359</t>
  </si>
  <si>
    <t>Nguyễn Đức Minh</t>
  </si>
  <si>
    <t>462361</t>
  </si>
  <si>
    <t>Mai Thanh Minh</t>
  </si>
  <si>
    <t>462809</t>
  </si>
  <si>
    <t>Đào Vũ Anh</t>
  </si>
  <si>
    <t>462811</t>
  </si>
  <si>
    <t>Trương Việt Long</t>
  </si>
  <si>
    <t>462825</t>
  </si>
  <si>
    <t>Lê Hà Thu Uyên</t>
  </si>
  <si>
    <t>463157</t>
  </si>
  <si>
    <t>Vương Chí Nghiệp</t>
  </si>
  <si>
    <t>463317</t>
  </si>
  <si>
    <t>Đỗ Tuấn Anh</t>
  </si>
  <si>
    <t>463701</t>
  </si>
  <si>
    <t>Phạm Thế Hùng</t>
  </si>
  <si>
    <t>463703</t>
  </si>
  <si>
    <t>Nguyễn Quang Đông</t>
  </si>
  <si>
    <t>463709</t>
  </si>
  <si>
    <t>463851</t>
  </si>
  <si>
    <t>Khổng Minh Đăng</t>
  </si>
  <si>
    <t>463853</t>
  </si>
  <si>
    <t>Nguyễn Đức Toàn</t>
  </si>
  <si>
    <t>464141</t>
  </si>
  <si>
    <t>Đào Minh Thư</t>
  </si>
  <si>
    <t>464155</t>
  </si>
  <si>
    <t>464265</t>
  </si>
  <si>
    <t>Nguyễn Ngọc Linh Chi</t>
  </si>
  <si>
    <t>464269</t>
  </si>
  <si>
    <t>464817</t>
  </si>
  <si>
    <t>Trịnh Quốc Đạt</t>
  </si>
  <si>
    <t>464821</t>
  </si>
  <si>
    <t>Vũ Huy Hoàng</t>
  </si>
  <si>
    <t>464823</t>
  </si>
  <si>
    <t>Trịnh Nhật Minh</t>
  </si>
  <si>
    <t>465083</t>
  </si>
  <si>
    <t>Đặng Thị Thùy Linh</t>
  </si>
  <si>
    <t>465133</t>
  </si>
  <si>
    <t>Đặng Đức Độ</t>
  </si>
  <si>
    <t>465143</t>
  </si>
  <si>
    <t>Nguyễn Quốc Khánh</t>
  </si>
  <si>
    <t>465145</t>
  </si>
  <si>
    <t>Nguyễn Tự Sang</t>
  </si>
  <si>
    <t>465147</t>
  </si>
  <si>
    <t>465149</t>
  </si>
  <si>
    <t>Nguyễn Văn Cường</t>
  </si>
  <si>
    <t>465151</t>
  </si>
  <si>
    <t>Phạm Vũ Khánh</t>
  </si>
  <si>
    <t>465387</t>
  </si>
  <si>
    <t>465719</t>
  </si>
  <si>
    <t>Nguyễn Trọng Công</t>
  </si>
  <si>
    <t>465721</t>
  </si>
  <si>
    <t>Nguyễn Bá Trường</t>
  </si>
  <si>
    <t>465723</t>
  </si>
  <si>
    <t>465725</t>
  </si>
  <si>
    <t>Phạm Văn Hoàng</t>
  </si>
  <si>
    <t>466099</t>
  </si>
  <si>
    <t>Hoàng Thị Thúy Hằng</t>
  </si>
  <si>
    <t>466101</t>
  </si>
  <si>
    <t>Đặng Hoàng Diệu</t>
  </si>
  <si>
    <t>466103</t>
  </si>
  <si>
    <t>Nguyễn Trọng Tuấn</t>
  </si>
  <si>
    <t>466105</t>
  </si>
  <si>
    <t>Nguyễn Công Hiệp</t>
  </si>
  <si>
    <t>466107</t>
  </si>
  <si>
    <t>Bùi Quang Huynh</t>
  </si>
  <si>
    <t>466109</t>
  </si>
  <si>
    <t>Nguyễn Đỗ Hồng Phương</t>
  </si>
  <si>
    <t>466111</t>
  </si>
  <si>
    <t>Phạm Thị Thu Hiền</t>
  </si>
  <si>
    <t>466121</t>
  </si>
  <si>
    <t>Nguyễn Quốc Cường</t>
  </si>
  <si>
    <t>466273</t>
  </si>
  <si>
    <t>Thiều Thị Mỹ Lệ</t>
  </si>
  <si>
    <t>466275</t>
  </si>
  <si>
    <t>Nguyễn Hồng Quân</t>
  </si>
  <si>
    <t>466289</t>
  </si>
  <si>
    <t>Trần Duy Nghĩa</t>
  </si>
  <si>
    <t>466295</t>
  </si>
  <si>
    <t>Hà Nam Trung</t>
  </si>
  <si>
    <t>466611</t>
  </si>
  <si>
    <t>Trần Kim Lân</t>
  </si>
  <si>
    <t>466919</t>
  </si>
  <si>
    <t>Nguyễn Thành Lộc</t>
  </si>
  <si>
    <t>466957</t>
  </si>
  <si>
    <t>467159</t>
  </si>
  <si>
    <t>Bùi Văn Nam</t>
  </si>
  <si>
    <t>467163</t>
  </si>
  <si>
    <t>Phan Minh Đức</t>
  </si>
  <si>
    <t>467319</t>
  </si>
  <si>
    <t>Ngô Văn Tuấn</t>
  </si>
  <si>
    <t>467321</t>
  </si>
  <si>
    <t>Đào Hải Long</t>
  </si>
  <si>
    <t>467333</t>
  </si>
  <si>
    <t>Nguyễn Chi Hiệu</t>
  </si>
  <si>
    <t>467335</t>
  </si>
  <si>
    <t>Nguyễn Đình Hải</t>
  </si>
  <si>
    <t>467347</t>
  </si>
  <si>
    <t>Ngô Trường Long</t>
  </si>
  <si>
    <t>467375</t>
  </si>
  <si>
    <t>Phạm Chí Nhân</t>
  </si>
  <si>
    <t>467403</t>
  </si>
  <si>
    <t>467405</t>
  </si>
  <si>
    <t>Phạm Tuấn Long</t>
  </si>
  <si>
    <t>467411</t>
  </si>
  <si>
    <t>Lê Văn Quốc</t>
  </si>
  <si>
    <t>467417</t>
  </si>
  <si>
    <t>Cao Việt Anh</t>
  </si>
  <si>
    <t>467419</t>
  </si>
  <si>
    <t>Trần Thị Mai Linh</t>
  </si>
  <si>
    <t>467443</t>
  </si>
  <si>
    <t>Nguyễn Bá Thanh</t>
  </si>
  <si>
    <t>467455</t>
  </si>
  <si>
    <t>467971</t>
  </si>
  <si>
    <t>Đặng Nhật Huy</t>
  </si>
  <si>
    <t>468403</t>
  </si>
  <si>
    <t>Hồng Gia Bảo</t>
  </si>
  <si>
    <t>468405</t>
  </si>
  <si>
    <t>Vũ Đình Phúc Minh</t>
  </si>
  <si>
    <t>468411</t>
  </si>
  <si>
    <t>Nguyễn Hoàng Anh</t>
  </si>
  <si>
    <t>468471</t>
  </si>
  <si>
    <t>Nguyễn Văn An</t>
  </si>
  <si>
    <t>468833</t>
  </si>
  <si>
    <t>Hoàng Đình Long</t>
  </si>
  <si>
    <t>468835</t>
  </si>
  <si>
    <t>Lê Công Hào</t>
  </si>
  <si>
    <t>468837</t>
  </si>
  <si>
    <t>Trịnh Hồng Quân</t>
  </si>
  <si>
    <t>469057</t>
  </si>
  <si>
    <t>Phạm Quang Trung</t>
  </si>
  <si>
    <t>469061</t>
  </si>
  <si>
    <t>Nguyễn Bảo Trâm</t>
  </si>
  <si>
    <t>469063</t>
  </si>
  <si>
    <t>Vũ Ngọc Tú</t>
  </si>
  <si>
    <t>469065</t>
  </si>
  <si>
    <t>Nguyễn Anh Quốc</t>
  </si>
  <si>
    <t>469071</t>
  </si>
  <si>
    <t>Vũ Văn Mạnh</t>
  </si>
  <si>
    <t>469139</t>
  </si>
  <si>
    <t>Phùng Đình Thành</t>
  </si>
  <si>
    <t>469145</t>
  </si>
  <si>
    <t>Trần Văn Tài</t>
  </si>
  <si>
    <t>469157</t>
  </si>
  <si>
    <t>Nguyễn Lâm Vĩnh Gia</t>
  </si>
  <si>
    <t>469749</t>
  </si>
  <si>
    <t>Trần Minh Đạt</t>
  </si>
  <si>
    <t>469849</t>
  </si>
  <si>
    <t>Lê Vinh</t>
  </si>
  <si>
    <t>470341</t>
  </si>
  <si>
    <t>Trần Ngọc Cường</t>
  </si>
  <si>
    <t>470345</t>
  </si>
  <si>
    <t>470347</t>
  </si>
  <si>
    <t>Lê Đinh Hoàng</t>
  </si>
  <si>
    <t>470349</t>
  </si>
  <si>
    <t>Cao Trịnh Minh Hoàng</t>
  </si>
  <si>
    <t>470351</t>
  </si>
  <si>
    <t>Nguyễn Quang Trường</t>
  </si>
  <si>
    <t>470355</t>
  </si>
  <si>
    <t>Ngô Đức Mạnh</t>
  </si>
  <si>
    <t>470357</t>
  </si>
  <si>
    <t>Lưu Huy Khánh</t>
  </si>
  <si>
    <t>470379</t>
  </si>
  <si>
    <t>Nguyễn Đình Phúc</t>
  </si>
  <si>
    <t>470407</t>
  </si>
  <si>
    <t>Phạm Hồng Thi</t>
  </si>
  <si>
    <t>470409</t>
  </si>
  <si>
    <t>470411</t>
  </si>
  <si>
    <t>470709</t>
  </si>
  <si>
    <t>470797</t>
  </si>
  <si>
    <t>471255</t>
  </si>
  <si>
    <t>Nguyễn Khánh Linh</t>
  </si>
  <si>
    <t>471539</t>
  </si>
  <si>
    <t>Tạ Hữu Tiến Thành</t>
  </si>
  <si>
    <t>471541</t>
  </si>
  <si>
    <t>Đặng Hữu Công Hiếu</t>
  </si>
  <si>
    <t>471547</t>
  </si>
  <si>
    <t>Đỗ Quân</t>
  </si>
  <si>
    <t>471781</t>
  </si>
  <si>
    <t>Trương Đăng Thành</t>
  </si>
  <si>
    <t>471783</t>
  </si>
  <si>
    <t>Nguyễn Trường Danh</t>
  </si>
  <si>
    <t>471789</t>
  </si>
  <si>
    <t>Nguyễn Khánh Huyền</t>
  </si>
  <si>
    <t>471795</t>
  </si>
  <si>
    <t>Lê Việt Hà</t>
  </si>
  <si>
    <t>471967</t>
  </si>
  <si>
    <t>Nguyễn Chí Thành</t>
  </si>
  <si>
    <t>471969</t>
  </si>
  <si>
    <t>471971</t>
  </si>
  <si>
    <t>Phù Thị Kim Trang</t>
  </si>
  <si>
    <t>471989</t>
  </si>
  <si>
    <t>Trần Hải Đăng</t>
  </si>
  <si>
    <t>472153</t>
  </si>
  <si>
    <t>Trịnh Quang Quân</t>
  </si>
  <si>
    <t>472179</t>
  </si>
  <si>
    <t>Dương Minh Tâm</t>
  </si>
  <si>
    <t>472387</t>
  </si>
  <si>
    <t>Lang Trọng Nghĩa</t>
  </si>
  <si>
    <t>472483</t>
  </si>
  <si>
    <t>Lê Văn Tuấn Anh</t>
  </si>
  <si>
    <t>472489</t>
  </si>
  <si>
    <t>Trịnh Văn Thái</t>
  </si>
  <si>
    <t>472493</t>
  </si>
  <si>
    <t>Đặng Văn Lâm</t>
  </si>
  <si>
    <t>472495</t>
  </si>
  <si>
    <t>472497</t>
  </si>
  <si>
    <t>Đào Xuân Lộc</t>
  </si>
  <si>
    <t>472503</t>
  </si>
  <si>
    <t>Trịnh Đăng Cảnh</t>
  </si>
  <si>
    <t>472569</t>
  </si>
  <si>
    <t>Đỗ Đức Chung</t>
  </si>
  <si>
    <t>472575</t>
  </si>
  <si>
    <t>Hoàng Ngọc Nhất</t>
  </si>
  <si>
    <t>472579</t>
  </si>
  <si>
    <t>Nguyễn Đình Bảo</t>
  </si>
  <si>
    <t>472661</t>
  </si>
  <si>
    <t>Hoàng Kim Tiến</t>
  </si>
  <si>
    <t>472731</t>
  </si>
  <si>
    <t>Nguyễn Trung Tuấn</t>
  </si>
  <si>
    <t>472733</t>
  </si>
  <si>
    <t>Nguyễn Tiến Quang</t>
  </si>
  <si>
    <t>472753</t>
  </si>
  <si>
    <t>Phạm Lê Thu Nguyệt</t>
  </si>
  <si>
    <t>472763</t>
  </si>
  <si>
    <t>Lương Quốc Hải</t>
  </si>
  <si>
    <t>472889</t>
  </si>
  <si>
    <t>Nông Đức Tuấn</t>
  </si>
  <si>
    <t>473055</t>
  </si>
  <si>
    <t>Nguyễn Trần Đăng Khoa</t>
  </si>
  <si>
    <t>473081</t>
  </si>
  <si>
    <t>Lê Văn Đức</t>
  </si>
  <si>
    <t>473083</t>
  </si>
  <si>
    <t>Đào Công Trường Giang</t>
  </si>
  <si>
    <t>473085</t>
  </si>
  <si>
    <t>Hoàng Phi Long</t>
  </si>
  <si>
    <t>473131</t>
  </si>
  <si>
    <t>Lê Thế Dũng</t>
  </si>
  <si>
    <t>473179</t>
  </si>
  <si>
    <t>Hoàng Bảo Lộc</t>
  </si>
  <si>
    <t>473185</t>
  </si>
  <si>
    <t>Hoàng Thị Thương</t>
  </si>
  <si>
    <t>473187</t>
  </si>
  <si>
    <t>Nguyễn Duy Thế</t>
  </si>
  <si>
    <t>473463</t>
  </si>
  <si>
    <t>Phạm Huy</t>
  </si>
  <si>
    <t>473583</t>
  </si>
  <si>
    <t>Nguyễn Duy Minh</t>
  </si>
  <si>
    <t>473589</t>
  </si>
  <si>
    <t>Đỗ Phú Vinh</t>
  </si>
  <si>
    <t>473591</t>
  </si>
  <si>
    <t>Lê Hoài Phương</t>
  </si>
  <si>
    <t>473593</t>
  </si>
  <si>
    <t>Trần Hoàng Anh Phi</t>
  </si>
  <si>
    <t>473595</t>
  </si>
  <si>
    <t>Vũ Văn Hưởng</t>
  </si>
  <si>
    <t>473667</t>
  </si>
  <si>
    <t>Nguyễn Thị Lan</t>
  </si>
  <si>
    <t>473669</t>
  </si>
  <si>
    <t>Nguyễn Thị Ngọc Hà</t>
  </si>
  <si>
    <t>473671</t>
  </si>
  <si>
    <t>473765</t>
  </si>
  <si>
    <t>Đỗ Minh Hiếu</t>
  </si>
  <si>
    <t>473771</t>
  </si>
  <si>
    <t>Đỗ Hoàng Minh</t>
  </si>
  <si>
    <t>473897</t>
  </si>
  <si>
    <t>Trần Quang Đức</t>
  </si>
  <si>
    <t>474107</t>
  </si>
  <si>
    <t>Đặng Quang Anh</t>
  </si>
  <si>
    <t>474291</t>
  </si>
  <si>
    <t>Nguyễn Thị Thu Phương</t>
  </si>
  <si>
    <t>474309</t>
  </si>
  <si>
    <t>Trần Nguyễn Minh Hiếu</t>
  </si>
  <si>
    <t>474335</t>
  </si>
  <si>
    <t>Vũ Hoàng Nam</t>
  </si>
  <si>
    <t>474433</t>
  </si>
  <si>
    <t>Lê Duy Long</t>
  </si>
  <si>
    <t>474439</t>
  </si>
  <si>
    <t>Đặng Văn Thắng</t>
  </si>
  <si>
    <t>475049</t>
  </si>
  <si>
    <t>475051</t>
  </si>
  <si>
    <t>Công Nghĩa Hiếu</t>
  </si>
  <si>
    <t>475073</t>
  </si>
  <si>
    <t>Cấn Quốc Vinh</t>
  </si>
  <si>
    <t>475165</t>
  </si>
  <si>
    <t>Vũ Công Thành</t>
  </si>
  <si>
    <t>475171</t>
  </si>
  <si>
    <t>475173</t>
  </si>
  <si>
    <t>Nguyễn Xuân Quý</t>
  </si>
  <si>
    <t>475181</t>
  </si>
  <si>
    <t>Mạc Anh Kiệt</t>
  </si>
  <si>
    <t>475301</t>
  </si>
  <si>
    <t>Trần Duy Hưng</t>
  </si>
  <si>
    <t>475547</t>
  </si>
  <si>
    <t>Phạm Thị Nga</t>
  </si>
  <si>
    <t>475549</t>
  </si>
  <si>
    <t>Trịnh Mạnh Tiến</t>
  </si>
  <si>
    <t>475623</t>
  </si>
  <si>
    <t>475625</t>
  </si>
  <si>
    <t>Trần Công Kha</t>
  </si>
  <si>
    <t>475699</t>
  </si>
  <si>
    <t>Vũ Đức Thịnh</t>
  </si>
  <si>
    <t>475805</t>
  </si>
  <si>
    <t>Nguyễn Văn Dân</t>
  </si>
  <si>
    <t>475811</t>
  </si>
  <si>
    <t>Lê Minh Thịnh</t>
  </si>
  <si>
    <t>475907</t>
  </si>
  <si>
    <t>Trần Đức Mạnh</t>
  </si>
  <si>
    <t>527988</t>
  </si>
  <si>
    <t>Hoàng Hồng Ngọc</t>
  </si>
  <si>
    <t>527991</t>
  </si>
  <si>
    <t>Đinh Văn Trọng</t>
  </si>
  <si>
    <t>527994</t>
  </si>
  <si>
    <t>Vũ Quang Vinh</t>
  </si>
  <si>
    <t>130932</t>
  </si>
  <si>
    <t>Trương Tuấn Mạnh</t>
  </si>
  <si>
    <t>TV</t>
  </si>
  <si>
    <t>428863</t>
  </si>
  <si>
    <t>Nguyễn Thị Thanh Huyền</t>
  </si>
  <si>
    <t>439911</t>
  </si>
  <si>
    <t>Nguyễn Tiến Quân</t>
  </si>
  <si>
    <t>447297</t>
  </si>
  <si>
    <t>Phạm Anh Quân</t>
  </si>
  <si>
    <t>472151</t>
  </si>
  <si>
    <t>Trịnh Cao Cường</t>
  </si>
  <si>
    <t>474099</t>
  </si>
  <si>
    <t>Đinh Hữu Thành</t>
  </si>
  <si>
    <t>TN</t>
  </si>
  <si>
    <t>474105</t>
  </si>
  <si>
    <t>Nguyễn Quang Hòa</t>
  </si>
  <si>
    <t>474311</t>
  </si>
  <si>
    <t>Phạm Đại Cương</t>
  </si>
  <si>
    <t>474315</t>
  </si>
  <si>
    <t>Phạm Quang Minh</t>
  </si>
  <si>
    <t>474317</t>
  </si>
  <si>
    <t>Lê Quang Dương</t>
  </si>
  <si>
    <t>474443</t>
  </si>
  <si>
    <t>Đỗ Đức Mạnh</t>
  </si>
  <si>
    <t>474561</t>
  </si>
  <si>
    <t>Nguyễn Hoàng Việt</t>
  </si>
  <si>
    <t>475189</t>
  </si>
  <si>
    <t>Phạm Phú Khang</t>
  </si>
  <si>
    <t>475191</t>
  </si>
  <si>
    <t>Nguyễn Xuân Nam</t>
  </si>
  <si>
    <t>475195</t>
  </si>
  <si>
    <t>Hoàng Minh Quân</t>
  </si>
  <si>
    <t>475517</t>
  </si>
  <si>
    <t>Nguyễn Hữu Đại</t>
  </si>
  <si>
    <t>475713</t>
  </si>
  <si>
    <t>Lã Kiều Ngọc Thăng</t>
  </si>
  <si>
    <t>475821</t>
  </si>
  <si>
    <t>Bùi Mạnh Cường</t>
  </si>
  <si>
    <t>476011</t>
  </si>
  <si>
    <t>Nguyễn Ngọc Sơn</t>
  </si>
  <si>
    <t>476013</t>
  </si>
  <si>
    <t>476015</t>
  </si>
  <si>
    <t>Trần Đức Ngọc</t>
  </si>
  <si>
    <t>476017</t>
  </si>
  <si>
    <t>Nguyễn Công Hiếu</t>
  </si>
  <si>
    <t>476019</t>
  </si>
  <si>
    <t>Dương Hồng Hoàn</t>
  </si>
  <si>
    <t>476027</t>
  </si>
  <si>
    <t>Lê Ngọc Hải</t>
  </si>
  <si>
    <t>476071</t>
  </si>
  <si>
    <t>Lê Văn Dũng</t>
  </si>
  <si>
    <t>476075</t>
  </si>
  <si>
    <t>Trần Trung Tuấn</t>
  </si>
  <si>
    <t>476077</t>
  </si>
  <si>
    <t>476083</t>
  </si>
  <si>
    <t>Nguyễn Trường Thản</t>
  </si>
  <si>
    <t>476091</t>
  </si>
  <si>
    <t>Phạm Hồng Dương</t>
  </si>
  <si>
    <t>476159</t>
  </si>
  <si>
    <t>Đào Thị Kim Trang</t>
  </si>
  <si>
    <t>476239</t>
  </si>
  <si>
    <t>Nguyễn Học Thành</t>
  </si>
  <si>
    <t>476333</t>
  </si>
  <si>
    <t>476335</t>
  </si>
  <si>
    <t>Nguyễn Ngọc Thiện</t>
  </si>
  <si>
    <t>476337</t>
  </si>
  <si>
    <t>Chu Nhật Đông</t>
  </si>
  <si>
    <t>476435</t>
  </si>
  <si>
    <t>Nguyễn Hà Thảo Tiên</t>
  </si>
  <si>
    <t>476491</t>
  </si>
  <si>
    <t>Lê Hải Long</t>
  </si>
  <si>
    <t>476493</t>
  </si>
  <si>
    <t>Nhữ Ngọc Hiệp</t>
  </si>
  <si>
    <t>476495</t>
  </si>
  <si>
    <t>Hoàng Nhật Quang</t>
  </si>
  <si>
    <t>476631</t>
  </si>
  <si>
    <t>476635</t>
  </si>
  <si>
    <t>Nguyễn Khánh Nguyên</t>
  </si>
  <si>
    <t>476637</t>
  </si>
  <si>
    <t>Cao Thành Trung</t>
  </si>
  <si>
    <t>476717</t>
  </si>
  <si>
    <t>Lê Thị Trang</t>
  </si>
  <si>
    <t>476719</t>
  </si>
  <si>
    <t>Đặng Nhật Quang</t>
  </si>
  <si>
    <t>476749</t>
  </si>
  <si>
    <t>Nguyễn Xuân Chúc</t>
  </si>
  <si>
    <t>476751</t>
  </si>
  <si>
    <t>476945</t>
  </si>
  <si>
    <t>Thái Đình Đức</t>
  </si>
  <si>
    <t>476947</t>
  </si>
  <si>
    <t>Dương Quang Trí</t>
  </si>
  <si>
    <t>476949</t>
  </si>
  <si>
    <t>Lý Gia Huy</t>
  </si>
  <si>
    <t>476951</t>
  </si>
  <si>
    <t>Đào Thị Phương Nga</t>
  </si>
  <si>
    <t>476953</t>
  </si>
  <si>
    <t>Cao Phương Nam</t>
  </si>
  <si>
    <t>476955</t>
  </si>
  <si>
    <t>Bùi Minh Tuấn</t>
  </si>
  <si>
    <t>476957</t>
  </si>
  <si>
    <t>Nguyễn Ngọc Bản</t>
  </si>
  <si>
    <t>476971</t>
  </si>
  <si>
    <t>476979</t>
  </si>
  <si>
    <t>Phạm Ngọc Minh</t>
  </si>
  <si>
    <t>477259</t>
  </si>
  <si>
    <t>Nguyễn Xuân Việt</t>
  </si>
  <si>
    <t>477273</t>
  </si>
  <si>
    <t>Bùi Thị Ngọc Mai</t>
  </si>
  <si>
    <t>477365</t>
  </si>
  <si>
    <t>Phạm Huy Tuyên</t>
  </si>
  <si>
    <t>HDDT</t>
  </si>
  <si>
    <t>477419</t>
  </si>
  <si>
    <t>Nguyễn Nhân Hoàng Anh</t>
  </si>
  <si>
    <t>477421</t>
  </si>
  <si>
    <t>477427</t>
  </si>
  <si>
    <t>Nguyễn Gia Nam</t>
  </si>
  <si>
    <t>477443</t>
  </si>
  <si>
    <t>Tạ Minh Quân</t>
  </si>
  <si>
    <t>477463</t>
  </si>
  <si>
    <t>Trần Minh Hiển</t>
  </si>
  <si>
    <t>477465</t>
  </si>
  <si>
    <t>Đoàn Đình Giang</t>
  </si>
  <si>
    <t>477475</t>
  </si>
  <si>
    <t>Nguyễn Văn Tỉnh</t>
  </si>
  <si>
    <t>477689</t>
  </si>
  <si>
    <t>Tô Hoàng Hiệp</t>
  </si>
  <si>
    <t>477925</t>
  </si>
  <si>
    <t>Đinh Nhật Tân</t>
  </si>
  <si>
    <t>091256</t>
  </si>
  <si>
    <t>Nguyễn Thị Duyên</t>
  </si>
  <si>
    <t>Tên đề tài</t>
  </si>
  <si>
    <t>Mã đề tài, dự án</t>
  </si>
  <si>
    <t>Nội dung công việc</t>
  </si>
  <si>
    <t>Phân nguồn (KHCN, QL, Bán hàng, Bảo hành, SXKD)</t>
  </si>
  <si>
    <t>Đơn vị trong DS</t>
  </si>
  <si>
    <t>Đơn vị phân bổ</t>
  </si>
  <si>
    <t>Khối</t>
  </si>
  <si>
    <t>Công phân bổ</t>
  </si>
  <si>
    <t>Mã (ghép MNV và ngày công)</t>
  </si>
  <si>
    <t>Số lần xuấn hiện mã</t>
  </si>
  <si>
    <t>Số lần xuất hiện mã đến dòng hiện tại</t>
  </si>
  <si>
    <t>CHI PHÍ NHÂN CÔNG THÁNG (làm căn cứ phân bổ)</t>
  </si>
  <si>
    <t>CHI PHÍ NHÂN CÔNG PHÂN BỔ</t>
  </si>
  <si>
    <t>Các khoản ăn ca, điện thoại, chi phí phụ cấp</t>
  </si>
  <si>
    <t>Check tên</t>
  </si>
  <si>
    <t>Nghiên cứu, xây dựng nền tảng tự động hóa chỉ huy điều hành tác chiến chiến lược VCHĐH-TQ</t>
  </si>
  <si>
    <t>CHĐK</t>
  </si>
  <si>
    <t>Sản xuất Hệ thống cảnh giới và bảo vệ vùng trời quốc gia VQ2 giai đoạn 3</t>
  </si>
  <si>
    <t>Sản xuất 01 Hệ thống tự động hóa chỉ huy cấp Bộ Quốc phòng</t>
  </si>
  <si>
    <t>ĐBCL</t>
  </si>
  <si>
    <t>KD ĐH</t>
  </si>
  <si>
    <t>TTQS</t>
  </si>
  <si>
    <t>phần mềm tính theo Bảng lương import</t>
  </si>
  <si>
    <t>mm/yyyy</t>
  </si>
  <si>
    <t>TẬP ĐOÀN CÔNG NGHIỆP VIỄN THÔNG QUÂN ĐỘI</t>
  </si>
  <si>
    <t xml:space="preserve"> Dự án:</t>
  </si>
  <si>
    <t>Nguồn kinh phí:</t>
  </si>
  <si>
    <t>Chi phí nhân công tháng làm căn cứ phân bổ</t>
  </si>
  <si>
    <t>Chi phí nhân công phân bổ trong tháng</t>
  </si>
  <si>
    <t>Lương tháng (sau khi trừ BH cá nhân)</t>
  </si>
  <si>
    <t>BÁO HIỂM</t>
  </si>
  <si>
    <t>Các khoản  (ăn ca, điện thoại..)</t>
  </si>
  <si>
    <t>Tổng chi phí nhân công</t>
  </si>
  <si>
    <t>BÁO HIỂM VÀ KPCĐ</t>
  </si>
  <si>
    <t>Các khoản (ăn ca, điện thoại..)</t>
  </si>
  <si>
    <t>Tổng chi phí nhân công phân bổ</t>
  </si>
  <si>
    <t xml:space="preserve">I. </t>
  </si>
  <si>
    <t>CHI PHÍ NHÂN CÔNG TRỰC TIẾP TẠI ĐƠN VỊ</t>
  </si>
  <si>
    <t xml:space="preserve">II. </t>
  </si>
  <si>
    <t>KHỐI CƠ QUAN PHÂN BỔ</t>
  </si>
  <si>
    <t xml:space="preserve">III. </t>
  </si>
  <si>
    <t>TỔNG PHÂN BỔ</t>
  </si>
  <si>
    <t>BẢNG TÍNH CHI PHÍ NHÂN CÔNG THÁNG 06/2025</t>
  </si>
  <si>
    <t>Kỳ lương: 06/2025 - Kỳ trả: 07/2025</t>
  </si>
  <si>
    <t>SẢN PHẨM A</t>
  </si>
  <si>
    <t>SẢN PHẨM B</t>
  </si>
  <si>
    <t>Nguyễn Văn X7</t>
  </si>
  <si>
    <t>Nguyễn Văn X8</t>
  </si>
  <si>
    <t>CHỌN NGUỒN</t>
  </si>
  <si>
    <t>Các ngày công nhân sự Nghỉ phép/Ngày t7 CN /Đã submit chấm công ở NV khác trong cùng tháng/Nhiệm vụ chưa bắt đầu hoặc đã hết hạn: tự động khoá ko chấm công đc</t>
  </si>
  <si>
    <t>CHẤM CÔNG</t>
  </si>
  <si>
    <t>BẢNG LƯƠNG THÁNG</t>
  </si>
  <si>
    <t>Bắt buộc</t>
  </si>
  <si>
    <t xml:space="preserve">Chọn theo DS nhiệm vụ đc phê duyệt  </t>
  </si>
  <si>
    <t>Chỉ ấn submit được khi điền đủ nội dung CV và Nguồn</t>
  </si>
  <si>
    <t>Tính bằng tổng CPNC đc phân bổ mỗi tháng/Quỹ lương tháng của đơn vị cấp 5</t>
  </si>
  <si>
    <t>Nhiệm vụ 2 (SXKD)</t>
  </si>
  <si>
    <t>Nhiệm vụ 2 (Bán hàng)</t>
  </si>
  <si>
    <t>Nhiệm vụ 1 (KHCN)</t>
  </si>
  <si>
    <t>Nhiệm vụ 3 (ĐTPT)</t>
  </si>
  <si>
    <t>Nguồn cần để phân bổ 6 tháng/Năm</t>
  </si>
  <si>
    <t>Nội dung gửi mail cảnh báo</t>
  </si>
  <si>
    <t xml:space="preserve">TỔNG HỢP </t>
  </si>
  <si>
    <t>Tỷ lệ PBNC của 3 KHỐI</t>
  </si>
  <si>
    <t>Tỷ lệ PBNC của VHT</t>
  </si>
  <si>
    <t>Xuất Báo cáo excel</t>
  </si>
  <si>
    <t>Tính bằng tổng CPNC đc phân bổ mỗi tháng/Quỹ lương tháng của tổng 3 Khối</t>
  </si>
  <si>
    <t>Tính bằng tổng CPNC đc phân bổ mỗi tháng/Quỹ lương tháng của cả VHT</t>
  </si>
  <si>
    <r>
      <t>TAB 4</t>
    </r>
    <r>
      <rPr>
        <b/>
        <sz val="12"/>
        <color theme="0"/>
        <rFont val="Calibri"/>
        <family val="2"/>
        <scheme val="minor"/>
      </rPr>
      <t>: TRÌNH KÝ</t>
    </r>
  </si>
  <si>
    <t>Chỉ hiện với acc HR</t>
  </si>
  <si>
    <t>Bao gồm:</t>
  </si>
  <si>
    <t>BM.04.02</t>
  </si>
  <si>
    <t>BẢNG TỔNG HỢP PHÂN BỔ CHI PHÍ NHÂN CÔNG NỘI BỘ - LƯƠNG THÁNG/6 THÁNG/NĂM ... NĂM 20…</t>
  </si>
  <si>
    <t>Tên nhiệm vụ KHCN</t>
  </si>
  <si>
    <t>Mã số</t>
  </si>
  <si>
    <t>Dự toán phê duyệt</t>
  </si>
  <si>
    <t>Lương 6 tháng</t>
  </si>
  <si>
    <t>Lương năm</t>
  </si>
  <si>
    <t>Phụ cấp lương</t>
  </si>
  <si>
    <t>Lũy kế chi phí nhân công</t>
  </si>
  <si>
    <t>Tổng chi phí nhân công theo bảng lương</t>
  </si>
  <si>
    <t>Phân bổ chi phí nhân công nội bộ nhiệm vụ KHCN</t>
  </si>
  <si>
    <t>Tên nhiệm vụ KHCN số 1</t>
  </si>
  <si>
    <t>Tên nhiệm vụ KHCN số 2</t>
  </si>
  <si>
    <t>Chênh lệch</t>
  </si>
  <si>
    <t>PHÒNG TỔ CHỨC LAO ĐỘNG</t>
  </si>
  <si>
    <t>PHÒNG TÀI CHÍNH KẾ TOÁN</t>
  </si>
  <si>
    <t>IMPORT</t>
  </si>
  <si>
    <t>XUẤT EXCEL</t>
  </si>
  <si>
    <t>ĐV Chủ trì</t>
  </si>
  <si>
    <t>KHỐI</t>
  </si>
  <si>
    <t>ĐV Phân bổ</t>
  </si>
  <si>
    <t>TÊN ĐỀ TÀI/DỰ ÁN</t>
  </si>
  <si>
    <t>NGUỒN</t>
  </si>
  <si>
    <t>PHÂN LOẠI</t>
  </si>
  <si>
    <t>TÌNH TRẠNG PHÂN BỔ</t>
  </si>
  <si>
    <t>TỔNG DỰ TOÁN</t>
  </si>
  <si>
    <t>CP NHÂN CÔNG THEO DỰ TOÁN</t>
  </si>
  <si>
    <t>BẮT ĐẦU</t>
  </si>
  <si>
    <t>KẾT THÚC</t>
  </si>
  <si>
    <t>MÃ ĐỀ TÀI</t>
  </si>
  <si>
    <t xml:space="preserve">ChJ phí còn lạJ chưa phân bổ </t>
  </si>
  <si>
    <t>Lũy kế 2025 đã phân bổ</t>
  </si>
  <si>
    <t>Chính</t>
  </si>
  <si>
    <t>Thành phần</t>
  </si>
  <si>
    <t>Đang phân bổ</t>
  </si>
  <si>
    <t>tiemnm@viettel.com.vn</t>
  </si>
  <si>
    <t>011-24-TĐ-RDP-QS</t>
  </si>
  <si>
    <t>Tạm tính lương Năm 2025</t>
  </si>
  <si>
    <t>Tạm tính lương 6 tháng 2025</t>
  </si>
  <si>
    <t>PA</t>
  </si>
  <si>
    <t>halt73@viettel.com.vn</t>
  </si>
  <si>
    <t>PO-92166</t>
  </si>
  <si>
    <r>
      <t xml:space="preserve">Nguồn đã được lập dự toán </t>
    </r>
    <r>
      <rPr>
        <sz val="10"/>
        <color rgb="FF000000"/>
        <rFont val="Calibri"/>
        <family val="2"/>
        <scheme val="minor"/>
      </rPr>
      <t>(Bằng nguồn CPNC đc phê duyệt + Dự phòng nếu có)</t>
    </r>
  </si>
  <si>
    <t>Danh sách nhiệm vụ sắp hết nguồn</t>
  </si>
  <si>
    <t xml:space="preserve"> (Nguồn Bảo hành chỉ cần theo dõi số tiền đã phân bổ)</t>
  </si>
  <si>
    <t>Sản phẩm:</t>
  </si>
  <si>
    <t>Sản xuất 2000 hệ thống thông tin (bao gồm máy VRU812/S 50W và VIS) kèm vật tư dự phòng và Lắp đặt trên xe tăng thiết giáp, xe đặc chủng năm 2024</t>
  </si>
  <si>
    <t>Bộ vật tư dự phòng Bộ thông thoại số VIS phiên bản 2024</t>
  </si>
  <si>
    <t>04. Đơn vị cấp 4</t>
  </si>
  <si>
    <t>05. Đơn vị cấp 5 (F)</t>
  </si>
  <si>
    <t>ID cá nhân</t>
  </si>
  <si>
    <t>Tên đầy đủ</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</si>
  <si>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</si>
  <si>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</si>
  <si>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</si>
  <si>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</si>
  <si>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</si>
  <si>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</si>
  <si>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</si>
  <si>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</si>
  <si>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</si>
  <si>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</si>
  <si>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</si>
  <si>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</si>
  <si>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</si>
  <si>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</si>
  <si>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</si>
  <si>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</si>
  <si>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</si>
  <si>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</si>
  <si>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</si>
  <si>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</si>
  <si>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</si>
  <si>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</si>
  <si>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</si>
  <si>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</si>
  <si>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</si>
  <si>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</si>
  <si>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</si>
  <si>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</si>
  <si>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</si>
  <si>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</si>
  <si>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</si>
  <si>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Ngày công chế độ</t>
  </si>
  <si>
    <t>Ngày công thực tế</t>
  </si>
  <si>
    <t>Công nghỉ phép</t>
  </si>
  <si>
    <t>Công nghỉ việc riêng có hưởng lương</t>
  </si>
  <si>
    <t>Khối 1 - TCT CNC - 9013948</t>
  </si>
  <si>
    <t>Ban Giám đốc Khối - 9014043</t>
  </si>
  <si>
    <t>X:8</t>
  </si>
  <si>
    <t>Phòng Kinh doanh - 9033765</t>
  </si>
  <si>
    <t>Phòng Kiểu dáng và đồ họa - 9033773</t>
  </si>
  <si>
    <t>P:8</t>
  </si>
  <si>
    <t>DL:8</t>
  </si>
  <si>
    <t>X:4; P:4</t>
  </si>
  <si>
    <t>Phòng Tổng hợp - 9014098</t>
  </si>
  <si>
    <t>DS:8</t>
  </si>
  <si>
    <t>TS:8</t>
  </si>
  <si>
    <t>Trung tâm Chỉ huy điều khiển - 9014071</t>
  </si>
  <si>
    <t>RO:8</t>
  </si>
  <si>
    <t>447101</t>
  </si>
  <si>
    <t>Nguyễn Thanh Sang</t>
  </si>
  <si>
    <t>Trung tâm Công nghệ Cơ khí - Tự động hóa - 9033768</t>
  </si>
  <si>
    <t>Trung tâm Khí cụ bay - 9028790</t>
  </si>
  <si>
    <t>Trung tâm Mô hình mô phỏng - 9014065</t>
  </si>
  <si>
    <t>Trung tâm Nghiên cứu giải pháp tích hợp công nghệ cao - 9033756</t>
  </si>
  <si>
    <t>Trung tâm Quang điện tử - 9014059</t>
  </si>
  <si>
    <t>466097</t>
  </si>
  <si>
    <t>Ngô Anh Tuấn</t>
  </si>
  <si>
    <t>X:4; DL:4</t>
  </si>
  <si>
    <t>CÔ:8</t>
  </si>
  <si>
    <t>Trung tâm Rada - 9014045</t>
  </si>
  <si>
    <t>Trung tâm Thông tin Quân sự - 9069755</t>
  </si>
  <si>
    <t>Trung tâm Tác chiến điện tử - 9069754</t>
  </si>
  <si>
    <t>Trung tâm dịch vụ sau bán hàng - 9014089</t>
  </si>
  <si>
    <t>Trung tâm sản xuất - 9014083</t>
  </si>
  <si>
    <t>Trung tâm Đảm bảo chất lượng - 9033760</t>
  </si>
  <si>
    <t>Khối 2 - TCT CNC - 9013949</t>
  </si>
  <si>
    <t>Ban Giám đốc Khối - 9014102</t>
  </si>
  <si>
    <t>Phòng Kinh doanh - 9033803</t>
  </si>
  <si>
    <t>Phòng Quản lý sản xuất - 9014138</t>
  </si>
  <si>
    <t>Phòng Tổng hợp - 9014149</t>
  </si>
  <si>
    <t>Trung tâm Kỹ thuật công nghệ - TCT CNC - 9014174</t>
  </si>
  <si>
    <t>Trung tâm Nghiên cứu Công nghệ chuyển mạch - 9014117</t>
  </si>
  <si>
    <t>Ô:8</t>
  </si>
  <si>
    <t>X:8; TĐT:8</t>
  </si>
  <si>
    <t>TĐN:8</t>
  </si>
  <si>
    <t>Trung tâm Nghiên cứu Công nghệ truyền dẫn - 9014111</t>
  </si>
  <si>
    <t>Trung tâm Nghiên cứu công nghệ Đa phương tiện - 9069757</t>
  </si>
  <si>
    <t>Trung tâm Nghiên cứu thiết bị vô tuyến băng rộng - 9014104</t>
  </si>
  <si>
    <t>Trung tâm Phát triển nền tảng thanh toán - 9069756</t>
  </si>
  <si>
    <t>Trung tâm dịch vụ sau bán hàng - 9014173</t>
  </si>
  <si>
    <t>P:8; TĐT:8</t>
  </si>
  <si>
    <t>Khối 3 - TCT CNC - 9013950</t>
  </si>
  <si>
    <t>Ban Giám đốc - 9014155</t>
  </si>
  <si>
    <t>Phòng Kinh doanh - 9033849</t>
  </si>
  <si>
    <t>Phòng Quản lý chất lượng - 9033845</t>
  </si>
  <si>
    <t>Phòng Tổng hợp - 9033841</t>
  </si>
  <si>
    <t>Trung tâm Camera - 9033832</t>
  </si>
  <si>
    <t>Trung tâm Nền tảng IOT - 9033826</t>
  </si>
  <si>
    <t>Trung tâm Kinh doanh - TCT CNC - 9013945</t>
  </si>
  <si>
    <t>Ban Giám đốc - 9014001</t>
  </si>
  <si>
    <t>Bộ phận Hỗ trợ nghiệp vụ - 9069761</t>
  </si>
  <si>
    <t>Phòng Marketing - 9014003</t>
  </si>
  <si>
    <t>Phòng Phát triển thị trường Quốc tế - 9069759</t>
  </si>
  <si>
    <t>RV:8</t>
  </si>
  <si>
    <t>Phòng Phát triển thị trường trong nước - 9069758</t>
  </si>
  <si>
    <t>Phòng Thương hiệu và truyền thông - 9069760</t>
  </si>
  <si>
    <t>Trung tâm Quản lý chất lượng - TCT CNC - 9013947</t>
  </si>
  <si>
    <t>Ban Giám đốc - 9014031</t>
  </si>
  <si>
    <t>Hệ thống Lab dùng chung - 9014039</t>
  </si>
  <si>
    <t>Phòng Quản lý tiêu chuẩn và quy trình - 9014033</t>
  </si>
  <si>
    <t>Phòng Đảm bảo chất lượng - 9014036</t>
  </si>
  <si>
    <t>PA/PM chủ trì đã xác nhận</t>
  </si>
  <si>
    <t>Chọn tên Đơn vị cấp 5</t>
  </si>
  <si>
    <t>Chọn tên Khối (Đơn vị cấp 4)</t>
  </si>
  <si>
    <t xml:space="preserve">Trạng thái </t>
  </si>
  <si>
    <t>Hiển thị theo thứ tự</t>
  </si>
  <si>
    <r>
      <t>TAB 1</t>
    </r>
    <r>
      <rPr>
        <b/>
        <sz val="12"/>
        <color theme="0"/>
        <rFont val="Calibri"/>
        <family val="2"/>
        <scheme val="minor"/>
      </rPr>
      <t>: DANH SÁCH NHÂN SỰ (Màn hình acc PA/PM)</t>
    </r>
  </si>
  <si>
    <r>
      <rPr>
        <b/>
        <u/>
        <sz val="12"/>
        <color theme="0"/>
        <rFont val="Calibri"/>
        <family val="2"/>
        <scheme val="minor"/>
      </rPr>
      <t>TAB 1</t>
    </r>
    <r>
      <rPr>
        <b/>
        <sz val="12"/>
        <color theme="0"/>
        <rFont val="Calibri"/>
        <family val="2"/>
        <scheme val="minor"/>
      </rPr>
      <t>: DANH SÁCH NHÂN SỰ (Màn hình acc HR)</t>
    </r>
  </si>
  <si>
    <t>Hiển thị theo thứ tự cùng ĐV cấp 4</t>
  </si>
  <si>
    <t>Trung tâm…</t>
  </si>
  <si>
    <t>+ Xem bảng chấm công</t>
  </si>
  <si>
    <t>Click vào đây để xem tab chấm công của đơn vị đó</t>
  </si>
  <si>
    <t>3. BẢNG TH PHÂN BỔ</t>
  </si>
  <si>
    <t>0. BẢNG LƯƠNG THÁNG</t>
  </si>
  <si>
    <t>0. BẢNG CÔNG THÁNG</t>
  </si>
  <si>
    <t>4. BẢNG TH PHÂN BỔ CPNC</t>
  </si>
  <si>
    <t>Chưa chấm công</t>
  </si>
  <si>
    <t>Cảnh báo nếu tháng N+1 CPNC  phân bổ = tháng N thì ko đủ nguồn</t>
  </si>
  <si>
    <t>1. DANH SÁCH NHÂN SỰ</t>
  </si>
  <si>
    <t>2.1 &amp; 2.2. BẢNG CÔNG</t>
  </si>
  <si>
    <t>3.1 &amp; 3.2. BẢNG LƯƠNG</t>
  </si>
  <si>
    <t>Bao gồm</t>
  </si>
  <si>
    <t>4. Trình ký</t>
  </si>
  <si>
    <t>Tự động cập nhật 1 trong 4 trạng thái trên</t>
  </si>
  <si>
    <t>PA đã submit chấm công</t>
  </si>
  <si>
    <t>HR Hoàn thành trình ký</t>
  </si>
  <si>
    <t>bằng CPNC phân bổ/quỹ lương tháng đó</t>
  </si>
  <si>
    <t>Lưu ý</t>
  </si>
  <si>
    <t>Nhiệm vụ khác</t>
  </si>
  <si>
    <t>Số ngày công của nhân sự đã được phân bổ ở một số nhiệm vụ nhưng chưa full công tính lương thì sẽ chuyển hết vào Nội dung nhiệm vụ khác và thuộc nguồn Chi phí quản lý</t>
  </si>
  <si>
    <r>
      <t>TAB 3</t>
    </r>
    <r>
      <rPr>
        <b/>
        <sz val="12"/>
        <color theme="0"/>
        <rFont val="Calibri"/>
        <family val="2"/>
        <scheme val="minor"/>
      </rPr>
      <t>: BÁO CÁO (ACCOUNT PA/PM ĐƠN VỊ CHỦ TRÌ)</t>
    </r>
  </si>
  <si>
    <t>NỘI DUNG MÀN HÌNH HIỂN THỊ</t>
  </si>
  <si>
    <t>TRÌNH KÝ VO THEO NHIỆM VỤ</t>
  </si>
  <si>
    <t>TRÌNH KÝ VO BẢNG TỔNG HỢP</t>
  </si>
  <si>
    <t>Cảnh báo nếu tháng N+1 và N+2 CPNC  phân bổ = tháng N thì cảnh báo ko đủ nguồn</t>
  </si>
  <si>
    <r>
      <rPr>
        <b/>
        <u/>
        <sz val="12"/>
        <color theme="0"/>
        <rFont val="Calibri"/>
        <family val="2"/>
        <scheme val="minor"/>
      </rPr>
      <t>TAB 3:</t>
    </r>
    <r>
      <rPr>
        <b/>
        <sz val="12"/>
        <color theme="0"/>
        <rFont val="Calibri"/>
        <family val="2"/>
        <scheme val="minor"/>
      </rPr>
      <t xml:space="preserve"> BÁO CÁO (ACCOUNT HR)</t>
    </r>
  </si>
  <si>
    <t>Xem sheet LIST</t>
  </si>
  <si>
    <t>QUY TRÌNH THỰC HIỆN</t>
  </si>
  <si>
    <t>Nội dung 4 TABS như mô tả ở các sheet 1-4</t>
  </si>
  <si>
    <t>5. DANH SÁCH NHIỆM VỤ</t>
  </si>
  <si>
    <t>3.2</t>
  </si>
  <si>
    <t>BM5 Danh sách nhiệm vụ (Xuất riêng nhiệm vụ của đơn vị chủ trì)</t>
  </si>
  <si>
    <t>BM5 DS Nhiệm vụ (Xuất tất cả nhiệm vụ của VHT)</t>
  </si>
  <si>
    <r>
      <t xml:space="preserve">Nhiệm vụ sắp hết nguồn 
</t>
    </r>
    <r>
      <rPr>
        <sz val="10"/>
        <color rgb="FF000000"/>
        <rFont val="Calibri"/>
        <family val="2"/>
        <scheme val="minor"/>
      </rPr>
      <t>(Nguồn còn lại dự kiến ko đủ phân bổ cho 2 tháng tiếp theo)</t>
    </r>
  </si>
  <si>
    <t>BM5 DS Nhiệm vụ</t>
  </si>
  <si>
    <t>Nhập hàng tháng</t>
  </si>
  <si>
    <t>Nhập khi có nhiệm vụ mới</t>
  </si>
  <si>
    <t>Xác nhận</t>
  </si>
  <si>
    <t>Xác nhận thông tin công PA đã chấm</t>
  </si>
  <si>
    <t>TH1: PA đơn vị chấm công không phải đơn vị chủ trì =&gt; PA/PM của đơn vị chủ trì xác nhận</t>
  </si>
  <si>
    <t>TH2: PA đơn vị chấm công = ĐƠn vị chủ trì =&gt; Vừa submit vừa xác nhận</t>
  </si>
  <si>
    <t>Thẩm định</t>
  </si>
  <si>
    <t>HR nhận thông tin =&gt; Thẩm định qua trao đổi tương tác ngoài.</t>
  </si>
  <si>
    <t>Khi PA/PM vào chọn tháng =&gt; Nhìn luôn toàn bộ nhân sự của ông ấy tham gia vào những nhiệm vụ nào</t>
  </si>
  <si>
    <t>PM/PA quản lý nhân sự  thông qua đơn vị</t>
  </si>
  <si>
    <t>Giống mô hình của tập đoàn</t>
  </si>
  <si>
    <t>PA ở phòng tổng hợp =&gt; Chấm công cho đơn vị khác.</t>
  </si>
  <si>
    <t>=&gt; Đổi thành cho chọn chủ động, không mặc định hiển thị theo đơn vị trực thuộc cấp 5 nữa, mỗi lần chọn 1 đơn vị</t>
  </si>
  <si>
    <t>1 nhiệm vụ có 1 PM và 1 PA đơn vị chủ trì</t>
  </si>
  <si>
    <t>Mỗi đơn vị phân bổ có 1 PA</t>
  </si>
  <si>
    <t>=&gt; Quản lý danh sách vai trò PA, PM của nhiệm vụ (Khác với chức danh/ vị trí của HRM)</t>
  </si>
  <si>
    <t>Note:</t>
  </si>
  <si>
    <t>=&gt; Quỹ lương tháng của VHT: Tính theo tổng của bảng lương tháng đã import</t>
  </si>
  <si>
    <t>=&gt; Chuyển thành số để import</t>
  </si>
  <si>
    <t>Danh mục</t>
  </si>
  <si>
    <t>Thông tin đơn vị và mối quan hệ giữa các đơn vị trong mô hình tổ chức</t>
  </si>
  <si>
    <t>Xử lý màn hình</t>
  </si>
  <si>
    <t>Xử lý nghiệp vụ CRUD</t>
  </si>
  <si>
    <t>Xử lý nghiệp vụ export</t>
  </si>
  <si>
    <t>Xử lý nghiệp vụ import</t>
  </si>
  <si>
    <t>Thông tin chức danh giống hệ thống nhân sự</t>
  </si>
  <si>
    <t>Nhân viên</t>
  </si>
  <si>
    <t>Thông tin cơ bản và trạng thái nhân viên</t>
  </si>
  <si>
    <t>Nguồn kinh phí</t>
  </si>
  <si>
    <t>Quản lý thư viện nhiệm vụ</t>
  </si>
  <si>
    <t>Quản lý danh mục sản phẩm</t>
  </si>
  <si>
    <t>Nhiệm vụ</t>
  </si>
  <si>
    <t>Nhiệm vụ (BM5)</t>
  </si>
  <si>
    <t>Danh sách công việc</t>
  </si>
  <si>
    <t>Danh sách các công việc của đề tài</t>
  </si>
  <si>
    <t>Danh sách vai trò</t>
  </si>
  <si>
    <t>Các vai trò PA, PM dự án theo thời gian? Có dùng chung với danh sách nhân sự được không?</t>
  </si>
  <si>
    <t>Danh sách nhân sự</t>
  </si>
  <si>
    <t>Lập/ Điều chỉnh danh sách nhân sự và giao việc, vai trò</t>
  </si>
  <si>
    <t>Lập danh sách nhân sự tham gia đề tài</t>
  </si>
  <si>
    <t>Điều chỉnh danh sách nhân sự tham gia đề tài</t>
  </si>
  <si>
    <t>Tổng hợp CPNC</t>
  </si>
  <si>
    <t>Tổng hợp chi phí nhân công luỹ kế theo từng tháng, 6 tháng, 1 năm</t>
  </si>
  <si>
    <t>Xử lý nghiệp vụ lấy dữ liệu hiển thị</t>
  </si>
  <si>
    <t>CPNC</t>
  </si>
  <si>
    <t>Bảng công tháng (BM0.1)</t>
  </si>
  <si>
    <t>Quản lý số liệu chấm công tháng của HR, không quan tâm đến ký hiệu công, loại văng mặt, giải trình công</t>
  </si>
  <si>
    <t>Bảng lương tháng (BM0.2)</t>
  </si>
  <si>
    <t>Khai báo, upload, chỉnh sửa, xoá bỏ thông tin bảng lương tháng của HR</t>
  </si>
  <si>
    <t>Chấm công đề tài, dự án</t>
  </si>
  <si>
    <t>Phân bổ công tháng theo từng nhiệm vụ (nội dung công việc) trong đề tài cho từng nhân viên</t>
  </si>
  <si>
    <t>Báo cáo</t>
  </si>
  <si>
    <t>Danh sách nhân sự (BM1)</t>
  </si>
  <si>
    <t>Báo cáo theo biểu mẫu</t>
  </si>
  <si>
    <t>Nghiệp vụ tổng hợp dữ liệu</t>
  </si>
  <si>
    <t>Xử lý nghiệp vụ trình ký VO</t>
  </si>
  <si>
    <t>Bảng chấm công đề tài, dự án (BM2.1, BM2.2)</t>
  </si>
  <si>
    <t>Bảng lương đề tài, dự án (BM3.1, BM3.2)</t>
  </si>
  <si>
    <t>Bảng tổng hợp phân bổ (BM3)</t>
  </si>
  <si>
    <t>Bảng tổng hợp CPNC (BM4)</t>
  </si>
  <si>
    <t>Danh sách nhân sự của HR</t>
  </si>
  <si>
    <t>Danh sách nhân sự của PA/PM</t>
  </si>
  <si>
    <t>Trình ký</t>
  </si>
  <si>
    <t>Xử lý thông tin, giao diện, chức năng để trình ký văn bản sang VOFFICE</t>
  </si>
  <si>
    <t>Xử lý màn hình trình ký</t>
  </si>
  <si>
    <t>Màn hình danh sách, màn hình chi tiết trình ký</t>
  </si>
  <si>
    <t>Xử lý nghiệp vụ CRUD trình ký</t>
  </si>
  <si>
    <t>Xử lý nghiệp vụ lấy thông tin người ký, người nhận</t>
  </si>
  <si>
    <t>Xử lý màn hình danh sách người ký, người nhận</t>
  </si>
  <si>
    <t>Xử lý lấy thông tin chức danh ký</t>
  </si>
  <si>
    <t>Upload sách file trình ký</t>
  </si>
  <si>
    <t>Xử lý nghiệp vụ gửi trình ký</t>
  </si>
  <si>
    <t>Xử lý nghiệp vụ gửi trình ký hàng loạt</t>
  </si>
  <si>
    <t>Xử lý nghiệp vụ huỷ trình ký</t>
  </si>
  <si>
    <t>Xử lý nghiệp vụ huỷ trình ký hàng loạt</t>
  </si>
  <si>
    <t>Cập nhật trạng thái ký</t>
  </si>
  <si>
    <t>Xác thực</t>
  </si>
  <si>
    <t>Xác thực SSO</t>
  </si>
  <si>
    <t>Xử lý tích hợp SSO</t>
  </si>
  <si>
    <t>Đăng nhập, đăng xuất, phiên làm việc</t>
  </si>
  <si>
    <t>Xử lý nghiệp vụ đăng nhập</t>
  </si>
  <si>
    <t>Xử lý nghiệp vụ đăng xuất</t>
  </si>
  <si>
    <t>Xử lý phiên làm việc</t>
  </si>
  <si>
    <t>Phân quyền</t>
  </si>
  <si>
    <t>Người dùng</t>
  </si>
  <si>
    <t>Dùng chung với nhân viên</t>
  </si>
  <si>
    <t>Nhóm người dùng</t>
  </si>
  <si>
    <t>Nhóm người dùng/ Nhóm quyền</t>
  </si>
  <si>
    <t>Phân quyền chức năng</t>
  </si>
  <si>
    <t>Cảnh báo</t>
  </si>
  <si>
    <t>Cấu hình ngưỡng cảnh báo</t>
  </si>
  <si>
    <t>Cấu hình ngưỡng cảnh báo, tần suất gửi thông báo, kênh gửi, người nhận</t>
  </si>
  <si>
    <t>Cấu hình màu cảnh báo</t>
  </si>
  <si>
    <t>Cấu hình nội dung cảnh báo</t>
  </si>
  <si>
    <t>Cấu hình level cảnh báo</t>
  </si>
  <si>
    <t>Tính năng</t>
  </si>
  <si>
    <t>Không chia mục I, II nữa</t>
  </si>
  <si>
    <t>Các nội dung mà có nhiều nhân sự bị tách thành nhiều dòng thì thêm dòng group (như mẫu BM3.1)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</si>
</sst>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_);_(* \(#,##0\);_(* &quot;-&quot;_);_(@_)"/>
    <numFmt numFmtId="165" formatCode="_(* #,##0.00_);_(* \(#,##0.00\);_(* &quot;-&quot;??_);_(@_)"/>
    <numFmt numFmtId="166" formatCode="_(* #,##0_);_(* \(#,##0\);_(* &quot;-&quot;??_);_(@_)"/>
    <numFmt numFmtId="167" formatCode="_(* #,##0.0_);_(* \(#,##0.0\);_(* &quot;-&quot;??_);_(@_)"/>
    <numFmt numFmtId="168" formatCode="0;\-0;;\ @"/>
    <numFmt numFmtId="169" formatCode="d"/>
    <numFmt numFmtId="170" formatCode="_ * #.##0.00_ ;_ * \-#.##0.00_ ;_ * &quot;-&quot;??_ ;_ @_ "/>
    <numFmt numFmtId="171" formatCode="#,##0.0"/>
    <numFmt numFmtId="172" formatCode="[$-1010000]d/m/yyyy;@"/>
    <numFmt numFmtId="173" formatCode="mm/yyyy"/>
    <numFmt numFmtId="174" formatCode="mm\/yyyy"/>
    <numFmt numFmtId="175" formatCode="##"/>
    <numFmt numFmtId="176" formatCode="#"/>
    <numFmt numFmtId="177" formatCode="#.#"/>
    <numFmt numFmtId="178" formatCode="0.#"/>
  </numFmts>
  <fonts count="122">
    <font>
      <sz val="10"/>
      <color rgb="FF000000"/>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0"/>
      <color rgb="FF000000"/>
      <name val="Calibri"/>
      <family val="2"/>
      <scheme val="minor"/>
    </font>
    <font>
      <b/>
      <sz val="12"/>
      <color theme="1"/>
      <name val="Calibri"/>
      <family val="2"/>
      <scheme val="minor"/>
    </font>
    <font>
      <b/>
      <sz val="12"/>
      <color rgb="FF000000"/>
      <name val="Calibri"/>
      <family val="2"/>
      <scheme val="minor"/>
    </font>
    <font>
      <sz val="12"/>
      <color theme="1"/>
      <name val="Calibri"/>
      <family val="2"/>
      <scheme val="minor"/>
    </font>
    <font>
      <sz val="10"/>
      <color rgb="FF000000"/>
      <name val="Calibri"/>
      <family val="2"/>
      <scheme val="minor"/>
    </font>
    <font>
      <sz val="10"/>
      <color theme="1"/>
      <name val="Arial"/>
      <family val="2"/>
    </font>
    <font>
      <sz val="11"/>
      <color theme="1"/>
      <name val="Times New Roman"/>
      <family val="1"/>
    </font>
    <font>
      <b/>
      <sz val="11"/>
      <color theme="1"/>
      <name val="Times New Roman"/>
      <family val="1"/>
    </font>
    <font>
      <sz val="13"/>
      <name val="Times New Roman"/>
      <family val="1"/>
    </font>
    <font>
      <b/>
      <sz val="13"/>
      <color theme="1"/>
      <name val="Times New Roman"/>
      <family val="1"/>
    </font>
    <font>
      <b/>
      <sz val="13"/>
      <name val="Times New Roman"/>
      <family val="1"/>
    </font>
    <font>
      <i/>
      <sz val="13"/>
      <color theme="1"/>
      <name val="Times New Roman"/>
      <family val="1"/>
    </font>
    <font>
      <b/>
      <sz val="14"/>
      <color theme="1"/>
      <name val="Times New Roman"/>
      <family val="1"/>
    </font>
    <font>
      <sz val="13"/>
      <color theme="1"/>
      <name val="Times New Roman"/>
      <family val="1"/>
    </font>
    <font>
      <b/>
      <i/>
      <sz val="11"/>
      <color theme="1"/>
      <name val="Times New Roman"/>
      <family val="1"/>
    </font>
    <font>
      <i/>
      <sz val="11"/>
      <color theme="1"/>
      <name val="Times New Roman"/>
      <family val="1"/>
    </font>
    <font>
      <b/>
      <sz val="11"/>
      <color theme="0"/>
      <name val="Times New Roman"/>
      <family val="1"/>
    </font>
    <font>
      <sz val="11"/>
      <color indexed="8"/>
      <name val="Times New Roman"/>
      <family val="1"/>
    </font>
    <font>
      <sz val="11"/>
      <name val="Times New Roman"/>
      <family val="1"/>
    </font>
    <font>
      <b/>
      <sz val="9"/>
      <color indexed="81"/>
      <name val="Tahoma"/>
      <family val="2"/>
    </font>
    <font>
      <sz val="9"/>
      <color indexed="81"/>
      <name val="Tahoma"/>
      <family val="2"/>
    </font>
    <font>
      <sz val="14"/>
      <name val=".VnTime"/>
      <family val="2"/>
    </font>
    <font>
      <sz val="9"/>
      <name val="Times New Roman"/>
      <family val="1"/>
    </font>
    <font>
      <sz val="11"/>
      <color theme="0"/>
      <name val="Times New Roman"/>
      <family val="1"/>
    </font>
    <font>
      <sz val="11"/>
      <color indexed="8"/>
      <name val="Times New Roman"/>
      <family val="1"/>
      <charset val="163"/>
    </font>
    <font>
      <b/>
      <sz val="10"/>
      <color theme="1"/>
      <name val="Times New Roman"/>
      <family val="1"/>
    </font>
    <font>
      <b/>
      <i/>
      <sz val="13"/>
      <color theme="1"/>
      <name val="Times New Roman"/>
      <family val="1"/>
    </font>
    <font>
      <sz val="9"/>
      <color theme="1"/>
      <name val="Calibri"/>
      <family val="2"/>
      <scheme val="minor"/>
    </font>
    <font>
      <sz val="11"/>
      <color rgb="FFC00000"/>
      <name val="Calibri"/>
      <family val="2"/>
      <scheme val="minor"/>
    </font>
    <font>
      <b/>
      <i/>
      <u/>
      <sz val="11"/>
      <color rgb="FFC00000"/>
      <name val="Times New Roman"/>
      <family val="1"/>
    </font>
    <font>
      <b/>
      <sz val="14"/>
      <color theme="4" tint="-0.499984740745262"/>
      <name val="Times New Roman"/>
      <family val="1"/>
    </font>
    <font>
      <b/>
      <i/>
      <sz val="11"/>
      <name val="Times New Roman"/>
      <family val="1"/>
    </font>
    <font>
      <sz val="10"/>
      <color theme="1"/>
      <name val="Calibri"/>
      <family val="2"/>
      <scheme val="minor"/>
    </font>
    <font>
      <sz val="10"/>
      <color rgb="FFC00000"/>
      <name val="Calibri"/>
      <family val="2"/>
      <scheme val="minor"/>
    </font>
    <font>
      <sz val="8"/>
      <color indexed="81"/>
      <name val="Tahoma"/>
      <family val="2"/>
    </font>
    <font>
      <b/>
      <sz val="11"/>
      <color rgb="FFFF0000"/>
      <name val="Times New Roman"/>
      <family val="1"/>
    </font>
    <font>
      <sz val="10"/>
      <color rgb="FF000000"/>
      <name val="Calibri"/>
      <family val="2"/>
      <scheme val="minor"/>
    </font>
    <font>
      <b/>
      <sz val="9"/>
      <color rgb="FF000000"/>
      <name val="Tahoma"/>
      <family val="2"/>
    </font>
    <font>
      <sz val="9"/>
      <color rgb="FF000000"/>
      <name val="Tahoma"/>
      <family val="2"/>
    </font>
    <font>
      <sz val="11"/>
      <color rgb="FF000000"/>
      <name val="Calibri"/>
      <family val="2"/>
      <scheme val="minor"/>
    </font>
    <font>
      <b/>
      <sz val="11"/>
      <color rgb="FF000000"/>
      <name val="Calibri"/>
      <family val="2"/>
      <scheme val="minor"/>
    </font>
    <font>
      <b/>
      <sz val="11"/>
      <color indexed="8"/>
      <name val="Times New Roman"/>
      <family val="1"/>
    </font>
    <font>
      <b/>
      <sz val="11"/>
      <color theme="1"/>
      <name val="Calibri"/>
      <family val="2"/>
      <scheme val="minor"/>
    </font>
    <font>
      <b/>
      <sz val="10"/>
      <color theme="0"/>
      <name val="Calibri"/>
      <family val="2"/>
      <scheme val="minor"/>
    </font>
    <font>
      <sz val="10"/>
      <color indexed="8"/>
      <name val="Calibri"/>
      <family val="2"/>
      <scheme val="minor"/>
    </font>
    <font>
      <sz val="10"/>
      <name val="Calibri"/>
      <family val="2"/>
      <scheme val="minor"/>
    </font>
    <font>
      <b/>
      <sz val="10"/>
      <color indexed="8"/>
      <name val="Calibri"/>
      <family val="2"/>
      <scheme val="minor"/>
    </font>
    <font>
      <i/>
      <sz val="10"/>
      <color rgb="FF000000"/>
      <name val="Calibri"/>
      <family val="2"/>
      <scheme val="minor"/>
    </font>
    <font>
      <sz val="11"/>
      <color indexed="8"/>
      <name val="Calibri"/>
      <family val="2"/>
      <scheme val="minor"/>
    </font>
    <font>
      <b/>
      <u/>
      <sz val="12"/>
      <color theme="0"/>
      <name val="Calibri"/>
      <family val="2"/>
      <scheme val="minor"/>
    </font>
    <font>
      <b/>
      <sz val="12"/>
      <color theme="0"/>
      <name val="Calibri"/>
      <family val="2"/>
      <scheme val="minor"/>
    </font>
    <font>
      <i/>
      <sz val="10"/>
      <color theme="8" tint="-0.499984740745262"/>
      <name val="Calibri"/>
      <family val="2"/>
      <scheme val="minor"/>
    </font>
    <font>
      <sz val="10"/>
      <color theme="8" tint="-0.499984740745262"/>
      <name val="Calibri"/>
      <family val="2"/>
      <scheme val="minor"/>
    </font>
    <font>
      <b/>
      <i/>
      <sz val="10"/>
      <color theme="8" tint="-0.499984740745262"/>
      <name val="Calibri"/>
      <family val="2"/>
      <scheme val="minor"/>
    </font>
    <font>
      <b/>
      <sz val="8"/>
      <color rgb="FF000000"/>
      <name val="Calibri"/>
      <family val="2"/>
      <scheme val="minor"/>
    </font>
    <font>
      <sz val="8"/>
      <color theme="8" tint="-0.499984740745262"/>
      <name val="Calibri"/>
      <family val="2"/>
      <scheme val="minor"/>
    </font>
    <font>
      <b/>
      <i/>
      <sz val="15"/>
      <color theme="1"/>
      <name val="Times New Roman"/>
      <family val="1"/>
    </font>
    <font>
      <sz val="10"/>
      <name val="Arial"/>
      <family val="2"/>
    </font>
    <font>
      <sz val="11"/>
      <color indexed="8"/>
      <name val="Calibri"/>
      <family val="2"/>
    </font>
    <font>
      <b/>
      <sz val="13"/>
      <color indexed="8"/>
      <name val="Times New Roman"/>
      <family val="1"/>
    </font>
    <font>
      <sz val="13"/>
      <color theme="0"/>
      <name val="Times New Roman"/>
      <family val="1"/>
    </font>
    <font>
      <sz val="12"/>
      <name val="Times New Roman"/>
      <family val="1"/>
    </font>
    <font>
      <sz val="12"/>
      <color indexed="8"/>
      <name val="Times New Roman"/>
      <family val="1"/>
    </font>
    <font>
      <b/>
      <sz val="11"/>
      <color rgb="FFFF0000"/>
      <name val="Calibri"/>
      <family val="2"/>
      <scheme val="minor"/>
    </font>
    <font>
      <sz val="13"/>
      <color indexed="8"/>
      <name val="Times New Roman"/>
      <family val="1"/>
    </font>
    <font>
      <b/>
      <sz val="12"/>
      <color theme="1"/>
      <name val="Times New Roman"/>
      <family val="1"/>
    </font>
    <font>
      <b/>
      <sz val="12"/>
      <color indexed="8"/>
      <name val="Times New Roman"/>
      <family val="1"/>
    </font>
    <font>
      <i/>
      <sz val="12"/>
      <color theme="1"/>
      <name val="Times New Roman"/>
      <family val="1"/>
    </font>
    <font>
      <i/>
      <u/>
      <sz val="12"/>
      <color theme="1"/>
      <name val="Times New Roman"/>
      <family val="1"/>
    </font>
    <font>
      <sz val="12"/>
      <color theme="1"/>
      <name val="Times New Roman"/>
      <family val="1"/>
    </font>
    <font>
      <b/>
      <sz val="15"/>
      <color theme="1"/>
      <name val="Times New Roman"/>
      <family val="1"/>
    </font>
    <font>
      <b/>
      <sz val="15"/>
      <name val="Times New Roman"/>
      <family val="1"/>
    </font>
    <font>
      <b/>
      <sz val="11"/>
      <color theme="0"/>
      <name val="Calibri"/>
      <family val="2"/>
      <scheme val="minor"/>
    </font>
    <font>
      <sz val="10"/>
      <color theme="0"/>
      <name val="Calibri"/>
      <family val="2"/>
      <scheme val="minor"/>
    </font>
    <font>
      <b/>
      <sz val="10"/>
      <color theme="1"/>
      <name val="Calibri"/>
      <family val="2"/>
      <scheme val="minor"/>
    </font>
    <font>
      <b/>
      <sz val="12"/>
      <name val="Times New Roman"/>
      <family val="1"/>
    </font>
    <font>
      <sz val="11"/>
      <color rgb="FFFF0000"/>
      <name val="Times New Roman"/>
      <family val="1"/>
    </font>
    <font>
      <sz val="10"/>
      <color rgb="FFFF0000"/>
      <name val="Times New Roman"/>
      <family val="1"/>
    </font>
    <font>
      <sz val="10"/>
      <name val="Times New Roman"/>
      <family val="1"/>
    </font>
    <font>
      <b/>
      <u/>
      <sz val="12"/>
      <name val="Times New Roman"/>
      <family val="1"/>
    </font>
    <font>
      <b/>
      <sz val="10"/>
      <name val="Times New Roman"/>
      <family val="1"/>
    </font>
    <font>
      <b/>
      <sz val="14"/>
      <name val="Times New Roman"/>
      <family val="1"/>
    </font>
    <font>
      <b/>
      <i/>
      <sz val="14"/>
      <name val="Times New Roman"/>
      <family val="1"/>
    </font>
    <font>
      <b/>
      <sz val="15"/>
      <color rgb="FFFF0000"/>
      <name val="Times New Roman"/>
      <family val="1"/>
    </font>
    <font>
      <sz val="11"/>
      <color rgb="FF000000"/>
      <name val="Times New Roman"/>
      <family val="1"/>
    </font>
    <font>
      <b/>
      <i/>
      <sz val="12"/>
      <color rgb="FF000000"/>
      <name val="Times New Roman"/>
      <family val="1"/>
    </font>
    <font>
      <b/>
      <i/>
      <sz val="12"/>
      <color rgb="FFFF0000"/>
      <name val="Times New Roman"/>
      <family val="1"/>
    </font>
    <font>
      <b/>
      <sz val="11"/>
      <name val="Times New Roman"/>
      <family val="1"/>
    </font>
    <font>
      <b/>
      <sz val="11"/>
      <color rgb="FF000000"/>
      <name val="Times New Roman"/>
      <family val="1"/>
    </font>
    <font>
      <i/>
      <sz val="11"/>
      <color indexed="8"/>
      <name val="Calibri"/>
      <family val="2"/>
    </font>
    <font>
      <b/>
      <sz val="11"/>
      <color indexed="8"/>
      <name val="Calibri"/>
      <family val="2"/>
    </font>
    <font>
      <sz val="11"/>
      <color theme="1"/>
      <name val="Calibri"/>
      <family val="2"/>
      <charset val="204"/>
      <scheme val="minor"/>
    </font>
    <font>
      <sz val="11"/>
      <name val="Calibri"/>
      <family val="2"/>
      <scheme val="minor"/>
    </font>
    <font>
      <sz val="10"/>
      <color rgb="FF000000"/>
      <name val="Times New Roman"/>
      <family val="2"/>
    </font>
    <font>
      <sz val="11"/>
      <color indexed="64"/>
      <name val="Calibri"/>
      <family val="2"/>
    </font>
    <font>
      <b/>
      <sz val="16"/>
      <color theme="1"/>
      <name val="Times New Roman"/>
      <family val="1"/>
    </font>
    <font>
      <sz val="14"/>
      <color theme="1"/>
      <name val="Times New Roman"/>
      <family val="1"/>
    </font>
    <font>
      <b/>
      <i/>
      <sz val="14"/>
      <color theme="1"/>
      <name val="Times New Roman"/>
      <family val="1"/>
    </font>
    <font>
      <b/>
      <sz val="10"/>
      <name val="Calibri"/>
      <family val="2"/>
      <scheme val="minor"/>
    </font>
    <font>
      <i/>
      <sz val="10"/>
      <name val="Calibri"/>
      <family val="2"/>
      <scheme val="minor"/>
    </font>
    <font>
      <i/>
      <sz val="10"/>
      <color rgb="FF002060"/>
      <name val="Calibri"/>
      <family val="2"/>
      <scheme val="minor"/>
    </font>
    <font>
      <b/>
      <sz val="9"/>
      <color rgb="FF000000"/>
      <name val="Calibri"/>
      <family val="2"/>
      <scheme val="minor"/>
    </font>
    <font>
      <i/>
      <sz val="10"/>
      <color theme="0"/>
      <name val="Calibri"/>
      <family val="2"/>
      <scheme val="minor"/>
    </font>
    <font>
      <b/>
      <sz val="10"/>
      <color rgb="FFC00000"/>
      <name val="Calibri"/>
      <family val="2"/>
      <scheme val="minor"/>
    </font>
    <font>
      <i/>
      <sz val="11"/>
      <color indexed="8"/>
      <name val="Times New Roman"/>
      <family val="1"/>
    </font>
    <font>
      <b/>
      <sz val="16"/>
      <name val="Times New Roman"/>
      <family val="1"/>
    </font>
    <font>
      <b/>
      <sz val="11"/>
      <name val="Calibri"/>
      <family val="2"/>
      <scheme val="minor"/>
    </font>
    <font>
      <u/>
      <sz val="10"/>
      <color theme="10"/>
      <name val="Calibri"/>
      <family val="2"/>
      <scheme val="minor"/>
    </font>
    <font>
      <i/>
      <sz val="9"/>
      <color rgb="FF000000"/>
      <name val="Calibri"/>
      <family val="2"/>
      <scheme val="minor"/>
    </font>
    <font>
      <b/>
      <sz val="10"/>
      <color rgb="FF000000"/>
      <name val="Times New Roman"/>
      <family val="2"/>
    </font>
    <font>
      <b/>
      <sz val="10"/>
      <color theme="0"/>
      <name val="Times New Roman"/>
      <family val="2"/>
    </font>
    <font>
      <b/>
      <sz val="14"/>
      <color rgb="FFFF0000"/>
      <name val="Calibri"/>
      <family val="2"/>
      <scheme val="minor"/>
    </font>
    <font>
      <i/>
      <sz val="9"/>
      <color theme="8" tint="-0.499984740745262"/>
      <name val="Calibri"/>
      <family val="2"/>
      <scheme val="minor"/>
    </font>
    <font>
      <sz val="10"/>
      <color rgb="FFFF0000"/>
      <name val="Calibri"/>
      <family val="2"/>
      <scheme val="minor"/>
    </font>
    <font>
      <sz val="10"/>
      <color rgb="FFFF0000"/>
      <name val="Arial"/>
      <family val="2"/>
    </font>
    <font>
      <i/>
      <sz val="12"/>
      <name val="Times New Roman"/>
      <family val="1"/>
    </font>
    <font>
      <sz val="12"/>
      <color rgb="FFFF0000"/>
      <name val="Times New Roman"/>
      <family val="1"/>
    </font>
    <font>
      <sz val="10"/>
      <color rgb="FF000000"/>
      <name val="Times New Roman"/>
      <family val="1"/>
    </font>
  </fonts>
  <fills count="25">
    <fill>
      <patternFill patternType="none"/>
    </fill>
    <fill>
      <patternFill patternType="gray125"/>
    </fill>
    <fill>
      <patternFill patternType="solid">
        <fgColor theme="0"/>
        <bgColor indexed="64"/>
      </patternFill>
    </fill>
    <fill>
      <patternFill patternType="solid">
        <fgColor theme="0"/>
        <bgColor rgb="FFFF9900"/>
      </patternFill>
    </fill>
    <fill>
      <patternFill patternType="solid">
        <fgColor rgb="FFFFFF00"/>
        <bgColor indexed="64"/>
      </patternFill>
    </fill>
    <fill>
      <patternFill patternType="solid">
        <fgColor theme="8" tint="-0.49998474074526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lightUp">
        <bgColor theme="0"/>
      </patternFill>
    </fill>
    <fill>
      <patternFill patternType="solid">
        <fgColor theme="8" tint="0.79998168889431442"/>
        <bgColor indexed="64"/>
      </patternFill>
    </fill>
    <fill>
      <patternFill patternType="solid">
        <fgColor theme="7"/>
        <bgColor indexed="64"/>
      </patternFill>
    </fill>
    <fill>
      <patternFill patternType="solid">
        <fgColor rgb="FFFFFFFF"/>
        <bgColor indexed="64"/>
      </patternFill>
    </fill>
    <fill>
      <patternFill patternType="solid">
        <fgColor theme="7" tint="0.39997558519241921"/>
        <bgColor indexed="64"/>
      </patternFill>
    </fill>
    <fill>
      <patternFill patternType="solid">
        <fgColor theme="9" tint="-0.499984740745262"/>
        <bgColor indexed="64"/>
      </patternFill>
    </fill>
    <fill>
      <patternFill patternType="solid">
        <fgColor rgb="FF821702"/>
        <bgColor indexed="64"/>
      </patternFill>
    </fill>
    <fill>
      <patternFill patternType="solid">
        <fgColor theme="4" tint="0.79998168889431442"/>
        <bgColor indexed="64"/>
      </patternFill>
    </fill>
    <fill>
      <patternFill patternType="solid">
        <fgColor rgb="FF375623"/>
        <bgColor indexed="64"/>
      </patternFill>
    </fill>
    <fill>
      <patternFill patternType="solid">
        <fgColor theme="9" tint="0.79998168889431442"/>
        <bgColor indexed="64"/>
      </patternFill>
    </fill>
    <fill>
      <patternFill patternType="solid">
        <fgColor indexed="9"/>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style="thin">
        <color theme="0" tint="-0.34998626667073579"/>
      </top>
      <bottom style="thin">
        <color theme="0" tint="-0.34998626667073579"/>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34998626667073579"/>
      </left>
      <right/>
      <top/>
      <bottom/>
      <diagonal/>
    </border>
    <border>
      <left style="thin">
        <color indexed="64"/>
      </left>
      <right style="thin">
        <color indexed="64"/>
      </right>
      <top/>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style="double">
        <color auto="1"/>
      </left>
      <right style="double">
        <color auto="1"/>
      </right>
      <top style="double">
        <color auto="1"/>
      </top>
      <bottom style="double">
        <color auto="1"/>
      </bottom>
      <diagonal/>
    </border>
    <border>
      <left/>
      <right style="thin">
        <color theme="0" tint="-0.34998626667073579"/>
      </right>
      <top style="thin">
        <color theme="0" tint="-0.34998626667073579"/>
      </top>
      <bottom/>
      <diagonal/>
    </border>
    <border>
      <left/>
      <right style="thin">
        <color theme="0" tint="-0.34998626667073579"/>
      </right>
      <top/>
      <bottom style="thin">
        <color theme="0" tint="-0.34998626667073579"/>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style="thin">
        <color theme="0" tint="-0.34998626667073579"/>
      </right>
      <top style="thin">
        <color theme="0" tint="-0.34998626667073579"/>
      </top>
      <bottom/>
      <diagonal/>
    </border>
    <border>
      <left style="double">
        <color auto="1"/>
      </left>
      <right style="thin">
        <color theme="0" tint="-0.34998626667073579"/>
      </right>
      <top/>
      <bottom/>
      <diagonal/>
    </border>
    <border>
      <left style="double">
        <color auto="1"/>
      </left>
      <right style="thin">
        <color theme="0" tint="-0.34998626667073579"/>
      </right>
      <top/>
      <bottom style="thin">
        <color theme="0" tint="-0.34998626667073579"/>
      </bottom>
      <diagonal/>
    </border>
    <border>
      <left style="double">
        <color auto="1"/>
      </left>
      <right style="thin">
        <color theme="0" tint="-0.34998626667073579"/>
      </right>
      <top style="thin">
        <color theme="0" tint="-0.34998626667073579"/>
      </top>
      <bottom style="thin">
        <color theme="0" tint="-0.34998626667073579"/>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double">
        <color auto="1"/>
      </right>
      <top style="thin">
        <color theme="0" tint="-0.34998626667073579"/>
      </top>
      <bottom style="thin">
        <color theme="0" tint="-0.34998626667073579"/>
      </bottom>
      <diagonal/>
    </border>
    <border>
      <left style="double">
        <color auto="1"/>
      </left>
      <right/>
      <top style="double">
        <color auto="1"/>
      </top>
      <bottom style="double">
        <color auto="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diagonal/>
    </border>
  </borders>
  <cellStyleXfs count="36">
    <xf numFmtId="0" fontId="0" fillId="0" borderId="0"/>
    <xf numFmtId="0" fontId="94" fillId="0" borderId="0" applyNumberFormat="0" applyFill="0" applyBorder="0" applyAlignment="0" applyProtection="0"/>
    <xf numFmtId="0" fontId="93" fillId="0" borderId="0" applyNumberFormat="0" applyFill="0" applyBorder="0" applyAlignment="0" applyProtection="0"/>
    <xf numFmtId="0" fontId="3" fillId="0" borderId="0"/>
    <xf numFmtId="0" fontId="25" fillId="0" borderId="0"/>
    <xf numFmtId="165" fontId="3" fillId="0" borderId="0" applyFont="0" applyFill="0" applyBorder="0" applyAlignment="0" applyProtection="0"/>
    <xf numFmtId="165" fontId="9" fillId="0" borderId="0" applyFont="0" applyFill="0" applyBorder="0" applyAlignment="0" applyProtection="0"/>
    <xf numFmtId="0" fontId="9" fillId="0" borderId="0"/>
    <xf numFmtId="164" fontId="40" fillId="0" borderId="0" applyFont="0" applyFill="0" applyBorder="0" applyAlignment="0" applyProtection="0"/>
    <xf numFmtId="9" fontId="40" fillId="0" borderId="0" applyFont="0" applyFill="0" applyBorder="0" applyAlignment="0" applyProtection="0"/>
    <xf numFmtId="0" fontId="2" fillId="0" borderId="0"/>
    <xf numFmtId="170" fontId="2" fillId="0" borderId="0" applyFont="0" applyFill="0" applyBorder="0" applyAlignment="0" applyProtection="0">
      <alignment vertical="center"/>
    </xf>
    <xf numFmtId="0" fontId="61" fillId="0" borderId="0"/>
    <xf numFmtId="0" fontId="62" fillId="0" borderId="0"/>
    <xf numFmtId="165" fontId="2" fillId="0" borderId="0" applyFont="0" applyFill="0" applyBorder="0" applyAlignment="0" applyProtection="0"/>
    <xf numFmtId="0" fontId="62" fillId="0" borderId="0"/>
    <xf numFmtId="165" fontId="1" fillId="0" borderId="0" applyFont="0" applyFill="0" applyBorder="0" applyAlignment="0" applyProtection="0"/>
    <xf numFmtId="0" fontId="62" fillId="0" borderId="0"/>
    <xf numFmtId="0" fontId="1" fillId="0" borderId="0"/>
    <xf numFmtId="0" fontId="62" fillId="0" borderId="0"/>
    <xf numFmtId="0" fontId="62" fillId="0" borderId="0"/>
    <xf numFmtId="0" fontId="95" fillId="0" borderId="0"/>
    <xf numFmtId="0" fontId="97" fillId="17" borderId="1" applyNumberFormat="0" applyProtection="0">
      <alignment horizontal="left"/>
    </xf>
    <xf numFmtId="0" fontId="98" fillId="0" borderId="0"/>
    <xf numFmtId="172" fontId="98" fillId="0" borderId="0"/>
    <xf numFmtId="0" fontId="62" fillId="0" borderId="0"/>
    <xf numFmtId="0" fontId="1" fillId="0" borderId="0"/>
    <xf numFmtId="0" fontId="61" fillId="0" borderId="0"/>
    <xf numFmtId="0" fontId="62" fillId="0" borderId="0"/>
    <xf numFmtId="0" fontId="1" fillId="0" borderId="0"/>
    <xf numFmtId="0" fontId="98" fillId="0" borderId="0"/>
    <xf numFmtId="170" fontId="1" fillId="0" borderId="0" applyFont="0" applyFill="0" applyBorder="0" applyAlignment="0" applyProtection="0">
      <alignment vertical="center"/>
    </xf>
    <xf numFmtId="170" fontId="1" fillId="0" borderId="0" applyFont="0" applyFill="0" applyBorder="0" applyAlignment="0" applyProtection="0">
      <alignment vertical="center"/>
    </xf>
    <xf numFmtId="0" fontId="111" fillId="0" borderId="0" applyNumberFormat="0" applyFill="0" applyBorder="0" applyAlignment="0" applyProtection="0"/>
    <xf numFmtId="0" fontId="113" fillId="17" borderId="1" applyNumberFormat="0" applyProtection="0">
      <alignment horizontal="left"/>
    </xf>
    <xf numFmtId="0" fontId="61" fillId="0" borderId="0"/>
  </cellStyleXfs>
  <cellXfs count="804">
    <xf numFmtId="0" fontId="0" fillId="0" borderId="0" xfId="0"/>
    <xf numFmtId="0" fontId="54" fillId="20" borderId="0" xfId="0" applyFont="1" applyFill="1" applyAlignment="1">
      <alignment horizontal="center" vertical="center"/>
    </xf>
    <xf numFmtId="0" fontId="54" fillId="20" borderId="45" xfId="0" applyFont="1" applyFill="1" applyBorder="1" applyAlignment="1">
      <alignment horizontal="center" vertical="center"/>
    </xf>
    <xf numFmtId="0" fontId="0" fillId="0" borderId="1" xfId="0" applyBorder="1"/>
    <xf numFmtId="0" fontId="4" fillId="0" borderId="0" xfId="0" applyFont="1" applyAlignment="1">
      <alignment horizontal="center"/>
    </xf>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vertical="center"/>
    </xf>
    <xf numFmtId="0" fontId="5" fillId="0" borderId="1" xfId="0" applyFont="1" applyBorder="1" applyAlignment="1">
      <alignment vertical="center" wrapText="1"/>
    </xf>
    <xf numFmtId="0" fontId="4" fillId="0" borderId="0" xfId="0" applyFont="1"/>
    <xf numFmtId="0" fontId="4" fillId="0" borderId="1" xfId="0" applyFont="1" applyBorder="1"/>
    <xf numFmtId="0" fontId="8" fillId="0" borderId="0" xfId="0" applyFont="1"/>
    <xf numFmtId="0" fontId="7" fillId="4" borderId="1" xfId="0" applyFont="1" applyFill="1" applyBorder="1" applyAlignment="1">
      <alignment vertical="center" wrapText="1"/>
    </xf>
    <xf numFmtId="0" fontId="10" fillId="2" borderId="0" xfId="3" applyFont="1" applyFill="1"/>
    <xf numFmtId="0" fontId="10" fillId="2" borderId="0" xfId="3" applyFont="1" applyFill="1" applyAlignment="1">
      <alignment vertical="center"/>
    </xf>
    <xf numFmtId="0" fontId="11" fillId="2" borderId="0" xfId="3" applyFont="1" applyFill="1" applyAlignment="1">
      <alignment horizontal="right"/>
    </xf>
    <xf numFmtId="0" fontId="12" fillId="2" borderId="0" xfId="3" applyFont="1" applyFill="1" applyAlignment="1">
      <alignment horizontal="left" vertical="center"/>
    </xf>
    <xf numFmtId="0" fontId="13" fillId="2" borderId="0" xfId="3" applyFont="1" applyFill="1"/>
    <xf numFmtId="0" fontId="13" fillId="2" borderId="0" xfId="3" applyFont="1" applyFill="1" applyAlignment="1">
      <alignment horizontal="center"/>
    </xf>
    <xf numFmtId="0" fontId="14" fillId="2" borderId="0" xfId="3" applyFont="1" applyFill="1" applyAlignment="1">
      <alignment vertical="center"/>
    </xf>
    <xf numFmtId="0" fontId="10" fillId="2" borderId="0" xfId="3" applyFont="1" applyFill="1" applyAlignment="1">
      <alignment horizontal="center"/>
    </xf>
    <xf numFmtId="0" fontId="11" fillId="2" borderId="0" xfId="3" applyFont="1" applyFill="1" applyAlignment="1">
      <alignment vertical="center"/>
    </xf>
    <xf numFmtId="0" fontId="17" fillId="2" borderId="0" xfId="3" applyFont="1" applyFill="1" applyAlignment="1">
      <alignment vertical="center"/>
    </xf>
    <xf numFmtId="0" fontId="18" fillId="2" borderId="0" xfId="3" applyFont="1" applyFill="1" applyAlignment="1">
      <alignment vertical="center"/>
    </xf>
    <xf numFmtId="0" fontId="10" fillId="2" borderId="2" xfId="3" applyFont="1" applyFill="1" applyBorder="1" applyAlignment="1">
      <alignment horizontal="center" vertical="center"/>
    </xf>
    <xf numFmtId="0" fontId="21" fillId="2" borderId="2" xfId="3" applyFont="1" applyFill="1" applyBorder="1" applyAlignment="1">
      <alignment horizontal="center" vertical="center" wrapText="1"/>
    </xf>
    <xf numFmtId="0" fontId="10" fillId="2" borderId="2" xfId="3" applyFont="1" applyFill="1" applyBorder="1" applyAlignment="1">
      <alignment horizontal="center" vertical="center" wrapText="1"/>
    </xf>
    <xf numFmtId="0" fontId="10" fillId="2" borderId="2" xfId="3" applyFont="1" applyFill="1" applyBorder="1" applyAlignment="1">
      <alignment wrapText="1"/>
    </xf>
    <xf numFmtId="0" fontId="22" fillId="2" borderId="2" xfId="3" applyFont="1" applyFill="1" applyBorder="1" applyAlignment="1">
      <alignment wrapText="1"/>
    </xf>
    <xf numFmtId="0" fontId="10" fillId="2" borderId="2" xfId="3" applyFont="1" applyFill="1" applyBorder="1"/>
    <xf numFmtId="0" fontId="10" fillId="2" borderId="2" xfId="3" applyFont="1" applyFill="1" applyBorder="1" applyAlignment="1">
      <alignment vertical="center"/>
    </xf>
    <xf numFmtId="0" fontId="14" fillId="2" borderId="0" xfId="3" applyFont="1" applyFill="1"/>
    <xf numFmtId="0" fontId="14" fillId="2" borderId="0" xfId="3" applyFont="1" applyFill="1" applyAlignment="1">
      <alignment horizontal="left"/>
    </xf>
    <xf numFmtId="0" fontId="13" fillId="2" borderId="0" xfId="3" applyFont="1" applyFill="1" applyAlignment="1">
      <alignment vertical="center"/>
    </xf>
    <xf numFmtId="0" fontId="14" fillId="2" borderId="0" xfId="3" applyFont="1" applyFill="1" applyAlignment="1">
      <alignment horizontal="center" vertical="center" wrapText="1"/>
    </xf>
    <xf numFmtId="165" fontId="10" fillId="2" borderId="0" xfId="3" applyNumberFormat="1" applyFont="1" applyFill="1"/>
    <xf numFmtId="0" fontId="18" fillId="2" borderId="0" xfId="3" applyFont="1" applyFill="1"/>
    <xf numFmtId="0" fontId="26" fillId="2" borderId="0" xfId="4" applyFont="1" applyFill="1" applyAlignment="1">
      <alignment vertical="center" wrapText="1"/>
    </xf>
    <xf numFmtId="0" fontId="13" fillId="2" borderId="0" xfId="3" applyFont="1" applyFill="1" applyAlignment="1">
      <alignment horizontal="center" vertical="center"/>
    </xf>
    <xf numFmtId="0" fontId="17" fillId="2" borderId="0" xfId="3" applyFont="1" applyFill="1"/>
    <xf numFmtId="0" fontId="13" fillId="2" borderId="0" xfId="3" applyFont="1" applyFill="1" applyAlignment="1">
      <alignment horizontal="left" vertical="center"/>
    </xf>
    <xf numFmtId="0" fontId="27" fillId="5" borderId="2" xfId="3" applyFont="1" applyFill="1" applyBorder="1"/>
    <xf numFmtId="166" fontId="20" fillId="5" borderId="2" xfId="3" applyNumberFormat="1" applyFont="1" applyFill="1" applyBorder="1" applyAlignment="1">
      <alignment horizontal="center"/>
    </xf>
    <xf numFmtId="0" fontId="27" fillId="5" borderId="2" xfId="3" applyFont="1" applyFill="1" applyBorder="1" applyAlignment="1">
      <alignment horizontal="center" vertical="center"/>
    </xf>
    <xf numFmtId="0" fontId="10" fillId="2" borderId="2" xfId="3" applyFont="1" applyFill="1" applyBorder="1" applyAlignment="1">
      <alignment vertical="center" wrapText="1"/>
    </xf>
    <xf numFmtId="167" fontId="10" fillId="2" borderId="2" xfId="5" applyNumberFormat="1" applyFont="1" applyFill="1" applyBorder="1" applyAlignment="1">
      <alignment horizontal="center" vertical="center"/>
    </xf>
    <xf numFmtId="166" fontId="10" fillId="2" borderId="2" xfId="5" applyNumberFormat="1" applyFont="1" applyFill="1" applyBorder="1" applyAlignment="1">
      <alignment horizontal="center" vertical="center"/>
    </xf>
    <xf numFmtId="0" fontId="28" fillId="2" borderId="2" xfId="3" applyFont="1" applyFill="1" applyBorder="1" applyAlignment="1" applyProtection="1">
      <alignment horizontal="center" vertical="center" wrapText="1"/>
      <protection locked="0"/>
    </xf>
    <xf numFmtId="0" fontId="10" fillId="2" borderId="2" xfId="3" quotePrefix="1" applyFont="1" applyFill="1" applyBorder="1" applyAlignment="1">
      <alignment horizontal="center" vertical="center"/>
    </xf>
    <xf numFmtId="0" fontId="19" fillId="2" borderId="0" xfId="3" applyFont="1" applyFill="1"/>
    <xf numFmtId="0" fontId="19" fillId="2" borderId="2" xfId="3" applyFont="1" applyFill="1" applyBorder="1" applyAlignment="1">
      <alignment vertical="center"/>
    </xf>
    <xf numFmtId="0" fontId="19" fillId="2" borderId="2" xfId="3" applyFont="1" applyFill="1" applyBorder="1" applyAlignment="1">
      <alignment horizontal="center" vertical="center"/>
    </xf>
    <xf numFmtId="167" fontId="10" fillId="2" borderId="2" xfId="5" applyNumberFormat="1" applyFont="1" applyFill="1" applyBorder="1" applyAlignment="1">
      <alignment horizontal="right" vertical="center"/>
    </xf>
    <xf numFmtId="0" fontId="19" fillId="2" borderId="2" xfId="3" applyFont="1" applyFill="1" applyBorder="1" applyAlignment="1">
      <alignment vertical="center" wrapText="1"/>
    </xf>
    <xf numFmtId="0" fontId="11" fillId="2" borderId="0" xfId="3" applyFont="1" applyFill="1"/>
    <xf numFmtId="0" fontId="11" fillId="2" borderId="2" xfId="3" applyFont="1" applyFill="1" applyBorder="1" applyAlignment="1">
      <alignment vertical="center"/>
    </xf>
    <xf numFmtId="0" fontId="11" fillId="2" borderId="2" xfId="3" applyFont="1" applyFill="1" applyBorder="1" applyAlignment="1">
      <alignment horizontal="center" vertical="center"/>
    </xf>
    <xf numFmtId="0" fontId="10" fillId="2" borderId="0" xfId="3" applyFont="1" applyFill="1" applyAlignment="1">
      <alignment horizontal="center" vertical="center"/>
    </xf>
    <xf numFmtId="0" fontId="10" fillId="2" borderId="2" xfId="3" applyFont="1" applyFill="1" applyBorder="1" applyAlignment="1">
      <alignment horizontal="left" vertical="center"/>
    </xf>
    <xf numFmtId="167" fontId="11" fillId="2" borderId="2" xfId="5" applyNumberFormat="1" applyFont="1" applyFill="1" applyBorder="1" applyAlignment="1">
      <alignment horizontal="center" vertical="center"/>
    </xf>
    <xf numFmtId="166" fontId="11" fillId="2" borderId="2" xfId="5" applyNumberFormat="1" applyFont="1" applyFill="1" applyBorder="1" applyAlignment="1">
      <alignment horizontal="center" vertical="center"/>
    </xf>
    <xf numFmtId="37" fontId="29" fillId="2" borderId="2" xfId="3" applyNumberFormat="1" applyFont="1" applyFill="1" applyBorder="1" applyAlignment="1">
      <alignment vertical="center" wrapText="1"/>
    </xf>
    <xf numFmtId="0" fontId="11" fillId="2" borderId="0" xfId="3" applyFont="1" applyFill="1" applyAlignment="1">
      <alignment horizontal="center" vertical="center" wrapText="1"/>
    </xf>
    <xf numFmtId="0" fontId="20" fillId="5" borderId="2" xfId="3" applyFont="1" applyFill="1" applyBorder="1" applyAlignment="1">
      <alignment horizontal="center" vertical="center" wrapText="1"/>
    </xf>
    <xf numFmtId="0" fontId="20" fillId="5" borderId="2" xfId="3" applyFont="1" applyFill="1" applyBorder="1" applyAlignment="1">
      <alignment horizontal="center" vertical="center"/>
    </xf>
    <xf numFmtId="0" fontId="18" fillId="2" borderId="0" xfId="3" applyFont="1" applyFill="1" applyAlignment="1">
      <alignment horizontal="center"/>
    </xf>
    <xf numFmtId="0" fontId="11" fillId="2" borderId="0" xfId="3" applyFont="1" applyFill="1" applyAlignment="1">
      <alignment horizontal="center"/>
    </xf>
    <xf numFmtId="0" fontId="12" fillId="2" borderId="0" xfId="3" applyFont="1" applyFill="1"/>
    <xf numFmtId="168" fontId="10" fillId="2" borderId="0" xfId="3" applyNumberFormat="1" applyFont="1" applyFill="1" applyAlignment="1">
      <alignment wrapText="1"/>
    </xf>
    <xf numFmtId="0" fontId="11" fillId="2" borderId="0" xfId="3" applyFont="1" applyFill="1" applyAlignment="1">
      <alignment horizontal="center" wrapText="1"/>
    </xf>
    <xf numFmtId="0" fontId="31" fillId="2" borderId="0" xfId="3" applyFont="1" applyFill="1" applyAlignment="1" applyProtection="1">
      <alignment horizontal="left" vertical="center" wrapText="1"/>
      <protection locked="0"/>
    </xf>
    <xf numFmtId="166" fontId="3" fillId="2" borderId="0" xfId="6" applyNumberFormat="1" applyFont="1" applyFill="1" applyAlignment="1" applyProtection="1">
      <alignment horizontal="left" vertical="center" wrapText="1"/>
      <protection locked="0"/>
    </xf>
    <xf numFmtId="0" fontId="32" fillId="2" borderId="0" xfId="3" applyFont="1" applyFill="1" applyAlignment="1" applyProtection="1">
      <alignment horizontal="left" vertical="center" wrapText="1"/>
      <protection locked="0"/>
    </xf>
    <xf numFmtId="0" fontId="33" fillId="2" borderId="9" xfId="3" applyFont="1" applyFill="1" applyBorder="1" applyAlignment="1">
      <alignment vertical="top"/>
    </xf>
    <xf numFmtId="0" fontId="33" fillId="2" borderId="10" xfId="3" applyFont="1" applyFill="1" applyBorder="1" applyAlignment="1">
      <alignment vertical="top"/>
    </xf>
    <xf numFmtId="0" fontId="34" fillId="2" borderId="0" xfId="3" applyFont="1" applyFill="1"/>
    <xf numFmtId="0" fontId="34" fillId="2" borderId="0" xfId="3" applyFont="1" applyFill="1" applyAlignment="1">
      <alignment horizontal="center"/>
    </xf>
    <xf numFmtId="0" fontId="16" fillId="2" borderId="0" xfId="3" applyFont="1" applyFill="1"/>
    <xf numFmtId="168" fontId="18" fillId="2" borderId="0" xfId="3" applyNumberFormat="1" applyFont="1" applyFill="1" applyAlignment="1">
      <alignment wrapText="1"/>
    </xf>
    <xf numFmtId="0" fontId="10" fillId="2" borderId="0" xfId="3" applyFont="1" applyFill="1" applyAlignment="1">
      <alignment vertical="top"/>
    </xf>
    <xf numFmtId="168" fontId="18" fillId="2" borderId="0" xfId="3" applyNumberFormat="1" applyFont="1" applyFill="1" applyAlignment="1">
      <alignment vertical="top" wrapText="1"/>
    </xf>
    <xf numFmtId="0" fontId="35" fillId="2" borderId="0" xfId="3" applyFont="1" applyFill="1" applyAlignment="1">
      <alignment vertical="top"/>
    </xf>
    <xf numFmtId="0" fontId="35" fillId="2" borderId="0" xfId="3" applyFont="1" applyFill="1" applyAlignment="1">
      <alignment horizontal="center" vertical="top"/>
    </xf>
    <xf numFmtId="0" fontId="35" fillId="2" borderId="0" xfId="3" applyFont="1" applyFill="1" applyAlignment="1">
      <alignment horizontal="center" vertical="top" wrapText="1"/>
    </xf>
    <xf numFmtId="0" fontId="20" fillId="5" borderId="6" xfId="3" applyFont="1" applyFill="1" applyBorder="1" applyAlignment="1">
      <alignment vertical="center" wrapText="1"/>
    </xf>
    <xf numFmtId="0" fontId="20" fillId="5" borderId="8" xfId="3" applyFont="1" applyFill="1" applyBorder="1" applyAlignment="1">
      <alignment vertical="center" wrapText="1"/>
    </xf>
    <xf numFmtId="0" fontId="20" fillId="5" borderId="8" xfId="3" applyFont="1" applyFill="1" applyBorder="1" applyAlignment="1">
      <alignment horizontal="right" vertical="center" wrapText="1"/>
    </xf>
    <xf numFmtId="0" fontId="20" fillId="5" borderId="8" xfId="3" applyFont="1" applyFill="1" applyBorder="1" applyAlignment="1">
      <alignment horizontal="center" vertical="center" wrapText="1"/>
    </xf>
    <xf numFmtId="0" fontId="20" fillId="5" borderId="5" xfId="3" applyFont="1" applyFill="1" applyBorder="1" applyAlignment="1">
      <alignment vertical="center" wrapText="1"/>
    </xf>
    <xf numFmtId="169" fontId="20" fillId="5" borderId="2" xfId="3" applyNumberFormat="1" applyFont="1" applyFill="1" applyBorder="1" applyAlignment="1">
      <alignment horizontal="center" vertical="center"/>
    </xf>
    <xf numFmtId="168" fontId="11" fillId="2" borderId="2" xfId="3" applyNumberFormat="1" applyFont="1" applyFill="1" applyBorder="1" applyAlignment="1">
      <alignment vertical="center" wrapText="1"/>
    </xf>
    <xf numFmtId="168" fontId="10" fillId="2" borderId="2" xfId="3" applyNumberFormat="1" applyFont="1" applyFill="1" applyBorder="1" applyAlignment="1">
      <alignment horizontal="left" vertical="center" wrapText="1"/>
    </xf>
    <xf numFmtId="0" fontId="22" fillId="2" borderId="2" xfId="3" applyFont="1" applyFill="1" applyBorder="1" applyAlignment="1">
      <alignment horizontal="center" vertical="center"/>
    </xf>
    <xf numFmtId="168" fontId="10" fillId="2" borderId="2" xfId="3" applyNumberFormat="1" applyFont="1" applyFill="1" applyBorder="1" applyAlignment="1">
      <alignment vertical="center" wrapText="1"/>
    </xf>
    <xf numFmtId="168" fontId="19" fillId="2" borderId="2" xfId="3" applyNumberFormat="1" applyFont="1" applyFill="1" applyBorder="1" applyAlignment="1">
      <alignment vertical="center" wrapText="1"/>
    </xf>
    <xf numFmtId="0" fontId="9" fillId="0" borderId="0" xfId="7"/>
    <xf numFmtId="0" fontId="27" fillId="5" borderId="2" xfId="3" applyFont="1" applyFill="1" applyBorder="1" applyAlignment="1">
      <alignment wrapText="1"/>
    </xf>
    <xf numFmtId="0" fontId="10" fillId="2" borderId="0" xfId="3" applyFont="1" applyFill="1" applyAlignment="1">
      <alignment horizontal="center" wrapText="1"/>
    </xf>
    <xf numFmtId="0" fontId="13" fillId="2" borderId="0" xfId="3" applyFont="1" applyFill="1" applyAlignment="1">
      <alignment horizontal="center" vertical="center" wrapText="1"/>
    </xf>
    <xf numFmtId="168" fontId="19" fillId="2" borderId="0" xfId="3" quotePrefix="1" applyNumberFormat="1" applyFont="1" applyFill="1" applyAlignment="1">
      <alignment wrapText="1"/>
    </xf>
    <xf numFmtId="0" fontId="36" fillId="0" borderId="0" xfId="7" applyFont="1" applyAlignment="1" applyProtection="1">
      <alignment horizontal="left" vertical="center" wrapText="1"/>
      <protection locked="0"/>
    </xf>
    <xf numFmtId="0" fontId="37" fillId="0" borderId="0" xfId="7" applyFont="1" applyAlignment="1" applyProtection="1">
      <alignment horizontal="left" vertical="center" wrapText="1"/>
      <protection locked="0"/>
    </xf>
    <xf numFmtId="0" fontId="10" fillId="2" borderId="0" xfId="3" applyFont="1" applyFill="1" applyAlignment="1">
      <alignment wrapText="1"/>
    </xf>
    <xf numFmtId="0" fontId="18" fillId="2" borderId="0" xfId="3" applyFont="1" applyFill="1" applyAlignment="1">
      <alignment wrapText="1"/>
    </xf>
    <xf numFmtId="0" fontId="18" fillId="2" borderId="0" xfId="3" applyFont="1" applyFill="1" applyAlignment="1">
      <alignment vertical="top" wrapText="1"/>
    </xf>
    <xf numFmtId="0" fontId="30" fillId="2" borderId="0" xfId="3" applyFont="1" applyFill="1" applyAlignment="1">
      <alignment wrapText="1"/>
    </xf>
    <xf numFmtId="0" fontId="18" fillId="2" borderId="0" xfId="3" applyFont="1" applyFill="1" applyAlignment="1">
      <alignment horizontal="center" wrapText="1"/>
    </xf>
    <xf numFmtId="0" fontId="11" fillId="2" borderId="2" xfId="3" applyFont="1" applyFill="1" applyBorder="1" applyAlignment="1">
      <alignment vertical="center" wrapText="1"/>
    </xf>
    <xf numFmtId="0" fontId="10" fillId="2" borderId="2" xfId="3" applyFont="1" applyFill="1" applyBorder="1" applyAlignment="1">
      <alignment horizontal="left" vertical="center" wrapText="1"/>
    </xf>
    <xf numFmtId="0" fontId="39" fillId="2" borderId="2" xfId="3" applyFont="1" applyFill="1" applyBorder="1" applyAlignment="1">
      <alignment horizontal="center" vertical="center"/>
    </xf>
    <xf numFmtId="0" fontId="39" fillId="2" borderId="2" xfId="3" applyFont="1" applyFill="1" applyBorder="1" applyAlignment="1">
      <alignment vertical="center" wrapText="1"/>
    </xf>
    <xf numFmtId="0" fontId="19" fillId="2" borderId="0" xfId="3" quotePrefix="1" applyFont="1" applyFill="1" applyAlignment="1">
      <alignment wrapText="1"/>
    </xf>
    <xf numFmtId="0" fontId="0" fillId="0" borderId="0" xfId="0" applyAlignment="1">
      <alignment horizontal="center" vertical="center"/>
    </xf>
    <xf numFmtId="0" fontId="8" fillId="0" borderId="0" xfId="0" applyFont="1" applyAlignment="1">
      <alignment horizontal="center" vertical="center"/>
    </xf>
    <xf numFmtId="0" fontId="43" fillId="0" borderId="0" xfId="0" applyFont="1"/>
    <xf numFmtId="0" fontId="8" fillId="0" borderId="0" xfId="0" applyFont="1" applyAlignment="1">
      <alignment wrapText="1"/>
    </xf>
    <xf numFmtId="0" fontId="8" fillId="0" borderId="0" xfId="0" applyFont="1" applyAlignment="1">
      <alignment vertical="center"/>
    </xf>
    <xf numFmtId="0" fontId="0" fillId="0" borderId="0" xfId="0" applyAlignment="1">
      <alignment vertical="center"/>
    </xf>
    <xf numFmtId="0" fontId="8" fillId="0" borderId="0" xfId="0" applyFont="1" applyAlignment="1">
      <alignment horizontal="right"/>
    </xf>
    <xf numFmtId="0" fontId="47" fillId="5" borderId="2" xfId="3" applyFont="1" applyFill="1" applyBorder="1" applyAlignment="1">
      <alignment horizontal="center" vertical="center" wrapText="1"/>
    </xf>
    <xf numFmtId="0" fontId="36" fillId="2" borderId="2" xfId="3" applyFont="1" applyFill="1" applyBorder="1" applyAlignment="1">
      <alignment horizontal="center" vertical="center"/>
    </xf>
    <xf numFmtId="0" fontId="48" fillId="2" borderId="2" xfId="3" applyFont="1" applyFill="1" applyBorder="1" applyAlignment="1">
      <alignment horizontal="center" vertical="center" wrapText="1"/>
    </xf>
    <xf numFmtId="0" fontId="36" fillId="2" borderId="2" xfId="3" applyFont="1" applyFill="1" applyBorder="1" applyAlignment="1">
      <alignment horizontal="center" vertical="center" wrapText="1"/>
    </xf>
    <xf numFmtId="0" fontId="36" fillId="2" borderId="2" xfId="3" applyFont="1" applyFill="1" applyBorder="1" applyAlignment="1">
      <alignment wrapText="1"/>
    </xf>
    <xf numFmtId="0" fontId="49" fillId="2" borderId="2" xfId="3" applyFont="1" applyFill="1" applyBorder="1" applyAlignment="1">
      <alignment wrapText="1"/>
    </xf>
    <xf numFmtId="0" fontId="36" fillId="2" borderId="2" xfId="3" applyFont="1" applyFill="1" applyBorder="1"/>
    <xf numFmtId="0" fontId="36" fillId="2" borderId="2" xfId="3" applyFont="1" applyFill="1" applyBorder="1" applyAlignment="1">
      <alignment vertical="center"/>
    </xf>
    <xf numFmtId="0" fontId="50" fillId="2" borderId="2" xfId="3" applyFont="1" applyFill="1" applyBorder="1" applyAlignment="1">
      <alignment horizontal="left" vertical="center"/>
    </xf>
    <xf numFmtId="0" fontId="0" fillId="7" borderId="0" xfId="0" applyFill="1"/>
    <xf numFmtId="0" fontId="0" fillId="10" borderId="1" xfId="0" applyFill="1" applyBorder="1"/>
    <xf numFmtId="0" fontId="0" fillId="8" borderId="1" xfId="0" applyFill="1" applyBorder="1"/>
    <xf numFmtId="0" fontId="0" fillId="11" borderId="1" xfId="0" applyFill="1" applyBorder="1"/>
    <xf numFmtId="0" fontId="0" fillId="13" borderId="1" xfId="0" applyFill="1" applyBorder="1"/>
    <xf numFmtId="0" fontId="52" fillId="14" borderId="1" xfId="3" applyFont="1" applyFill="1" applyBorder="1" applyAlignment="1">
      <alignment wrapText="1"/>
      <extLst>
        <ext xmlns:xfpb="http://schemas.microsoft.com/office/spreadsheetml/2022/featurepropertybag" uri="{C7286773-470A-42A8-94C5-96B5CB345126}">
          <xfpb:xfComplement i="0"/>
        </ext>
      </extLst>
    </xf>
    <xf numFmtId="0" fontId="4" fillId="7" borderId="0" xfId="0" applyFont="1" applyFill="1"/>
    <xf numFmtId="0" fontId="8" fillId="7" borderId="0" xfId="0" applyFont="1" applyFill="1"/>
    <xf numFmtId="0" fontId="0" fillId="7" borderId="0" xfId="0" applyFill="1" applyAlignment="1">
      <alignment horizontal="center" vertical="center"/>
    </xf>
    <xf numFmtId="0" fontId="53" fillId="5" borderId="0" xfId="3" applyFont="1" applyFill="1" applyAlignment="1">
      <alignment horizontal="left" vertical="center"/>
    </xf>
    <xf numFmtId="0" fontId="54" fillId="5" borderId="0" xfId="3" applyFont="1" applyFill="1" applyAlignment="1">
      <alignment horizontal="center" vertical="center"/>
    </xf>
    <xf numFmtId="0" fontId="4" fillId="0" borderId="0" xfId="0" applyFont="1" applyAlignment="1">
      <alignment horizontal="center" vertical="center"/>
    </xf>
    <xf numFmtId="0" fontId="55" fillId="0" borderId="0" xfId="0" applyFont="1" applyAlignment="1">
      <alignment vertical="center"/>
    </xf>
    <xf numFmtId="0" fontId="48" fillId="13" borderId="2" xfId="3" applyFont="1" applyFill="1" applyBorder="1" applyAlignment="1">
      <alignment wrapText="1"/>
      <extLst>
        <ext xmlns:xfpb="http://schemas.microsoft.com/office/spreadsheetml/2022/featurepropertybag" uri="{C7286773-470A-42A8-94C5-96B5CB345126}">
          <xfpb:xfComplement i="0"/>
        </ext>
      </extLst>
    </xf>
    <xf numFmtId="0" fontId="48" fillId="11" borderId="2" xfId="3" applyFont="1" applyFill="1" applyBorder="1" applyAlignment="1">
      <alignment wrapText="1"/>
      <extLst>
        <ext xmlns:xfpb="http://schemas.microsoft.com/office/spreadsheetml/2022/featurepropertybag" uri="{C7286773-470A-42A8-94C5-96B5CB345126}">
          <xfpb:xfComplement i="0"/>
        </ext>
      </extLst>
    </xf>
    <xf numFmtId="0" fontId="48" fillId="14" borderId="2" xfId="3" applyFont="1" applyFill="1" applyBorder="1" applyAlignment="1">
      <alignment wrapText="1"/>
      <extLst>
        <ext xmlns:xfpb="http://schemas.microsoft.com/office/spreadsheetml/2022/featurepropertybag" uri="{C7286773-470A-42A8-94C5-96B5CB345126}">
          <xfpb:xfComplement i="0"/>
        </ext>
      </extLst>
    </xf>
    <xf numFmtId="0" fontId="48" fillId="9" borderId="2" xfId="3" applyFont="1" applyFill="1" applyBorder="1" applyAlignment="1">
      <alignment wrapText="1"/>
      <extLst>
        <ext xmlns:xfpb="http://schemas.microsoft.com/office/spreadsheetml/2022/featurepropertybag" uri="{C7286773-470A-42A8-94C5-96B5CB345126}">
          <xfpb:xfComplement i="0"/>
        </ext>
      </extLst>
    </xf>
    <xf numFmtId="0" fontId="48" fillId="2" borderId="2" xfId="3" applyFont="1" applyFill="1" applyBorder="1" applyAlignment="1">
      <alignment wrapText="1"/>
      <extLst>
        <ext xmlns:xfpb="http://schemas.microsoft.com/office/spreadsheetml/2022/featurepropertybag" uri="{C7286773-470A-42A8-94C5-96B5CB345126}">
          <xfpb:xfComplement i="0"/>
        </ext>
      </extLst>
    </xf>
    <xf numFmtId="0" fontId="48" fillId="12" borderId="2" xfId="3" applyFont="1" applyFill="1" applyBorder="1" applyAlignment="1">
      <alignment wrapText="1"/>
      <extLst>
        <ext xmlns:xfpb="http://schemas.microsoft.com/office/spreadsheetml/2022/featurepropertybag" uri="{C7286773-470A-42A8-94C5-96B5CB345126}">
          <xfpb:xfComplement i="0"/>
        </ext>
      </extLst>
    </xf>
    <xf numFmtId="0" fontId="4" fillId="7" borderId="15" xfId="0" quotePrefix="1" applyFont="1" applyFill="1" applyBorder="1" applyAlignment="1">
      <alignment horizontal="center" vertical="center"/>
    </xf>
    <xf numFmtId="0" fontId="48" fillId="0" borderId="2" xfId="3" applyFont="1" applyBorder="1" applyAlignment="1">
      <alignment wrapText="1"/>
      <extLst>
        <ext xmlns:xfpb="http://schemas.microsoft.com/office/spreadsheetml/2022/featurepropertybag" uri="{C7286773-470A-42A8-94C5-96B5CB345126}">
          <xfpb:xfComplement i="0"/>
        </ext>
      </extLst>
    </xf>
    <xf numFmtId="0" fontId="49" fillId="14" borderId="2" xfId="3" applyFont="1" applyFill="1" applyBorder="1" applyAlignment="1">
      <alignment wrapText="1"/>
    </xf>
    <xf numFmtId="0" fontId="55" fillId="7" borderId="0" xfId="0" applyFont="1" applyFill="1"/>
    <xf numFmtId="0" fontId="55" fillId="0" borderId="0" xfId="0" applyFont="1"/>
    <xf numFmtId="0" fontId="4" fillId="7" borderId="0" xfId="0" applyFont="1" applyFill="1" applyAlignment="1">
      <alignment horizontal="center" vertical="center"/>
    </xf>
    <xf numFmtId="0" fontId="57" fillId="7" borderId="0" xfId="0" applyFont="1" applyFill="1"/>
    <xf numFmtId="0" fontId="44" fillId="7" borderId="0" xfId="0" applyFont="1" applyFill="1"/>
    <xf numFmtId="0" fontId="0" fillId="9" borderId="1" xfId="0" applyFill="1" applyBorder="1"/>
    <xf numFmtId="0" fontId="4" fillId="9" borderId="1" xfId="0" applyFont="1" applyFill="1" applyBorder="1" applyAlignment="1">
      <alignment horizontal="center" vertical="center" wrapText="1"/>
    </xf>
    <xf numFmtId="0" fontId="8" fillId="9" borderId="1" xfId="0" applyFont="1" applyFill="1" applyBorder="1"/>
    <xf numFmtId="0" fontId="4" fillId="6" borderId="1" xfId="0" applyFont="1" applyFill="1" applyBorder="1" applyAlignment="1">
      <alignment horizontal="center" vertical="center" wrapText="1"/>
    </xf>
    <xf numFmtId="0" fontId="4" fillId="6" borderId="1" xfId="0" applyFont="1" applyFill="1" applyBorder="1" applyAlignment="1">
      <alignment horizontal="center" vertical="center"/>
    </xf>
    <xf numFmtId="0" fontId="8" fillId="6" borderId="1" xfId="0" applyFont="1" applyFill="1" applyBorder="1"/>
    <xf numFmtId="0" fontId="0" fillId="6" borderId="1" xfId="0" applyFill="1" applyBorder="1"/>
    <xf numFmtId="0" fontId="4" fillId="15" borderId="1" xfId="0" applyFont="1" applyFill="1" applyBorder="1" applyAlignment="1">
      <alignment horizontal="center" vertical="center" wrapText="1"/>
    </xf>
    <xf numFmtId="0" fontId="8" fillId="15" borderId="1" xfId="0" applyFont="1" applyFill="1" applyBorder="1"/>
    <xf numFmtId="0" fontId="0" fillId="15" borderId="1" xfId="0" applyFill="1" applyBorder="1"/>
    <xf numFmtId="0" fontId="43" fillId="7" borderId="0" xfId="0" applyFont="1" applyFill="1"/>
    <xf numFmtId="0" fontId="4" fillId="7" borderId="1" xfId="0" applyFont="1" applyFill="1" applyBorder="1" applyAlignment="1">
      <alignment horizontal="center"/>
    </xf>
    <xf numFmtId="0" fontId="8" fillId="7" borderId="1" xfId="0" applyFont="1" applyFill="1" applyBorder="1" applyAlignment="1">
      <alignment horizontal="center" vertical="center"/>
    </xf>
    <xf numFmtId="0" fontId="0" fillId="7" borderId="1" xfId="0" applyFill="1" applyBorder="1"/>
    <xf numFmtId="0" fontId="56" fillId="0" borderId="0" xfId="0" applyFont="1"/>
    <xf numFmtId="0" fontId="4" fillId="7" borderId="0" xfId="0" applyFont="1" applyFill="1" applyAlignment="1">
      <alignment horizontal="center"/>
    </xf>
    <xf numFmtId="0" fontId="4" fillId="7" borderId="15" xfId="0" applyFont="1" applyFill="1" applyBorder="1" applyAlignment="1">
      <alignment horizontal="center" vertical="center" wrapText="1"/>
    </xf>
    <xf numFmtId="0" fontId="58" fillId="7" borderId="15" xfId="0" applyFont="1" applyFill="1" applyBorder="1" applyAlignment="1">
      <alignment horizontal="center" vertical="center" wrapText="1"/>
    </xf>
    <xf numFmtId="0" fontId="59" fillId="7" borderId="0" xfId="0" applyFont="1" applyFill="1" applyAlignment="1">
      <alignment horizontal="center" vertical="center" wrapText="1"/>
    </xf>
    <xf numFmtId="0" fontId="47" fillId="5" borderId="7" xfId="3" applyFont="1" applyFill="1" applyBorder="1" applyAlignment="1">
      <alignment horizontal="center" vertical="center" wrapText="1"/>
    </xf>
    <xf numFmtId="0" fontId="10" fillId="2" borderId="0" xfId="10" applyFont="1" applyFill="1" applyAlignment="1">
      <alignment horizontal="center" vertical="center"/>
    </xf>
    <xf numFmtId="0" fontId="10" fillId="2" borderId="0" xfId="10" applyFont="1" applyFill="1" applyAlignment="1">
      <alignment vertical="center" wrapText="1"/>
    </xf>
    <xf numFmtId="0" fontId="10" fillId="2" borderId="0" xfId="10" applyFont="1" applyFill="1" applyAlignment="1">
      <alignment vertical="center"/>
    </xf>
    <xf numFmtId="167" fontId="10" fillId="2" borderId="0" xfId="10" applyNumberFormat="1" applyFont="1" applyFill="1" applyAlignment="1">
      <alignment vertical="center"/>
    </xf>
    <xf numFmtId="166" fontId="10" fillId="2" borderId="0" xfId="11" applyNumberFormat="1" applyFont="1" applyFill="1" applyAlignment="1">
      <alignment vertical="center"/>
    </xf>
    <xf numFmtId="0" fontId="13" fillId="2" borderId="0" xfId="10" applyFont="1" applyFill="1"/>
    <xf numFmtId="0" fontId="13" fillId="2" borderId="0" xfId="10" applyFont="1" applyFill="1" applyAlignment="1">
      <alignment horizontal="center" vertical="center"/>
    </xf>
    <xf numFmtId="0" fontId="2" fillId="0" borderId="0" xfId="10"/>
    <xf numFmtId="0" fontId="12" fillId="2" borderId="0" xfId="10" applyFont="1" applyFill="1" applyAlignment="1">
      <alignment horizontal="left" vertical="center"/>
    </xf>
    <xf numFmtId="0" fontId="10" fillId="2" borderId="0" xfId="10" applyFont="1" applyFill="1"/>
    <xf numFmtId="167" fontId="14" fillId="2" borderId="0" xfId="10" applyNumberFormat="1" applyFont="1" applyFill="1" applyAlignment="1">
      <alignment vertical="center"/>
    </xf>
    <xf numFmtId="0" fontId="14" fillId="2" borderId="0" xfId="10" applyFont="1" applyFill="1" applyAlignment="1">
      <alignment vertical="center"/>
    </xf>
    <xf numFmtId="0" fontId="30" fillId="2" borderId="0" xfId="10" applyFont="1" applyFill="1"/>
    <xf numFmtId="0" fontId="60" fillId="2" borderId="0" xfId="10" applyFont="1" applyFill="1" applyAlignment="1">
      <alignment vertical="center"/>
    </xf>
    <xf numFmtId="167" fontId="60" fillId="2" borderId="0" xfId="10" applyNumberFormat="1" applyFont="1" applyFill="1" applyAlignment="1">
      <alignment vertical="center"/>
    </xf>
    <xf numFmtId="166" fontId="60" fillId="2" borderId="0" xfId="11" applyNumberFormat="1" applyFont="1" applyFill="1" applyAlignment="1">
      <alignment vertical="center"/>
    </xf>
    <xf numFmtId="0" fontId="18" fillId="2" borderId="0" xfId="10" applyFont="1" applyFill="1" applyAlignment="1">
      <alignment horizontal="center" vertical="center"/>
    </xf>
    <xf numFmtId="0" fontId="18" fillId="2" borderId="0" xfId="10" applyFont="1" applyFill="1" applyAlignment="1">
      <alignment horizontal="center" vertical="center" wrapText="1"/>
    </xf>
    <xf numFmtId="167" fontId="18" fillId="2" borderId="0" xfId="10" applyNumberFormat="1" applyFont="1" applyFill="1" applyAlignment="1">
      <alignment horizontal="center" vertical="center"/>
    </xf>
    <xf numFmtId="166" fontId="18" fillId="2" borderId="0" xfId="11" applyNumberFormat="1" applyFont="1" applyFill="1" applyAlignment="1">
      <alignment horizontal="center" vertical="center"/>
    </xf>
    <xf numFmtId="0" fontId="11" fillId="2" borderId="3" xfId="12" applyFont="1" applyFill="1" applyBorder="1" applyAlignment="1">
      <alignment horizontal="left" vertical="center"/>
    </xf>
    <xf numFmtId="0" fontId="11" fillId="2" borderId="3" xfId="12" applyFont="1" applyFill="1" applyBorder="1" applyAlignment="1">
      <alignment horizontal="center" vertical="center" wrapText="1"/>
    </xf>
    <xf numFmtId="0" fontId="10" fillId="2" borderId="3" xfId="12" applyFont="1" applyFill="1" applyBorder="1" applyAlignment="1">
      <alignment horizontal="center" vertical="center" wrapText="1"/>
    </xf>
    <xf numFmtId="0" fontId="11" fillId="2" borderId="3" xfId="13" applyFont="1" applyFill="1" applyBorder="1" applyAlignment="1">
      <alignment horizontal="center" vertical="center" wrapText="1"/>
    </xf>
    <xf numFmtId="167" fontId="11" fillId="2" borderId="3" xfId="13" applyNumberFormat="1" applyFont="1" applyFill="1" applyBorder="1" applyAlignment="1">
      <alignment horizontal="center" vertical="center" wrapText="1"/>
    </xf>
    <xf numFmtId="164" fontId="11" fillId="2" borderId="3" xfId="13" applyNumberFormat="1" applyFont="1" applyFill="1" applyBorder="1" applyAlignment="1">
      <alignment horizontal="center" vertical="center" wrapText="1"/>
    </xf>
    <xf numFmtId="166" fontId="11" fillId="2" borderId="3" xfId="13" applyNumberFormat="1" applyFont="1" applyFill="1" applyBorder="1" applyAlignment="1">
      <alignment horizontal="center" vertical="center" wrapText="1"/>
    </xf>
    <xf numFmtId="0" fontId="11" fillId="2" borderId="3" xfId="10" applyFont="1" applyFill="1" applyBorder="1" applyAlignment="1">
      <alignment horizontal="center" vertical="center"/>
    </xf>
    <xf numFmtId="0" fontId="10" fillId="2" borderId="3" xfId="10" applyFont="1" applyFill="1" applyBorder="1" applyAlignment="1">
      <alignment horizontal="center" vertical="center" wrapText="1"/>
    </xf>
    <xf numFmtId="0" fontId="11" fillId="2" borderId="3" xfId="10" applyFont="1" applyFill="1" applyBorder="1" applyAlignment="1">
      <alignment horizontal="center" vertical="center" wrapText="1"/>
    </xf>
    <xf numFmtId="0" fontId="10" fillId="2" borderId="2" xfId="10" applyFont="1" applyFill="1" applyBorder="1" applyAlignment="1">
      <alignment horizontal="center" vertical="center" wrapText="1"/>
    </xf>
    <xf numFmtId="0" fontId="19" fillId="2" borderId="2" xfId="10" applyFont="1" applyFill="1" applyBorder="1" applyAlignment="1">
      <alignment horizontal="left" vertical="center" wrapText="1"/>
    </xf>
    <xf numFmtId="4" fontId="10" fillId="2" borderId="2" xfId="14" applyNumberFormat="1" applyFont="1" applyFill="1" applyBorder="1" applyAlignment="1">
      <alignment horizontal="left" vertical="center" wrapText="1"/>
    </xf>
    <xf numFmtId="3" fontId="45" fillId="2" borderId="2" xfId="14" applyNumberFormat="1" applyFont="1" applyFill="1" applyBorder="1" applyAlignment="1">
      <alignment vertical="center"/>
    </xf>
    <xf numFmtId="3" fontId="45" fillId="2" borderId="2" xfId="14" applyNumberFormat="1" applyFont="1" applyFill="1" applyBorder="1" applyAlignment="1">
      <alignment horizontal="center" vertical="center"/>
    </xf>
    <xf numFmtId="3" fontId="21" fillId="2" borderId="2" xfId="14" applyNumberFormat="1" applyFont="1" applyFill="1" applyBorder="1" applyAlignment="1">
      <alignment vertical="center"/>
    </xf>
    <xf numFmtId="3" fontId="21" fillId="2" borderId="2" xfId="14" applyNumberFormat="1" applyFont="1" applyFill="1" applyBorder="1" applyAlignment="1">
      <alignment horizontal="center" vertical="center"/>
    </xf>
    <xf numFmtId="171" fontId="10" fillId="2" borderId="2" xfId="14" applyNumberFormat="1" applyFont="1" applyFill="1" applyBorder="1" applyAlignment="1">
      <alignment horizontal="center" vertical="center"/>
    </xf>
    <xf numFmtId="171" fontId="45" fillId="2" borderId="2" xfId="14" applyNumberFormat="1" applyFont="1" applyFill="1" applyBorder="1" applyAlignment="1">
      <alignment horizontal="center" vertical="center"/>
    </xf>
    <xf numFmtId="0" fontId="10" fillId="2" borderId="2" xfId="10" applyFont="1" applyFill="1" applyBorder="1" applyAlignment="1">
      <alignment horizontal="left" vertical="center"/>
    </xf>
    <xf numFmtId="0" fontId="46" fillId="0" borderId="0" xfId="10" applyFont="1"/>
    <xf numFmtId="0" fontId="11" fillId="2" borderId="2" xfId="10" applyFont="1" applyFill="1" applyBorder="1" applyAlignment="1">
      <alignment horizontal="left" vertical="center"/>
    </xf>
    <xf numFmtId="0" fontId="11" fillId="2" borderId="2" xfId="15" applyFont="1" applyFill="1" applyBorder="1" applyAlignment="1">
      <alignment horizontal="center" vertical="center"/>
    </xf>
    <xf numFmtId="3" fontId="11" fillId="2" borderId="2" xfId="15" applyNumberFormat="1" applyFont="1" applyFill="1" applyBorder="1" applyAlignment="1">
      <alignment horizontal="center" vertical="center"/>
    </xf>
    <xf numFmtId="3" fontId="21" fillId="2" borderId="2" xfId="13" applyNumberFormat="1" applyFont="1" applyFill="1" applyBorder="1" applyAlignment="1">
      <alignment vertical="center"/>
    </xf>
    <xf numFmtId="3" fontId="11" fillId="2" borderId="2" xfId="13" applyNumberFormat="1" applyFont="1" applyFill="1" applyBorder="1" applyAlignment="1">
      <alignment vertical="center" wrapText="1"/>
    </xf>
    <xf numFmtId="164" fontId="11" fillId="2" borderId="2" xfId="13" applyNumberFormat="1" applyFont="1" applyFill="1" applyBorder="1" applyAlignment="1">
      <alignment vertical="center" wrapText="1"/>
    </xf>
    <xf numFmtId="164" fontId="11" fillId="2" borderId="2" xfId="13" applyNumberFormat="1" applyFont="1" applyFill="1" applyBorder="1" applyAlignment="1">
      <alignment horizontal="center" vertical="center" wrapText="1"/>
    </xf>
    <xf numFmtId="3" fontId="10" fillId="2" borderId="0" xfId="15" applyNumberFormat="1" applyFont="1" applyFill="1" applyAlignment="1">
      <alignment vertical="center"/>
    </xf>
    <xf numFmtId="166" fontId="10" fillId="2" borderId="0" xfId="10" applyNumberFormat="1" applyFont="1" applyFill="1" applyAlignment="1">
      <alignment vertical="center"/>
    </xf>
    <xf numFmtId="0" fontId="11" fillId="2" borderId="0" xfId="15" applyFont="1" applyFill="1" applyAlignment="1">
      <alignment vertical="center"/>
    </xf>
    <xf numFmtId="0" fontId="11" fillId="2" borderId="2" xfId="15" applyFont="1" applyFill="1" applyBorder="1" applyAlignment="1">
      <alignment horizontal="left" vertical="center"/>
    </xf>
    <xf numFmtId="171" fontId="11" fillId="2" borderId="2" xfId="13" applyNumberFormat="1" applyFont="1" applyFill="1" applyBorder="1" applyAlignment="1">
      <alignment horizontal="center" vertical="center" wrapText="1"/>
    </xf>
    <xf numFmtId="164" fontId="2" fillId="0" borderId="0" xfId="10" applyNumberFormat="1"/>
    <xf numFmtId="0" fontId="2" fillId="0" borderId="0" xfId="10" applyAlignment="1">
      <alignment horizontal="center"/>
    </xf>
    <xf numFmtId="164" fontId="63" fillId="2" borderId="0" xfId="13" applyNumberFormat="1" applyFont="1" applyFill="1"/>
    <xf numFmtId="0" fontId="17" fillId="2" borderId="0" xfId="10" applyFont="1" applyFill="1" applyAlignment="1">
      <alignment wrapText="1"/>
    </xf>
    <xf numFmtId="166" fontId="21" fillId="2" borderId="0" xfId="11" applyNumberFormat="1" applyFont="1" applyFill="1" applyBorder="1" applyAlignment="1" applyProtection="1">
      <alignment horizontal="center" wrapText="1"/>
    </xf>
    <xf numFmtId="167" fontId="21" fillId="2" borderId="0" xfId="11" applyNumberFormat="1" applyFont="1" applyFill="1" applyBorder="1" applyAlignment="1" applyProtection="1">
      <alignment horizontal="center" wrapText="1"/>
    </xf>
    <xf numFmtId="166" fontId="21" fillId="2" borderId="0" xfId="11" applyNumberFormat="1" applyFont="1" applyFill="1" applyAlignment="1">
      <alignment wrapText="1"/>
    </xf>
    <xf numFmtId="164" fontId="21" fillId="2" borderId="0" xfId="13" applyNumberFormat="1" applyFont="1" applyFill="1" applyAlignment="1">
      <alignment wrapText="1"/>
    </xf>
    <xf numFmtId="164" fontId="21" fillId="2" borderId="0" xfId="13" applyNumberFormat="1" applyFont="1" applyFill="1"/>
    <xf numFmtId="0" fontId="21" fillId="2" borderId="0" xfId="13" applyFont="1" applyFill="1" applyAlignment="1">
      <alignment wrapText="1"/>
    </xf>
    <xf numFmtId="166" fontId="10" fillId="2" borderId="0" xfId="11" applyNumberFormat="1" applyFont="1" applyFill="1" applyBorder="1" applyAlignment="1"/>
    <xf numFmtId="166" fontId="10" fillId="2" borderId="0" xfId="10" applyNumberFormat="1" applyFont="1" applyFill="1"/>
    <xf numFmtId="0" fontId="10" fillId="2" borderId="0" xfId="10" applyFont="1" applyFill="1" applyAlignment="1">
      <alignment horizontal="center"/>
    </xf>
    <xf numFmtId="164" fontId="64" fillId="2" borderId="0" xfId="13" applyNumberFormat="1" applyFont="1" applyFill="1"/>
    <xf numFmtId="164" fontId="65" fillId="2" borderId="0" xfId="13" applyNumberFormat="1" applyFont="1" applyFill="1" applyAlignment="1">
      <alignment horizontal="center" wrapText="1"/>
    </xf>
    <xf numFmtId="0" fontId="67" fillId="0" borderId="0" xfId="10" applyFont="1" applyAlignment="1">
      <alignment horizontal="right" vertical="center"/>
    </xf>
    <xf numFmtId="164" fontId="65" fillId="2" borderId="0" xfId="13" applyNumberFormat="1" applyFont="1" applyFill="1" applyAlignment="1">
      <alignment horizontal="left"/>
    </xf>
    <xf numFmtId="166" fontId="65" fillId="2" borderId="0" xfId="11" applyNumberFormat="1" applyFont="1" applyFill="1" applyBorder="1" applyAlignment="1" applyProtection="1">
      <alignment horizontal="center" wrapText="1"/>
    </xf>
    <xf numFmtId="167" fontId="66" fillId="2" borderId="0" xfId="11" applyNumberFormat="1" applyFont="1" applyFill="1" applyBorder="1" applyAlignment="1" applyProtection="1">
      <alignment horizontal="center" wrapText="1"/>
    </xf>
    <xf numFmtId="166" fontId="66" fillId="2" borderId="0" xfId="11" applyNumberFormat="1" applyFont="1" applyFill="1" applyBorder="1" applyAlignment="1" applyProtection="1">
      <alignment horizontal="center" wrapText="1"/>
    </xf>
    <xf numFmtId="166" fontId="67" fillId="0" borderId="0" xfId="10" applyNumberFormat="1" applyFont="1" applyAlignment="1">
      <alignment horizontal="left" vertical="center"/>
    </xf>
    <xf numFmtId="166" fontId="67" fillId="0" borderId="0" xfId="10" applyNumberFormat="1" applyFont="1"/>
    <xf numFmtId="164" fontId="68" fillId="2" borderId="0" xfId="13" applyNumberFormat="1" applyFont="1" applyFill="1"/>
    <xf numFmtId="17" fontId="69" fillId="2" borderId="0" xfId="10" quotePrefix="1" applyNumberFormat="1" applyFont="1" applyFill="1"/>
    <xf numFmtId="166" fontId="45" fillId="2" borderId="0" xfId="11" applyNumberFormat="1" applyFont="1" applyFill="1" applyBorder="1" applyAlignment="1" applyProtection="1">
      <alignment horizontal="center" wrapText="1"/>
    </xf>
    <xf numFmtId="167" fontId="70" fillId="2" borderId="0" xfId="11" applyNumberFormat="1" applyFont="1" applyFill="1" applyBorder="1" applyAlignment="1" applyProtection="1">
      <alignment horizontal="center" wrapText="1"/>
    </xf>
    <xf numFmtId="0" fontId="71" fillId="2" borderId="0" xfId="10" applyFont="1" applyFill="1" applyAlignment="1">
      <alignment horizontal="left" vertical="center" indent="1"/>
    </xf>
    <xf numFmtId="0" fontId="73" fillId="2" borderId="0" xfId="10" applyFont="1" applyFill="1" applyAlignment="1">
      <alignment vertical="center" wrapText="1"/>
    </xf>
    <xf numFmtId="0" fontId="73" fillId="2" borderId="0" xfId="10" applyFont="1" applyFill="1" applyAlignment="1">
      <alignment vertical="center"/>
    </xf>
    <xf numFmtId="167" fontId="73" fillId="2" borderId="0" xfId="10" applyNumberFormat="1" applyFont="1" applyFill="1" applyAlignment="1">
      <alignment vertical="center"/>
    </xf>
    <xf numFmtId="166" fontId="73" fillId="2" borderId="0" xfId="11" applyNumberFormat="1" applyFont="1" applyFill="1" applyAlignment="1">
      <alignment vertical="center"/>
    </xf>
    <xf numFmtId="0" fontId="73" fillId="2" borderId="0" xfId="10" applyFont="1" applyFill="1" applyAlignment="1">
      <alignment horizontal="center" vertical="center"/>
    </xf>
    <xf numFmtId="0" fontId="19" fillId="2" borderId="0" xfId="10" applyFont="1" applyFill="1" applyAlignment="1">
      <alignment horizontal="left" vertical="center" indent="1"/>
    </xf>
    <xf numFmtId="0" fontId="74" fillId="2" borderId="0" xfId="10" applyFont="1" applyFill="1" applyAlignment="1">
      <alignment horizontal="center" vertical="center"/>
    </xf>
    <xf numFmtId="0" fontId="75" fillId="2" borderId="0" xfId="10" applyFont="1" applyFill="1" applyAlignment="1">
      <alignment vertical="center"/>
    </xf>
    <xf numFmtId="0" fontId="74" fillId="2" borderId="0" xfId="10" applyFont="1" applyFill="1" applyAlignment="1">
      <alignment vertical="center"/>
    </xf>
    <xf numFmtId="167" fontId="74" fillId="2" borderId="0" xfId="10" applyNumberFormat="1" applyFont="1" applyFill="1" applyAlignment="1">
      <alignment vertical="center"/>
    </xf>
    <xf numFmtId="166" fontId="74" fillId="2" borderId="0" xfId="11" applyNumberFormat="1" applyFont="1" applyFill="1" applyAlignment="1">
      <alignment vertical="center"/>
    </xf>
    <xf numFmtId="0" fontId="11" fillId="2" borderId="2" xfId="10" applyFont="1" applyFill="1" applyBorder="1" applyAlignment="1">
      <alignment horizontal="center" vertical="center" wrapText="1"/>
    </xf>
    <xf numFmtId="0" fontId="18" fillId="2" borderId="2" xfId="10" applyFont="1" applyFill="1" applyBorder="1" applyAlignment="1">
      <alignment horizontal="left" vertical="center" wrapText="1"/>
    </xf>
    <xf numFmtId="4" fontId="11" fillId="2" borderId="2" xfId="14" applyNumberFormat="1" applyFont="1" applyFill="1" applyBorder="1" applyAlignment="1">
      <alignment horizontal="left" vertical="center" wrapText="1"/>
    </xf>
    <xf numFmtId="171" fontId="11" fillId="2" borderId="2" xfId="14" applyNumberFormat="1" applyFont="1" applyFill="1" applyBorder="1" applyAlignment="1">
      <alignment horizontal="center" vertical="center"/>
    </xf>
    <xf numFmtId="0" fontId="0" fillId="9" borderId="18" xfId="0" applyFill="1" applyBorder="1"/>
    <xf numFmtId="0" fontId="0" fillId="9" borderId="19" xfId="0" applyFill="1" applyBorder="1" applyAlignment="1">
      <alignment horizontal="center" vertical="center"/>
    </xf>
    <xf numFmtId="0" fontId="44" fillId="9" borderId="19" xfId="0" applyFont="1" applyFill="1" applyBorder="1"/>
    <xf numFmtId="0" fontId="0" fillId="9" borderId="19" xfId="0" applyFill="1" applyBorder="1"/>
    <xf numFmtId="0" fontId="0" fillId="9" borderId="20" xfId="0" applyFill="1" applyBorder="1"/>
    <xf numFmtId="0" fontId="0" fillId="0" borderId="21" xfId="0" applyBorder="1"/>
    <xf numFmtId="0" fontId="0" fillId="0" borderId="22" xfId="0" applyBorder="1"/>
    <xf numFmtId="0" fontId="51" fillId="0" borderId="0" xfId="0" applyFont="1"/>
    <xf numFmtId="0" fontId="56" fillId="0" borderId="22" xfId="0" applyFont="1" applyBorder="1"/>
    <xf numFmtId="0" fontId="8" fillId="0" borderId="22" xfId="0" applyFont="1" applyBorder="1"/>
    <xf numFmtId="0" fontId="36" fillId="2" borderId="26" xfId="3" applyFont="1" applyFill="1" applyBorder="1" applyAlignment="1">
      <alignment horizontal="center" vertical="center"/>
    </xf>
    <xf numFmtId="0" fontId="43" fillId="0" borderId="21" xfId="0" applyFont="1" applyBorder="1"/>
    <xf numFmtId="0" fontId="49" fillId="0" borderId="0" xfId="0" applyFont="1"/>
    <xf numFmtId="0" fontId="49" fillId="0" borderId="22" xfId="0" applyFont="1" applyBorder="1"/>
    <xf numFmtId="0" fontId="43" fillId="0" borderId="27" xfId="0" applyFont="1" applyBorder="1"/>
    <xf numFmtId="0" fontId="43" fillId="0" borderId="28" xfId="0" applyFont="1" applyBorder="1"/>
    <xf numFmtId="0" fontId="49" fillId="0" borderId="28" xfId="0" applyFont="1" applyBorder="1"/>
    <xf numFmtId="0" fontId="49" fillId="0" borderId="29" xfId="0" applyFont="1" applyBorder="1"/>
    <xf numFmtId="0" fontId="0" fillId="6" borderId="18" xfId="0" applyFill="1" applyBorder="1"/>
    <xf numFmtId="0" fontId="0" fillId="6" borderId="19" xfId="0" applyFill="1" applyBorder="1" applyAlignment="1">
      <alignment horizontal="center" vertical="center"/>
    </xf>
    <xf numFmtId="0" fontId="44" fillId="6" borderId="19" xfId="0" applyFont="1" applyFill="1" applyBorder="1"/>
    <xf numFmtId="0" fontId="0" fillId="6" borderId="19" xfId="0" applyFill="1" applyBorder="1"/>
    <xf numFmtId="0" fontId="0" fillId="6" borderId="20" xfId="0" applyFill="1" applyBorder="1"/>
    <xf numFmtId="0" fontId="44" fillId="0" borderId="0" xfId="0" applyFont="1"/>
    <xf numFmtId="0" fontId="43" fillId="0" borderId="22" xfId="0" applyFont="1" applyBorder="1"/>
    <xf numFmtId="0" fontId="43" fillId="0" borderId="29" xfId="0" applyFont="1" applyBorder="1"/>
    <xf numFmtId="0" fontId="0" fillId="15" borderId="18" xfId="0" applyFill="1" applyBorder="1"/>
    <xf numFmtId="0" fontId="0" fillId="15" borderId="19" xfId="0" applyFill="1" applyBorder="1" applyAlignment="1">
      <alignment horizontal="center" vertical="center"/>
    </xf>
    <xf numFmtId="0" fontId="44" fillId="15" borderId="19" xfId="0" applyFont="1" applyFill="1" applyBorder="1"/>
    <xf numFmtId="0" fontId="0" fillId="15" borderId="19" xfId="0" applyFill="1" applyBorder="1"/>
    <xf numFmtId="0" fontId="0" fillId="15" borderId="20" xfId="0" applyFill="1" applyBorder="1"/>
    <xf numFmtId="0" fontId="0" fillId="0" borderId="27" xfId="0" applyBorder="1"/>
    <xf numFmtId="0" fontId="0" fillId="0" borderId="28" xfId="0" applyBorder="1"/>
    <xf numFmtId="0" fontId="43" fillId="7" borderId="0" xfId="0" applyFont="1" applyFill="1" applyAlignment="1">
      <alignment horizontal="center"/>
    </xf>
    <xf numFmtId="0" fontId="65" fillId="2" borderId="0" xfId="15" applyFont="1" applyFill="1" applyAlignment="1">
      <alignment horizontal="center"/>
    </xf>
    <xf numFmtId="0" fontId="65" fillId="16" borderId="0" xfId="15" applyFont="1" applyFill="1" applyAlignment="1">
      <alignment horizontal="center"/>
    </xf>
    <xf numFmtId="166" fontId="65" fillId="2" borderId="0" xfId="16" applyNumberFormat="1" applyFont="1" applyFill="1" applyBorder="1" applyAlignment="1">
      <alignment horizontal="center"/>
    </xf>
    <xf numFmtId="166" fontId="79" fillId="2" borderId="0" xfId="16" applyNumberFormat="1" applyFont="1" applyFill="1" applyBorder="1" applyAlignment="1"/>
    <xf numFmtId="0" fontId="79" fillId="4" borderId="0" xfId="15" applyFont="1" applyFill="1"/>
    <xf numFmtId="0" fontId="80" fillId="2" borderId="0" xfId="15" applyFont="1" applyFill="1" applyAlignment="1">
      <alignment horizontal="center"/>
    </xf>
    <xf numFmtId="164" fontId="81" fillId="2" borderId="0" xfId="17" applyNumberFormat="1" applyFont="1" applyFill="1" applyAlignment="1">
      <alignment horizontal="center"/>
    </xf>
    <xf numFmtId="164" fontId="82" fillId="2" borderId="0" xfId="17" applyNumberFormat="1" applyFont="1" applyFill="1"/>
    <xf numFmtId="0" fontId="10" fillId="0" borderId="0" xfId="18" applyFont="1"/>
    <xf numFmtId="0" fontId="79" fillId="2" borderId="0" xfId="15" applyFont="1" applyFill="1" applyAlignment="1">
      <alignment horizontal="center"/>
    </xf>
    <xf numFmtId="0" fontId="79" fillId="16" borderId="0" xfId="15" applyFont="1" applyFill="1" applyAlignment="1">
      <alignment horizontal="center"/>
    </xf>
    <xf numFmtId="164" fontId="79" fillId="2" borderId="0" xfId="15" applyNumberFormat="1" applyFont="1" applyFill="1" applyAlignment="1">
      <alignment horizontal="center"/>
    </xf>
    <xf numFmtId="166" fontId="79" fillId="2" borderId="0" xfId="16" applyNumberFormat="1" applyFont="1" applyFill="1" applyBorder="1" applyAlignment="1">
      <alignment horizontal="center"/>
    </xf>
    <xf numFmtId="0" fontId="83" fillId="4" borderId="0" xfId="15" applyFont="1" applyFill="1"/>
    <xf numFmtId="0" fontId="39" fillId="2" borderId="0" xfId="15" applyFont="1" applyFill="1" applyAlignment="1">
      <alignment horizontal="center"/>
    </xf>
    <xf numFmtId="165" fontId="81" fillId="2" borderId="0" xfId="16" applyFont="1" applyFill="1" applyBorder="1" applyAlignment="1">
      <alignment horizontal="center" vertical="center"/>
    </xf>
    <xf numFmtId="0" fontId="84" fillId="2" borderId="0" xfId="17" applyFont="1" applyFill="1"/>
    <xf numFmtId="165" fontId="82" fillId="2" borderId="0" xfId="16" applyFont="1" applyFill="1" applyBorder="1" applyAlignment="1">
      <alignment horizontal="left" vertical="center"/>
    </xf>
    <xf numFmtId="0" fontId="21" fillId="2" borderId="0" xfId="15" applyFont="1" applyFill="1" applyAlignment="1">
      <alignment horizontal="center"/>
    </xf>
    <xf numFmtId="49" fontId="21" fillId="2" borderId="0" xfId="15" applyNumberFormat="1" applyFont="1" applyFill="1" applyAlignment="1">
      <alignment horizontal="center"/>
    </xf>
    <xf numFmtId="0" fontId="21" fillId="2" borderId="0" xfId="15" applyFont="1" applyFill="1"/>
    <xf numFmtId="164" fontId="21" fillId="16" borderId="0" xfId="15" applyNumberFormat="1" applyFont="1" applyFill="1"/>
    <xf numFmtId="164" fontId="21" fillId="2" borderId="0" xfId="15" applyNumberFormat="1" applyFont="1" applyFill="1"/>
    <xf numFmtId="166" fontId="21" fillId="2" borderId="0" xfId="16" applyNumberFormat="1" applyFont="1" applyFill="1" applyBorder="1"/>
    <xf numFmtId="166" fontId="21" fillId="0" borderId="0" xfId="16" applyNumberFormat="1" applyFont="1" applyFill="1" applyBorder="1"/>
    <xf numFmtId="0" fontId="21" fillId="4" borderId="0" xfId="15" applyFont="1" applyFill="1"/>
    <xf numFmtId="0" fontId="87" fillId="2" borderId="0" xfId="15" applyFont="1" applyFill="1" applyAlignment="1">
      <alignment horizontal="center"/>
    </xf>
    <xf numFmtId="0" fontId="22" fillId="2" borderId="0" xfId="15" applyFont="1" applyFill="1"/>
    <xf numFmtId="0" fontId="88" fillId="0" borderId="0" xfId="19" applyFont="1"/>
    <xf numFmtId="0" fontId="90" fillId="2" borderId="0" xfId="19" applyFont="1" applyFill="1" applyAlignment="1">
      <alignment horizontal="center" vertical="center" wrapText="1"/>
    </xf>
    <xf numFmtId="164" fontId="21" fillId="2" borderId="0" xfId="15" applyNumberFormat="1" applyFont="1" applyFill="1" applyAlignment="1">
      <alignment horizontal="center"/>
    </xf>
    <xf numFmtId="164" fontId="21" fillId="0" borderId="0" xfId="15" applyNumberFormat="1" applyFont="1"/>
    <xf numFmtId="164" fontId="21" fillId="4" borderId="0" xfId="15" applyNumberFormat="1" applyFont="1" applyFill="1"/>
    <xf numFmtId="164" fontId="22" fillId="2" borderId="0" xfId="15" applyNumberFormat="1" applyFont="1" applyFill="1"/>
    <xf numFmtId="0" fontId="91" fillId="2" borderId="0" xfId="15" applyFont="1" applyFill="1"/>
    <xf numFmtId="0" fontId="92" fillId="0" borderId="0" xfId="19" applyFont="1"/>
    <xf numFmtId="164" fontId="91" fillId="2" borderId="0" xfId="15" applyNumberFormat="1" applyFont="1" applyFill="1"/>
    <xf numFmtId="165" fontId="91" fillId="2" borderId="1" xfId="16" applyFont="1" applyFill="1" applyBorder="1" applyAlignment="1">
      <alignment horizontal="center" vertical="center" wrapText="1"/>
    </xf>
    <xf numFmtId="49" fontId="91" fillId="2" borderId="1" xfId="16" applyNumberFormat="1" applyFont="1" applyFill="1" applyBorder="1" applyAlignment="1">
      <alignment horizontal="center" vertical="center" wrapText="1"/>
    </xf>
    <xf numFmtId="164" fontId="39" fillId="2" borderId="1" xfId="19" applyNumberFormat="1" applyFont="1" applyFill="1" applyBorder="1" applyAlignment="1">
      <alignment horizontal="center" vertical="center" wrapText="1"/>
    </xf>
    <xf numFmtId="164" fontId="91" fillId="16" borderId="1" xfId="19" applyNumberFormat="1" applyFont="1" applyFill="1" applyBorder="1" applyAlignment="1">
      <alignment horizontal="center" vertical="center" wrapText="1"/>
    </xf>
    <xf numFmtId="164" fontId="91" fillId="2" borderId="1" xfId="19" applyNumberFormat="1" applyFont="1" applyFill="1" applyBorder="1" applyAlignment="1">
      <alignment horizontal="center" vertical="center" wrapText="1"/>
    </xf>
    <xf numFmtId="166" fontId="91" fillId="2" borderId="1" xfId="16" applyNumberFormat="1" applyFont="1" applyFill="1" applyBorder="1" applyAlignment="1">
      <alignment horizontal="center" vertical="center" wrapText="1"/>
    </xf>
    <xf numFmtId="166" fontId="91" fillId="2" borderId="1" xfId="16" applyNumberFormat="1" applyFont="1" applyFill="1" applyBorder="1" applyAlignment="1">
      <alignment horizontal="center" vertical="center"/>
    </xf>
    <xf numFmtId="166" fontId="91" fillId="0" borderId="1" xfId="16" applyNumberFormat="1" applyFont="1" applyFill="1" applyBorder="1" applyAlignment="1">
      <alignment horizontal="center" vertical="center" wrapText="1"/>
    </xf>
    <xf numFmtId="164" fontId="91" fillId="4" borderId="1" xfId="19" applyNumberFormat="1" applyFont="1" applyFill="1" applyBorder="1" applyAlignment="1">
      <alignment horizontal="center" vertical="center" wrapText="1"/>
    </xf>
    <xf numFmtId="165" fontId="39" fillId="2" borderId="31" xfId="16" applyFont="1" applyFill="1" applyBorder="1" applyAlignment="1">
      <alignment horizontal="center" vertical="center" wrapText="1"/>
    </xf>
    <xf numFmtId="0" fontId="91" fillId="2" borderId="0" xfId="15" applyFont="1" applyFill="1" applyAlignment="1">
      <alignment horizontal="center"/>
    </xf>
    <xf numFmtId="0" fontId="22" fillId="0" borderId="31" xfId="18" applyFont="1" applyBorder="1" applyAlignment="1">
      <alignment horizontal="center"/>
    </xf>
    <xf numFmtId="49" fontId="10" fillId="0" borderId="32" xfId="18" applyNumberFormat="1" applyFont="1" applyBorder="1" applyProtection="1">
      <protection locked="0"/>
    </xf>
    <xf numFmtId="49" fontId="10" fillId="0" borderId="33" xfId="18" applyNumberFormat="1" applyFont="1" applyBorder="1" applyProtection="1">
      <protection locked="0"/>
    </xf>
    <xf numFmtId="2" fontId="10" fillId="0" borderId="33" xfId="18" applyNumberFormat="1" applyFont="1" applyBorder="1" applyProtection="1">
      <protection locked="0"/>
    </xf>
    <xf numFmtId="3" fontId="10" fillId="0" borderId="12" xfId="20" applyNumberFormat="1" applyFont="1" applyBorder="1" applyProtection="1">
      <protection locked="0"/>
    </xf>
    <xf numFmtId="166" fontId="10" fillId="16" borderId="1" xfId="18" applyNumberFormat="1" applyFont="1" applyFill="1" applyBorder="1"/>
    <xf numFmtId="3" fontId="73" fillId="0" borderId="33" xfId="19" applyNumberFormat="1" applyFont="1" applyBorder="1" applyAlignment="1" applyProtection="1">
      <alignment wrapText="1"/>
      <protection locked="0"/>
    </xf>
    <xf numFmtId="166" fontId="10" fillId="0" borderId="1" xfId="16" applyNumberFormat="1" applyFont="1" applyBorder="1"/>
    <xf numFmtId="0" fontId="10" fillId="0" borderId="1" xfId="18" applyFont="1" applyBorder="1"/>
    <xf numFmtId="3" fontId="10" fillId="0" borderId="34" xfId="20" applyNumberFormat="1" applyFont="1" applyBorder="1" applyProtection="1">
      <protection locked="0"/>
    </xf>
    <xf numFmtId="166" fontId="10" fillId="4" borderId="1" xfId="16" applyNumberFormat="1" applyFont="1" applyFill="1" applyBorder="1"/>
    <xf numFmtId="0" fontId="1" fillId="4" borderId="0" xfId="18" applyFill="1"/>
    <xf numFmtId="166" fontId="10" fillId="0" borderId="0" xfId="18" applyNumberFormat="1" applyFont="1"/>
    <xf numFmtId="0" fontId="22" fillId="0" borderId="1" xfId="18" applyFont="1" applyBorder="1" applyAlignment="1">
      <alignment horizontal="center"/>
    </xf>
    <xf numFmtId="0" fontId="22" fillId="9" borderId="1" xfId="18" applyFont="1" applyFill="1" applyBorder="1" applyAlignment="1">
      <alignment horizontal="center"/>
    </xf>
    <xf numFmtId="49" fontId="10" fillId="9" borderId="33" xfId="18" applyNumberFormat="1" applyFont="1" applyFill="1" applyBorder="1" applyProtection="1">
      <protection locked="0"/>
    </xf>
    <xf numFmtId="2" fontId="10" fillId="9" borderId="33" xfId="18" applyNumberFormat="1" applyFont="1" applyFill="1" applyBorder="1" applyProtection="1">
      <protection locked="0"/>
    </xf>
    <xf numFmtId="3" fontId="10" fillId="9" borderId="12" xfId="20" applyNumberFormat="1" applyFont="1" applyFill="1" applyBorder="1" applyProtection="1">
      <protection locked="0"/>
    </xf>
    <xf numFmtId="166" fontId="10" fillId="9" borderId="1" xfId="18" applyNumberFormat="1" applyFont="1" applyFill="1" applyBorder="1"/>
    <xf numFmtId="3" fontId="73" fillId="9" borderId="33" xfId="19" applyNumberFormat="1" applyFont="1" applyFill="1" applyBorder="1" applyAlignment="1" applyProtection="1">
      <alignment wrapText="1"/>
      <protection locked="0"/>
    </xf>
    <xf numFmtId="166" fontId="10" fillId="9" borderId="1" xfId="16" applyNumberFormat="1" applyFont="1" applyFill="1" applyBorder="1"/>
    <xf numFmtId="0" fontId="10" fillId="9" borderId="1" xfId="18" applyFont="1" applyFill="1" applyBorder="1"/>
    <xf numFmtId="3" fontId="10" fillId="9" borderId="34" xfId="20" applyNumberFormat="1" applyFont="1" applyFill="1" applyBorder="1" applyProtection="1">
      <protection locked="0"/>
    </xf>
    <xf numFmtId="0" fontId="1" fillId="9" borderId="0" xfId="18" applyFill="1"/>
    <xf numFmtId="166" fontId="10" fillId="9" borderId="0" xfId="18" applyNumberFormat="1" applyFont="1" applyFill="1"/>
    <xf numFmtId="0" fontId="10" fillId="9" borderId="0" xfId="18" applyFont="1" applyFill="1"/>
    <xf numFmtId="166" fontId="80" fillId="0" borderId="0" xfId="18" applyNumberFormat="1" applyFont="1"/>
    <xf numFmtId="3" fontId="10" fillId="0" borderId="1" xfId="18" applyNumberFormat="1" applyFont="1" applyBorder="1"/>
    <xf numFmtId="0" fontId="73" fillId="0" borderId="33" xfId="2" applyNumberFormat="1" applyFont="1" applyFill="1" applyBorder="1" applyAlignment="1" applyProtection="1">
      <alignment horizontal="center" vertical="center" wrapText="1"/>
      <protection locked="0"/>
    </xf>
    <xf numFmtId="0" fontId="73" fillId="0" borderId="33" xfId="1" applyNumberFormat="1" applyFont="1" applyFill="1" applyBorder="1" applyAlignment="1" applyProtection="1">
      <alignment vertical="center" wrapText="1"/>
      <protection locked="0"/>
    </xf>
    <xf numFmtId="0" fontId="73" fillId="0" borderId="33" xfId="18" applyFont="1" applyBorder="1" applyAlignment="1" applyProtection="1">
      <alignment horizontal="center" vertical="center" wrapText="1"/>
      <protection locked="0"/>
    </xf>
    <xf numFmtId="164" fontId="73" fillId="0" borderId="33" xfId="18" applyNumberFormat="1" applyFont="1" applyBorder="1" applyAlignment="1" applyProtection="1">
      <alignment horizontal="center" vertical="center" wrapText="1"/>
      <protection locked="0"/>
    </xf>
    <xf numFmtId="164" fontId="73" fillId="0" borderId="33" xfId="20" applyNumberFormat="1" applyFont="1" applyBorder="1" applyAlignment="1" applyProtection="1">
      <alignment horizontal="center" vertical="center" wrapText="1"/>
      <protection locked="0"/>
    </xf>
    <xf numFmtId="0" fontId="73" fillId="0" borderId="33" xfId="1" applyFont="1" applyFill="1" applyBorder="1" applyAlignment="1" applyProtection="1">
      <alignment vertical="center"/>
      <protection locked="0"/>
    </xf>
    <xf numFmtId="166" fontId="10" fillId="0" borderId="0" xfId="16" applyNumberFormat="1" applyFont="1"/>
    <xf numFmtId="3" fontId="10" fillId="0" borderId="34" xfId="18" applyNumberFormat="1" applyFont="1" applyBorder="1" applyProtection="1">
      <protection locked="0"/>
    </xf>
    <xf numFmtId="166" fontId="10" fillId="0" borderId="0" xfId="16" applyNumberFormat="1" applyFont="1" applyFill="1"/>
    <xf numFmtId="0" fontId="66" fillId="0" borderId="33" xfId="2" applyNumberFormat="1" applyFont="1" applyFill="1" applyBorder="1" applyAlignment="1" applyProtection="1">
      <alignment horizontal="center" vertical="center" wrapText="1"/>
      <protection locked="0"/>
    </xf>
    <xf numFmtId="0" fontId="66" fillId="0" borderId="33" xfId="1" applyNumberFormat="1" applyFont="1" applyFill="1" applyBorder="1" applyAlignment="1" applyProtection="1">
      <alignment vertical="center" wrapText="1"/>
      <protection locked="0"/>
    </xf>
    <xf numFmtId="0" fontId="66" fillId="0" borderId="33" xfId="18" applyFont="1" applyBorder="1" applyAlignment="1" applyProtection="1">
      <alignment horizontal="center" vertical="center" wrapText="1"/>
      <protection locked="0"/>
    </xf>
    <xf numFmtId="49" fontId="10" fillId="0" borderId="0" xfId="18" applyNumberFormat="1" applyFont="1"/>
    <xf numFmtId="0" fontId="21" fillId="0" borderId="33" xfId="18" applyFont="1" applyBorder="1" applyAlignment="1" applyProtection="1">
      <alignment horizontal="center" vertical="center" wrapText="1"/>
      <protection locked="0"/>
    </xf>
    <xf numFmtId="3" fontId="10" fillId="0" borderId="34" xfId="21" applyNumberFormat="1" applyFont="1" applyBorder="1" applyProtection="1">
      <protection locked="0"/>
    </xf>
    <xf numFmtId="164" fontId="21" fillId="0" borderId="33" xfId="18" applyNumberFormat="1" applyFont="1" applyBorder="1" applyAlignment="1" applyProtection="1">
      <alignment horizontal="center" vertical="center" wrapText="1"/>
      <protection locked="0"/>
    </xf>
    <xf numFmtId="0" fontId="10" fillId="16" borderId="0" xfId="18" applyFont="1" applyFill="1"/>
    <xf numFmtId="0" fontId="10" fillId="4" borderId="0" xfId="18" applyFont="1" applyFill="1"/>
    <xf numFmtId="0" fontId="1" fillId="0" borderId="0" xfId="18"/>
    <xf numFmtId="166" fontId="91" fillId="0" borderId="1" xfId="16" applyNumberFormat="1" applyFont="1" applyBorder="1" applyAlignment="1">
      <alignment horizontal="center" vertical="center" wrapText="1"/>
    </xf>
    <xf numFmtId="0" fontId="91" fillId="0" borderId="1" xfId="18" applyFont="1" applyBorder="1" applyAlignment="1">
      <alignment horizontal="center" vertical="center" wrapText="1"/>
    </xf>
    <xf numFmtId="49" fontId="91" fillId="0" borderId="1" xfId="18" applyNumberFormat="1" applyFont="1" applyBorder="1" applyAlignment="1">
      <alignment horizontal="center" vertical="center" wrapText="1"/>
    </xf>
    <xf numFmtId="0" fontId="91" fillId="0" borderId="1" xfId="18" applyFont="1" applyBorder="1" applyAlignment="1">
      <alignment horizontal="center" vertical="center"/>
    </xf>
    <xf numFmtId="0" fontId="91" fillId="2" borderId="1" xfId="18" applyFont="1" applyFill="1" applyBorder="1" applyAlignment="1">
      <alignment horizontal="center" vertical="center"/>
    </xf>
    <xf numFmtId="166" fontId="91" fillId="0" borderId="1" xfId="18" applyNumberFormat="1" applyFont="1" applyBorder="1" applyAlignment="1">
      <alignment horizontal="center" vertical="center" wrapText="1"/>
    </xf>
    <xf numFmtId="166" fontId="91" fillId="0" borderId="12" xfId="16" applyNumberFormat="1" applyFont="1" applyFill="1" applyBorder="1" applyAlignment="1">
      <alignment horizontal="center" vertical="center" wrapText="1"/>
    </xf>
    <xf numFmtId="0" fontId="22" fillId="0" borderId="1" xfId="18" applyFont="1" applyBorder="1" applyAlignment="1">
      <alignment horizontal="center" vertical="center"/>
    </xf>
    <xf numFmtId="0" fontId="96" fillId="0" borderId="0" xfId="18" applyFont="1" applyAlignment="1">
      <alignment vertical="center"/>
    </xf>
    <xf numFmtId="0" fontId="96" fillId="0" borderId="0" xfId="18" applyFont="1"/>
    <xf numFmtId="49" fontId="22" fillId="0" borderId="0" xfId="18" applyNumberFormat="1" applyFont="1" applyAlignment="1">
      <alignment horizontal="center"/>
    </xf>
    <xf numFmtId="0" fontId="96" fillId="0" borderId="0" xfId="18" applyFont="1" applyAlignment="1">
      <alignment horizontal="left"/>
    </xf>
    <xf numFmtId="0" fontId="91" fillId="0" borderId="0" xfId="18" applyFont="1"/>
    <xf numFmtId="0" fontId="91" fillId="0" borderId="0" xfId="18" applyFont="1" applyAlignment="1">
      <alignment horizontal="left"/>
    </xf>
    <xf numFmtId="0" fontId="96" fillId="0" borderId="0" xfId="18" applyFont="1" applyAlignment="1">
      <alignment horizontal="left" vertical="center"/>
    </xf>
    <xf numFmtId="0" fontId="96" fillId="0" borderId="0" xfId="18" applyFont="1" applyAlignment="1">
      <alignment horizontal="center"/>
    </xf>
    <xf numFmtId="1" fontId="80" fillId="0" borderId="0" xfId="18" applyNumberFormat="1" applyFont="1" applyAlignment="1">
      <alignment horizontal="center"/>
    </xf>
    <xf numFmtId="166" fontId="0" fillId="0" borderId="0" xfId="16" applyNumberFormat="1" applyFont="1"/>
    <xf numFmtId="166" fontId="46" fillId="0" borderId="0" xfId="16" applyNumberFormat="1" applyFont="1"/>
    <xf numFmtId="0" fontId="22" fillId="9" borderId="1" xfId="18" applyFont="1" applyFill="1" applyBorder="1" applyAlignment="1">
      <alignment vertical="center"/>
    </xf>
    <xf numFmtId="1" fontId="80" fillId="9" borderId="1" xfId="18" applyNumberFormat="1" applyFont="1" applyFill="1" applyBorder="1" applyAlignment="1">
      <alignment horizontal="center" vertical="center"/>
    </xf>
    <xf numFmtId="0" fontId="22" fillId="9" borderId="1" xfId="18" applyFont="1" applyFill="1" applyBorder="1" applyAlignment="1">
      <alignment horizontal="center" vertical="center"/>
    </xf>
    <xf numFmtId="166" fontId="22" fillId="9" borderId="1" xfId="16" applyNumberFormat="1" applyFont="1" applyFill="1" applyBorder="1" applyAlignment="1">
      <alignment vertical="center"/>
    </xf>
    <xf numFmtId="166" fontId="91" fillId="9" borderId="1" xfId="16" applyNumberFormat="1" applyFont="1" applyFill="1" applyBorder="1" applyAlignment="1">
      <alignment vertical="center"/>
    </xf>
    <xf numFmtId="0" fontId="96" fillId="9" borderId="0" xfId="18" applyFont="1" applyFill="1" applyAlignment="1">
      <alignment vertical="center"/>
    </xf>
    <xf numFmtId="166" fontId="96" fillId="9" borderId="0" xfId="18" applyNumberFormat="1" applyFont="1" applyFill="1" applyAlignment="1">
      <alignment vertical="center"/>
    </xf>
    <xf numFmtId="0" fontId="1" fillId="9" borderId="0" xfId="18" applyFill="1" applyAlignment="1">
      <alignment vertical="center"/>
    </xf>
    <xf numFmtId="49" fontId="22" fillId="9" borderId="1" xfId="18" applyNumberFormat="1" applyFont="1" applyFill="1" applyBorder="1" applyAlignment="1">
      <alignment horizontal="center" vertical="center"/>
    </xf>
    <xf numFmtId="0" fontId="22" fillId="9" borderId="1" xfId="18" applyFont="1" applyFill="1" applyBorder="1" applyAlignment="1">
      <alignment horizontal="left" vertical="center"/>
    </xf>
    <xf numFmtId="0" fontId="91" fillId="9" borderId="1" xfId="15" applyFont="1" applyFill="1" applyBorder="1" applyAlignment="1">
      <alignment vertical="center"/>
    </xf>
    <xf numFmtId="0" fontId="91" fillId="9" borderId="1" xfId="18" applyFont="1" applyFill="1" applyBorder="1" applyAlignment="1">
      <alignment horizontal="left"/>
    </xf>
    <xf numFmtId="0" fontId="22" fillId="9" borderId="1" xfId="18" applyFont="1" applyFill="1" applyBorder="1" applyAlignment="1" applyProtection="1">
      <alignment vertical="center"/>
      <protection locked="0"/>
    </xf>
    <xf numFmtId="0" fontId="96" fillId="9" borderId="1" xfId="18" applyFont="1" applyFill="1" applyBorder="1" applyAlignment="1">
      <alignment horizontal="left" vertical="center"/>
    </xf>
    <xf numFmtId="0" fontId="96" fillId="9" borderId="1" xfId="18" applyFont="1" applyFill="1" applyBorder="1" applyAlignment="1">
      <alignment vertical="center"/>
    </xf>
    <xf numFmtId="49" fontId="96" fillId="9" borderId="0" xfId="18" applyNumberFormat="1" applyFont="1" applyFill="1" applyAlignment="1">
      <alignment horizontal="center"/>
    </xf>
    <xf numFmtId="0" fontId="96" fillId="9" borderId="0" xfId="18" applyFont="1" applyFill="1" applyAlignment="1">
      <alignment horizontal="left"/>
    </xf>
    <xf numFmtId="0" fontId="91" fillId="9" borderId="0" xfId="18" applyFont="1" applyFill="1" applyAlignment="1">
      <alignment horizontal="left"/>
    </xf>
    <xf numFmtId="165" fontId="91" fillId="0" borderId="1" xfId="16" applyFont="1" applyFill="1" applyBorder="1" applyAlignment="1">
      <alignment horizontal="center" vertical="center" wrapText="1"/>
    </xf>
    <xf numFmtId="49" fontId="10" fillId="0" borderId="1" xfId="18" applyNumberFormat="1" applyFont="1" applyBorder="1"/>
    <xf numFmtId="164" fontId="91" fillId="0" borderId="1" xfId="19" applyNumberFormat="1" applyFont="1" applyBorder="1" applyAlignment="1">
      <alignment horizontal="center" vertical="center" wrapText="1"/>
    </xf>
    <xf numFmtId="165" fontId="39" fillId="0" borderId="1" xfId="16" applyFont="1" applyFill="1" applyBorder="1" applyAlignment="1">
      <alignment horizontal="center" vertical="center" wrapText="1"/>
    </xf>
    <xf numFmtId="165" fontId="39" fillId="0" borderId="1" xfId="16" applyFont="1" applyFill="1" applyBorder="1" applyAlignment="1">
      <alignment horizontal="center" vertical="center"/>
    </xf>
    <xf numFmtId="0" fontId="91" fillId="0" borderId="0" xfId="15" applyFont="1" applyAlignment="1">
      <alignment horizontal="center"/>
    </xf>
    <xf numFmtId="164" fontId="91" fillId="0" borderId="0" xfId="15" applyNumberFormat="1" applyFont="1"/>
    <xf numFmtId="0" fontId="22" fillId="2" borderId="0" xfId="19" applyFont="1" applyFill="1"/>
    <xf numFmtId="0" fontId="22" fillId="2" borderId="0" xfId="19" applyFont="1" applyFill="1" applyAlignment="1">
      <alignment horizontal="center"/>
    </xf>
    <xf numFmtId="166" fontId="22" fillId="2" borderId="0" xfId="16" applyNumberFormat="1" applyFont="1" applyFill="1"/>
    <xf numFmtId="0" fontId="1" fillId="0" borderId="0" xfId="29"/>
    <xf numFmtId="0" fontId="100" fillId="2" borderId="0" xfId="29" applyFont="1" applyFill="1" applyAlignment="1">
      <alignment horizontal="center" vertical="center"/>
    </xf>
    <xf numFmtId="0" fontId="101" fillId="2" borderId="0" xfId="29" applyFont="1" applyFill="1" applyAlignment="1">
      <alignment horizontal="left"/>
    </xf>
    <xf numFmtId="0" fontId="100" fillId="2" borderId="0" xfId="29" applyFont="1" applyFill="1" applyAlignment="1">
      <alignment vertical="center"/>
    </xf>
    <xf numFmtId="0" fontId="101" fillId="2" borderId="0" xfId="29" applyFont="1" applyFill="1"/>
    <xf numFmtId="0" fontId="101" fillId="2" borderId="0" xfId="29" applyFont="1" applyFill="1" applyAlignment="1">
      <alignment vertical="center"/>
    </xf>
    <xf numFmtId="3" fontId="11" fillId="2" borderId="0" xfId="31" applyNumberFormat="1" applyFont="1" applyFill="1" applyBorder="1" applyAlignment="1">
      <alignment vertical="center"/>
    </xf>
    <xf numFmtId="0" fontId="101" fillId="2" borderId="0" xfId="29" applyFont="1" applyFill="1" applyAlignment="1">
      <alignment horizontal="center" vertical="center"/>
    </xf>
    <xf numFmtId="0" fontId="18" fillId="2" borderId="0" xfId="29" applyFont="1" applyFill="1" applyAlignment="1">
      <alignment horizontal="center" vertical="center"/>
    </xf>
    <xf numFmtId="0" fontId="18" fillId="2" borderId="0" xfId="29" applyFont="1" applyFill="1" applyAlignment="1">
      <alignment horizontal="center" vertical="center" wrapText="1"/>
    </xf>
    <xf numFmtId="0" fontId="10" fillId="2" borderId="0" xfId="29" applyFont="1" applyFill="1" applyAlignment="1">
      <alignment vertical="center"/>
    </xf>
    <xf numFmtId="164" fontId="11" fillId="2" borderId="1" xfId="13" applyNumberFormat="1" applyFont="1" applyFill="1" applyBorder="1" applyAlignment="1">
      <alignment horizontal="center" vertical="center" wrapText="1"/>
    </xf>
    <xf numFmtId="164" fontId="11" fillId="2" borderId="35" xfId="13" applyNumberFormat="1" applyFont="1" applyFill="1" applyBorder="1" applyAlignment="1">
      <alignment horizontal="center" vertical="center" wrapText="1"/>
    </xf>
    <xf numFmtId="0" fontId="11" fillId="2" borderId="1" xfId="29" applyFont="1" applyFill="1" applyBorder="1" applyAlignment="1">
      <alignment horizontal="center" vertical="center"/>
    </xf>
    <xf numFmtId="0" fontId="18" fillId="2" borderId="1" xfId="29" applyFont="1" applyFill="1" applyBorder="1" applyAlignment="1">
      <alignment horizontal="center" vertical="center" wrapText="1"/>
    </xf>
    <xf numFmtId="0" fontId="45" fillId="2" borderId="1" xfId="29" applyFont="1" applyFill="1" applyBorder="1" applyAlignment="1">
      <alignment vertical="center"/>
    </xf>
    <xf numFmtId="0" fontId="45" fillId="2" borderId="1" xfId="29" applyFont="1" applyFill="1" applyBorder="1" applyAlignment="1">
      <alignment horizontal="center" vertical="center"/>
    </xf>
    <xf numFmtId="164" fontId="45" fillId="2" borderId="1" xfId="13" applyNumberFormat="1" applyFont="1" applyFill="1" applyBorder="1" applyAlignment="1">
      <alignment vertical="center" wrapText="1"/>
    </xf>
    <xf numFmtId="164" fontId="45" fillId="2" borderId="1" xfId="13" applyNumberFormat="1" applyFont="1" applyFill="1" applyBorder="1" applyAlignment="1">
      <alignment vertical="center"/>
    </xf>
    <xf numFmtId="0" fontId="45" fillId="2" borderId="1" xfId="13" applyFont="1" applyFill="1" applyBorder="1" applyAlignment="1">
      <alignment horizontal="center" vertical="center" wrapText="1"/>
    </xf>
    <xf numFmtId="3" fontId="11" fillId="2" borderId="1" xfId="31" applyNumberFormat="1" applyFont="1" applyFill="1" applyBorder="1" applyAlignment="1">
      <alignment vertical="center"/>
    </xf>
    <xf numFmtId="0" fontId="21" fillId="0" borderId="1" xfId="13" applyFont="1" applyBorder="1" applyAlignment="1">
      <alignment horizontal="center" vertical="center" wrapText="1"/>
    </xf>
    <xf numFmtId="2" fontId="21" fillId="0" borderId="1" xfId="29" applyNumberFormat="1" applyFont="1" applyBorder="1" applyAlignment="1">
      <alignment horizontal="center" vertical="center"/>
    </xf>
    <xf numFmtId="2" fontId="21" fillId="0" borderId="1" xfId="29" applyNumberFormat="1" applyFont="1" applyBorder="1" applyAlignment="1">
      <alignment vertical="center"/>
    </xf>
    <xf numFmtId="0" fontId="21" fillId="0" borderId="1" xfId="29" applyFont="1" applyBorder="1" applyAlignment="1">
      <alignment horizontal="center" vertical="center"/>
    </xf>
    <xf numFmtId="166" fontId="21" fillId="0" borderId="1" xfId="16" applyNumberFormat="1" applyFont="1" applyFill="1" applyBorder="1" applyAlignment="1">
      <alignment horizontal="center" vertical="center"/>
    </xf>
    <xf numFmtId="166" fontId="10" fillId="0" borderId="1" xfId="16" applyNumberFormat="1" applyFont="1" applyFill="1" applyBorder="1" applyAlignment="1">
      <alignment horizontal="center" vertical="center"/>
    </xf>
    <xf numFmtId="0" fontId="21" fillId="0" borderId="1" xfId="29" applyFont="1" applyBorder="1" applyAlignment="1">
      <alignment vertical="center"/>
    </xf>
    <xf numFmtId="0" fontId="11" fillId="0" borderId="1" xfId="29" applyFont="1" applyBorder="1" applyAlignment="1">
      <alignment horizontal="center" vertical="center"/>
    </xf>
    <xf numFmtId="0" fontId="11" fillId="0" borderId="1" xfId="29" applyFont="1" applyBorder="1" applyAlignment="1">
      <alignment vertical="center"/>
    </xf>
    <xf numFmtId="0" fontId="11" fillId="0" borderId="1" xfId="29" applyFont="1" applyBorder="1" applyAlignment="1">
      <alignment horizontal="left" vertical="center"/>
    </xf>
    <xf numFmtId="164" fontId="11" fillId="0" borderId="1" xfId="13" applyNumberFormat="1" applyFont="1" applyBorder="1" applyAlignment="1">
      <alignment vertical="center" wrapText="1"/>
    </xf>
    <xf numFmtId="164" fontId="11" fillId="0" borderId="1" xfId="13" applyNumberFormat="1" applyFont="1" applyBorder="1" applyAlignment="1">
      <alignment horizontal="center" vertical="center" wrapText="1"/>
    </xf>
    <xf numFmtId="166" fontId="11" fillId="0" borderId="1" xfId="16" applyNumberFormat="1" applyFont="1" applyFill="1" applyBorder="1" applyAlignment="1" applyProtection="1">
      <alignment vertical="center" wrapText="1"/>
    </xf>
    <xf numFmtId="166" fontId="11" fillId="0" borderId="1" xfId="16" applyNumberFormat="1" applyFont="1" applyFill="1" applyBorder="1" applyAlignment="1" applyProtection="1">
      <alignment horizontal="right" vertical="center" wrapText="1"/>
    </xf>
    <xf numFmtId="0" fontId="11" fillId="0" borderId="0" xfId="29" applyFont="1" applyAlignment="1">
      <alignment horizontal="center" vertical="center" wrapText="1"/>
    </xf>
    <xf numFmtId="0" fontId="74" fillId="0" borderId="0" xfId="29" applyFont="1" applyAlignment="1">
      <alignment horizontal="center" vertical="center"/>
    </xf>
    <xf numFmtId="0" fontId="75" fillId="0" borderId="0" xfId="29" applyFont="1" applyAlignment="1">
      <alignment horizontal="center" vertical="center"/>
    </xf>
    <xf numFmtId="0" fontId="74" fillId="0" borderId="0" xfId="29" applyFont="1" applyAlignment="1">
      <alignment vertical="center"/>
    </xf>
    <xf numFmtId="0" fontId="75" fillId="2" borderId="0" xfId="29" applyFont="1" applyFill="1" applyAlignment="1">
      <alignment vertical="center"/>
    </xf>
    <xf numFmtId="0" fontId="74" fillId="2" borderId="0" xfId="29" applyFont="1" applyFill="1" applyAlignment="1">
      <alignment vertical="center"/>
    </xf>
    <xf numFmtId="167" fontId="74" fillId="2" borderId="0" xfId="29" applyNumberFormat="1" applyFont="1" applyFill="1" applyAlignment="1">
      <alignment vertical="center"/>
    </xf>
    <xf numFmtId="166" fontId="74" fillId="2" borderId="0" xfId="32" applyNumberFormat="1" applyFont="1" applyFill="1" applyAlignment="1">
      <alignment vertical="center"/>
    </xf>
    <xf numFmtId="0" fontId="75" fillId="0" borderId="0" xfId="29" applyFont="1" applyAlignment="1">
      <alignment vertical="center" wrapText="1"/>
    </xf>
    <xf numFmtId="0" fontId="19" fillId="0" borderId="0" xfId="29" applyFont="1" applyAlignment="1">
      <alignment horizontal="center" vertical="center"/>
    </xf>
    <xf numFmtId="0" fontId="10" fillId="0" borderId="0" xfId="29" applyFont="1" applyAlignment="1">
      <alignment horizontal="center" vertical="center" wrapText="1"/>
    </xf>
    <xf numFmtId="0" fontId="10" fillId="0" borderId="0" xfId="29" applyFont="1" applyAlignment="1">
      <alignment vertical="center"/>
    </xf>
    <xf numFmtId="0" fontId="10" fillId="0" borderId="0" xfId="29" applyFont="1" applyAlignment="1">
      <alignment horizontal="center" vertical="center"/>
    </xf>
    <xf numFmtId="164" fontId="21" fillId="0" borderId="0" xfId="13" applyNumberFormat="1" applyFont="1" applyAlignment="1">
      <alignment wrapText="1"/>
    </xf>
    <xf numFmtId="164" fontId="10" fillId="0" borderId="0" xfId="29" applyNumberFormat="1" applyFont="1" applyAlignment="1">
      <alignment vertical="center"/>
    </xf>
    <xf numFmtId="0" fontId="10" fillId="2" borderId="0" xfId="29" applyFont="1" applyFill="1" applyAlignment="1">
      <alignment horizontal="center" vertical="center"/>
    </xf>
    <xf numFmtId="0" fontId="10" fillId="2" borderId="0" xfId="29" applyFont="1" applyFill="1" applyAlignment="1">
      <alignment horizontal="center" vertical="center" wrapText="1"/>
    </xf>
    <xf numFmtId="0" fontId="1" fillId="0" borderId="0" xfId="29" applyAlignment="1">
      <alignment horizontal="center"/>
    </xf>
    <xf numFmtId="0" fontId="78" fillId="2" borderId="26" xfId="3" applyFont="1" applyFill="1" applyBorder="1" applyAlignment="1">
      <alignment horizontal="center" vertical="center"/>
    </xf>
    <xf numFmtId="0" fontId="78" fillId="2" borderId="2" xfId="3" applyFont="1" applyFill="1" applyBorder="1" applyAlignment="1">
      <alignment horizontal="center" vertical="center" wrapText="1"/>
    </xf>
    <xf numFmtId="0" fontId="78" fillId="2" borderId="2" xfId="3" applyFont="1" applyFill="1" applyBorder="1" applyAlignment="1">
      <alignment wrapText="1"/>
    </xf>
    <xf numFmtId="0" fontId="50" fillId="0" borderId="2" xfId="3" applyFont="1" applyBorder="1" applyAlignment="1">
      <alignment wrapText="1"/>
      <extLst>
        <ext xmlns:xfpb="http://schemas.microsoft.com/office/spreadsheetml/2022/featurepropertybag" uri="{C7286773-470A-42A8-94C5-96B5CB345126}">
          <xfpb:xfComplement i="0"/>
        </ext>
      </extLst>
    </xf>
    <xf numFmtId="0" fontId="102" fillId="14" borderId="2" xfId="3" applyFont="1" applyFill="1" applyBorder="1" applyAlignment="1">
      <alignment wrapText="1"/>
    </xf>
    <xf numFmtId="0" fontId="78" fillId="2" borderId="2" xfId="3" applyFont="1" applyFill="1" applyBorder="1"/>
    <xf numFmtId="0" fontId="50" fillId="2" borderId="2" xfId="3" applyFont="1" applyFill="1" applyBorder="1" applyAlignment="1">
      <alignment horizontal="left" vertical="center" wrapText="1"/>
    </xf>
    <xf numFmtId="0" fontId="47" fillId="0" borderId="0" xfId="3" applyFont="1" applyAlignment="1">
      <alignment horizontal="center" vertical="center" wrapText="1"/>
    </xf>
    <xf numFmtId="0" fontId="50" fillId="2" borderId="42" xfId="3" applyFont="1" applyFill="1" applyBorder="1" applyAlignment="1">
      <alignment horizontal="left" vertical="center"/>
    </xf>
    <xf numFmtId="0" fontId="104" fillId="0" borderId="22" xfId="0" applyFont="1" applyBorder="1"/>
    <xf numFmtId="0" fontId="55" fillId="0" borderId="22" xfId="0" applyFont="1" applyBorder="1"/>
    <xf numFmtId="0" fontId="105" fillId="7" borderId="15" xfId="0" applyFont="1" applyFill="1" applyBorder="1" applyAlignment="1">
      <alignment horizontal="center" vertical="center" wrapText="1"/>
    </xf>
    <xf numFmtId="0" fontId="105" fillId="7" borderId="43" xfId="0" applyFont="1" applyFill="1" applyBorder="1" applyAlignment="1">
      <alignment horizontal="center" vertical="center" wrapText="1"/>
    </xf>
    <xf numFmtId="0" fontId="4" fillId="0" borderId="1" xfId="0" applyFont="1" applyBorder="1" applyAlignment="1">
      <alignment vertical="center" wrapText="1"/>
    </xf>
    <xf numFmtId="0" fontId="8" fillId="0" borderId="1" xfId="0" applyFont="1" applyBorder="1"/>
    <xf numFmtId="164" fontId="0" fillId="0" borderId="1" xfId="8" applyFont="1" applyBorder="1"/>
    <xf numFmtId="164" fontId="4" fillId="0" borderId="1" xfId="0" applyNumberFormat="1" applyFont="1" applyBorder="1"/>
    <xf numFmtId="0" fontId="77" fillId="5" borderId="0" xfId="0" applyFont="1" applyFill="1"/>
    <xf numFmtId="0" fontId="106" fillId="5" borderId="0" xfId="0" applyFont="1" applyFill="1"/>
    <xf numFmtId="173" fontId="4" fillId="0" borderId="1" xfId="0" applyNumberFormat="1" applyFont="1" applyBorder="1"/>
    <xf numFmtId="9" fontId="8" fillId="0" borderId="1" xfId="9" applyFont="1" applyBorder="1"/>
    <xf numFmtId="9" fontId="0" fillId="0" borderId="1" xfId="9" applyFont="1" applyBorder="1"/>
    <xf numFmtId="0" fontId="47" fillId="19" borderId="0" xfId="0" applyFont="1" applyFill="1"/>
    <xf numFmtId="0" fontId="77" fillId="19" borderId="0" xfId="0" applyFont="1" applyFill="1"/>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0" borderId="0" xfId="0" applyAlignment="1">
      <alignment wrapText="1"/>
    </xf>
    <xf numFmtId="0" fontId="76" fillId="5" borderId="0" xfId="0" applyFont="1" applyFill="1"/>
    <xf numFmtId="0" fontId="76" fillId="19" borderId="0" xfId="0" applyFont="1" applyFill="1"/>
    <xf numFmtId="0" fontId="77" fillId="20" borderId="0" xfId="0" applyFont="1" applyFill="1"/>
    <xf numFmtId="0" fontId="49" fillId="0" borderId="1" xfId="0" applyFont="1" applyBorder="1" applyAlignment="1">
      <alignment vertical="center"/>
    </xf>
    <xf numFmtId="0" fontId="107" fillId="7" borderId="1" xfId="0" applyFont="1" applyFill="1" applyBorder="1" applyAlignment="1">
      <alignment horizontal="center"/>
    </xf>
    <xf numFmtId="0" fontId="49" fillId="7" borderId="1" xfId="0" applyFont="1" applyFill="1" applyBorder="1"/>
    <xf numFmtId="0" fontId="49" fillId="7" borderId="1" xfId="0" applyFont="1" applyFill="1" applyBorder="1" applyAlignment="1">
      <alignment vertical="center"/>
    </xf>
    <xf numFmtId="9" fontId="49" fillId="7" borderId="1" xfId="0" applyNumberFormat="1" applyFont="1" applyFill="1" applyBorder="1" applyAlignment="1">
      <alignment horizontal="center" vertical="center" wrapText="1"/>
    </xf>
    <xf numFmtId="0" fontId="49" fillId="7" borderId="1" xfId="0" applyFont="1" applyFill="1" applyBorder="1" applyAlignment="1">
      <alignment horizontal="center" vertical="center"/>
    </xf>
    <xf numFmtId="0" fontId="103" fillId="7" borderId="1" xfId="0" applyFont="1" applyFill="1" applyBorder="1" applyAlignment="1">
      <alignment horizontal="left" vertical="center" wrapText="1"/>
    </xf>
    <xf numFmtId="0" fontId="106" fillId="5" borderId="0" xfId="3" applyFont="1" applyFill="1" applyAlignment="1">
      <alignment horizontal="left" vertical="center"/>
    </xf>
    <xf numFmtId="0" fontId="58" fillId="21" borderId="15" xfId="0" applyFont="1" applyFill="1" applyBorder="1" applyAlignment="1">
      <alignment horizontal="center" vertical="center" wrapText="1"/>
    </xf>
    <xf numFmtId="0" fontId="10" fillId="2" borderId="0" xfId="29" applyFont="1" applyFill="1" applyAlignment="1">
      <alignment vertical="center" wrapText="1"/>
    </xf>
    <xf numFmtId="0" fontId="13" fillId="2" borderId="0" xfId="29" applyFont="1" applyFill="1" applyAlignment="1">
      <alignment vertical="center"/>
    </xf>
    <xf numFmtId="0" fontId="12" fillId="2" borderId="0" xfId="29" applyFont="1" applyFill="1" applyAlignment="1">
      <alignment horizontal="left" vertical="center"/>
    </xf>
    <xf numFmtId="0" fontId="12" fillId="2" borderId="0" xfId="29" applyFont="1" applyFill="1" applyAlignment="1">
      <alignment vertical="center"/>
    </xf>
    <xf numFmtId="0" fontId="13" fillId="2" borderId="0" xfId="29" applyFont="1" applyFill="1"/>
    <xf numFmtId="0" fontId="14" fillId="2" borderId="0" xfId="29" applyFont="1" applyFill="1" applyAlignment="1">
      <alignment horizontal="left" vertical="center"/>
    </xf>
    <xf numFmtId="0" fontId="14" fillId="2" borderId="0" xfId="29" applyFont="1" applyFill="1" applyAlignment="1">
      <alignment vertical="center"/>
    </xf>
    <xf numFmtId="0" fontId="45" fillId="2" borderId="2" xfId="13" applyFont="1" applyFill="1" applyBorder="1" applyAlignment="1">
      <alignment horizontal="center" vertical="center" wrapText="1"/>
    </xf>
    <xf numFmtId="3" fontId="11" fillId="2" borderId="2" xfId="16" applyNumberFormat="1" applyFont="1" applyFill="1" applyBorder="1" applyAlignment="1">
      <alignment vertical="center"/>
    </xf>
    <xf numFmtId="0" fontId="11" fillId="2" borderId="2" xfId="29" applyFont="1" applyFill="1" applyBorder="1" applyAlignment="1">
      <alignment vertical="center"/>
    </xf>
    <xf numFmtId="0" fontId="11" fillId="2" borderId="0" xfId="29" applyFont="1" applyFill="1" applyAlignment="1">
      <alignment vertical="center"/>
    </xf>
    <xf numFmtId="0" fontId="20" fillId="5" borderId="2" xfId="29" applyFont="1" applyFill="1" applyBorder="1" applyAlignment="1">
      <alignment horizontal="center" vertical="center"/>
    </xf>
    <xf numFmtId="3" fontId="20" fillId="5" borderId="2" xfId="13" applyNumberFormat="1" applyFont="1" applyFill="1" applyBorder="1" applyAlignment="1">
      <alignment vertical="center" wrapText="1"/>
    </xf>
    <xf numFmtId="0" fontId="20" fillId="5" borderId="2" xfId="29" applyFont="1" applyFill="1" applyBorder="1" applyAlignment="1">
      <alignment vertical="center"/>
    </xf>
    <xf numFmtId="0" fontId="108" fillId="2" borderId="2" xfId="13" applyFont="1" applyFill="1" applyBorder="1" applyAlignment="1">
      <alignment horizontal="center" vertical="center" wrapText="1"/>
    </xf>
    <xf numFmtId="0" fontId="19" fillId="2" borderId="2" xfId="29" applyFont="1" applyFill="1" applyBorder="1" applyAlignment="1">
      <alignment horizontal="left" vertical="center" wrapText="1"/>
    </xf>
    <xf numFmtId="0" fontId="108" fillId="2" borderId="2" xfId="29" applyFont="1" applyFill="1" applyBorder="1" applyAlignment="1">
      <alignment horizontal="center" wrapText="1"/>
    </xf>
    <xf numFmtId="3" fontId="10" fillId="2" borderId="2" xfId="16" applyNumberFormat="1" applyFont="1" applyFill="1" applyBorder="1" applyAlignment="1">
      <alignment vertical="center"/>
    </xf>
    <xf numFmtId="0" fontId="19" fillId="2" borderId="0" xfId="29" applyFont="1" applyFill="1" applyAlignment="1">
      <alignment vertical="center"/>
    </xf>
    <xf numFmtId="0" fontId="19" fillId="2" borderId="2" xfId="29" applyFont="1" applyFill="1" applyBorder="1" applyAlignment="1">
      <alignment wrapText="1"/>
    </xf>
    <xf numFmtId="0" fontId="11" fillId="2" borderId="0" xfId="29" applyFont="1" applyFill="1" applyAlignment="1">
      <alignment horizontal="center" vertical="center" wrapText="1"/>
    </xf>
    <xf numFmtId="0" fontId="13" fillId="2" borderId="0" xfId="29" applyFont="1" applyFill="1" applyAlignment="1">
      <alignment horizontal="center" vertical="center"/>
    </xf>
    <xf numFmtId="0" fontId="74" fillId="2" borderId="0" xfId="29" applyFont="1" applyFill="1" applyAlignment="1">
      <alignment horizontal="center" vertical="center"/>
    </xf>
    <xf numFmtId="0" fontId="109" fillId="2" borderId="0" xfId="29" applyFont="1" applyFill="1" applyAlignment="1">
      <alignment vertical="center"/>
    </xf>
    <xf numFmtId="0" fontId="99" fillId="2" borderId="0" xfId="29" applyFont="1" applyFill="1" applyAlignment="1">
      <alignment vertical="center"/>
    </xf>
    <xf numFmtId="164" fontId="10" fillId="2" borderId="0" xfId="29" applyNumberFormat="1" applyFont="1" applyFill="1" applyAlignment="1">
      <alignment vertical="center"/>
    </xf>
    <xf numFmtId="0" fontId="4" fillId="0" borderId="1" xfId="0" applyFont="1" applyBorder="1" applyAlignment="1">
      <alignment vertical="center"/>
    </xf>
    <xf numFmtId="0" fontId="76" fillId="19" borderId="1" xfId="0" applyFont="1" applyFill="1" applyBorder="1" applyAlignment="1">
      <alignment horizontal="center" vertical="center"/>
    </xf>
    <xf numFmtId="0" fontId="76" fillId="19" borderId="1" xfId="0" applyFont="1" applyFill="1" applyBorder="1" applyAlignment="1">
      <alignment horizontal="center" vertical="center" wrapText="1"/>
    </xf>
    <xf numFmtId="166" fontId="76" fillId="19" borderId="1" xfId="16" applyNumberFormat="1" applyFont="1" applyFill="1" applyBorder="1" applyAlignment="1">
      <alignment horizontal="center" vertical="center" wrapText="1"/>
    </xf>
    <xf numFmtId="173" fontId="76" fillId="19" borderId="1" xfId="0" applyNumberFormat="1" applyFont="1" applyFill="1" applyBorder="1" applyAlignment="1">
      <alignment horizontal="center" vertical="center"/>
    </xf>
    <xf numFmtId="173" fontId="76" fillId="22" borderId="1" xfId="6" applyNumberFormat="1" applyFont="1" applyFill="1" applyBorder="1" applyAlignment="1">
      <alignment horizontal="center" vertical="center" wrapText="1"/>
    </xf>
    <xf numFmtId="0" fontId="110" fillId="0" borderId="1" xfId="0" applyFont="1" applyBorder="1" applyAlignment="1">
      <alignment horizontal="center" vertical="center" wrapText="1"/>
    </xf>
    <xf numFmtId="0" fontId="110" fillId="0" borderId="1" xfId="0" applyFont="1" applyBorder="1" applyAlignment="1">
      <alignment horizontal="center" vertical="center"/>
    </xf>
    <xf numFmtId="0" fontId="110" fillId="0" borderId="1" xfId="0" applyFont="1" applyBorder="1" applyAlignment="1">
      <alignment horizontal="left" vertical="center" wrapText="1"/>
    </xf>
    <xf numFmtId="0" fontId="110" fillId="0" borderId="1" xfId="0" applyFont="1" applyBorder="1" applyAlignment="1">
      <alignment vertical="center"/>
    </xf>
    <xf numFmtId="3" fontId="110" fillId="0" borderId="1" xfId="0" applyNumberFormat="1" applyFont="1" applyBorder="1" applyAlignment="1">
      <alignment vertical="center"/>
    </xf>
    <xf numFmtId="166" fontId="110" fillId="0" borderId="1" xfId="16" applyNumberFormat="1" applyFont="1" applyFill="1" applyBorder="1" applyAlignment="1">
      <alignment horizontal="center" vertical="center" wrapText="1"/>
    </xf>
    <xf numFmtId="174" fontId="110" fillId="0" borderId="1" xfId="0" quotePrefix="1" applyNumberFormat="1" applyFont="1" applyBorder="1" applyAlignment="1">
      <alignment horizontal="center" vertical="center" wrapText="1"/>
    </xf>
    <xf numFmtId="0" fontId="102" fillId="0" borderId="1" xfId="0" applyFont="1" applyBorder="1" applyAlignment="1">
      <alignment vertical="center"/>
    </xf>
    <xf numFmtId="166" fontId="110" fillId="0" borderId="1" xfId="16" applyNumberFormat="1" applyFont="1" applyFill="1" applyBorder="1" applyAlignment="1">
      <alignment vertical="center" wrapText="1"/>
    </xf>
    <xf numFmtId="166" fontId="110" fillId="0" borderId="1" xfId="16" applyNumberFormat="1" applyFont="1" applyFill="1" applyBorder="1" applyAlignment="1">
      <alignment vertical="center"/>
    </xf>
    <xf numFmtId="0" fontId="96" fillId="0" borderId="1" xfId="0" applyFont="1" applyBorder="1" applyAlignment="1">
      <alignment horizontal="center" vertical="center"/>
    </xf>
    <xf numFmtId="0" fontId="96" fillId="0" borderId="1" xfId="0" applyFont="1" applyBorder="1" applyAlignment="1">
      <alignment horizontal="center" vertical="center" wrapText="1"/>
    </xf>
    <xf numFmtId="0" fontId="96" fillId="0" borderId="1" xfId="0" applyFont="1" applyBorder="1" applyAlignment="1">
      <alignment horizontal="left" vertical="center" wrapText="1"/>
    </xf>
    <xf numFmtId="0" fontId="96" fillId="0" borderId="1" xfId="0" applyFont="1" applyBorder="1" applyAlignment="1">
      <alignment vertical="center"/>
    </xf>
    <xf numFmtId="166" fontId="96" fillId="0" borderId="1" xfId="16" applyNumberFormat="1" applyFont="1" applyFill="1" applyBorder="1" applyAlignment="1">
      <alignment horizontal="center" vertical="center" wrapText="1"/>
    </xf>
    <xf numFmtId="174" fontId="96" fillId="0" borderId="1" xfId="0" quotePrefix="1" applyNumberFormat="1" applyFont="1" applyBorder="1" applyAlignment="1">
      <alignment horizontal="center" vertical="center" wrapText="1"/>
    </xf>
    <xf numFmtId="166" fontId="96" fillId="0" borderId="1" xfId="16" applyNumberFormat="1" applyFont="1" applyFill="1" applyBorder="1" applyAlignment="1">
      <alignment vertical="center" wrapText="1"/>
    </xf>
    <xf numFmtId="166" fontId="96" fillId="0" borderId="31" xfId="16" applyNumberFormat="1" applyFont="1" applyFill="1" applyBorder="1" applyAlignment="1">
      <alignment vertical="center" wrapText="1"/>
    </xf>
    <xf numFmtId="166" fontId="96" fillId="0" borderId="1" xfId="16" applyNumberFormat="1" applyFont="1" applyFill="1" applyBorder="1" applyAlignment="1">
      <alignment vertical="center"/>
    </xf>
    <xf numFmtId="166" fontId="96" fillId="0" borderId="31" xfId="16" applyNumberFormat="1" applyFont="1" applyFill="1" applyBorder="1" applyAlignment="1">
      <alignment horizontal="center" vertical="center"/>
    </xf>
    <xf numFmtId="0" fontId="111" fillId="0" borderId="1" xfId="33" applyBorder="1" applyAlignment="1">
      <alignment vertical="center"/>
    </xf>
    <xf numFmtId="3" fontId="96" fillId="0" borderId="1" xfId="0" applyNumberFormat="1" applyFont="1" applyBorder="1" applyAlignment="1">
      <alignment vertical="center"/>
    </xf>
    <xf numFmtId="0" fontId="112" fillId="21" borderId="0" xfId="0" applyFont="1" applyFill="1" applyAlignment="1">
      <alignment vertical="center" wrapText="1"/>
    </xf>
    <xf numFmtId="0" fontId="112" fillId="21" borderId="0" xfId="0" applyFont="1" applyFill="1" applyAlignment="1">
      <alignment vertical="top" wrapText="1"/>
    </xf>
    <xf numFmtId="49" fontId="114" fillId="19" borderId="1" xfId="34" applyNumberFormat="1" applyFont="1" applyFill="1" applyAlignment="1">
      <alignment horizontal="left" vertical="center" wrapText="1"/>
    </xf>
    <xf numFmtId="49" fontId="114" fillId="19" borderId="1" xfId="34" applyNumberFormat="1" applyFont="1" applyFill="1" applyAlignment="1">
      <alignment horizontal="left" vertical="center"/>
    </xf>
    <xf numFmtId="49" fontId="97" fillId="17" borderId="1" xfId="22" applyNumberFormat="1">
      <alignment horizontal="left"/>
    </xf>
    <xf numFmtId="175" fontId="97" fillId="4" borderId="1" xfId="22" applyNumberFormat="1" applyFill="1">
      <alignment horizontal="left"/>
    </xf>
    <xf numFmtId="175" fontId="97" fillId="17" borderId="1" xfId="22" applyNumberFormat="1">
      <alignment horizontal="left"/>
    </xf>
    <xf numFmtId="1" fontId="97" fillId="17" borderId="1" xfId="22" applyNumberFormat="1">
      <alignment horizontal="left"/>
    </xf>
    <xf numFmtId="176" fontId="97" fillId="17" borderId="1" xfId="22" applyNumberFormat="1">
      <alignment horizontal="left"/>
    </xf>
    <xf numFmtId="177" fontId="97" fillId="17" borderId="1" xfId="22" applyNumberFormat="1">
      <alignment horizontal="left"/>
    </xf>
    <xf numFmtId="178" fontId="97" fillId="17" borderId="1" xfId="22" applyNumberFormat="1">
      <alignment horizontal="left"/>
    </xf>
    <xf numFmtId="1" fontId="97" fillId="4" borderId="1" xfId="22" applyNumberFormat="1" applyFill="1">
      <alignment horizontal="left"/>
    </xf>
    <xf numFmtId="176" fontId="97" fillId="4" borderId="1" xfId="22" applyNumberFormat="1" applyFill="1">
      <alignment horizontal="left"/>
    </xf>
    <xf numFmtId="0" fontId="55" fillId="0" borderId="0" xfId="0" applyFont="1" applyAlignment="1">
      <alignment horizontal="center" vertical="center" wrapText="1"/>
    </xf>
    <xf numFmtId="0" fontId="54" fillId="19" borderId="0" xfId="3" applyFont="1" applyFill="1" applyAlignment="1">
      <alignment horizontal="left" vertical="center"/>
    </xf>
    <xf numFmtId="0" fontId="54" fillId="19" borderId="0" xfId="3" applyFont="1" applyFill="1" applyAlignment="1">
      <alignment horizontal="center" vertical="center"/>
    </xf>
    <xf numFmtId="0" fontId="22" fillId="18" borderId="1" xfId="18" applyFont="1" applyFill="1" applyBorder="1" applyAlignment="1">
      <alignment horizontal="center" vertical="center"/>
    </xf>
    <xf numFmtId="0" fontId="91" fillId="18" borderId="1" xfId="18" applyFont="1" applyFill="1" applyBorder="1" applyAlignment="1">
      <alignment vertical="center"/>
    </xf>
    <xf numFmtId="0" fontId="22" fillId="9" borderId="35" xfId="18" applyFont="1" applyFill="1" applyBorder="1" applyAlignment="1">
      <alignment vertical="center"/>
    </xf>
    <xf numFmtId="0" fontId="91" fillId="9" borderId="10" xfId="18" applyFont="1" applyFill="1" applyBorder="1" applyAlignment="1">
      <alignment horizontal="left" vertical="center"/>
    </xf>
    <xf numFmtId="0" fontId="91" fillId="18" borderId="1" xfId="18" applyFont="1" applyFill="1" applyBorder="1"/>
    <xf numFmtId="0" fontId="39" fillId="0" borderId="0" xfId="18" applyFont="1"/>
    <xf numFmtId="0" fontId="115" fillId="0" borderId="0" xfId="18" applyFont="1" applyAlignment="1">
      <alignment horizontal="left"/>
    </xf>
    <xf numFmtId="0" fontId="4" fillId="0" borderId="15" xfId="0" applyFont="1" applyBorder="1" applyAlignment="1">
      <alignment vertical="center"/>
    </xf>
    <xf numFmtId="0" fontId="4" fillId="0" borderId="15" xfId="0" applyFont="1" applyBorder="1" applyAlignment="1">
      <alignment vertical="center" wrapText="1"/>
    </xf>
    <xf numFmtId="0" fontId="51" fillId="0" borderId="15" xfId="0" applyFont="1" applyBorder="1" applyAlignment="1">
      <alignment horizontal="center" vertical="center"/>
    </xf>
    <xf numFmtId="0" fontId="8" fillId="0" borderId="15" xfId="0" applyFont="1" applyBorder="1" applyAlignment="1">
      <alignment vertical="center"/>
    </xf>
    <xf numFmtId="0" fontId="4" fillId="0" borderId="30" xfId="0" applyFont="1" applyBorder="1" applyAlignment="1">
      <alignment vertical="center"/>
    </xf>
    <xf numFmtId="0" fontId="0" fillId="0" borderId="31" xfId="0" applyBorder="1"/>
    <xf numFmtId="0" fontId="50" fillId="2" borderId="15" xfId="3" quotePrefix="1" applyFont="1" applyFill="1" applyBorder="1" applyAlignment="1">
      <alignment horizontal="left" vertical="center"/>
    </xf>
    <xf numFmtId="0" fontId="8" fillId="0" borderId="35" xfId="0" applyFont="1" applyBorder="1" applyAlignment="1">
      <alignment horizontal="center"/>
    </xf>
    <xf numFmtId="0" fontId="54" fillId="19" borderId="0" xfId="0" applyFont="1" applyFill="1" applyAlignment="1">
      <alignment vertical="center"/>
    </xf>
    <xf numFmtId="0" fontId="56" fillId="7" borderId="0" xfId="0" applyFont="1" applyFill="1"/>
    <xf numFmtId="0" fontId="49" fillId="0" borderId="0" xfId="0" applyFont="1" applyAlignment="1">
      <alignment horizontal="center"/>
    </xf>
    <xf numFmtId="0" fontId="54" fillId="20" borderId="44" xfId="0" applyFont="1" applyFill="1" applyBorder="1"/>
    <xf numFmtId="0" fontId="54" fillId="20" borderId="0" xfId="0" applyFont="1" applyFill="1"/>
    <xf numFmtId="0" fontId="44" fillId="0" borderId="44" xfId="0" applyFont="1" applyBorder="1"/>
    <xf numFmtId="0" fontId="116" fillId="0" borderId="0" xfId="0" applyFont="1"/>
    <xf numFmtId="0" fontId="0" fillId="0" borderId="0" xfId="0" applyAlignment="1">
      <alignment horizontal="left" vertical="center"/>
    </xf>
    <xf numFmtId="0" fontId="0" fillId="0" borderId="0" xfId="0" applyAlignment="1">
      <alignment horizontal="left"/>
    </xf>
    <xf numFmtId="0" fontId="117" fillId="0" borderId="0" xfId="0" applyFont="1"/>
    <xf numFmtId="0" fontId="117" fillId="0" borderId="0" xfId="0" quotePrefix="1" applyFont="1"/>
    <xf numFmtId="0" fontId="117" fillId="0" borderId="0" xfId="0" applyFont="1" applyAlignment="1">
      <alignment horizontal="left" vertical="center"/>
    </xf>
    <xf numFmtId="0" fontId="117" fillId="0" borderId="0" xfId="0" applyFont="1" applyAlignment="1">
      <alignment horizontal="center" vertical="center"/>
    </xf>
    <xf numFmtId="0" fontId="117" fillId="0" borderId="0" xfId="0" applyFont="1" applyAlignment="1">
      <alignment horizontal="left"/>
    </xf>
    <xf numFmtId="0" fontId="118" fillId="0" borderId="0" xfId="7" applyFont="1"/>
    <xf numFmtId="0" fontId="118" fillId="0" borderId="0" xfId="7" quotePrefix="1" applyFont="1"/>
    <xf numFmtId="0" fontId="65" fillId="4" borderId="1" xfId="35" applyFont="1" applyFill="1" applyBorder="1" applyAlignment="1" applyProtection="1">
      <alignment horizontal="left" vertical="center" wrapText="1"/>
      <protection locked="0"/>
    </xf>
    <xf numFmtId="49" fontId="79" fillId="4" borderId="1" xfId="35" applyNumberFormat="1" applyFont="1" applyFill="1" applyBorder="1" applyAlignment="1" applyProtection="1">
      <alignment horizontal="left" vertical="center" wrapText="1"/>
      <protection locked="0"/>
    </xf>
    <xf numFmtId="49" fontId="65" fillId="4" borderId="1" xfId="35" applyNumberFormat="1" applyFont="1" applyFill="1" applyBorder="1" applyAlignment="1" applyProtection="1">
      <alignment horizontal="left" vertical="center" wrapText="1"/>
      <protection locked="0"/>
    </xf>
    <xf numFmtId="0" fontId="65" fillId="24" borderId="1" xfId="35" applyFont="1" applyFill="1" applyBorder="1" applyAlignment="1" applyProtection="1">
      <alignment horizontal="left" vertical="center" wrapText="1"/>
      <protection locked="0"/>
    </xf>
    <xf numFmtId="49" fontId="119" fillId="24" borderId="1" xfId="35" applyNumberFormat="1" applyFont="1" applyFill="1" applyBorder="1" applyAlignment="1" applyProtection="1">
      <alignment horizontal="left" vertical="center" wrapText="1"/>
      <protection locked="0"/>
    </xf>
    <xf numFmtId="49" fontId="65" fillId="24" borderId="1" xfId="35" applyNumberFormat="1" applyFont="1" applyFill="1" applyBorder="1" applyAlignment="1" applyProtection="1">
      <alignment horizontal="left" vertical="center" wrapText="1"/>
      <protection locked="0"/>
    </xf>
    <xf numFmtId="49" fontId="85" fillId="4" borderId="1" xfId="35" applyNumberFormat="1" applyFont="1" applyFill="1" applyBorder="1" applyAlignment="1" applyProtection="1">
      <alignment horizontal="left" vertical="center" wrapText="1"/>
      <protection locked="0"/>
    </xf>
    <xf numFmtId="0" fontId="65" fillId="0" borderId="1" xfId="35" applyFont="1" applyBorder="1" applyAlignment="1" applyProtection="1">
      <alignment horizontal="left" vertical="center" wrapText="1"/>
      <protection locked="0"/>
    </xf>
    <xf numFmtId="49" fontId="120" fillId="4" borderId="1" xfId="35" applyNumberFormat="1" applyFont="1" applyFill="1" applyBorder="1" applyAlignment="1" applyProtection="1">
      <alignment horizontal="left" vertical="center" wrapText="1"/>
      <protection locked="0"/>
    </xf>
    <xf numFmtId="49" fontId="65" fillId="23" borderId="1" xfId="35" applyNumberFormat="1" applyFont="1" applyFill="1" applyBorder="1" applyAlignment="1" applyProtection="1">
      <alignment horizontal="left" vertical="center" wrapText="1"/>
      <protection locked="0"/>
    </xf>
    <xf numFmtId="49" fontId="22" fillId="24" borderId="1" xfId="35" applyNumberFormat="1" applyFont="1" applyFill="1" applyBorder="1" applyAlignment="1" applyProtection="1">
      <alignment horizontal="left" vertical="center" wrapText="1"/>
      <protection locked="0"/>
    </xf>
    <xf numFmtId="0" fontId="80" fillId="2" borderId="0" xfId="3" applyFont="1" applyFill="1"/>
    <xf numFmtId="0" fontId="121" fillId="0" borderId="0" xfId="0" applyFont="1"/>
    <xf numFmtId="0" fontId="44" fillId="0" borderId="45" xfId="0" applyFont="1" applyBorder="1" applyAlignment="1">
      <alignment horizontal="center" vertical="center"/>
    </xf>
    <xf numFmtId="0" fontId="44" fillId="0" borderId="0" xfId="0" applyFont="1" applyAlignment="1">
      <alignment horizontal="center" vertical="center"/>
    </xf>
    <xf numFmtId="0" fontId="47" fillId="5" borderId="6" xfId="3" applyFont="1" applyFill="1" applyBorder="1" applyAlignment="1">
      <alignment horizontal="center" vertical="center" wrapText="1"/>
    </xf>
    <xf numFmtId="0" fontId="47" fillId="5" borderId="8" xfId="3" applyFont="1" applyFill="1" applyBorder="1" applyAlignment="1">
      <alignment horizontal="center" vertical="center" wrapText="1"/>
    </xf>
    <xf numFmtId="0" fontId="47" fillId="5" borderId="5" xfId="3" applyFont="1" applyFill="1" applyBorder="1" applyAlignment="1">
      <alignment horizontal="center" vertical="center" wrapText="1"/>
    </xf>
    <xf numFmtId="0" fontId="47" fillId="5" borderId="7" xfId="3" applyFont="1" applyFill="1" applyBorder="1" applyAlignment="1">
      <alignment horizontal="center" vertical="center" wrapText="1"/>
    </xf>
    <xf numFmtId="0" fontId="47" fillId="5" borderId="4" xfId="3" applyFont="1" applyFill="1" applyBorder="1" applyAlignment="1">
      <alignment horizontal="center" vertical="center" wrapText="1"/>
    </xf>
    <xf numFmtId="0" fontId="47" fillId="5" borderId="3" xfId="3" applyFont="1" applyFill="1" applyBorder="1" applyAlignment="1">
      <alignment horizontal="center" vertical="center" wrapText="1"/>
    </xf>
    <xf numFmtId="0" fontId="47" fillId="5" borderId="23" xfId="3" applyFont="1" applyFill="1" applyBorder="1" applyAlignment="1">
      <alignment horizontal="center" vertical="center" wrapText="1"/>
    </xf>
    <xf numFmtId="0" fontId="47" fillId="5" borderId="24" xfId="3" applyFont="1" applyFill="1" applyBorder="1" applyAlignment="1">
      <alignment horizontal="center" vertical="center" wrapText="1"/>
    </xf>
    <xf numFmtId="0" fontId="47" fillId="5" borderId="25" xfId="3" applyFont="1" applyFill="1" applyBorder="1" applyAlignment="1">
      <alignment horizontal="center" vertical="center" wrapText="1"/>
    </xf>
    <xf numFmtId="0" fontId="47" fillId="5" borderId="13" xfId="3" applyFont="1" applyFill="1" applyBorder="1" applyAlignment="1">
      <alignment horizontal="center" vertical="center" wrapText="1"/>
    </xf>
    <xf numFmtId="0" fontId="47" fillId="5" borderId="11" xfId="3" applyFont="1" applyFill="1" applyBorder="1" applyAlignment="1">
      <alignment horizontal="center" vertical="center" wrapText="1"/>
    </xf>
    <xf numFmtId="0" fontId="47" fillId="5" borderId="14" xfId="3" applyFont="1" applyFill="1" applyBorder="1" applyAlignment="1">
      <alignment horizontal="center" vertical="center" wrapText="1"/>
    </xf>
    <xf numFmtId="0" fontId="55" fillId="0" borderId="0" xfId="0" applyFont="1" applyAlignment="1">
      <alignment horizontal="center" wrapText="1"/>
    </xf>
    <xf numFmtId="0" fontId="86" fillId="2" borderId="0" xfId="15" applyFont="1" applyFill="1" applyAlignment="1">
      <alignment horizontal="center"/>
    </xf>
    <xf numFmtId="0" fontId="65" fillId="2" borderId="0" xfId="15" applyFont="1" applyFill="1" applyAlignment="1">
      <alignment horizontal="center"/>
    </xf>
    <xf numFmtId="166" fontId="79" fillId="0" borderId="0" xfId="16" applyNumberFormat="1" applyFont="1" applyFill="1" applyBorder="1" applyAlignment="1">
      <alignment horizontal="center" vertical="center"/>
    </xf>
    <xf numFmtId="0" fontId="79" fillId="2" borderId="0" xfId="15" applyFont="1" applyFill="1" applyAlignment="1">
      <alignment horizontal="center"/>
    </xf>
    <xf numFmtId="166" fontId="79" fillId="0" borderId="0" xfId="16" applyNumberFormat="1" applyFont="1" applyFill="1" applyBorder="1" applyAlignment="1">
      <alignment horizontal="center"/>
    </xf>
    <xf numFmtId="0" fontId="85" fillId="2" borderId="0" xfId="15" applyFont="1" applyFill="1" applyAlignment="1">
      <alignment horizontal="center" vertical="center"/>
    </xf>
    <xf numFmtId="0" fontId="89" fillId="2" borderId="0" xfId="19" applyFont="1" applyFill="1" applyAlignment="1">
      <alignment horizontal="center" vertical="center" wrapText="1"/>
    </xf>
    <xf numFmtId="165" fontId="91" fillId="2" borderId="1" xfId="16" applyFont="1" applyFill="1" applyBorder="1" applyAlignment="1">
      <alignment horizontal="center" vertical="center" wrapText="1"/>
    </xf>
    <xf numFmtId="49" fontId="91" fillId="2" borderId="1" xfId="16" applyNumberFormat="1" applyFont="1" applyFill="1" applyBorder="1" applyAlignment="1">
      <alignment horizontal="center" vertical="center" wrapText="1"/>
    </xf>
    <xf numFmtId="164" fontId="39" fillId="2" borderId="1" xfId="19" applyNumberFormat="1" applyFont="1" applyFill="1" applyBorder="1" applyAlignment="1">
      <alignment horizontal="center" vertical="center" wrapText="1"/>
    </xf>
    <xf numFmtId="164" fontId="91" fillId="16" borderId="1" xfId="19" applyNumberFormat="1" applyFont="1" applyFill="1" applyBorder="1" applyAlignment="1">
      <alignment horizontal="center" vertical="center" wrapText="1"/>
    </xf>
    <xf numFmtId="164" fontId="91" fillId="2" borderId="1" xfId="19" applyNumberFormat="1" applyFont="1" applyFill="1" applyBorder="1" applyAlignment="1">
      <alignment horizontal="center" vertical="center" wrapText="1"/>
    </xf>
    <xf numFmtId="166" fontId="91" fillId="2" borderId="1" xfId="16" applyNumberFormat="1" applyFont="1" applyFill="1" applyBorder="1" applyAlignment="1">
      <alignment horizontal="center" vertical="center"/>
    </xf>
    <xf numFmtId="166" fontId="91" fillId="2" borderId="1" xfId="16" applyNumberFormat="1" applyFont="1" applyFill="1" applyBorder="1" applyAlignment="1">
      <alignment horizontal="center" vertical="center" wrapText="1"/>
    </xf>
    <xf numFmtId="165" fontId="39" fillId="2" borderId="1" xfId="16" applyFont="1" applyFill="1" applyBorder="1" applyAlignment="1">
      <alignment horizontal="center" vertical="center"/>
    </xf>
    <xf numFmtId="165" fontId="39" fillId="2" borderId="30" xfId="16" applyFont="1" applyFill="1" applyBorder="1" applyAlignment="1">
      <alignment horizontal="center" vertical="center" wrapText="1"/>
    </xf>
    <xf numFmtId="165" fontId="39" fillId="2" borderId="12" xfId="16" applyFont="1" applyFill="1" applyBorder="1" applyAlignment="1">
      <alignment horizontal="center" vertical="center" wrapText="1"/>
    </xf>
    <xf numFmtId="165" fontId="39" fillId="2" borderId="31" xfId="16" applyFont="1" applyFill="1" applyBorder="1" applyAlignment="1">
      <alignment horizontal="center" vertical="center" wrapText="1"/>
    </xf>
    <xf numFmtId="0" fontId="91" fillId="2" borderId="0" xfId="15" applyFont="1" applyFill="1" applyAlignment="1">
      <alignment horizontal="center"/>
    </xf>
    <xf numFmtId="166" fontId="91" fillId="0" borderId="1" xfId="16" applyNumberFormat="1" applyFont="1" applyFill="1" applyBorder="1" applyAlignment="1">
      <alignment horizontal="center" vertical="center" wrapText="1"/>
    </xf>
    <xf numFmtId="164" fontId="91" fillId="4" borderId="1" xfId="19" applyNumberFormat="1" applyFont="1" applyFill="1" applyBorder="1" applyAlignment="1">
      <alignment horizontal="center" vertical="center" wrapText="1"/>
    </xf>
    <xf numFmtId="0" fontId="13" fillId="2" borderId="0" xfId="3" applyFont="1" applyFill="1" applyAlignment="1">
      <alignment horizontal="center"/>
    </xf>
    <xf numFmtId="0" fontId="15" fillId="2" borderId="0" xfId="3" applyFont="1" applyFill="1" applyAlignment="1">
      <alignment horizontal="right" vertical="center"/>
    </xf>
    <xf numFmtId="0" fontId="11" fillId="2" borderId="0" xfId="3" applyFont="1" applyFill="1" applyAlignment="1">
      <alignment horizontal="center" vertical="center"/>
    </xf>
    <xf numFmtId="0" fontId="16" fillId="2" borderId="0" xfId="3" applyFont="1" applyFill="1" applyAlignment="1">
      <alignment horizontal="center" vertical="center"/>
    </xf>
    <xf numFmtId="0" fontId="13" fillId="2" borderId="0" xfId="3" applyFont="1" applyFill="1" applyAlignment="1">
      <alignment horizontal="center" vertical="center"/>
    </xf>
    <xf numFmtId="0" fontId="16" fillId="2" borderId="0" xfId="3" applyFont="1" applyFill="1" applyAlignment="1">
      <alignment horizontal="right"/>
    </xf>
    <xf numFmtId="0" fontId="34" fillId="2" borderId="0" xfId="3" applyFont="1" applyFill="1" applyAlignment="1">
      <alignment horizontal="left"/>
    </xf>
    <xf numFmtId="0" fontId="20" fillId="5" borderId="2" xfId="3" applyFont="1" applyFill="1" applyBorder="1" applyAlignment="1">
      <alignment horizontal="center"/>
    </xf>
    <xf numFmtId="0" fontId="35" fillId="2" borderId="0" xfId="3" applyFont="1" applyFill="1" applyAlignment="1">
      <alignment horizontal="left"/>
    </xf>
    <xf numFmtId="0" fontId="20" fillId="5" borderId="2" xfId="3" applyFont="1" applyFill="1" applyBorder="1" applyAlignment="1">
      <alignment horizontal="center" vertical="center" wrapText="1"/>
    </xf>
    <xf numFmtId="168" fontId="20" fillId="5" borderId="2" xfId="3" applyNumberFormat="1" applyFont="1" applyFill="1" applyBorder="1" applyAlignment="1">
      <alignment horizontal="center" vertical="center" wrapText="1"/>
    </xf>
    <xf numFmtId="0" fontId="20" fillId="5" borderId="6" xfId="3" applyFont="1" applyFill="1" applyBorder="1" applyAlignment="1">
      <alignment horizontal="center" vertical="center" wrapText="1"/>
    </xf>
    <xf numFmtId="0" fontId="20" fillId="5" borderId="5" xfId="3" applyFont="1" applyFill="1" applyBorder="1" applyAlignment="1">
      <alignment horizontal="center" vertical="center" wrapText="1"/>
    </xf>
    <xf numFmtId="0" fontId="20" fillId="5" borderId="8" xfId="3" applyFont="1" applyFill="1" applyBorder="1" applyAlignment="1">
      <alignment horizontal="right" vertical="center"/>
    </xf>
    <xf numFmtId="0" fontId="20" fillId="5" borderId="8" xfId="3" applyFont="1" applyFill="1" applyBorder="1" applyAlignment="1">
      <alignment horizontal="left" vertical="center"/>
    </xf>
    <xf numFmtId="0" fontId="20" fillId="5" borderId="7" xfId="3" applyFont="1" applyFill="1" applyBorder="1" applyAlignment="1">
      <alignment horizontal="center" vertical="center" wrapText="1"/>
    </xf>
    <xf numFmtId="0" fontId="20" fillId="5" borderId="4" xfId="3" applyFont="1" applyFill="1" applyBorder="1" applyAlignment="1">
      <alignment horizontal="center" vertical="center" wrapText="1"/>
    </xf>
    <xf numFmtId="0" fontId="20" fillId="5" borderId="3" xfId="3" applyFont="1" applyFill="1" applyBorder="1" applyAlignment="1">
      <alignment horizontal="center" vertical="center" wrapText="1"/>
    </xf>
    <xf numFmtId="0" fontId="12" fillId="2" borderId="0" xfId="3" applyFont="1" applyFill="1" applyAlignment="1">
      <alignment horizontal="center"/>
    </xf>
    <xf numFmtId="0" fontId="91" fillId="0" borderId="30" xfId="18" applyFont="1" applyBorder="1" applyAlignment="1">
      <alignment horizontal="center" vertical="center" wrapText="1"/>
    </xf>
    <xf numFmtId="0" fontId="91" fillId="0" borderId="12" xfId="18" applyFont="1" applyBorder="1" applyAlignment="1">
      <alignment horizontal="center" vertical="center" wrapText="1"/>
    </xf>
    <xf numFmtId="0" fontId="91" fillId="0" borderId="31" xfId="18" applyFont="1" applyBorder="1" applyAlignment="1">
      <alignment horizontal="center" vertical="center" wrapText="1"/>
    </xf>
    <xf numFmtId="0" fontId="91" fillId="0" borderId="1" xfId="18" applyFont="1" applyBorder="1" applyAlignment="1">
      <alignment horizontal="center" vertical="center" wrapText="1"/>
    </xf>
    <xf numFmtId="49" fontId="91" fillId="0" borderId="1" xfId="18" applyNumberFormat="1" applyFont="1" applyBorder="1" applyAlignment="1">
      <alignment horizontal="center" vertical="center" wrapText="1"/>
    </xf>
    <xf numFmtId="0" fontId="91" fillId="0" borderId="1" xfId="18" applyFont="1" applyBorder="1" applyAlignment="1">
      <alignment horizontal="center" vertical="center"/>
    </xf>
    <xf numFmtId="0" fontId="91" fillId="2" borderId="1" xfId="18" applyFont="1" applyFill="1" applyBorder="1" applyAlignment="1">
      <alignment horizontal="center" vertical="center"/>
    </xf>
    <xf numFmtId="1" fontId="39" fillId="0" borderId="1" xfId="18" applyNumberFormat="1" applyFont="1" applyBorder="1" applyAlignment="1">
      <alignment horizontal="center" vertical="center" wrapText="1"/>
    </xf>
    <xf numFmtId="166" fontId="91" fillId="0" borderId="1" xfId="16" applyNumberFormat="1" applyFont="1" applyBorder="1" applyAlignment="1">
      <alignment horizontal="center" vertical="center" wrapText="1"/>
    </xf>
    <xf numFmtId="167" fontId="11" fillId="2" borderId="7" xfId="13" applyNumberFormat="1" applyFont="1" applyFill="1" applyBorder="1" applyAlignment="1">
      <alignment horizontal="center" vertical="center" wrapText="1"/>
    </xf>
    <xf numFmtId="167" fontId="11" fillId="2" borderId="4" xfId="13" applyNumberFormat="1" applyFont="1" applyFill="1" applyBorder="1" applyAlignment="1">
      <alignment horizontal="center" vertical="center" wrapText="1"/>
    </xf>
    <xf numFmtId="167" fontId="11" fillId="2" borderId="3" xfId="13" applyNumberFormat="1" applyFont="1" applyFill="1" applyBorder="1" applyAlignment="1">
      <alignment horizontal="center" vertical="center" wrapText="1"/>
    </xf>
    <xf numFmtId="0" fontId="11" fillId="2" borderId="6" xfId="10" applyFont="1" applyFill="1" applyBorder="1" applyAlignment="1">
      <alignment horizontal="center" vertical="center"/>
    </xf>
    <xf numFmtId="0" fontId="11" fillId="2" borderId="8" xfId="10" applyFont="1" applyFill="1" applyBorder="1" applyAlignment="1">
      <alignment horizontal="center" vertical="center"/>
    </xf>
    <xf numFmtId="0" fontId="11" fillId="2" borderId="5" xfId="10" applyFont="1" applyFill="1" applyBorder="1" applyAlignment="1">
      <alignment horizontal="center" vertical="center"/>
    </xf>
    <xf numFmtId="164" fontId="66" fillId="2" borderId="0" xfId="13" applyNumberFormat="1" applyFont="1" applyFill="1" applyAlignment="1">
      <alignment horizontal="left" vertical="center" wrapText="1"/>
    </xf>
    <xf numFmtId="0" fontId="75" fillId="2" borderId="0" xfId="10" applyFont="1" applyFill="1" applyAlignment="1">
      <alignment horizontal="center" vertical="center" wrapText="1"/>
    </xf>
    <xf numFmtId="164" fontId="11" fillId="2" borderId="7" xfId="13" applyNumberFormat="1" applyFont="1" applyFill="1" applyBorder="1" applyAlignment="1">
      <alignment horizontal="center" vertical="center" wrapText="1"/>
    </xf>
    <xf numFmtId="164" fontId="11" fillId="2" borderId="4" xfId="13" applyNumberFormat="1" applyFont="1" applyFill="1" applyBorder="1" applyAlignment="1">
      <alignment horizontal="center" vertical="center" wrapText="1"/>
    </xf>
    <xf numFmtId="164" fontId="11" fillId="2" borderId="3" xfId="13" applyNumberFormat="1" applyFont="1" applyFill="1" applyBorder="1" applyAlignment="1">
      <alignment horizontal="center" vertical="center" wrapText="1"/>
    </xf>
    <xf numFmtId="0" fontId="11" fillId="2" borderId="7" xfId="13" applyFont="1" applyFill="1" applyBorder="1" applyAlignment="1">
      <alignment horizontal="center" vertical="center" wrapText="1"/>
    </xf>
    <xf numFmtId="0" fontId="11" fillId="2" borderId="3" xfId="13" applyFont="1" applyFill="1" applyBorder="1" applyAlignment="1">
      <alignment horizontal="center" vertical="center" wrapText="1"/>
    </xf>
    <xf numFmtId="0" fontId="11" fillId="2" borderId="6" xfId="15" applyFont="1" applyFill="1" applyBorder="1" applyAlignment="1">
      <alignment horizontal="left" vertical="center"/>
    </xf>
    <xf numFmtId="0" fontId="11" fillId="2" borderId="8" xfId="15" applyFont="1" applyFill="1" applyBorder="1" applyAlignment="1">
      <alignment horizontal="left" vertical="center"/>
    </xf>
    <xf numFmtId="0" fontId="11" fillId="2" borderId="5" xfId="15" applyFont="1" applyFill="1" applyBorder="1" applyAlignment="1">
      <alignment horizontal="left" vertical="center"/>
    </xf>
    <xf numFmtId="0" fontId="11" fillId="2" borderId="4" xfId="13" applyFont="1" applyFill="1" applyBorder="1" applyAlignment="1">
      <alignment horizontal="center" vertical="center" wrapText="1"/>
    </xf>
    <xf numFmtId="164" fontId="11" fillId="2" borderId="6" xfId="13" applyNumberFormat="1" applyFont="1" applyFill="1" applyBorder="1" applyAlignment="1">
      <alignment horizontal="center" vertical="center"/>
    </xf>
    <xf numFmtId="164" fontId="11" fillId="2" borderId="8" xfId="13" applyNumberFormat="1" applyFont="1" applyFill="1" applyBorder="1" applyAlignment="1">
      <alignment horizontal="center" vertical="center"/>
    </xf>
    <xf numFmtId="164" fontId="11" fillId="2" borderId="5" xfId="13" applyNumberFormat="1" applyFont="1" applyFill="1" applyBorder="1" applyAlignment="1">
      <alignment horizontal="center" vertical="center"/>
    </xf>
    <xf numFmtId="166" fontId="11" fillId="2" borderId="7" xfId="13" applyNumberFormat="1" applyFont="1" applyFill="1" applyBorder="1" applyAlignment="1">
      <alignment horizontal="center" vertical="center" wrapText="1"/>
    </xf>
    <xf numFmtId="166" fontId="11" fillId="2" borderId="4" xfId="13" applyNumberFormat="1" applyFont="1" applyFill="1" applyBorder="1" applyAlignment="1">
      <alignment horizontal="center" vertical="center" wrapText="1"/>
    </xf>
    <xf numFmtId="166" fontId="11" fillId="2" borderId="3" xfId="13" applyNumberFormat="1" applyFont="1" applyFill="1" applyBorder="1" applyAlignment="1">
      <alignment horizontal="center" vertical="center" wrapText="1"/>
    </xf>
    <xf numFmtId="0" fontId="11" fillId="2" borderId="7" xfId="10" applyFont="1" applyFill="1" applyBorder="1" applyAlignment="1">
      <alignment horizontal="center" vertical="center"/>
    </xf>
    <xf numFmtId="0" fontId="11" fillId="2" borderId="4" xfId="10" applyFont="1" applyFill="1" applyBorder="1" applyAlignment="1">
      <alignment horizontal="center" vertical="center"/>
    </xf>
    <xf numFmtId="0" fontId="11" fillId="2" borderId="3" xfId="10" applyFont="1" applyFill="1" applyBorder="1" applyAlignment="1">
      <alignment horizontal="center" vertical="center"/>
    </xf>
    <xf numFmtId="0" fontId="11" fillId="2" borderId="7" xfId="10" applyFont="1" applyFill="1" applyBorder="1" applyAlignment="1">
      <alignment horizontal="center" vertical="center" wrapText="1"/>
    </xf>
    <xf numFmtId="0" fontId="11" fillId="2" borderId="4" xfId="10" applyFont="1" applyFill="1" applyBorder="1" applyAlignment="1">
      <alignment horizontal="center" vertical="center" wrapText="1"/>
    </xf>
    <xf numFmtId="0" fontId="11" fillId="2" borderId="3" xfId="10" applyFont="1" applyFill="1" applyBorder="1" applyAlignment="1">
      <alignment horizontal="center" vertical="center" wrapText="1"/>
    </xf>
    <xf numFmtId="0" fontId="11" fillId="2" borderId="13" xfId="13" applyFont="1" applyFill="1" applyBorder="1" applyAlignment="1">
      <alignment horizontal="center" vertical="center" wrapText="1"/>
    </xf>
    <xf numFmtId="0" fontId="11" fillId="2" borderId="16" xfId="13" applyFont="1" applyFill="1" applyBorder="1" applyAlignment="1">
      <alignment horizontal="center" vertical="center" wrapText="1"/>
    </xf>
    <xf numFmtId="0" fontId="11" fillId="2" borderId="14" xfId="13" applyFont="1" applyFill="1" applyBorder="1" applyAlignment="1">
      <alignment horizontal="center" vertical="center" wrapText="1"/>
    </xf>
    <xf numFmtId="0" fontId="11" fillId="2" borderId="17" xfId="13" applyFont="1" applyFill="1" applyBorder="1" applyAlignment="1">
      <alignment horizontal="center" vertical="center" wrapText="1"/>
    </xf>
    <xf numFmtId="0" fontId="12" fillId="2" borderId="0" xfId="10" applyFont="1" applyFill="1" applyAlignment="1">
      <alignment horizontal="center" vertical="center"/>
    </xf>
    <xf numFmtId="0" fontId="13" fillId="2" borderId="0" xfId="10" applyFont="1" applyFill="1" applyAlignment="1">
      <alignment horizontal="center"/>
    </xf>
    <xf numFmtId="0" fontId="14" fillId="2" borderId="0" xfId="10" applyFont="1" applyFill="1" applyAlignment="1">
      <alignment horizontal="center" vertical="center"/>
    </xf>
    <xf numFmtId="0" fontId="16" fillId="2" borderId="0" xfId="10" applyFont="1" applyFill="1" applyAlignment="1">
      <alignment horizontal="center" vertical="center" wrapText="1"/>
    </xf>
    <xf numFmtId="0" fontId="11" fillId="2" borderId="7" xfId="12" applyFont="1" applyFill="1" applyBorder="1" applyAlignment="1">
      <alignment horizontal="center" vertical="center" wrapText="1"/>
    </xf>
    <xf numFmtId="0" fontId="11" fillId="2" borderId="4" xfId="12" applyFont="1" applyFill="1" applyBorder="1" applyAlignment="1">
      <alignment horizontal="center" vertical="center" wrapText="1"/>
    </xf>
    <xf numFmtId="0" fontId="11" fillId="2" borderId="3" xfId="12" applyFont="1" applyFill="1" applyBorder="1" applyAlignment="1">
      <alignment horizontal="center" vertical="center" wrapText="1"/>
    </xf>
    <xf numFmtId="164" fontId="99" fillId="2" borderId="0" xfId="29" applyNumberFormat="1" applyFont="1" applyFill="1" applyAlignment="1">
      <alignment horizontal="center" vertical="center" wrapText="1"/>
    </xf>
    <xf numFmtId="49" fontId="99" fillId="2" borderId="0" xfId="29" applyNumberFormat="1" applyFont="1" applyFill="1" applyAlignment="1">
      <alignment horizontal="center" vertical="center" wrapText="1"/>
    </xf>
    <xf numFmtId="0" fontId="65" fillId="2" borderId="0" xfId="19" applyFont="1" applyFill="1" applyAlignment="1">
      <alignment horizontal="center" vertical="center"/>
    </xf>
    <xf numFmtId="0" fontId="79" fillId="2" borderId="0" xfId="19" applyFont="1" applyFill="1" applyAlignment="1">
      <alignment horizontal="center" vertical="top"/>
    </xf>
    <xf numFmtId="166" fontId="79" fillId="0" borderId="0" xfId="16" applyNumberFormat="1" applyFont="1" applyFill="1" applyBorder="1" applyAlignment="1">
      <alignment horizontal="center" vertical="top"/>
    </xf>
    <xf numFmtId="0" fontId="11" fillId="2" borderId="1" xfId="13" applyFont="1" applyFill="1" applyBorder="1" applyAlignment="1">
      <alignment horizontal="center" vertical="center" wrapText="1"/>
    </xf>
    <xf numFmtId="0" fontId="11" fillId="2" borderId="35" xfId="29" applyFont="1" applyFill="1" applyBorder="1" applyAlignment="1">
      <alignment horizontal="center" vertical="center"/>
    </xf>
    <xf numFmtId="0" fontId="11" fillId="2" borderId="9" xfId="29" applyFont="1" applyFill="1" applyBorder="1" applyAlignment="1">
      <alignment horizontal="center" vertical="center"/>
    </xf>
    <xf numFmtId="0" fontId="11" fillId="2" borderId="10" xfId="29" applyFont="1" applyFill="1" applyBorder="1" applyAlignment="1">
      <alignment horizontal="center" vertical="center"/>
    </xf>
    <xf numFmtId="164" fontId="11" fillId="2" borderId="1" xfId="13" applyNumberFormat="1" applyFont="1" applyFill="1" applyBorder="1" applyAlignment="1">
      <alignment horizontal="center" vertical="center" wrapText="1"/>
    </xf>
    <xf numFmtId="164" fontId="11" fillId="2" borderId="36" xfId="13" applyNumberFormat="1" applyFont="1" applyFill="1" applyBorder="1" applyAlignment="1">
      <alignment horizontal="center" vertical="center"/>
    </xf>
    <xf numFmtId="164" fontId="11" fillId="2" borderId="37" xfId="13" applyNumberFormat="1" applyFont="1" applyFill="1" applyBorder="1" applyAlignment="1">
      <alignment horizontal="center" vertical="center"/>
    </xf>
    <xf numFmtId="164" fontId="11" fillId="2" borderId="39" xfId="13" applyNumberFormat="1" applyFont="1" applyFill="1" applyBorder="1" applyAlignment="1">
      <alignment horizontal="center" vertical="center"/>
    </xf>
    <xf numFmtId="164" fontId="11" fillId="2" borderId="40" xfId="13" applyNumberFormat="1" applyFont="1" applyFill="1" applyBorder="1" applyAlignment="1">
      <alignment horizontal="center" vertical="center"/>
    </xf>
    <xf numFmtId="166" fontId="11" fillId="2" borderId="1" xfId="13" applyNumberFormat="1" applyFont="1" applyFill="1" applyBorder="1" applyAlignment="1">
      <alignment horizontal="center" vertical="center" wrapText="1"/>
    </xf>
    <xf numFmtId="0" fontId="11" fillId="2" borderId="1" xfId="29" applyFont="1" applyFill="1" applyBorder="1" applyAlignment="1">
      <alignment horizontal="center" vertical="center" wrapText="1"/>
    </xf>
    <xf numFmtId="0" fontId="75" fillId="2" borderId="0" xfId="29" applyFont="1" applyFill="1" applyAlignment="1">
      <alignment horizontal="center" vertical="center" wrapText="1"/>
    </xf>
    <xf numFmtId="164" fontId="11" fillId="2" borderId="38" xfId="13" applyNumberFormat="1" applyFont="1" applyFill="1" applyBorder="1" applyAlignment="1">
      <alignment horizontal="center" vertical="center"/>
    </xf>
    <xf numFmtId="164" fontId="11" fillId="2" borderId="41" xfId="13" applyNumberFormat="1" applyFont="1" applyFill="1" applyBorder="1" applyAlignment="1">
      <alignment horizontal="center" vertical="center"/>
    </xf>
    <xf numFmtId="164" fontId="11" fillId="2" borderId="30" xfId="13" applyNumberFormat="1" applyFont="1" applyFill="1" applyBorder="1" applyAlignment="1">
      <alignment horizontal="center" vertical="center" wrapText="1"/>
    </xf>
    <xf numFmtId="164" fontId="11" fillId="2" borderId="12" xfId="13" applyNumberFormat="1" applyFont="1" applyFill="1" applyBorder="1" applyAlignment="1">
      <alignment horizontal="center" vertical="center" wrapText="1"/>
    </xf>
    <xf numFmtId="164" fontId="11" fillId="2" borderId="31" xfId="13" applyNumberFormat="1" applyFont="1" applyFill="1" applyBorder="1" applyAlignment="1">
      <alignment horizontal="center" vertical="center" wrapText="1"/>
    </xf>
    <xf numFmtId="0" fontId="11" fillId="2" borderId="1" xfId="12" applyFont="1" applyFill="1" applyBorder="1" applyAlignment="1">
      <alignment horizontal="center" vertical="center" wrapText="1"/>
    </xf>
    <xf numFmtId="0" fontId="11" fillId="2" borderId="1" xfId="29" applyFont="1" applyFill="1" applyBorder="1" applyAlignment="1">
      <alignment horizontal="center" vertical="center"/>
    </xf>
    <xf numFmtId="164" fontId="11" fillId="2" borderId="35" xfId="13" applyNumberFormat="1" applyFont="1" applyFill="1" applyBorder="1" applyAlignment="1">
      <alignment horizontal="center" vertical="center" wrapText="1"/>
    </xf>
    <xf numFmtId="0" fontId="13" fillId="2" borderId="0" xfId="29" applyFont="1" applyFill="1" applyAlignment="1">
      <alignment horizontal="center"/>
    </xf>
    <xf numFmtId="0" fontId="85" fillId="2" borderId="0" xfId="29" applyFont="1" applyFill="1" applyAlignment="1">
      <alignment horizontal="center" vertical="center" wrapText="1"/>
    </xf>
    <xf numFmtId="0" fontId="20" fillId="5" borderId="7" xfId="12" applyFont="1" applyFill="1" applyBorder="1" applyAlignment="1">
      <alignment horizontal="center" vertical="center" wrapText="1"/>
    </xf>
    <xf numFmtId="0" fontId="20" fillId="5" borderId="4" xfId="12" applyFont="1" applyFill="1" applyBorder="1" applyAlignment="1">
      <alignment horizontal="center" vertical="center" wrapText="1"/>
    </xf>
    <xf numFmtId="0" fontId="20" fillId="5" borderId="3" xfId="12" applyFont="1" applyFill="1" applyBorder="1" applyAlignment="1">
      <alignment horizontal="center" vertical="center" wrapText="1"/>
    </xf>
    <xf numFmtId="164" fontId="20" fillId="5" borderId="2" xfId="13" applyNumberFormat="1" applyFont="1" applyFill="1" applyBorder="1" applyAlignment="1">
      <alignment horizontal="center" vertical="center" wrapText="1"/>
    </xf>
    <xf numFmtId="0" fontId="109" fillId="2" borderId="0" xfId="29" applyFont="1" applyFill="1" applyAlignment="1">
      <alignment horizontal="center" vertical="center" wrapText="1"/>
    </xf>
    <xf numFmtId="164" fontId="20" fillId="5" borderId="2" xfId="13" applyNumberFormat="1" applyFont="1" applyFill="1" applyBorder="1" applyAlignment="1">
      <alignment horizontal="center" vertical="center"/>
    </xf>
    <xf numFmtId="166" fontId="20" fillId="5" borderId="2" xfId="13" applyNumberFormat="1" applyFont="1" applyFill="1" applyBorder="1" applyAlignment="1">
      <alignment horizontal="center" vertical="center" wrapText="1"/>
    </xf>
    <xf numFmtId="0" fontId="20" fillId="5" borderId="2" xfId="29" applyFont="1" applyFill="1" applyBorder="1" applyAlignment="1">
      <alignment horizontal="center" vertical="center"/>
    </xf>
    <xf numFmtId="0" fontId="20" fillId="5" borderId="7" xfId="29" applyFont="1" applyFill="1" applyBorder="1" applyAlignment="1">
      <alignment horizontal="center" vertical="center" wrapText="1"/>
    </xf>
    <xf numFmtId="0" fontId="20" fillId="5" borderId="4" xfId="29" applyFont="1" applyFill="1" applyBorder="1" applyAlignment="1">
      <alignment horizontal="center" vertical="center" wrapText="1"/>
    </xf>
    <xf numFmtId="0" fontId="20" fillId="5" borderId="3" xfId="29" applyFont="1" applyFill="1" applyBorder="1" applyAlignment="1">
      <alignment horizontal="center" vertical="center" wrapText="1"/>
    </xf>
    <xf numFmtId="0" fontId="11" fillId="2" borderId="6" xfId="29" applyFont="1" applyFill="1" applyBorder="1" applyAlignment="1">
      <alignment horizontal="left" vertical="center" wrapText="1"/>
    </xf>
    <xf numFmtId="0" fontId="11" fillId="2" borderId="8" xfId="29" applyFont="1" applyFill="1" applyBorder="1" applyAlignment="1">
      <alignment horizontal="left" vertical="center" wrapText="1"/>
    </xf>
    <xf numFmtId="0" fontId="11" fillId="2" borderId="5" xfId="29" applyFont="1" applyFill="1" applyBorder="1" applyAlignment="1">
      <alignment horizontal="left" vertical="center" wrapText="1"/>
    </xf>
    <xf numFmtId="0" fontId="20" fillId="5" borderId="6" xfId="29" applyFont="1" applyFill="1" applyBorder="1" applyAlignment="1">
      <alignment horizontal="left" vertical="center"/>
    </xf>
    <xf numFmtId="0" fontId="20" fillId="5" borderId="8" xfId="29" applyFont="1" applyFill="1" applyBorder="1" applyAlignment="1">
      <alignment horizontal="left" vertical="center"/>
    </xf>
    <xf numFmtId="0" fontId="20" fillId="5" borderId="5" xfId="29" applyFont="1" applyFill="1" applyBorder="1" applyAlignment="1">
      <alignment horizontal="left" vertical="center"/>
    </xf>
    <xf numFmtId="0" fontId="11" fillId="2" borderId="0" xfId="29" applyFont="1" applyFill="1" applyAlignment="1">
      <alignment horizontal="center" vertical="center" wrapText="1"/>
    </xf>
    <xf numFmtId="0" fontId="14" fillId="2" borderId="0" xfId="29" applyFont="1" applyFill="1" applyAlignment="1">
      <alignment horizontal="center" vertical="center" wrapText="1"/>
    </xf>
  </cellXfs>
  <cellStyles count="36">
    <cellStyle name="background-color:White; color:Black; font:font-family:Times New Roman; font-size:10pt; font-weight:bold; font-style:normal; ; font-family:Times New Roman; font-size:10pt; font-weight:bold; font-style:normal; border-collapse:separate; border-left:Black 1px" xfId="34" xr:uid="{00000000-0005-0000-0000-000000000000}"/>
    <cellStyle name="background-color:White; color:Black; font:font-family:Times New Roman; font-size:10pt; font-weight:normal; font-style:normal; ; font-family:Times New Roman; font-size:10pt; font-weight:normal; font-style:normal; border-collapse:separate; border-left:Black" xfId="22" xr:uid="{00000000-0005-0000-0000-000001000000}"/>
    <cellStyle name="ColLevel_1" xfId="1" builtinId="2" iLevel="0"/>
    <cellStyle name="ColLevel_2" xfId="2" builtinId="2" iLevel="1"/>
    <cellStyle name="Comma [0]" xfId="8" builtinId="6"/>
    <cellStyle name="Comma 10" xfId="12" xr:uid="{00000000-0005-0000-0000-000005000000}"/>
    <cellStyle name="Comma 2" xfId="5" xr:uid="{00000000-0005-0000-0000-000006000000}"/>
    <cellStyle name="Comma 3" xfId="6" xr:uid="{00000000-0005-0000-0000-000007000000}"/>
    <cellStyle name="Comma 4" xfId="14" xr:uid="{00000000-0005-0000-0000-000008000000}"/>
    <cellStyle name="Comma 5" xfId="16" xr:uid="{00000000-0005-0000-0000-000009000000}"/>
    <cellStyle name="Comma 6" xfId="31" xr:uid="{00000000-0005-0000-0000-00000A000000}"/>
    <cellStyle name="Comma 6 2" xfId="11" xr:uid="{00000000-0005-0000-0000-00000B000000}"/>
    <cellStyle name="Comma 6 2 2" xfId="32" xr:uid="{00000000-0005-0000-0000-00000C000000}"/>
    <cellStyle name="Hyperlink" xfId="33" builtinId="8"/>
    <cellStyle name="Normal" xfId="0" builtinId="0"/>
    <cellStyle name="Normal 10" xfId="19" xr:uid="{00000000-0005-0000-0000-00000F000000}"/>
    <cellStyle name="Normal 10 3" xfId="21" xr:uid="{00000000-0005-0000-0000-000010000000}"/>
    <cellStyle name="Normal 13" xfId="35" xr:uid="{7438F4D9-7995-46B7-9D26-BD9FB458F462}"/>
    <cellStyle name="Normal 18" xfId="24" xr:uid="{00000000-0005-0000-0000-000011000000}"/>
    <cellStyle name="Normal 19 2" xfId="20" xr:uid="{00000000-0005-0000-0000-000012000000}"/>
    <cellStyle name="Normal 2" xfId="3" xr:uid="{00000000-0005-0000-0000-000013000000}"/>
    <cellStyle name="Normal 2 2" xfId="15" xr:uid="{00000000-0005-0000-0000-000014000000}"/>
    <cellStyle name="Normal 2 2 2" xfId="27" xr:uid="{00000000-0005-0000-0000-000015000000}"/>
    <cellStyle name="Normal 2 2 2 2" xfId="17" xr:uid="{00000000-0005-0000-0000-000016000000}"/>
    <cellStyle name="Normal 2 2 2 2 2" xfId="25" xr:uid="{00000000-0005-0000-0000-000017000000}"/>
    <cellStyle name="Normal 2 2 3" xfId="29" xr:uid="{00000000-0005-0000-0000-000018000000}"/>
    <cellStyle name="Normal 2 4 2 2" xfId="28" xr:uid="{00000000-0005-0000-0000-000019000000}"/>
    <cellStyle name="Normal 24" xfId="13" xr:uid="{00000000-0005-0000-0000-00001A000000}"/>
    <cellStyle name="Normal 3" xfId="7" xr:uid="{00000000-0005-0000-0000-00001B000000}"/>
    <cellStyle name="Normal 3 2" xfId="26" xr:uid="{00000000-0005-0000-0000-00001C000000}"/>
    <cellStyle name="Normal 3 2 2" xfId="30" xr:uid="{00000000-0005-0000-0000-00001D000000}"/>
    <cellStyle name="Normal 4" xfId="10" xr:uid="{00000000-0005-0000-0000-00001E000000}"/>
    <cellStyle name="Normal 5" xfId="18" xr:uid="{00000000-0005-0000-0000-00001F000000}"/>
    <cellStyle name="Normal 5 2" xfId="23" xr:uid="{00000000-0005-0000-0000-000020000000}"/>
    <cellStyle name="Normal_QTV DIEN MB DZ110kv-HAI PHONG" xfId="4" xr:uid="{00000000-0005-0000-0000-000021000000}"/>
    <cellStyle name="Percent" xfId="9" builtinId="5"/>
  </cellStyles>
  <dxfs count="21">
    <dxf>
      <font>
        <color rgb="FF9C0006"/>
      </font>
    </dxf>
    <dxf>
      <font>
        <b/>
        <i val="0"/>
        <color rgb="FFFF0000"/>
      </font>
    </dxf>
    <dxf>
      <fill>
        <patternFill>
          <bgColor theme="9" tint="0.79998168889431442"/>
        </patternFill>
      </fill>
    </dxf>
    <dxf>
      <font>
        <color auto="1"/>
      </font>
      <fill>
        <patternFill>
          <bgColor theme="0" tint="-0.14996795556505021"/>
        </patternFill>
      </fill>
    </dxf>
    <dxf>
      <font>
        <color theme="0"/>
      </font>
      <fill>
        <patternFill patternType="lightDown">
          <bgColor auto="1"/>
        </patternFill>
      </fill>
    </dxf>
    <dxf>
      <font>
        <color rgb="FF9C0006"/>
      </font>
    </dxf>
    <dxf>
      <font>
        <color rgb="FF9C0006"/>
      </font>
      <fill>
        <patternFill>
          <bgColor rgb="FFFFC7CE"/>
        </patternFill>
      </fill>
    </dxf>
    <dxf>
      <font>
        <color theme="0"/>
      </font>
      <fill>
        <patternFill patternType="lightDown">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C6E0B4"/>
          <bgColor rgb="FF000000"/>
        </patternFill>
      </fill>
    </dxf>
    <dxf>
      <fill>
        <patternFill patternType="solid">
          <fgColor rgb="FFFFFF00"/>
          <bgColor rgb="FF000000"/>
        </patternFill>
      </fill>
    </dxf>
  </dxfs>
  <tableStyles count="0" defaultTableStyle="TableStyleMedium2" defaultPivotStyle="PivotStyleLight16"/>
  <colors>
    <mruColors>
      <color rgb="FF8217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microsoft.com/office/2007/relationships/slicerCache" Target="slicerCaches/slicerCach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t>Tỷ lệ nguồn CPNC đã sử dụng</a:t>
            </a: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1"/>
          <c:order val="0"/>
          <c:tx>
            <c:strRef>
              <c:f>'3.Báo cáo'!$E$9</c:f>
              <c:strCache>
                <c:ptCount val="1"/>
                <c:pt idx="0">
                  <c:v>Nguồn đã phân bổ</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'3.Báo cáo'!$B$10:$B$13</c:f>
              <c:strCache>
                <c:ptCount val="4"/>
                <c:pt idx="0">
                  <c:v>Nhiệm vụ 1 (KHCN)</c:v>
                </c:pt>
                <c:pt idx="1">
                  <c:v>Nhiệm vụ 2 (SXKD)</c:v>
                </c:pt>
                <c:pt idx="2">
                  <c:v>Nhiệm vụ 2 (Bán hàng)</c:v>
                </c:pt>
                <c:pt idx="3">
                  <c:v>Nhiệm vụ 3 (ĐTPT)</c:v>
                </c:pt>
              </c:strCache>
            </c:strRef>
          </c:cat>
          <c:val>
            <c:numRef>
              <c:f>'3.Báo cáo'!$E$10:$E$13</c:f>
              <c:numCache>
                <c:formatCode>_(* #,##0_);_(* \(#,##0\);_(* "-"_);_(@_)</c:formatCode>
                <c:ptCount val="4"/>
                <c:pt idx="0">
                  <c:v>11000</c:v>
                </c:pt>
                <c:pt idx="1">
                  <c:v>8000</c:v>
                </c:pt>
                <c:pt idx="2">
                  <c:v>1000</c:v>
                </c:pt>
                <c:pt idx="3">
                  <c:v>22000</c:v>
                </c:pt>
              </c:numCache>
            </c:numRef>
          </c:val>
          <c:extLst>
            <c:ext xmlns:c16="http://schemas.microsoft.com/office/drawing/2014/chart" uri="{C3380CC4-5D6E-409C-BE32-E72D297353CC}">
              <c16:uniqueId val="{00000001-83EA-1740-90EF-FED3CF941011}"/>
            </c:ext>
          </c:extLst>
        </c:ser>
        <c:ser>
          <c:idx val="2"/>
          <c:order val="1"/>
          <c:tx>
            <c:strRef>
              <c:f>'3.Báo cáo'!$F$9</c:f>
              <c:strCache>
                <c:ptCount val="1"/>
                <c:pt idx="0">
                  <c:v>Nguồn cần để phân bổ 6 tháng/Năm</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'3.Báo cáo'!$B$10:$B$13</c:f>
              <c:strCache>
                <c:ptCount val="4"/>
                <c:pt idx="0">
                  <c:v>Nhiệm vụ 1 (KHCN)</c:v>
                </c:pt>
                <c:pt idx="1">
                  <c:v>Nhiệm vụ 2 (SXKD)</c:v>
                </c:pt>
                <c:pt idx="2">
                  <c:v>Nhiệm vụ 2 (Bán hàng)</c:v>
                </c:pt>
                <c:pt idx="3">
                  <c:v>Nhiệm vụ 3 (ĐTPT)</c:v>
                </c:pt>
              </c:strCache>
            </c:strRef>
          </c:cat>
          <c:val>
            <c:numRef>
              <c:f>'3.Báo cáo'!$F$10:$F$13</c:f>
              <c:numCache>
                <c:formatCode>_(* #,##0_);_(* \(#,##0\);_(* "-"_);_(@_)</c:formatCode>
                <c:ptCount val="4"/>
                <c:pt idx="0">
                  <c:v>1000</c:v>
                </c:pt>
                <c:pt idx="1">
                  <c:v>1500</c:v>
                </c:pt>
                <c:pt idx="2">
                  <c:v>200</c:v>
                </c:pt>
                <c:pt idx="3">
                  <c:v>3000</c:v>
                </c:pt>
              </c:numCache>
            </c:numRef>
          </c:val>
          <c:extLst>
            <c:ext xmlns:c16="http://schemas.microsoft.com/office/drawing/2014/chart" uri="{C3380CC4-5D6E-409C-BE32-E72D297353CC}">
              <c16:uniqueId val="{00000002-83EA-1740-90EF-FED3CF941011}"/>
            </c:ext>
          </c:extLst>
        </c:ser>
        <c:ser>
          <c:idx val="0"/>
          <c:order val="2"/>
          <c:tx>
            <c:strRef>
              <c:f>'3.Báo cáo'!$G$9</c:f>
              <c:strCache>
                <c:ptCount val="1"/>
                <c:pt idx="0">
                  <c:v>Nguồn còn lại</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'3.Báo cáo'!$B$10:$B$13</c:f>
              <c:strCache>
                <c:ptCount val="4"/>
                <c:pt idx="0">
                  <c:v>Nhiệm vụ 1 (KHCN)</c:v>
                </c:pt>
                <c:pt idx="1">
                  <c:v>Nhiệm vụ 2 (SXKD)</c:v>
                </c:pt>
                <c:pt idx="2">
                  <c:v>Nhiệm vụ 2 (Bán hàng)</c:v>
                </c:pt>
                <c:pt idx="3">
                  <c:v>Nhiệm vụ 3 (ĐTPT)</c:v>
                </c:pt>
              </c:strCache>
            </c:strRef>
          </c:cat>
          <c:val>
            <c:numRef>
              <c:f>'3.Báo cáo'!$G$10:$G$13</c:f>
              <c:numCache>
                <c:formatCode>_(* #,##0_);_(* \(#,##0\);_(* "-"_);_(@_)</c:formatCode>
                <c:ptCount val="4"/>
                <c:pt idx="0">
                  <c:v>-2000</c:v>
                </c:pt>
                <c:pt idx="1">
                  <c:v>10500</c:v>
                </c:pt>
                <c:pt idx="2">
                  <c:v>1800</c:v>
                </c:pt>
                <c:pt idx="3">
                  <c:v>5000</c:v>
                </c:pt>
              </c:numCache>
            </c:numRef>
          </c:val>
          <c:extLst>
            <c:ext xmlns:c16="http://schemas.microsoft.com/office/drawing/2014/chart" uri="{C3380CC4-5D6E-409C-BE32-E72D297353CC}">
              <c16:uniqueId val="{00000002-BF85-4D30-9214-17D31D6D3A45}"/>
            </c:ext>
          </c:extLst>
        </c:ser>
        <c:dLbls>
          <c:dLblPos val="ctr"/>
          <c:showLegendKey val="0"/>
          <c:showVal val="1"/>
          <c:showCatName val="0"/>
          <c:showSerName val="0"/>
          <c:showPercent val="0"/>
          <c:showBubbleSize val="0"/>
        </c:dLbls>
        <c:gapWidth val="79"/>
        <c:overlap val="100"/>
        <c:axId val="1126408896"/>
        <c:axId val="1314199520"/>
      </c:barChart>
      <c:catAx>
        <c:axId val="112640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14199520"/>
        <c:crosses val="autoZero"/>
        <c:auto val="1"/>
        <c:lblAlgn val="ctr"/>
        <c:lblOffset val="100"/>
        <c:noMultiLvlLbl val="0"/>
      </c:catAx>
      <c:valAx>
        <c:axId val="1314199520"/>
        <c:scaling>
          <c:orientation val="minMax"/>
        </c:scaling>
        <c:delete val="1"/>
        <c:axPos val="b"/>
        <c:numFmt formatCode="0%" sourceLinked="1"/>
        <c:majorTickMark val="none"/>
        <c:minorTickMark val="none"/>
        <c:tickLblPos val="nextTo"/>
        <c:crossAx val="1126408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TỶ LỆ</a:t>
            </a:r>
            <a:r>
              <a:rPr lang="en-US" b="1" baseline="0"/>
              <a:t> PBNC HÀNG THÁNG CỦA ĐƠN VỊ...</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'3.Báo cáo'!$C$20:$G$20</c:f>
              <c:numCache>
                <c:formatCode>mm/yyyy</c:formatCode>
                <c:ptCount val="5"/>
                <c:pt idx="0">
                  <c:v>45658</c:v>
                </c:pt>
                <c:pt idx="1">
                  <c:v>45689</c:v>
                </c:pt>
                <c:pt idx="2">
                  <c:v>45717</c:v>
                </c:pt>
                <c:pt idx="3">
                  <c:v>45748</c:v>
                </c:pt>
                <c:pt idx="4">
                  <c:v>45778</c:v>
                </c:pt>
              </c:numCache>
            </c:numRef>
          </c:cat>
          <c:val>
            <c:numRef>
              <c:f>'3.Báo cáo'!$C$21:$G$21</c:f>
              <c:numCache>
                <c:formatCode>0%</c:formatCode>
                <c:ptCount val="5"/>
                <c:pt idx="0">
                  <c:v>0.58012516946152448</c:v>
                </c:pt>
                <c:pt idx="1">
                  <c:v>0.6395034020877951</c:v>
                </c:pt>
                <c:pt idx="2">
                  <c:v>0.66823368330917787</c:v>
                </c:pt>
                <c:pt idx="3">
                  <c:v>0.70030637845165589</c:v>
                </c:pt>
                <c:pt idx="4">
                  <c:v>0.75341836312589827</c:v>
                </c:pt>
              </c:numCache>
            </c:numRef>
          </c:val>
          <c:extLst>
            <c:ext xmlns:c16="http://schemas.microsoft.com/office/drawing/2014/chart" uri="{C3380CC4-5D6E-409C-BE32-E72D297353CC}">
              <c16:uniqueId val="{00000000-7544-ED44-8452-9504368E171F}"/>
            </c:ext>
          </c:extLst>
        </c:ser>
        <c:dLbls>
          <c:dLblPos val="outEnd"/>
          <c:showLegendKey val="0"/>
          <c:showVal val="1"/>
          <c:showCatName val="0"/>
          <c:showSerName val="0"/>
          <c:showPercent val="0"/>
          <c:showBubbleSize val="0"/>
        </c:dLbls>
        <c:gapWidth val="219"/>
        <c:overlap val="-27"/>
        <c:axId val="882143680"/>
        <c:axId val="882340128"/>
      </c:barChart>
      <c:dateAx>
        <c:axId val="882143680"/>
        <c:scaling>
          <c:orientation val="minMax"/>
        </c:scaling>
        <c:delete val="0"/>
        <c:axPos val="b"/>
        <c:numFmt formatCode="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340128"/>
        <c:crosses val="autoZero"/>
        <c:auto val="1"/>
        <c:lblOffset val="100"/>
        <c:baseTimeUnit val="months"/>
      </c:dateAx>
      <c:valAx>
        <c:axId val="882340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4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a:t>TỶ LỆ</a:t>
            </a:r>
            <a:r>
              <a:rPr lang="en-US" sz="1200" b="0" baseline="0"/>
              <a:t> PBNC HÀNG THÁNG CỦA KHỐI 1</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'3.Báo cáo'!$C$20:$G$20</c:f>
              <c:numCache>
                <c:formatCode>mm/yyyy</c:formatCode>
                <c:ptCount val="5"/>
                <c:pt idx="0">
                  <c:v>45658</c:v>
                </c:pt>
                <c:pt idx="1">
                  <c:v>45689</c:v>
                </c:pt>
                <c:pt idx="2">
                  <c:v>45717</c:v>
                </c:pt>
                <c:pt idx="3">
                  <c:v>45748</c:v>
                </c:pt>
                <c:pt idx="4">
                  <c:v>45778</c:v>
                </c:pt>
              </c:numCache>
            </c:numRef>
          </c:cat>
          <c:val>
            <c:numRef>
              <c:f>'3.Báo cáo'!$C$21:$G$21</c:f>
              <c:numCache>
                <c:formatCode>0%</c:formatCode>
                <c:ptCount val="5"/>
                <c:pt idx="0">
                  <c:v>0.58012516946152448</c:v>
                </c:pt>
                <c:pt idx="1">
                  <c:v>0.6395034020877951</c:v>
                </c:pt>
                <c:pt idx="2">
                  <c:v>0.66823368330917787</c:v>
                </c:pt>
                <c:pt idx="3">
                  <c:v>0.70030637845165589</c:v>
                </c:pt>
                <c:pt idx="4">
                  <c:v>0.75341836312589827</c:v>
                </c:pt>
              </c:numCache>
            </c:numRef>
          </c:val>
          <c:extLst>
            <c:ext xmlns:c16="http://schemas.microsoft.com/office/drawing/2014/chart" uri="{C3380CC4-5D6E-409C-BE32-E72D297353CC}">
              <c16:uniqueId val="{00000000-EFE2-4C0C-AE6C-ABCCBC8D5109}"/>
            </c:ext>
          </c:extLst>
        </c:ser>
        <c:dLbls>
          <c:dLblPos val="outEnd"/>
          <c:showLegendKey val="0"/>
          <c:showVal val="1"/>
          <c:showCatName val="0"/>
          <c:showSerName val="0"/>
          <c:showPercent val="0"/>
          <c:showBubbleSize val="0"/>
        </c:dLbls>
        <c:gapWidth val="219"/>
        <c:overlap val="-27"/>
        <c:axId val="882143680"/>
        <c:axId val="882340128"/>
      </c:barChart>
      <c:dateAx>
        <c:axId val="882143680"/>
        <c:scaling>
          <c:orientation val="minMax"/>
        </c:scaling>
        <c:delete val="0"/>
        <c:axPos val="b"/>
        <c:numFmt formatCode="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340128"/>
        <c:crosses val="autoZero"/>
        <c:auto val="1"/>
        <c:lblOffset val="100"/>
        <c:baseTimeUnit val="months"/>
      </c:dateAx>
      <c:valAx>
        <c:axId val="882340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4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a:t>TỶ LỆ</a:t>
            </a:r>
            <a:r>
              <a:rPr lang="en-US" sz="1200" b="0" baseline="0"/>
              <a:t> PBNC HÀNG THÁNG CỦA KHỐI 2</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'3.Báo cáo'!$C$20:$G$20</c:f>
              <c:numCache>
                <c:formatCode>mm/yyyy</c:formatCode>
                <c:ptCount val="5"/>
                <c:pt idx="0">
                  <c:v>45658</c:v>
                </c:pt>
                <c:pt idx="1">
                  <c:v>45689</c:v>
                </c:pt>
                <c:pt idx="2">
                  <c:v>45717</c:v>
                </c:pt>
                <c:pt idx="3">
                  <c:v>45748</c:v>
                </c:pt>
                <c:pt idx="4">
                  <c:v>45778</c:v>
                </c:pt>
              </c:numCache>
            </c:numRef>
          </c:cat>
          <c:val>
            <c:numRef>
              <c:f>'3.Báo cáo'!$C$21:$G$21</c:f>
              <c:numCache>
                <c:formatCode>0%</c:formatCode>
                <c:ptCount val="5"/>
                <c:pt idx="0">
                  <c:v>0.58012516946152448</c:v>
                </c:pt>
                <c:pt idx="1">
                  <c:v>0.6395034020877951</c:v>
                </c:pt>
                <c:pt idx="2">
                  <c:v>0.66823368330917787</c:v>
                </c:pt>
                <c:pt idx="3">
                  <c:v>0.70030637845165589</c:v>
                </c:pt>
                <c:pt idx="4">
                  <c:v>0.75341836312589827</c:v>
                </c:pt>
              </c:numCache>
            </c:numRef>
          </c:val>
          <c:extLst>
            <c:ext xmlns:c16="http://schemas.microsoft.com/office/drawing/2014/chart" uri="{C3380CC4-5D6E-409C-BE32-E72D297353CC}">
              <c16:uniqueId val="{00000000-C9C6-4CA9-A0CF-FD7EC992C7AC}"/>
            </c:ext>
          </c:extLst>
        </c:ser>
        <c:dLbls>
          <c:dLblPos val="outEnd"/>
          <c:showLegendKey val="0"/>
          <c:showVal val="1"/>
          <c:showCatName val="0"/>
          <c:showSerName val="0"/>
          <c:showPercent val="0"/>
          <c:showBubbleSize val="0"/>
        </c:dLbls>
        <c:gapWidth val="219"/>
        <c:overlap val="-27"/>
        <c:axId val="882143680"/>
        <c:axId val="882340128"/>
      </c:barChart>
      <c:dateAx>
        <c:axId val="882143680"/>
        <c:scaling>
          <c:orientation val="minMax"/>
        </c:scaling>
        <c:delete val="0"/>
        <c:axPos val="b"/>
        <c:numFmt formatCode="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340128"/>
        <c:crosses val="autoZero"/>
        <c:auto val="1"/>
        <c:lblOffset val="100"/>
        <c:baseTimeUnit val="months"/>
      </c:dateAx>
      <c:valAx>
        <c:axId val="882340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4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a:t>TỶ LỆ</a:t>
            </a:r>
            <a:r>
              <a:rPr lang="en-US" sz="1200" b="0" baseline="0"/>
              <a:t> PBNC HÀNG THÁNG CỦA KHỐI 3</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'3.Báo cáo'!$C$20:$G$20</c:f>
              <c:numCache>
                <c:formatCode>mm/yyyy</c:formatCode>
                <c:ptCount val="5"/>
                <c:pt idx="0">
                  <c:v>45658</c:v>
                </c:pt>
                <c:pt idx="1">
                  <c:v>45689</c:v>
                </c:pt>
                <c:pt idx="2">
                  <c:v>45717</c:v>
                </c:pt>
                <c:pt idx="3">
                  <c:v>45748</c:v>
                </c:pt>
                <c:pt idx="4">
                  <c:v>45778</c:v>
                </c:pt>
              </c:numCache>
            </c:numRef>
          </c:cat>
          <c:val>
            <c:numRef>
              <c:f>'3.Báo cáo'!$C$21:$G$21</c:f>
              <c:numCache>
                <c:formatCode>0%</c:formatCode>
                <c:ptCount val="5"/>
                <c:pt idx="0">
                  <c:v>0.58012516946152448</c:v>
                </c:pt>
                <c:pt idx="1">
                  <c:v>0.6395034020877951</c:v>
                </c:pt>
                <c:pt idx="2">
                  <c:v>0.66823368330917787</c:v>
                </c:pt>
                <c:pt idx="3">
                  <c:v>0.70030637845165589</c:v>
                </c:pt>
                <c:pt idx="4">
                  <c:v>0.75341836312589827</c:v>
                </c:pt>
              </c:numCache>
            </c:numRef>
          </c:val>
          <c:extLst>
            <c:ext xmlns:c16="http://schemas.microsoft.com/office/drawing/2014/chart" uri="{C3380CC4-5D6E-409C-BE32-E72D297353CC}">
              <c16:uniqueId val="{00000000-30CC-4905-A4AD-0E988C30B6C0}"/>
            </c:ext>
          </c:extLst>
        </c:ser>
        <c:dLbls>
          <c:dLblPos val="outEnd"/>
          <c:showLegendKey val="0"/>
          <c:showVal val="1"/>
          <c:showCatName val="0"/>
          <c:showSerName val="0"/>
          <c:showPercent val="0"/>
          <c:showBubbleSize val="0"/>
        </c:dLbls>
        <c:gapWidth val="219"/>
        <c:overlap val="-27"/>
        <c:axId val="882143680"/>
        <c:axId val="882340128"/>
      </c:barChart>
      <c:dateAx>
        <c:axId val="882143680"/>
        <c:scaling>
          <c:orientation val="minMax"/>
        </c:scaling>
        <c:delete val="0"/>
        <c:axPos val="b"/>
        <c:numFmt formatCode="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340128"/>
        <c:crosses val="autoZero"/>
        <c:auto val="1"/>
        <c:lblOffset val="100"/>
        <c:baseTimeUnit val="months"/>
      </c:dateAx>
      <c:valAx>
        <c:axId val="882340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4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checked="Checked"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352425</xdr:colOff>
      <xdr:row>1</xdr:row>
      <xdr:rowOff>133350</xdr:rowOff>
    </xdr:from>
    <xdr:to>
      <xdr:col>5</xdr:col>
      <xdr:colOff>38100</xdr:colOff>
      <xdr:row>8</xdr:row>
      <xdr:rowOff>34981</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l="6511" t="27040" r="51661" b="64070"/>
        <a:stretch/>
      </xdr:blipFill>
      <xdr:spPr>
        <a:xfrm>
          <a:off x="352425" y="333375"/>
          <a:ext cx="8658225" cy="10351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476250</xdr:colOff>
          <xdr:row>10</xdr:row>
          <xdr:rowOff>76200</xdr:rowOff>
        </xdr:from>
        <xdr:to>
          <xdr:col>5</xdr:col>
          <xdr:colOff>781050</xdr:colOff>
          <xdr:row>10</xdr:row>
          <xdr:rowOff>295275</xdr:rowOff>
        </xdr:to>
        <xdr:sp macro="" textlink="">
          <xdr:nvSpPr>
            <xdr:cNvPr id="7171" name="Check Box 3" hidden="1">
              <a:extLst>
                <a:ext uri="{63B3BB69-23CF-44E3-9099-C40C66FF867C}">
                  <a14:compatExt spid="_x0000_s7171"/>
                </a:ext>
                <a:ext uri="{FF2B5EF4-FFF2-40B4-BE49-F238E27FC236}">
                  <a16:creationId xmlns:a16="http://schemas.microsoft.com/office/drawing/2014/main" id="{00000000-0008-0000-03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476250</xdr:colOff>
          <xdr:row>10</xdr:row>
          <xdr:rowOff>76200</xdr:rowOff>
        </xdr:from>
        <xdr:to>
          <xdr:col>6</xdr:col>
          <xdr:colOff>781050</xdr:colOff>
          <xdr:row>10</xdr:row>
          <xdr:rowOff>295275</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3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476250</xdr:colOff>
          <xdr:row>10</xdr:row>
          <xdr:rowOff>76200</xdr:rowOff>
        </xdr:from>
        <xdr:to>
          <xdr:col>7</xdr:col>
          <xdr:colOff>781050</xdr:colOff>
          <xdr:row>10</xdr:row>
          <xdr:rowOff>295275</xdr:rowOff>
        </xdr:to>
        <xdr:sp macro="" textlink="">
          <xdr:nvSpPr>
            <xdr:cNvPr id="7173" name="Check Box 5" hidden="1">
              <a:extLst>
                <a:ext uri="{63B3BB69-23CF-44E3-9099-C40C66FF867C}">
                  <a14:compatExt spid="_x0000_s7173"/>
                </a:ext>
                <a:ext uri="{FF2B5EF4-FFF2-40B4-BE49-F238E27FC236}">
                  <a16:creationId xmlns:a16="http://schemas.microsoft.com/office/drawing/2014/main" id="{00000000-0008-0000-0300-00000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476250</xdr:colOff>
          <xdr:row>10</xdr:row>
          <xdr:rowOff>76200</xdr:rowOff>
        </xdr:from>
        <xdr:to>
          <xdr:col>8</xdr:col>
          <xdr:colOff>781050</xdr:colOff>
          <xdr:row>10</xdr:row>
          <xdr:rowOff>295275</xdr:rowOff>
        </xdr:to>
        <xdr:sp macro="" textlink="">
          <xdr:nvSpPr>
            <xdr:cNvPr id="7174" name="Check Box 6" hidden="1">
              <a:extLst>
                <a:ext uri="{63B3BB69-23CF-44E3-9099-C40C66FF867C}">
                  <a14:compatExt spid="_x0000_s7174"/>
                </a:ext>
                <a:ext uri="{FF2B5EF4-FFF2-40B4-BE49-F238E27FC236}">
                  <a16:creationId xmlns:a16="http://schemas.microsoft.com/office/drawing/2014/main" id="{00000000-0008-0000-0300-00000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10</xdr:row>
          <xdr:rowOff>76200</xdr:rowOff>
        </xdr:from>
        <xdr:to>
          <xdr:col>9</xdr:col>
          <xdr:colOff>781050</xdr:colOff>
          <xdr:row>10</xdr:row>
          <xdr:rowOff>295275</xdr:rowOff>
        </xdr:to>
        <xdr:sp macro="" textlink="">
          <xdr:nvSpPr>
            <xdr:cNvPr id="7175" name="Check Box 7" hidden="1">
              <a:extLst>
                <a:ext uri="{63B3BB69-23CF-44E3-9099-C40C66FF867C}">
                  <a14:compatExt spid="_x0000_s7175"/>
                </a:ext>
                <a:ext uri="{FF2B5EF4-FFF2-40B4-BE49-F238E27FC236}">
                  <a16:creationId xmlns:a16="http://schemas.microsoft.com/office/drawing/2014/main" id="{00000000-0008-0000-03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476250</xdr:colOff>
          <xdr:row>11</xdr:row>
          <xdr:rowOff>76200</xdr:rowOff>
        </xdr:from>
        <xdr:to>
          <xdr:col>5</xdr:col>
          <xdr:colOff>781050</xdr:colOff>
          <xdr:row>11</xdr:row>
          <xdr:rowOff>295275</xdr:rowOff>
        </xdr:to>
        <xdr:sp macro="" textlink="">
          <xdr:nvSpPr>
            <xdr:cNvPr id="7178" name="Check Box 10" hidden="1">
              <a:extLst>
                <a:ext uri="{63B3BB69-23CF-44E3-9099-C40C66FF867C}">
                  <a14:compatExt spid="_x0000_s7178"/>
                </a:ext>
                <a:ext uri="{FF2B5EF4-FFF2-40B4-BE49-F238E27FC236}">
                  <a16:creationId xmlns:a16="http://schemas.microsoft.com/office/drawing/2014/main" id="{00000000-0008-0000-0300-00000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476250</xdr:colOff>
          <xdr:row>11</xdr:row>
          <xdr:rowOff>76200</xdr:rowOff>
        </xdr:from>
        <xdr:to>
          <xdr:col>6</xdr:col>
          <xdr:colOff>781050</xdr:colOff>
          <xdr:row>11</xdr:row>
          <xdr:rowOff>295275</xdr:rowOff>
        </xdr:to>
        <xdr:sp macro="" textlink="">
          <xdr:nvSpPr>
            <xdr:cNvPr id="7179" name="Check Box 11" hidden="1">
              <a:extLst>
                <a:ext uri="{63B3BB69-23CF-44E3-9099-C40C66FF867C}">
                  <a14:compatExt spid="_x0000_s7179"/>
                </a:ext>
                <a:ext uri="{FF2B5EF4-FFF2-40B4-BE49-F238E27FC236}">
                  <a16:creationId xmlns:a16="http://schemas.microsoft.com/office/drawing/2014/main" id="{00000000-0008-0000-0300-00000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476250</xdr:colOff>
          <xdr:row>11</xdr:row>
          <xdr:rowOff>76200</xdr:rowOff>
        </xdr:from>
        <xdr:to>
          <xdr:col>7</xdr:col>
          <xdr:colOff>781050</xdr:colOff>
          <xdr:row>11</xdr:row>
          <xdr:rowOff>295275</xdr:rowOff>
        </xdr:to>
        <xdr:sp macro="" textlink="">
          <xdr:nvSpPr>
            <xdr:cNvPr id="7180" name="Check Box 12" hidden="1">
              <a:extLst>
                <a:ext uri="{63B3BB69-23CF-44E3-9099-C40C66FF867C}">
                  <a14:compatExt spid="_x0000_s7180"/>
                </a:ext>
                <a:ext uri="{FF2B5EF4-FFF2-40B4-BE49-F238E27FC236}">
                  <a16:creationId xmlns:a16="http://schemas.microsoft.com/office/drawing/2014/main" id="{00000000-0008-0000-0300-00000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476250</xdr:colOff>
          <xdr:row>11</xdr:row>
          <xdr:rowOff>76200</xdr:rowOff>
        </xdr:from>
        <xdr:to>
          <xdr:col>8</xdr:col>
          <xdr:colOff>781050</xdr:colOff>
          <xdr:row>11</xdr:row>
          <xdr:rowOff>295275</xdr:rowOff>
        </xdr:to>
        <xdr:sp macro="" textlink="">
          <xdr:nvSpPr>
            <xdr:cNvPr id="7181" name="Check Box 13" hidden="1">
              <a:extLst>
                <a:ext uri="{63B3BB69-23CF-44E3-9099-C40C66FF867C}">
                  <a14:compatExt spid="_x0000_s7181"/>
                </a:ext>
                <a:ext uri="{FF2B5EF4-FFF2-40B4-BE49-F238E27FC236}">
                  <a16:creationId xmlns:a16="http://schemas.microsoft.com/office/drawing/2014/main" id="{00000000-0008-0000-0300-00000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11</xdr:row>
          <xdr:rowOff>76200</xdr:rowOff>
        </xdr:from>
        <xdr:to>
          <xdr:col>9</xdr:col>
          <xdr:colOff>781050</xdr:colOff>
          <xdr:row>11</xdr:row>
          <xdr:rowOff>295275</xdr:rowOff>
        </xdr:to>
        <xdr:sp macro="" textlink="">
          <xdr:nvSpPr>
            <xdr:cNvPr id="7182" name="Check Box 14" hidden="1">
              <a:extLst>
                <a:ext uri="{63B3BB69-23CF-44E3-9099-C40C66FF867C}">
                  <a14:compatExt spid="_x0000_s7182"/>
                </a:ext>
                <a:ext uri="{FF2B5EF4-FFF2-40B4-BE49-F238E27FC236}">
                  <a16:creationId xmlns:a16="http://schemas.microsoft.com/office/drawing/2014/main" id="{00000000-0008-0000-0300-00000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476250</xdr:colOff>
          <xdr:row>12</xdr:row>
          <xdr:rowOff>76200</xdr:rowOff>
        </xdr:from>
        <xdr:to>
          <xdr:col>5</xdr:col>
          <xdr:colOff>781050</xdr:colOff>
          <xdr:row>12</xdr:row>
          <xdr:rowOff>295275</xdr:rowOff>
        </xdr:to>
        <xdr:sp macro="" textlink="">
          <xdr:nvSpPr>
            <xdr:cNvPr id="7185" name="Check Box 17" hidden="1">
              <a:extLst>
                <a:ext uri="{63B3BB69-23CF-44E3-9099-C40C66FF867C}">
                  <a14:compatExt spid="_x0000_s7185"/>
                </a:ext>
                <a:ext uri="{FF2B5EF4-FFF2-40B4-BE49-F238E27FC236}">
                  <a16:creationId xmlns:a16="http://schemas.microsoft.com/office/drawing/2014/main" id="{00000000-0008-0000-0300-00001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476250</xdr:colOff>
          <xdr:row>12</xdr:row>
          <xdr:rowOff>76200</xdr:rowOff>
        </xdr:from>
        <xdr:to>
          <xdr:col>6</xdr:col>
          <xdr:colOff>781050</xdr:colOff>
          <xdr:row>12</xdr:row>
          <xdr:rowOff>295275</xdr:rowOff>
        </xdr:to>
        <xdr:sp macro="" textlink="">
          <xdr:nvSpPr>
            <xdr:cNvPr id="7186" name="Check Box 18" hidden="1">
              <a:extLst>
                <a:ext uri="{63B3BB69-23CF-44E3-9099-C40C66FF867C}">
                  <a14:compatExt spid="_x0000_s7186"/>
                </a:ext>
                <a:ext uri="{FF2B5EF4-FFF2-40B4-BE49-F238E27FC236}">
                  <a16:creationId xmlns:a16="http://schemas.microsoft.com/office/drawing/2014/main" id="{00000000-0008-0000-0300-00001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476250</xdr:colOff>
          <xdr:row>12</xdr:row>
          <xdr:rowOff>76200</xdr:rowOff>
        </xdr:from>
        <xdr:to>
          <xdr:col>8</xdr:col>
          <xdr:colOff>781050</xdr:colOff>
          <xdr:row>12</xdr:row>
          <xdr:rowOff>295275</xdr:rowOff>
        </xdr:to>
        <xdr:sp macro="" textlink="">
          <xdr:nvSpPr>
            <xdr:cNvPr id="7188" name="Check Box 20" hidden="1">
              <a:extLst>
                <a:ext uri="{63B3BB69-23CF-44E3-9099-C40C66FF867C}">
                  <a14:compatExt spid="_x0000_s7188"/>
                </a:ext>
                <a:ext uri="{FF2B5EF4-FFF2-40B4-BE49-F238E27FC236}">
                  <a16:creationId xmlns:a16="http://schemas.microsoft.com/office/drawing/2014/main" id="{00000000-0008-0000-0300-00001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12</xdr:row>
          <xdr:rowOff>76200</xdr:rowOff>
        </xdr:from>
        <xdr:to>
          <xdr:col>9</xdr:col>
          <xdr:colOff>781050</xdr:colOff>
          <xdr:row>12</xdr:row>
          <xdr:rowOff>295275</xdr:rowOff>
        </xdr:to>
        <xdr:sp macro="" textlink="">
          <xdr:nvSpPr>
            <xdr:cNvPr id="7189" name="Check Box 21" hidden="1">
              <a:extLst>
                <a:ext uri="{63B3BB69-23CF-44E3-9099-C40C66FF867C}">
                  <a14:compatExt spid="_x0000_s7189"/>
                </a:ext>
                <a:ext uri="{FF2B5EF4-FFF2-40B4-BE49-F238E27FC236}">
                  <a16:creationId xmlns:a16="http://schemas.microsoft.com/office/drawing/2014/main" id="{00000000-0008-0000-0300-00001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476250</xdr:colOff>
          <xdr:row>13</xdr:row>
          <xdr:rowOff>76200</xdr:rowOff>
        </xdr:from>
        <xdr:to>
          <xdr:col>5</xdr:col>
          <xdr:colOff>781050</xdr:colOff>
          <xdr:row>13</xdr:row>
          <xdr:rowOff>295275</xdr:rowOff>
        </xdr:to>
        <xdr:sp macro="" textlink="">
          <xdr:nvSpPr>
            <xdr:cNvPr id="7192" name="Check Box 24" hidden="1">
              <a:extLst>
                <a:ext uri="{63B3BB69-23CF-44E3-9099-C40C66FF867C}">
                  <a14:compatExt spid="_x0000_s7192"/>
                </a:ext>
                <a:ext uri="{FF2B5EF4-FFF2-40B4-BE49-F238E27FC236}">
                  <a16:creationId xmlns:a16="http://schemas.microsoft.com/office/drawing/2014/main" id="{00000000-0008-0000-0300-00001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476250</xdr:colOff>
          <xdr:row>13</xdr:row>
          <xdr:rowOff>76200</xdr:rowOff>
        </xdr:from>
        <xdr:to>
          <xdr:col>6</xdr:col>
          <xdr:colOff>781050</xdr:colOff>
          <xdr:row>13</xdr:row>
          <xdr:rowOff>295275</xdr:rowOff>
        </xdr:to>
        <xdr:sp macro="" textlink="">
          <xdr:nvSpPr>
            <xdr:cNvPr id="7193" name="Check Box 25" hidden="1">
              <a:extLst>
                <a:ext uri="{63B3BB69-23CF-44E3-9099-C40C66FF867C}">
                  <a14:compatExt spid="_x0000_s7193"/>
                </a:ext>
                <a:ext uri="{FF2B5EF4-FFF2-40B4-BE49-F238E27FC236}">
                  <a16:creationId xmlns:a16="http://schemas.microsoft.com/office/drawing/2014/main" id="{00000000-0008-0000-0300-00001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476250</xdr:colOff>
          <xdr:row>13</xdr:row>
          <xdr:rowOff>76200</xdr:rowOff>
        </xdr:from>
        <xdr:to>
          <xdr:col>7</xdr:col>
          <xdr:colOff>781050</xdr:colOff>
          <xdr:row>13</xdr:row>
          <xdr:rowOff>295275</xdr:rowOff>
        </xdr:to>
        <xdr:sp macro="" textlink="">
          <xdr:nvSpPr>
            <xdr:cNvPr id="7194" name="Check Box 26" hidden="1">
              <a:extLst>
                <a:ext uri="{63B3BB69-23CF-44E3-9099-C40C66FF867C}">
                  <a14:compatExt spid="_x0000_s7194"/>
                </a:ext>
                <a:ext uri="{FF2B5EF4-FFF2-40B4-BE49-F238E27FC236}">
                  <a16:creationId xmlns:a16="http://schemas.microsoft.com/office/drawing/2014/main" id="{00000000-0008-0000-0300-00001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476250</xdr:colOff>
          <xdr:row>13</xdr:row>
          <xdr:rowOff>76200</xdr:rowOff>
        </xdr:from>
        <xdr:to>
          <xdr:col>8</xdr:col>
          <xdr:colOff>781050</xdr:colOff>
          <xdr:row>13</xdr:row>
          <xdr:rowOff>295275</xdr:rowOff>
        </xdr:to>
        <xdr:sp macro="" textlink="">
          <xdr:nvSpPr>
            <xdr:cNvPr id="7195" name="Check Box 27" hidden="1">
              <a:extLst>
                <a:ext uri="{63B3BB69-23CF-44E3-9099-C40C66FF867C}">
                  <a14:compatExt spid="_x0000_s7195"/>
                </a:ext>
                <a:ext uri="{FF2B5EF4-FFF2-40B4-BE49-F238E27FC236}">
                  <a16:creationId xmlns:a16="http://schemas.microsoft.com/office/drawing/2014/main" id="{00000000-0008-0000-0300-00001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13</xdr:row>
          <xdr:rowOff>76200</xdr:rowOff>
        </xdr:from>
        <xdr:to>
          <xdr:col>9</xdr:col>
          <xdr:colOff>781050</xdr:colOff>
          <xdr:row>13</xdr:row>
          <xdr:rowOff>295275</xdr:rowOff>
        </xdr:to>
        <xdr:sp macro="" textlink="">
          <xdr:nvSpPr>
            <xdr:cNvPr id="7196" name="Check Box 28" hidden="1">
              <a:extLst>
                <a:ext uri="{63B3BB69-23CF-44E3-9099-C40C66FF867C}">
                  <a14:compatExt spid="_x0000_s7196"/>
                </a:ext>
                <a:ext uri="{FF2B5EF4-FFF2-40B4-BE49-F238E27FC236}">
                  <a16:creationId xmlns:a16="http://schemas.microsoft.com/office/drawing/2014/main" id="{00000000-0008-0000-0300-00001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476250</xdr:colOff>
          <xdr:row>14</xdr:row>
          <xdr:rowOff>76200</xdr:rowOff>
        </xdr:from>
        <xdr:to>
          <xdr:col>5</xdr:col>
          <xdr:colOff>781050</xdr:colOff>
          <xdr:row>14</xdr:row>
          <xdr:rowOff>295275</xdr:rowOff>
        </xdr:to>
        <xdr:sp macro="" textlink="">
          <xdr:nvSpPr>
            <xdr:cNvPr id="7199" name="Check Box 31" hidden="1">
              <a:extLst>
                <a:ext uri="{63B3BB69-23CF-44E3-9099-C40C66FF867C}">
                  <a14:compatExt spid="_x0000_s7199"/>
                </a:ext>
                <a:ext uri="{FF2B5EF4-FFF2-40B4-BE49-F238E27FC236}">
                  <a16:creationId xmlns:a16="http://schemas.microsoft.com/office/drawing/2014/main" id="{00000000-0008-0000-0300-00001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476250</xdr:colOff>
          <xdr:row>14</xdr:row>
          <xdr:rowOff>76200</xdr:rowOff>
        </xdr:from>
        <xdr:to>
          <xdr:col>6</xdr:col>
          <xdr:colOff>781050</xdr:colOff>
          <xdr:row>14</xdr:row>
          <xdr:rowOff>295275</xdr:rowOff>
        </xdr:to>
        <xdr:sp macro="" textlink="">
          <xdr:nvSpPr>
            <xdr:cNvPr id="7200" name="Check Box 32" hidden="1">
              <a:extLst>
                <a:ext uri="{63B3BB69-23CF-44E3-9099-C40C66FF867C}">
                  <a14:compatExt spid="_x0000_s7200"/>
                </a:ext>
                <a:ext uri="{FF2B5EF4-FFF2-40B4-BE49-F238E27FC236}">
                  <a16:creationId xmlns:a16="http://schemas.microsoft.com/office/drawing/2014/main" id="{00000000-0008-0000-0300-00002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476250</xdr:colOff>
          <xdr:row>14</xdr:row>
          <xdr:rowOff>76200</xdr:rowOff>
        </xdr:from>
        <xdr:to>
          <xdr:col>7</xdr:col>
          <xdr:colOff>781050</xdr:colOff>
          <xdr:row>14</xdr:row>
          <xdr:rowOff>295275</xdr:rowOff>
        </xdr:to>
        <xdr:sp macro="" textlink="">
          <xdr:nvSpPr>
            <xdr:cNvPr id="7201" name="Check Box 33" hidden="1">
              <a:extLst>
                <a:ext uri="{63B3BB69-23CF-44E3-9099-C40C66FF867C}">
                  <a14:compatExt spid="_x0000_s7201"/>
                </a:ext>
                <a:ext uri="{FF2B5EF4-FFF2-40B4-BE49-F238E27FC236}">
                  <a16:creationId xmlns:a16="http://schemas.microsoft.com/office/drawing/2014/main" id="{00000000-0008-0000-0300-00002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476250</xdr:colOff>
          <xdr:row>14</xdr:row>
          <xdr:rowOff>76200</xdr:rowOff>
        </xdr:from>
        <xdr:to>
          <xdr:col>8</xdr:col>
          <xdr:colOff>781050</xdr:colOff>
          <xdr:row>14</xdr:row>
          <xdr:rowOff>295275</xdr:rowOff>
        </xdr:to>
        <xdr:sp macro="" textlink="">
          <xdr:nvSpPr>
            <xdr:cNvPr id="7202" name="Check Box 34" hidden="1">
              <a:extLst>
                <a:ext uri="{63B3BB69-23CF-44E3-9099-C40C66FF867C}">
                  <a14:compatExt spid="_x0000_s7202"/>
                </a:ext>
                <a:ext uri="{FF2B5EF4-FFF2-40B4-BE49-F238E27FC236}">
                  <a16:creationId xmlns:a16="http://schemas.microsoft.com/office/drawing/2014/main" id="{00000000-0008-0000-0300-00002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14</xdr:row>
          <xdr:rowOff>76200</xdr:rowOff>
        </xdr:from>
        <xdr:to>
          <xdr:col>9</xdr:col>
          <xdr:colOff>781050</xdr:colOff>
          <xdr:row>14</xdr:row>
          <xdr:rowOff>295275</xdr:rowOff>
        </xdr:to>
        <xdr:sp macro="" textlink="">
          <xdr:nvSpPr>
            <xdr:cNvPr id="7203" name="Check Box 35" hidden="1">
              <a:extLst>
                <a:ext uri="{63B3BB69-23CF-44E3-9099-C40C66FF867C}">
                  <a14:compatExt spid="_x0000_s7203"/>
                </a:ext>
                <a:ext uri="{FF2B5EF4-FFF2-40B4-BE49-F238E27FC236}">
                  <a16:creationId xmlns:a16="http://schemas.microsoft.com/office/drawing/2014/main" id="{00000000-0008-0000-0300-00002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476250</xdr:colOff>
          <xdr:row>15</xdr:row>
          <xdr:rowOff>76200</xdr:rowOff>
        </xdr:from>
        <xdr:to>
          <xdr:col>6</xdr:col>
          <xdr:colOff>781050</xdr:colOff>
          <xdr:row>15</xdr:row>
          <xdr:rowOff>295275</xdr:rowOff>
        </xdr:to>
        <xdr:sp macro="" textlink="">
          <xdr:nvSpPr>
            <xdr:cNvPr id="7207" name="Check Box 39" hidden="1">
              <a:extLst>
                <a:ext uri="{63B3BB69-23CF-44E3-9099-C40C66FF867C}">
                  <a14:compatExt spid="_x0000_s7207"/>
                </a:ext>
                <a:ext uri="{FF2B5EF4-FFF2-40B4-BE49-F238E27FC236}">
                  <a16:creationId xmlns:a16="http://schemas.microsoft.com/office/drawing/2014/main" id="{00000000-0008-0000-0300-00002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476250</xdr:colOff>
          <xdr:row>15</xdr:row>
          <xdr:rowOff>76200</xdr:rowOff>
        </xdr:from>
        <xdr:to>
          <xdr:col>7</xdr:col>
          <xdr:colOff>781050</xdr:colOff>
          <xdr:row>15</xdr:row>
          <xdr:rowOff>295275</xdr:rowOff>
        </xdr:to>
        <xdr:sp macro="" textlink="">
          <xdr:nvSpPr>
            <xdr:cNvPr id="7208" name="Check Box 40" hidden="1">
              <a:extLst>
                <a:ext uri="{63B3BB69-23CF-44E3-9099-C40C66FF867C}">
                  <a14:compatExt spid="_x0000_s7208"/>
                </a:ext>
                <a:ext uri="{FF2B5EF4-FFF2-40B4-BE49-F238E27FC236}">
                  <a16:creationId xmlns:a16="http://schemas.microsoft.com/office/drawing/2014/main" id="{00000000-0008-0000-0300-00002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476250</xdr:colOff>
          <xdr:row>15</xdr:row>
          <xdr:rowOff>76200</xdr:rowOff>
        </xdr:from>
        <xdr:to>
          <xdr:col>8</xdr:col>
          <xdr:colOff>781050</xdr:colOff>
          <xdr:row>15</xdr:row>
          <xdr:rowOff>295275</xdr:rowOff>
        </xdr:to>
        <xdr:sp macro="" textlink="">
          <xdr:nvSpPr>
            <xdr:cNvPr id="7209" name="Check Box 41" hidden="1">
              <a:extLst>
                <a:ext uri="{63B3BB69-23CF-44E3-9099-C40C66FF867C}">
                  <a14:compatExt spid="_x0000_s7209"/>
                </a:ext>
                <a:ext uri="{FF2B5EF4-FFF2-40B4-BE49-F238E27FC236}">
                  <a16:creationId xmlns:a16="http://schemas.microsoft.com/office/drawing/2014/main" id="{00000000-0008-0000-0300-00002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15</xdr:row>
          <xdr:rowOff>76200</xdr:rowOff>
        </xdr:from>
        <xdr:to>
          <xdr:col>9</xdr:col>
          <xdr:colOff>781050</xdr:colOff>
          <xdr:row>15</xdr:row>
          <xdr:rowOff>295275</xdr:rowOff>
        </xdr:to>
        <xdr:sp macro="" textlink="">
          <xdr:nvSpPr>
            <xdr:cNvPr id="7210" name="Check Box 42" hidden="1">
              <a:extLst>
                <a:ext uri="{63B3BB69-23CF-44E3-9099-C40C66FF867C}">
                  <a14:compatExt spid="_x0000_s7210"/>
                </a:ext>
                <a:ext uri="{FF2B5EF4-FFF2-40B4-BE49-F238E27FC236}">
                  <a16:creationId xmlns:a16="http://schemas.microsoft.com/office/drawing/2014/main" id="{00000000-0008-0000-0300-00002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485775</xdr:colOff>
          <xdr:row>34</xdr:row>
          <xdr:rowOff>66675</xdr:rowOff>
        </xdr:from>
        <xdr:to>
          <xdr:col>6</xdr:col>
          <xdr:colOff>790575</xdr:colOff>
          <xdr:row>34</xdr:row>
          <xdr:rowOff>285750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4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34</xdr:row>
          <xdr:rowOff>66675</xdr:rowOff>
        </xdr:from>
        <xdr:to>
          <xdr:col>5</xdr:col>
          <xdr:colOff>676275</xdr:colOff>
          <xdr:row>34</xdr:row>
          <xdr:rowOff>285750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4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34</xdr:row>
          <xdr:rowOff>76200</xdr:rowOff>
        </xdr:from>
        <xdr:to>
          <xdr:col>7</xdr:col>
          <xdr:colOff>762000</xdr:colOff>
          <xdr:row>34</xdr:row>
          <xdr:rowOff>295275</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400-00002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34</xdr:row>
          <xdr:rowOff>76200</xdr:rowOff>
        </xdr:from>
        <xdr:to>
          <xdr:col>8</xdr:col>
          <xdr:colOff>762000</xdr:colOff>
          <xdr:row>34</xdr:row>
          <xdr:rowOff>295275</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400-00002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34</xdr:row>
          <xdr:rowOff>76200</xdr:rowOff>
        </xdr:from>
        <xdr:to>
          <xdr:col>9</xdr:col>
          <xdr:colOff>762000</xdr:colOff>
          <xdr:row>34</xdr:row>
          <xdr:rowOff>295275</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400-00002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35</xdr:row>
          <xdr:rowOff>0</xdr:rowOff>
        </xdr:from>
        <xdr:to>
          <xdr:col>6</xdr:col>
          <xdr:colOff>790575</xdr:colOff>
          <xdr:row>35</xdr:row>
          <xdr:rowOff>219075</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400-00004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35</xdr:row>
          <xdr:rowOff>0</xdr:rowOff>
        </xdr:from>
        <xdr:to>
          <xdr:col>5</xdr:col>
          <xdr:colOff>676275</xdr:colOff>
          <xdr:row>35</xdr:row>
          <xdr:rowOff>219075</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400-00004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35</xdr:row>
          <xdr:rowOff>9525</xdr:rowOff>
        </xdr:from>
        <xdr:to>
          <xdr:col>7</xdr:col>
          <xdr:colOff>762000</xdr:colOff>
          <xdr:row>35</xdr:row>
          <xdr:rowOff>228600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400-00004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35</xdr:row>
          <xdr:rowOff>9525</xdr:rowOff>
        </xdr:from>
        <xdr:to>
          <xdr:col>8</xdr:col>
          <xdr:colOff>762000</xdr:colOff>
          <xdr:row>35</xdr:row>
          <xdr:rowOff>228600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400-00004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35</xdr:row>
          <xdr:rowOff>9525</xdr:rowOff>
        </xdr:from>
        <xdr:to>
          <xdr:col>9</xdr:col>
          <xdr:colOff>762000</xdr:colOff>
          <xdr:row>35</xdr:row>
          <xdr:rowOff>228600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400-00004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36</xdr:row>
          <xdr:rowOff>0</xdr:rowOff>
        </xdr:from>
        <xdr:to>
          <xdr:col>6</xdr:col>
          <xdr:colOff>790575</xdr:colOff>
          <xdr:row>36</xdr:row>
          <xdr:rowOff>219075</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400-00005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36</xdr:row>
          <xdr:rowOff>0</xdr:rowOff>
        </xdr:from>
        <xdr:to>
          <xdr:col>5</xdr:col>
          <xdr:colOff>676275</xdr:colOff>
          <xdr:row>36</xdr:row>
          <xdr:rowOff>219075</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400-00005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36</xdr:row>
          <xdr:rowOff>9525</xdr:rowOff>
        </xdr:from>
        <xdr:to>
          <xdr:col>7</xdr:col>
          <xdr:colOff>762000</xdr:colOff>
          <xdr:row>36</xdr:row>
          <xdr:rowOff>228600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400-00005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36</xdr:row>
          <xdr:rowOff>9525</xdr:rowOff>
        </xdr:from>
        <xdr:to>
          <xdr:col>8</xdr:col>
          <xdr:colOff>762000</xdr:colOff>
          <xdr:row>36</xdr:row>
          <xdr:rowOff>228600</xdr:rowOff>
        </xdr:to>
        <xdr:sp macro="" textlink="">
          <xdr:nvSpPr>
            <xdr:cNvPr id="8275" name="Check Box 83" hidden="1">
              <a:extLst>
                <a:ext uri="{63B3BB69-23CF-44E3-9099-C40C66FF867C}">
                  <a14:compatExt spid="_x0000_s8275"/>
                </a:ext>
                <a:ext uri="{FF2B5EF4-FFF2-40B4-BE49-F238E27FC236}">
                  <a16:creationId xmlns:a16="http://schemas.microsoft.com/office/drawing/2014/main" id="{00000000-0008-0000-0400-00005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36</xdr:row>
          <xdr:rowOff>9525</xdr:rowOff>
        </xdr:from>
        <xdr:to>
          <xdr:col>9</xdr:col>
          <xdr:colOff>762000</xdr:colOff>
          <xdr:row>36</xdr:row>
          <xdr:rowOff>228600</xdr:rowOff>
        </xdr:to>
        <xdr:sp macro="" textlink="">
          <xdr:nvSpPr>
            <xdr:cNvPr id="8276" name="Check Box 84" hidden="1">
              <a:extLst>
                <a:ext uri="{63B3BB69-23CF-44E3-9099-C40C66FF867C}">
                  <a14:compatExt spid="_x0000_s8276"/>
                </a:ext>
                <a:ext uri="{FF2B5EF4-FFF2-40B4-BE49-F238E27FC236}">
                  <a16:creationId xmlns:a16="http://schemas.microsoft.com/office/drawing/2014/main" id="{00000000-0008-0000-0400-00005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37</xdr:row>
          <xdr:rowOff>0</xdr:rowOff>
        </xdr:from>
        <xdr:to>
          <xdr:col>6</xdr:col>
          <xdr:colOff>790575</xdr:colOff>
          <xdr:row>37</xdr:row>
          <xdr:rowOff>219075</xdr:rowOff>
        </xdr:to>
        <xdr:sp macro="" textlink="">
          <xdr:nvSpPr>
            <xdr:cNvPr id="8277" name="Check Box 85" hidden="1">
              <a:extLst>
                <a:ext uri="{63B3BB69-23CF-44E3-9099-C40C66FF867C}">
                  <a14:compatExt spid="_x0000_s8277"/>
                </a:ext>
                <a:ext uri="{FF2B5EF4-FFF2-40B4-BE49-F238E27FC236}">
                  <a16:creationId xmlns:a16="http://schemas.microsoft.com/office/drawing/2014/main" id="{00000000-0008-0000-0400-00005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37</xdr:row>
          <xdr:rowOff>0</xdr:rowOff>
        </xdr:from>
        <xdr:to>
          <xdr:col>5</xdr:col>
          <xdr:colOff>676275</xdr:colOff>
          <xdr:row>37</xdr:row>
          <xdr:rowOff>219075</xdr:rowOff>
        </xdr:to>
        <xdr:sp macro="" textlink="">
          <xdr:nvSpPr>
            <xdr:cNvPr id="8278" name="Check Box 86" hidden="1">
              <a:extLst>
                <a:ext uri="{63B3BB69-23CF-44E3-9099-C40C66FF867C}">
                  <a14:compatExt spid="_x0000_s8278"/>
                </a:ext>
                <a:ext uri="{FF2B5EF4-FFF2-40B4-BE49-F238E27FC236}">
                  <a16:creationId xmlns:a16="http://schemas.microsoft.com/office/drawing/2014/main" id="{00000000-0008-0000-0400-00005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37</xdr:row>
          <xdr:rowOff>9525</xdr:rowOff>
        </xdr:from>
        <xdr:to>
          <xdr:col>7</xdr:col>
          <xdr:colOff>762000</xdr:colOff>
          <xdr:row>37</xdr:row>
          <xdr:rowOff>228600</xdr:rowOff>
        </xdr:to>
        <xdr:sp macro="" textlink="">
          <xdr:nvSpPr>
            <xdr:cNvPr id="8279" name="Check Box 87" hidden="1">
              <a:extLst>
                <a:ext uri="{63B3BB69-23CF-44E3-9099-C40C66FF867C}">
                  <a14:compatExt spid="_x0000_s8279"/>
                </a:ext>
                <a:ext uri="{FF2B5EF4-FFF2-40B4-BE49-F238E27FC236}">
                  <a16:creationId xmlns:a16="http://schemas.microsoft.com/office/drawing/2014/main" id="{00000000-0008-0000-0400-00005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37</xdr:row>
          <xdr:rowOff>9525</xdr:rowOff>
        </xdr:from>
        <xdr:to>
          <xdr:col>8</xdr:col>
          <xdr:colOff>762000</xdr:colOff>
          <xdr:row>37</xdr:row>
          <xdr:rowOff>228600</xdr:rowOff>
        </xdr:to>
        <xdr:sp macro="" textlink="">
          <xdr:nvSpPr>
            <xdr:cNvPr id="8280" name="Check Box 88" hidden="1">
              <a:extLst>
                <a:ext uri="{63B3BB69-23CF-44E3-9099-C40C66FF867C}">
                  <a14:compatExt spid="_x0000_s8280"/>
                </a:ext>
                <a:ext uri="{FF2B5EF4-FFF2-40B4-BE49-F238E27FC236}">
                  <a16:creationId xmlns:a16="http://schemas.microsoft.com/office/drawing/2014/main" id="{00000000-0008-0000-0400-00005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37</xdr:row>
          <xdr:rowOff>9525</xdr:rowOff>
        </xdr:from>
        <xdr:to>
          <xdr:col>9</xdr:col>
          <xdr:colOff>762000</xdr:colOff>
          <xdr:row>37</xdr:row>
          <xdr:rowOff>228600</xdr:rowOff>
        </xdr:to>
        <xdr:sp macro="" textlink="">
          <xdr:nvSpPr>
            <xdr:cNvPr id="8281" name="Check Box 89" hidden="1">
              <a:extLst>
                <a:ext uri="{63B3BB69-23CF-44E3-9099-C40C66FF867C}">
                  <a14:compatExt spid="_x0000_s8281"/>
                </a:ext>
                <a:ext uri="{FF2B5EF4-FFF2-40B4-BE49-F238E27FC236}">
                  <a16:creationId xmlns:a16="http://schemas.microsoft.com/office/drawing/2014/main" id="{00000000-0008-0000-0400-00005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38</xdr:row>
          <xdr:rowOff>0</xdr:rowOff>
        </xdr:from>
        <xdr:to>
          <xdr:col>6</xdr:col>
          <xdr:colOff>790575</xdr:colOff>
          <xdr:row>38</xdr:row>
          <xdr:rowOff>219075</xdr:rowOff>
        </xdr:to>
        <xdr:sp macro="" textlink="">
          <xdr:nvSpPr>
            <xdr:cNvPr id="8282" name="Check Box 90" hidden="1">
              <a:extLst>
                <a:ext uri="{63B3BB69-23CF-44E3-9099-C40C66FF867C}">
                  <a14:compatExt spid="_x0000_s8282"/>
                </a:ext>
                <a:ext uri="{FF2B5EF4-FFF2-40B4-BE49-F238E27FC236}">
                  <a16:creationId xmlns:a16="http://schemas.microsoft.com/office/drawing/2014/main" id="{00000000-0008-0000-0400-00005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38</xdr:row>
          <xdr:rowOff>0</xdr:rowOff>
        </xdr:from>
        <xdr:to>
          <xdr:col>5</xdr:col>
          <xdr:colOff>676275</xdr:colOff>
          <xdr:row>38</xdr:row>
          <xdr:rowOff>219075</xdr:rowOff>
        </xdr:to>
        <xdr:sp macro="" textlink="">
          <xdr:nvSpPr>
            <xdr:cNvPr id="8283" name="Check Box 91" hidden="1">
              <a:extLst>
                <a:ext uri="{63B3BB69-23CF-44E3-9099-C40C66FF867C}">
                  <a14:compatExt spid="_x0000_s8283"/>
                </a:ext>
                <a:ext uri="{FF2B5EF4-FFF2-40B4-BE49-F238E27FC236}">
                  <a16:creationId xmlns:a16="http://schemas.microsoft.com/office/drawing/2014/main" id="{00000000-0008-0000-0400-00005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38</xdr:row>
          <xdr:rowOff>9525</xdr:rowOff>
        </xdr:from>
        <xdr:to>
          <xdr:col>7</xdr:col>
          <xdr:colOff>762000</xdr:colOff>
          <xdr:row>38</xdr:row>
          <xdr:rowOff>228600</xdr:rowOff>
        </xdr:to>
        <xdr:sp macro="" textlink="">
          <xdr:nvSpPr>
            <xdr:cNvPr id="8284" name="Check Box 92" hidden="1">
              <a:extLst>
                <a:ext uri="{63B3BB69-23CF-44E3-9099-C40C66FF867C}">
                  <a14:compatExt spid="_x0000_s8284"/>
                </a:ext>
                <a:ext uri="{FF2B5EF4-FFF2-40B4-BE49-F238E27FC236}">
                  <a16:creationId xmlns:a16="http://schemas.microsoft.com/office/drawing/2014/main" id="{00000000-0008-0000-0400-00005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38</xdr:row>
          <xdr:rowOff>9525</xdr:rowOff>
        </xdr:from>
        <xdr:to>
          <xdr:col>8</xdr:col>
          <xdr:colOff>762000</xdr:colOff>
          <xdr:row>38</xdr:row>
          <xdr:rowOff>228600</xdr:rowOff>
        </xdr:to>
        <xdr:sp macro="" textlink="">
          <xdr:nvSpPr>
            <xdr:cNvPr id="8285" name="Check Box 93" hidden="1">
              <a:extLst>
                <a:ext uri="{63B3BB69-23CF-44E3-9099-C40C66FF867C}">
                  <a14:compatExt spid="_x0000_s8285"/>
                </a:ext>
                <a:ext uri="{FF2B5EF4-FFF2-40B4-BE49-F238E27FC236}">
                  <a16:creationId xmlns:a16="http://schemas.microsoft.com/office/drawing/2014/main" id="{00000000-0008-0000-0400-00005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38</xdr:row>
          <xdr:rowOff>9525</xdr:rowOff>
        </xdr:from>
        <xdr:to>
          <xdr:col>9</xdr:col>
          <xdr:colOff>762000</xdr:colOff>
          <xdr:row>38</xdr:row>
          <xdr:rowOff>228600</xdr:rowOff>
        </xdr:to>
        <xdr:sp macro="" textlink="">
          <xdr:nvSpPr>
            <xdr:cNvPr id="8286" name="Check Box 94" hidden="1">
              <a:extLst>
                <a:ext uri="{63B3BB69-23CF-44E3-9099-C40C66FF867C}">
                  <a14:compatExt spid="_x0000_s8286"/>
                </a:ext>
                <a:ext uri="{FF2B5EF4-FFF2-40B4-BE49-F238E27FC236}">
                  <a16:creationId xmlns:a16="http://schemas.microsoft.com/office/drawing/2014/main" id="{00000000-0008-0000-0400-00005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39</xdr:row>
          <xdr:rowOff>0</xdr:rowOff>
        </xdr:from>
        <xdr:to>
          <xdr:col>6</xdr:col>
          <xdr:colOff>790575</xdr:colOff>
          <xdr:row>39</xdr:row>
          <xdr:rowOff>219075</xdr:rowOff>
        </xdr:to>
        <xdr:sp macro="" textlink="">
          <xdr:nvSpPr>
            <xdr:cNvPr id="8287" name="Check Box 95" hidden="1">
              <a:extLst>
                <a:ext uri="{63B3BB69-23CF-44E3-9099-C40C66FF867C}">
                  <a14:compatExt spid="_x0000_s8287"/>
                </a:ext>
                <a:ext uri="{FF2B5EF4-FFF2-40B4-BE49-F238E27FC236}">
                  <a16:creationId xmlns:a16="http://schemas.microsoft.com/office/drawing/2014/main" id="{00000000-0008-0000-0400-00005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39</xdr:row>
          <xdr:rowOff>0</xdr:rowOff>
        </xdr:from>
        <xdr:to>
          <xdr:col>5</xdr:col>
          <xdr:colOff>676275</xdr:colOff>
          <xdr:row>39</xdr:row>
          <xdr:rowOff>219075</xdr:rowOff>
        </xdr:to>
        <xdr:sp macro="" textlink="">
          <xdr:nvSpPr>
            <xdr:cNvPr id="8288" name="Check Box 96" hidden="1">
              <a:extLst>
                <a:ext uri="{63B3BB69-23CF-44E3-9099-C40C66FF867C}">
                  <a14:compatExt spid="_x0000_s8288"/>
                </a:ext>
                <a:ext uri="{FF2B5EF4-FFF2-40B4-BE49-F238E27FC236}">
                  <a16:creationId xmlns:a16="http://schemas.microsoft.com/office/drawing/2014/main" id="{00000000-0008-0000-0400-00006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39</xdr:row>
          <xdr:rowOff>9525</xdr:rowOff>
        </xdr:from>
        <xdr:to>
          <xdr:col>7</xdr:col>
          <xdr:colOff>762000</xdr:colOff>
          <xdr:row>39</xdr:row>
          <xdr:rowOff>228600</xdr:rowOff>
        </xdr:to>
        <xdr:sp macro="" textlink="">
          <xdr:nvSpPr>
            <xdr:cNvPr id="8289" name="Check Box 97" hidden="1">
              <a:extLst>
                <a:ext uri="{63B3BB69-23CF-44E3-9099-C40C66FF867C}">
                  <a14:compatExt spid="_x0000_s8289"/>
                </a:ext>
                <a:ext uri="{FF2B5EF4-FFF2-40B4-BE49-F238E27FC236}">
                  <a16:creationId xmlns:a16="http://schemas.microsoft.com/office/drawing/2014/main" id="{00000000-0008-0000-0400-00006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39</xdr:row>
          <xdr:rowOff>9525</xdr:rowOff>
        </xdr:from>
        <xdr:to>
          <xdr:col>8</xdr:col>
          <xdr:colOff>762000</xdr:colOff>
          <xdr:row>39</xdr:row>
          <xdr:rowOff>228600</xdr:rowOff>
        </xdr:to>
        <xdr:sp macro="" textlink="">
          <xdr:nvSpPr>
            <xdr:cNvPr id="8290" name="Check Box 98" hidden="1">
              <a:extLst>
                <a:ext uri="{63B3BB69-23CF-44E3-9099-C40C66FF867C}">
                  <a14:compatExt spid="_x0000_s8290"/>
                </a:ext>
                <a:ext uri="{FF2B5EF4-FFF2-40B4-BE49-F238E27FC236}">
                  <a16:creationId xmlns:a16="http://schemas.microsoft.com/office/drawing/2014/main" id="{00000000-0008-0000-0400-00006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39</xdr:row>
          <xdr:rowOff>9525</xdr:rowOff>
        </xdr:from>
        <xdr:to>
          <xdr:col>9</xdr:col>
          <xdr:colOff>762000</xdr:colOff>
          <xdr:row>39</xdr:row>
          <xdr:rowOff>228600</xdr:rowOff>
        </xdr:to>
        <xdr:sp macro="" textlink="">
          <xdr:nvSpPr>
            <xdr:cNvPr id="8291" name="Check Box 99" hidden="1">
              <a:extLst>
                <a:ext uri="{63B3BB69-23CF-44E3-9099-C40C66FF867C}">
                  <a14:compatExt spid="_x0000_s8291"/>
                </a:ext>
                <a:ext uri="{FF2B5EF4-FFF2-40B4-BE49-F238E27FC236}">
                  <a16:creationId xmlns:a16="http://schemas.microsoft.com/office/drawing/2014/main" id="{00000000-0008-0000-0400-00006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70</xdr:row>
          <xdr:rowOff>76200</xdr:rowOff>
        </xdr:from>
        <xdr:to>
          <xdr:col>6</xdr:col>
          <xdr:colOff>790575</xdr:colOff>
          <xdr:row>71</xdr:row>
          <xdr:rowOff>0</xdr:rowOff>
        </xdr:to>
        <xdr:sp macro="" textlink="">
          <xdr:nvSpPr>
            <xdr:cNvPr id="8292" name="Check Box 100" hidden="1">
              <a:extLst>
                <a:ext uri="{63B3BB69-23CF-44E3-9099-C40C66FF867C}">
                  <a14:compatExt spid="_x0000_s8292"/>
                </a:ext>
                <a:ext uri="{FF2B5EF4-FFF2-40B4-BE49-F238E27FC236}">
                  <a16:creationId xmlns:a16="http://schemas.microsoft.com/office/drawing/2014/main" id="{00000000-0008-0000-0400-00006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70</xdr:row>
          <xdr:rowOff>76200</xdr:rowOff>
        </xdr:from>
        <xdr:to>
          <xdr:col>5</xdr:col>
          <xdr:colOff>676275</xdr:colOff>
          <xdr:row>71</xdr:row>
          <xdr:rowOff>0</xdr:rowOff>
        </xdr:to>
        <xdr:sp macro="" textlink="">
          <xdr:nvSpPr>
            <xdr:cNvPr id="8293" name="Check Box 101" hidden="1">
              <a:extLst>
                <a:ext uri="{63B3BB69-23CF-44E3-9099-C40C66FF867C}">
                  <a14:compatExt spid="_x0000_s8293"/>
                </a:ext>
                <a:ext uri="{FF2B5EF4-FFF2-40B4-BE49-F238E27FC236}">
                  <a16:creationId xmlns:a16="http://schemas.microsoft.com/office/drawing/2014/main" id="{00000000-0008-0000-0400-00006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70</xdr:row>
          <xdr:rowOff>85725</xdr:rowOff>
        </xdr:from>
        <xdr:to>
          <xdr:col>7</xdr:col>
          <xdr:colOff>762000</xdr:colOff>
          <xdr:row>71</xdr:row>
          <xdr:rowOff>0</xdr:rowOff>
        </xdr:to>
        <xdr:sp macro="" textlink="">
          <xdr:nvSpPr>
            <xdr:cNvPr id="8294" name="Check Box 102" hidden="1">
              <a:extLst>
                <a:ext uri="{63B3BB69-23CF-44E3-9099-C40C66FF867C}">
                  <a14:compatExt spid="_x0000_s8294"/>
                </a:ext>
                <a:ext uri="{FF2B5EF4-FFF2-40B4-BE49-F238E27FC236}">
                  <a16:creationId xmlns:a16="http://schemas.microsoft.com/office/drawing/2014/main" id="{00000000-0008-0000-0400-00006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70</xdr:row>
          <xdr:rowOff>85725</xdr:rowOff>
        </xdr:from>
        <xdr:to>
          <xdr:col>8</xdr:col>
          <xdr:colOff>762000</xdr:colOff>
          <xdr:row>71</xdr:row>
          <xdr:rowOff>0</xdr:rowOff>
        </xdr:to>
        <xdr:sp macro="" textlink="">
          <xdr:nvSpPr>
            <xdr:cNvPr id="8295" name="Check Box 103" hidden="1">
              <a:extLst>
                <a:ext uri="{63B3BB69-23CF-44E3-9099-C40C66FF867C}">
                  <a14:compatExt spid="_x0000_s8295"/>
                </a:ext>
                <a:ext uri="{FF2B5EF4-FFF2-40B4-BE49-F238E27FC236}">
                  <a16:creationId xmlns:a16="http://schemas.microsoft.com/office/drawing/2014/main" id="{00000000-0008-0000-0400-00006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70</xdr:row>
          <xdr:rowOff>85725</xdr:rowOff>
        </xdr:from>
        <xdr:to>
          <xdr:col>9</xdr:col>
          <xdr:colOff>762000</xdr:colOff>
          <xdr:row>71</xdr:row>
          <xdr:rowOff>0</xdr:rowOff>
        </xdr:to>
        <xdr:sp macro="" textlink="">
          <xdr:nvSpPr>
            <xdr:cNvPr id="8296" name="Check Box 104" hidden="1">
              <a:extLst>
                <a:ext uri="{63B3BB69-23CF-44E3-9099-C40C66FF867C}">
                  <a14:compatExt spid="_x0000_s8296"/>
                </a:ext>
                <a:ext uri="{FF2B5EF4-FFF2-40B4-BE49-F238E27FC236}">
                  <a16:creationId xmlns:a16="http://schemas.microsoft.com/office/drawing/2014/main" id="{00000000-0008-0000-0400-00006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71</xdr:row>
          <xdr:rowOff>0</xdr:rowOff>
        </xdr:from>
        <xdr:to>
          <xdr:col>6</xdr:col>
          <xdr:colOff>790575</xdr:colOff>
          <xdr:row>71</xdr:row>
          <xdr:rowOff>219075</xdr:rowOff>
        </xdr:to>
        <xdr:sp macro="" textlink="">
          <xdr:nvSpPr>
            <xdr:cNvPr id="8297" name="Check Box 105" hidden="1">
              <a:extLst>
                <a:ext uri="{63B3BB69-23CF-44E3-9099-C40C66FF867C}">
                  <a14:compatExt spid="_x0000_s8297"/>
                </a:ext>
                <a:ext uri="{FF2B5EF4-FFF2-40B4-BE49-F238E27FC236}">
                  <a16:creationId xmlns:a16="http://schemas.microsoft.com/office/drawing/2014/main" id="{00000000-0008-0000-0400-00006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71</xdr:row>
          <xdr:rowOff>0</xdr:rowOff>
        </xdr:from>
        <xdr:to>
          <xdr:col>5</xdr:col>
          <xdr:colOff>676275</xdr:colOff>
          <xdr:row>71</xdr:row>
          <xdr:rowOff>219075</xdr:rowOff>
        </xdr:to>
        <xdr:sp macro="" textlink="">
          <xdr:nvSpPr>
            <xdr:cNvPr id="8298" name="Check Box 106" hidden="1">
              <a:extLst>
                <a:ext uri="{63B3BB69-23CF-44E3-9099-C40C66FF867C}">
                  <a14:compatExt spid="_x0000_s8298"/>
                </a:ext>
                <a:ext uri="{FF2B5EF4-FFF2-40B4-BE49-F238E27FC236}">
                  <a16:creationId xmlns:a16="http://schemas.microsoft.com/office/drawing/2014/main" id="{00000000-0008-0000-0400-00006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71</xdr:row>
          <xdr:rowOff>9525</xdr:rowOff>
        </xdr:from>
        <xdr:to>
          <xdr:col>7</xdr:col>
          <xdr:colOff>762000</xdr:colOff>
          <xdr:row>71</xdr:row>
          <xdr:rowOff>228600</xdr:rowOff>
        </xdr:to>
        <xdr:sp macro="" textlink="">
          <xdr:nvSpPr>
            <xdr:cNvPr id="8299" name="Check Box 107" hidden="1">
              <a:extLst>
                <a:ext uri="{63B3BB69-23CF-44E3-9099-C40C66FF867C}">
                  <a14:compatExt spid="_x0000_s8299"/>
                </a:ext>
                <a:ext uri="{FF2B5EF4-FFF2-40B4-BE49-F238E27FC236}">
                  <a16:creationId xmlns:a16="http://schemas.microsoft.com/office/drawing/2014/main" id="{00000000-0008-0000-0400-00006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71</xdr:row>
          <xdr:rowOff>9525</xdr:rowOff>
        </xdr:from>
        <xdr:to>
          <xdr:col>8</xdr:col>
          <xdr:colOff>762000</xdr:colOff>
          <xdr:row>71</xdr:row>
          <xdr:rowOff>228600</xdr:rowOff>
        </xdr:to>
        <xdr:sp macro="" textlink="">
          <xdr:nvSpPr>
            <xdr:cNvPr id="8300" name="Check Box 108" hidden="1">
              <a:extLst>
                <a:ext uri="{63B3BB69-23CF-44E3-9099-C40C66FF867C}">
                  <a14:compatExt spid="_x0000_s8300"/>
                </a:ext>
                <a:ext uri="{FF2B5EF4-FFF2-40B4-BE49-F238E27FC236}">
                  <a16:creationId xmlns:a16="http://schemas.microsoft.com/office/drawing/2014/main" id="{00000000-0008-0000-0400-00006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71</xdr:row>
          <xdr:rowOff>9525</xdr:rowOff>
        </xdr:from>
        <xdr:to>
          <xdr:col>9</xdr:col>
          <xdr:colOff>762000</xdr:colOff>
          <xdr:row>71</xdr:row>
          <xdr:rowOff>228600</xdr:rowOff>
        </xdr:to>
        <xdr:sp macro="" textlink="">
          <xdr:nvSpPr>
            <xdr:cNvPr id="8301" name="Check Box 109" hidden="1">
              <a:extLst>
                <a:ext uri="{63B3BB69-23CF-44E3-9099-C40C66FF867C}">
                  <a14:compatExt spid="_x0000_s8301"/>
                </a:ext>
                <a:ext uri="{FF2B5EF4-FFF2-40B4-BE49-F238E27FC236}">
                  <a16:creationId xmlns:a16="http://schemas.microsoft.com/office/drawing/2014/main" id="{00000000-0008-0000-0400-00006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72</xdr:row>
          <xdr:rowOff>0</xdr:rowOff>
        </xdr:from>
        <xdr:to>
          <xdr:col>6</xdr:col>
          <xdr:colOff>790575</xdr:colOff>
          <xdr:row>72</xdr:row>
          <xdr:rowOff>219075</xdr:rowOff>
        </xdr:to>
        <xdr:sp macro="" textlink="">
          <xdr:nvSpPr>
            <xdr:cNvPr id="8302" name="Check Box 110" hidden="1">
              <a:extLst>
                <a:ext uri="{63B3BB69-23CF-44E3-9099-C40C66FF867C}">
                  <a14:compatExt spid="_x0000_s8302"/>
                </a:ext>
                <a:ext uri="{FF2B5EF4-FFF2-40B4-BE49-F238E27FC236}">
                  <a16:creationId xmlns:a16="http://schemas.microsoft.com/office/drawing/2014/main" id="{00000000-0008-0000-0400-00006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72</xdr:row>
          <xdr:rowOff>0</xdr:rowOff>
        </xdr:from>
        <xdr:to>
          <xdr:col>5</xdr:col>
          <xdr:colOff>676275</xdr:colOff>
          <xdr:row>72</xdr:row>
          <xdr:rowOff>219075</xdr:rowOff>
        </xdr:to>
        <xdr:sp macro="" textlink="">
          <xdr:nvSpPr>
            <xdr:cNvPr id="8303" name="Check Box 111" hidden="1">
              <a:extLst>
                <a:ext uri="{63B3BB69-23CF-44E3-9099-C40C66FF867C}">
                  <a14:compatExt spid="_x0000_s8303"/>
                </a:ext>
                <a:ext uri="{FF2B5EF4-FFF2-40B4-BE49-F238E27FC236}">
                  <a16:creationId xmlns:a16="http://schemas.microsoft.com/office/drawing/2014/main" id="{00000000-0008-0000-0400-00006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72</xdr:row>
          <xdr:rowOff>9525</xdr:rowOff>
        </xdr:from>
        <xdr:to>
          <xdr:col>7</xdr:col>
          <xdr:colOff>762000</xdr:colOff>
          <xdr:row>72</xdr:row>
          <xdr:rowOff>228600</xdr:rowOff>
        </xdr:to>
        <xdr:sp macro="" textlink="">
          <xdr:nvSpPr>
            <xdr:cNvPr id="8304" name="Check Box 112" hidden="1">
              <a:extLst>
                <a:ext uri="{63B3BB69-23CF-44E3-9099-C40C66FF867C}">
                  <a14:compatExt spid="_x0000_s8304"/>
                </a:ext>
                <a:ext uri="{FF2B5EF4-FFF2-40B4-BE49-F238E27FC236}">
                  <a16:creationId xmlns:a16="http://schemas.microsoft.com/office/drawing/2014/main" id="{00000000-0008-0000-0400-00007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72</xdr:row>
          <xdr:rowOff>9525</xdr:rowOff>
        </xdr:from>
        <xdr:to>
          <xdr:col>8</xdr:col>
          <xdr:colOff>762000</xdr:colOff>
          <xdr:row>72</xdr:row>
          <xdr:rowOff>228600</xdr:rowOff>
        </xdr:to>
        <xdr:sp macro="" textlink="">
          <xdr:nvSpPr>
            <xdr:cNvPr id="8305" name="Check Box 113" hidden="1">
              <a:extLst>
                <a:ext uri="{63B3BB69-23CF-44E3-9099-C40C66FF867C}">
                  <a14:compatExt spid="_x0000_s8305"/>
                </a:ext>
                <a:ext uri="{FF2B5EF4-FFF2-40B4-BE49-F238E27FC236}">
                  <a16:creationId xmlns:a16="http://schemas.microsoft.com/office/drawing/2014/main" id="{00000000-0008-0000-0400-00007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72</xdr:row>
          <xdr:rowOff>9525</xdr:rowOff>
        </xdr:from>
        <xdr:to>
          <xdr:col>9</xdr:col>
          <xdr:colOff>762000</xdr:colOff>
          <xdr:row>72</xdr:row>
          <xdr:rowOff>228600</xdr:rowOff>
        </xdr:to>
        <xdr:sp macro="" textlink="">
          <xdr:nvSpPr>
            <xdr:cNvPr id="8306" name="Check Box 114" hidden="1">
              <a:extLst>
                <a:ext uri="{63B3BB69-23CF-44E3-9099-C40C66FF867C}">
                  <a14:compatExt spid="_x0000_s8306"/>
                </a:ext>
                <a:ext uri="{FF2B5EF4-FFF2-40B4-BE49-F238E27FC236}">
                  <a16:creationId xmlns:a16="http://schemas.microsoft.com/office/drawing/2014/main" id="{00000000-0008-0000-0400-00007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73</xdr:row>
          <xdr:rowOff>0</xdr:rowOff>
        </xdr:from>
        <xdr:to>
          <xdr:col>6</xdr:col>
          <xdr:colOff>790575</xdr:colOff>
          <xdr:row>73</xdr:row>
          <xdr:rowOff>219075</xdr:rowOff>
        </xdr:to>
        <xdr:sp macro="" textlink="">
          <xdr:nvSpPr>
            <xdr:cNvPr id="8307" name="Check Box 115" hidden="1">
              <a:extLst>
                <a:ext uri="{63B3BB69-23CF-44E3-9099-C40C66FF867C}">
                  <a14:compatExt spid="_x0000_s8307"/>
                </a:ext>
                <a:ext uri="{FF2B5EF4-FFF2-40B4-BE49-F238E27FC236}">
                  <a16:creationId xmlns:a16="http://schemas.microsoft.com/office/drawing/2014/main" id="{00000000-0008-0000-0400-00007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73</xdr:row>
          <xdr:rowOff>0</xdr:rowOff>
        </xdr:from>
        <xdr:to>
          <xdr:col>5</xdr:col>
          <xdr:colOff>676275</xdr:colOff>
          <xdr:row>73</xdr:row>
          <xdr:rowOff>219075</xdr:rowOff>
        </xdr:to>
        <xdr:sp macro="" textlink="">
          <xdr:nvSpPr>
            <xdr:cNvPr id="8308" name="Check Box 116" hidden="1">
              <a:extLst>
                <a:ext uri="{63B3BB69-23CF-44E3-9099-C40C66FF867C}">
                  <a14:compatExt spid="_x0000_s8308"/>
                </a:ext>
                <a:ext uri="{FF2B5EF4-FFF2-40B4-BE49-F238E27FC236}">
                  <a16:creationId xmlns:a16="http://schemas.microsoft.com/office/drawing/2014/main" id="{00000000-0008-0000-0400-00007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73</xdr:row>
          <xdr:rowOff>9525</xdr:rowOff>
        </xdr:from>
        <xdr:to>
          <xdr:col>7</xdr:col>
          <xdr:colOff>762000</xdr:colOff>
          <xdr:row>73</xdr:row>
          <xdr:rowOff>228600</xdr:rowOff>
        </xdr:to>
        <xdr:sp macro="" textlink="">
          <xdr:nvSpPr>
            <xdr:cNvPr id="8309" name="Check Box 117" hidden="1">
              <a:extLst>
                <a:ext uri="{63B3BB69-23CF-44E3-9099-C40C66FF867C}">
                  <a14:compatExt spid="_x0000_s8309"/>
                </a:ext>
                <a:ext uri="{FF2B5EF4-FFF2-40B4-BE49-F238E27FC236}">
                  <a16:creationId xmlns:a16="http://schemas.microsoft.com/office/drawing/2014/main" id="{00000000-0008-0000-0400-00007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73</xdr:row>
          <xdr:rowOff>9525</xdr:rowOff>
        </xdr:from>
        <xdr:to>
          <xdr:col>8</xdr:col>
          <xdr:colOff>762000</xdr:colOff>
          <xdr:row>73</xdr:row>
          <xdr:rowOff>228600</xdr:rowOff>
        </xdr:to>
        <xdr:sp macro="" textlink="">
          <xdr:nvSpPr>
            <xdr:cNvPr id="8310" name="Check Box 118" hidden="1">
              <a:extLst>
                <a:ext uri="{63B3BB69-23CF-44E3-9099-C40C66FF867C}">
                  <a14:compatExt spid="_x0000_s8310"/>
                </a:ext>
                <a:ext uri="{FF2B5EF4-FFF2-40B4-BE49-F238E27FC236}">
                  <a16:creationId xmlns:a16="http://schemas.microsoft.com/office/drawing/2014/main" id="{00000000-0008-0000-0400-00007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73</xdr:row>
          <xdr:rowOff>9525</xdr:rowOff>
        </xdr:from>
        <xdr:to>
          <xdr:col>9</xdr:col>
          <xdr:colOff>762000</xdr:colOff>
          <xdr:row>73</xdr:row>
          <xdr:rowOff>228600</xdr:rowOff>
        </xdr:to>
        <xdr:sp macro="" textlink="">
          <xdr:nvSpPr>
            <xdr:cNvPr id="8311" name="Check Box 119" hidden="1">
              <a:extLst>
                <a:ext uri="{63B3BB69-23CF-44E3-9099-C40C66FF867C}">
                  <a14:compatExt spid="_x0000_s8311"/>
                </a:ext>
                <a:ext uri="{FF2B5EF4-FFF2-40B4-BE49-F238E27FC236}">
                  <a16:creationId xmlns:a16="http://schemas.microsoft.com/office/drawing/2014/main" id="{00000000-0008-0000-0400-00007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74</xdr:row>
          <xdr:rowOff>0</xdr:rowOff>
        </xdr:from>
        <xdr:to>
          <xdr:col>6</xdr:col>
          <xdr:colOff>790575</xdr:colOff>
          <xdr:row>74</xdr:row>
          <xdr:rowOff>219075</xdr:rowOff>
        </xdr:to>
        <xdr:sp macro="" textlink="">
          <xdr:nvSpPr>
            <xdr:cNvPr id="8312" name="Check Box 120" hidden="1">
              <a:extLst>
                <a:ext uri="{63B3BB69-23CF-44E3-9099-C40C66FF867C}">
                  <a14:compatExt spid="_x0000_s8312"/>
                </a:ext>
                <a:ext uri="{FF2B5EF4-FFF2-40B4-BE49-F238E27FC236}">
                  <a16:creationId xmlns:a16="http://schemas.microsoft.com/office/drawing/2014/main" id="{00000000-0008-0000-0400-00007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74</xdr:row>
          <xdr:rowOff>0</xdr:rowOff>
        </xdr:from>
        <xdr:to>
          <xdr:col>5</xdr:col>
          <xdr:colOff>676275</xdr:colOff>
          <xdr:row>74</xdr:row>
          <xdr:rowOff>219075</xdr:rowOff>
        </xdr:to>
        <xdr:sp macro="" textlink="">
          <xdr:nvSpPr>
            <xdr:cNvPr id="8313" name="Check Box 121" hidden="1">
              <a:extLst>
                <a:ext uri="{63B3BB69-23CF-44E3-9099-C40C66FF867C}">
                  <a14:compatExt spid="_x0000_s8313"/>
                </a:ext>
                <a:ext uri="{FF2B5EF4-FFF2-40B4-BE49-F238E27FC236}">
                  <a16:creationId xmlns:a16="http://schemas.microsoft.com/office/drawing/2014/main" id="{00000000-0008-0000-0400-00007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74</xdr:row>
          <xdr:rowOff>9525</xdr:rowOff>
        </xdr:from>
        <xdr:to>
          <xdr:col>7</xdr:col>
          <xdr:colOff>762000</xdr:colOff>
          <xdr:row>74</xdr:row>
          <xdr:rowOff>228600</xdr:rowOff>
        </xdr:to>
        <xdr:sp macro="" textlink="">
          <xdr:nvSpPr>
            <xdr:cNvPr id="8314" name="Check Box 122" hidden="1">
              <a:extLst>
                <a:ext uri="{63B3BB69-23CF-44E3-9099-C40C66FF867C}">
                  <a14:compatExt spid="_x0000_s8314"/>
                </a:ext>
                <a:ext uri="{FF2B5EF4-FFF2-40B4-BE49-F238E27FC236}">
                  <a16:creationId xmlns:a16="http://schemas.microsoft.com/office/drawing/2014/main" id="{00000000-0008-0000-0400-00007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74</xdr:row>
          <xdr:rowOff>9525</xdr:rowOff>
        </xdr:from>
        <xdr:to>
          <xdr:col>8</xdr:col>
          <xdr:colOff>762000</xdr:colOff>
          <xdr:row>74</xdr:row>
          <xdr:rowOff>228600</xdr:rowOff>
        </xdr:to>
        <xdr:sp macro="" textlink="">
          <xdr:nvSpPr>
            <xdr:cNvPr id="8315" name="Check Box 123" hidden="1">
              <a:extLst>
                <a:ext uri="{63B3BB69-23CF-44E3-9099-C40C66FF867C}">
                  <a14:compatExt spid="_x0000_s8315"/>
                </a:ext>
                <a:ext uri="{FF2B5EF4-FFF2-40B4-BE49-F238E27FC236}">
                  <a16:creationId xmlns:a16="http://schemas.microsoft.com/office/drawing/2014/main" id="{00000000-0008-0000-0400-00007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74</xdr:row>
          <xdr:rowOff>9525</xdr:rowOff>
        </xdr:from>
        <xdr:to>
          <xdr:col>9</xdr:col>
          <xdr:colOff>762000</xdr:colOff>
          <xdr:row>74</xdr:row>
          <xdr:rowOff>228600</xdr:rowOff>
        </xdr:to>
        <xdr:sp macro="" textlink="">
          <xdr:nvSpPr>
            <xdr:cNvPr id="8316" name="Check Box 124" hidden="1">
              <a:extLst>
                <a:ext uri="{63B3BB69-23CF-44E3-9099-C40C66FF867C}">
                  <a14:compatExt spid="_x0000_s8316"/>
                </a:ext>
                <a:ext uri="{FF2B5EF4-FFF2-40B4-BE49-F238E27FC236}">
                  <a16:creationId xmlns:a16="http://schemas.microsoft.com/office/drawing/2014/main" id="{00000000-0008-0000-0400-00007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75</xdr:row>
          <xdr:rowOff>0</xdr:rowOff>
        </xdr:from>
        <xdr:to>
          <xdr:col>6</xdr:col>
          <xdr:colOff>790575</xdr:colOff>
          <xdr:row>75</xdr:row>
          <xdr:rowOff>219075</xdr:rowOff>
        </xdr:to>
        <xdr:sp macro="" textlink="">
          <xdr:nvSpPr>
            <xdr:cNvPr id="8317" name="Check Box 125" hidden="1">
              <a:extLst>
                <a:ext uri="{63B3BB69-23CF-44E3-9099-C40C66FF867C}">
                  <a14:compatExt spid="_x0000_s8317"/>
                </a:ext>
                <a:ext uri="{FF2B5EF4-FFF2-40B4-BE49-F238E27FC236}">
                  <a16:creationId xmlns:a16="http://schemas.microsoft.com/office/drawing/2014/main" id="{00000000-0008-0000-0400-00007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75</xdr:row>
          <xdr:rowOff>0</xdr:rowOff>
        </xdr:from>
        <xdr:to>
          <xdr:col>5</xdr:col>
          <xdr:colOff>676275</xdr:colOff>
          <xdr:row>75</xdr:row>
          <xdr:rowOff>219075</xdr:rowOff>
        </xdr:to>
        <xdr:sp macro="" textlink="">
          <xdr:nvSpPr>
            <xdr:cNvPr id="8318" name="Check Box 126" hidden="1">
              <a:extLst>
                <a:ext uri="{63B3BB69-23CF-44E3-9099-C40C66FF867C}">
                  <a14:compatExt spid="_x0000_s8318"/>
                </a:ext>
                <a:ext uri="{FF2B5EF4-FFF2-40B4-BE49-F238E27FC236}">
                  <a16:creationId xmlns:a16="http://schemas.microsoft.com/office/drawing/2014/main" id="{00000000-0008-0000-0400-00007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75</xdr:row>
          <xdr:rowOff>9525</xdr:rowOff>
        </xdr:from>
        <xdr:to>
          <xdr:col>7</xdr:col>
          <xdr:colOff>762000</xdr:colOff>
          <xdr:row>75</xdr:row>
          <xdr:rowOff>228600</xdr:rowOff>
        </xdr:to>
        <xdr:sp macro="" textlink="">
          <xdr:nvSpPr>
            <xdr:cNvPr id="8319" name="Check Box 127" hidden="1">
              <a:extLst>
                <a:ext uri="{63B3BB69-23CF-44E3-9099-C40C66FF867C}">
                  <a14:compatExt spid="_x0000_s8319"/>
                </a:ext>
                <a:ext uri="{FF2B5EF4-FFF2-40B4-BE49-F238E27FC236}">
                  <a16:creationId xmlns:a16="http://schemas.microsoft.com/office/drawing/2014/main" id="{00000000-0008-0000-0400-00007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75</xdr:row>
          <xdr:rowOff>9525</xdr:rowOff>
        </xdr:from>
        <xdr:to>
          <xdr:col>8</xdr:col>
          <xdr:colOff>762000</xdr:colOff>
          <xdr:row>75</xdr:row>
          <xdr:rowOff>228600</xdr:rowOff>
        </xdr:to>
        <xdr:sp macro="" textlink="">
          <xdr:nvSpPr>
            <xdr:cNvPr id="8320" name="Check Box 128" hidden="1">
              <a:extLst>
                <a:ext uri="{63B3BB69-23CF-44E3-9099-C40C66FF867C}">
                  <a14:compatExt spid="_x0000_s8320"/>
                </a:ext>
                <a:ext uri="{FF2B5EF4-FFF2-40B4-BE49-F238E27FC236}">
                  <a16:creationId xmlns:a16="http://schemas.microsoft.com/office/drawing/2014/main" id="{00000000-0008-0000-0400-00008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75</xdr:row>
          <xdr:rowOff>9525</xdr:rowOff>
        </xdr:from>
        <xdr:to>
          <xdr:col>9</xdr:col>
          <xdr:colOff>762000</xdr:colOff>
          <xdr:row>75</xdr:row>
          <xdr:rowOff>228600</xdr:rowOff>
        </xdr:to>
        <xdr:sp macro="" textlink="">
          <xdr:nvSpPr>
            <xdr:cNvPr id="8321" name="Check Box 129" hidden="1">
              <a:extLst>
                <a:ext uri="{63B3BB69-23CF-44E3-9099-C40C66FF867C}">
                  <a14:compatExt spid="_x0000_s8321"/>
                </a:ext>
                <a:ext uri="{FF2B5EF4-FFF2-40B4-BE49-F238E27FC236}">
                  <a16:creationId xmlns:a16="http://schemas.microsoft.com/office/drawing/2014/main" id="{00000000-0008-0000-0400-00008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107</xdr:row>
          <xdr:rowOff>47625</xdr:rowOff>
        </xdr:from>
        <xdr:to>
          <xdr:col>6</xdr:col>
          <xdr:colOff>790575</xdr:colOff>
          <xdr:row>108</xdr:row>
          <xdr:rowOff>0</xdr:rowOff>
        </xdr:to>
        <xdr:sp macro="" textlink="">
          <xdr:nvSpPr>
            <xdr:cNvPr id="8322" name="Check Box 130" hidden="1">
              <a:extLst>
                <a:ext uri="{63B3BB69-23CF-44E3-9099-C40C66FF867C}">
                  <a14:compatExt spid="_x0000_s8322"/>
                </a:ext>
                <a:ext uri="{FF2B5EF4-FFF2-40B4-BE49-F238E27FC236}">
                  <a16:creationId xmlns:a16="http://schemas.microsoft.com/office/drawing/2014/main" id="{00000000-0008-0000-0400-00008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107</xdr:row>
          <xdr:rowOff>47625</xdr:rowOff>
        </xdr:from>
        <xdr:to>
          <xdr:col>5</xdr:col>
          <xdr:colOff>676275</xdr:colOff>
          <xdr:row>108</xdr:row>
          <xdr:rowOff>0</xdr:rowOff>
        </xdr:to>
        <xdr:sp macro="" textlink="">
          <xdr:nvSpPr>
            <xdr:cNvPr id="8323" name="Check Box 131" hidden="1">
              <a:extLst>
                <a:ext uri="{63B3BB69-23CF-44E3-9099-C40C66FF867C}">
                  <a14:compatExt spid="_x0000_s8323"/>
                </a:ext>
                <a:ext uri="{FF2B5EF4-FFF2-40B4-BE49-F238E27FC236}">
                  <a16:creationId xmlns:a16="http://schemas.microsoft.com/office/drawing/2014/main" id="{00000000-0008-0000-0400-00008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107</xdr:row>
          <xdr:rowOff>57150</xdr:rowOff>
        </xdr:from>
        <xdr:to>
          <xdr:col>7</xdr:col>
          <xdr:colOff>762000</xdr:colOff>
          <xdr:row>108</xdr:row>
          <xdr:rowOff>0</xdr:rowOff>
        </xdr:to>
        <xdr:sp macro="" textlink="">
          <xdr:nvSpPr>
            <xdr:cNvPr id="8324" name="Check Box 132" hidden="1">
              <a:extLst>
                <a:ext uri="{63B3BB69-23CF-44E3-9099-C40C66FF867C}">
                  <a14:compatExt spid="_x0000_s8324"/>
                </a:ext>
                <a:ext uri="{FF2B5EF4-FFF2-40B4-BE49-F238E27FC236}">
                  <a16:creationId xmlns:a16="http://schemas.microsoft.com/office/drawing/2014/main" id="{00000000-0008-0000-0400-00008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107</xdr:row>
          <xdr:rowOff>57150</xdr:rowOff>
        </xdr:from>
        <xdr:to>
          <xdr:col>8</xdr:col>
          <xdr:colOff>762000</xdr:colOff>
          <xdr:row>108</xdr:row>
          <xdr:rowOff>0</xdr:rowOff>
        </xdr:to>
        <xdr:sp macro="" textlink="">
          <xdr:nvSpPr>
            <xdr:cNvPr id="8325" name="Check Box 133" hidden="1">
              <a:extLst>
                <a:ext uri="{63B3BB69-23CF-44E3-9099-C40C66FF867C}">
                  <a14:compatExt spid="_x0000_s8325"/>
                </a:ext>
                <a:ext uri="{FF2B5EF4-FFF2-40B4-BE49-F238E27FC236}">
                  <a16:creationId xmlns:a16="http://schemas.microsoft.com/office/drawing/2014/main" id="{00000000-0008-0000-0400-00008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107</xdr:row>
          <xdr:rowOff>57150</xdr:rowOff>
        </xdr:from>
        <xdr:to>
          <xdr:col>9</xdr:col>
          <xdr:colOff>762000</xdr:colOff>
          <xdr:row>108</xdr:row>
          <xdr:rowOff>0</xdr:rowOff>
        </xdr:to>
        <xdr:sp macro="" textlink="">
          <xdr:nvSpPr>
            <xdr:cNvPr id="8326" name="Check Box 134" hidden="1">
              <a:extLst>
                <a:ext uri="{63B3BB69-23CF-44E3-9099-C40C66FF867C}">
                  <a14:compatExt spid="_x0000_s8326"/>
                </a:ext>
                <a:ext uri="{FF2B5EF4-FFF2-40B4-BE49-F238E27FC236}">
                  <a16:creationId xmlns:a16="http://schemas.microsoft.com/office/drawing/2014/main" id="{00000000-0008-0000-0400-00008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108</xdr:row>
          <xdr:rowOff>0</xdr:rowOff>
        </xdr:from>
        <xdr:to>
          <xdr:col>6</xdr:col>
          <xdr:colOff>790575</xdr:colOff>
          <xdr:row>108</xdr:row>
          <xdr:rowOff>219075</xdr:rowOff>
        </xdr:to>
        <xdr:sp macro="" textlink="">
          <xdr:nvSpPr>
            <xdr:cNvPr id="8327" name="Check Box 135" hidden="1">
              <a:extLst>
                <a:ext uri="{63B3BB69-23CF-44E3-9099-C40C66FF867C}">
                  <a14:compatExt spid="_x0000_s8327"/>
                </a:ext>
                <a:ext uri="{FF2B5EF4-FFF2-40B4-BE49-F238E27FC236}">
                  <a16:creationId xmlns:a16="http://schemas.microsoft.com/office/drawing/2014/main" id="{00000000-0008-0000-0400-00008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108</xdr:row>
          <xdr:rowOff>0</xdr:rowOff>
        </xdr:from>
        <xdr:to>
          <xdr:col>5</xdr:col>
          <xdr:colOff>676275</xdr:colOff>
          <xdr:row>108</xdr:row>
          <xdr:rowOff>219075</xdr:rowOff>
        </xdr:to>
        <xdr:sp macro="" textlink="">
          <xdr:nvSpPr>
            <xdr:cNvPr id="8328" name="Check Box 136" hidden="1">
              <a:extLst>
                <a:ext uri="{63B3BB69-23CF-44E3-9099-C40C66FF867C}">
                  <a14:compatExt spid="_x0000_s8328"/>
                </a:ext>
                <a:ext uri="{FF2B5EF4-FFF2-40B4-BE49-F238E27FC236}">
                  <a16:creationId xmlns:a16="http://schemas.microsoft.com/office/drawing/2014/main" id="{00000000-0008-0000-0400-00008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108</xdr:row>
          <xdr:rowOff>9525</xdr:rowOff>
        </xdr:from>
        <xdr:to>
          <xdr:col>7</xdr:col>
          <xdr:colOff>762000</xdr:colOff>
          <xdr:row>108</xdr:row>
          <xdr:rowOff>228600</xdr:rowOff>
        </xdr:to>
        <xdr:sp macro="" textlink="">
          <xdr:nvSpPr>
            <xdr:cNvPr id="8329" name="Check Box 137" hidden="1">
              <a:extLst>
                <a:ext uri="{63B3BB69-23CF-44E3-9099-C40C66FF867C}">
                  <a14:compatExt spid="_x0000_s8329"/>
                </a:ext>
                <a:ext uri="{FF2B5EF4-FFF2-40B4-BE49-F238E27FC236}">
                  <a16:creationId xmlns:a16="http://schemas.microsoft.com/office/drawing/2014/main" id="{00000000-0008-0000-0400-00008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108</xdr:row>
          <xdr:rowOff>9525</xdr:rowOff>
        </xdr:from>
        <xdr:to>
          <xdr:col>8</xdr:col>
          <xdr:colOff>762000</xdr:colOff>
          <xdr:row>108</xdr:row>
          <xdr:rowOff>228600</xdr:rowOff>
        </xdr:to>
        <xdr:sp macro="" textlink="">
          <xdr:nvSpPr>
            <xdr:cNvPr id="8330" name="Check Box 138" hidden="1">
              <a:extLst>
                <a:ext uri="{63B3BB69-23CF-44E3-9099-C40C66FF867C}">
                  <a14:compatExt spid="_x0000_s8330"/>
                </a:ext>
                <a:ext uri="{FF2B5EF4-FFF2-40B4-BE49-F238E27FC236}">
                  <a16:creationId xmlns:a16="http://schemas.microsoft.com/office/drawing/2014/main" id="{00000000-0008-0000-0400-00008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108</xdr:row>
          <xdr:rowOff>9525</xdr:rowOff>
        </xdr:from>
        <xdr:to>
          <xdr:col>9</xdr:col>
          <xdr:colOff>762000</xdr:colOff>
          <xdr:row>108</xdr:row>
          <xdr:rowOff>228600</xdr:rowOff>
        </xdr:to>
        <xdr:sp macro="" textlink="">
          <xdr:nvSpPr>
            <xdr:cNvPr id="8331" name="Check Box 139" hidden="1">
              <a:extLst>
                <a:ext uri="{63B3BB69-23CF-44E3-9099-C40C66FF867C}">
                  <a14:compatExt spid="_x0000_s8331"/>
                </a:ext>
                <a:ext uri="{FF2B5EF4-FFF2-40B4-BE49-F238E27FC236}">
                  <a16:creationId xmlns:a16="http://schemas.microsoft.com/office/drawing/2014/main" id="{00000000-0008-0000-0400-00008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109</xdr:row>
          <xdr:rowOff>0</xdr:rowOff>
        </xdr:from>
        <xdr:to>
          <xdr:col>6</xdr:col>
          <xdr:colOff>790575</xdr:colOff>
          <xdr:row>109</xdr:row>
          <xdr:rowOff>219075</xdr:rowOff>
        </xdr:to>
        <xdr:sp macro="" textlink="">
          <xdr:nvSpPr>
            <xdr:cNvPr id="8332" name="Check Box 140" hidden="1">
              <a:extLst>
                <a:ext uri="{63B3BB69-23CF-44E3-9099-C40C66FF867C}">
                  <a14:compatExt spid="_x0000_s8332"/>
                </a:ext>
                <a:ext uri="{FF2B5EF4-FFF2-40B4-BE49-F238E27FC236}">
                  <a16:creationId xmlns:a16="http://schemas.microsoft.com/office/drawing/2014/main" id="{00000000-0008-0000-0400-00008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109</xdr:row>
          <xdr:rowOff>0</xdr:rowOff>
        </xdr:from>
        <xdr:to>
          <xdr:col>5</xdr:col>
          <xdr:colOff>676275</xdr:colOff>
          <xdr:row>109</xdr:row>
          <xdr:rowOff>219075</xdr:rowOff>
        </xdr:to>
        <xdr:sp macro="" textlink="">
          <xdr:nvSpPr>
            <xdr:cNvPr id="8333" name="Check Box 141" hidden="1">
              <a:extLst>
                <a:ext uri="{63B3BB69-23CF-44E3-9099-C40C66FF867C}">
                  <a14:compatExt spid="_x0000_s8333"/>
                </a:ext>
                <a:ext uri="{FF2B5EF4-FFF2-40B4-BE49-F238E27FC236}">
                  <a16:creationId xmlns:a16="http://schemas.microsoft.com/office/drawing/2014/main" id="{00000000-0008-0000-0400-00008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109</xdr:row>
          <xdr:rowOff>9525</xdr:rowOff>
        </xdr:from>
        <xdr:to>
          <xdr:col>7</xdr:col>
          <xdr:colOff>762000</xdr:colOff>
          <xdr:row>109</xdr:row>
          <xdr:rowOff>228600</xdr:rowOff>
        </xdr:to>
        <xdr:sp macro="" textlink="">
          <xdr:nvSpPr>
            <xdr:cNvPr id="8334" name="Check Box 142" hidden="1">
              <a:extLst>
                <a:ext uri="{63B3BB69-23CF-44E3-9099-C40C66FF867C}">
                  <a14:compatExt spid="_x0000_s8334"/>
                </a:ext>
                <a:ext uri="{FF2B5EF4-FFF2-40B4-BE49-F238E27FC236}">
                  <a16:creationId xmlns:a16="http://schemas.microsoft.com/office/drawing/2014/main" id="{00000000-0008-0000-0400-00008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109</xdr:row>
          <xdr:rowOff>9525</xdr:rowOff>
        </xdr:from>
        <xdr:to>
          <xdr:col>8</xdr:col>
          <xdr:colOff>762000</xdr:colOff>
          <xdr:row>109</xdr:row>
          <xdr:rowOff>228600</xdr:rowOff>
        </xdr:to>
        <xdr:sp macro="" textlink="">
          <xdr:nvSpPr>
            <xdr:cNvPr id="8335" name="Check Box 143" hidden="1">
              <a:extLst>
                <a:ext uri="{63B3BB69-23CF-44E3-9099-C40C66FF867C}">
                  <a14:compatExt spid="_x0000_s8335"/>
                </a:ext>
                <a:ext uri="{FF2B5EF4-FFF2-40B4-BE49-F238E27FC236}">
                  <a16:creationId xmlns:a16="http://schemas.microsoft.com/office/drawing/2014/main" id="{00000000-0008-0000-0400-00008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109</xdr:row>
          <xdr:rowOff>9525</xdr:rowOff>
        </xdr:from>
        <xdr:to>
          <xdr:col>9</xdr:col>
          <xdr:colOff>762000</xdr:colOff>
          <xdr:row>109</xdr:row>
          <xdr:rowOff>228600</xdr:rowOff>
        </xdr:to>
        <xdr:sp macro="" textlink="">
          <xdr:nvSpPr>
            <xdr:cNvPr id="8336" name="Check Box 144" hidden="1">
              <a:extLst>
                <a:ext uri="{63B3BB69-23CF-44E3-9099-C40C66FF867C}">
                  <a14:compatExt spid="_x0000_s8336"/>
                </a:ext>
                <a:ext uri="{FF2B5EF4-FFF2-40B4-BE49-F238E27FC236}">
                  <a16:creationId xmlns:a16="http://schemas.microsoft.com/office/drawing/2014/main" id="{00000000-0008-0000-0400-00009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110</xdr:row>
          <xdr:rowOff>0</xdr:rowOff>
        </xdr:from>
        <xdr:to>
          <xdr:col>6</xdr:col>
          <xdr:colOff>790575</xdr:colOff>
          <xdr:row>110</xdr:row>
          <xdr:rowOff>219075</xdr:rowOff>
        </xdr:to>
        <xdr:sp macro="" textlink="">
          <xdr:nvSpPr>
            <xdr:cNvPr id="8337" name="Check Box 145" hidden="1">
              <a:extLst>
                <a:ext uri="{63B3BB69-23CF-44E3-9099-C40C66FF867C}">
                  <a14:compatExt spid="_x0000_s8337"/>
                </a:ext>
                <a:ext uri="{FF2B5EF4-FFF2-40B4-BE49-F238E27FC236}">
                  <a16:creationId xmlns:a16="http://schemas.microsoft.com/office/drawing/2014/main" id="{00000000-0008-0000-0400-00009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110</xdr:row>
          <xdr:rowOff>0</xdr:rowOff>
        </xdr:from>
        <xdr:to>
          <xdr:col>5</xdr:col>
          <xdr:colOff>676275</xdr:colOff>
          <xdr:row>110</xdr:row>
          <xdr:rowOff>219075</xdr:rowOff>
        </xdr:to>
        <xdr:sp macro="" textlink="">
          <xdr:nvSpPr>
            <xdr:cNvPr id="8338" name="Check Box 146" hidden="1">
              <a:extLst>
                <a:ext uri="{63B3BB69-23CF-44E3-9099-C40C66FF867C}">
                  <a14:compatExt spid="_x0000_s8338"/>
                </a:ext>
                <a:ext uri="{FF2B5EF4-FFF2-40B4-BE49-F238E27FC236}">
                  <a16:creationId xmlns:a16="http://schemas.microsoft.com/office/drawing/2014/main" id="{00000000-0008-0000-0400-00009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110</xdr:row>
          <xdr:rowOff>9525</xdr:rowOff>
        </xdr:from>
        <xdr:to>
          <xdr:col>7</xdr:col>
          <xdr:colOff>762000</xdr:colOff>
          <xdr:row>110</xdr:row>
          <xdr:rowOff>228600</xdr:rowOff>
        </xdr:to>
        <xdr:sp macro="" textlink="">
          <xdr:nvSpPr>
            <xdr:cNvPr id="8339" name="Check Box 147" hidden="1">
              <a:extLst>
                <a:ext uri="{63B3BB69-23CF-44E3-9099-C40C66FF867C}">
                  <a14:compatExt spid="_x0000_s8339"/>
                </a:ext>
                <a:ext uri="{FF2B5EF4-FFF2-40B4-BE49-F238E27FC236}">
                  <a16:creationId xmlns:a16="http://schemas.microsoft.com/office/drawing/2014/main" id="{00000000-0008-0000-0400-00009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110</xdr:row>
          <xdr:rowOff>9525</xdr:rowOff>
        </xdr:from>
        <xdr:to>
          <xdr:col>8</xdr:col>
          <xdr:colOff>762000</xdr:colOff>
          <xdr:row>110</xdr:row>
          <xdr:rowOff>228600</xdr:rowOff>
        </xdr:to>
        <xdr:sp macro="" textlink="">
          <xdr:nvSpPr>
            <xdr:cNvPr id="8340" name="Check Box 148" hidden="1">
              <a:extLst>
                <a:ext uri="{63B3BB69-23CF-44E3-9099-C40C66FF867C}">
                  <a14:compatExt spid="_x0000_s8340"/>
                </a:ext>
                <a:ext uri="{FF2B5EF4-FFF2-40B4-BE49-F238E27FC236}">
                  <a16:creationId xmlns:a16="http://schemas.microsoft.com/office/drawing/2014/main" id="{00000000-0008-0000-0400-00009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110</xdr:row>
          <xdr:rowOff>9525</xdr:rowOff>
        </xdr:from>
        <xdr:to>
          <xdr:col>9</xdr:col>
          <xdr:colOff>762000</xdr:colOff>
          <xdr:row>110</xdr:row>
          <xdr:rowOff>228600</xdr:rowOff>
        </xdr:to>
        <xdr:sp macro="" textlink="">
          <xdr:nvSpPr>
            <xdr:cNvPr id="8341" name="Check Box 149" hidden="1">
              <a:extLst>
                <a:ext uri="{63B3BB69-23CF-44E3-9099-C40C66FF867C}">
                  <a14:compatExt spid="_x0000_s8341"/>
                </a:ext>
                <a:ext uri="{FF2B5EF4-FFF2-40B4-BE49-F238E27FC236}">
                  <a16:creationId xmlns:a16="http://schemas.microsoft.com/office/drawing/2014/main" id="{00000000-0008-0000-0400-00009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111</xdr:row>
          <xdr:rowOff>0</xdr:rowOff>
        </xdr:from>
        <xdr:to>
          <xdr:col>6</xdr:col>
          <xdr:colOff>790575</xdr:colOff>
          <xdr:row>111</xdr:row>
          <xdr:rowOff>219075</xdr:rowOff>
        </xdr:to>
        <xdr:sp macro="" textlink="">
          <xdr:nvSpPr>
            <xdr:cNvPr id="8342" name="Check Box 150" hidden="1">
              <a:extLst>
                <a:ext uri="{63B3BB69-23CF-44E3-9099-C40C66FF867C}">
                  <a14:compatExt spid="_x0000_s8342"/>
                </a:ext>
                <a:ext uri="{FF2B5EF4-FFF2-40B4-BE49-F238E27FC236}">
                  <a16:creationId xmlns:a16="http://schemas.microsoft.com/office/drawing/2014/main" id="{00000000-0008-0000-0400-00009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111</xdr:row>
          <xdr:rowOff>0</xdr:rowOff>
        </xdr:from>
        <xdr:to>
          <xdr:col>5</xdr:col>
          <xdr:colOff>676275</xdr:colOff>
          <xdr:row>111</xdr:row>
          <xdr:rowOff>219075</xdr:rowOff>
        </xdr:to>
        <xdr:sp macro="" textlink="">
          <xdr:nvSpPr>
            <xdr:cNvPr id="8343" name="Check Box 151" hidden="1">
              <a:extLst>
                <a:ext uri="{63B3BB69-23CF-44E3-9099-C40C66FF867C}">
                  <a14:compatExt spid="_x0000_s8343"/>
                </a:ext>
                <a:ext uri="{FF2B5EF4-FFF2-40B4-BE49-F238E27FC236}">
                  <a16:creationId xmlns:a16="http://schemas.microsoft.com/office/drawing/2014/main" id="{00000000-0008-0000-0400-00009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111</xdr:row>
          <xdr:rowOff>9525</xdr:rowOff>
        </xdr:from>
        <xdr:to>
          <xdr:col>7</xdr:col>
          <xdr:colOff>762000</xdr:colOff>
          <xdr:row>111</xdr:row>
          <xdr:rowOff>228600</xdr:rowOff>
        </xdr:to>
        <xdr:sp macro="" textlink="">
          <xdr:nvSpPr>
            <xdr:cNvPr id="8344" name="Check Box 152" hidden="1">
              <a:extLst>
                <a:ext uri="{63B3BB69-23CF-44E3-9099-C40C66FF867C}">
                  <a14:compatExt spid="_x0000_s8344"/>
                </a:ext>
                <a:ext uri="{FF2B5EF4-FFF2-40B4-BE49-F238E27FC236}">
                  <a16:creationId xmlns:a16="http://schemas.microsoft.com/office/drawing/2014/main" id="{00000000-0008-0000-0400-00009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111</xdr:row>
          <xdr:rowOff>9525</xdr:rowOff>
        </xdr:from>
        <xdr:to>
          <xdr:col>8</xdr:col>
          <xdr:colOff>762000</xdr:colOff>
          <xdr:row>111</xdr:row>
          <xdr:rowOff>228600</xdr:rowOff>
        </xdr:to>
        <xdr:sp macro="" textlink="">
          <xdr:nvSpPr>
            <xdr:cNvPr id="8345" name="Check Box 153" hidden="1">
              <a:extLst>
                <a:ext uri="{63B3BB69-23CF-44E3-9099-C40C66FF867C}">
                  <a14:compatExt spid="_x0000_s8345"/>
                </a:ext>
                <a:ext uri="{FF2B5EF4-FFF2-40B4-BE49-F238E27FC236}">
                  <a16:creationId xmlns:a16="http://schemas.microsoft.com/office/drawing/2014/main" id="{00000000-0008-0000-0400-00009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111</xdr:row>
          <xdr:rowOff>9525</xdr:rowOff>
        </xdr:from>
        <xdr:to>
          <xdr:col>9</xdr:col>
          <xdr:colOff>762000</xdr:colOff>
          <xdr:row>111</xdr:row>
          <xdr:rowOff>228600</xdr:rowOff>
        </xdr:to>
        <xdr:sp macro="" textlink="">
          <xdr:nvSpPr>
            <xdr:cNvPr id="8346" name="Check Box 154" hidden="1">
              <a:extLst>
                <a:ext uri="{63B3BB69-23CF-44E3-9099-C40C66FF867C}">
                  <a14:compatExt spid="_x0000_s8346"/>
                </a:ext>
                <a:ext uri="{FF2B5EF4-FFF2-40B4-BE49-F238E27FC236}">
                  <a16:creationId xmlns:a16="http://schemas.microsoft.com/office/drawing/2014/main" id="{00000000-0008-0000-0400-00009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112</xdr:row>
          <xdr:rowOff>0</xdr:rowOff>
        </xdr:from>
        <xdr:to>
          <xdr:col>6</xdr:col>
          <xdr:colOff>790575</xdr:colOff>
          <xdr:row>112</xdr:row>
          <xdr:rowOff>219075</xdr:rowOff>
        </xdr:to>
        <xdr:sp macro="" textlink="">
          <xdr:nvSpPr>
            <xdr:cNvPr id="8347" name="Check Box 155" hidden="1">
              <a:extLst>
                <a:ext uri="{63B3BB69-23CF-44E3-9099-C40C66FF867C}">
                  <a14:compatExt spid="_x0000_s8347"/>
                </a:ext>
                <a:ext uri="{FF2B5EF4-FFF2-40B4-BE49-F238E27FC236}">
                  <a16:creationId xmlns:a16="http://schemas.microsoft.com/office/drawing/2014/main" id="{00000000-0008-0000-0400-00009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112</xdr:row>
          <xdr:rowOff>0</xdr:rowOff>
        </xdr:from>
        <xdr:to>
          <xdr:col>5</xdr:col>
          <xdr:colOff>676275</xdr:colOff>
          <xdr:row>112</xdr:row>
          <xdr:rowOff>219075</xdr:rowOff>
        </xdr:to>
        <xdr:sp macro="" textlink="">
          <xdr:nvSpPr>
            <xdr:cNvPr id="8348" name="Check Box 156" hidden="1">
              <a:extLst>
                <a:ext uri="{63B3BB69-23CF-44E3-9099-C40C66FF867C}">
                  <a14:compatExt spid="_x0000_s8348"/>
                </a:ext>
                <a:ext uri="{FF2B5EF4-FFF2-40B4-BE49-F238E27FC236}">
                  <a16:creationId xmlns:a16="http://schemas.microsoft.com/office/drawing/2014/main" id="{00000000-0008-0000-0400-00009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112</xdr:row>
          <xdr:rowOff>9525</xdr:rowOff>
        </xdr:from>
        <xdr:to>
          <xdr:col>7</xdr:col>
          <xdr:colOff>762000</xdr:colOff>
          <xdr:row>112</xdr:row>
          <xdr:rowOff>228600</xdr:rowOff>
        </xdr:to>
        <xdr:sp macro="" textlink="">
          <xdr:nvSpPr>
            <xdr:cNvPr id="8349" name="Check Box 157" hidden="1">
              <a:extLst>
                <a:ext uri="{63B3BB69-23CF-44E3-9099-C40C66FF867C}">
                  <a14:compatExt spid="_x0000_s8349"/>
                </a:ext>
                <a:ext uri="{FF2B5EF4-FFF2-40B4-BE49-F238E27FC236}">
                  <a16:creationId xmlns:a16="http://schemas.microsoft.com/office/drawing/2014/main" id="{00000000-0008-0000-0400-00009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112</xdr:row>
          <xdr:rowOff>9525</xdr:rowOff>
        </xdr:from>
        <xdr:to>
          <xdr:col>8</xdr:col>
          <xdr:colOff>762000</xdr:colOff>
          <xdr:row>112</xdr:row>
          <xdr:rowOff>228600</xdr:rowOff>
        </xdr:to>
        <xdr:sp macro="" textlink="">
          <xdr:nvSpPr>
            <xdr:cNvPr id="8350" name="Check Box 158" hidden="1">
              <a:extLst>
                <a:ext uri="{63B3BB69-23CF-44E3-9099-C40C66FF867C}">
                  <a14:compatExt spid="_x0000_s8350"/>
                </a:ext>
                <a:ext uri="{FF2B5EF4-FFF2-40B4-BE49-F238E27FC236}">
                  <a16:creationId xmlns:a16="http://schemas.microsoft.com/office/drawing/2014/main" id="{00000000-0008-0000-0400-00009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112</xdr:row>
          <xdr:rowOff>9525</xdr:rowOff>
        </xdr:from>
        <xdr:to>
          <xdr:col>9</xdr:col>
          <xdr:colOff>762000</xdr:colOff>
          <xdr:row>112</xdr:row>
          <xdr:rowOff>228600</xdr:rowOff>
        </xdr:to>
        <xdr:sp macro="" textlink="">
          <xdr:nvSpPr>
            <xdr:cNvPr id="8351" name="Check Box 159" hidden="1">
              <a:extLst>
                <a:ext uri="{63B3BB69-23CF-44E3-9099-C40C66FF867C}">
                  <a14:compatExt spid="_x0000_s8351"/>
                </a:ext>
                <a:ext uri="{FF2B5EF4-FFF2-40B4-BE49-F238E27FC236}">
                  <a16:creationId xmlns:a16="http://schemas.microsoft.com/office/drawing/2014/main" id="{00000000-0008-0000-0400-00009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77</xdr:row>
          <xdr:rowOff>0</xdr:rowOff>
        </xdr:from>
        <xdr:to>
          <xdr:col>6</xdr:col>
          <xdr:colOff>790575</xdr:colOff>
          <xdr:row>77</xdr:row>
          <xdr:rowOff>219075</xdr:rowOff>
        </xdr:to>
        <xdr:sp macro="" textlink="">
          <xdr:nvSpPr>
            <xdr:cNvPr id="8352" name="Check Box 160" hidden="1">
              <a:extLst>
                <a:ext uri="{63B3BB69-23CF-44E3-9099-C40C66FF867C}">
                  <a14:compatExt spid="_x0000_s8352"/>
                </a:ext>
                <a:ext uri="{FF2B5EF4-FFF2-40B4-BE49-F238E27FC236}">
                  <a16:creationId xmlns:a16="http://schemas.microsoft.com/office/drawing/2014/main" id="{00000000-0008-0000-0400-0000A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77</xdr:row>
          <xdr:rowOff>0</xdr:rowOff>
        </xdr:from>
        <xdr:to>
          <xdr:col>5</xdr:col>
          <xdr:colOff>676275</xdr:colOff>
          <xdr:row>77</xdr:row>
          <xdr:rowOff>219075</xdr:rowOff>
        </xdr:to>
        <xdr:sp macro="" textlink="">
          <xdr:nvSpPr>
            <xdr:cNvPr id="8353" name="Check Box 161" hidden="1">
              <a:extLst>
                <a:ext uri="{63B3BB69-23CF-44E3-9099-C40C66FF867C}">
                  <a14:compatExt spid="_x0000_s8353"/>
                </a:ext>
                <a:ext uri="{FF2B5EF4-FFF2-40B4-BE49-F238E27FC236}">
                  <a16:creationId xmlns:a16="http://schemas.microsoft.com/office/drawing/2014/main" id="{00000000-0008-0000-0400-0000A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77</xdr:row>
          <xdr:rowOff>9525</xdr:rowOff>
        </xdr:from>
        <xdr:to>
          <xdr:col>7</xdr:col>
          <xdr:colOff>762000</xdr:colOff>
          <xdr:row>77</xdr:row>
          <xdr:rowOff>228600</xdr:rowOff>
        </xdr:to>
        <xdr:sp macro="" textlink="">
          <xdr:nvSpPr>
            <xdr:cNvPr id="8354" name="Check Box 162" hidden="1">
              <a:extLst>
                <a:ext uri="{63B3BB69-23CF-44E3-9099-C40C66FF867C}">
                  <a14:compatExt spid="_x0000_s8354"/>
                </a:ext>
                <a:ext uri="{FF2B5EF4-FFF2-40B4-BE49-F238E27FC236}">
                  <a16:creationId xmlns:a16="http://schemas.microsoft.com/office/drawing/2014/main" id="{00000000-0008-0000-0400-0000A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77</xdr:row>
          <xdr:rowOff>9525</xdr:rowOff>
        </xdr:from>
        <xdr:to>
          <xdr:col>8</xdr:col>
          <xdr:colOff>762000</xdr:colOff>
          <xdr:row>77</xdr:row>
          <xdr:rowOff>228600</xdr:rowOff>
        </xdr:to>
        <xdr:sp macro="" textlink="">
          <xdr:nvSpPr>
            <xdr:cNvPr id="8355" name="Check Box 163" hidden="1">
              <a:extLst>
                <a:ext uri="{63B3BB69-23CF-44E3-9099-C40C66FF867C}">
                  <a14:compatExt spid="_x0000_s8355"/>
                </a:ext>
                <a:ext uri="{FF2B5EF4-FFF2-40B4-BE49-F238E27FC236}">
                  <a16:creationId xmlns:a16="http://schemas.microsoft.com/office/drawing/2014/main" id="{00000000-0008-0000-0400-0000A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77</xdr:row>
          <xdr:rowOff>9525</xdr:rowOff>
        </xdr:from>
        <xdr:to>
          <xdr:col>9</xdr:col>
          <xdr:colOff>762000</xdr:colOff>
          <xdr:row>77</xdr:row>
          <xdr:rowOff>228600</xdr:rowOff>
        </xdr:to>
        <xdr:sp macro="" textlink="">
          <xdr:nvSpPr>
            <xdr:cNvPr id="8356" name="Check Box 164" hidden="1">
              <a:extLst>
                <a:ext uri="{63B3BB69-23CF-44E3-9099-C40C66FF867C}">
                  <a14:compatExt spid="_x0000_s8356"/>
                </a:ext>
                <a:ext uri="{FF2B5EF4-FFF2-40B4-BE49-F238E27FC236}">
                  <a16:creationId xmlns:a16="http://schemas.microsoft.com/office/drawing/2014/main" id="{00000000-0008-0000-0400-0000A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78</xdr:row>
          <xdr:rowOff>0</xdr:rowOff>
        </xdr:from>
        <xdr:to>
          <xdr:col>6</xdr:col>
          <xdr:colOff>790575</xdr:colOff>
          <xdr:row>78</xdr:row>
          <xdr:rowOff>219075</xdr:rowOff>
        </xdr:to>
        <xdr:sp macro="" textlink="">
          <xdr:nvSpPr>
            <xdr:cNvPr id="8357" name="Check Box 165" hidden="1">
              <a:extLst>
                <a:ext uri="{63B3BB69-23CF-44E3-9099-C40C66FF867C}">
                  <a14:compatExt spid="_x0000_s8357"/>
                </a:ext>
                <a:ext uri="{FF2B5EF4-FFF2-40B4-BE49-F238E27FC236}">
                  <a16:creationId xmlns:a16="http://schemas.microsoft.com/office/drawing/2014/main" id="{00000000-0008-0000-0400-0000A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78</xdr:row>
          <xdr:rowOff>0</xdr:rowOff>
        </xdr:from>
        <xdr:to>
          <xdr:col>5</xdr:col>
          <xdr:colOff>676275</xdr:colOff>
          <xdr:row>78</xdr:row>
          <xdr:rowOff>219075</xdr:rowOff>
        </xdr:to>
        <xdr:sp macro="" textlink="">
          <xdr:nvSpPr>
            <xdr:cNvPr id="8358" name="Check Box 166" hidden="1">
              <a:extLst>
                <a:ext uri="{63B3BB69-23CF-44E3-9099-C40C66FF867C}">
                  <a14:compatExt spid="_x0000_s8358"/>
                </a:ext>
                <a:ext uri="{FF2B5EF4-FFF2-40B4-BE49-F238E27FC236}">
                  <a16:creationId xmlns:a16="http://schemas.microsoft.com/office/drawing/2014/main" id="{00000000-0008-0000-0400-0000A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78</xdr:row>
          <xdr:rowOff>9525</xdr:rowOff>
        </xdr:from>
        <xdr:to>
          <xdr:col>7</xdr:col>
          <xdr:colOff>762000</xdr:colOff>
          <xdr:row>78</xdr:row>
          <xdr:rowOff>228600</xdr:rowOff>
        </xdr:to>
        <xdr:sp macro="" textlink="">
          <xdr:nvSpPr>
            <xdr:cNvPr id="8359" name="Check Box 167" hidden="1">
              <a:extLst>
                <a:ext uri="{63B3BB69-23CF-44E3-9099-C40C66FF867C}">
                  <a14:compatExt spid="_x0000_s8359"/>
                </a:ext>
                <a:ext uri="{FF2B5EF4-FFF2-40B4-BE49-F238E27FC236}">
                  <a16:creationId xmlns:a16="http://schemas.microsoft.com/office/drawing/2014/main" id="{00000000-0008-0000-0400-0000A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78</xdr:row>
          <xdr:rowOff>9525</xdr:rowOff>
        </xdr:from>
        <xdr:to>
          <xdr:col>8</xdr:col>
          <xdr:colOff>762000</xdr:colOff>
          <xdr:row>78</xdr:row>
          <xdr:rowOff>228600</xdr:rowOff>
        </xdr:to>
        <xdr:sp macro="" textlink="">
          <xdr:nvSpPr>
            <xdr:cNvPr id="8360" name="Check Box 168" hidden="1">
              <a:extLst>
                <a:ext uri="{63B3BB69-23CF-44E3-9099-C40C66FF867C}">
                  <a14:compatExt spid="_x0000_s8360"/>
                </a:ext>
                <a:ext uri="{FF2B5EF4-FFF2-40B4-BE49-F238E27FC236}">
                  <a16:creationId xmlns:a16="http://schemas.microsoft.com/office/drawing/2014/main" id="{00000000-0008-0000-0400-0000A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78</xdr:row>
          <xdr:rowOff>9525</xdr:rowOff>
        </xdr:from>
        <xdr:to>
          <xdr:col>9</xdr:col>
          <xdr:colOff>762000</xdr:colOff>
          <xdr:row>78</xdr:row>
          <xdr:rowOff>228600</xdr:rowOff>
        </xdr:to>
        <xdr:sp macro="" textlink="">
          <xdr:nvSpPr>
            <xdr:cNvPr id="8361" name="Check Box 169" hidden="1">
              <a:extLst>
                <a:ext uri="{63B3BB69-23CF-44E3-9099-C40C66FF867C}">
                  <a14:compatExt spid="_x0000_s8361"/>
                </a:ext>
                <a:ext uri="{FF2B5EF4-FFF2-40B4-BE49-F238E27FC236}">
                  <a16:creationId xmlns:a16="http://schemas.microsoft.com/office/drawing/2014/main" id="{00000000-0008-0000-0400-0000A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7</xdr:col>
      <xdr:colOff>619125</xdr:colOff>
      <xdr:row>6</xdr:row>
      <xdr:rowOff>104774</xdr:rowOff>
    </xdr:from>
    <xdr:to>
      <xdr:col>16</xdr:col>
      <xdr:colOff>209550</xdr:colOff>
      <xdr:row>14</xdr:row>
      <xdr:rowOff>117473</xdr:rowOff>
    </xdr:to>
    <xdr:graphicFrame macro="">
      <xdr:nvGraphicFramePr>
        <xdr:cNvPr id="2" name="Chart 1">
          <a:extLst>
            <a:ext uri="{FF2B5EF4-FFF2-40B4-BE49-F238E27FC236}">
              <a16:creationId xmlns:a16="http://schemas.microsoft.com/office/drawing/2014/main" id="{2C8A199C-7903-32AA-1EBF-4F608ABF4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63501</xdr:colOff>
      <xdr:row>22</xdr:row>
      <xdr:rowOff>63500</xdr:rowOff>
    </xdr:from>
    <xdr:to>
      <xdr:col>9</xdr:col>
      <xdr:colOff>352425</xdr:colOff>
      <xdr:row>32</xdr:row>
      <xdr:rowOff>161924</xdr:rowOff>
    </xdr:to>
    <xdr:graphicFrame macro="">
      <xdr:nvGraphicFramePr>
        <xdr:cNvPr id="9" name="Chart 8">
          <a:extLst>
            <a:ext uri="{FF2B5EF4-FFF2-40B4-BE49-F238E27FC236}">
              <a16:creationId xmlns:a16="http://schemas.microsoft.com/office/drawing/2014/main" id="{345D98F3-ECFF-CB3D-B93B-2584DBFE3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371474</xdr:colOff>
      <xdr:row>52</xdr:row>
      <xdr:rowOff>57150</xdr:rowOff>
    </xdr:from>
    <xdr:to>
      <xdr:col>5</xdr:col>
      <xdr:colOff>323849</xdr:colOff>
      <xdr:row>64</xdr:row>
      <xdr:rowOff>146050</xdr:rowOff>
    </xdr:to>
    <xdr:graphicFrame macro="">
      <xdr:nvGraphicFramePr>
        <xdr:cNvPr id="6" name="Chart 5">
          <a:extLst>
            <a:ext uri="{FF2B5EF4-FFF2-40B4-BE49-F238E27FC236}">
              <a16:creationId xmlns:a16="http://schemas.microsoft.com/office/drawing/2014/main" id="{345D98F3-ECFF-CB3D-B93B-2584DBFE3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762000</xdr:colOff>
      <xdr:row>52</xdr:row>
      <xdr:rowOff>47625</xdr:rowOff>
    </xdr:from>
    <xdr:to>
      <xdr:col>9</xdr:col>
      <xdr:colOff>200025</xdr:colOff>
      <xdr:row>64</xdr:row>
      <xdr:rowOff>136525</xdr:rowOff>
    </xdr:to>
    <xdr:graphicFrame macro="">
      <xdr:nvGraphicFramePr>
        <xdr:cNvPr id="8" name="Chart 7">
          <a:extLst>
            <a:ext uri="{FF2B5EF4-FFF2-40B4-BE49-F238E27FC236}">
              <a16:creationId xmlns:a16="http://schemas.microsoft.com/office/drawing/2014/main" id="{345D98F3-ECFF-CB3D-B93B-2584DBFE3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647700</xdr:colOff>
      <xdr:row>52</xdr:row>
      <xdr:rowOff>28575</xdr:rowOff>
    </xdr:from>
    <xdr:to>
      <xdr:col>13</xdr:col>
      <xdr:colOff>666750</xdr:colOff>
      <xdr:row>64</xdr:row>
      <xdr:rowOff>117475</xdr:rowOff>
    </xdr:to>
    <xdr:graphicFrame macro="">
      <xdr:nvGraphicFramePr>
        <xdr:cNvPr id="10" name="Chart 9">
          <a:extLst>
            <a:ext uri="{FF2B5EF4-FFF2-40B4-BE49-F238E27FC236}">
              <a16:creationId xmlns:a16="http://schemas.microsoft.com/office/drawing/2014/main" id="{345D98F3-ECFF-CB3D-B93B-2584DBFE3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440055</xdr:colOff>
      <xdr:row>1</xdr:row>
      <xdr:rowOff>177800</xdr:rowOff>
    </xdr:from>
    <xdr:to>
      <xdr:col>18</xdr:col>
      <xdr:colOff>436245</xdr:colOff>
      <xdr:row>1</xdr:row>
      <xdr:rowOff>177800</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16546830" y="377825"/>
          <a:ext cx="203454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310599</xdr:colOff>
      <xdr:row>3</xdr:row>
      <xdr:rowOff>0</xdr:rowOff>
    </xdr:from>
    <xdr:to>
      <xdr:col>3</xdr:col>
      <xdr:colOff>685800</xdr:colOff>
      <xdr:row>3</xdr:row>
      <xdr:rowOff>0</xdr:rowOff>
    </xdr:to>
    <xdr:cxnSp macro="">
      <xdr:nvCxnSpPr>
        <xdr:cNvPr id="2" name="Straight Connector 1">
          <a:extLst>
            <a:ext uri="{FF2B5EF4-FFF2-40B4-BE49-F238E27FC236}">
              <a16:creationId xmlns:a16="http://schemas.microsoft.com/office/drawing/2014/main" id="{00000000-0008-0000-0200-000002000000}"/>
            </a:ext>
          </a:extLst>
        </xdr:cNvPr>
        <xdr:cNvCxnSpPr/>
      </xdr:nvCxnSpPr>
      <xdr:spPr>
        <a:xfrm flipV="1">
          <a:off x="701124" y="609600"/>
          <a:ext cx="218495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866775</xdr:colOff>
      <xdr:row>3</xdr:row>
      <xdr:rowOff>9525</xdr:rowOff>
    </xdr:from>
    <xdr:to>
      <xdr:col>6</xdr:col>
      <xdr:colOff>1484700</xdr:colOff>
      <xdr:row>3</xdr:row>
      <xdr:rowOff>9525</xdr:rowOff>
    </xdr:to>
    <xdr:cxnSp macro="">
      <xdr:nvCxnSpPr>
        <xdr:cNvPr id="3" name="Line 3">
          <a:extLst>
            <a:ext uri="{FF2B5EF4-FFF2-40B4-BE49-F238E27FC236}">
              <a16:creationId xmlns:a16="http://schemas.microsoft.com/office/drawing/2014/main" id="{00000000-0008-0000-0200-000003000000}"/>
            </a:ext>
          </a:extLst>
        </xdr:cNvPr>
        <xdr:cNvCxnSpPr>
          <a:cxnSpLocks noChangeShapeType="1"/>
        </xdr:cNvCxnSpPr>
      </xdr:nvCxnSpPr>
      <xdr:spPr bwMode="auto">
        <a:xfrm>
          <a:off x="5905500" y="619125"/>
          <a:ext cx="18466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806450</xdr:colOff>
      <xdr:row>3</xdr:row>
      <xdr:rowOff>7938</xdr:rowOff>
    </xdr:from>
    <xdr:to>
      <xdr:col>2</xdr:col>
      <xdr:colOff>433388</xdr:colOff>
      <xdr:row>3</xdr:row>
      <xdr:rowOff>7938</xdr:rowOff>
    </xdr:to>
    <xdr:cxnSp macro="">
      <xdr:nvCxnSpPr>
        <xdr:cNvPr id="2" name="Straight Connector 1">
          <a:extLst>
            <a:ext uri="{FF2B5EF4-FFF2-40B4-BE49-F238E27FC236}">
              <a16:creationId xmlns:a16="http://schemas.microsoft.com/office/drawing/2014/main" id="{00000000-0008-0000-0300-000002000000}"/>
            </a:ext>
          </a:extLst>
        </xdr:cNvPr>
        <xdr:cNvCxnSpPr/>
      </xdr:nvCxnSpPr>
      <xdr:spPr>
        <a:xfrm>
          <a:off x="1358900" y="617538"/>
          <a:ext cx="112236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131762</xdr:colOff>
      <xdr:row>3</xdr:row>
      <xdr:rowOff>7937</xdr:rowOff>
    </xdr:from>
    <xdr:to>
      <xdr:col>36</xdr:col>
      <xdr:colOff>556012</xdr:colOff>
      <xdr:row>3</xdr:row>
      <xdr:rowOff>7937</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9799637" y="617537"/>
          <a:ext cx="16625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806450</xdr:colOff>
      <xdr:row>4</xdr:row>
      <xdr:rowOff>7938</xdr:rowOff>
    </xdr:from>
    <xdr:to>
      <xdr:col>2</xdr:col>
      <xdr:colOff>433388</xdr:colOff>
      <xdr:row>4</xdr:row>
      <xdr:rowOff>7938</xdr:rowOff>
    </xdr:to>
    <xdr:cxnSp macro="">
      <xdr:nvCxnSpPr>
        <xdr:cNvPr id="2" name="Straight Connector 1">
          <a:extLst>
            <a:ext uri="{FF2B5EF4-FFF2-40B4-BE49-F238E27FC236}">
              <a16:creationId xmlns:a16="http://schemas.microsoft.com/office/drawing/2014/main" id="{00000000-0008-0000-0400-000002000000}"/>
            </a:ext>
          </a:extLst>
        </xdr:cNvPr>
        <xdr:cNvCxnSpPr/>
      </xdr:nvCxnSpPr>
      <xdr:spPr>
        <a:xfrm>
          <a:off x="1358900" y="808038"/>
          <a:ext cx="112236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131762</xdr:colOff>
      <xdr:row>4</xdr:row>
      <xdr:rowOff>7937</xdr:rowOff>
    </xdr:from>
    <xdr:to>
      <xdr:col>36</xdr:col>
      <xdr:colOff>556012</xdr:colOff>
      <xdr:row>4</xdr:row>
      <xdr:rowOff>7937</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10742612" y="808037"/>
          <a:ext cx="17768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38</xdr:col>
      <xdr:colOff>0</xdr:colOff>
      <xdr:row>64</xdr:row>
      <xdr:rowOff>67235</xdr:rowOff>
    </xdr:from>
    <xdr:to>
      <xdr:col>41</xdr:col>
      <xdr:colOff>38521</xdr:colOff>
      <xdr:row>65</xdr:row>
      <xdr:rowOff>89647</xdr:rowOff>
    </xdr:to>
    <mc:AlternateContent xmlns:mc="http://schemas.openxmlformats.org/markup-compatibility/2006" xmlns:a14="http://schemas.microsoft.com/office/drawing/2010/main">
      <mc:Choice Requires="a14">
        <xdr:graphicFrame macro="">
          <xdr:nvGraphicFramePr>
            <xdr:cNvPr id="4" name="TÌNH TRẠNG PHÂN BỔ">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0/slicer">
              <sle:slicer xmlns:sle="http://schemas.microsoft.com/office/drawing/2010/slicer" name="TÌNH TRẠNG PHÂN BỔ"/>
            </a:graphicData>
          </a:graphic>
        </xdr:graphicFrame>
      </mc:Choice>
      <mc:Fallback xmlns="">
        <xdr:sp macro="" textlink="">
          <xdr:nvSpPr>
            <xdr:cNvPr id="0" name=""/>
            <xdr:cNvSpPr>
              <a:spLocks noTextEdit="1"/>
            </xdr:cNvSpPr>
          </xdr:nvSpPr>
          <xdr:spPr>
            <a:xfrm>
              <a:off x="13882688" y="12759298"/>
              <a:ext cx="1860177" cy="212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xdr:col>
      <xdr:colOff>1533901</xdr:colOff>
      <xdr:row>2</xdr:row>
      <xdr:rowOff>204111</xdr:rowOff>
    </xdr:from>
    <xdr:to>
      <xdr:col>3</xdr:col>
      <xdr:colOff>759288</xdr:colOff>
      <xdr:row>2</xdr:row>
      <xdr:rowOff>204111</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1914901" y="623211"/>
          <a:ext cx="216861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19050</xdr:colOff>
      <xdr:row>3</xdr:row>
      <xdr:rowOff>9525</xdr:rowOff>
    </xdr:from>
    <xdr:to>
      <xdr:col>22</xdr:col>
      <xdr:colOff>561975</xdr:colOff>
      <xdr:row>3</xdr:row>
      <xdr:rowOff>9526</xdr:rowOff>
    </xdr:to>
    <xdr:cxnSp macro="">
      <xdr:nvCxnSpPr>
        <xdr:cNvPr id="3" name="Straight Connector 2">
          <a:extLst>
            <a:ext uri="{FF2B5EF4-FFF2-40B4-BE49-F238E27FC236}">
              <a16:creationId xmlns:a16="http://schemas.microsoft.com/office/drawing/2014/main" id="{8E87A8EE-921C-4580-8DE7-572083F8C49E}"/>
            </a:ext>
          </a:extLst>
        </xdr:cNvPr>
        <xdr:cNvCxnSpPr/>
      </xdr:nvCxnSpPr>
      <xdr:spPr>
        <a:xfrm>
          <a:off x="18297525" y="638175"/>
          <a:ext cx="1371600"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730725</xdr:colOff>
      <xdr:row>2</xdr:row>
      <xdr:rowOff>9978</xdr:rowOff>
    </xdr:from>
    <xdr:to>
      <xdr:col>4</xdr:col>
      <xdr:colOff>601110</xdr:colOff>
      <xdr:row>2</xdr:row>
      <xdr:rowOff>9978</xdr:rowOff>
    </xdr:to>
    <xdr:cxnSp macro="">
      <xdr:nvCxnSpPr>
        <xdr:cNvPr id="2" name="Straight Connector 1">
          <a:extLst>
            <a:ext uri="{FF2B5EF4-FFF2-40B4-BE49-F238E27FC236}">
              <a16:creationId xmlns:a16="http://schemas.microsoft.com/office/drawing/2014/main" id="{00000000-0008-0000-0E00-000002000000}"/>
            </a:ext>
          </a:extLst>
        </xdr:cNvPr>
        <xdr:cNvCxnSpPr/>
      </xdr:nvCxnSpPr>
      <xdr:spPr>
        <a:xfrm>
          <a:off x="1721325" y="543378"/>
          <a:ext cx="187063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61632</xdr:colOff>
      <xdr:row>1</xdr:row>
      <xdr:rowOff>233589</xdr:rowOff>
    </xdr:from>
    <xdr:to>
      <xdr:col>24</xdr:col>
      <xdr:colOff>849300</xdr:colOff>
      <xdr:row>1</xdr:row>
      <xdr:rowOff>233589</xdr:rowOff>
    </xdr:to>
    <xdr:cxnSp macro="">
      <xdr:nvCxnSpPr>
        <xdr:cNvPr id="3" name="Straight Connector 2">
          <a:extLst>
            <a:ext uri="{FF2B5EF4-FFF2-40B4-BE49-F238E27FC236}">
              <a16:creationId xmlns:a16="http://schemas.microsoft.com/office/drawing/2014/main" id="{00000000-0008-0000-0E00-000003000000}"/>
            </a:ext>
          </a:extLst>
        </xdr:cNvPr>
        <xdr:cNvCxnSpPr/>
      </xdr:nvCxnSpPr>
      <xdr:spPr>
        <a:xfrm>
          <a:off x="18016257" y="509814"/>
          <a:ext cx="1311543"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536461</xdr:colOff>
      <xdr:row>2</xdr:row>
      <xdr:rowOff>200025</xdr:rowOff>
    </xdr:from>
    <xdr:to>
      <xdr:col>1</xdr:col>
      <xdr:colOff>1868461</xdr:colOff>
      <xdr:row>2</xdr:row>
      <xdr:rowOff>200025</xdr:rowOff>
    </xdr:to>
    <xdr:cxnSp macro="">
      <xdr:nvCxnSpPr>
        <xdr:cNvPr id="2" name="Straight Connector 1">
          <a:extLst>
            <a:ext uri="{FF2B5EF4-FFF2-40B4-BE49-F238E27FC236}">
              <a16:creationId xmlns:a16="http://schemas.microsoft.com/office/drawing/2014/main" id="{00000000-0008-0000-0100-000002000000}"/>
            </a:ext>
          </a:extLst>
        </xdr:cNvPr>
        <xdr:cNvCxnSpPr/>
      </xdr:nvCxnSpPr>
      <xdr:spPr>
        <a:xfrm flipV="1">
          <a:off x="888886" y="619125"/>
          <a:ext cx="12558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288811</xdr:colOff>
      <xdr:row>3</xdr:row>
      <xdr:rowOff>9525</xdr:rowOff>
    </xdr:from>
    <xdr:to>
      <xdr:col>14</xdr:col>
      <xdr:colOff>282286</xdr:colOff>
      <xdr:row>3</xdr:row>
      <xdr:rowOff>9525</xdr:rowOff>
    </xdr:to>
    <xdr:cxnSp macro="">
      <xdr:nvCxnSpPr>
        <xdr:cNvPr id="3" name="Straight Connector 2">
          <a:extLst>
            <a:ext uri="{FF2B5EF4-FFF2-40B4-BE49-F238E27FC236}">
              <a16:creationId xmlns:a16="http://schemas.microsoft.com/office/drawing/2014/main" id="{C2C311BB-CED6-47CC-902A-A2B107FBD00D}"/>
            </a:ext>
          </a:extLst>
        </xdr:cNvPr>
        <xdr:cNvCxnSpPr/>
      </xdr:nvCxnSpPr>
      <xdr:spPr>
        <a:xfrm flipV="1">
          <a:off x="8470786" y="638175"/>
          <a:ext cx="16698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TAI%20LIEU%20THANH\THANHTT24\LUONG\LUONG%202019\THANH-VE%20NHA\THANH-VE%20NHA\PHAN%20BO%20THANG%203\VTTEK-Luong%20thang%2003-2018_ban%20cho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uonghtt22\Desktop\huonghtt22_VDI\1.%20VHT\CHI%20PHI%20NHAN%20CONG\202506\BANG%20LUONG\VHT.Luong_Thang_06_2025_OK_CHOT%20(lan%202).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duyennt5\AppData\Local\Temp\20190329125456_13793_VRD_DanhsachTrichngangQuansoThuongxuye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P.%20TCL&#272;\CP%20NHAN%20CONG\PHAN%20BO%20NHAN%20CONG\Bang%20cham%20cong\PBNC%20THANG%2006.202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P.%20TCL&#272;\CP%20NHAN%20CONG\PHAN%20BO%20NHAN%20CONG\VHT_Phan%20bo%20CPNC%20T6.2025_TH.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P.%20TCL&#272;\CP%20NHAN%20CONG\PHAN%20BO%20NHAN%20CONG\VHT_Phan%20bo%20CPNC%20T6.2025_full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thulh\Desktop\DATABASE_Temp\DATABASE_202506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K-MB"/>
      <sheetName val="BTH-KPCD"/>
      <sheetName val="BCK-khac MB"/>
      <sheetName val="BCT-KPCD"/>
      <sheetName val="BTH-NV"/>
      <sheetName val="BCT-NV (CK)"/>
      <sheetName val="BCT-NV (TM)"/>
      <sheetName val="BTH-DV"/>
      <sheetName val="BCT-DV (CK)"/>
      <sheetName val="BCT-DV (TM)"/>
      <sheetName val="check BCT"/>
      <sheetName val="DM don vi"/>
    </sheetNames>
    <sheetDataSet>
      <sheetData sheetId="0" refreshError="1"/>
      <sheetData sheetId="1" refreshError="1"/>
      <sheetData sheetId="2" refreshError="1"/>
      <sheetData sheetId="3" refreshError="1"/>
      <sheetData sheetId="4" refreshError="1"/>
      <sheetData sheetId="5" refreshError="1">
        <row r="14">
          <cell r="D14" t="str">
            <v>042114</v>
          </cell>
          <cell r="BB14" t="str">
            <v>in</v>
          </cell>
        </row>
        <row r="15">
          <cell r="D15" t="str">
            <v>004011</v>
          </cell>
          <cell r="BB15" t="str">
            <v>in</v>
          </cell>
        </row>
        <row r="16">
          <cell r="D16" t="str">
            <v>009646</v>
          </cell>
          <cell r="BB16" t="str">
            <v>in</v>
          </cell>
        </row>
        <row r="17">
          <cell r="D17" t="str">
            <v>106799</v>
          </cell>
          <cell r="BB17" t="str">
            <v>in</v>
          </cell>
        </row>
        <row r="18">
          <cell r="D18" t="str">
            <v>019658</v>
          </cell>
          <cell r="BB18" t="str">
            <v>in</v>
          </cell>
        </row>
        <row r="19">
          <cell r="D19" t="str">
            <v>045191</v>
          </cell>
          <cell r="BB19" t="str">
            <v>in</v>
          </cell>
        </row>
        <row r="20">
          <cell r="D20" t="str">
            <v>116660</v>
          </cell>
          <cell r="BB20" t="str">
            <v>in</v>
          </cell>
        </row>
        <row r="21">
          <cell r="D21" t="str">
            <v>125508</v>
          </cell>
          <cell r="BB21" t="str">
            <v>in</v>
          </cell>
        </row>
        <row r="22">
          <cell r="D22" t="str">
            <v>112898</v>
          </cell>
          <cell r="BB22" t="str">
            <v>in</v>
          </cell>
        </row>
        <row r="23">
          <cell r="D23" t="str">
            <v>000370</v>
          </cell>
          <cell r="BB23" t="str">
            <v>in</v>
          </cell>
        </row>
        <row r="24">
          <cell r="D24" t="str">
            <v>016474</v>
          </cell>
          <cell r="BB24" t="str">
            <v>in</v>
          </cell>
        </row>
        <row r="25">
          <cell r="D25" t="str">
            <v>017260</v>
          </cell>
          <cell r="BB25" t="str">
            <v>in</v>
          </cell>
        </row>
        <row r="26">
          <cell r="D26" t="str">
            <v>051073</v>
          </cell>
          <cell r="BB26" t="str">
            <v>in</v>
          </cell>
        </row>
        <row r="27">
          <cell r="D27" t="str">
            <v>065624</v>
          </cell>
          <cell r="BB27" t="str">
            <v>in</v>
          </cell>
        </row>
        <row r="28">
          <cell r="D28" t="str">
            <v>067078</v>
          </cell>
          <cell r="BB28" t="str">
            <v>in</v>
          </cell>
        </row>
        <row r="29">
          <cell r="D29" t="str">
            <v>078615</v>
          </cell>
          <cell r="BB29" t="str">
            <v>in</v>
          </cell>
        </row>
        <row r="30">
          <cell r="D30" t="str">
            <v>130470</v>
          </cell>
          <cell r="BB30" t="str">
            <v>in</v>
          </cell>
        </row>
        <row r="31">
          <cell r="D31" t="str">
            <v>071839</v>
          </cell>
          <cell r="BB31" t="str">
            <v>in</v>
          </cell>
        </row>
        <row r="32">
          <cell r="D32" t="str">
            <v>075875</v>
          </cell>
          <cell r="BB32" t="str">
            <v>in</v>
          </cell>
        </row>
        <row r="33">
          <cell r="D33" t="str">
            <v>122816</v>
          </cell>
          <cell r="BB33" t="str">
            <v>in</v>
          </cell>
        </row>
        <row r="34">
          <cell r="D34" t="str">
            <v>078195</v>
          </cell>
          <cell r="BB34" t="str">
            <v>in</v>
          </cell>
        </row>
        <row r="35">
          <cell r="D35" t="str">
            <v>127412</v>
          </cell>
          <cell r="BB35" t="str">
            <v>in</v>
          </cell>
        </row>
        <row r="36">
          <cell r="D36" t="str">
            <v>198237</v>
          </cell>
          <cell r="BB36" t="str">
            <v>in</v>
          </cell>
        </row>
        <row r="37">
          <cell r="D37" t="str">
            <v>202074</v>
          </cell>
          <cell r="BB37" t="str">
            <v>in</v>
          </cell>
        </row>
        <row r="38">
          <cell r="D38" t="str">
            <v>022294</v>
          </cell>
          <cell r="BB38" t="str">
            <v>in</v>
          </cell>
        </row>
        <row r="39">
          <cell r="D39" t="str">
            <v>193132</v>
          </cell>
          <cell r="BB39" t="str">
            <v>in</v>
          </cell>
        </row>
        <row r="40">
          <cell r="D40" t="str">
            <v>006843</v>
          </cell>
          <cell r="BB40" t="str">
            <v>in</v>
          </cell>
        </row>
        <row r="41">
          <cell r="D41" t="str">
            <v>057098</v>
          </cell>
          <cell r="BB41" t="str">
            <v>in</v>
          </cell>
        </row>
        <row r="42">
          <cell r="D42" t="str">
            <v>091597</v>
          </cell>
          <cell r="BB42" t="str">
            <v>in</v>
          </cell>
        </row>
        <row r="43">
          <cell r="D43" t="str">
            <v>202113</v>
          </cell>
          <cell r="BB43" t="str">
            <v>in</v>
          </cell>
        </row>
        <row r="44">
          <cell r="D44" t="str">
            <v>202156</v>
          </cell>
          <cell r="BB44" t="str">
            <v>in</v>
          </cell>
        </row>
        <row r="45">
          <cell r="D45" t="str">
            <v>027117</v>
          </cell>
          <cell r="BB45" t="str">
            <v>in</v>
          </cell>
        </row>
        <row r="46">
          <cell r="D46" t="str">
            <v>058224</v>
          </cell>
          <cell r="BB46" t="str">
            <v>in</v>
          </cell>
        </row>
        <row r="47">
          <cell r="D47" t="str">
            <v>087338</v>
          </cell>
          <cell r="BB47" t="str">
            <v>in</v>
          </cell>
        </row>
        <row r="48">
          <cell r="D48" t="str">
            <v>190459</v>
          </cell>
          <cell r="BB48" t="str">
            <v>in</v>
          </cell>
        </row>
        <row r="49">
          <cell r="D49" t="str">
            <v>192701</v>
          </cell>
          <cell r="BB49" t="str">
            <v>in</v>
          </cell>
        </row>
        <row r="50">
          <cell r="D50" t="str">
            <v>196219</v>
          </cell>
          <cell r="BB50" t="str">
            <v>in</v>
          </cell>
        </row>
        <row r="51">
          <cell r="D51" t="str">
            <v>202114</v>
          </cell>
          <cell r="BB51" t="str">
            <v>in</v>
          </cell>
        </row>
        <row r="52">
          <cell r="D52" t="str">
            <v>009028</v>
          </cell>
          <cell r="BB52" t="str">
            <v>in</v>
          </cell>
        </row>
        <row r="53">
          <cell r="D53" t="str">
            <v>009556</v>
          </cell>
          <cell r="BB53" t="str">
            <v>in</v>
          </cell>
        </row>
        <row r="54">
          <cell r="D54" t="str">
            <v>026567</v>
          </cell>
          <cell r="BB54" t="str">
            <v>in</v>
          </cell>
        </row>
        <row r="55">
          <cell r="D55" t="str">
            <v>055313</v>
          </cell>
          <cell r="BB55" t="str">
            <v>in</v>
          </cell>
        </row>
        <row r="56">
          <cell r="D56" t="str">
            <v>071735</v>
          </cell>
          <cell r="BB56" t="str">
            <v>in</v>
          </cell>
        </row>
        <row r="57">
          <cell r="D57" t="str">
            <v>103148</v>
          </cell>
          <cell r="BB57" t="str">
            <v>in</v>
          </cell>
        </row>
        <row r="58">
          <cell r="D58" t="str">
            <v>121879</v>
          </cell>
          <cell r="BB58" t="str">
            <v>in</v>
          </cell>
        </row>
        <row r="59">
          <cell r="D59" t="str">
            <v>122340</v>
          </cell>
          <cell r="BB59" t="str">
            <v>in</v>
          </cell>
        </row>
        <row r="60">
          <cell r="D60" t="str">
            <v>130568</v>
          </cell>
          <cell r="BB60" t="str">
            <v>in</v>
          </cell>
        </row>
        <row r="61">
          <cell r="D61" t="str">
            <v>155353</v>
          </cell>
          <cell r="BB61" t="str">
            <v>in</v>
          </cell>
        </row>
        <row r="62">
          <cell r="D62" t="str">
            <v>161616</v>
          </cell>
          <cell r="BB62" t="str">
            <v>in</v>
          </cell>
        </row>
        <row r="63">
          <cell r="D63" t="str">
            <v>185333</v>
          </cell>
          <cell r="BB63" t="str">
            <v>in</v>
          </cell>
        </row>
        <row r="64">
          <cell r="D64" t="str">
            <v>196695</v>
          </cell>
          <cell r="BB64" t="str">
            <v>in</v>
          </cell>
        </row>
        <row r="65">
          <cell r="D65" t="str">
            <v>199468</v>
          </cell>
          <cell r="BB65" t="str">
            <v>in</v>
          </cell>
        </row>
        <row r="66">
          <cell r="D66" t="str">
            <v>075775</v>
          </cell>
          <cell r="BB66" t="str">
            <v>in</v>
          </cell>
        </row>
        <row r="67">
          <cell r="D67" t="str">
            <v>071779</v>
          </cell>
          <cell r="BB67" t="str">
            <v>in</v>
          </cell>
        </row>
        <row r="68">
          <cell r="D68" t="str">
            <v>079564</v>
          </cell>
          <cell r="BB68" t="str">
            <v>in</v>
          </cell>
        </row>
        <row r="69">
          <cell r="D69" t="str">
            <v>092082</v>
          </cell>
          <cell r="BB69" t="str">
            <v>in</v>
          </cell>
        </row>
        <row r="70">
          <cell r="D70" t="str">
            <v>102016</v>
          </cell>
          <cell r="BB70" t="str">
            <v>in</v>
          </cell>
        </row>
        <row r="71">
          <cell r="D71" t="str">
            <v>171667</v>
          </cell>
          <cell r="BB71" t="str">
            <v>in</v>
          </cell>
        </row>
        <row r="72">
          <cell r="D72" t="str">
            <v>184914</v>
          </cell>
          <cell r="BB72" t="str">
            <v>in</v>
          </cell>
        </row>
        <row r="73">
          <cell r="D73" t="str">
            <v>198496</v>
          </cell>
          <cell r="BB73" t="str">
            <v>in</v>
          </cell>
        </row>
        <row r="74">
          <cell r="D74" t="str">
            <v>198511</v>
          </cell>
          <cell r="BB74" t="str">
            <v>in</v>
          </cell>
        </row>
        <row r="75">
          <cell r="D75" t="str">
            <v>198516</v>
          </cell>
          <cell r="BB75" t="str">
            <v>in</v>
          </cell>
        </row>
        <row r="76">
          <cell r="D76" t="str">
            <v>198735</v>
          </cell>
          <cell r="BB76" t="str">
            <v>in</v>
          </cell>
        </row>
        <row r="77">
          <cell r="D77" t="str">
            <v>199100</v>
          </cell>
          <cell r="BB77" t="str">
            <v>in</v>
          </cell>
        </row>
        <row r="78">
          <cell r="D78" t="str">
            <v>204656</v>
          </cell>
          <cell r="BB78" t="str">
            <v>in</v>
          </cell>
        </row>
        <row r="79">
          <cell r="D79" t="str">
            <v>196208</v>
          </cell>
          <cell r="BB79" t="str">
            <v>in</v>
          </cell>
        </row>
        <row r="80">
          <cell r="D80" t="str">
            <v>140155</v>
          </cell>
          <cell r="BB80" t="str">
            <v>in</v>
          </cell>
        </row>
        <row r="81">
          <cell r="D81" t="str">
            <v>166924</v>
          </cell>
          <cell r="BB81" t="str">
            <v>in</v>
          </cell>
        </row>
        <row r="82">
          <cell r="D82" t="str">
            <v>175276</v>
          </cell>
          <cell r="BB82" t="str">
            <v>in</v>
          </cell>
        </row>
        <row r="83">
          <cell r="D83" t="str">
            <v>194835</v>
          </cell>
          <cell r="BB83" t="str">
            <v>in</v>
          </cell>
        </row>
        <row r="84">
          <cell r="D84" t="str">
            <v>199394</v>
          </cell>
          <cell r="BB84" t="str">
            <v>in</v>
          </cell>
        </row>
        <row r="85">
          <cell r="D85" t="str">
            <v>202013</v>
          </cell>
          <cell r="BB85" t="str">
            <v>in</v>
          </cell>
        </row>
        <row r="86">
          <cell r="D86" t="str">
            <v>047512</v>
          </cell>
          <cell r="BB86" t="str">
            <v>in</v>
          </cell>
        </row>
        <row r="87">
          <cell r="D87" t="str">
            <v>205153</v>
          </cell>
          <cell r="BB87" t="str">
            <v>in</v>
          </cell>
        </row>
        <row r="88">
          <cell r="D88" t="str">
            <v>188478</v>
          </cell>
          <cell r="BB88" t="str">
            <v>in</v>
          </cell>
        </row>
        <row r="89">
          <cell r="D89" t="str">
            <v>207460</v>
          </cell>
          <cell r="BB89" t="str">
            <v>in</v>
          </cell>
        </row>
        <row r="90">
          <cell r="D90" t="str">
            <v>208945</v>
          </cell>
          <cell r="BB90" t="str">
            <v>in</v>
          </cell>
        </row>
        <row r="91">
          <cell r="D91" t="str">
            <v>209615</v>
          </cell>
          <cell r="BB91" t="str">
            <v>in</v>
          </cell>
        </row>
        <row r="92">
          <cell r="D92" t="str">
            <v>211958</v>
          </cell>
          <cell r="BB92" t="str">
            <v>in</v>
          </cell>
        </row>
        <row r="93">
          <cell r="D93" t="str">
            <v>213126</v>
          </cell>
          <cell r="BB93" t="str">
            <v>in</v>
          </cell>
        </row>
        <row r="94">
          <cell r="D94" t="str">
            <v>140799</v>
          </cell>
          <cell r="BB94" t="str">
            <v>in</v>
          </cell>
        </row>
        <row r="95">
          <cell r="D95" t="str">
            <v>153773</v>
          </cell>
          <cell r="BB95" t="str">
            <v>in</v>
          </cell>
        </row>
        <row r="96">
          <cell r="D96" t="str">
            <v>204703</v>
          </cell>
          <cell r="BB96" t="str">
            <v>in</v>
          </cell>
        </row>
        <row r="97">
          <cell r="D97" t="str">
            <v>083801</v>
          </cell>
          <cell r="BB97" t="str">
            <v>in</v>
          </cell>
        </row>
        <row r="98">
          <cell r="D98" t="str">
            <v>121861</v>
          </cell>
          <cell r="BB98" t="str">
            <v>in</v>
          </cell>
        </row>
        <row r="99">
          <cell r="D99" t="str">
            <v>085337</v>
          </cell>
          <cell r="BB99" t="str">
            <v>in</v>
          </cell>
        </row>
        <row r="100">
          <cell r="D100" t="str">
            <v>195453</v>
          </cell>
          <cell r="BB100" t="str">
            <v>in</v>
          </cell>
        </row>
        <row r="101">
          <cell r="D101" t="str">
            <v>130469</v>
          </cell>
          <cell r="BB101" t="str">
            <v>in</v>
          </cell>
        </row>
        <row r="102">
          <cell r="D102" t="str">
            <v>227796</v>
          </cell>
          <cell r="BB102" t="str">
            <v>in</v>
          </cell>
        </row>
        <row r="103">
          <cell r="D103" t="str">
            <v>206262</v>
          </cell>
          <cell r="BB103" t="str">
            <v>in</v>
          </cell>
        </row>
        <row r="104">
          <cell r="D104" t="str">
            <v>206802</v>
          </cell>
          <cell r="BB104" t="str">
            <v>in</v>
          </cell>
        </row>
        <row r="105">
          <cell r="D105" t="str">
            <v>209555</v>
          </cell>
          <cell r="BB105" t="str">
            <v>in</v>
          </cell>
        </row>
        <row r="106">
          <cell r="D106" t="str">
            <v>214703</v>
          </cell>
          <cell r="BB106" t="str">
            <v>in</v>
          </cell>
        </row>
        <row r="107">
          <cell r="D107" t="str">
            <v>214806</v>
          </cell>
          <cell r="BB107" t="str">
            <v>in</v>
          </cell>
        </row>
        <row r="108">
          <cell r="D108" t="str">
            <v>226773</v>
          </cell>
          <cell r="BB108" t="str">
            <v>in</v>
          </cell>
        </row>
        <row r="109">
          <cell r="D109" t="str">
            <v>110558</v>
          </cell>
          <cell r="BB109" t="str">
            <v>in</v>
          </cell>
        </row>
        <row r="110">
          <cell r="D110" t="str">
            <v>218528</v>
          </cell>
          <cell r="BB110" t="str">
            <v>in</v>
          </cell>
        </row>
        <row r="111">
          <cell r="D111" t="str">
            <v>221196</v>
          </cell>
          <cell r="BB111" t="str">
            <v>in</v>
          </cell>
        </row>
        <row r="112">
          <cell r="D112" t="str">
            <v>228399</v>
          </cell>
          <cell r="BB112" t="str">
            <v>in</v>
          </cell>
        </row>
        <row r="113">
          <cell r="D113" t="str">
            <v>207653</v>
          </cell>
          <cell r="BB113" t="str">
            <v>in</v>
          </cell>
        </row>
        <row r="114">
          <cell r="D114" t="str">
            <v>125636</v>
          </cell>
          <cell r="BB114" t="str">
            <v>in</v>
          </cell>
        </row>
        <row r="115">
          <cell r="D115" t="str">
            <v>206438</v>
          </cell>
          <cell r="BB115" t="str">
            <v>in</v>
          </cell>
        </row>
        <row r="116">
          <cell r="D116" t="str">
            <v>095676</v>
          </cell>
          <cell r="BB116" t="str">
            <v>in</v>
          </cell>
        </row>
        <row r="117">
          <cell r="D117" t="str">
            <v>109958</v>
          </cell>
          <cell r="BB117" t="str">
            <v>in</v>
          </cell>
        </row>
        <row r="118">
          <cell r="D118" t="str">
            <v>120350</v>
          </cell>
          <cell r="BB118" t="str">
            <v>in</v>
          </cell>
        </row>
        <row r="119">
          <cell r="D119" t="str">
            <v>092260</v>
          </cell>
          <cell r="BB119" t="str">
            <v>in</v>
          </cell>
        </row>
        <row r="120">
          <cell r="D120" t="str">
            <v>121232</v>
          </cell>
          <cell r="BB120" t="str">
            <v>in</v>
          </cell>
        </row>
        <row r="121">
          <cell r="D121" t="str">
            <v>137620</v>
          </cell>
          <cell r="BB121" t="str">
            <v>in</v>
          </cell>
        </row>
        <row r="122">
          <cell r="D122" t="str">
            <v>165014</v>
          </cell>
          <cell r="BB122" t="str">
            <v>in</v>
          </cell>
        </row>
        <row r="123">
          <cell r="D123" t="str">
            <v>185497</v>
          </cell>
          <cell r="BB123" t="str">
            <v>in</v>
          </cell>
        </row>
        <row r="124">
          <cell r="D124" t="str">
            <v>194824</v>
          </cell>
          <cell r="BB124" t="str">
            <v>in</v>
          </cell>
        </row>
        <row r="125">
          <cell r="D125" t="str">
            <v>194826</v>
          </cell>
          <cell r="BB125" t="str">
            <v>in</v>
          </cell>
        </row>
        <row r="126">
          <cell r="D126" t="str">
            <v>194845</v>
          </cell>
          <cell r="BB126" t="str">
            <v>in</v>
          </cell>
        </row>
        <row r="127">
          <cell r="D127" t="str">
            <v>198494</v>
          </cell>
          <cell r="BB127" t="str">
            <v>in</v>
          </cell>
        </row>
        <row r="128">
          <cell r="D128" t="str">
            <v>198512</v>
          </cell>
          <cell r="BB128" t="str">
            <v>in</v>
          </cell>
        </row>
        <row r="129">
          <cell r="D129" t="str">
            <v>198513</v>
          </cell>
          <cell r="BB129" t="str">
            <v>in</v>
          </cell>
        </row>
        <row r="130">
          <cell r="D130" t="str">
            <v>198836</v>
          </cell>
          <cell r="BB130" t="str">
            <v>in</v>
          </cell>
        </row>
        <row r="131">
          <cell r="D131" t="str">
            <v>199314</v>
          </cell>
          <cell r="BB131" t="str">
            <v>in</v>
          </cell>
        </row>
        <row r="132">
          <cell r="D132" t="str">
            <v>199317</v>
          </cell>
          <cell r="BB132" t="str">
            <v>in</v>
          </cell>
        </row>
        <row r="133">
          <cell r="D133" t="str">
            <v>226529</v>
          </cell>
          <cell r="BB133" t="str">
            <v>in</v>
          </cell>
        </row>
        <row r="134">
          <cell r="D134" t="str">
            <v>186794</v>
          </cell>
          <cell r="BB134" t="str">
            <v>in</v>
          </cell>
        </row>
        <row r="135">
          <cell r="D135" t="str">
            <v>198557</v>
          </cell>
          <cell r="BB135" t="str">
            <v>in</v>
          </cell>
        </row>
        <row r="136">
          <cell r="D136" t="str">
            <v>199099</v>
          </cell>
          <cell r="BB136" t="str">
            <v>in</v>
          </cell>
        </row>
        <row r="137">
          <cell r="D137" t="str">
            <v>204843</v>
          </cell>
          <cell r="BB137" t="str">
            <v>in</v>
          </cell>
        </row>
        <row r="138">
          <cell r="D138" t="str">
            <v>206463</v>
          </cell>
          <cell r="BB138" t="str">
            <v>in</v>
          </cell>
        </row>
        <row r="139">
          <cell r="D139" t="str">
            <v>214110</v>
          </cell>
          <cell r="BB139" t="str">
            <v>in</v>
          </cell>
        </row>
        <row r="140">
          <cell r="D140" t="str">
            <v>217297</v>
          </cell>
          <cell r="BB140" t="str">
            <v>in</v>
          </cell>
        </row>
        <row r="141">
          <cell r="D141" t="str">
            <v>056995</v>
          </cell>
          <cell r="BB141" t="str">
            <v>in</v>
          </cell>
        </row>
        <row r="142">
          <cell r="D142" t="str">
            <v>019662</v>
          </cell>
          <cell r="BB142" t="str">
            <v>in</v>
          </cell>
        </row>
        <row r="143">
          <cell r="D143" t="str">
            <v>045853</v>
          </cell>
          <cell r="BB143" t="str">
            <v>in</v>
          </cell>
        </row>
        <row r="144">
          <cell r="D144" t="str">
            <v>066972</v>
          </cell>
          <cell r="BB144" t="str">
            <v>in</v>
          </cell>
        </row>
        <row r="145">
          <cell r="D145" t="str">
            <v>081530</v>
          </cell>
          <cell r="BB145" t="str">
            <v>in</v>
          </cell>
        </row>
        <row r="146">
          <cell r="D146" t="str">
            <v>199315</v>
          </cell>
          <cell r="BB146" t="str">
            <v>in</v>
          </cell>
        </row>
        <row r="147">
          <cell r="D147" t="str">
            <v>199319</v>
          </cell>
          <cell r="BB147" t="str">
            <v>in</v>
          </cell>
        </row>
        <row r="148">
          <cell r="D148" t="str">
            <v>204631</v>
          </cell>
          <cell r="BB148" t="str">
            <v>in</v>
          </cell>
        </row>
        <row r="149">
          <cell r="D149" t="str">
            <v>204988</v>
          </cell>
          <cell r="BB149" t="str">
            <v>in</v>
          </cell>
        </row>
        <row r="150">
          <cell r="D150" t="str">
            <v>206742</v>
          </cell>
          <cell r="BB150" t="str">
            <v>in</v>
          </cell>
        </row>
        <row r="151">
          <cell r="D151" t="str">
            <v>207456</v>
          </cell>
          <cell r="BB151" t="str">
            <v>in</v>
          </cell>
        </row>
        <row r="152">
          <cell r="D152" t="str">
            <v>212743</v>
          </cell>
          <cell r="BB152" t="str">
            <v>in</v>
          </cell>
        </row>
        <row r="153">
          <cell r="D153" t="str">
            <v>159778</v>
          </cell>
          <cell r="BB153" t="str">
            <v>in</v>
          </cell>
        </row>
        <row r="154">
          <cell r="D154" t="str">
            <v>194840</v>
          </cell>
          <cell r="BB154" t="str">
            <v>in</v>
          </cell>
        </row>
        <row r="155">
          <cell r="D155" t="str">
            <v>194846</v>
          </cell>
          <cell r="BB155" t="str">
            <v>in</v>
          </cell>
        </row>
        <row r="156">
          <cell r="D156" t="str">
            <v>196241</v>
          </cell>
          <cell r="BB156" t="str">
            <v>in</v>
          </cell>
        </row>
        <row r="157">
          <cell r="D157" t="str">
            <v>199754</v>
          </cell>
          <cell r="BB157" t="str">
            <v>in</v>
          </cell>
        </row>
        <row r="158">
          <cell r="D158" t="str">
            <v>199757</v>
          </cell>
          <cell r="BB158" t="str">
            <v>in</v>
          </cell>
        </row>
        <row r="159">
          <cell r="D159" t="str">
            <v>202093</v>
          </cell>
          <cell r="BB159" t="str">
            <v>in</v>
          </cell>
        </row>
        <row r="160">
          <cell r="D160" t="str">
            <v>204707</v>
          </cell>
          <cell r="BB160" t="str">
            <v>in</v>
          </cell>
        </row>
        <row r="161">
          <cell r="D161" t="str">
            <v>207688</v>
          </cell>
          <cell r="BB161" t="str">
            <v>in</v>
          </cell>
        </row>
        <row r="162">
          <cell r="D162" t="str">
            <v>217280</v>
          </cell>
          <cell r="BB162" t="str">
            <v>in</v>
          </cell>
        </row>
        <row r="163">
          <cell r="D163" t="str">
            <v>123637</v>
          </cell>
          <cell r="BB163" t="str">
            <v>in</v>
          </cell>
        </row>
        <row r="164">
          <cell r="D164" t="str">
            <v>098699</v>
          </cell>
          <cell r="BB164" t="str">
            <v>in</v>
          </cell>
        </row>
        <row r="165">
          <cell r="D165" t="str">
            <v>154073</v>
          </cell>
          <cell r="BB165" t="str">
            <v>in</v>
          </cell>
        </row>
        <row r="166">
          <cell r="D166" t="str">
            <v>155713</v>
          </cell>
          <cell r="BB166" t="str">
            <v>in</v>
          </cell>
        </row>
        <row r="167">
          <cell r="D167" t="str">
            <v>155714</v>
          </cell>
          <cell r="BB167" t="str">
            <v>in</v>
          </cell>
        </row>
        <row r="168">
          <cell r="D168" t="str">
            <v>192602</v>
          </cell>
          <cell r="BB168" t="str">
            <v>in</v>
          </cell>
        </row>
        <row r="169">
          <cell r="D169" t="str">
            <v>194836</v>
          </cell>
          <cell r="BB169" t="str">
            <v>in</v>
          </cell>
        </row>
        <row r="170">
          <cell r="D170" t="str">
            <v>213932</v>
          </cell>
          <cell r="BB170" t="str">
            <v>in</v>
          </cell>
        </row>
        <row r="171">
          <cell r="D171" t="str">
            <v>225033</v>
          </cell>
          <cell r="BB171" t="str">
            <v>in</v>
          </cell>
        </row>
        <row r="172">
          <cell r="D172" t="str">
            <v>210968</v>
          </cell>
          <cell r="BB172" t="str">
            <v>in</v>
          </cell>
        </row>
        <row r="173">
          <cell r="D173" t="str">
            <v>144033</v>
          </cell>
          <cell r="BB173" t="str">
            <v>in</v>
          </cell>
        </row>
        <row r="174">
          <cell r="D174" t="str">
            <v>154093</v>
          </cell>
          <cell r="BB174" t="str">
            <v>in</v>
          </cell>
        </row>
        <row r="175">
          <cell r="D175" t="str">
            <v>080794</v>
          </cell>
          <cell r="BB175" t="str">
            <v>in</v>
          </cell>
        </row>
        <row r="176">
          <cell r="D176" t="str">
            <v>004110</v>
          </cell>
          <cell r="BB176" t="str">
            <v>in</v>
          </cell>
        </row>
        <row r="177">
          <cell r="D177" t="str">
            <v>017245</v>
          </cell>
          <cell r="BB177" t="str">
            <v>in</v>
          </cell>
        </row>
        <row r="178">
          <cell r="D178" t="str">
            <v>071850</v>
          </cell>
          <cell r="BB178" t="str">
            <v>in</v>
          </cell>
        </row>
        <row r="179">
          <cell r="D179" t="str">
            <v>122226</v>
          </cell>
          <cell r="BB179" t="str">
            <v>in</v>
          </cell>
        </row>
        <row r="180">
          <cell r="D180" t="str">
            <v>125172</v>
          </cell>
          <cell r="BB180" t="str">
            <v>in</v>
          </cell>
        </row>
        <row r="181">
          <cell r="D181" t="str">
            <v>196174</v>
          </cell>
          <cell r="BB181" t="str">
            <v>in</v>
          </cell>
        </row>
        <row r="182">
          <cell r="D182" t="str">
            <v>227950</v>
          </cell>
          <cell r="BB182" t="str">
            <v>in</v>
          </cell>
        </row>
        <row r="183">
          <cell r="D183" t="str">
            <v>149273</v>
          </cell>
          <cell r="BB183" t="str">
            <v>in</v>
          </cell>
        </row>
        <row r="184">
          <cell r="D184" t="str">
            <v>196202</v>
          </cell>
          <cell r="BB184" t="str">
            <v>in</v>
          </cell>
        </row>
        <row r="185">
          <cell r="D185" t="str">
            <v>198497</v>
          </cell>
          <cell r="BB185" t="str">
            <v>in</v>
          </cell>
        </row>
        <row r="186">
          <cell r="D186" t="str">
            <v>199309</v>
          </cell>
          <cell r="BB186" t="str">
            <v>in</v>
          </cell>
        </row>
        <row r="187">
          <cell r="D187" t="str">
            <v>199310</v>
          </cell>
          <cell r="BB187" t="str">
            <v>in</v>
          </cell>
        </row>
        <row r="188">
          <cell r="D188" t="str">
            <v>206412</v>
          </cell>
          <cell r="BB188" t="str">
            <v>in</v>
          </cell>
        </row>
        <row r="189">
          <cell r="D189" t="str">
            <v>216020</v>
          </cell>
          <cell r="BB189" t="str">
            <v>in</v>
          </cell>
        </row>
        <row r="190">
          <cell r="D190" t="str">
            <v>047735</v>
          </cell>
          <cell r="BB190" t="str">
            <v>in</v>
          </cell>
        </row>
        <row r="191">
          <cell r="D191" t="str">
            <v>155718</v>
          </cell>
          <cell r="BB191" t="str">
            <v>in</v>
          </cell>
        </row>
        <row r="192">
          <cell r="D192" t="str">
            <v>199307</v>
          </cell>
          <cell r="BB192" t="str">
            <v>in</v>
          </cell>
        </row>
        <row r="193">
          <cell r="D193" t="str">
            <v>206741</v>
          </cell>
          <cell r="BB193" t="str">
            <v>in</v>
          </cell>
        </row>
        <row r="194">
          <cell r="D194" t="str">
            <v>207844</v>
          </cell>
          <cell r="BB194" t="str">
            <v>in</v>
          </cell>
        </row>
        <row r="195">
          <cell r="D195" t="str">
            <v>209840</v>
          </cell>
          <cell r="BB195" t="str">
            <v>in</v>
          </cell>
        </row>
        <row r="196">
          <cell r="D196" t="str">
            <v>213928</v>
          </cell>
          <cell r="BB196" t="str">
            <v>in</v>
          </cell>
        </row>
        <row r="197">
          <cell r="D197" t="str">
            <v>204662</v>
          </cell>
          <cell r="BB197" t="str">
            <v>in</v>
          </cell>
        </row>
        <row r="198">
          <cell r="D198" t="str">
            <v>227673</v>
          </cell>
          <cell r="BB198" t="str">
            <v>in</v>
          </cell>
        </row>
        <row r="199">
          <cell r="D199" t="str">
            <v>153053</v>
          </cell>
          <cell r="BB199" t="str">
            <v>in</v>
          </cell>
        </row>
        <row r="200">
          <cell r="D200" t="str">
            <v>171666</v>
          </cell>
          <cell r="BB200" t="str">
            <v>in</v>
          </cell>
        </row>
        <row r="201">
          <cell r="D201" t="str">
            <v>192598</v>
          </cell>
          <cell r="BB201" t="str">
            <v>in</v>
          </cell>
        </row>
        <row r="202">
          <cell r="D202" t="str">
            <v>205150</v>
          </cell>
          <cell r="BB202" t="str">
            <v>in</v>
          </cell>
        </row>
        <row r="203">
          <cell r="D203" t="str">
            <v>206462</v>
          </cell>
          <cell r="BB203" t="str">
            <v>in</v>
          </cell>
        </row>
        <row r="204">
          <cell r="D204" t="str">
            <v>211320</v>
          </cell>
          <cell r="BB204" t="str">
            <v>in</v>
          </cell>
        </row>
        <row r="205">
          <cell r="D205" t="str">
            <v>213521</v>
          </cell>
          <cell r="BB205" t="str">
            <v>in</v>
          </cell>
        </row>
        <row r="206">
          <cell r="D206" t="str">
            <v>159777</v>
          </cell>
          <cell r="BB206" t="str">
            <v>in</v>
          </cell>
        </row>
        <row r="207">
          <cell r="D207" t="str">
            <v>102022</v>
          </cell>
          <cell r="BB207" t="str">
            <v>in</v>
          </cell>
        </row>
        <row r="208">
          <cell r="D208" t="str">
            <v>137615</v>
          </cell>
          <cell r="BB208" t="str">
            <v>in</v>
          </cell>
        </row>
        <row r="209">
          <cell r="D209" t="str">
            <v>155717</v>
          </cell>
          <cell r="BB209" t="str">
            <v>in</v>
          </cell>
        </row>
        <row r="210">
          <cell r="D210" t="str">
            <v>158074</v>
          </cell>
          <cell r="BB210" t="str">
            <v>in</v>
          </cell>
        </row>
        <row r="211">
          <cell r="D211" t="str">
            <v>158154</v>
          </cell>
          <cell r="BB211" t="str">
            <v>in</v>
          </cell>
        </row>
        <row r="212">
          <cell r="D212" t="str">
            <v>204660</v>
          </cell>
          <cell r="BB212" t="str">
            <v>in</v>
          </cell>
        </row>
        <row r="213">
          <cell r="D213" t="str">
            <v>213523</v>
          </cell>
          <cell r="BB213" t="str">
            <v>in</v>
          </cell>
        </row>
        <row r="214">
          <cell r="D214" t="str">
            <v>047561</v>
          </cell>
          <cell r="BB214" t="str">
            <v>in</v>
          </cell>
        </row>
        <row r="215">
          <cell r="D215" t="str">
            <v>109018</v>
          </cell>
          <cell r="BB215" t="str">
            <v>in</v>
          </cell>
        </row>
        <row r="216">
          <cell r="D216" t="str">
            <v>127496</v>
          </cell>
          <cell r="BB216" t="str">
            <v>in</v>
          </cell>
        </row>
        <row r="217">
          <cell r="D217" t="str">
            <v>204317</v>
          </cell>
          <cell r="BB217" t="str">
            <v>in</v>
          </cell>
        </row>
        <row r="218">
          <cell r="D218" t="str">
            <v>216017</v>
          </cell>
          <cell r="BB218" t="str">
            <v>in</v>
          </cell>
        </row>
        <row r="219">
          <cell r="D219" t="str">
            <v>217274</v>
          </cell>
          <cell r="BB219" t="str">
            <v>in</v>
          </cell>
        </row>
        <row r="220">
          <cell r="D220" t="str">
            <v>217278</v>
          </cell>
          <cell r="BB220" t="str">
            <v>in</v>
          </cell>
        </row>
        <row r="221">
          <cell r="D221" t="str">
            <v>169194</v>
          </cell>
          <cell r="BB221" t="str">
            <v>in</v>
          </cell>
        </row>
        <row r="222">
          <cell r="D222" t="str">
            <v>134597</v>
          </cell>
          <cell r="BB222" t="str">
            <v>in</v>
          </cell>
        </row>
        <row r="223">
          <cell r="D223" t="str">
            <v>177564</v>
          </cell>
          <cell r="BB223" t="str">
            <v>in</v>
          </cell>
        </row>
        <row r="224">
          <cell r="D224" t="str">
            <v>192595</v>
          </cell>
          <cell r="BB224" t="str">
            <v>in</v>
          </cell>
        </row>
        <row r="225">
          <cell r="D225" t="str">
            <v>154973</v>
          </cell>
          <cell r="BB225" t="str">
            <v>in</v>
          </cell>
        </row>
        <row r="226">
          <cell r="D226" t="str">
            <v>122270</v>
          </cell>
          <cell r="BB226" t="str">
            <v>in</v>
          </cell>
        </row>
        <row r="227">
          <cell r="D227" t="str">
            <v>204986</v>
          </cell>
          <cell r="BB227" t="str">
            <v>in</v>
          </cell>
        </row>
        <row r="228">
          <cell r="D228" t="str">
            <v>208457</v>
          </cell>
          <cell r="BB228" t="str">
            <v>in</v>
          </cell>
        </row>
        <row r="229">
          <cell r="D229" t="str">
            <v>217279</v>
          </cell>
          <cell r="BB229" t="str">
            <v>in</v>
          </cell>
        </row>
        <row r="230">
          <cell r="D230" t="str">
            <v>217281</v>
          </cell>
          <cell r="BB230" t="str">
            <v>in</v>
          </cell>
        </row>
        <row r="231">
          <cell r="D231" t="str">
            <v>191693</v>
          </cell>
          <cell r="BB231" t="str">
            <v>in</v>
          </cell>
        </row>
        <row r="232">
          <cell r="D232" t="str">
            <v>196200</v>
          </cell>
          <cell r="BB232" t="str">
            <v>in</v>
          </cell>
        </row>
        <row r="233">
          <cell r="D233" t="str">
            <v>198507</v>
          </cell>
          <cell r="BB233" t="str">
            <v>in</v>
          </cell>
        </row>
        <row r="234">
          <cell r="D234" t="str">
            <v>198556</v>
          </cell>
          <cell r="BB234" t="str">
            <v>in</v>
          </cell>
        </row>
        <row r="235">
          <cell r="D235" t="str">
            <v>209837</v>
          </cell>
          <cell r="BB235" t="str">
            <v>in</v>
          </cell>
        </row>
        <row r="236">
          <cell r="D236" t="str">
            <v>065452</v>
          </cell>
          <cell r="BB236" t="str">
            <v>in</v>
          </cell>
        </row>
        <row r="237">
          <cell r="D237" t="str">
            <v>070324</v>
          </cell>
          <cell r="BB237" t="str">
            <v>in</v>
          </cell>
        </row>
        <row r="238">
          <cell r="D238" t="str">
            <v>102077</v>
          </cell>
          <cell r="BB238" t="str">
            <v>in</v>
          </cell>
        </row>
        <row r="239">
          <cell r="D239" t="str">
            <v>198504</v>
          </cell>
          <cell r="BB239" t="str">
            <v>in</v>
          </cell>
        </row>
        <row r="240">
          <cell r="D240" t="str">
            <v>191573</v>
          </cell>
          <cell r="BB240" t="str">
            <v>in</v>
          </cell>
        </row>
        <row r="241">
          <cell r="D241" t="str">
            <v>208402</v>
          </cell>
          <cell r="BB241" t="str">
            <v>in</v>
          </cell>
        </row>
        <row r="242">
          <cell r="D242" t="str">
            <v>219123</v>
          </cell>
          <cell r="BB242" t="str">
            <v>in</v>
          </cell>
        </row>
        <row r="243">
          <cell r="D243" t="str">
            <v>218689</v>
          </cell>
          <cell r="BB243" t="str">
            <v>in</v>
          </cell>
        </row>
        <row r="244">
          <cell r="D244" t="str">
            <v>119561</v>
          </cell>
          <cell r="BB244" t="str">
            <v>in</v>
          </cell>
        </row>
        <row r="245">
          <cell r="D245" t="str">
            <v>196295</v>
          </cell>
          <cell r="BB245" t="str">
            <v>in</v>
          </cell>
        </row>
        <row r="246">
          <cell r="D246" t="str">
            <v>198508</v>
          </cell>
          <cell r="BB246" t="str">
            <v>in</v>
          </cell>
        </row>
        <row r="247">
          <cell r="D247" t="str">
            <v>218881</v>
          </cell>
          <cell r="BB247" t="str">
            <v>in</v>
          </cell>
        </row>
        <row r="248">
          <cell r="D248" t="str">
            <v>214477</v>
          </cell>
          <cell r="BB248" t="str">
            <v>in</v>
          </cell>
        </row>
        <row r="249">
          <cell r="D249" t="str">
            <v>116661</v>
          </cell>
          <cell r="BB249" t="str">
            <v>in</v>
          </cell>
        </row>
        <row r="250">
          <cell r="D250" t="str">
            <v>182577</v>
          </cell>
          <cell r="BB250" t="str">
            <v>in</v>
          </cell>
        </row>
        <row r="251">
          <cell r="D251" t="str">
            <v>206120</v>
          </cell>
          <cell r="BB251" t="str">
            <v>in</v>
          </cell>
        </row>
        <row r="252">
          <cell r="D252" t="str">
            <v>206280</v>
          </cell>
          <cell r="BB252" t="str">
            <v>in</v>
          </cell>
        </row>
        <row r="253">
          <cell r="D253" t="str">
            <v>116662</v>
          </cell>
          <cell r="BB253" t="str">
            <v>in</v>
          </cell>
        </row>
        <row r="254">
          <cell r="D254" t="str">
            <v>217275</v>
          </cell>
          <cell r="BB254" t="str">
            <v>in</v>
          </cell>
        </row>
        <row r="255">
          <cell r="D255" t="str">
            <v>134569</v>
          </cell>
          <cell r="BB255" t="str">
            <v>in</v>
          </cell>
        </row>
        <row r="256">
          <cell r="D256" t="str">
            <v>218135</v>
          </cell>
          <cell r="BB256" t="str">
            <v>in</v>
          </cell>
        </row>
        <row r="257">
          <cell r="D257" t="str">
            <v>096877</v>
          </cell>
          <cell r="BB257" t="str">
            <v>in</v>
          </cell>
        </row>
        <row r="258">
          <cell r="D258" t="str">
            <v>070872</v>
          </cell>
          <cell r="BB258" t="str">
            <v>in</v>
          </cell>
        </row>
        <row r="259">
          <cell r="D259" t="str">
            <v>094479</v>
          </cell>
          <cell r="BB259" t="str">
            <v>in</v>
          </cell>
        </row>
        <row r="260">
          <cell r="D260" t="str">
            <v>166921</v>
          </cell>
          <cell r="BB260" t="str">
            <v>in</v>
          </cell>
        </row>
        <row r="261">
          <cell r="D261" t="str">
            <v>175278</v>
          </cell>
          <cell r="BB261" t="str">
            <v>in</v>
          </cell>
        </row>
        <row r="262">
          <cell r="D262" t="str">
            <v>196250</v>
          </cell>
          <cell r="BB262" t="str">
            <v>in</v>
          </cell>
        </row>
        <row r="263">
          <cell r="D263" t="str">
            <v>198502</v>
          </cell>
          <cell r="BB263" t="str">
            <v>in</v>
          </cell>
        </row>
        <row r="264">
          <cell r="D264" t="str">
            <v>202158</v>
          </cell>
          <cell r="BB264" t="str">
            <v>in</v>
          </cell>
        </row>
        <row r="265">
          <cell r="D265" t="str">
            <v>219122</v>
          </cell>
          <cell r="BB265" t="str">
            <v>in</v>
          </cell>
        </row>
        <row r="266">
          <cell r="D266" t="str">
            <v>084922</v>
          </cell>
          <cell r="BB266" t="str">
            <v>in</v>
          </cell>
        </row>
        <row r="267">
          <cell r="D267" t="str">
            <v>168273</v>
          </cell>
          <cell r="BB267" t="str">
            <v>in</v>
          </cell>
        </row>
        <row r="268">
          <cell r="D268" t="str">
            <v>188238</v>
          </cell>
          <cell r="BB268" t="str">
            <v>in</v>
          </cell>
        </row>
        <row r="269">
          <cell r="D269" t="str">
            <v>202155</v>
          </cell>
          <cell r="BB269" t="str">
            <v>in</v>
          </cell>
        </row>
        <row r="270">
          <cell r="D270" t="str">
            <v>204708</v>
          </cell>
          <cell r="BB270" t="str">
            <v>in</v>
          </cell>
        </row>
        <row r="271">
          <cell r="D271" t="str">
            <v>207689</v>
          </cell>
          <cell r="BB271" t="str">
            <v>in</v>
          </cell>
        </row>
        <row r="272">
          <cell r="D272" t="str">
            <v>058347</v>
          </cell>
          <cell r="BB272" t="str">
            <v>in</v>
          </cell>
        </row>
        <row r="273">
          <cell r="D273" t="str">
            <v>100176</v>
          </cell>
          <cell r="BB273" t="str">
            <v>in</v>
          </cell>
        </row>
        <row r="274">
          <cell r="D274" t="str">
            <v>177560</v>
          </cell>
          <cell r="BB274" t="str">
            <v>in</v>
          </cell>
        </row>
        <row r="275">
          <cell r="D275" t="str">
            <v>194627</v>
          </cell>
          <cell r="BB275" t="str">
            <v>in</v>
          </cell>
        </row>
        <row r="276">
          <cell r="D276" t="str">
            <v>206261</v>
          </cell>
          <cell r="BB276" t="str">
            <v>in</v>
          </cell>
        </row>
        <row r="277">
          <cell r="D277" t="str">
            <v>164175</v>
          </cell>
          <cell r="BB277" t="str">
            <v>in</v>
          </cell>
        </row>
        <row r="278">
          <cell r="D278" t="str">
            <v>196177</v>
          </cell>
          <cell r="BB278" t="str">
            <v>in</v>
          </cell>
        </row>
        <row r="279">
          <cell r="D279" t="str">
            <v>196188</v>
          </cell>
          <cell r="BB279" t="str">
            <v>in</v>
          </cell>
        </row>
        <row r="280">
          <cell r="D280" t="str">
            <v>207855</v>
          </cell>
          <cell r="BB280" t="str">
            <v>in</v>
          </cell>
        </row>
        <row r="281">
          <cell r="D281" t="str">
            <v>208988</v>
          </cell>
          <cell r="BB281" t="str">
            <v>in</v>
          </cell>
        </row>
        <row r="282">
          <cell r="D282" t="str">
            <v>210358</v>
          </cell>
          <cell r="BB282" t="str">
            <v>in</v>
          </cell>
        </row>
        <row r="283">
          <cell r="D283" t="str">
            <v>218485</v>
          </cell>
          <cell r="BB283" t="str">
            <v>in</v>
          </cell>
        </row>
        <row r="284">
          <cell r="D284" t="str">
            <v>129859</v>
          </cell>
          <cell r="BB284" t="str">
            <v>in</v>
          </cell>
        </row>
        <row r="285">
          <cell r="D285" t="str">
            <v>206456</v>
          </cell>
          <cell r="BB285" t="str">
            <v>in</v>
          </cell>
        </row>
        <row r="286">
          <cell r="D286" t="str">
            <v>206414</v>
          </cell>
          <cell r="BB286" t="str">
            <v>in</v>
          </cell>
        </row>
        <row r="287">
          <cell r="D287" t="str">
            <v>207778</v>
          </cell>
          <cell r="BB287" t="str">
            <v>in</v>
          </cell>
        </row>
        <row r="288">
          <cell r="D288" t="str">
            <v>207779</v>
          </cell>
          <cell r="BB288" t="str">
            <v>in</v>
          </cell>
        </row>
        <row r="289">
          <cell r="D289" t="str">
            <v>207802</v>
          </cell>
          <cell r="BB289" t="str">
            <v>in</v>
          </cell>
        </row>
        <row r="290">
          <cell r="D290" t="str">
            <v>154974</v>
          </cell>
          <cell r="BB290" t="str">
            <v>in</v>
          </cell>
        </row>
        <row r="291">
          <cell r="D291" t="str">
            <v>207843</v>
          </cell>
          <cell r="BB291" t="str">
            <v>in</v>
          </cell>
        </row>
        <row r="292">
          <cell r="D292" t="str">
            <v>204451</v>
          </cell>
          <cell r="BB292" t="str">
            <v>in</v>
          </cell>
        </row>
        <row r="293">
          <cell r="D293" t="str">
            <v>204685</v>
          </cell>
          <cell r="BB293" t="str">
            <v>in</v>
          </cell>
        </row>
        <row r="294">
          <cell r="D294" t="str">
            <v>204686</v>
          </cell>
          <cell r="BB294" t="str">
            <v>in</v>
          </cell>
        </row>
        <row r="295">
          <cell r="D295" t="str">
            <v>213931</v>
          </cell>
          <cell r="BB295" t="str">
            <v>in</v>
          </cell>
        </row>
        <row r="296">
          <cell r="D296" t="str">
            <v>220153</v>
          </cell>
          <cell r="BB296" t="str">
            <v>in</v>
          </cell>
        </row>
        <row r="297">
          <cell r="D297" t="str">
            <v>098288</v>
          </cell>
          <cell r="BB297" t="str">
            <v>in</v>
          </cell>
        </row>
        <row r="298">
          <cell r="D298" t="str">
            <v>177561</v>
          </cell>
          <cell r="BB298" t="str">
            <v>in</v>
          </cell>
        </row>
        <row r="299">
          <cell r="D299" t="str">
            <v>064348</v>
          </cell>
          <cell r="BB299" t="str">
            <v>in</v>
          </cell>
        </row>
        <row r="300">
          <cell r="D300" t="str">
            <v>121486</v>
          </cell>
          <cell r="BB300" t="str">
            <v>in</v>
          </cell>
        </row>
        <row r="301">
          <cell r="D301" t="str">
            <v>076402</v>
          </cell>
          <cell r="BB301" t="str">
            <v>in</v>
          </cell>
        </row>
        <row r="302">
          <cell r="D302" t="str">
            <v>196248</v>
          </cell>
          <cell r="BB302" t="str">
            <v>in</v>
          </cell>
        </row>
        <row r="303">
          <cell r="D303" t="str">
            <v>206287</v>
          </cell>
          <cell r="BB303" t="str">
            <v>in</v>
          </cell>
        </row>
        <row r="304">
          <cell r="D304" t="str">
            <v>121864</v>
          </cell>
          <cell r="BB304" t="str">
            <v>in</v>
          </cell>
        </row>
        <row r="305">
          <cell r="D305" t="str">
            <v>177559</v>
          </cell>
          <cell r="BB305" t="str">
            <v>in</v>
          </cell>
        </row>
        <row r="306">
          <cell r="D306" t="str">
            <v>171668</v>
          </cell>
          <cell r="BB306" t="str">
            <v>in</v>
          </cell>
        </row>
        <row r="307">
          <cell r="D307" t="str">
            <v>202015</v>
          </cell>
          <cell r="BB307" t="str">
            <v>in</v>
          </cell>
        </row>
        <row r="308">
          <cell r="D308" t="str">
            <v>196195</v>
          </cell>
          <cell r="BB308" t="str">
            <v>in</v>
          </cell>
        </row>
        <row r="309">
          <cell r="D309" t="str">
            <v>198503</v>
          </cell>
          <cell r="BB309" t="str">
            <v>in</v>
          </cell>
        </row>
        <row r="310">
          <cell r="D310" t="str">
            <v>098698</v>
          </cell>
          <cell r="BB310" t="str">
            <v>in</v>
          </cell>
        </row>
        <row r="311">
          <cell r="D311" t="str">
            <v>011220</v>
          </cell>
          <cell r="BB311" t="str">
            <v>in</v>
          </cell>
        </row>
        <row r="312">
          <cell r="D312" t="str">
            <v>170638</v>
          </cell>
          <cell r="BB312" t="str">
            <v>in</v>
          </cell>
        </row>
        <row r="313">
          <cell r="D313" t="str">
            <v>198505</v>
          </cell>
          <cell r="BB313" t="str">
            <v>in</v>
          </cell>
        </row>
        <row r="314">
          <cell r="D314" t="str">
            <v>208987</v>
          </cell>
          <cell r="BB314" t="str">
            <v>in</v>
          </cell>
        </row>
        <row r="315">
          <cell r="D315" t="str">
            <v>194854</v>
          </cell>
          <cell r="BB315" t="str">
            <v>in</v>
          </cell>
        </row>
        <row r="316">
          <cell r="D316" t="str">
            <v>169198</v>
          </cell>
          <cell r="BB316" t="str">
            <v>in</v>
          </cell>
        </row>
        <row r="317">
          <cell r="D317" t="str">
            <v>192553</v>
          </cell>
          <cell r="BB317" t="str">
            <v>in</v>
          </cell>
        </row>
        <row r="318">
          <cell r="D318" t="str">
            <v>209064</v>
          </cell>
          <cell r="BB318" t="str">
            <v>in</v>
          </cell>
        </row>
        <row r="319">
          <cell r="D319" t="str">
            <v>219126</v>
          </cell>
          <cell r="BB319" t="str">
            <v>in</v>
          </cell>
        </row>
        <row r="320">
          <cell r="D320" t="str">
            <v>220154</v>
          </cell>
          <cell r="BB320" t="str">
            <v>in</v>
          </cell>
        </row>
        <row r="321">
          <cell r="D321" t="str">
            <v>206288</v>
          </cell>
          <cell r="BB321" t="str">
            <v>in</v>
          </cell>
        </row>
        <row r="322">
          <cell r="D322" t="str">
            <v>199120</v>
          </cell>
          <cell r="BB322" t="str">
            <v>in</v>
          </cell>
        </row>
        <row r="323">
          <cell r="D323" t="str">
            <v>166923</v>
          </cell>
          <cell r="BB323" t="str">
            <v>in</v>
          </cell>
        </row>
        <row r="324">
          <cell r="D324" t="str">
            <v>187093</v>
          </cell>
          <cell r="BB324" t="str">
            <v>in</v>
          </cell>
        </row>
        <row r="325">
          <cell r="D325" t="str">
            <v>194853</v>
          </cell>
          <cell r="BB325" t="str">
            <v>in</v>
          </cell>
        </row>
        <row r="326">
          <cell r="D326" t="str">
            <v>206285</v>
          </cell>
          <cell r="BB326" t="str">
            <v>in</v>
          </cell>
        </row>
        <row r="327">
          <cell r="D327" t="str">
            <v>206733</v>
          </cell>
          <cell r="BB327" t="str">
            <v>in</v>
          </cell>
        </row>
        <row r="328">
          <cell r="D328" t="str">
            <v>192600</v>
          </cell>
          <cell r="BB328" t="str">
            <v>in</v>
          </cell>
        </row>
        <row r="329">
          <cell r="D329" t="str">
            <v>175277</v>
          </cell>
          <cell r="BB329" t="str">
            <v>in</v>
          </cell>
        </row>
        <row r="330">
          <cell r="D330" t="str">
            <v>199318</v>
          </cell>
          <cell r="BB330" t="str">
            <v>in</v>
          </cell>
        </row>
        <row r="331">
          <cell r="D331" t="str">
            <v>199755</v>
          </cell>
          <cell r="BB331" t="str">
            <v>in</v>
          </cell>
        </row>
        <row r="332">
          <cell r="D332" t="str">
            <v>169196</v>
          </cell>
          <cell r="BB332" t="str">
            <v>in</v>
          </cell>
        </row>
        <row r="333">
          <cell r="D333" t="str">
            <v>169199</v>
          </cell>
          <cell r="BB333" t="str">
            <v>in</v>
          </cell>
        </row>
        <row r="334">
          <cell r="D334" t="str">
            <v>196227</v>
          </cell>
          <cell r="BB334" t="str">
            <v>in</v>
          </cell>
        </row>
        <row r="335">
          <cell r="D335" t="str">
            <v>207348</v>
          </cell>
          <cell r="BB335" t="str">
            <v>in</v>
          </cell>
        </row>
        <row r="336">
          <cell r="D336" t="str">
            <v>219128</v>
          </cell>
          <cell r="BB336" t="str">
            <v>in</v>
          </cell>
        </row>
        <row r="337">
          <cell r="D337" t="str">
            <v>008189</v>
          </cell>
          <cell r="BB337" t="str">
            <v>in</v>
          </cell>
        </row>
        <row r="338">
          <cell r="D338" t="str">
            <v>158097</v>
          </cell>
          <cell r="BB338" t="str">
            <v>in</v>
          </cell>
        </row>
        <row r="339">
          <cell r="D339" t="str">
            <v>198558</v>
          </cell>
          <cell r="BB339" t="str">
            <v>in</v>
          </cell>
        </row>
        <row r="340">
          <cell r="D340" t="str">
            <v>176206</v>
          </cell>
          <cell r="BB340" t="str">
            <v>in</v>
          </cell>
        </row>
        <row r="341">
          <cell r="D341" t="str">
            <v>155453</v>
          </cell>
          <cell r="BB341" t="str">
            <v>in</v>
          </cell>
        </row>
        <row r="342">
          <cell r="D342" t="str">
            <v>228398</v>
          </cell>
          <cell r="BB342" t="str">
            <v>in</v>
          </cell>
        </row>
        <row r="343">
          <cell r="D343" t="str">
            <v>228400</v>
          </cell>
          <cell r="BB343" t="str">
            <v>in</v>
          </cell>
        </row>
        <row r="344">
          <cell r="D344" t="str">
            <v>208408</v>
          </cell>
          <cell r="BB344" t="str">
            <v>in</v>
          </cell>
        </row>
        <row r="345">
          <cell r="D345" t="str">
            <v>208458</v>
          </cell>
          <cell r="BB345" t="str">
            <v>in</v>
          </cell>
        </row>
        <row r="346">
          <cell r="D346" t="str">
            <v>208459</v>
          </cell>
          <cell r="BB346" t="str">
            <v>in</v>
          </cell>
        </row>
        <row r="347">
          <cell r="D347" t="str">
            <v>211782</v>
          </cell>
          <cell r="BB347" t="str">
            <v>in</v>
          </cell>
        </row>
        <row r="348">
          <cell r="D348" t="str">
            <v>213254</v>
          </cell>
          <cell r="BB348" t="str">
            <v>in</v>
          </cell>
        </row>
        <row r="349">
          <cell r="D349" t="str">
            <v>214207</v>
          </cell>
          <cell r="BB349" t="str">
            <v>in</v>
          </cell>
        </row>
        <row r="350">
          <cell r="D350" t="str">
            <v>215824</v>
          </cell>
          <cell r="BB350" t="str">
            <v>in</v>
          </cell>
        </row>
        <row r="351">
          <cell r="D351" t="str">
            <v>218643</v>
          </cell>
          <cell r="BB351" t="str">
            <v>in</v>
          </cell>
        </row>
        <row r="352">
          <cell r="D352" t="str">
            <v>221198</v>
          </cell>
          <cell r="BB352" t="str">
            <v>in</v>
          </cell>
        </row>
        <row r="353">
          <cell r="D353" t="str">
            <v>226805</v>
          </cell>
          <cell r="BB353" t="str">
            <v>in</v>
          </cell>
        </row>
        <row r="354">
          <cell r="D354" t="str">
            <v>208774</v>
          </cell>
          <cell r="BB354" t="str">
            <v>in</v>
          </cell>
        </row>
        <row r="355">
          <cell r="D355" t="str">
            <v>216837</v>
          </cell>
          <cell r="BB355" t="str">
            <v>in</v>
          </cell>
        </row>
        <row r="356">
          <cell r="D356" t="str">
            <v>228880</v>
          </cell>
          <cell r="BB356" t="str">
            <v>in</v>
          </cell>
        </row>
        <row r="357">
          <cell r="D357" t="str">
            <v>087196</v>
          </cell>
          <cell r="BB357" t="str">
            <v>in</v>
          </cell>
        </row>
        <row r="358">
          <cell r="D358" t="str">
            <v>186418</v>
          </cell>
          <cell r="BB358" t="str">
            <v>in</v>
          </cell>
        </row>
        <row r="359">
          <cell r="D359" t="str">
            <v>196178</v>
          </cell>
          <cell r="BB359" t="str">
            <v>in</v>
          </cell>
        </row>
        <row r="360">
          <cell r="D360" t="str">
            <v>214807</v>
          </cell>
          <cell r="BB360" t="str">
            <v>in</v>
          </cell>
        </row>
        <row r="361">
          <cell r="D361" t="str">
            <v>215825</v>
          </cell>
          <cell r="BB361" t="str">
            <v>in</v>
          </cell>
        </row>
        <row r="362">
          <cell r="D362" t="str">
            <v>202596</v>
          </cell>
          <cell r="BB362" t="str">
            <v>in</v>
          </cell>
        </row>
        <row r="363">
          <cell r="D363" t="str">
            <v>212444</v>
          </cell>
          <cell r="BB363" t="str">
            <v>in</v>
          </cell>
        </row>
        <row r="364">
          <cell r="D364" t="str">
            <v>059868</v>
          </cell>
          <cell r="BB364" t="str">
            <v>in</v>
          </cell>
        </row>
        <row r="365">
          <cell r="D365" t="str">
            <v>172245</v>
          </cell>
          <cell r="BB365" t="str">
            <v>in</v>
          </cell>
        </row>
        <row r="366">
          <cell r="D366" t="str">
            <v>175275</v>
          </cell>
          <cell r="BB366" t="str">
            <v>in</v>
          </cell>
        </row>
        <row r="367">
          <cell r="D367" t="str">
            <v>119198</v>
          </cell>
          <cell r="BB367" t="str">
            <v>in</v>
          </cell>
        </row>
        <row r="368">
          <cell r="D368" t="str">
            <v>169195</v>
          </cell>
          <cell r="BB368" t="str">
            <v>in</v>
          </cell>
        </row>
        <row r="369">
          <cell r="D369" t="str">
            <v>182136</v>
          </cell>
          <cell r="BB369" t="str">
            <v>in</v>
          </cell>
        </row>
        <row r="370">
          <cell r="D370" t="str">
            <v>189541</v>
          </cell>
          <cell r="BB370" t="str">
            <v>in</v>
          </cell>
        </row>
        <row r="371">
          <cell r="D371" t="str">
            <v>204929</v>
          </cell>
          <cell r="BB371" t="str">
            <v>in</v>
          </cell>
        </row>
        <row r="372">
          <cell r="D372" t="str">
            <v>205070</v>
          </cell>
          <cell r="BB372" t="str">
            <v>in</v>
          </cell>
        </row>
        <row r="373">
          <cell r="D373" t="str">
            <v>047173</v>
          </cell>
          <cell r="BB373" t="str">
            <v>in</v>
          </cell>
        </row>
        <row r="374">
          <cell r="D374" t="str">
            <v>196222</v>
          </cell>
          <cell r="BB374" t="str">
            <v>in</v>
          </cell>
        </row>
        <row r="375">
          <cell r="BB375" t="str">
            <v/>
          </cell>
        </row>
        <row r="376">
          <cell r="BB376" t="str">
            <v/>
          </cell>
        </row>
        <row r="377">
          <cell r="BB377" t="str">
            <v/>
          </cell>
        </row>
        <row r="378">
          <cell r="BB378" t="str">
            <v/>
          </cell>
        </row>
        <row r="379">
          <cell r="BB379" t="str">
            <v/>
          </cell>
        </row>
        <row r="380">
          <cell r="BB380" t="str">
            <v/>
          </cell>
        </row>
        <row r="381">
          <cell r="BB381" t="str">
            <v/>
          </cell>
        </row>
        <row r="382">
          <cell r="BB382" t="str">
            <v/>
          </cell>
        </row>
        <row r="383">
          <cell r="BB383" t="str">
            <v/>
          </cell>
        </row>
        <row r="384">
          <cell r="BB384" t="str">
            <v/>
          </cell>
        </row>
        <row r="385">
          <cell r="BB385" t="str">
            <v/>
          </cell>
        </row>
        <row r="386">
          <cell r="BB386" t="str">
            <v/>
          </cell>
        </row>
        <row r="387">
          <cell r="BB387" t="str">
            <v/>
          </cell>
        </row>
        <row r="388">
          <cell r="BB388" t="str">
            <v/>
          </cell>
        </row>
        <row r="389">
          <cell r="BB389" t="str">
            <v/>
          </cell>
        </row>
        <row r="390">
          <cell r="BB390" t="str">
            <v/>
          </cell>
        </row>
        <row r="391">
          <cell r="BB391" t="str">
            <v/>
          </cell>
        </row>
        <row r="392">
          <cell r="BB392" t="str">
            <v/>
          </cell>
        </row>
        <row r="393">
          <cell r="BB393" t="str">
            <v/>
          </cell>
        </row>
        <row r="394">
          <cell r="BB394" t="str">
            <v/>
          </cell>
        </row>
        <row r="395">
          <cell r="BB395" t="str">
            <v/>
          </cell>
        </row>
        <row r="396">
          <cell r="BB396" t="str">
            <v/>
          </cell>
        </row>
        <row r="397">
          <cell r="BB397" t="str">
            <v/>
          </cell>
        </row>
        <row r="398">
          <cell r="BB398" t="str">
            <v/>
          </cell>
        </row>
        <row r="399">
          <cell r="BB399" t="str">
            <v/>
          </cell>
        </row>
        <row r="400">
          <cell r="BB400" t="str">
            <v/>
          </cell>
        </row>
        <row r="401">
          <cell r="BB401" t="str">
            <v/>
          </cell>
        </row>
        <row r="402">
          <cell r="BB402" t="str">
            <v/>
          </cell>
        </row>
        <row r="403">
          <cell r="BB403" t="str">
            <v/>
          </cell>
        </row>
        <row r="404">
          <cell r="BB404" t="str">
            <v/>
          </cell>
        </row>
        <row r="405">
          <cell r="BB405" t="str">
            <v/>
          </cell>
        </row>
        <row r="406">
          <cell r="BB406" t="str">
            <v/>
          </cell>
        </row>
        <row r="407">
          <cell r="BB407" t="str">
            <v/>
          </cell>
        </row>
        <row r="408">
          <cell r="BB408" t="str">
            <v/>
          </cell>
        </row>
        <row r="409">
          <cell r="BB409" t="str">
            <v/>
          </cell>
        </row>
        <row r="410">
          <cell r="BB410" t="str">
            <v/>
          </cell>
        </row>
        <row r="411">
          <cell r="BB411" t="str">
            <v/>
          </cell>
        </row>
        <row r="412">
          <cell r="BB412" t="str">
            <v/>
          </cell>
        </row>
        <row r="413">
          <cell r="BB413" t="str">
            <v/>
          </cell>
        </row>
        <row r="414">
          <cell r="BB414" t="str">
            <v/>
          </cell>
        </row>
        <row r="415">
          <cell r="BB415" t="str">
            <v/>
          </cell>
        </row>
        <row r="416">
          <cell r="BB416" t="str">
            <v/>
          </cell>
        </row>
        <row r="417">
          <cell r="BB417" t="str">
            <v/>
          </cell>
        </row>
        <row r="418">
          <cell r="BB418" t="str">
            <v/>
          </cell>
        </row>
        <row r="419">
          <cell r="BB419" t="str">
            <v/>
          </cell>
        </row>
        <row r="420">
          <cell r="BB420" t="str">
            <v/>
          </cell>
        </row>
        <row r="421">
          <cell r="BB421" t="str">
            <v/>
          </cell>
        </row>
        <row r="422">
          <cell r="BB422" t="str">
            <v/>
          </cell>
        </row>
        <row r="423">
          <cell r="BB423" t="str">
            <v/>
          </cell>
        </row>
        <row r="424">
          <cell r="BB424" t="str">
            <v/>
          </cell>
        </row>
        <row r="425">
          <cell r="BB425" t="str">
            <v/>
          </cell>
        </row>
        <row r="426">
          <cell r="BB426" t="str">
            <v/>
          </cell>
        </row>
        <row r="427">
          <cell r="BB427" t="str">
            <v/>
          </cell>
        </row>
        <row r="428">
          <cell r="BB428" t="str">
            <v/>
          </cell>
        </row>
        <row r="429">
          <cell r="BB429" t="str">
            <v/>
          </cell>
        </row>
        <row r="430">
          <cell r="BB430" t="str">
            <v/>
          </cell>
        </row>
        <row r="431">
          <cell r="BB431" t="str">
            <v/>
          </cell>
        </row>
        <row r="432">
          <cell r="BB432" t="str">
            <v/>
          </cell>
        </row>
        <row r="433">
          <cell r="BB433" t="str">
            <v/>
          </cell>
        </row>
        <row r="434">
          <cell r="BB434" t="str">
            <v/>
          </cell>
        </row>
        <row r="435">
          <cell r="BB435" t="str">
            <v/>
          </cell>
        </row>
        <row r="436">
          <cell r="BB436" t="str">
            <v/>
          </cell>
        </row>
        <row r="437">
          <cell r="BB437" t="str">
            <v/>
          </cell>
        </row>
        <row r="438">
          <cell r="BB438" t="str">
            <v/>
          </cell>
        </row>
        <row r="439">
          <cell r="BB439" t="str">
            <v/>
          </cell>
        </row>
        <row r="440">
          <cell r="BB440" t="str">
            <v/>
          </cell>
        </row>
        <row r="441">
          <cell r="BB441" t="str">
            <v/>
          </cell>
        </row>
        <row r="442">
          <cell r="BB442" t="str">
            <v/>
          </cell>
        </row>
        <row r="443">
          <cell r="BB443" t="str">
            <v/>
          </cell>
        </row>
        <row r="444">
          <cell r="BB444" t="str">
            <v/>
          </cell>
        </row>
        <row r="445">
          <cell r="BB445" t="str">
            <v/>
          </cell>
        </row>
        <row r="446">
          <cell r="BB446" t="str">
            <v/>
          </cell>
        </row>
        <row r="447">
          <cell r="BB447" t="str">
            <v/>
          </cell>
        </row>
        <row r="448">
          <cell r="BB448" t="str">
            <v/>
          </cell>
        </row>
        <row r="449">
          <cell r="BB449" t="str">
            <v/>
          </cell>
        </row>
        <row r="450">
          <cell r="BB450" t="str">
            <v/>
          </cell>
        </row>
        <row r="451">
          <cell r="BB451" t="str">
            <v/>
          </cell>
        </row>
        <row r="452">
          <cell r="BB452" t="str">
            <v/>
          </cell>
        </row>
        <row r="453">
          <cell r="BB453" t="str">
            <v/>
          </cell>
        </row>
        <row r="454">
          <cell r="BB454" t="str">
            <v/>
          </cell>
        </row>
        <row r="455">
          <cell r="BB455" t="str">
            <v/>
          </cell>
        </row>
        <row r="456">
          <cell r="BB456" t="str">
            <v/>
          </cell>
        </row>
        <row r="457">
          <cell r="BB457" t="str">
            <v/>
          </cell>
        </row>
        <row r="458">
          <cell r="BB458" t="str">
            <v/>
          </cell>
        </row>
        <row r="459">
          <cell r="BB459" t="str">
            <v/>
          </cell>
        </row>
        <row r="460">
          <cell r="BB460" t="str">
            <v/>
          </cell>
        </row>
        <row r="461">
          <cell r="BB461" t="str">
            <v/>
          </cell>
        </row>
        <row r="462">
          <cell r="BB462" t="str">
            <v/>
          </cell>
        </row>
        <row r="463">
          <cell r="BB463" t="str">
            <v/>
          </cell>
        </row>
        <row r="464">
          <cell r="BB464" t="str">
            <v/>
          </cell>
        </row>
        <row r="465">
          <cell r="BB465" t="str">
            <v/>
          </cell>
        </row>
        <row r="466">
          <cell r="BB466" t="str">
            <v/>
          </cell>
        </row>
        <row r="467">
          <cell r="BB467" t="str">
            <v/>
          </cell>
        </row>
        <row r="468">
          <cell r="BB468" t="str">
            <v/>
          </cell>
        </row>
        <row r="469">
          <cell r="BB469" t="str">
            <v/>
          </cell>
        </row>
        <row r="470">
          <cell r="BB470" t="str">
            <v/>
          </cell>
        </row>
        <row r="471">
          <cell r="BB471" t="str">
            <v/>
          </cell>
        </row>
        <row r="472">
          <cell r="BB472" t="str">
            <v/>
          </cell>
        </row>
        <row r="473">
          <cell r="BB473" t="str">
            <v/>
          </cell>
        </row>
        <row r="474">
          <cell r="BB474" t="str">
            <v/>
          </cell>
        </row>
        <row r="475">
          <cell r="BB475" t="str">
            <v/>
          </cell>
        </row>
        <row r="476">
          <cell r="BB476" t="str">
            <v/>
          </cell>
        </row>
        <row r="477">
          <cell r="BB477" t="str">
            <v/>
          </cell>
        </row>
        <row r="478">
          <cell r="BB478" t="str">
            <v/>
          </cell>
        </row>
        <row r="479">
          <cell r="BB479" t="str">
            <v/>
          </cell>
        </row>
        <row r="480">
          <cell r="BB480" t="str">
            <v/>
          </cell>
        </row>
        <row r="481">
          <cell r="BB481" t="str">
            <v/>
          </cell>
        </row>
        <row r="482">
          <cell r="BB482" t="str">
            <v/>
          </cell>
        </row>
        <row r="483">
          <cell r="BB483" t="str">
            <v/>
          </cell>
        </row>
        <row r="484">
          <cell r="BB484" t="str">
            <v/>
          </cell>
        </row>
        <row r="485">
          <cell r="BB485" t="str">
            <v/>
          </cell>
        </row>
        <row r="486">
          <cell r="BB486" t="str">
            <v/>
          </cell>
        </row>
        <row r="487">
          <cell r="BB487" t="str">
            <v/>
          </cell>
        </row>
        <row r="488">
          <cell r="BB488" t="str">
            <v/>
          </cell>
        </row>
        <row r="489">
          <cell r="BB489" t="str">
            <v/>
          </cell>
        </row>
        <row r="490">
          <cell r="BB490" t="str">
            <v/>
          </cell>
        </row>
        <row r="491">
          <cell r="BB491" t="str">
            <v/>
          </cell>
        </row>
        <row r="492">
          <cell r="BB492" t="str">
            <v/>
          </cell>
        </row>
        <row r="493">
          <cell r="BB493" t="str">
            <v/>
          </cell>
        </row>
        <row r="494">
          <cell r="BB494" t="str">
            <v/>
          </cell>
        </row>
        <row r="495">
          <cell r="BB495" t="str">
            <v/>
          </cell>
        </row>
        <row r="496">
          <cell r="BB496" t="str">
            <v/>
          </cell>
        </row>
        <row r="497">
          <cell r="BB497" t="str">
            <v/>
          </cell>
        </row>
        <row r="498">
          <cell r="BB498" t="str">
            <v/>
          </cell>
        </row>
        <row r="499">
          <cell r="BB499" t="str">
            <v/>
          </cell>
        </row>
        <row r="500">
          <cell r="BB500" t="str">
            <v/>
          </cell>
        </row>
        <row r="501">
          <cell r="BB501" t="str">
            <v/>
          </cell>
        </row>
        <row r="502">
          <cell r="BB502" t="str">
            <v/>
          </cell>
        </row>
        <row r="503">
          <cell r="BB503" t="str">
            <v/>
          </cell>
        </row>
        <row r="504">
          <cell r="BB504" t="str">
            <v/>
          </cell>
        </row>
        <row r="505">
          <cell r="BB505" t="str">
            <v/>
          </cell>
        </row>
        <row r="506">
          <cell r="BB506" t="str">
            <v/>
          </cell>
        </row>
        <row r="507">
          <cell r="BB507" t="str">
            <v/>
          </cell>
        </row>
        <row r="508">
          <cell r="BB508" t="str">
            <v/>
          </cell>
        </row>
        <row r="509">
          <cell r="BB509" t="str">
            <v/>
          </cell>
        </row>
        <row r="510">
          <cell r="BB510" t="str">
            <v/>
          </cell>
        </row>
        <row r="511">
          <cell r="BB511" t="str">
            <v/>
          </cell>
        </row>
        <row r="512">
          <cell r="BB512" t="str">
            <v/>
          </cell>
        </row>
        <row r="513">
          <cell r="BB513" t="str">
            <v/>
          </cell>
        </row>
        <row r="514">
          <cell r="BB514" t="str">
            <v/>
          </cell>
        </row>
        <row r="515">
          <cell r="BB515" t="str">
            <v/>
          </cell>
        </row>
        <row r="516">
          <cell r="BB516" t="str">
            <v/>
          </cell>
        </row>
        <row r="517">
          <cell r="BB517" t="str">
            <v/>
          </cell>
        </row>
        <row r="518">
          <cell r="BB518" t="str">
            <v/>
          </cell>
        </row>
        <row r="519">
          <cell r="BB519" t="str">
            <v/>
          </cell>
        </row>
        <row r="520">
          <cell r="BB520" t="str">
            <v/>
          </cell>
        </row>
        <row r="521">
          <cell r="BB521" t="str">
            <v/>
          </cell>
        </row>
        <row r="522">
          <cell r="BB522" t="str">
            <v/>
          </cell>
        </row>
        <row r="523">
          <cell r="BB523" t="str">
            <v/>
          </cell>
        </row>
        <row r="524">
          <cell r="BB524" t="str">
            <v/>
          </cell>
        </row>
        <row r="525">
          <cell r="BB525" t="str">
            <v/>
          </cell>
        </row>
        <row r="526">
          <cell r="BB526" t="str">
            <v/>
          </cell>
        </row>
        <row r="527">
          <cell r="BB527" t="str">
            <v/>
          </cell>
        </row>
        <row r="528">
          <cell r="BB528" t="str">
            <v/>
          </cell>
        </row>
        <row r="529">
          <cell r="BB529" t="str">
            <v/>
          </cell>
        </row>
        <row r="530">
          <cell r="BB530" t="str">
            <v/>
          </cell>
        </row>
        <row r="531">
          <cell r="BB531" t="str">
            <v/>
          </cell>
        </row>
        <row r="532">
          <cell r="BB532" t="str">
            <v/>
          </cell>
        </row>
        <row r="533">
          <cell r="BB533" t="str">
            <v/>
          </cell>
        </row>
        <row r="534">
          <cell r="BB534" t="str">
            <v/>
          </cell>
        </row>
        <row r="535">
          <cell r="BB535" t="str">
            <v/>
          </cell>
        </row>
        <row r="536">
          <cell r="BB536" t="str">
            <v/>
          </cell>
        </row>
        <row r="537">
          <cell r="BB537" t="str">
            <v/>
          </cell>
        </row>
        <row r="538">
          <cell r="BB538" t="str">
            <v/>
          </cell>
        </row>
        <row r="539">
          <cell r="BB539" t="str">
            <v/>
          </cell>
        </row>
        <row r="540">
          <cell r="BB540" t="str">
            <v/>
          </cell>
        </row>
        <row r="541">
          <cell r="BB541" t="str">
            <v/>
          </cell>
        </row>
        <row r="542">
          <cell r="BB542" t="str">
            <v/>
          </cell>
        </row>
        <row r="543">
          <cell r="BB543" t="str">
            <v/>
          </cell>
        </row>
        <row r="544">
          <cell r="BB544" t="str">
            <v/>
          </cell>
        </row>
        <row r="545">
          <cell r="BB545" t="str">
            <v/>
          </cell>
        </row>
        <row r="546">
          <cell r="BB546" t="str">
            <v/>
          </cell>
        </row>
        <row r="547">
          <cell r="BB547" t="str">
            <v/>
          </cell>
        </row>
        <row r="548">
          <cell r="BB548" t="str">
            <v/>
          </cell>
        </row>
        <row r="549">
          <cell r="BB549" t="str">
            <v/>
          </cell>
        </row>
        <row r="550">
          <cell r="BB550" t="str">
            <v/>
          </cell>
        </row>
        <row r="551">
          <cell r="BB551" t="str">
            <v/>
          </cell>
        </row>
        <row r="552">
          <cell r="BB552" t="str">
            <v/>
          </cell>
        </row>
        <row r="553">
          <cell r="BB553" t="str">
            <v/>
          </cell>
        </row>
        <row r="554">
          <cell r="BB554" t="str">
            <v/>
          </cell>
        </row>
        <row r="555">
          <cell r="BB555" t="str">
            <v/>
          </cell>
        </row>
        <row r="556">
          <cell r="BB556" t="str">
            <v/>
          </cell>
        </row>
        <row r="557">
          <cell r="BB557" t="str">
            <v/>
          </cell>
        </row>
        <row r="558">
          <cell r="BB558" t="str">
            <v/>
          </cell>
        </row>
        <row r="559">
          <cell r="BB559" t="str">
            <v/>
          </cell>
        </row>
        <row r="560">
          <cell r="BB560" t="str">
            <v/>
          </cell>
        </row>
        <row r="561">
          <cell r="BB561" t="str">
            <v/>
          </cell>
        </row>
        <row r="562">
          <cell r="BB562" t="str">
            <v/>
          </cell>
        </row>
        <row r="563">
          <cell r="BB563" t="str">
            <v/>
          </cell>
        </row>
        <row r="564">
          <cell r="BB564" t="str">
            <v/>
          </cell>
        </row>
        <row r="565">
          <cell r="BB565" t="str">
            <v/>
          </cell>
        </row>
        <row r="566">
          <cell r="BB566" t="str">
            <v/>
          </cell>
        </row>
        <row r="567">
          <cell r="BB567" t="str">
            <v/>
          </cell>
        </row>
        <row r="568">
          <cell r="BB568" t="str">
            <v/>
          </cell>
        </row>
        <row r="569">
          <cell r="BB569" t="str">
            <v/>
          </cell>
        </row>
        <row r="570">
          <cell r="BB570" t="str">
            <v/>
          </cell>
        </row>
        <row r="571">
          <cell r="BB571" t="str">
            <v/>
          </cell>
        </row>
        <row r="572">
          <cell r="BB572" t="str">
            <v/>
          </cell>
        </row>
        <row r="573">
          <cell r="BB573" t="str">
            <v/>
          </cell>
        </row>
        <row r="574">
          <cell r="BB574" t="str">
            <v/>
          </cell>
        </row>
        <row r="575">
          <cell r="BB575" t="str">
            <v/>
          </cell>
        </row>
        <row r="576">
          <cell r="BB576" t="str">
            <v/>
          </cell>
        </row>
        <row r="577">
          <cell r="BB577" t="str">
            <v/>
          </cell>
        </row>
        <row r="578">
          <cell r="BB578" t="str">
            <v/>
          </cell>
        </row>
        <row r="579">
          <cell r="BB579" t="str">
            <v/>
          </cell>
        </row>
        <row r="580">
          <cell r="BB580" t="str">
            <v/>
          </cell>
        </row>
        <row r="581">
          <cell r="BB581" t="str">
            <v/>
          </cell>
        </row>
        <row r="582">
          <cell r="BB582" t="str">
            <v/>
          </cell>
        </row>
        <row r="583">
          <cell r="BB583" t="str">
            <v/>
          </cell>
        </row>
        <row r="584">
          <cell r="BB584" t="str">
            <v/>
          </cell>
        </row>
        <row r="585">
          <cell r="BB585" t="str">
            <v/>
          </cell>
        </row>
        <row r="586">
          <cell r="BB586" t="str">
            <v/>
          </cell>
        </row>
        <row r="587">
          <cell r="BB587" t="str">
            <v/>
          </cell>
        </row>
        <row r="588">
          <cell r="BB588" t="str">
            <v/>
          </cell>
        </row>
        <row r="589">
          <cell r="BB589" t="str">
            <v/>
          </cell>
        </row>
        <row r="590">
          <cell r="BB590" t="str">
            <v/>
          </cell>
        </row>
        <row r="591">
          <cell r="BB591" t="str">
            <v/>
          </cell>
        </row>
        <row r="592">
          <cell r="BB592" t="str">
            <v/>
          </cell>
        </row>
        <row r="593">
          <cell r="BB593" t="str">
            <v/>
          </cell>
        </row>
        <row r="594">
          <cell r="BB594" t="str">
            <v/>
          </cell>
        </row>
        <row r="595">
          <cell r="BB595" t="str">
            <v/>
          </cell>
        </row>
        <row r="596">
          <cell r="BB596" t="str">
            <v/>
          </cell>
        </row>
        <row r="597">
          <cell r="BB597" t="str">
            <v/>
          </cell>
        </row>
        <row r="598">
          <cell r="BB598" t="str">
            <v/>
          </cell>
        </row>
        <row r="599">
          <cell r="BB599" t="str">
            <v/>
          </cell>
        </row>
        <row r="600">
          <cell r="BB600" t="str">
            <v/>
          </cell>
        </row>
        <row r="601">
          <cell r="BB601" t="str">
            <v/>
          </cell>
        </row>
        <row r="602">
          <cell r="BB602" t="str">
            <v/>
          </cell>
        </row>
        <row r="603">
          <cell r="BB603" t="str">
            <v/>
          </cell>
        </row>
        <row r="604">
          <cell r="BB604" t="str">
            <v/>
          </cell>
        </row>
        <row r="605">
          <cell r="BB605" t="str">
            <v/>
          </cell>
        </row>
        <row r="606">
          <cell r="BB606" t="str">
            <v/>
          </cell>
        </row>
        <row r="607">
          <cell r="BB607" t="str">
            <v/>
          </cell>
        </row>
        <row r="608">
          <cell r="BB608" t="str">
            <v/>
          </cell>
        </row>
        <row r="609">
          <cell r="BB609" t="str">
            <v/>
          </cell>
        </row>
        <row r="610">
          <cell r="BB610" t="str">
            <v/>
          </cell>
        </row>
        <row r="611">
          <cell r="BB611" t="str">
            <v/>
          </cell>
        </row>
        <row r="612">
          <cell r="BB612" t="str">
            <v/>
          </cell>
        </row>
        <row r="613">
          <cell r="BB613" t="str">
            <v/>
          </cell>
        </row>
        <row r="614">
          <cell r="BB614" t="str">
            <v/>
          </cell>
        </row>
        <row r="615">
          <cell r="BB615" t="str">
            <v/>
          </cell>
        </row>
        <row r="616">
          <cell r="BB616" t="str">
            <v/>
          </cell>
        </row>
        <row r="617">
          <cell r="BB617" t="str">
            <v/>
          </cell>
        </row>
        <row r="618">
          <cell r="BB618" t="str">
            <v/>
          </cell>
        </row>
        <row r="619">
          <cell r="BB619" t="str">
            <v/>
          </cell>
        </row>
        <row r="620">
          <cell r="BB620" t="str">
            <v/>
          </cell>
        </row>
        <row r="621">
          <cell r="BB621" t="str">
            <v/>
          </cell>
        </row>
        <row r="622">
          <cell r="BB622" t="str">
            <v/>
          </cell>
        </row>
        <row r="623">
          <cell r="BB623" t="str">
            <v/>
          </cell>
        </row>
        <row r="624">
          <cell r="BB624" t="str">
            <v/>
          </cell>
        </row>
        <row r="625">
          <cell r="BB625" t="str">
            <v/>
          </cell>
        </row>
        <row r="626">
          <cell r="BB626" t="str">
            <v/>
          </cell>
        </row>
        <row r="627">
          <cell r="BB627" t="str">
            <v/>
          </cell>
        </row>
        <row r="628">
          <cell r="BB628" t="str">
            <v/>
          </cell>
        </row>
        <row r="629">
          <cell r="BB629" t="str">
            <v/>
          </cell>
        </row>
        <row r="630">
          <cell r="BB630" t="str">
            <v/>
          </cell>
        </row>
        <row r="631">
          <cell r="BB631" t="str">
            <v/>
          </cell>
        </row>
        <row r="632">
          <cell r="BB632" t="str">
            <v/>
          </cell>
        </row>
        <row r="633">
          <cell r="BB633" t="str">
            <v/>
          </cell>
        </row>
        <row r="634">
          <cell r="BB634" t="str">
            <v/>
          </cell>
        </row>
        <row r="635">
          <cell r="BB635" t="str">
            <v/>
          </cell>
        </row>
        <row r="636">
          <cell r="BB636" t="str">
            <v/>
          </cell>
        </row>
        <row r="637">
          <cell r="BB637" t="str">
            <v/>
          </cell>
        </row>
        <row r="638">
          <cell r="BB638" t="str">
            <v/>
          </cell>
        </row>
        <row r="639">
          <cell r="BB639" t="str">
            <v/>
          </cell>
        </row>
        <row r="640">
          <cell r="BB640" t="str">
            <v/>
          </cell>
        </row>
        <row r="641">
          <cell r="BB641" t="str">
            <v/>
          </cell>
        </row>
        <row r="642">
          <cell r="BB642" t="str">
            <v/>
          </cell>
        </row>
        <row r="643">
          <cell r="BB643" t="str">
            <v/>
          </cell>
        </row>
        <row r="644">
          <cell r="BB644" t="str">
            <v/>
          </cell>
        </row>
        <row r="645">
          <cell r="BB645" t="str">
            <v/>
          </cell>
        </row>
        <row r="646">
          <cell r="BB646" t="str">
            <v/>
          </cell>
        </row>
        <row r="647">
          <cell r="BB647" t="str">
            <v/>
          </cell>
        </row>
        <row r="648">
          <cell r="BB648" t="str">
            <v/>
          </cell>
        </row>
        <row r="649">
          <cell r="BB649" t="str">
            <v/>
          </cell>
        </row>
        <row r="650">
          <cell r="BB650" t="str">
            <v/>
          </cell>
        </row>
        <row r="651">
          <cell r="BB651" t="str">
            <v/>
          </cell>
        </row>
        <row r="652">
          <cell r="BB652" t="str">
            <v/>
          </cell>
        </row>
        <row r="653">
          <cell r="BB653" t="str">
            <v/>
          </cell>
        </row>
        <row r="654">
          <cell r="BB654" t="str">
            <v/>
          </cell>
        </row>
        <row r="655">
          <cell r="BB655" t="str">
            <v/>
          </cell>
        </row>
        <row r="656">
          <cell r="BB656" t="str">
            <v/>
          </cell>
        </row>
        <row r="657">
          <cell r="BB657" t="str">
            <v/>
          </cell>
        </row>
        <row r="658">
          <cell r="BB658" t="str">
            <v/>
          </cell>
        </row>
        <row r="659">
          <cell r="BB659" t="str">
            <v/>
          </cell>
        </row>
        <row r="660">
          <cell r="BB660" t="str">
            <v/>
          </cell>
        </row>
        <row r="661">
          <cell r="BB661" t="str">
            <v/>
          </cell>
        </row>
        <row r="662">
          <cell r="BB662" t="str">
            <v/>
          </cell>
        </row>
        <row r="663">
          <cell r="BB663" t="str">
            <v/>
          </cell>
        </row>
        <row r="664">
          <cell r="BB664" t="str">
            <v/>
          </cell>
        </row>
        <row r="665">
          <cell r="BB665" t="str">
            <v/>
          </cell>
        </row>
        <row r="666">
          <cell r="BB666" t="str">
            <v/>
          </cell>
        </row>
        <row r="667">
          <cell r="BB667" t="str">
            <v/>
          </cell>
        </row>
        <row r="668">
          <cell r="BB668" t="str">
            <v/>
          </cell>
        </row>
        <row r="669">
          <cell r="BB669" t="str">
            <v/>
          </cell>
        </row>
        <row r="670">
          <cell r="BB670" t="str">
            <v/>
          </cell>
        </row>
        <row r="671">
          <cell r="BB671" t="str">
            <v/>
          </cell>
        </row>
        <row r="672">
          <cell r="BB672" t="str">
            <v/>
          </cell>
        </row>
        <row r="673">
          <cell r="BB673" t="str">
            <v/>
          </cell>
        </row>
        <row r="674">
          <cell r="BB674" t="str">
            <v/>
          </cell>
        </row>
        <row r="675">
          <cell r="BB675" t="str">
            <v/>
          </cell>
        </row>
        <row r="676">
          <cell r="BB676" t="str">
            <v/>
          </cell>
        </row>
        <row r="677">
          <cell r="BB677" t="str">
            <v/>
          </cell>
        </row>
        <row r="678">
          <cell r="BB678" t="str">
            <v/>
          </cell>
        </row>
        <row r="679">
          <cell r="BB679" t="str">
            <v/>
          </cell>
        </row>
        <row r="680">
          <cell r="BB680" t="str">
            <v/>
          </cell>
        </row>
        <row r="681">
          <cell r="BB681" t="str">
            <v/>
          </cell>
        </row>
        <row r="682">
          <cell r="BB682" t="str">
            <v/>
          </cell>
        </row>
        <row r="683">
          <cell r="BB683" t="str">
            <v/>
          </cell>
        </row>
        <row r="684">
          <cell r="BB684" t="str">
            <v/>
          </cell>
        </row>
        <row r="685">
          <cell r="BB685" t="str">
            <v/>
          </cell>
        </row>
        <row r="686">
          <cell r="BB686" t="str">
            <v/>
          </cell>
        </row>
        <row r="687">
          <cell r="BB687" t="str">
            <v/>
          </cell>
        </row>
        <row r="688">
          <cell r="BB688" t="str">
            <v/>
          </cell>
        </row>
        <row r="689">
          <cell r="BB689" t="str">
            <v/>
          </cell>
        </row>
        <row r="690">
          <cell r="BB690" t="str">
            <v/>
          </cell>
        </row>
        <row r="691">
          <cell r="BB691" t="str">
            <v/>
          </cell>
        </row>
        <row r="692">
          <cell r="BB692" t="str">
            <v/>
          </cell>
        </row>
        <row r="693">
          <cell r="BB693" t="str">
            <v/>
          </cell>
        </row>
        <row r="694">
          <cell r="BB694" t="str">
            <v/>
          </cell>
        </row>
        <row r="695">
          <cell r="BB695" t="str">
            <v/>
          </cell>
        </row>
        <row r="696">
          <cell r="BB696" t="str">
            <v/>
          </cell>
        </row>
        <row r="697">
          <cell r="BB697" t="str">
            <v/>
          </cell>
        </row>
        <row r="698">
          <cell r="BB698" t="str">
            <v/>
          </cell>
        </row>
        <row r="699">
          <cell r="BB699" t="str">
            <v/>
          </cell>
        </row>
        <row r="700">
          <cell r="BB700" t="str">
            <v/>
          </cell>
        </row>
        <row r="701">
          <cell r="BB701" t="str">
            <v/>
          </cell>
        </row>
        <row r="702">
          <cell r="BB702" t="str">
            <v/>
          </cell>
        </row>
        <row r="703">
          <cell r="BB703" t="str">
            <v/>
          </cell>
        </row>
        <row r="704">
          <cell r="BB704" t="str">
            <v/>
          </cell>
        </row>
        <row r="705">
          <cell r="BB705" t="str">
            <v/>
          </cell>
        </row>
        <row r="706">
          <cell r="BB706" t="str">
            <v/>
          </cell>
        </row>
        <row r="707">
          <cell r="BB707" t="str">
            <v/>
          </cell>
        </row>
        <row r="708">
          <cell r="BB708" t="str">
            <v/>
          </cell>
        </row>
        <row r="709">
          <cell r="BB709" t="str">
            <v/>
          </cell>
        </row>
        <row r="710">
          <cell r="BB710" t="str">
            <v/>
          </cell>
        </row>
        <row r="711">
          <cell r="BB711" t="str">
            <v/>
          </cell>
        </row>
        <row r="712">
          <cell r="BB712" t="str">
            <v/>
          </cell>
        </row>
        <row r="713">
          <cell r="BB713" t="str">
            <v/>
          </cell>
        </row>
      </sheetData>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K-MB"/>
      <sheetName val="ViettelPay"/>
      <sheetName val="BTH-PCKN"/>
      <sheetName val="BCT-PCKN"/>
      <sheetName val="BTH-KPCD"/>
      <sheetName val="BCT-KPCD"/>
      <sheetName val="BTH-NV"/>
      <sheetName val="BCT-NV (CK)"/>
      <sheetName val="BCT-NV (TM)"/>
      <sheetName val="BTH-TV"/>
      <sheetName val="BCT-TV (CK)"/>
      <sheetName val="BCT-TV (TM)"/>
      <sheetName val="SAP check"/>
      <sheetName val="RETRO"/>
      <sheetName val="Checklist_PY"/>
      <sheetName val="TN_EC"/>
      <sheetName val="Time_EC"/>
      <sheetName val="PC_EC"/>
      <sheetName val="NghiDN_EC"/>
      <sheetName val="TN_S4"/>
      <sheetName val="Time_S4"/>
      <sheetName val="BHXH_S4"/>
      <sheetName val="congP"/>
      <sheetName val="phep"/>
      <sheetName val="STK"/>
      <sheetName val="external"/>
      <sheetName val="lan1dacap"/>
      <sheetName val="Thangcu"/>
      <sheetName val="DScheckDB"/>
      <sheetName val="DM don vi"/>
      <sheetName val="LCTC(KHDN)"/>
    </sheetNames>
    <sheetDataSet>
      <sheetData sheetId="0"/>
      <sheetData sheetId="1" refreshError="1"/>
      <sheetData sheetId="2"/>
      <sheetData sheetId="3" refreshError="1"/>
      <sheetData sheetId="4"/>
      <sheetData sheetId="5"/>
      <sheetData sheetId="6"/>
      <sheetData sheetId="7">
        <row r="3">
          <cell r="BU3">
            <v>2</v>
          </cell>
        </row>
      </sheetData>
      <sheetData sheetId="8"/>
      <sheetData sheetId="9"/>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ow r="9">
          <cell r="A9" t="str">
            <v>Tập đoàn Công nghiệp - Viễn thông Quân đội - 148842</v>
          </cell>
        </row>
      </sheetData>
      <sheetData sheetId="19" refreshError="1"/>
      <sheetData sheetId="20">
        <row r="8">
          <cell r="B8" t="str">
            <v>Mã nhân viên</v>
          </cell>
          <cell r="C8" t="str">
            <v>Họ và tên</v>
          </cell>
          <cell r="D8" t="str">
            <v>Chức danh</v>
          </cell>
          <cell r="E8" t="str">
            <v>Đơn vị cấp 1</v>
          </cell>
          <cell r="F8" t="str">
            <v>Phòng ban</v>
          </cell>
          <cell r="G8" t="str">
            <v>Tổ nhóm</v>
          </cell>
        </row>
        <row r="9">
          <cell r="B9" t="str">
            <v>059526</v>
          </cell>
          <cell r="C9" t="str">
            <v>Trần Vũ Hợp</v>
          </cell>
          <cell r="D9" t="str">
            <v>Phó Giám đốc Khối</v>
          </cell>
          <cell r="E9" t="str">
            <v>Tổng công ty Công nghiệp Công nghệ cao Viettel</v>
          </cell>
          <cell r="F9" t="str">
            <v>Khối 1 - TCT CNC</v>
          </cell>
          <cell r="G9" t="str">
            <v>Ban Giám đốc Khối</v>
          </cell>
        </row>
        <row r="10">
          <cell r="B10" t="str">
            <v>087233</v>
          </cell>
          <cell r="C10" t="str">
            <v>Dương Anh Trà</v>
          </cell>
          <cell r="D10" t="str">
            <v>Phó Giám đốc Khối</v>
          </cell>
          <cell r="E10" t="str">
            <v>Tổng công ty Công nghiệp Công nghệ cao Viettel</v>
          </cell>
          <cell r="F10" t="str">
            <v>Khối 1 - TCT CNC</v>
          </cell>
          <cell r="G10" t="str">
            <v>Ban Giám đốc Khối</v>
          </cell>
        </row>
        <row r="11">
          <cell r="B11" t="str">
            <v>001615</v>
          </cell>
          <cell r="C11" t="str">
            <v>Đỗ Đức Ánh</v>
          </cell>
          <cell r="D11" t="str">
            <v>Nhân viên Kinh doanh</v>
          </cell>
          <cell r="E11" t="str">
            <v>Tổng công ty Công nghiệp Công nghệ cao Viettel</v>
          </cell>
          <cell r="F11" t="str">
            <v>Khối 1 - TCT CNC</v>
          </cell>
          <cell r="G11" t="str">
            <v>Phòng Kinh doanh</v>
          </cell>
        </row>
        <row r="12">
          <cell r="B12" t="str">
            <v>074176</v>
          </cell>
          <cell r="C12" t="str">
            <v>Nguyễn Đình Thắng</v>
          </cell>
          <cell r="D12" t="str">
            <v>Chuyên viên Kinh doanh</v>
          </cell>
          <cell r="E12" t="str">
            <v>Tổng công ty Công nghiệp Công nghệ cao Viettel</v>
          </cell>
          <cell r="F12" t="str">
            <v>Khối 1 - TCT CNC</v>
          </cell>
          <cell r="G12" t="str">
            <v>Phòng Kinh doanh</v>
          </cell>
        </row>
        <row r="13">
          <cell r="B13" t="str">
            <v>206277</v>
          </cell>
          <cell r="C13" t="str">
            <v>Nguyễn Hoàng Việt</v>
          </cell>
          <cell r="D13" t="str">
            <v>Trưởng phòng Kinh doanh</v>
          </cell>
          <cell r="E13" t="str">
            <v>Tổng công ty Công nghiệp Công nghệ cao Viettel</v>
          </cell>
          <cell r="F13" t="str">
            <v>Khối 1 - TCT CNC</v>
          </cell>
          <cell r="G13" t="str">
            <v>Phòng Kinh doanh</v>
          </cell>
        </row>
        <row r="14">
          <cell r="B14" t="str">
            <v>095099</v>
          </cell>
          <cell r="C14" t="str">
            <v>Đặng Lưu Hạnh</v>
          </cell>
          <cell r="D14" t="str">
            <v>Trưởng phòng Kiểu dáng và đồ họa</v>
          </cell>
          <cell r="E14" t="str">
            <v>Tổng công ty Công nghiệp Công nghệ cao Viettel</v>
          </cell>
          <cell r="F14" t="str">
            <v>Khối 1 - TCT CNC</v>
          </cell>
          <cell r="G14" t="str">
            <v>Phòng Kiểu dáng và đồ họa</v>
          </cell>
        </row>
        <row r="15">
          <cell r="B15" t="str">
            <v>121096</v>
          </cell>
          <cell r="C15" t="str">
            <v>Đào Thị Hồng Huệ</v>
          </cell>
          <cell r="D15" t="str">
            <v>Kỹ sư Thiết kế đồ họa</v>
          </cell>
          <cell r="E15" t="str">
            <v>Tổng công ty Công nghiệp Công nghệ cao Viettel</v>
          </cell>
          <cell r="F15" t="str">
            <v>Khối 1 - TCT CNC</v>
          </cell>
          <cell r="G15" t="str">
            <v>Phòng Kiểu dáng và đồ họa</v>
          </cell>
        </row>
        <row r="16">
          <cell r="B16" t="str">
            <v>121115</v>
          </cell>
          <cell r="C16" t="str">
            <v>Vũ Văn Nghiêm</v>
          </cell>
          <cell r="D16" t="str">
            <v>Kỹ sư Thiết kế đồ họa</v>
          </cell>
          <cell r="E16" t="str">
            <v>Tổng công ty Công nghiệp Công nghệ cao Viettel</v>
          </cell>
          <cell r="F16" t="str">
            <v>Khối 1 - TCT CNC</v>
          </cell>
          <cell r="G16" t="str">
            <v>Phòng Kiểu dáng và đồ họa</v>
          </cell>
        </row>
        <row r="17">
          <cell r="B17" t="str">
            <v>123639</v>
          </cell>
          <cell r="C17" t="str">
            <v>Nguyễn Xuân Hùng</v>
          </cell>
          <cell r="D17" t="str">
            <v>Kỹ sư Thiết kế đồ họa</v>
          </cell>
          <cell r="E17" t="str">
            <v>Tổng công ty Công nghiệp Công nghệ cao Viettel</v>
          </cell>
          <cell r="F17" t="str">
            <v>Khối 1 - TCT CNC</v>
          </cell>
          <cell r="G17" t="str">
            <v>Phòng Kiểu dáng và đồ họa</v>
          </cell>
        </row>
        <row r="18">
          <cell r="B18" t="str">
            <v>139600</v>
          </cell>
          <cell r="C18" t="str">
            <v>Thân Hồng Phi</v>
          </cell>
          <cell r="D18" t="str">
            <v>Kỹ sư Thiết kế đồ họa</v>
          </cell>
          <cell r="E18" t="str">
            <v>Tổng công ty Công nghiệp Công nghệ cao Viettel</v>
          </cell>
          <cell r="F18" t="str">
            <v>Khối 1 - TCT CNC</v>
          </cell>
          <cell r="G18" t="str">
            <v>Phòng Kiểu dáng và đồ họa</v>
          </cell>
        </row>
        <row r="19">
          <cell r="B19" t="str">
            <v>171733</v>
          </cell>
          <cell r="C19" t="str">
            <v>Phạm Huy Hoàng</v>
          </cell>
          <cell r="D19" t="str">
            <v>Phó phòng Kiểu dáng và đồ họa</v>
          </cell>
          <cell r="E19" t="str">
            <v>Tổng công ty Công nghiệp Công nghệ cao Viettel</v>
          </cell>
          <cell r="F19" t="str">
            <v>Khối 1 - TCT CNC</v>
          </cell>
          <cell r="G19" t="str">
            <v>Phòng Kiểu dáng và đồ họa</v>
          </cell>
        </row>
        <row r="20">
          <cell r="B20" t="str">
            <v>171853</v>
          </cell>
          <cell r="C20" t="str">
            <v>Phạm Minh Hằng</v>
          </cell>
          <cell r="D20" t="str">
            <v>Kỹ sư Thiết kế đồ họa</v>
          </cell>
          <cell r="E20" t="str">
            <v>Tổng công ty Công nghiệp Công nghệ cao Viettel</v>
          </cell>
          <cell r="F20" t="str">
            <v>Khối 1 - TCT CNC</v>
          </cell>
          <cell r="G20" t="str">
            <v>Phòng Kiểu dáng và đồ họa</v>
          </cell>
        </row>
        <row r="21">
          <cell r="B21" t="str">
            <v>176234</v>
          </cell>
          <cell r="C21" t="str">
            <v>Lê Minh Quang</v>
          </cell>
          <cell r="D21" t="str">
            <v>Kỹ sư Thiết kế kiểu dáng công nghiệp</v>
          </cell>
          <cell r="E21" t="str">
            <v>Tổng công ty Công nghiệp Công nghệ cao Viettel</v>
          </cell>
          <cell r="F21" t="str">
            <v>Khối 1 - TCT CNC</v>
          </cell>
          <cell r="G21" t="str">
            <v>Phòng Kiểu dáng và đồ họa</v>
          </cell>
        </row>
        <row r="22">
          <cell r="B22" t="str">
            <v>204896</v>
          </cell>
          <cell r="C22" t="str">
            <v>Nguyễn Ngọc Hiệp</v>
          </cell>
          <cell r="D22" t="str">
            <v>Kỹ sư Thiết kế trải nghiệm người dùng</v>
          </cell>
          <cell r="E22" t="str">
            <v>Tổng công ty Công nghiệp Công nghệ cao Viettel</v>
          </cell>
          <cell r="F22" t="str">
            <v>Khối 1 - TCT CNC</v>
          </cell>
          <cell r="G22" t="str">
            <v>Phòng Kiểu dáng và đồ họa</v>
          </cell>
        </row>
        <row r="23">
          <cell r="B23" t="str">
            <v>210043</v>
          </cell>
          <cell r="C23" t="str">
            <v>Hoàng Thu Trang</v>
          </cell>
          <cell r="D23" t="str">
            <v>Kỹ sư Thiết kế đồ họa</v>
          </cell>
          <cell r="E23" t="str">
            <v>Tổng công ty Công nghiệp Công nghệ cao Viettel</v>
          </cell>
          <cell r="F23" t="str">
            <v>Khối 1 - TCT CNC</v>
          </cell>
          <cell r="G23" t="str">
            <v>Phòng Kiểu dáng và đồ họa</v>
          </cell>
        </row>
        <row r="24">
          <cell r="B24" t="str">
            <v>224485</v>
          </cell>
          <cell r="C24" t="str">
            <v>Trần Ngọc Thạch</v>
          </cell>
          <cell r="D24" t="str">
            <v>Kỹ sư thiết kế kiểu dáng công nghiệp</v>
          </cell>
          <cell r="E24" t="str">
            <v>Tổng công ty Công nghiệp Công nghệ cao Viettel</v>
          </cell>
          <cell r="F24" t="str">
            <v>Khối 1 - TCT CNC</v>
          </cell>
          <cell r="G24" t="str">
            <v>Phòng Kiểu dáng và đồ họa</v>
          </cell>
        </row>
        <row r="25">
          <cell r="B25" t="str">
            <v>243249</v>
          </cell>
          <cell r="C25" t="str">
            <v>Nguyễn Ánh Nguyệt</v>
          </cell>
          <cell r="D25" t="str">
            <v>Kỹ sư Thiết kế đồ họa</v>
          </cell>
          <cell r="E25" t="str">
            <v>Tổng công ty Công nghiệp Công nghệ cao Viettel</v>
          </cell>
          <cell r="F25" t="str">
            <v>Khối 1 - TCT CNC</v>
          </cell>
          <cell r="G25" t="str">
            <v>Phòng Kiểu dáng và đồ họa</v>
          </cell>
        </row>
        <row r="26">
          <cell r="B26" t="str">
            <v>243250</v>
          </cell>
          <cell r="C26" t="str">
            <v>Nguyễn Thùy Tiên</v>
          </cell>
          <cell r="D26" t="str">
            <v>Kỹ sư Thiết kế đồ họa</v>
          </cell>
          <cell r="E26" t="str">
            <v>Tổng công ty Công nghiệp Công nghệ cao Viettel</v>
          </cell>
          <cell r="F26" t="str">
            <v>Khối 1 - TCT CNC</v>
          </cell>
          <cell r="G26" t="str">
            <v>Phòng Kiểu dáng và đồ họa</v>
          </cell>
        </row>
        <row r="27">
          <cell r="B27" t="str">
            <v>251479</v>
          </cell>
          <cell r="C27" t="str">
            <v>Nguyễn Việt Hà</v>
          </cell>
          <cell r="D27" t="str">
            <v>Kỹ sư Thiết kế kiểu dáng công nghiệp</v>
          </cell>
          <cell r="E27" t="str">
            <v>Tổng công ty Công nghiệp Công nghệ cao Viettel</v>
          </cell>
          <cell r="F27" t="str">
            <v>Khối 1 - TCT CNC</v>
          </cell>
          <cell r="G27" t="str">
            <v>Phòng Kiểu dáng và đồ họa</v>
          </cell>
        </row>
        <row r="28">
          <cell r="B28" t="str">
            <v>269742</v>
          </cell>
          <cell r="C28" t="str">
            <v>Chu Trọng Kiên</v>
          </cell>
          <cell r="D28" t="str">
            <v>Kỹ sư Thiết kế trải nghiệm người dùng</v>
          </cell>
          <cell r="E28" t="str">
            <v>Tổng công ty Công nghiệp Công nghệ cao Viettel</v>
          </cell>
          <cell r="F28" t="str">
            <v>Khối 1 - TCT CNC</v>
          </cell>
          <cell r="G28" t="str">
            <v>Phòng Kiểu dáng và đồ họa</v>
          </cell>
        </row>
        <row r="29">
          <cell r="B29" t="str">
            <v>290432</v>
          </cell>
          <cell r="C29" t="str">
            <v>Đỗ Việt Trung</v>
          </cell>
          <cell r="D29" t="str">
            <v>Kỹ sư Thiết kế trải nghiệm người dùng</v>
          </cell>
          <cell r="E29" t="str">
            <v>Tổng công ty Công nghiệp Công nghệ cao Viettel</v>
          </cell>
          <cell r="F29" t="str">
            <v>Khối 1 - TCT CNC</v>
          </cell>
          <cell r="G29" t="str">
            <v>Phòng Kiểu dáng và đồ họa</v>
          </cell>
        </row>
        <row r="30">
          <cell r="B30" t="str">
            <v>293213</v>
          </cell>
          <cell r="C30" t="str">
            <v>Lê Ngọc Anh</v>
          </cell>
          <cell r="D30" t="str">
            <v>Kỹ sư Thiết kế đồ họa mô phỏng</v>
          </cell>
          <cell r="E30" t="str">
            <v>Tổng công ty Công nghiệp Công nghệ cao Viettel</v>
          </cell>
          <cell r="F30" t="str">
            <v>Khối 1 - TCT CNC</v>
          </cell>
          <cell r="G30" t="str">
            <v>Phòng Kiểu dáng và đồ họa</v>
          </cell>
        </row>
        <row r="31">
          <cell r="B31" t="str">
            <v>293830</v>
          </cell>
          <cell r="C31" t="str">
            <v>Phương Hàn Ly</v>
          </cell>
          <cell r="D31" t="str">
            <v>Kỹ sư Thiết kế đồ họa mô phỏng</v>
          </cell>
          <cell r="E31" t="str">
            <v>Tổng công ty Công nghiệp Công nghệ cao Viettel</v>
          </cell>
          <cell r="F31" t="str">
            <v>Khối 1 - TCT CNC</v>
          </cell>
          <cell r="G31" t="str">
            <v>Phòng Kiểu dáng và đồ họa</v>
          </cell>
        </row>
        <row r="32">
          <cell r="B32" t="str">
            <v>441035</v>
          </cell>
          <cell r="C32" t="str">
            <v>Đỗ Ngọc Phi Long</v>
          </cell>
          <cell r="D32" t="str">
            <v>Kỹ sư Thiết kế kiểu dáng công nghiệp</v>
          </cell>
          <cell r="E32" t="str">
            <v>Tổng công ty Công nghiệp Công nghệ cao Viettel</v>
          </cell>
          <cell r="F32" t="str">
            <v>Khối 1 - TCT CNC</v>
          </cell>
          <cell r="G32" t="str">
            <v>Phòng Kiểu dáng và đồ họa</v>
          </cell>
        </row>
        <row r="33">
          <cell r="B33" t="str">
            <v>004040</v>
          </cell>
          <cell r="C33" t="str">
            <v>Vũ Thị Dương Hùng Hoàn</v>
          </cell>
          <cell r="D33" t="str">
            <v>Trưởng phòng Tổng hợp</v>
          </cell>
          <cell r="E33" t="str">
            <v>Tổng công ty Công nghiệp Công nghệ cao Viettel</v>
          </cell>
          <cell r="F33" t="str">
            <v>Khối 1 - TCT CNC</v>
          </cell>
          <cell r="G33" t="str">
            <v>Phòng Tổng hợp</v>
          </cell>
        </row>
        <row r="34">
          <cell r="B34" t="str">
            <v>016049</v>
          </cell>
          <cell r="C34" t="str">
            <v>Lê Thị Út Lan</v>
          </cell>
          <cell r="D34" t="str">
            <v>Trợ lý Đề tài</v>
          </cell>
          <cell r="E34" t="str">
            <v>Tổng công ty Công nghiệp Công nghệ cao Viettel</v>
          </cell>
          <cell r="F34" t="str">
            <v>Khối 1 - TCT CNC</v>
          </cell>
          <cell r="G34" t="str">
            <v>Phòng Tổng hợp</v>
          </cell>
        </row>
        <row r="35">
          <cell r="B35" t="str">
            <v>045097</v>
          </cell>
          <cell r="C35" t="str">
            <v>Hoàng Thị Nga</v>
          </cell>
          <cell r="D35" t="str">
            <v>Phó phòng Tổng hợp</v>
          </cell>
          <cell r="E35" t="str">
            <v>Tổng công ty Công nghiệp Công nghệ cao Viettel</v>
          </cell>
          <cell r="F35" t="str">
            <v>Khối 1 - TCT CNC</v>
          </cell>
          <cell r="G35" t="str">
            <v>Phòng Tổng hợp</v>
          </cell>
        </row>
        <row r="36">
          <cell r="B36" t="str">
            <v>056957</v>
          </cell>
          <cell r="C36" t="str">
            <v>Hoàng Thị Kim Thoa</v>
          </cell>
          <cell r="D36" t="str">
            <v>Trợ lý Đề tài</v>
          </cell>
          <cell r="E36" t="str">
            <v>Tổng công ty Công nghiệp Công nghệ cao Viettel</v>
          </cell>
          <cell r="F36" t="str">
            <v>Khối 1 - TCT CNC</v>
          </cell>
          <cell r="G36" t="str">
            <v>Phòng Tổng hợp</v>
          </cell>
        </row>
        <row r="37">
          <cell r="B37" t="str">
            <v>063770</v>
          </cell>
          <cell r="C37" t="str">
            <v>Trương Thị Thùy Dung</v>
          </cell>
          <cell r="D37" t="str">
            <v>Trợ lý Đề tài</v>
          </cell>
          <cell r="E37" t="str">
            <v>Tổng công ty Công nghiệp Công nghệ cao Viettel</v>
          </cell>
          <cell r="F37" t="str">
            <v>Khối 1 - TCT CNC</v>
          </cell>
          <cell r="G37" t="str">
            <v>Phòng Tổng hợp</v>
          </cell>
        </row>
        <row r="38">
          <cell r="B38" t="str">
            <v>108598</v>
          </cell>
          <cell r="C38" t="str">
            <v>Tống Thị Thùy Linh</v>
          </cell>
          <cell r="D38" t="str">
            <v>Trợ lý Đề tài</v>
          </cell>
          <cell r="E38" t="str">
            <v>Tổng công ty Công nghiệp Công nghệ cao Viettel</v>
          </cell>
          <cell r="F38" t="str">
            <v>Khối 1 - TCT CNC</v>
          </cell>
          <cell r="G38" t="str">
            <v>Phòng Tổng hợp</v>
          </cell>
        </row>
        <row r="39">
          <cell r="B39" t="str">
            <v>118760</v>
          </cell>
          <cell r="C39" t="str">
            <v>Nguyễn Thị Linh</v>
          </cell>
          <cell r="D39" t="str">
            <v>Trợ lý Đề tài</v>
          </cell>
          <cell r="E39" t="str">
            <v>Tổng công ty Công nghiệp Công nghệ cao Viettel</v>
          </cell>
          <cell r="F39" t="str">
            <v>Khối 1 - TCT CNC</v>
          </cell>
          <cell r="G39" t="str">
            <v>Phòng Tổng hợp</v>
          </cell>
        </row>
        <row r="40">
          <cell r="B40" t="str">
            <v>121979</v>
          </cell>
          <cell r="C40" t="str">
            <v>Vũ Thị Quỳnh Thu</v>
          </cell>
          <cell r="D40" t="str">
            <v>Trợ lý Đề tài</v>
          </cell>
          <cell r="E40" t="str">
            <v>Tổng công ty Công nghiệp Công nghệ cao Viettel</v>
          </cell>
          <cell r="F40" t="str">
            <v>Khối 1 - TCT CNC</v>
          </cell>
          <cell r="G40" t="str">
            <v>Phòng Tổng hợp</v>
          </cell>
        </row>
        <row r="41">
          <cell r="B41" t="str">
            <v>126109</v>
          </cell>
          <cell r="C41" t="str">
            <v>Vũ Thị Phương</v>
          </cell>
          <cell r="D41" t="str">
            <v>Trợ lý Đề tài</v>
          </cell>
          <cell r="E41" t="str">
            <v>Tổng công ty Công nghiệp Công nghệ cao Viettel</v>
          </cell>
          <cell r="F41" t="str">
            <v>Khối 1 - TCT CNC</v>
          </cell>
          <cell r="G41" t="str">
            <v>Phòng Tổng hợp</v>
          </cell>
        </row>
        <row r="42">
          <cell r="B42" t="str">
            <v>137168</v>
          </cell>
          <cell r="C42" t="str">
            <v>Nguyễn Hương Giang</v>
          </cell>
          <cell r="D42" t="str">
            <v>Trợ lý Đề tài</v>
          </cell>
          <cell r="E42" t="str">
            <v>Tổng công ty Công nghiệp Công nghệ cao Viettel</v>
          </cell>
          <cell r="F42" t="str">
            <v>Khối 1 - TCT CNC</v>
          </cell>
          <cell r="G42" t="str">
            <v>Phòng Tổng hợp</v>
          </cell>
        </row>
        <row r="43">
          <cell r="B43" t="str">
            <v>185613</v>
          </cell>
          <cell r="C43" t="str">
            <v>Nguyễn Thị Phương Anh</v>
          </cell>
          <cell r="D43" t="str">
            <v>Trợ lý Đề tài</v>
          </cell>
          <cell r="E43" t="str">
            <v>Tổng công ty Công nghiệp Công nghệ cao Viettel</v>
          </cell>
          <cell r="F43" t="str">
            <v>Khối 1 - TCT CNC</v>
          </cell>
          <cell r="G43" t="str">
            <v>Phòng Tổng hợp</v>
          </cell>
        </row>
        <row r="44">
          <cell r="B44" t="str">
            <v>204945</v>
          </cell>
          <cell r="C44" t="str">
            <v>Lương Mỹ Linh</v>
          </cell>
          <cell r="D44" t="str">
            <v>Trợ lý Đề tài</v>
          </cell>
          <cell r="E44" t="str">
            <v>Tổng công ty Công nghiệp Công nghệ cao Viettel</v>
          </cell>
          <cell r="F44" t="str">
            <v>Khối 1 - TCT CNC</v>
          </cell>
          <cell r="G44" t="str">
            <v>Phòng Tổng hợp</v>
          </cell>
        </row>
        <row r="45">
          <cell r="B45" t="str">
            <v>284785</v>
          </cell>
          <cell r="C45" t="str">
            <v>Mai Thu Hà</v>
          </cell>
          <cell r="D45" t="str">
            <v>Nhân viên Hỗ trợ dự án</v>
          </cell>
          <cell r="E45" t="str">
            <v>Tổng công ty Công nghiệp Công nghệ cao Viettel</v>
          </cell>
          <cell r="F45" t="str">
            <v>Khối 1 - TCT CNC</v>
          </cell>
          <cell r="G45" t="str">
            <v>Phòng Tổng hợp</v>
          </cell>
        </row>
        <row r="46">
          <cell r="B46" t="str">
            <v>003990</v>
          </cell>
          <cell r="C46" t="str">
            <v>Vũ Ngọc Vinh</v>
          </cell>
          <cell r="D46" t="str">
            <v>Phó Giám đốc Trung tâm</v>
          </cell>
          <cell r="E46" t="str">
            <v>Tổng công ty Công nghiệp Công nghệ cao Viettel</v>
          </cell>
          <cell r="F46" t="str">
            <v>Khối 1 - TCT CNC</v>
          </cell>
          <cell r="G46" t="str">
            <v>Trung tâm Chỉ huy điều khiển</v>
          </cell>
        </row>
        <row r="47">
          <cell r="B47" t="str">
            <v>037193</v>
          </cell>
          <cell r="C47" t="str">
            <v>Trần Thị Việt Nga</v>
          </cell>
          <cell r="D47" t="str">
            <v>Kỹ sư Phân tích hệ thống</v>
          </cell>
          <cell r="E47" t="str">
            <v>Tổng công ty Công nghiệp Công nghệ cao Viettel</v>
          </cell>
          <cell r="F47" t="str">
            <v>Khối 1 - TCT CNC</v>
          </cell>
          <cell r="G47" t="str">
            <v>Trung tâm Chỉ huy điều khiển</v>
          </cell>
        </row>
        <row r="48">
          <cell r="B48" t="str">
            <v>087316</v>
          </cell>
          <cell r="C48" t="str">
            <v>Nguyễn Thị Thùy Linh</v>
          </cell>
          <cell r="D48" t="str">
            <v>Chủ nhiệm đề tài</v>
          </cell>
          <cell r="E48" t="str">
            <v>Tổng công ty Công nghiệp Công nghệ cao Viettel</v>
          </cell>
          <cell r="F48" t="str">
            <v>Khối 1 - TCT CNC</v>
          </cell>
          <cell r="G48" t="str">
            <v>Trung tâm Chỉ huy điều khiển</v>
          </cell>
        </row>
        <row r="49">
          <cell r="B49" t="str">
            <v>093857</v>
          </cell>
          <cell r="C49" t="str">
            <v>Vũ Huy Hùng</v>
          </cell>
          <cell r="D49" t="str">
            <v>Trưởng phòng Phát triển sản phẩm hệ thống chỉ huy điều khiển</v>
          </cell>
          <cell r="E49" t="str">
            <v>Tổng công ty Công nghiệp Công nghệ cao Viettel</v>
          </cell>
          <cell r="F49" t="str">
            <v>Khối 1 - TCT CNC</v>
          </cell>
          <cell r="G49" t="str">
            <v>Trung tâm Chỉ huy điều khiển</v>
          </cell>
        </row>
        <row r="50">
          <cell r="B50" t="str">
            <v>103000</v>
          </cell>
          <cell r="C50" t="str">
            <v>Đinh Trung Dương</v>
          </cell>
          <cell r="D50" t="str">
            <v>Chủ nhiệm đề tài</v>
          </cell>
          <cell r="E50" t="str">
            <v>Tổng công ty Công nghiệp Công nghệ cao Viettel</v>
          </cell>
          <cell r="F50" t="str">
            <v>Khối 1 - TCT CNC</v>
          </cell>
          <cell r="G50" t="str">
            <v>Trung tâm Chỉ huy điều khiển</v>
          </cell>
        </row>
        <row r="51">
          <cell r="B51" t="str">
            <v>120505</v>
          </cell>
          <cell r="C51" t="str">
            <v>Bùi Việt Hưng</v>
          </cell>
          <cell r="D51" t="str">
            <v>Kỹ sư chính hệ thống</v>
          </cell>
          <cell r="E51" t="str">
            <v>Tổng công ty Công nghiệp Công nghệ cao Viettel</v>
          </cell>
          <cell r="F51" t="str">
            <v>Khối 1 - TCT CNC</v>
          </cell>
          <cell r="G51" t="str">
            <v>Trung tâm Chỉ huy điều khiển</v>
          </cell>
        </row>
        <row r="52">
          <cell r="B52" t="str">
            <v>121262</v>
          </cell>
          <cell r="C52" t="str">
            <v>Lê Trần Sự</v>
          </cell>
          <cell r="D52" t="str">
            <v>Giám đốc Trung tâm</v>
          </cell>
          <cell r="E52" t="str">
            <v>Tổng công ty Công nghiệp Công nghệ cao Viettel</v>
          </cell>
          <cell r="F52" t="str">
            <v>Khối 1 - TCT CNC</v>
          </cell>
          <cell r="G52" t="str">
            <v>Trung tâm Chỉ huy điều khiển</v>
          </cell>
        </row>
        <row r="53">
          <cell r="B53" t="str">
            <v>121263</v>
          </cell>
          <cell r="C53" t="str">
            <v>Nguyễn Đình Việt</v>
          </cell>
          <cell r="D53" t="str">
            <v>Chủ nhiệm đề tài</v>
          </cell>
          <cell r="E53" t="str">
            <v>Tổng công ty Công nghiệp Công nghệ cao Viettel</v>
          </cell>
          <cell r="F53" t="str">
            <v>Khối 1 - TCT CNC</v>
          </cell>
          <cell r="G53" t="str">
            <v>Trung tâm Chỉ huy điều khiển</v>
          </cell>
        </row>
        <row r="54">
          <cell r="B54" t="str">
            <v>121641</v>
          </cell>
          <cell r="C54" t="str">
            <v>Trần Ngọc Sơn</v>
          </cell>
          <cell r="D54" t="str">
            <v>Kỹ sư Thiết kế phần cứng</v>
          </cell>
          <cell r="E54" t="str">
            <v>Tổng công ty Công nghiệp Công nghệ cao Viettel</v>
          </cell>
          <cell r="F54" t="str">
            <v>Khối 1 - TCT CNC</v>
          </cell>
          <cell r="G54" t="str">
            <v>Trung tâm Chỉ huy điều khiển</v>
          </cell>
        </row>
        <row r="55">
          <cell r="B55" t="str">
            <v>123686</v>
          </cell>
          <cell r="C55" t="str">
            <v>Nguyễn Quang Bằng</v>
          </cell>
          <cell r="D55" t="str">
            <v>Phó Giám đốc Trung tâm</v>
          </cell>
          <cell r="E55" t="str">
            <v>Tổng công ty Công nghiệp Công nghệ cao Viettel</v>
          </cell>
          <cell r="F55" t="str">
            <v>Khối 1 - TCT CNC</v>
          </cell>
          <cell r="G55" t="str">
            <v>Trung tâm Chỉ huy điều khiển</v>
          </cell>
        </row>
        <row r="56">
          <cell r="B56" t="str">
            <v>125568</v>
          </cell>
          <cell r="C56" t="str">
            <v>Nguyễn Anh Tuấn</v>
          </cell>
          <cell r="D56" t="str">
            <v>Trưởng phòng Nghiên cứu nhận dạng thích nghi đa mô hình</v>
          </cell>
          <cell r="E56" t="str">
            <v>Tổng công ty Công nghiệp Công nghệ cao Viettel</v>
          </cell>
          <cell r="F56" t="str">
            <v>Khối 1 - TCT CNC</v>
          </cell>
          <cell r="G56" t="str">
            <v>Trung tâm Chỉ huy điều khiển</v>
          </cell>
        </row>
        <row r="57">
          <cell r="B57" t="str">
            <v>137428</v>
          </cell>
          <cell r="C57" t="str">
            <v>Uông Huy Quân</v>
          </cell>
          <cell r="D57" t="str">
            <v>Kỹ sư trưởng Hệ thống</v>
          </cell>
          <cell r="E57" t="str">
            <v>Tổng công ty Công nghiệp Công nghệ cao Viettel</v>
          </cell>
          <cell r="F57" t="str">
            <v>Khối 1 - TCT CNC</v>
          </cell>
          <cell r="G57" t="str">
            <v>Trung tâm Chỉ huy điều khiển</v>
          </cell>
        </row>
        <row r="58">
          <cell r="B58" t="str">
            <v>139854</v>
          </cell>
          <cell r="C58" t="str">
            <v>Hoàng Quốc Đạt</v>
          </cell>
          <cell r="D58" t="str">
            <v>Kỹ sư Phân tích hệ thống</v>
          </cell>
          <cell r="E58" t="str">
            <v>Tổng công ty Công nghiệp Công nghệ cao Viettel</v>
          </cell>
          <cell r="F58" t="str">
            <v>Khối 1 - TCT CNC</v>
          </cell>
          <cell r="G58" t="str">
            <v>Trung tâm Chỉ huy điều khiển</v>
          </cell>
        </row>
        <row r="59">
          <cell r="B59" t="str">
            <v>164995</v>
          </cell>
          <cell r="C59" t="str">
            <v>Phạm Đức Long</v>
          </cell>
          <cell r="D59" t="str">
            <v>Kỹ sư Thiết kế phần mềm</v>
          </cell>
          <cell r="E59" t="str">
            <v>Tổng công ty Công nghiệp Công nghệ cao Viettel</v>
          </cell>
          <cell r="F59" t="str">
            <v>Khối 1 - TCT CNC</v>
          </cell>
          <cell r="G59" t="str">
            <v>Trung tâm Chỉ huy điều khiển</v>
          </cell>
        </row>
        <row r="60">
          <cell r="B60" t="str">
            <v>167333</v>
          </cell>
          <cell r="C60" t="str">
            <v>Vũ Viết Đức</v>
          </cell>
          <cell r="D60" t="str">
            <v>Kỹ sư chính hệ thống</v>
          </cell>
          <cell r="E60" t="str">
            <v>Tổng công ty Công nghiệp Công nghệ cao Viettel</v>
          </cell>
          <cell r="F60" t="str">
            <v>Khối 1 - TCT CNC</v>
          </cell>
          <cell r="G60" t="str">
            <v>Trung tâm Chỉ huy điều khiển</v>
          </cell>
        </row>
        <row r="61">
          <cell r="B61" t="str">
            <v>169153</v>
          </cell>
          <cell r="C61" t="str">
            <v>Nguyễn Mạnh Toàn</v>
          </cell>
          <cell r="D61" t="str">
            <v>Kỹ sư Thiết kế phần mềm</v>
          </cell>
          <cell r="E61" t="str">
            <v>Tổng công ty Công nghiệp Công nghệ cao Viettel</v>
          </cell>
          <cell r="F61" t="str">
            <v>Khối 1 - TCT CNC</v>
          </cell>
          <cell r="G61" t="str">
            <v>Trung tâm Chỉ huy điều khiển</v>
          </cell>
        </row>
        <row r="62">
          <cell r="B62" t="str">
            <v>194533</v>
          </cell>
          <cell r="C62" t="str">
            <v>Nguyễn Văn Cương</v>
          </cell>
          <cell r="D62" t="str">
            <v>Kỹ sư Thiết kế phần mềm</v>
          </cell>
          <cell r="E62" t="str">
            <v>Tổng công ty Công nghiệp Công nghệ cao Viettel</v>
          </cell>
          <cell r="F62" t="str">
            <v>Khối 1 - TCT CNC</v>
          </cell>
          <cell r="G62" t="str">
            <v>Trung tâm Chỉ huy điều khiển</v>
          </cell>
        </row>
        <row r="63">
          <cell r="B63" t="str">
            <v>200122</v>
          </cell>
          <cell r="C63" t="str">
            <v>Phan Văn Duẩn</v>
          </cell>
          <cell r="D63" t="str">
            <v>Kỹ sư Thiết kế hạ tầng mạng IP</v>
          </cell>
          <cell r="E63" t="str">
            <v>Tổng công ty Công nghiệp Công nghệ cao Viettel</v>
          </cell>
          <cell r="F63" t="str">
            <v>Khối 1 - TCT CNC</v>
          </cell>
          <cell r="G63" t="str">
            <v>Trung tâm Chỉ huy điều khiển</v>
          </cell>
        </row>
        <row r="64">
          <cell r="B64" t="str">
            <v>205228</v>
          </cell>
          <cell r="C64" t="str">
            <v>Ngô Đình Nguyên</v>
          </cell>
          <cell r="D64" t="str">
            <v>Kỹ sư Nghiên cứu thuật toán</v>
          </cell>
          <cell r="E64" t="str">
            <v>Tổng công ty Công nghiệp Công nghệ cao Viettel</v>
          </cell>
          <cell r="F64" t="str">
            <v>Khối 1 - TCT CNC</v>
          </cell>
          <cell r="G64" t="str">
            <v>Trung tâm Chỉ huy điều khiển</v>
          </cell>
        </row>
        <row r="65">
          <cell r="B65" t="str">
            <v>207638</v>
          </cell>
          <cell r="C65" t="str">
            <v>Nguyễn Văn Tuấn</v>
          </cell>
          <cell r="D65" t="str">
            <v>Trưởng phòng Khai phá và phân tích dữ liệu lớn</v>
          </cell>
          <cell r="E65" t="str">
            <v>Tổng công ty Công nghiệp Công nghệ cao Viettel</v>
          </cell>
          <cell r="F65" t="str">
            <v>Khối 1 - TCT CNC</v>
          </cell>
          <cell r="G65" t="str">
            <v>Trung tâm Chỉ huy điều khiển</v>
          </cell>
        </row>
        <row r="66">
          <cell r="B66" t="str">
            <v>221106</v>
          </cell>
          <cell r="C66" t="str">
            <v>Vũ Thị Hà</v>
          </cell>
          <cell r="D66" t="str">
            <v>Kỹ sư Phân tích hệ thống</v>
          </cell>
          <cell r="E66" t="str">
            <v>Tổng công ty Công nghiệp Công nghệ cao Viettel</v>
          </cell>
          <cell r="F66" t="str">
            <v>Khối 1 - TCT CNC</v>
          </cell>
          <cell r="G66" t="str">
            <v>Trung tâm Chỉ huy điều khiển</v>
          </cell>
        </row>
        <row r="67">
          <cell r="B67" t="str">
            <v>224481</v>
          </cell>
          <cell r="C67" t="str">
            <v>Lưu Thị Hoàng Yến</v>
          </cell>
          <cell r="D67" t="str">
            <v>Trưởng phòng Nghiên cứu mô hình tối ưu liên kết nhiều lực lượng</v>
          </cell>
          <cell r="E67" t="str">
            <v>Tổng công ty Công nghiệp Công nghệ cao Viettel</v>
          </cell>
          <cell r="F67" t="str">
            <v>Khối 1 - TCT CNC</v>
          </cell>
          <cell r="G67" t="str">
            <v>Trung tâm Chỉ huy điều khiển</v>
          </cell>
        </row>
        <row r="68">
          <cell r="B68" t="str">
            <v>225347</v>
          </cell>
          <cell r="C68" t="str">
            <v>Nguyễn Văn Hoàng</v>
          </cell>
          <cell r="D68" t="str">
            <v>Phó Phòng</v>
          </cell>
          <cell r="E68" t="str">
            <v>Tổng công ty Công nghiệp Công nghệ cao Viettel</v>
          </cell>
          <cell r="F68" t="str">
            <v>Khối 1 - TCT CNC</v>
          </cell>
          <cell r="G68" t="str">
            <v>Trung tâm Chỉ huy điều khiển</v>
          </cell>
        </row>
        <row r="69">
          <cell r="B69" t="str">
            <v>228522</v>
          </cell>
          <cell r="C69" t="str">
            <v>Đinh Thị Huyền</v>
          </cell>
          <cell r="D69" t="str">
            <v>Kỹ sư Nghiên cứu thuật toán</v>
          </cell>
          <cell r="E69" t="str">
            <v>Tổng công ty Công nghiệp Công nghệ cao Viettel</v>
          </cell>
          <cell r="F69" t="str">
            <v>Khối 1 - TCT CNC</v>
          </cell>
          <cell r="G69" t="str">
            <v>Trung tâm Chỉ huy điều khiển</v>
          </cell>
        </row>
        <row r="70">
          <cell r="B70" t="str">
            <v>232942</v>
          </cell>
          <cell r="C70" t="str">
            <v>Đàm Minh Tiến</v>
          </cell>
          <cell r="D70" t="str">
            <v>Kỹ sư Nghiên cứu thuật toán</v>
          </cell>
          <cell r="E70" t="str">
            <v>Tổng công ty Công nghiệp Công nghệ cao Viettel</v>
          </cell>
          <cell r="F70" t="str">
            <v>Khối 1 - TCT CNC</v>
          </cell>
          <cell r="G70" t="str">
            <v>Trung tâm Chỉ huy điều khiển</v>
          </cell>
        </row>
        <row r="71">
          <cell r="B71" t="str">
            <v>236333</v>
          </cell>
          <cell r="C71" t="str">
            <v>Nguyễn Mạnh Tiềm</v>
          </cell>
          <cell r="D71" t="str">
            <v>Kỹ sư Nghiên cứu thuật toán</v>
          </cell>
          <cell r="E71" t="str">
            <v>Tổng công ty Công nghiệp Công nghệ cao Viettel</v>
          </cell>
          <cell r="F71" t="str">
            <v>Khối 1 - TCT CNC</v>
          </cell>
          <cell r="G71" t="str">
            <v>Trung tâm Chỉ huy điều khiển</v>
          </cell>
        </row>
        <row r="72">
          <cell r="B72" t="str">
            <v>245871</v>
          </cell>
          <cell r="C72" t="str">
            <v>Vũ Thị Hạnh</v>
          </cell>
          <cell r="D72" t="str">
            <v>Kỹ sư Phân tích hệ thống</v>
          </cell>
          <cell r="E72" t="str">
            <v>Tổng công ty Công nghiệp Công nghệ cao Viettel</v>
          </cell>
          <cell r="F72" t="str">
            <v>Khối 1 - TCT CNC</v>
          </cell>
          <cell r="G72" t="str">
            <v>Trung tâm Chỉ huy điều khiển</v>
          </cell>
        </row>
        <row r="73">
          <cell r="B73" t="str">
            <v>247601</v>
          </cell>
          <cell r="C73" t="str">
            <v>Nguyễn Thị Mai</v>
          </cell>
          <cell r="D73" t="str">
            <v>Kỹ sư Phân tích hệ thống</v>
          </cell>
          <cell r="E73" t="str">
            <v>Tổng công ty Công nghiệp Công nghệ cao Viettel</v>
          </cell>
          <cell r="F73" t="str">
            <v>Khối 1 - TCT CNC</v>
          </cell>
          <cell r="G73" t="str">
            <v>Trung tâm Chỉ huy điều khiển</v>
          </cell>
        </row>
        <row r="74">
          <cell r="B74" t="str">
            <v>271900</v>
          </cell>
          <cell r="C74" t="str">
            <v>Lê Quang Hưng</v>
          </cell>
          <cell r="D74" t="str">
            <v>Kỹ sư Thiết kế phần mềm</v>
          </cell>
          <cell r="E74" t="str">
            <v>Tổng công ty Công nghiệp Công nghệ cao Viettel</v>
          </cell>
          <cell r="F74" t="str">
            <v>Khối 1 - TCT CNC</v>
          </cell>
          <cell r="G74" t="str">
            <v>Trung tâm Chỉ huy điều khiển</v>
          </cell>
        </row>
        <row r="75">
          <cell r="B75" t="str">
            <v>273490</v>
          </cell>
          <cell r="C75" t="str">
            <v>Đỗ Ngọc Hải Đăng</v>
          </cell>
          <cell r="D75" t="str">
            <v>Kỹ sư Thiết kế phần mềm</v>
          </cell>
          <cell r="E75" t="str">
            <v>Tổng công ty Công nghiệp Công nghệ cao Viettel</v>
          </cell>
          <cell r="F75" t="str">
            <v>Khối 1 - TCT CNC</v>
          </cell>
          <cell r="G75" t="str">
            <v>Trung tâm Chỉ huy điều khiển</v>
          </cell>
        </row>
        <row r="76">
          <cell r="B76" t="str">
            <v>275287</v>
          </cell>
          <cell r="C76" t="str">
            <v>Đậu Danh Quyết</v>
          </cell>
          <cell r="D76" t="str">
            <v>Kỹ sư Phần mềm nhúng</v>
          </cell>
          <cell r="E76" t="str">
            <v>Tổng công ty Công nghiệp Công nghệ cao Viettel</v>
          </cell>
          <cell r="F76" t="str">
            <v>Khối 1 - TCT CNC</v>
          </cell>
          <cell r="G76" t="str">
            <v>Trung tâm Chỉ huy điều khiển</v>
          </cell>
        </row>
        <row r="77">
          <cell r="B77" t="str">
            <v>276035</v>
          </cell>
          <cell r="C77" t="str">
            <v>Trần Quốc Đạt</v>
          </cell>
          <cell r="D77" t="str">
            <v>Kỹ sư Điều khiển tự động</v>
          </cell>
          <cell r="E77" t="str">
            <v>Tổng công ty Công nghiệp Công nghệ cao Viettel</v>
          </cell>
          <cell r="F77" t="str">
            <v>Khối 1 - TCT CNC</v>
          </cell>
          <cell r="G77" t="str">
            <v>Trung tâm Chỉ huy điều khiển</v>
          </cell>
        </row>
        <row r="78">
          <cell r="B78" t="str">
            <v>293215</v>
          </cell>
          <cell r="C78" t="str">
            <v>Thái Phát Triển</v>
          </cell>
          <cell r="D78" t="str">
            <v>Kỹ sư Nghiên cứu thuật toán</v>
          </cell>
          <cell r="E78" t="str">
            <v>Tổng công ty Công nghiệp Công nghệ cao Viettel</v>
          </cell>
          <cell r="F78" t="str">
            <v>Khối 1 - TCT CNC</v>
          </cell>
          <cell r="G78" t="str">
            <v>Trung tâm Chỉ huy điều khiển</v>
          </cell>
        </row>
        <row r="79">
          <cell r="B79" t="str">
            <v>427395</v>
          </cell>
          <cell r="C79" t="str">
            <v>Ngô Thiên Phú</v>
          </cell>
          <cell r="D79" t="str">
            <v>Kỹ sư Lập trình nhúng</v>
          </cell>
          <cell r="E79" t="str">
            <v>Tổng công ty Công nghiệp Công nghệ cao Viettel</v>
          </cell>
          <cell r="F79" t="str">
            <v>Khối 1 - TCT CNC</v>
          </cell>
          <cell r="G79" t="str">
            <v>Trung tâm Chỉ huy điều khiển</v>
          </cell>
        </row>
        <row r="80">
          <cell r="B80" t="str">
            <v>429069</v>
          </cell>
          <cell r="C80" t="str">
            <v>Nguyễn Hữu Doanh</v>
          </cell>
          <cell r="D80" t="str">
            <v>Kỹ sư Nghiên cứu thuật toán</v>
          </cell>
          <cell r="E80" t="str">
            <v>Tổng công ty Công nghiệp Công nghệ cao Viettel</v>
          </cell>
          <cell r="F80" t="str">
            <v>Khối 1 - TCT CNC</v>
          </cell>
          <cell r="G80" t="str">
            <v>Trung tâm Chỉ huy điều khiển</v>
          </cell>
        </row>
        <row r="81">
          <cell r="B81" t="str">
            <v>434427</v>
          </cell>
          <cell r="C81" t="str">
            <v>Trần Thị Hoa Hiên</v>
          </cell>
          <cell r="D81" t="str">
            <v>Kỹ sư Phát triển phần mềm</v>
          </cell>
          <cell r="E81" t="str">
            <v>Tổng công ty Công nghiệp Công nghệ cao Viettel</v>
          </cell>
          <cell r="F81" t="str">
            <v>Khối 1 - TCT CNC</v>
          </cell>
          <cell r="G81" t="str">
            <v>Trung tâm Chỉ huy điều khiển</v>
          </cell>
        </row>
        <row r="82">
          <cell r="B82" t="str">
            <v>435016</v>
          </cell>
          <cell r="C82" t="str">
            <v>Huỳnh Minh Trí</v>
          </cell>
          <cell r="D82" t="str">
            <v>Kỹ sư Nghiên cứu thuật toán</v>
          </cell>
          <cell r="E82" t="str">
            <v>Tổng công ty Công nghiệp Công nghệ cao Viettel</v>
          </cell>
          <cell r="F82" t="str">
            <v>Khối 1 - TCT CNC</v>
          </cell>
          <cell r="G82" t="str">
            <v>Trung tâm Chỉ huy điều khiển</v>
          </cell>
        </row>
        <row r="83">
          <cell r="B83" t="str">
            <v>439026</v>
          </cell>
          <cell r="C83" t="str">
            <v>Nguyễn Chi Mai</v>
          </cell>
          <cell r="D83" t="str">
            <v>Kỹ sư Nghiên cứu thuật toán</v>
          </cell>
          <cell r="E83" t="str">
            <v>Tổng công ty Công nghiệp Công nghệ cao Viettel</v>
          </cell>
          <cell r="F83" t="str">
            <v>Khối 1 - TCT CNC</v>
          </cell>
          <cell r="G83" t="str">
            <v>Trung tâm Chỉ huy điều khiển</v>
          </cell>
        </row>
        <row r="84">
          <cell r="B84" t="str">
            <v>443198</v>
          </cell>
          <cell r="C84" t="str">
            <v>Trần Uy Sơn</v>
          </cell>
          <cell r="D84" t="str">
            <v>Kỹ sư Phát triển phần mềm</v>
          </cell>
          <cell r="E84" t="str">
            <v>Tổng công ty Công nghiệp Công nghệ cao Viettel</v>
          </cell>
          <cell r="F84" t="str">
            <v>Khối 1 - TCT CNC</v>
          </cell>
          <cell r="G84" t="str">
            <v>Trung tâm Chỉ huy điều khiển</v>
          </cell>
        </row>
        <row r="85">
          <cell r="B85" t="str">
            <v>444394</v>
          </cell>
          <cell r="C85" t="str">
            <v>Lê Trần Đạo</v>
          </cell>
          <cell r="D85" t="str">
            <v>Kỹ sư Nghiên cứu thuật toán</v>
          </cell>
          <cell r="E85" t="str">
            <v>Tổng công ty Công nghiệp Công nghệ cao Viettel</v>
          </cell>
          <cell r="F85" t="str">
            <v>Khối 1 - TCT CNC</v>
          </cell>
          <cell r="G85" t="str">
            <v>Trung tâm Chỉ huy điều khiển</v>
          </cell>
        </row>
        <row r="86">
          <cell r="B86" t="str">
            <v>447099</v>
          </cell>
          <cell r="C86" t="str">
            <v>Nguyễn Kim Ngân</v>
          </cell>
          <cell r="D86" t="str">
            <v>Kỹ sư Nghiên cứu thuật toán</v>
          </cell>
          <cell r="E86" t="str">
            <v>Tổng công ty Công nghiệp Công nghệ cao Viettel</v>
          </cell>
          <cell r="F86" t="str">
            <v>Khối 1 - TCT CNC</v>
          </cell>
          <cell r="G86" t="str">
            <v>Trung tâm Chỉ huy điều khiển</v>
          </cell>
        </row>
        <row r="87">
          <cell r="B87" t="str">
            <v>450245</v>
          </cell>
          <cell r="C87" t="str">
            <v>Nguyễn Đắc Tú</v>
          </cell>
          <cell r="D87" t="str">
            <v>Kỹ sư Phần mềm nhúng</v>
          </cell>
          <cell r="E87" t="str">
            <v>Tổng công ty Công nghiệp Công nghệ cao Viettel</v>
          </cell>
          <cell r="F87" t="str">
            <v>Khối 1 - TCT CNC</v>
          </cell>
          <cell r="G87" t="str">
            <v>Trung tâm Chỉ huy điều khiển</v>
          </cell>
        </row>
        <row r="88">
          <cell r="B88" t="str">
            <v>452769</v>
          </cell>
          <cell r="C88" t="str">
            <v>Hà Thanh Tùng</v>
          </cell>
          <cell r="D88" t="str">
            <v>Kỹ sư Phần mềm nhúng</v>
          </cell>
          <cell r="E88" t="str">
            <v>Tổng công ty Công nghiệp Công nghệ cao Viettel</v>
          </cell>
          <cell r="F88" t="str">
            <v>Khối 1 - TCT CNC</v>
          </cell>
          <cell r="G88" t="str">
            <v>Trung tâm Chỉ huy điều khiển</v>
          </cell>
        </row>
        <row r="89">
          <cell r="B89" t="str">
            <v>453035</v>
          </cell>
          <cell r="C89" t="str">
            <v>Lê Phương Anh</v>
          </cell>
          <cell r="D89" t="str">
            <v>Kỹ sư Nghiên cứu thuật toán</v>
          </cell>
          <cell r="E89" t="str">
            <v>Tổng công ty Công nghiệp Công nghệ cao Viettel</v>
          </cell>
          <cell r="F89" t="str">
            <v>Khối 1 - TCT CNC</v>
          </cell>
          <cell r="G89" t="str">
            <v>Trung tâm Chỉ huy điều khiển</v>
          </cell>
        </row>
        <row r="90">
          <cell r="B90" t="str">
            <v>454519</v>
          </cell>
          <cell r="C90" t="str">
            <v>Phạm Xuân Việt</v>
          </cell>
          <cell r="D90" t="str">
            <v>Kỹ sư Thiết kế phần mềm</v>
          </cell>
          <cell r="E90" t="str">
            <v>Tổng công ty Công nghiệp Công nghệ cao Viettel</v>
          </cell>
          <cell r="F90" t="str">
            <v>Khối 1 - TCT CNC</v>
          </cell>
          <cell r="G90" t="str">
            <v>Trung tâm Chỉ huy điều khiển</v>
          </cell>
        </row>
        <row r="91">
          <cell r="B91" t="str">
            <v>454521</v>
          </cell>
          <cell r="C91" t="str">
            <v>Võ Hoài Nam</v>
          </cell>
          <cell r="D91" t="str">
            <v>Kỹ sư Thiết kế phần mềm</v>
          </cell>
          <cell r="E91" t="str">
            <v>Tổng công ty Công nghiệp Công nghệ cao Viettel</v>
          </cell>
          <cell r="F91" t="str">
            <v>Khối 1 - TCT CNC</v>
          </cell>
          <cell r="G91" t="str">
            <v>Trung tâm Chỉ huy điều khiển</v>
          </cell>
        </row>
        <row r="92">
          <cell r="B92" t="str">
            <v>458021</v>
          </cell>
          <cell r="C92" t="str">
            <v>Lê Quang Huy</v>
          </cell>
          <cell r="D92" t="str">
            <v>Kỹ sư Phát triển phần mềm</v>
          </cell>
          <cell r="E92" t="str">
            <v>Tổng công ty Công nghiệp Công nghệ cao Viettel</v>
          </cell>
          <cell r="F92" t="str">
            <v>Khối 1 - TCT CNC</v>
          </cell>
          <cell r="G92" t="str">
            <v>Trung tâm Chỉ huy điều khiển</v>
          </cell>
        </row>
        <row r="93">
          <cell r="B93" t="str">
            <v>458501</v>
          </cell>
          <cell r="C93" t="str">
            <v>Nguyễn Việt Hoàng</v>
          </cell>
          <cell r="D93" t="str">
            <v>Kỹ sư Nghiên cứu thuật toán</v>
          </cell>
          <cell r="E93" t="str">
            <v>Tổng công ty Công nghiệp Công nghệ cao Viettel</v>
          </cell>
          <cell r="F93" t="str">
            <v>Khối 1 - TCT CNC</v>
          </cell>
          <cell r="G93" t="str">
            <v>Trung tâm Chỉ huy điều khiển</v>
          </cell>
        </row>
        <row r="94">
          <cell r="B94" t="str">
            <v>459619</v>
          </cell>
          <cell r="C94" t="str">
            <v>Trịnh Việt Thắng</v>
          </cell>
          <cell r="D94" t="str">
            <v>Kỹ sư Phát triển phần mềm</v>
          </cell>
          <cell r="E94" t="str">
            <v>Tổng công ty Công nghiệp Công nghệ cao Viettel</v>
          </cell>
          <cell r="F94" t="str">
            <v>Khối 1 - TCT CNC</v>
          </cell>
          <cell r="G94" t="str">
            <v>Trung tâm Chỉ huy điều khiển</v>
          </cell>
        </row>
        <row r="95">
          <cell r="B95" t="str">
            <v>462811</v>
          </cell>
          <cell r="C95" t="str">
            <v>Trương Việt Long</v>
          </cell>
          <cell r="D95" t="str">
            <v>Kỹ sư Nghiên cứu thuật toán</v>
          </cell>
          <cell r="E95" t="str">
            <v>Tổng công ty Công nghiệp Công nghệ cao Viettel</v>
          </cell>
          <cell r="F95" t="str">
            <v>Khối 1 - TCT CNC</v>
          </cell>
          <cell r="G95" t="str">
            <v>Trung tâm Chỉ huy điều khiển</v>
          </cell>
        </row>
        <row r="96">
          <cell r="B96" t="str">
            <v>463853</v>
          </cell>
          <cell r="C96" t="str">
            <v>Nguyễn Đức Toàn</v>
          </cell>
          <cell r="D96" t="str">
            <v>Kỹ sư Phần mềm nhúng</v>
          </cell>
          <cell r="E96" t="str">
            <v>Tổng công ty Công nghiệp Công nghệ cao Viettel</v>
          </cell>
          <cell r="F96" t="str">
            <v>Khối 1 - TCT CNC</v>
          </cell>
          <cell r="G96" t="str">
            <v>Trung tâm Chỉ huy điều khiển</v>
          </cell>
        </row>
        <row r="97">
          <cell r="B97" t="str">
            <v>466611</v>
          </cell>
          <cell r="C97" t="str">
            <v>Trần Kim Lân</v>
          </cell>
          <cell r="D97" t="str">
            <v>Kỹ sư Phát triển phần mềm</v>
          </cell>
          <cell r="E97" t="str">
            <v>Tổng công ty Công nghiệp Công nghệ cao Viettel</v>
          </cell>
          <cell r="F97" t="str">
            <v>Khối 1 - TCT CNC</v>
          </cell>
          <cell r="G97" t="str">
            <v>Trung tâm Chỉ huy điều khiển</v>
          </cell>
        </row>
        <row r="98">
          <cell r="B98" t="str">
            <v>467319</v>
          </cell>
          <cell r="C98" t="str">
            <v>Ngô Văn Tuấn</v>
          </cell>
          <cell r="D98" t="str">
            <v>Kỹ sư Phát triển phần mềm</v>
          </cell>
          <cell r="E98" t="str">
            <v>Tổng công ty Công nghiệp Công nghệ cao Viettel</v>
          </cell>
          <cell r="F98" t="str">
            <v>Khối 1 - TCT CNC</v>
          </cell>
          <cell r="G98" t="str">
            <v>Trung tâm Chỉ huy điều khiển</v>
          </cell>
        </row>
        <row r="99">
          <cell r="B99" t="str">
            <v>467321</v>
          </cell>
          <cell r="C99" t="str">
            <v>Đào Hải Long</v>
          </cell>
          <cell r="D99" t="str">
            <v>Kỹ sư Phát triển phần mềm</v>
          </cell>
          <cell r="E99" t="str">
            <v>Tổng công ty Công nghiệp Công nghệ cao Viettel</v>
          </cell>
          <cell r="F99" t="str">
            <v>Khối 1 - TCT CNC</v>
          </cell>
          <cell r="G99" t="str">
            <v>Trung tâm Chỉ huy điều khiển</v>
          </cell>
        </row>
        <row r="100">
          <cell r="B100" t="str">
            <v>467403</v>
          </cell>
          <cell r="C100" t="str">
            <v>Nguyễn Quang Huy</v>
          </cell>
          <cell r="D100" t="str">
            <v>Kỹ sư Phát triển phần mềm</v>
          </cell>
          <cell r="E100" t="str">
            <v>Tổng công ty Công nghiệp Công nghệ cao Viettel</v>
          </cell>
          <cell r="F100" t="str">
            <v>Khối 1 - TCT CNC</v>
          </cell>
          <cell r="G100" t="str">
            <v>Trung tâm Chỉ huy điều khiển</v>
          </cell>
        </row>
        <row r="101">
          <cell r="B101" t="str">
            <v>467405</v>
          </cell>
          <cell r="C101" t="str">
            <v>Phạm Tuấn Long</v>
          </cell>
          <cell r="D101" t="str">
            <v>Kỹ sư Phát triển phần mềm</v>
          </cell>
          <cell r="E101" t="str">
            <v>Tổng công ty Công nghiệp Công nghệ cao Viettel</v>
          </cell>
          <cell r="F101" t="str">
            <v>Khối 1 - TCT CNC</v>
          </cell>
          <cell r="G101" t="str">
            <v>Trung tâm Chỉ huy điều khiển</v>
          </cell>
        </row>
        <row r="102">
          <cell r="B102" t="str">
            <v>467411</v>
          </cell>
          <cell r="C102" t="str">
            <v>Lê Văn Quốc</v>
          </cell>
          <cell r="D102" t="str">
            <v>Kỹ sư Phát triển phần mềm</v>
          </cell>
          <cell r="E102" t="str">
            <v>Tổng công ty Công nghiệp Công nghệ cao Viettel</v>
          </cell>
          <cell r="F102" t="str">
            <v>Khối 1 - TCT CNC</v>
          </cell>
          <cell r="G102" t="str">
            <v>Trung tâm Chỉ huy điều khiển</v>
          </cell>
        </row>
        <row r="103">
          <cell r="B103" t="str">
            <v>467417</v>
          </cell>
          <cell r="C103" t="str">
            <v>Cao Việt Anh</v>
          </cell>
          <cell r="D103" t="str">
            <v>Kỹ sư Phát triển phần mềm</v>
          </cell>
          <cell r="E103" t="str">
            <v>Tổng công ty Công nghiệp Công nghệ cao Viettel</v>
          </cell>
          <cell r="F103" t="str">
            <v>Khối 1 - TCT CNC</v>
          </cell>
          <cell r="G103" t="str">
            <v>Trung tâm Chỉ huy điều khiển</v>
          </cell>
        </row>
        <row r="104">
          <cell r="B104" t="str">
            <v>468837</v>
          </cell>
          <cell r="C104" t="str">
            <v>Trịnh Hồng Quân</v>
          </cell>
          <cell r="D104" t="str">
            <v>Kỹ sư Phát triển phần mềm</v>
          </cell>
          <cell r="E104" t="str">
            <v>Tổng công ty Công nghiệp Công nghệ cao Viettel</v>
          </cell>
          <cell r="F104" t="str">
            <v>Khối 1 - TCT CNC</v>
          </cell>
          <cell r="G104" t="str">
            <v>Trung tâm Chỉ huy điều khiển</v>
          </cell>
        </row>
        <row r="105">
          <cell r="B105" t="str">
            <v>469063</v>
          </cell>
          <cell r="C105" t="str">
            <v>Vũ Ngọc Tú</v>
          </cell>
          <cell r="D105" t="str">
            <v>Kỹ sư Nghiên cứu thuật toán</v>
          </cell>
          <cell r="E105" t="str">
            <v>Tổng công ty Công nghiệp Công nghệ cao Viettel</v>
          </cell>
          <cell r="F105" t="str">
            <v>Khối 1 - TCT CNC</v>
          </cell>
          <cell r="G105" t="str">
            <v>Trung tâm Chỉ huy điều khiển</v>
          </cell>
        </row>
        <row r="106">
          <cell r="B106" t="str">
            <v>471795</v>
          </cell>
          <cell r="C106" t="str">
            <v>Lê Việt Hà</v>
          </cell>
          <cell r="D106" t="str">
            <v>Kỹ sư Thiết kế phần mềm</v>
          </cell>
          <cell r="E106" t="str">
            <v>Tổng công ty Công nghiệp Công nghệ cao Viettel</v>
          </cell>
          <cell r="F106" t="str">
            <v>Khối 1 - TCT CNC</v>
          </cell>
          <cell r="G106" t="str">
            <v>Trung tâm Chỉ huy điều khiển</v>
          </cell>
        </row>
        <row r="107">
          <cell r="B107" t="str">
            <v>473589</v>
          </cell>
          <cell r="C107" t="str">
            <v>Đỗ Phú Vinh</v>
          </cell>
          <cell r="D107" t="str">
            <v>Kỹ sư Nghiên cứu thuật toán</v>
          </cell>
          <cell r="E107" t="str">
            <v>Tổng công ty Công nghiệp Công nghệ cao Viettel</v>
          </cell>
          <cell r="F107" t="str">
            <v>Khối 1 - TCT CNC</v>
          </cell>
          <cell r="G107" t="str">
            <v>Trung tâm Chỉ huy điều khiển</v>
          </cell>
        </row>
        <row r="108">
          <cell r="B108" t="str">
            <v>473591</v>
          </cell>
          <cell r="C108" t="str">
            <v>Lê Hoài Phương</v>
          </cell>
          <cell r="D108" t="str">
            <v>Kỹ sư Phát triển phần mềm</v>
          </cell>
          <cell r="E108" t="str">
            <v>Tổng công ty Công nghiệp Công nghệ cao Viettel</v>
          </cell>
          <cell r="F108" t="str">
            <v>Khối 1 - TCT CNC</v>
          </cell>
          <cell r="G108" t="str">
            <v>Trung tâm Chỉ huy điều khiển</v>
          </cell>
        </row>
        <row r="109">
          <cell r="B109" t="str">
            <v>473593</v>
          </cell>
          <cell r="C109" t="str">
            <v>Trần Hoàng Anh Phi</v>
          </cell>
          <cell r="D109" t="str">
            <v>Kỹ sư Nghiên cứu thuật toán</v>
          </cell>
          <cell r="E109" t="str">
            <v>Tổng công ty Công nghiệp Công nghệ cao Viettel</v>
          </cell>
          <cell r="F109" t="str">
            <v>Khối 1 - TCT CNC</v>
          </cell>
          <cell r="G109" t="str">
            <v>Trung tâm Chỉ huy điều khiển</v>
          </cell>
        </row>
        <row r="110">
          <cell r="B110" t="str">
            <v>474309</v>
          </cell>
          <cell r="C110" t="str">
            <v>Trần Nguyễn Minh Hiếu</v>
          </cell>
          <cell r="D110" t="str">
            <v>Kỹ sư Phân tích nghiệp vụ</v>
          </cell>
          <cell r="E110" t="str">
            <v>Tổng công ty Công nghiệp Công nghệ cao Viettel</v>
          </cell>
          <cell r="F110" t="str">
            <v>Khối 1 - TCT CNC</v>
          </cell>
          <cell r="G110" t="str">
            <v>Trung tâm Chỉ huy điều khiển</v>
          </cell>
        </row>
        <row r="111">
          <cell r="B111" t="str">
            <v>474443</v>
          </cell>
          <cell r="C111" t="str">
            <v>Đỗ Đức Mạnh</v>
          </cell>
          <cell r="D111" t="str">
            <v>Kỹ sư Phần mềm nhúng</v>
          </cell>
          <cell r="E111" t="str">
            <v>Tổng công ty Công nghiệp Công nghệ cao Viettel</v>
          </cell>
          <cell r="F111" t="str">
            <v>Khối 1 - TCT CNC</v>
          </cell>
          <cell r="G111" t="str">
            <v>Trung tâm Chỉ huy điều khiển</v>
          </cell>
        </row>
        <row r="112">
          <cell r="B112" t="str">
            <v>475181</v>
          </cell>
          <cell r="C112" t="str">
            <v>Mạc Anh Kiệt</v>
          </cell>
          <cell r="D112" t="str">
            <v>Kỹ sư Nghiên cứu thuật toán</v>
          </cell>
          <cell r="E112" t="str">
            <v>Tổng công ty Công nghiệp Công nghệ cao Viettel</v>
          </cell>
          <cell r="F112" t="str">
            <v>Khối 1 - TCT CNC</v>
          </cell>
          <cell r="G112" t="str">
            <v>Trung tâm Chỉ huy điều khiển</v>
          </cell>
        </row>
        <row r="113">
          <cell r="B113" t="str">
            <v>475191</v>
          </cell>
          <cell r="C113" t="str">
            <v>Nguyễn Xuân Nam</v>
          </cell>
          <cell r="D113" t="str">
            <v>Kỹ sư Phần mềm nhúng</v>
          </cell>
          <cell r="E113" t="str">
            <v>Tổng công ty Công nghiệp Công nghệ cao Viettel</v>
          </cell>
          <cell r="F113" t="str">
            <v>Khối 1 - TCT CNC</v>
          </cell>
          <cell r="G113" t="str">
            <v>Trung tâm Chỉ huy điều khiển</v>
          </cell>
        </row>
        <row r="114">
          <cell r="B114" t="str">
            <v>476017</v>
          </cell>
          <cell r="C114" t="str">
            <v>Nguyễn Công Hiếu</v>
          </cell>
          <cell r="D114" t="str">
            <v>Kỹ sư Phát triển phần mềm</v>
          </cell>
          <cell r="E114" t="str">
            <v>Tổng công ty Công nghiệp Công nghệ cao Viettel</v>
          </cell>
          <cell r="F114" t="str">
            <v>Khối 1 - TCT CNC</v>
          </cell>
          <cell r="G114" t="str">
            <v>Trung tâm Chỉ huy điều khiển</v>
          </cell>
        </row>
        <row r="115">
          <cell r="B115" t="str">
            <v>476337</v>
          </cell>
          <cell r="C115" t="str">
            <v>Chu Nhật Đông</v>
          </cell>
          <cell r="D115" t="str">
            <v>Kỹ sư Thiết kế hạ tầng mạng IP</v>
          </cell>
          <cell r="E115" t="str">
            <v>Tổng công ty Công nghiệp Công nghệ cao Viettel</v>
          </cell>
          <cell r="F115" t="str">
            <v>Khối 1 - TCT CNC</v>
          </cell>
          <cell r="G115" t="str">
            <v>Trung tâm Chỉ huy điều khiển</v>
          </cell>
        </row>
        <row r="116">
          <cell r="B116" t="str">
            <v>477259</v>
          </cell>
          <cell r="C116" t="str">
            <v>Nguyễn Xuân Việt</v>
          </cell>
          <cell r="D116" t="str">
            <v>Kỹ sư Phần mềm nhúng</v>
          </cell>
          <cell r="E116" t="str">
            <v>Tổng công ty Công nghiệp Công nghệ cao Viettel</v>
          </cell>
          <cell r="F116" t="str">
            <v>Khối 1 - TCT CNC</v>
          </cell>
          <cell r="G116" t="str">
            <v>Trung tâm Chỉ huy điều khiển</v>
          </cell>
        </row>
        <row r="117">
          <cell r="B117" t="str">
            <v>134048</v>
          </cell>
          <cell r="C117" t="str">
            <v>Lê Đức Dũng</v>
          </cell>
          <cell r="D117" t="str">
            <v>Giám đốc Trung tâm</v>
          </cell>
          <cell r="E117" t="str">
            <v>Tổng công ty Công nghiệp Công nghệ cao Viettel</v>
          </cell>
          <cell r="F117" t="str">
            <v>Khối 1 - TCT CNC</v>
          </cell>
          <cell r="G117" t="str">
            <v>Trung tâm Công nghệ Cơ khí - Tự động hóa</v>
          </cell>
        </row>
        <row r="118">
          <cell r="B118" t="str">
            <v>184814</v>
          </cell>
          <cell r="C118" t="str">
            <v>Đinh Trọng Tình</v>
          </cell>
          <cell r="D118" t="str">
            <v>Kỹ sư Cơ khí</v>
          </cell>
          <cell r="E118" t="str">
            <v>Tổng công ty Công nghiệp Công nghệ cao Viettel</v>
          </cell>
          <cell r="F118" t="str">
            <v>Khối 1 - TCT CNC</v>
          </cell>
          <cell r="G118" t="str">
            <v>Trung tâm Công nghệ Cơ khí - Tự động hóa</v>
          </cell>
        </row>
        <row r="119">
          <cell r="B119" t="str">
            <v>189995</v>
          </cell>
          <cell r="C119" t="str">
            <v>Đặng Thanh Hoàng</v>
          </cell>
          <cell r="D119" t="str">
            <v>Kỹ sư Cơ khí</v>
          </cell>
          <cell r="E119" t="str">
            <v>Tổng công ty Công nghiệp Công nghệ cao Viettel</v>
          </cell>
          <cell r="F119" t="str">
            <v>Khối 1 - TCT CNC</v>
          </cell>
          <cell r="G119" t="str">
            <v>Trung tâm Công nghệ Cơ khí - Tự động hóa</v>
          </cell>
        </row>
        <row r="120">
          <cell r="B120" t="str">
            <v>194747</v>
          </cell>
          <cell r="C120" t="str">
            <v>Hà Minh Thế</v>
          </cell>
          <cell r="D120" t="str">
            <v>Kỹ sư Cơ khí</v>
          </cell>
          <cell r="E120" t="str">
            <v>Tổng công ty Công nghiệp Công nghệ cao Viettel</v>
          </cell>
          <cell r="F120" t="str">
            <v>Khối 1 - TCT CNC</v>
          </cell>
          <cell r="G120" t="str">
            <v>Trung tâm Công nghệ Cơ khí - Tự động hóa</v>
          </cell>
        </row>
        <row r="121">
          <cell r="B121" t="str">
            <v>206877</v>
          </cell>
          <cell r="C121" t="str">
            <v>Đặng Anh Quang</v>
          </cell>
          <cell r="D121" t="str">
            <v>Trưởng phòng</v>
          </cell>
          <cell r="E121" t="str">
            <v>Tổng công ty Công nghiệp Công nghệ cao Viettel</v>
          </cell>
          <cell r="F121" t="str">
            <v>Khối 1 - TCT CNC</v>
          </cell>
          <cell r="G121" t="str">
            <v>Trung tâm Công nghệ Cơ khí - Tự động hóa</v>
          </cell>
        </row>
        <row r="122">
          <cell r="B122" t="str">
            <v>228429</v>
          </cell>
          <cell r="C122" t="str">
            <v>Bùi Thanh Chung</v>
          </cell>
          <cell r="D122" t="str">
            <v>Kỹ sư Điều khiển tự động</v>
          </cell>
          <cell r="E122" t="str">
            <v>Tổng công ty Công nghiệp Công nghệ cao Viettel</v>
          </cell>
          <cell r="F122" t="str">
            <v>Khối 1 - TCT CNC</v>
          </cell>
          <cell r="G122" t="str">
            <v>Trung tâm Công nghệ Cơ khí - Tự động hóa</v>
          </cell>
        </row>
        <row r="123">
          <cell r="B123" t="str">
            <v>239904</v>
          </cell>
          <cell r="C123" t="str">
            <v>Hoàng Đức Sơn</v>
          </cell>
          <cell r="D123" t="str">
            <v>Kỹ sư Cơ khí</v>
          </cell>
          <cell r="E123" t="str">
            <v>Tổng công ty Công nghiệp Công nghệ cao Viettel</v>
          </cell>
          <cell r="F123" t="str">
            <v>Khối 1 - TCT CNC</v>
          </cell>
          <cell r="G123" t="str">
            <v>Trung tâm Công nghệ Cơ khí - Tự động hóa</v>
          </cell>
        </row>
        <row r="124">
          <cell r="B124" t="str">
            <v>240000</v>
          </cell>
          <cell r="C124" t="str">
            <v>Nguyễn Văn Huy</v>
          </cell>
          <cell r="D124" t="str">
            <v>Kỹ sư Cơ khí</v>
          </cell>
          <cell r="E124" t="str">
            <v>Tổng công ty Công nghiệp Công nghệ cao Viettel</v>
          </cell>
          <cell r="F124" t="str">
            <v>Khối 1 - TCT CNC</v>
          </cell>
          <cell r="G124" t="str">
            <v>Trung tâm Công nghệ Cơ khí - Tự động hóa</v>
          </cell>
        </row>
        <row r="125">
          <cell r="B125" t="str">
            <v>244686</v>
          </cell>
          <cell r="C125" t="str">
            <v>Nguyễn Văn Thuận</v>
          </cell>
          <cell r="D125" t="str">
            <v>Kỹ sư Cơ khí</v>
          </cell>
          <cell r="E125" t="str">
            <v>Tổng công ty Công nghiệp Công nghệ cao Viettel</v>
          </cell>
          <cell r="F125" t="str">
            <v>Khối 1 - TCT CNC</v>
          </cell>
          <cell r="G125" t="str">
            <v>Trung tâm Công nghệ Cơ khí - Tự động hóa</v>
          </cell>
        </row>
        <row r="126">
          <cell r="B126" t="str">
            <v>245319</v>
          </cell>
          <cell r="C126" t="str">
            <v>Hoàng Bá Cường</v>
          </cell>
          <cell r="D126" t="str">
            <v>Kỹ sư Cơ khí</v>
          </cell>
          <cell r="E126" t="str">
            <v>Tổng công ty Công nghiệp Công nghệ cao Viettel</v>
          </cell>
          <cell r="F126" t="str">
            <v>Khối 1 - TCT CNC</v>
          </cell>
          <cell r="G126" t="str">
            <v>Trung tâm Công nghệ Cơ khí - Tự động hóa</v>
          </cell>
        </row>
        <row r="127">
          <cell r="B127" t="str">
            <v>276380</v>
          </cell>
          <cell r="C127" t="str">
            <v>Phí Văn Nam</v>
          </cell>
          <cell r="D127" t="str">
            <v>Kỹ sư Cơ khí</v>
          </cell>
          <cell r="E127" t="str">
            <v>Tổng công ty Công nghiệp Công nghệ cao Viettel</v>
          </cell>
          <cell r="F127" t="str">
            <v>Khối 1 - TCT CNC</v>
          </cell>
          <cell r="G127" t="str">
            <v>Trung tâm Công nghệ Cơ khí - Tự động hóa</v>
          </cell>
        </row>
        <row r="128">
          <cell r="B128" t="str">
            <v>284536</v>
          </cell>
          <cell r="C128" t="str">
            <v>Đào Mạnh Lượng</v>
          </cell>
          <cell r="D128" t="str">
            <v>Kỹ sư Điện-Tự động hóa</v>
          </cell>
          <cell r="E128" t="str">
            <v>Tổng công ty Công nghiệp Công nghệ cao Viettel</v>
          </cell>
          <cell r="F128" t="str">
            <v>Khối 1 - TCT CNC</v>
          </cell>
          <cell r="G128" t="str">
            <v>Trung tâm Công nghệ Cơ khí - Tự động hóa</v>
          </cell>
        </row>
        <row r="129">
          <cell r="B129" t="str">
            <v>289560</v>
          </cell>
          <cell r="C129" t="str">
            <v>Nguyễn Văn Thắng</v>
          </cell>
          <cell r="D129" t="str">
            <v>Kỹ sư Cơ khí</v>
          </cell>
          <cell r="E129" t="str">
            <v>Tổng công ty Công nghiệp Công nghệ cao Viettel</v>
          </cell>
          <cell r="F129" t="str">
            <v>Khối 1 - TCT CNC</v>
          </cell>
          <cell r="G129" t="str">
            <v>Trung tâm Công nghệ Cơ khí - Tự động hóa</v>
          </cell>
        </row>
        <row r="130">
          <cell r="B130" t="str">
            <v>291217</v>
          </cell>
          <cell r="C130" t="str">
            <v>Hoàng Hữu Dương</v>
          </cell>
          <cell r="D130" t="str">
            <v>Kỹ sư Cơ khí</v>
          </cell>
          <cell r="E130" t="str">
            <v>Tổng công ty Công nghiệp Công nghệ cao Viettel</v>
          </cell>
          <cell r="F130" t="str">
            <v>Khối 1 - TCT CNC</v>
          </cell>
          <cell r="G130" t="str">
            <v>Trung tâm Công nghệ Cơ khí - Tự động hóa</v>
          </cell>
        </row>
        <row r="131">
          <cell r="B131" t="str">
            <v>293832</v>
          </cell>
          <cell r="C131" t="str">
            <v>Hoàng Anh Đức</v>
          </cell>
          <cell r="D131" t="str">
            <v>Kỹ sư Cơ khí</v>
          </cell>
          <cell r="E131" t="str">
            <v>Tổng công ty Công nghiệp Công nghệ cao Viettel</v>
          </cell>
          <cell r="F131" t="str">
            <v>Khối 1 - TCT CNC</v>
          </cell>
          <cell r="G131" t="str">
            <v>Trung tâm Công nghệ Cơ khí - Tự động hóa</v>
          </cell>
        </row>
        <row r="132">
          <cell r="B132" t="str">
            <v>294138</v>
          </cell>
          <cell r="C132" t="str">
            <v>Ngô Quốc Đạt</v>
          </cell>
          <cell r="D132" t="str">
            <v>Kỹ sư Cơ khí</v>
          </cell>
          <cell r="E132" t="str">
            <v>Tổng công ty Công nghiệp Công nghệ cao Viettel</v>
          </cell>
          <cell r="F132" t="str">
            <v>Khối 1 - TCT CNC</v>
          </cell>
          <cell r="G132" t="str">
            <v>Trung tâm Công nghệ Cơ khí - Tự động hóa</v>
          </cell>
        </row>
        <row r="133">
          <cell r="B133" t="str">
            <v>428604</v>
          </cell>
          <cell r="C133" t="str">
            <v>Dương Mạnh Thắng</v>
          </cell>
          <cell r="D133" t="str">
            <v>Kỹ sư Cơ khí</v>
          </cell>
          <cell r="E133" t="str">
            <v>Tổng công ty Công nghiệp Công nghệ cao Viettel</v>
          </cell>
          <cell r="F133" t="str">
            <v>Khối 1 - TCT CNC</v>
          </cell>
          <cell r="G133" t="str">
            <v>Trung tâm Công nghệ Cơ khí - Tự động hóa</v>
          </cell>
        </row>
        <row r="134">
          <cell r="B134" t="str">
            <v>429150</v>
          </cell>
          <cell r="C134" t="str">
            <v>Vũ Duy Khanh</v>
          </cell>
          <cell r="D134" t="str">
            <v>Kỹ sư Điện-Tự động hóa</v>
          </cell>
          <cell r="E134" t="str">
            <v>Tổng công ty Công nghiệp Công nghệ cao Viettel</v>
          </cell>
          <cell r="F134" t="str">
            <v>Khối 1 - TCT CNC</v>
          </cell>
          <cell r="G134" t="str">
            <v>Trung tâm Công nghệ Cơ khí - Tự động hóa</v>
          </cell>
        </row>
        <row r="135">
          <cell r="B135" t="str">
            <v>430462</v>
          </cell>
          <cell r="C135" t="str">
            <v>Nguyễn Văn Minh</v>
          </cell>
          <cell r="D135" t="str">
            <v>Kỹ sư Điều khiển tự động</v>
          </cell>
          <cell r="E135" t="str">
            <v>Tổng công ty Công nghiệp Công nghệ cao Viettel</v>
          </cell>
          <cell r="F135" t="str">
            <v>Khối 1 - TCT CNC</v>
          </cell>
          <cell r="G135" t="str">
            <v>Trung tâm Công nghệ Cơ khí - Tự động hóa</v>
          </cell>
        </row>
        <row r="136">
          <cell r="B136" t="str">
            <v>431893</v>
          </cell>
          <cell r="C136" t="str">
            <v>Nguyễn Tiến Dũng</v>
          </cell>
          <cell r="D136" t="str">
            <v>Kỹ sư Điện-Tự động hóa</v>
          </cell>
          <cell r="E136" t="str">
            <v>Tổng công ty Công nghiệp Công nghệ cao Viettel</v>
          </cell>
          <cell r="F136" t="str">
            <v>Khối 1 - TCT CNC</v>
          </cell>
          <cell r="G136" t="str">
            <v>Trung tâm Công nghệ Cơ khí - Tự động hóa</v>
          </cell>
        </row>
        <row r="137">
          <cell r="B137" t="str">
            <v>432482</v>
          </cell>
          <cell r="C137" t="str">
            <v>Hà Thị Anh</v>
          </cell>
          <cell r="D137" t="str">
            <v>Kỹ sư Cơ khí</v>
          </cell>
          <cell r="E137" t="str">
            <v>Tổng công ty Công nghiệp Công nghệ cao Viettel</v>
          </cell>
          <cell r="F137" t="str">
            <v>Khối 1 - TCT CNC</v>
          </cell>
          <cell r="G137" t="str">
            <v>Trung tâm Công nghệ Cơ khí - Tự động hóa</v>
          </cell>
        </row>
        <row r="138">
          <cell r="B138" t="str">
            <v>436782</v>
          </cell>
          <cell r="C138" t="str">
            <v>Bùi Xuân Hậu</v>
          </cell>
          <cell r="D138" t="str">
            <v>Kỹ sư điều khiển tự động</v>
          </cell>
          <cell r="E138" t="str">
            <v>Tổng công ty Công nghiệp Công nghệ cao Viettel</v>
          </cell>
          <cell r="F138" t="str">
            <v>Khối 1 - TCT CNC</v>
          </cell>
          <cell r="G138" t="str">
            <v>Trung tâm Công nghệ Cơ khí - Tự động hóa</v>
          </cell>
        </row>
        <row r="139">
          <cell r="B139" t="str">
            <v>437917</v>
          </cell>
          <cell r="C139" t="str">
            <v>Trương Quang Bách</v>
          </cell>
          <cell r="D139" t="str">
            <v>Kỹ sư Điện-Tự động hóa</v>
          </cell>
          <cell r="E139" t="str">
            <v>Tổng công ty Công nghiệp Công nghệ cao Viettel</v>
          </cell>
          <cell r="F139" t="str">
            <v>Khối 1 - TCT CNC</v>
          </cell>
          <cell r="G139" t="str">
            <v>Trung tâm Công nghệ Cơ khí - Tự động hóa</v>
          </cell>
        </row>
        <row r="140">
          <cell r="B140" t="str">
            <v>438221</v>
          </cell>
          <cell r="C140" t="str">
            <v>Nguyễn Viết Tùng</v>
          </cell>
          <cell r="D140" t="str">
            <v>Kỹ sư Cơ khí</v>
          </cell>
          <cell r="E140" t="str">
            <v>Tổng công ty Công nghiệp Công nghệ cao Viettel</v>
          </cell>
          <cell r="F140" t="str">
            <v>Khối 1 - TCT CNC</v>
          </cell>
          <cell r="G140" t="str">
            <v>Trung tâm Công nghệ Cơ khí - Tự động hóa</v>
          </cell>
        </row>
        <row r="141">
          <cell r="B141" t="str">
            <v>439130</v>
          </cell>
          <cell r="C141" t="str">
            <v>Lê Hồ Long</v>
          </cell>
          <cell r="D141" t="str">
            <v>Kỹ sư Điện-Tự động hóa</v>
          </cell>
          <cell r="E141" t="str">
            <v>Tổng công ty Công nghiệp Công nghệ cao Viettel</v>
          </cell>
          <cell r="F141" t="str">
            <v>Khối 1 - TCT CNC</v>
          </cell>
          <cell r="G141" t="str">
            <v>Trung tâm Công nghệ Cơ khí - Tự động hóa</v>
          </cell>
        </row>
        <row r="142">
          <cell r="B142" t="str">
            <v>440210</v>
          </cell>
          <cell r="C142" t="str">
            <v>Nguyễn Thanh Tùng</v>
          </cell>
          <cell r="D142" t="str">
            <v>Kỹ sư Điện-Tự động hóa</v>
          </cell>
          <cell r="E142" t="str">
            <v>Tổng công ty Công nghiệp Công nghệ cao Viettel</v>
          </cell>
          <cell r="F142" t="str">
            <v>Khối 1 - TCT CNC</v>
          </cell>
          <cell r="G142" t="str">
            <v>Trung tâm Công nghệ Cơ khí - Tự động hóa</v>
          </cell>
        </row>
        <row r="143">
          <cell r="B143" t="str">
            <v>450561</v>
          </cell>
          <cell r="C143" t="str">
            <v>Đặng Văn Quang</v>
          </cell>
          <cell r="D143" t="str">
            <v>Kỹ sư Cơ khí</v>
          </cell>
          <cell r="E143" t="str">
            <v>Tổng công ty Công nghiệp Công nghệ cao Viettel</v>
          </cell>
          <cell r="F143" t="str">
            <v>Khối 1 - TCT CNC</v>
          </cell>
          <cell r="G143" t="str">
            <v>Trung tâm Công nghệ Cơ khí - Tự động hóa</v>
          </cell>
        </row>
        <row r="144">
          <cell r="B144" t="str">
            <v>456539</v>
          </cell>
          <cell r="C144" t="str">
            <v>Kim Quốc Anh</v>
          </cell>
          <cell r="D144" t="str">
            <v>Kỹ sư Cơ khí</v>
          </cell>
          <cell r="E144" t="str">
            <v>Tổng công ty Công nghiệp Công nghệ cao Viettel</v>
          </cell>
          <cell r="F144" t="str">
            <v>Khối 1 - TCT CNC</v>
          </cell>
          <cell r="G144" t="str">
            <v>Trung tâm Công nghệ Cơ khí - Tự động hóa</v>
          </cell>
        </row>
        <row r="145">
          <cell r="B145" t="str">
            <v>463157</v>
          </cell>
          <cell r="C145" t="str">
            <v>Vương Chí Nghiệp</v>
          </cell>
          <cell r="D145" t="str">
            <v>Kỹ sư Thiết kế cơ khí</v>
          </cell>
          <cell r="E145" t="str">
            <v>Tổng công ty Công nghiệp Công nghệ cao Viettel</v>
          </cell>
          <cell r="F145" t="str">
            <v>Khối 1 - TCT CNC</v>
          </cell>
          <cell r="G145" t="str">
            <v>Trung tâm Công nghệ Cơ khí - Tự động hóa</v>
          </cell>
        </row>
        <row r="146">
          <cell r="B146" t="str">
            <v>463709</v>
          </cell>
          <cell r="C146" t="str">
            <v>Nguyễn Đức Việt</v>
          </cell>
          <cell r="D146" t="str">
            <v>Kỹ sư Cơ khí</v>
          </cell>
          <cell r="E146" t="str">
            <v>Tổng công ty Công nghiệp Công nghệ cao Viettel</v>
          </cell>
          <cell r="F146" t="str">
            <v>Khối 1 - TCT CNC</v>
          </cell>
          <cell r="G146" t="str">
            <v>Trung tâm Công nghệ Cơ khí - Tự động hóa</v>
          </cell>
        </row>
        <row r="147">
          <cell r="B147" t="str">
            <v>465149</v>
          </cell>
          <cell r="C147" t="str">
            <v>Nguyễn Văn Cường</v>
          </cell>
          <cell r="D147" t="str">
            <v>Kỹ sư Cơ khí</v>
          </cell>
          <cell r="E147" t="str">
            <v>Tổng công ty Công nghiệp Công nghệ cao Viettel</v>
          </cell>
          <cell r="F147" t="str">
            <v>Khối 1 - TCT CNC</v>
          </cell>
          <cell r="G147" t="str">
            <v>Trung tâm Công nghệ Cơ khí - Tự động hóa</v>
          </cell>
        </row>
        <row r="148">
          <cell r="B148" t="str">
            <v>472483</v>
          </cell>
          <cell r="C148" t="str">
            <v>Lê Văn Tuấn Anh</v>
          </cell>
          <cell r="D148" t="str">
            <v>Kỹ sư Cơ khí</v>
          </cell>
          <cell r="E148" t="str">
            <v>Tổng công ty Công nghiệp Công nghệ cao Viettel</v>
          </cell>
          <cell r="F148" t="str">
            <v>Khối 1 - TCT CNC</v>
          </cell>
          <cell r="G148" t="str">
            <v>Trung tâm Công nghệ Cơ khí - Tự động hóa</v>
          </cell>
        </row>
        <row r="149">
          <cell r="B149" t="str">
            <v>475165</v>
          </cell>
          <cell r="C149" t="str">
            <v>Vũ Công Thành</v>
          </cell>
          <cell r="D149" t="str">
            <v>Kỹ sư Cơ khí</v>
          </cell>
          <cell r="E149" t="str">
            <v>Tổng công ty Công nghiệp Công nghệ cao Viettel</v>
          </cell>
          <cell r="F149" t="str">
            <v>Khối 1 - TCT CNC</v>
          </cell>
          <cell r="G149" t="str">
            <v>Trung tâm Công nghệ Cơ khí - Tự động hóa</v>
          </cell>
        </row>
        <row r="150">
          <cell r="B150" t="str">
            <v>476013</v>
          </cell>
          <cell r="C150" t="str">
            <v>Nguyễn Văn Trung</v>
          </cell>
          <cell r="D150" t="str">
            <v>Kỹ sư Điều khiển tự động</v>
          </cell>
          <cell r="E150" t="str">
            <v>Tổng công ty Công nghiệp Công nghệ cao Viettel</v>
          </cell>
          <cell r="F150" t="str">
            <v>Khối 1 - TCT CNC</v>
          </cell>
          <cell r="G150" t="str">
            <v>Trung tâm Công nghệ Cơ khí - Tự động hóa</v>
          </cell>
        </row>
        <row r="151">
          <cell r="B151" t="str">
            <v>527991</v>
          </cell>
          <cell r="C151" t="str">
            <v>Đinh Văn Trọng</v>
          </cell>
          <cell r="D151" t="str">
            <v>Kỹ sư Cơ khí</v>
          </cell>
          <cell r="E151" t="str">
            <v>Tổng công ty Công nghiệp Công nghệ cao Viettel</v>
          </cell>
          <cell r="F151" t="str">
            <v>Khối 1 - TCT CNC</v>
          </cell>
          <cell r="G151" t="str">
            <v>Trung tâm Công nghệ Cơ khí - Tự động hóa</v>
          </cell>
        </row>
        <row r="152">
          <cell r="B152" t="str">
            <v>053372</v>
          </cell>
          <cell r="C152" t="str">
            <v>Đỗ Lý Thanh Tùng</v>
          </cell>
          <cell r="D152" t="str">
            <v>Trưởng phòng Thiết kế và tích hợp hệ thống</v>
          </cell>
          <cell r="E152" t="str">
            <v>Tổng công ty Công nghiệp Công nghệ cao Viettel</v>
          </cell>
          <cell r="F152" t="str">
            <v>Khối 1 - TCT CNC</v>
          </cell>
          <cell r="G152" t="str">
            <v>Trung tâm Khí cụ bay</v>
          </cell>
        </row>
        <row r="153">
          <cell r="B153" t="str">
            <v>053828</v>
          </cell>
          <cell r="C153" t="str">
            <v>Nguyễn Văn Trường</v>
          </cell>
          <cell r="D153" t="str">
            <v>Kỹ sư kỹ thuật hàng không</v>
          </cell>
          <cell r="E153" t="str">
            <v>Tổng công ty Công nghiệp Công nghệ cao Viettel</v>
          </cell>
          <cell r="F153" t="str">
            <v>Khối 1 - TCT CNC</v>
          </cell>
          <cell r="G153" t="str">
            <v>Trung tâm Khí cụ bay</v>
          </cell>
        </row>
        <row r="154">
          <cell r="B154" t="str">
            <v>071907</v>
          </cell>
          <cell r="C154" t="str">
            <v>Nguyễn Huy Hiếu</v>
          </cell>
          <cell r="D154" t="str">
            <v>Kỹ sư kỹ thuật hàng không</v>
          </cell>
          <cell r="E154" t="str">
            <v>Tổng công ty Công nghiệp Công nghệ cao Viettel</v>
          </cell>
          <cell r="F154" t="str">
            <v>Khối 1 - TCT CNC</v>
          </cell>
          <cell r="G154" t="str">
            <v>Trung tâm Khí cụ bay</v>
          </cell>
        </row>
        <row r="155">
          <cell r="B155" t="str">
            <v>077935</v>
          </cell>
          <cell r="C155" t="str">
            <v>Vũ Trường Giang</v>
          </cell>
          <cell r="D155" t="str">
            <v>Phi công</v>
          </cell>
          <cell r="E155" t="str">
            <v>Tổng công ty Công nghiệp Công nghệ cao Viettel</v>
          </cell>
          <cell r="F155" t="str">
            <v>Khối 1 - TCT CNC</v>
          </cell>
          <cell r="G155" t="str">
            <v>Trung tâm Khí cụ bay</v>
          </cell>
        </row>
        <row r="156">
          <cell r="B156" t="str">
            <v>088320</v>
          </cell>
          <cell r="C156" t="str">
            <v>Nguyễn Tiến Tùng</v>
          </cell>
          <cell r="D156" t="str">
            <v>Kỹ sư Cơ khí</v>
          </cell>
          <cell r="E156" t="str">
            <v>Tổng công ty Công nghiệp Công nghệ cao Viettel</v>
          </cell>
          <cell r="F156" t="str">
            <v>Khối 1 - TCT CNC</v>
          </cell>
          <cell r="G156" t="str">
            <v>Trung tâm Khí cụ bay</v>
          </cell>
        </row>
        <row r="157">
          <cell r="B157" t="str">
            <v>121860</v>
          </cell>
          <cell r="C157" t="str">
            <v>Nguyễn Tiến Trường</v>
          </cell>
          <cell r="D157" t="str">
            <v>Kỹ sư Phần mềm nhúng</v>
          </cell>
          <cell r="E157" t="str">
            <v>Tổng công ty Công nghiệp Công nghệ cao Viettel</v>
          </cell>
          <cell r="F157" t="str">
            <v>Khối 1 - TCT CNC</v>
          </cell>
          <cell r="G157" t="str">
            <v>Trung tâm Khí cụ bay</v>
          </cell>
        </row>
        <row r="158">
          <cell r="B158" t="str">
            <v>122222</v>
          </cell>
          <cell r="C158" t="str">
            <v>Nguyễn Thanh Đông</v>
          </cell>
          <cell r="D158" t="str">
            <v>Phó Giám đốc</v>
          </cell>
          <cell r="E158" t="str">
            <v>Tổng công ty Công nghiệp Công nghệ cao Viettel</v>
          </cell>
          <cell r="F158" t="str">
            <v>Khối 1 - TCT CNC</v>
          </cell>
          <cell r="G158" t="str">
            <v>Trung tâm Khí cụ bay</v>
          </cell>
        </row>
        <row r="159">
          <cell r="B159" t="str">
            <v>123139</v>
          </cell>
          <cell r="C159" t="str">
            <v>Nguyễn Lê Minh</v>
          </cell>
          <cell r="D159" t="str">
            <v>Giám đốc</v>
          </cell>
          <cell r="E159" t="str">
            <v>Tổng công ty Công nghiệp Công nghệ cao Viettel</v>
          </cell>
          <cell r="F159" t="str">
            <v>Khối 1 - TCT CNC</v>
          </cell>
          <cell r="G159" t="str">
            <v>Trung tâm Khí cụ bay</v>
          </cell>
        </row>
        <row r="160">
          <cell r="B160" t="str">
            <v>130932</v>
          </cell>
          <cell r="C160" t="str">
            <v>Trương Tuấn Mạnh</v>
          </cell>
          <cell r="D160" t="str">
            <v>Kỹ sư Phát triển phần mềm hệ thống</v>
          </cell>
          <cell r="E160" t="str">
            <v>Tổng công ty Công nghiệp Công nghệ cao Viettel</v>
          </cell>
          <cell r="F160" t="str">
            <v>Khối 1 - TCT CNC</v>
          </cell>
          <cell r="G160" t="str">
            <v>Trung tâm Khí cụ bay</v>
          </cell>
        </row>
        <row r="161">
          <cell r="B161" t="str">
            <v>137030</v>
          </cell>
          <cell r="C161" t="str">
            <v>Dương Đức Thanh</v>
          </cell>
          <cell r="D161" t="str">
            <v>Phó Giám đốc Trung tâm</v>
          </cell>
          <cell r="E161" t="str">
            <v>Tổng công ty Công nghiệp Công nghệ cao Viettel</v>
          </cell>
          <cell r="F161" t="str">
            <v>Khối 1 - TCT CNC</v>
          </cell>
          <cell r="G161" t="str">
            <v>Trung tâm Khí cụ bay</v>
          </cell>
        </row>
        <row r="162">
          <cell r="B162" t="str">
            <v>137612</v>
          </cell>
          <cell r="C162" t="str">
            <v>Nguyễn Quốc Huy</v>
          </cell>
          <cell r="D162" t="str">
            <v>Kỹ sư Phát triển phần mềm</v>
          </cell>
          <cell r="E162" t="str">
            <v>Tổng công ty Công nghiệp Công nghệ cao Viettel</v>
          </cell>
          <cell r="F162" t="str">
            <v>Khối 1 - TCT CNC</v>
          </cell>
          <cell r="G162" t="str">
            <v>Trung tâm Khí cụ bay</v>
          </cell>
        </row>
        <row r="163">
          <cell r="B163" t="str">
            <v>139593</v>
          </cell>
          <cell r="C163" t="str">
            <v>Trần Quyết Thắng</v>
          </cell>
          <cell r="D163" t="str">
            <v>Kỹ sư Công nghệ Vật liệu</v>
          </cell>
          <cell r="E163" t="str">
            <v>Tổng công ty Công nghiệp Công nghệ cao Viettel</v>
          </cell>
          <cell r="F163" t="str">
            <v>Khối 1 - TCT CNC</v>
          </cell>
          <cell r="G163" t="str">
            <v>Trung tâm Khí cụ bay</v>
          </cell>
        </row>
        <row r="164">
          <cell r="B164" t="str">
            <v>164993</v>
          </cell>
          <cell r="C164" t="str">
            <v>Nguyễn Quyết</v>
          </cell>
          <cell r="D164" t="str">
            <v>Kỹ sư Cơ khí</v>
          </cell>
          <cell r="E164" t="str">
            <v>Tổng công ty Công nghiệp Công nghệ cao Viettel</v>
          </cell>
          <cell r="F164" t="str">
            <v>Khối 1 - TCT CNC</v>
          </cell>
          <cell r="G164" t="str">
            <v>Trung tâm Khí cụ bay</v>
          </cell>
        </row>
        <row r="165">
          <cell r="B165" t="str">
            <v>181513</v>
          </cell>
          <cell r="C165" t="str">
            <v>Đỗ Văn Thụ</v>
          </cell>
          <cell r="D165" t="str">
            <v>Kỹ sư Cơ khí</v>
          </cell>
          <cell r="E165" t="str">
            <v>Tổng công ty Công nghiệp Công nghệ cao Viettel</v>
          </cell>
          <cell r="F165" t="str">
            <v>Khối 1 - TCT CNC</v>
          </cell>
          <cell r="G165" t="str">
            <v>Trung tâm Khí cụ bay</v>
          </cell>
        </row>
        <row r="166">
          <cell r="B166" t="str">
            <v>187734</v>
          </cell>
          <cell r="C166" t="str">
            <v>Trần Đình Thắng</v>
          </cell>
          <cell r="D166" t="str">
            <v>Trưởng phòng Thiết kế Khí động và Động lực</v>
          </cell>
          <cell r="E166" t="str">
            <v>Tổng công ty Công nghiệp Công nghệ cao Viettel</v>
          </cell>
          <cell r="F166" t="str">
            <v>Khối 1 - TCT CNC</v>
          </cell>
          <cell r="G166" t="str">
            <v>Trung tâm Khí cụ bay</v>
          </cell>
        </row>
        <row r="167">
          <cell r="B167" t="str">
            <v>188374</v>
          </cell>
          <cell r="C167" t="str">
            <v>Phạm Thị Huyền</v>
          </cell>
          <cell r="D167" t="str">
            <v>Kỹ sư Công nghệ Vật liệu</v>
          </cell>
          <cell r="E167" t="str">
            <v>Tổng công ty Công nghiệp Công nghệ cao Viettel</v>
          </cell>
          <cell r="F167" t="str">
            <v>Khối 1 - TCT CNC</v>
          </cell>
          <cell r="G167" t="str">
            <v>Trung tâm Khí cụ bay</v>
          </cell>
        </row>
        <row r="168">
          <cell r="B168" t="str">
            <v>196908</v>
          </cell>
          <cell r="C168" t="str">
            <v>Vi Văn Trường</v>
          </cell>
          <cell r="D168" t="str">
            <v>Trắc thủ bay UAV</v>
          </cell>
          <cell r="E168" t="str">
            <v>Tổng công ty Công nghiệp Công nghệ cao Viettel</v>
          </cell>
          <cell r="F168" t="str">
            <v>Khối 1 - TCT CNC</v>
          </cell>
          <cell r="G168" t="str">
            <v>Trung tâm Khí cụ bay</v>
          </cell>
        </row>
        <row r="169">
          <cell r="B169" t="str">
            <v>206888</v>
          </cell>
          <cell r="C169" t="str">
            <v>Trần Minh Vũ</v>
          </cell>
          <cell r="D169" t="str">
            <v>Kỹ sư kỹ thuật hàng không</v>
          </cell>
          <cell r="E169" t="str">
            <v>Tổng công ty Công nghiệp Công nghệ cao Viettel</v>
          </cell>
          <cell r="F169" t="str">
            <v>Khối 1 - TCT CNC</v>
          </cell>
          <cell r="G169" t="str">
            <v>Trung tâm Khí cụ bay</v>
          </cell>
        </row>
        <row r="170">
          <cell r="B170" t="str">
            <v>207652</v>
          </cell>
          <cell r="C170" t="str">
            <v>Nguyễn Duy Trọng</v>
          </cell>
          <cell r="D170" t="str">
            <v>Kỹ sư Khí động</v>
          </cell>
          <cell r="E170" t="str">
            <v>Tổng công ty Công nghiệp Công nghệ cao Viettel</v>
          </cell>
          <cell r="F170" t="str">
            <v>Khối 1 - TCT CNC</v>
          </cell>
          <cell r="G170" t="str">
            <v>Trung tâm Khí cụ bay</v>
          </cell>
        </row>
        <row r="171">
          <cell r="B171" t="str">
            <v>207692</v>
          </cell>
          <cell r="C171" t="str">
            <v>Ngô Thanh Đại</v>
          </cell>
          <cell r="D171" t="str">
            <v>Kỹ sư Cơ khí</v>
          </cell>
          <cell r="E171" t="str">
            <v>Tổng công ty Công nghiệp Công nghệ cao Viettel</v>
          </cell>
          <cell r="F171" t="str">
            <v>Khối 1 - TCT CNC</v>
          </cell>
          <cell r="G171" t="str">
            <v>Trung tâm Khí cụ bay</v>
          </cell>
        </row>
        <row r="172">
          <cell r="B172" t="str">
            <v>207757</v>
          </cell>
          <cell r="C172" t="str">
            <v>Nguyễn Mạnh Hùng</v>
          </cell>
          <cell r="D172" t="str">
            <v>Trắc thủ bay UAV</v>
          </cell>
          <cell r="E172" t="str">
            <v>Tổng công ty Công nghiệp Công nghệ cao Viettel</v>
          </cell>
          <cell r="F172" t="str">
            <v>Khối 1 - TCT CNC</v>
          </cell>
          <cell r="G172" t="str">
            <v>Trung tâm Khí cụ bay</v>
          </cell>
        </row>
        <row r="173">
          <cell r="B173" t="str">
            <v>209296</v>
          </cell>
          <cell r="C173" t="str">
            <v>Nguyễn Xuân Thúc</v>
          </cell>
          <cell r="D173" t="str">
            <v>Kỹ sư Kết cấu</v>
          </cell>
          <cell r="E173" t="str">
            <v>Tổng công ty Công nghiệp Công nghệ cao Viettel</v>
          </cell>
          <cell r="F173" t="str">
            <v>Khối 1 - TCT CNC</v>
          </cell>
          <cell r="G173" t="str">
            <v>Trung tâm Khí cụ bay</v>
          </cell>
        </row>
        <row r="174">
          <cell r="B174" t="str">
            <v>210621</v>
          </cell>
          <cell r="C174" t="str">
            <v>Nguyễn Quang Huy</v>
          </cell>
          <cell r="D174" t="str">
            <v>Kỹ sư Động cơ</v>
          </cell>
          <cell r="E174" t="str">
            <v>Tổng công ty Công nghiệp Công nghệ cao Viettel</v>
          </cell>
          <cell r="F174" t="str">
            <v>Khối 1 - TCT CNC</v>
          </cell>
          <cell r="G174" t="str">
            <v>Trung tâm Khí cụ bay</v>
          </cell>
        </row>
        <row r="175">
          <cell r="B175" t="str">
            <v>213899</v>
          </cell>
          <cell r="C175" t="str">
            <v>Đinh Anh Bảo</v>
          </cell>
          <cell r="D175" t="str">
            <v>Kỹ sư mô hình hóa và mô phỏng</v>
          </cell>
          <cell r="E175" t="str">
            <v>Tổng công ty Công nghiệp Công nghệ cao Viettel</v>
          </cell>
          <cell r="F175" t="str">
            <v>Khối 1 - TCT CNC</v>
          </cell>
          <cell r="G175" t="str">
            <v>Trung tâm Khí cụ bay</v>
          </cell>
        </row>
        <row r="176">
          <cell r="B176" t="str">
            <v>218378</v>
          </cell>
          <cell r="C176" t="str">
            <v>Nguyễn Đức Trung</v>
          </cell>
          <cell r="D176" t="str">
            <v>Kỹ sư Phát triển phần mềm hệ thống</v>
          </cell>
          <cell r="E176" t="str">
            <v>Tổng công ty Công nghiệp Công nghệ cao Viettel</v>
          </cell>
          <cell r="F176" t="str">
            <v>Khối 1 - TCT CNC</v>
          </cell>
          <cell r="G176" t="str">
            <v>Trung tâm Khí cụ bay</v>
          </cell>
        </row>
        <row r="177">
          <cell r="B177" t="str">
            <v>236911</v>
          </cell>
          <cell r="C177" t="str">
            <v>Đồng Ngọc Nhật</v>
          </cell>
          <cell r="D177" t="str">
            <v>Kỹ sư Phát triển phần mềm</v>
          </cell>
          <cell r="E177" t="str">
            <v>Tổng công ty Công nghiệp Công nghệ cao Viettel</v>
          </cell>
          <cell r="F177" t="str">
            <v>Khối 1 - TCT CNC</v>
          </cell>
          <cell r="G177" t="str">
            <v>Trung tâm Khí cụ bay</v>
          </cell>
        </row>
        <row r="178">
          <cell r="B178" t="str">
            <v>243323</v>
          </cell>
          <cell r="C178" t="str">
            <v>Mai Xuân Sinh</v>
          </cell>
          <cell r="D178" t="str">
            <v>Kỹ sư Điều khiển tự động</v>
          </cell>
          <cell r="E178" t="str">
            <v>Tổng công ty Công nghiệp Công nghệ cao Viettel</v>
          </cell>
          <cell r="F178" t="str">
            <v>Khối 1 - TCT CNC</v>
          </cell>
          <cell r="G178" t="str">
            <v>Trung tâm Khí cụ bay</v>
          </cell>
        </row>
        <row r="179">
          <cell r="B179" t="str">
            <v>249094</v>
          </cell>
          <cell r="C179" t="str">
            <v>Lê Viết Quý</v>
          </cell>
          <cell r="D179" t="str">
            <v>Kỹ sư Điều khiển tự động</v>
          </cell>
          <cell r="E179" t="str">
            <v>Tổng công ty Công nghiệp Công nghệ cao Viettel</v>
          </cell>
          <cell r="F179" t="str">
            <v>Khối 1 - TCT CNC</v>
          </cell>
          <cell r="G179" t="str">
            <v>Trung tâm Khí cụ bay</v>
          </cell>
        </row>
        <row r="180">
          <cell r="B180" t="str">
            <v>260581</v>
          </cell>
          <cell r="C180" t="str">
            <v>Dương Đăng Bách</v>
          </cell>
          <cell r="D180" t="str">
            <v>Kỹ sư Khí động</v>
          </cell>
          <cell r="E180" t="str">
            <v>Tổng công ty Công nghiệp Công nghệ cao Viettel</v>
          </cell>
          <cell r="F180" t="str">
            <v>Khối 1 - TCT CNC</v>
          </cell>
          <cell r="G180" t="str">
            <v>Trung tâm Khí cụ bay</v>
          </cell>
        </row>
        <row r="181">
          <cell r="B181" t="str">
            <v>264580</v>
          </cell>
          <cell r="C181" t="str">
            <v>Vũ Văn Dũng</v>
          </cell>
          <cell r="D181" t="str">
            <v>Kỹ sư định vị và dẫn đường điều khiển</v>
          </cell>
          <cell r="E181" t="str">
            <v>Tổng công ty Công nghiệp Công nghệ cao Viettel</v>
          </cell>
          <cell r="F181" t="str">
            <v>Khối 1 - TCT CNC</v>
          </cell>
          <cell r="G181" t="str">
            <v>Trung tâm Khí cụ bay</v>
          </cell>
        </row>
        <row r="182">
          <cell r="B182" t="str">
            <v>269930</v>
          </cell>
          <cell r="C182" t="str">
            <v>Phùng Thế Đạt</v>
          </cell>
          <cell r="D182" t="str">
            <v>Kỹ sư thiết kế FPGA</v>
          </cell>
          <cell r="E182" t="str">
            <v>Tổng công ty Công nghiệp Công nghệ cao Viettel</v>
          </cell>
          <cell r="F182" t="str">
            <v>Khối 1 - TCT CNC</v>
          </cell>
          <cell r="G182" t="str">
            <v>Trung tâm Khí cụ bay</v>
          </cell>
        </row>
        <row r="183">
          <cell r="B183" t="str">
            <v>270521</v>
          </cell>
          <cell r="C183" t="str">
            <v>Công Minh Hiếu</v>
          </cell>
          <cell r="D183" t="str">
            <v>Kỹ sư Điều khiển tự động</v>
          </cell>
          <cell r="E183" t="str">
            <v>Tổng công ty Công nghiệp Công nghệ cao Viettel</v>
          </cell>
          <cell r="F183" t="str">
            <v>Khối 1 - TCT CNC</v>
          </cell>
          <cell r="G183" t="str">
            <v>Trung tâm Khí cụ bay</v>
          </cell>
        </row>
        <row r="184">
          <cell r="B184" t="str">
            <v>271069</v>
          </cell>
          <cell r="C184" t="str">
            <v>Vũ Vân Long</v>
          </cell>
          <cell r="D184" t="str">
            <v>Trắc thủ bay UAV</v>
          </cell>
          <cell r="E184" t="str">
            <v>Tổng công ty Công nghiệp Công nghệ cao Viettel</v>
          </cell>
          <cell r="F184" t="str">
            <v>Khối 1 - TCT CNC</v>
          </cell>
          <cell r="G184" t="str">
            <v>Trung tâm Khí cụ bay</v>
          </cell>
        </row>
        <row r="185">
          <cell r="B185" t="str">
            <v>272715</v>
          </cell>
          <cell r="C185" t="str">
            <v>Vũ Văn Đại</v>
          </cell>
          <cell r="D185" t="str">
            <v>Kỹ sư Kết cấu</v>
          </cell>
          <cell r="E185" t="str">
            <v>Tổng công ty Công nghiệp Công nghệ cao Viettel</v>
          </cell>
          <cell r="F185" t="str">
            <v>Khối 1 - TCT CNC</v>
          </cell>
          <cell r="G185" t="str">
            <v>Trung tâm Khí cụ bay</v>
          </cell>
        </row>
        <row r="186">
          <cell r="B186" t="str">
            <v>275336</v>
          </cell>
          <cell r="C186" t="str">
            <v>Nguyễn Ngọc Quỳnh</v>
          </cell>
          <cell r="D186" t="str">
            <v>Kỹ sư Kết cấu</v>
          </cell>
          <cell r="E186" t="str">
            <v>Tổng công ty Công nghiệp Công nghệ cao Viettel</v>
          </cell>
          <cell r="F186" t="str">
            <v>Khối 1 - TCT CNC</v>
          </cell>
          <cell r="G186" t="str">
            <v>Trung tâm Khí cụ bay</v>
          </cell>
        </row>
        <row r="187">
          <cell r="B187" t="str">
            <v>278335</v>
          </cell>
          <cell r="C187" t="str">
            <v>Trần Hoàng Linh</v>
          </cell>
          <cell r="D187" t="str">
            <v>Kỹ sư kỹ thuật hàng không</v>
          </cell>
          <cell r="E187" t="str">
            <v>Tổng công ty Công nghiệp Công nghệ cao Viettel</v>
          </cell>
          <cell r="F187" t="str">
            <v>Khối 1 - TCT CNC</v>
          </cell>
          <cell r="G187" t="str">
            <v>Trung tâm Khí cụ bay</v>
          </cell>
        </row>
        <row r="188">
          <cell r="B188" t="str">
            <v>281305</v>
          </cell>
          <cell r="C188" t="str">
            <v>Lê Thị Hồng Nguyệt</v>
          </cell>
          <cell r="D188" t="str">
            <v>Kỹ sư Khí động</v>
          </cell>
          <cell r="E188" t="str">
            <v>Tổng công ty Công nghiệp Công nghệ cao Viettel</v>
          </cell>
          <cell r="F188" t="str">
            <v>Khối 1 - TCT CNC</v>
          </cell>
          <cell r="G188" t="str">
            <v>Trung tâm Khí cụ bay</v>
          </cell>
        </row>
        <row r="189">
          <cell r="B189" t="str">
            <v>284027</v>
          </cell>
          <cell r="C189" t="str">
            <v>Trần Lê Hồng Khánh</v>
          </cell>
          <cell r="D189" t="str">
            <v>Kỹ sư Khí động</v>
          </cell>
          <cell r="E189" t="str">
            <v>Tổng công ty Công nghiệp Công nghệ cao Viettel</v>
          </cell>
          <cell r="F189" t="str">
            <v>Khối 1 - TCT CNC</v>
          </cell>
          <cell r="G189" t="str">
            <v>Trung tâm Khí cụ bay</v>
          </cell>
        </row>
        <row r="190">
          <cell r="B190" t="str">
            <v>290148</v>
          </cell>
          <cell r="C190" t="str">
            <v>Nghiêm Văn Quân</v>
          </cell>
          <cell r="D190" t="str">
            <v>Kỹ sư Cơ khí</v>
          </cell>
          <cell r="E190" t="str">
            <v>Tổng công ty Công nghiệp Công nghệ cao Viettel</v>
          </cell>
          <cell r="F190" t="str">
            <v>Khối 1 - TCT CNC</v>
          </cell>
          <cell r="G190" t="str">
            <v>Trung tâm Khí cụ bay</v>
          </cell>
        </row>
        <row r="191">
          <cell r="B191" t="str">
            <v>293973</v>
          </cell>
          <cell r="C191" t="str">
            <v>Nguyễn Ngọc Hải</v>
          </cell>
          <cell r="D191" t="str">
            <v>Kỹ sư Động cơ</v>
          </cell>
          <cell r="E191" t="str">
            <v>Tổng công ty Công nghiệp Công nghệ cao Viettel</v>
          </cell>
          <cell r="F191" t="str">
            <v>Khối 1 - TCT CNC</v>
          </cell>
          <cell r="G191" t="str">
            <v>Trung tâm Khí cụ bay</v>
          </cell>
        </row>
        <row r="192">
          <cell r="B192" t="str">
            <v>433553</v>
          </cell>
          <cell r="C192" t="str">
            <v>Phạm Quang Huy</v>
          </cell>
          <cell r="D192" t="str">
            <v>Kỹ sư Công nghệ Vật liệu</v>
          </cell>
          <cell r="E192" t="str">
            <v>Tổng công ty Công nghiệp Công nghệ cao Viettel</v>
          </cell>
          <cell r="F192" t="str">
            <v>Khối 1 - TCT CNC</v>
          </cell>
          <cell r="G192" t="str">
            <v>Trung tâm Khí cụ bay</v>
          </cell>
        </row>
        <row r="193">
          <cell r="B193" t="str">
            <v>434428</v>
          </cell>
          <cell r="C193" t="str">
            <v>Đinh Thế Cường</v>
          </cell>
          <cell r="D193" t="str">
            <v>Kỹ sư mô hình hóa và mô phỏng</v>
          </cell>
          <cell r="E193" t="str">
            <v>Tổng công ty Công nghiệp Công nghệ cao Viettel</v>
          </cell>
          <cell r="F193" t="str">
            <v>Khối 1 - TCT CNC</v>
          </cell>
          <cell r="G193" t="str">
            <v>Trung tâm Khí cụ bay</v>
          </cell>
        </row>
        <row r="194">
          <cell r="B194" t="str">
            <v>435810</v>
          </cell>
          <cell r="C194" t="str">
            <v>Trần Hiếu Trung</v>
          </cell>
          <cell r="D194" t="str">
            <v>Phi công UAV</v>
          </cell>
          <cell r="E194" t="str">
            <v>Tổng công ty Công nghiệp Công nghệ cao Viettel</v>
          </cell>
          <cell r="F194" t="str">
            <v>Khối 1 - TCT CNC</v>
          </cell>
          <cell r="G194" t="str">
            <v>Trung tâm Khí cụ bay</v>
          </cell>
        </row>
        <row r="195">
          <cell r="B195" t="str">
            <v>444591</v>
          </cell>
          <cell r="C195" t="str">
            <v>Nguyễn Vũ Hoàng Long</v>
          </cell>
          <cell r="D195" t="str">
            <v>Kỹ sư Khí động</v>
          </cell>
          <cell r="E195" t="str">
            <v>Tổng công ty Công nghiệp Công nghệ cao Viettel</v>
          </cell>
          <cell r="F195" t="str">
            <v>Khối 1 - TCT CNC</v>
          </cell>
          <cell r="G195" t="str">
            <v>Trung tâm Khí cụ bay</v>
          </cell>
        </row>
        <row r="196">
          <cell r="B196" t="str">
            <v>447379</v>
          </cell>
          <cell r="C196" t="str">
            <v>Phạm Quang Huy</v>
          </cell>
          <cell r="D196" t="str">
            <v>Kỹ sư Cơ khí</v>
          </cell>
          <cell r="E196" t="str">
            <v>Tổng công ty Công nghiệp Công nghệ cao Viettel</v>
          </cell>
          <cell r="F196" t="str">
            <v>Khối 1 - TCT CNC</v>
          </cell>
          <cell r="G196" t="str">
            <v>Trung tâm Khí cụ bay</v>
          </cell>
        </row>
        <row r="197">
          <cell r="B197" t="str">
            <v>449469</v>
          </cell>
          <cell r="C197" t="str">
            <v>Lê Kiều Trang</v>
          </cell>
          <cell r="D197" t="str">
            <v>Kỹ sư định vị và dẫn đường điều khiển</v>
          </cell>
          <cell r="E197" t="str">
            <v>Tổng công ty Công nghiệp Công nghệ cao Viettel</v>
          </cell>
          <cell r="F197" t="str">
            <v>Khối 1 - TCT CNC</v>
          </cell>
          <cell r="G197" t="str">
            <v>Trung tâm Khí cụ bay</v>
          </cell>
        </row>
        <row r="198">
          <cell r="B198" t="str">
            <v>451123</v>
          </cell>
          <cell r="C198" t="str">
            <v>Nguyễn Đức Trung</v>
          </cell>
          <cell r="D198" t="str">
            <v>Kỹ sư kỹ thuật hàng không</v>
          </cell>
          <cell r="E198" t="str">
            <v>Tổng công ty Công nghiệp Công nghệ cao Viettel</v>
          </cell>
          <cell r="F198" t="str">
            <v>Khối 1 - TCT CNC</v>
          </cell>
          <cell r="G198" t="str">
            <v>Trung tâm Khí cụ bay</v>
          </cell>
        </row>
        <row r="199">
          <cell r="B199" t="str">
            <v>451125</v>
          </cell>
          <cell r="C199" t="str">
            <v>Nguyễn Văn Tiến</v>
          </cell>
          <cell r="D199" t="str">
            <v>Kỹ sư Động cơ</v>
          </cell>
          <cell r="E199" t="str">
            <v>Tổng công ty Công nghiệp Công nghệ cao Viettel</v>
          </cell>
          <cell r="F199" t="str">
            <v>Khối 1 - TCT CNC</v>
          </cell>
          <cell r="G199" t="str">
            <v>Trung tâm Khí cụ bay</v>
          </cell>
        </row>
        <row r="200">
          <cell r="B200" t="str">
            <v>451677</v>
          </cell>
          <cell r="C200" t="str">
            <v>Nguyễn Thiên Long</v>
          </cell>
          <cell r="D200" t="str">
            <v>Kỹ sư Động cơ</v>
          </cell>
          <cell r="E200" t="str">
            <v>Tổng công ty Công nghiệp Công nghệ cao Viettel</v>
          </cell>
          <cell r="F200" t="str">
            <v>Khối 1 - TCT CNC</v>
          </cell>
          <cell r="G200" t="str">
            <v>Trung tâm Khí cụ bay</v>
          </cell>
        </row>
        <row r="201">
          <cell r="B201" t="str">
            <v>451681</v>
          </cell>
          <cell r="C201" t="str">
            <v>Lê Quang Giáp</v>
          </cell>
          <cell r="D201" t="str">
            <v>Kỹ sư Phần mềm nhúng</v>
          </cell>
          <cell r="E201" t="str">
            <v>Tổng công ty Công nghiệp Công nghệ cao Viettel</v>
          </cell>
          <cell r="F201" t="str">
            <v>Khối 1 - TCT CNC</v>
          </cell>
          <cell r="G201" t="str">
            <v>Trung tâm Khí cụ bay</v>
          </cell>
        </row>
        <row r="202">
          <cell r="B202" t="str">
            <v>451885</v>
          </cell>
          <cell r="C202" t="str">
            <v>Trần Quang Hà</v>
          </cell>
          <cell r="D202" t="str">
            <v>Kỹ sư Phát triển phần mềm</v>
          </cell>
          <cell r="E202" t="str">
            <v>Tổng công ty Công nghiệp Công nghệ cao Viettel</v>
          </cell>
          <cell r="F202" t="str">
            <v>Khối 1 - TCT CNC</v>
          </cell>
          <cell r="G202" t="str">
            <v>Trung tâm Khí cụ bay</v>
          </cell>
        </row>
        <row r="203">
          <cell r="B203" t="str">
            <v>452921</v>
          </cell>
          <cell r="C203" t="str">
            <v>Nguyễn Đức Huy</v>
          </cell>
          <cell r="D203" t="str">
            <v>Kỹ sư Cơ khí</v>
          </cell>
          <cell r="E203" t="str">
            <v>Tổng công ty Công nghiệp Công nghệ cao Viettel</v>
          </cell>
          <cell r="F203" t="str">
            <v>Khối 1 - TCT CNC</v>
          </cell>
          <cell r="G203" t="str">
            <v>Trung tâm Khí cụ bay</v>
          </cell>
        </row>
        <row r="204">
          <cell r="B204" t="str">
            <v>453247</v>
          </cell>
          <cell r="C204" t="str">
            <v>Đặng Văn Luân</v>
          </cell>
          <cell r="D204" t="str">
            <v>Kỹ sư Khí động</v>
          </cell>
          <cell r="E204" t="str">
            <v>Tổng công ty Công nghiệp Công nghệ cao Viettel</v>
          </cell>
          <cell r="F204" t="str">
            <v>Khối 1 - TCT CNC</v>
          </cell>
          <cell r="G204" t="str">
            <v>Trung tâm Khí cụ bay</v>
          </cell>
        </row>
        <row r="205">
          <cell r="B205" t="str">
            <v>454251</v>
          </cell>
          <cell r="C205" t="str">
            <v>Nguyễn Phương Thắng</v>
          </cell>
          <cell r="D205" t="str">
            <v>Kỹ sư Công nghệ Vật liệu</v>
          </cell>
          <cell r="E205" t="str">
            <v>Tổng công ty Công nghiệp Công nghệ cao Viettel</v>
          </cell>
          <cell r="F205" t="str">
            <v>Khối 1 - TCT CNC</v>
          </cell>
          <cell r="G205" t="str">
            <v>Trung tâm Khí cụ bay</v>
          </cell>
        </row>
        <row r="206">
          <cell r="B206" t="str">
            <v>454693</v>
          </cell>
          <cell r="C206" t="str">
            <v>Lê Công Thắng</v>
          </cell>
          <cell r="D206" t="str">
            <v>Kỹ sư Phần mềm nhúng</v>
          </cell>
          <cell r="E206" t="str">
            <v>Tổng công ty Công nghiệp Công nghệ cao Viettel</v>
          </cell>
          <cell r="F206" t="str">
            <v>Khối 1 - TCT CNC</v>
          </cell>
          <cell r="G206" t="str">
            <v>Trung tâm Khí cụ bay</v>
          </cell>
        </row>
        <row r="207">
          <cell r="B207" t="str">
            <v>457725</v>
          </cell>
          <cell r="C207" t="str">
            <v>Nguyễn Sỹ Dũng</v>
          </cell>
          <cell r="D207" t="str">
            <v>Kỹ sư Khí động</v>
          </cell>
          <cell r="E207" t="str">
            <v>Tổng công ty Công nghiệp Công nghệ cao Viettel</v>
          </cell>
          <cell r="F207" t="str">
            <v>Khối 1 - TCT CNC</v>
          </cell>
          <cell r="G207" t="str">
            <v>Trung tâm Khí cụ bay</v>
          </cell>
        </row>
        <row r="208">
          <cell r="B208" t="str">
            <v>459893</v>
          </cell>
          <cell r="C208" t="str">
            <v>Đặng Duy Tân</v>
          </cell>
          <cell r="D208" t="str">
            <v>Kỹ sư Điều khiển tự động</v>
          </cell>
          <cell r="E208" t="str">
            <v>Tổng công ty Công nghiệp Công nghệ cao Viettel</v>
          </cell>
          <cell r="F208" t="str">
            <v>Khối 1 - TCT CNC</v>
          </cell>
          <cell r="G208" t="str">
            <v>Trung tâm Khí cụ bay</v>
          </cell>
        </row>
        <row r="209">
          <cell r="B209" t="str">
            <v>460839</v>
          </cell>
          <cell r="C209" t="str">
            <v>Nguyễn Đức Hiệp</v>
          </cell>
          <cell r="D209" t="str">
            <v>Kỹ sư kỹ thuật hàng không</v>
          </cell>
          <cell r="E209" t="str">
            <v>Tổng công ty Công nghiệp Công nghệ cao Viettel</v>
          </cell>
          <cell r="F209" t="str">
            <v>Khối 1 - TCT CNC</v>
          </cell>
          <cell r="G209" t="str">
            <v>Trung tâm Khí cụ bay</v>
          </cell>
        </row>
        <row r="210">
          <cell r="B210" t="str">
            <v>463701</v>
          </cell>
          <cell r="C210" t="str">
            <v>Phạm Thế Hùng</v>
          </cell>
          <cell r="D210" t="str">
            <v>Kỹ sư Điều khiển tự động</v>
          </cell>
          <cell r="E210" t="str">
            <v>Tổng công ty Công nghiệp Công nghệ cao Viettel</v>
          </cell>
          <cell r="F210" t="str">
            <v>Khối 1 - TCT CNC</v>
          </cell>
          <cell r="G210" t="str">
            <v>Trung tâm Khí cụ bay</v>
          </cell>
        </row>
        <row r="211">
          <cell r="B211" t="str">
            <v>464141</v>
          </cell>
          <cell r="C211" t="str">
            <v>Đào Minh Thư</v>
          </cell>
          <cell r="D211" t="str">
            <v>Kỹ sư Khí động</v>
          </cell>
          <cell r="E211" t="str">
            <v>Tổng công ty Công nghiệp Công nghệ cao Viettel</v>
          </cell>
          <cell r="F211" t="str">
            <v>Khối 1 - TCT CNC</v>
          </cell>
          <cell r="G211" t="str">
            <v>Trung tâm Khí cụ bay</v>
          </cell>
        </row>
        <row r="212">
          <cell r="B212" t="str">
            <v>464821</v>
          </cell>
          <cell r="C212" t="str">
            <v>Vũ Huy Hoàng</v>
          </cell>
          <cell r="D212" t="str">
            <v>Kỹ sư định vị và dẫn đường điều khiển</v>
          </cell>
          <cell r="E212" t="str">
            <v>Tổng công ty Công nghiệp Công nghệ cao Viettel</v>
          </cell>
          <cell r="F212" t="str">
            <v>Khối 1 - TCT CNC</v>
          </cell>
          <cell r="G212" t="str">
            <v>Trung tâm Khí cụ bay</v>
          </cell>
        </row>
        <row r="213">
          <cell r="B213" t="str">
            <v>465083</v>
          </cell>
          <cell r="C213" t="str">
            <v>Đặng Thị Thùy Linh</v>
          </cell>
          <cell r="D213" t="str">
            <v>Kỹ sư Công nghệ Vật liệu</v>
          </cell>
          <cell r="E213" t="str">
            <v>Tổng công ty Công nghiệp Công nghệ cao Viettel</v>
          </cell>
          <cell r="F213" t="str">
            <v>Khối 1 - TCT CNC</v>
          </cell>
          <cell r="G213" t="str">
            <v>Trung tâm Khí cụ bay</v>
          </cell>
        </row>
        <row r="214">
          <cell r="B214" t="str">
            <v>465143</v>
          </cell>
          <cell r="C214" t="str">
            <v>Nguyễn Quốc Khánh</v>
          </cell>
          <cell r="D214" t="str">
            <v>Kỹ sư Công nghệ Vật liệu</v>
          </cell>
          <cell r="E214" t="str">
            <v>Tổng công ty Công nghiệp Công nghệ cao Viettel</v>
          </cell>
          <cell r="F214" t="str">
            <v>Khối 1 - TCT CNC</v>
          </cell>
          <cell r="G214" t="str">
            <v>Trung tâm Khí cụ bay</v>
          </cell>
        </row>
        <row r="215">
          <cell r="B215" t="str">
            <v>466105</v>
          </cell>
          <cell r="C215" t="str">
            <v>Nguyễn Công Hiệp</v>
          </cell>
          <cell r="D215" t="str">
            <v>Kỹ sư Phần mềm nhúng</v>
          </cell>
          <cell r="E215" t="str">
            <v>Tổng công ty Công nghiệp Công nghệ cao Viettel</v>
          </cell>
          <cell r="F215" t="str">
            <v>Khối 1 - TCT CNC</v>
          </cell>
          <cell r="G215" t="str">
            <v>Trung tâm Khí cụ bay</v>
          </cell>
        </row>
        <row r="216">
          <cell r="B216" t="str">
            <v>466107</v>
          </cell>
          <cell r="C216" t="str">
            <v>Bùi Quang Huynh</v>
          </cell>
          <cell r="D216" t="str">
            <v>Kỹ sư Tích hợp HK</v>
          </cell>
          <cell r="E216" t="str">
            <v>Tổng công ty Công nghiệp Công nghệ cao Viettel</v>
          </cell>
          <cell r="F216" t="str">
            <v>Khối 1 - TCT CNC</v>
          </cell>
          <cell r="G216" t="str">
            <v>Trung tâm Khí cụ bay</v>
          </cell>
        </row>
        <row r="217">
          <cell r="B217" t="str">
            <v>466919</v>
          </cell>
          <cell r="C217" t="str">
            <v>Nguyễn Thành Lộc</v>
          </cell>
          <cell r="D217" t="str">
            <v>Kỹ sư Tích hợp HK</v>
          </cell>
          <cell r="E217" t="str">
            <v>Tổng công ty Công nghiệp Công nghệ cao Viettel</v>
          </cell>
          <cell r="F217" t="str">
            <v>Khối 1 - TCT CNC</v>
          </cell>
          <cell r="G217" t="str">
            <v>Trung tâm Khí cụ bay</v>
          </cell>
        </row>
        <row r="218">
          <cell r="B218" t="str">
            <v>467375</v>
          </cell>
          <cell r="C218" t="str">
            <v>Phạm Chí Nhân</v>
          </cell>
          <cell r="D218" t="str">
            <v>Kỹ sư kỹ thuật hàng không</v>
          </cell>
          <cell r="E218" t="str">
            <v>Tổng công ty Công nghiệp Công nghệ cao Viettel</v>
          </cell>
          <cell r="F218" t="str">
            <v>Khối 1 - TCT CNC</v>
          </cell>
          <cell r="G218" t="str">
            <v>Trung tâm Khí cụ bay</v>
          </cell>
        </row>
        <row r="219">
          <cell r="B219" t="str">
            <v>467419</v>
          </cell>
          <cell r="C219" t="str">
            <v>Trần Thị Mai Linh</v>
          </cell>
          <cell r="D219" t="str">
            <v>Kỹ sư Khí động</v>
          </cell>
          <cell r="E219" t="str">
            <v>Tổng công ty Công nghiệp Công nghệ cao Viettel</v>
          </cell>
          <cell r="F219" t="str">
            <v>Khối 1 - TCT CNC</v>
          </cell>
          <cell r="G219" t="str">
            <v>Trung tâm Khí cụ bay</v>
          </cell>
        </row>
        <row r="220">
          <cell r="B220" t="str">
            <v>472661</v>
          </cell>
          <cell r="C220" t="str">
            <v>Hoàng Kim Tiến</v>
          </cell>
          <cell r="D220" t="str">
            <v>Kỹ sư Phần mềm nhúng</v>
          </cell>
          <cell r="E220" t="str">
            <v>Tổng công ty Công nghiệp Công nghệ cao Viettel</v>
          </cell>
          <cell r="F220" t="str">
            <v>Khối 1 - TCT CNC</v>
          </cell>
          <cell r="G220" t="str">
            <v>Trung tâm Khí cụ bay</v>
          </cell>
        </row>
        <row r="221">
          <cell r="B221" t="str">
            <v>472889</v>
          </cell>
          <cell r="C221" t="str">
            <v>Nông Đức Tuấn</v>
          </cell>
          <cell r="D221" t="str">
            <v>Kỹ sư Phần mềm nhúng</v>
          </cell>
          <cell r="E221" t="str">
            <v>Tổng công ty Công nghiệp Công nghệ cao Viettel</v>
          </cell>
          <cell r="F221" t="str">
            <v>Khối 1 - TCT CNC</v>
          </cell>
          <cell r="G221" t="str">
            <v>Trung tâm Khí cụ bay</v>
          </cell>
        </row>
        <row r="222">
          <cell r="B222" t="str">
            <v>474311</v>
          </cell>
          <cell r="C222" t="str">
            <v>Phạm Đại Cương</v>
          </cell>
          <cell r="D222" t="str">
            <v>Kỹ sư Kết cấu</v>
          </cell>
          <cell r="E222" t="str">
            <v>Tổng công ty Công nghiệp Công nghệ cao Viettel</v>
          </cell>
          <cell r="F222" t="str">
            <v>Khối 1 - TCT CNC</v>
          </cell>
          <cell r="G222" t="str">
            <v>Trung tâm Khí cụ bay</v>
          </cell>
        </row>
        <row r="223">
          <cell r="B223" t="str">
            <v>474315</v>
          </cell>
          <cell r="C223" t="str">
            <v>Phạm Quang Minh</v>
          </cell>
          <cell r="D223" t="str">
            <v>Kỹ sư Kết cấu</v>
          </cell>
          <cell r="E223" t="str">
            <v>Tổng công ty Công nghiệp Công nghệ cao Viettel</v>
          </cell>
          <cell r="F223" t="str">
            <v>Khối 1 - TCT CNC</v>
          </cell>
          <cell r="G223" t="str">
            <v>Trung tâm Khí cụ bay</v>
          </cell>
        </row>
        <row r="224">
          <cell r="B224" t="str">
            <v>474317</v>
          </cell>
          <cell r="C224" t="str">
            <v>Lê Quang Dương</v>
          </cell>
          <cell r="D224" t="str">
            <v>Kỹ sư Kết cấu</v>
          </cell>
          <cell r="E224" t="str">
            <v>Tổng công ty Công nghiệp Công nghệ cao Viettel</v>
          </cell>
          <cell r="F224" t="str">
            <v>Khối 1 - TCT CNC</v>
          </cell>
          <cell r="G224" t="str">
            <v>Trung tâm Khí cụ bay</v>
          </cell>
        </row>
        <row r="225">
          <cell r="B225" t="str">
            <v>476015</v>
          </cell>
          <cell r="C225" t="str">
            <v>Trần Đức Ngọc</v>
          </cell>
          <cell r="D225" t="str">
            <v>Kỹ sư Phát triển phần mềm hệ thống</v>
          </cell>
          <cell r="E225" t="str">
            <v>Tổng công ty Công nghiệp Công nghệ cao Viettel</v>
          </cell>
          <cell r="F225" t="str">
            <v>Khối 1 - TCT CNC</v>
          </cell>
          <cell r="G225" t="str">
            <v>Trung tâm Khí cụ bay</v>
          </cell>
        </row>
        <row r="226">
          <cell r="B226" t="str">
            <v>476493</v>
          </cell>
          <cell r="C226" t="str">
            <v>Nhữ Ngọc Hiệp</v>
          </cell>
          <cell r="D226" t="str">
            <v>Kỹ sư Cơ khí</v>
          </cell>
          <cell r="E226" t="str">
            <v>Tổng công ty Công nghiệp Công nghệ cao Viettel</v>
          </cell>
          <cell r="F226" t="str">
            <v>Khối 1 - TCT CNC</v>
          </cell>
          <cell r="G226" t="str">
            <v>Trung tâm Khí cụ bay</v>
          </cell>
        </row>
        <row r="227">
          <cell r="B227" t="str">
            <v>476495</v>
          </cell>
          <cell r="C227" t="str">
            <v>Hoàng Nhật Quang</v>
          </cell>
          <cell r="D227" t="str">
            <v>Kỹ sư Tích hợp HK</v>
          </cell>
          <cell r="E227" t="str">
            <v>Tổng công ty Công nghiệp Công nghệ cao Viettel</v>
          </cell>
          <cell r="F227" t="str">
            <v>Khối 1 - TCT CNC</v>
          </cell>
          <cell r="G227" t="str">
            <v>Trung tâm Khí cụ bay</v>
          </cell>
        </row>
        <row r="228">
          <cell r="B228" t="str">
            <v>476947</v>
          </cell>
          <cell r="C228" t="str">
            <v>Dương Quang Trí</v>
          </cell>
          <cell r="D228" t="str">
            <v>Kỹ sư Phát triển phần mềm</v>
          </cell>
          <cell r="E228" t="str">
            <v>Tổng công ty Công nghiệp Công nghệ cao Viettel</v>
          </cell>
          <cell r="F228" t="str">
            <v>Khối 1 - TCT CNC</v>
          </cell>
          <cell r="G228" t="str">
            <v>Trung tâm Khí cụ bay</v>
          </cell>
        </row>
        <row r="229">
          <cell r="B229" t="str">
            <v>477365</v>
          </cell>
          <cell r="C229" t="str">
            <v>Phạm Huy Tuyên</v>
          </cell>
          <cell r="D229" t="str">
            <v>Kỹ sư Phần mềm nhúng</v>
          </cell>
          <cell r="E229" t="str">
            <v>Tổng công ty Công nghiệp Công nghệ cao Viettel</v>
          </cell>
          <cell r="F229" t="str">
            <v>Khối 1 - TCT CNC</v>
          </cell>
          <cell r="G229" t="str">
            <v>Trung tâm Khí cụ bay</v>
          </cell>
        </row>
        <row r="230">
          <cell r="B230" t="str">
            <v>064461</v>
          </cell>
          <cell r="C230" t="str">
            <v>Lương Nhật Quang</v>
          </cell>
          <cell r="D230" t="str">
            <v>Kỹ sư Thiết kế đồ họa mô phỏng</v>
          </cell>
          <cell r="E230" t="str">
            <v>Tổng công ty Công nghiệp Công nghệ cao Viettel</v>
          </cell>
          <cell r="F230" t="str">
            <v>Khối 1 - TCT CNC</v>
          </cell>
          <cell r="G230" t="str">
            <v>Trung tâm Mô hình mô phỏng</v>
          </cell>
        </row>
        <row r="231">
          <cell r="B231" t="str">
            <v>092259</v>
          </cell>
          <cell r="C231" t="str">
            <v>Nguyễn Trần Nam</v>
          </cell>
          <cell r="D231" t="str">
            <v>Phó Giám đốc Trung tâm</v>
          </cell>
          <cell r="E231" t="str">
            <v>Tổng công ty Công nghiệp Công nghệ cao Viettel</v>
          </cell>
          <cell r="F231" t="str">
            <v>Khối 1 - TCT CNC</v>
          </cell>
          <cell r="G231" t="str">
            <v>Trung tâm Mô hình mô phỏng</v>
          </cell>
        </row>
        <row r="232">
          <cell r="B232" t="str">
            <v>122636</v>
          </cell>
          <cell r="C232" t="str">
            <v>Cao Xuân Sáng</v>
          </cell>
          <cell r="D232" t="str">
            <v>Trưởng phòng Nghiên cứu mô phỏng động lực học điều khiển</v>
          </cell>
          <cell r="E232" t="str">
            <v>Tổng công ty Công nghiệp Công nghệ cao Viettel</v>
          </cell>
          <cell r="F232" t="str">
            <v>Khối 1 - TCT CNC</v>
          </cell>
          <cell r="G232" t="str">
            <v>Trung tâm Mô hình mô phỏng</v>
          </cell>
        </row>
        <row r="233">
          <cell r="B233" t="str">
            <v>135608</v>
          </cell>
          <cell r="C233" t="str">
            <v>Nguyễn Hải Dương</v>
          </cell>
          <cell r="D233" t="str">
            <v>Phó Giám đốc Trung tâm</v>
          </cell>
          <cell r="E233" t="str">
            <v>Tổng công ty Công nghiệp Công nghệ cao Viettel</v>
          </cell>
          <cell r="F233" t="str">
            <v>Khối 1 - TCT CNC</v>
          </cell>
          <cell r="G233" t="str">
            <v>Trung tâm Mô hình mô phỏng</v>
          </cell>
        </row>
        <row r="234">
          <cell r="B234" t="str">
            <v>176856</v>
          </cell>
          <cell r="C234" t="str">
            <v>Nguyễn Đức Thành</v>
          </cell>
          <cell r="D234" t="str">
            <v>Trưởng phòng Nghiên cứu thực tế ảo tăng cường hỗn hợp</v>
          </cell>
          <cell r="E234" t="str">
            <v>Tổng công ty Công nghiệp Công nghệ cao Viettel</v>
          </cell>
          <cell r="F234" t="str">
            <v>Khối 1 - TCT CNC</v>
          </cell>
          <cell r="G234" t="str">
            <v>Trung tâm Mô hình mô phỏng</v>
          </cell>
        </row>
        <row r="235">
          <cell r="B235" t="str">
            <v>179974</v>
          </cell>
          <cell r="C235" t="str">
            <v>Nguyễn Thanh Hào</v>
          </cell>
          <cell r="D235" t="str">
            <v>Kỹ sư Thiết kế phần mềm</v>
          </cell>
          <cell r="E235" t="str">
            <v>Tổng công ty Công nghiệp Công nghệ cao Viettel</v>
          </cell>
          <cell r="F235" t="str">
            <v>Khối 1 - TCT CNC</v>
          </cell>
          <cell r="G235" t="str">
            <v>Trung tâm Mô hình mô phỏng</v>
          </cell>
        </row>
        <row r="236">
          <cell r="B236" t="str">
            <v>195475</v>
          </cell>
          <cell r="C236" t="str">
            <v>Đặng Xuân Thảo</v>
          </cell>
          <cell r="D236" t="str">
            <v>Kỹ sư Phần mềm nhúng</v>
          </cell>
          <cell r="E236" t="str">
            <v>Tổng công ty Công nghiệp Công nghệ cao Viettel</v>
          </cell>
          <cell r="F236" t="str">
            <v>Khối 1 - TCT CNC</v>
          </cell>
          <cell r="G236" t="str">
            <v>Trung tâm Mô hình mô phỏng</v>
          </cell>
        </row>
        <row r="237">
          <cell r="B237" t="str">
            <v>195484</v>
          </cell>
          <cell r="C237" t="str">
            <v>Nguyễn Anh Tuấn</v>
          </cell>
          <cell r="D237" t="str">
            <v>Kỹ sư Phần mềm nhúng</v>
          </cell>
          <cell r="E237" t="str">
            <v>Tổng công ty Công nghiệp Công nghệ cao Viettel</v>
          </cell>
          <cell r="F237" t="str">
            <v>Khối 1 - TCT CNC</v>
          </cell>
          <cell r="G237" t="str">
            <v>Trung tâm Mô hình mô phỏng</v>
          </cell>
        </row>
        <row r="238">
          <cell r="B238" t="str">
            <v>196134</v>
          </cell>
          <cell r="C238" t="str">
            <v>Nguyễn Hải Đăng</v>
          </cell>
          <cell r="D238" t="str">
            <v>Kỹ sư Phần mềm mô hình mô phỏng</v>
          </cell>
          <cell r="E238" t="str">
            <v>Tổng công ty Công nghiệp Công nghệ cao Viettel</v>
          </cell>
          <cell r="F238" t="str">
            <v>Khối 1 - TCT CNC</v>
          </cell>
          <cell r="G238" t="str">
            <v>Trung tâm Mô hình mô phỏng</v>
          </cell>
        </row>
        <row r="239">
          <cell r="B239" t="str">
            <v>206883</v>
          </cell>
          <cell r="C239" t="str">
            <v>Nguyễn Việt Thắng</v>
          </cell>
          <cell r="D239" t="str">
            <v>Kỹ sư Phát triển phần mềm</v>
          </cell>
          <cell r="E239" t="str">
            <v>Tổng công ty Công nghiệp Công nghệ cao Viettel</v>
          </cell>
          <cell r="F239" t="str">
            <v>Khối 1 - TCT CNC</v>
          </cell>
          <cell r="G239" t="str">
            <v>Trung tâm Mô hình mô phỏng</v>
          </cell>
        </row>
        <row r="240">
          <cell r="B240" t="str">
            <v>207610</v>
          </cell>
          <cell r="C240" t="str">
            <v>Nguyễn Tiến Đạt</v>
          </cell>
          <cell r="D240" t="str">
            <v>Trưởng phòng Nghiên cứu tính toán mô hình hóa</v>
          </cell>
          <cell r="E240" t="str">
            <v>Tổng công ty Công nghiệp Công nghệ cao Viettel</v>
          </cell>
          <cell r="F240" t="str">
            <v>Khối 1 - TCT CNC</v>
          </cell>
          <cell r="G240" t="str">
            <v>Trung tâm Mô hình mô phỏng</v>
          </cell>
        </row>
        <row r="241">
          <cell r="B241" t="str">
            <v>207798</v>
          </cell>
          <cell r="C241" t="str">
            <v>Phạm Ngọc Chung</v>
          </cell>
          <cell r="D241" t="str">
            <v>Kỹ sư Cơ khí</v>
          </cell>
          <cell r="E241" t="str">
            <v>Tổng công ty Công nghiệp Công nghệ cao Viettel</v>
          </cell>
          <cell r="F241" t="str">
            <v>Khối 1 - TCT CNC</v>
          </cell>
          <cell r="G241" t="str">
            <v>Trung tâm Mô hình mô phỏng</v>
          </cell>
        </row>
        <row r="242">
          <cell r="B242" t="str">
            <v>208453</v>
          </cell>
          <cell r="C242" t="str">
            <v>Đỗ Văn Hưởng</v>
          </cell>
          <cell r="D242" t="str">
            <v>Kỹ sư Cơ khí</v>
          </cell>
          <cell r="E242" t="str">
            <v>Tổng công ty Công nghiệp Công nghệ cao Viettel</v>
          </cell>
          <cell r="F242" t="str">
            <v>Khối 1 - TCT CNC</v>
          </cell>
          <cell r="G242" t="str">
            <v>Trung tâm Mô hình mô phỏng</v>
          </cell>
        </row>
        <row r="243">
          <cell r="B243" t="str">
            <v>216633</v>
          </cell>
          <cell r="C243" t="str">
            <v>Tạ Thị Hằng</v>
          </cell>
          <cell r="D243" t="str">
            <v>Kỹ sư Phân tích nghiệp vụ</v>
          </cell>
          <cell r="E243" t="str">
            <v>Tổng công ty Công nghiệp Công nghệ cao Viettel</v>
          </cell>
          <cell r="F243" t="str">
            <v>Khối 1 - TCT CNC</v>
          </cell>
          <cell r="G243" t="str">
            <v>Trung tâm Mô hình mô phỏng</v>
          </cell>
        </row>
        <row r="244">
          <cell r="B244" t="str">
            <v>216730</v>
          </cell>
          <cell r="C244" t="str">
            <v>Nguyễn Thành Nhơn</v>
          </cell>
          <cell r="D244" t="str">
            <v>Kỹ sư Thiết kế phần cứng</v>
          </cell>
          <cell r="E244" t="str">
            <v>Tổng công ty Công nghiệp Công nghệ cao Viettel</v>
          </cell>
          <cell r="F244" t="str">
            <v>Khối 1 - TCT CNC</v>
          </cell>
          <cell r="G244" t="str">
            <v>Trung tâm Mô hình mô phỏng</v>
          </cell>
        </row>
        <row r="245">
          <cell r="B245" t="str">
            <v>217257</v>
          </cell>
          <cell r="C245" t="str">
            <v>Vũ Anh Tuấn</v>
          </cell>
          <cell r="D245" t="str">
            <v>Kỹ sư Nghiên cứu thuật toán</v>
          </cell>
          <cell r="E245" t="str">
            <v>Tổng công ty Công nghiệp Công nghệ cao Viettel</v>
          </cell>
          <cell r="F245" t="str">
            <v>Khối 1 - TCT CNC</v>
          </cell>
          <cell r="G245" t="str">
            <v>Trung tâm Mô hình mô phỏng</v>
          </cell>
        </row>
        <row r="246">
          <cell r="B246" t="str">
            <v>218630</v>
          </cell>
          <cell r="C246" t="str">
            <v>Đoàn Văn Tới</v>
          </cell>
          <cell r="D246" t="str">
            <v>Kỹ sư Phát triển phần mềm</v>
          </cell>
          <cell r="E246" t="str">
            <v>Tổng công ty Công nghiệp Công nghệ cao Viettel</v>
          </cell>
          <cell r="F246" t="str">
            <v>Khối 1 - TCT CNC</v>
          </cell>
          <cell r="G246" t="str">
            <v>Trung tâm Mô hình mô phỏng</v>
          </cell>
        </row>
        <row r="247">
          <cell r="B247" t="str">
            <v>218632</v>
          </cell>
          <cell r="C247" t="str">
            <v>Nguyễn Văn Phương</v>
          </cell>
          <cell r="D247" t="str">
            <v>Kỹ sư Phát triển phần mềm</v>
          </cell>
          <cell r="E247" t="str">
            <v>Tổng công ty Công nghiệp Công nghệ cao Viettel</v>
          </cell>
          <cell r="F247" t="str">
            <v>Khối 1 - TCT CNC</v>
          </cell>
          <cell r="G247" t="str">
            <v>Trung tâm Mô hình mô phỏng</v>
          </cell>
        </row>
        <row r="248">
          <cell r="B248" t="str">
            <v>218774</v>
          </cell>
          <cell r="C248" t="str">
            <v>Hà Văn Đức</v>
          </cell>
          <cell r="D248" t="str">
            <v>Kỹ sư Phần mềm nhúng</v>
          </cell>
          <cell r="E248" t="str">
            <v>Tổng công ty Công nghiệp Công nghệ cao Viettel</v>
          </cell>
          <cell r="F248" t="str">
            <v>Khối 1 - TCT CNC</v>
          </cell>
          <cell r="G248" t="str">
            <v>Trung tâm Mô hình mô phỏng</v>
          </cell>
        </row>
        <row r="249">
          <cell r="B249" t="str">
            <v>219545</v>
          </cell>
          <cell r="C249" t="str">
            <v>Nguyễn Hải Anh</v>
          </cell>
          <cell r="D249" t="str">
            <v>Kỹ sư Toán động lực học</v>
          </cell>
          <cell r="E249" t="str">
            <v>Tổng công ty Công nghiệp Công nghệ cao Viettel</v>
          </cell>
          <cell r="F249" t="str">
            <v>Khối 1 - TCT CNC</v>
          </cell>
          <cell r="G249" t="str">
            <v>Trung tâm Mô hình mô phỏng</v>
          </cell>
        </row>
        <row r="250">
          <cell r="B250" t="str">
            <v>219560</v>
          </cell>
          <cell r="C250" t="str">
            <v>Nguyễn Nho Quốc Việt</v>
          </cell>
          <cell r="D250" t="str">
            <v>Kỹ sư Phát triển phần mềm</v>
          </cell>
          <cell r="E250" t="str">
            <v>Tổng công ty Công nghiệp Công nghệ cao Viettel</v>
          </cell>
          <cell r="F250" t="str">
            <v>Khối 1 - TCT CNC</v>
          </cell>
          <cell r="G250" t="str">
            <v>Trung tâm Mô hình mô phỏng</v>
          </cell>
        </row>
        <row r="251">
          <cell r="B251" t="str">
            <v>222718</v>
          </cell>
          <cell r="C251" t="str">
            <v>Nguyễn Ngọc Quyết</v>
          </cell>
          <cell r="D251" t="str">
            <v>Kỹ sư Thiết kế phần mềm</v>
          </cell>
          <cell r="E251" t="str">
            <v>Tổng công ty Công nghiệp Công nghệ cao Viettel</v>
          </cell>
          <cell r="F251" t="str">
            <v>Khối 1 - TCT CNC</v>
          </cell>
          <cell r="G251" t="str">
            <v>Trung tâm Mô hình mô phỏng</v>
          </cell>
        </row>
        <row r="252">
          <cell r="B252" t="str">
            <v>222725</v>
          </cell>
          <cell r="C252" t="str">
            <v>Nguyễn Hồng Phi</v>
          </cell>
          <cell r="D252" t="str">
            <v>Kỹ sư Thiết kế phần cứng</v>
          </cell>
          <cell r="E252" t="str">
            <v>Tổng công ty Công nghiệp Công nghệ cao Viettel</v>
          </cell>
          <cell r="F252" t="str">
            <v>Khối 1 - TCT CNC</v>
          </cell>
          <cell r="G252" t="str">
            <v>Trung tâm Mô hình mô phỏng</v>
          </cell>
        </row>
        <row r="253">
          <cell r="B253" t="str">
            <v>229088</v>
          </cell>
          <cell r="C253" t="str">
            <v>Nguyễn Tùng Lâm</v>
          </cell>
          <cell r="D253" t="str">
            <v>Kỹ sư Phát triển phần mềm</v>
          </cell>
          <cell r="E253" t="str">
            <v>Tổng công ty Công nghiệp Công nghệ cao Viettel</v>
          </cell>
          <cell r="F253" t="str">
            <v>Khối 1 - TCT CNC</v>
          </cell>
          <cell r="G253" t="str">
            <v>Trung tâm Mô hình mô phỏng</v>
          </cell>
        </row>
        <row r="254">
          <cell r="B254" t="str">
            <v>230147</v>
          </cell>
          <cell r="C254" t="str">
            <v>Nguyễn Đình Hà</v>
          </cell>
          <cell r="D254" t="str">
            <v>Kỹ sư Phát triển phần mềm</v>
          </cell>
          <cell r="E254" t="str">
            <v>Tổng công ty Công nghiệp Công nghệ cao Viettel</v>
          </cell>
          <cell r="F254" t="str">
            <v>Khối 1 - TCT CNC</v>
          </cell>
          <cell r="G254" t="str">
            <v>Trung tâm Mô hình mô phỏng</v>
          </cell>
        </row>
        <row r="255">
          <cell r="B255" t="str">
            <v>233755</v>
          </cell>
          <cell r="C255" t="str">
            <v>Hoàng Kim Đức</v>
          </cell>
          <cell r="D255" t="str">
            <v>Kỹ sư Phát triển phần mềm</v>
          </cell>
          <cell r="E255" t="str">
            <v>Tổng công ty Công nghiệp Công nghệ cao Viettel</v>
          </cell>
          <cell r="F255" t="str">
            <v>Khối 1 - TCT CNC</v>
          </cell>
          <cell r="G255" t="str">
            <v>Trung tâm Mô hình mô phỏng</v>
          </cell>
        </row>
        <row r="256">
          <cell r="B256" t="str">
            <v>235301</v>
          </cell>
          <cell r="C256" t="str">
            <v>Trần Đức Long</v>
          </cell>
          <cell r="D256" t="str">
            <v>Kỹ sư Thiết kế phần mềm</v>
          </cell>
          <cell r="E256" t="str">
            <v>Tổng công ty Công nghiệp Công nghệ cao Viettel</v>
          </cell>
          <cell r="F256" t="str">
            <v>Khối 1 - TCT CNC</v>
          </cell>
          <cell r="G256" t="str">
            <v>Trung tâm Mô hình mô phỏng</v>
          </cell>
        </row>
        <row r="257">
          <cell r="B257" t="str">
            <v>239036</v>
          </cell>
          <cell r="C257" t="str">
            <v>Đào Huy Thương</v>
          </cell>
          <cell r="D257" t="str">
            <v>Kỹ sư Toán động lực học</v>
          </cell>
          <cell r="E257" t="str">
            <v>Tổng công ty Công nghiệp Công nghệ cao Viettel</v>
          </cell>
          <cell r="F257" t="str">
            <v>Khối 1 - TCT CNC</v>
          </cell>
          <cell r="G257" t="str">
            <v>Trung tâm Mô hình mô phỏng</v>
          </cell>
        </row>
        <row r="258">
          <cell r="B258" t="str">
            <v>241051</v>
          </cell>
          <cell r="C258" t="str">
            <v>Đỗ Minh Thắng</v>
          </cell>
          <cell r="D258" t="str">
            <v>Kỹ sư Cơ khí</v>
          </cell>
          <cell r="E258" t="str">
            <v>Tổng công ty Công nghiệp Công nghệ cao Viettel</v>
          </cell>
          <cell r="F258" t="str">
            <v>Khối 1 - TCT CNC</v>
          </cell>
          <cell r="G258" t="str">
            <v>Trung tâm Mô hình mô phỏng</v>
          </cell>
        </row>
        <row r="259">
          <cell r="B259" t="str">
            <v>242653</v>
          </cell>
          <cell r="C259" t="str">
            <v>Nguyễn Thị Thủy</v>
          </cell>
          <cell r="D259" t="str">
            <v>Kỹ sư Toán động lực học</v>
          </cell>
          <cell r="E259" t="str">
            <v>Tổng công ty Công nghiệp Công nghệ cao Viettel</v>
          </cell>
          <cell r="F259" t="str">
            <v>Khối 1 - TCT CNC</v>
          </cell>
          <cell r="G259" t="str">
            <v>Trung tâm Mô hình mô phỏng</v>
          </cell>
        </row>
        <row r="260">
          <cell r="B260" t="str">
            <v>243864</v>
          </cell>
          <cell r="C260" t="str">
            <v>Ngô Văn Năng</v>
          </cell>
          <cell r="D260" t="str">
            <v>Kỹ sư Phát triển phần mềm</v>
          </cell>
          <cell r="E260" t="str">
            <v>Tổng công ty Công nghiệp Công nghệ cao Viettel</v>
          </cell>
          <cell r="F260" t="str">
            <v>Khối 1 - TCT CNC</v>
          </cell>
          <cell r="G260" t="str">
            <v>Trung tâm Mô hình mô phỏng</v>
          </cell>
        </row>
        <row r="261">
          <cell r="B261" t="str">
            <v>245315</v>
          </cell>
          <cell r="C261" t="str">
            <v>Nguyễn Quang Trung</v>
          </cell>
          <cell r="D261" t="str">
            <v>Kỹ sư Thiết kế đồ họa mô phỏng</v>
          </cell>
          <cell r="E261" t="str">
            <v>Tổng công ty Công nghiệp Công nghệ cao Viettel</v>
          </cell>
          <cell r="F261" t="str">
            <v>Khối 1 - TCT CNC</v>
          </cell>
          <cell r="G261" t="str">
            <v>Trung tâm Mô hình mô phỏng</v>
          </cell>
        </row>
        <row r="262">
          <cell r="B262" t="str">
            <v>246220</v>
          </cell>
          <cell r="C262" t="str">
            <v>Trần Văn Đức</v>
          </cell>
          <cell r="D262" t="str">
            <v>Kỹ sư Toán động lực học</v>
          </cell>
          <cell r="E262" t="str">
            <v>Tổng công ty Công nghiệp Công nghệ cao Viettel</v>
          </cell>
          <cell r="F262" t="str">
            <v>Khối 1 - TCT CNC</v>
          </cell>
          <cell r="G262" t="str">
            <v>Trung tâm Mô hình mô phỏng</v>
          </cell>
        </row>
        <row r="263">
          <cell r="B263" t="str">
            <v>246816</v>
          </cell>
          <cell r="C263" t="str">
            <v>Phùng Văn Lực</v>
          </cell>
          <cell r="D263" t="str">
            <v>Kỹ sư Cơ khí</v>
          </cell>
          <cell r="E263" t="str">
            <v>Tổng công ty Công nghiệp Công nghệ cao Viettel</v>
          </cell>
          <cell r="F263" t="str">
            <v>Khối 1 - TCT CNC</v>
          </cell>
          <cell r="G263" t="str">
            <v>Trung tâm Mô hình mô phỏng</v>
          </cell>
        </row>
        <row r="264">
          <cell r="B264" t="str">
            <v>247600</v>
          </cell>
          <cell r="C264" t="str">
            <v>Nguyễn Văn Thiết</v>
          </cell>
          <cell r="D264" t="str">
            <v>Kỹ sư Thiết kế đồ họa mô phỏng</v>
          </cell>
          <cell r="E264" t="str">
            <v>Tổng công ty Công nghiệp Công nghệ cao Viettel</v>
          </cell>
          <cell r="F264" t="str">
            <v>Khối 1 - TCT CNC</v>
          </cell>
          <cell r="G264" t="str">
            <v>Trung tâm Mô hình mô phỏng</v>
          </cell>
        </row>
        <row r="265">
          <cell r="B265" t="str">
            <v>249339</v>
          </cell>
          <cell r="C265" t="str">
            <v>Cao Xuân Cảnh</v>
          </cell>
          <cell r="D265" t="str">
            <v>Kỹ sư Toán động lực học</v>
          </cell>
          <cell r="E265" t="str">
            <v>Tổng công ty Công nghiệp Công nghệ cao Viettel</v>
          </cell>
          <cell r="F265" t="str">
            <v>Khối 1 - TCT CNC</v>
          </cell>
          <cell r="G265" t="str">
            <v>Trung tâm Mô hình mô phỏng</v>
          </cell>
        </row>
        <row r="266">
          <cell r="B266" t="str">
            <v>266848</v>
          </cell>
          <cell r="C266" t="str">
            <v>Ngô Hải Linh</v>
          </cell>
          <cell r="D266" t="str">
            <v>Kỹ sư Nghiên cứu thuật toán</v>
          </cell>
          <cell r="E266" t="str">
            <v>Tổng công ty Công nghiệp Công nghệ cao Viettel</v>
          </cell>
          <cell r="F266" t="str">
            <v>Khối 1 - TCT CNC</v>
          </cell>
          <cell r="G266" t="str">
            <v>Trung tâm Mô hình mô phỏng</v>
          </cell>
        </row>
        <row r="267">
          <cell r="B267" t="str">
            <v>275817</v>
          </cell>
          <cell r="C267" t="str">
            <v>Dương Văn Ngọc</v>
          </cell>
          <cell r="D267" t="str">
            <v>Kỹ sư Nghiên cứu thuật toán</v>
          </cell>
          <cell r="E267" t="str">
            <v>Tổng công ty Công nghiệp Công nghệ cao Viettel</v>
          </cell>
          <cell r="F267" t="str">
            <v>Khối 1 - TCT CNC</v>
          </cell>
          <cell r="G267" t="str">
            <v>Trung tâm Mô hình mô phỏng</v>
          </cell>
        </row>
        <row r="268">
          <cell r="B268" t="str">
            <v>284966</v>
          </cell>
          <cell r="C268" t="str">
            <v>Đặng Thị Phương Thảo</v>
          </cell>
          <cell r="D268" t="str">
            <v>Kỹ sư Phân tích nghiệp vụ</v>
          </cell>
          <cell r="E268" t="str">
            <v>Tổng công ty Công nghiệp Công nghệ cao Viettel</v>
          </cell>
          <cell r="F268" t="str">
            <v>Khối 1 - TCT CNC</v>
          </cell>
          <cell r="G268" t="str">
            <v>Trung tâm Mô hình mô phỏng</v>
          </cell>
        </row>
        <row r="269">
          <cell r="B269" t="str">
            <v>292561</v>
          </cell>
          <cell r="C269" t="str">
            <v>Hoàng Văn Hiếu</v>
          </cell>
          <cell r="D269" t="str">
            <v>Kỹ sư Cơ khí</v>
          </cell>
          <cell r="E269" t="str">
            <v>Tổng công ty Công nghiệp Công nghệ cao Viettel</v>
          </cell>
          <cell r="F269" t="str">
            <v>Khối 1 - TCT CNC</v>
          </cell>
          <cell r="G269" t="str">
            <v>Trung tâm Mô hình mô phỏng</v>
          </cell>
        </row>
        <row r="270">
          <cell r="B270" t="str">
            <v>428553</v>
          </cell>
          <cell r="C270" t="str">
            <v>Nguyễn Hồng Hải</v>
          </cell>
          <cell r="D270" t="str">
            <v>Kỹ sư Thiết kế phần mềm</v>
          </cell>
          <cell r="E270" t="str">
            <v>Tổng công ty Công nghiệp Công nghệ cao Viettel</v>
          </cell>
          <cell r="F270" t="str">
            <v>Khối 1 - TCT CNC</v>
          </cell>
          <cell r="G270" t="str">
            <v>Trung tâm Mô hình mô phỏng</v>
          </cell>
        </row>
        <row r="271">
          <cell r="B271" t="str">
            <v>431577</v>
          </cell>
          <cell r="C271" t="str">
            <v>Nguyễn Thị Thúy Hân</v>
          </cell>
          <cell r="D271" t="str">
            <v>Kỹ sư Thiết kế đồ họa mô phỏng</v>
          </cell>
          <cell r="E271" t="str">
            <v>Tổng công ty Công nghiệp Công nghệ cao Viettel</v>
          </cell>
          <cell r="F271" t="str">
            <v>Khối 1 - TCT CNC</v>
          </cell>
          <cell r="G271" t="str">
            <v>Trung tâm Mô hình mô phỏng</v>
          </cell>
        </row>
        <row r="272">
          <cell r="B272" t="str">
            <v>434751</v>
          </cell>
          <cell r="C272" t="str">
            <v>Trần Việt Thắng</v>
          </cell>
          <cell r="D272" t="str">
            <v>Kỹ sư Toán động lực học</v>
          </cell>
          <cell r="E272" t="str">
            <v>Tổng công ty Công nghiệp Công nghệ cao Viettel</v>
          </cell>
          <cell r="F272" t="str">
            <v>Khối 1 - TCT CNC</v>
          </cell>
          <cell r="G272" t="str">
            <v>Trung tâm Mô hình mô phỏng</v>
          </cell>
        </row>
        <row r="273">
          <cell r="B273" t="str">
            <v>434893</v>
          </cell>
          <cell r="C273" t="str">
            <v>Lê Nhật Minh</v>
          </cell>
          <cell r="D273" t="str">
            <v>Kỹ sư Trí tuệ nhân tạo</v>
          </cell>
          <cell r="E273" t="str">
            <v>Tổng công ty Công nghiệp Công nghệ cao Viettel</v>
          </cell>
          <cell r="F273" t="str">
            <v>Khối 1 - TCT CNC</v>
          </cell>
          <cell r="G273" t="str">
            <v>Trung tâm Mô hình mô phỏng</v>
          </cell>
        </row>
        <row r="274">
          <cell r="B274" t="str">
            <v>434894</v>
          </cell>
          <cell r="C274" t="str">
            <v>Nguyễn Hoàng Vũ</v>
          </cell>
          <cell r="D274" t="str">
            <v>Kỹ sư Trí tuệ nhân tạo</v>
          </cell>
          <cell r="E274" t="str">
            <v>Tổng công ty Công nghiệp Công nghệ cao Viettel</v>
          </cell>
          <cell r="F274" t="str">
            <v>Khối 1 - TCT CNC</v>
          </cell>
          <cell r="G274" t="str">
            <v>Trung tâm Mô hình mô phỏng</v>
          </cell>
        </row>
        <row r="275">
          <cell r="B275" t="str">
            <v>439032</v>
          </cell>
          <cell r="C275" t="str">
            <v>Phạm Quang Tiến</v>
          </cell>
          <cell r="D275" t="str">
            <v>Kỹ sư Nghiên cứu thuật toán</v>
          </cell>
          <cell r="E275" t="str">
            <v>Tổng công ty Công nghiệp Công nghệ cao Viettel</v>
          </cell>
          <cell r="F275" t="str">
            <v>Khối 1 - TCT CNC</v>
          </cell>
          <cell r="G275" t="str">
            <v>Trung tâm Mô hình mô phỏng</v>
          </cell>
        </row>
        <row r="276">
          <cell r="B276" t="str">
            <v>440651</v>
          </cell>
          <cell r="C276" t="str">
            <v>Nguyễn Viết Nam</v>
          </cell>
          <cell r="D276" t="str">
            <v>Kỹ sư Phát triển phần mềm</v>
          </cell>
          <cell r="E276" t="str">
            <v>Tổng công ty Công nghiệp Công nghệ cao Viettel</v>
          </cell>
          <cell r="F276" t="str">
            <v>Khối 1 - TCT CNC</v>
          </cell>
          <cell r="G276" t="str">
            <v>Trung tâm Mô hình mô phỏng</v>
          </cell>
        </row>
        <row r="277">
          <cell r="B277" t="str">
            <v>441033</v>
          </cell>
          <cell r="C277" t="str">
            <v>Nguyễn Thị Thu Huệ</v>
          </cell>
          <cell r="D277" t="str">
            <v>Kỹ sư Phân tích nghiệp vụ</v>
          </cell>
          <cell r="E277" t="str">
            <v>Tổng công ty Công nghiệp Công nghệ cao Viettel</v>
          </cell>
          <cell r="F277" t="str">
            <v>Khối 1 - TCT CNC</v>
          </cell>
          <cell r="G277" t="str">
            <v>Trung tâm Mô hình mô phỏng</v>
          </cell>
        </row>
        <row r="278">
          <cell r="B278" t="str">
            <v>448229</v>
          </cell>
          <cell r="C278" t="str">
            <v>Trần Ngọc Anh</v>
          </cell>
          <cell r="D278" t="str">
            <v>Kỹ sư Phần mềm mô hình mô phỏng</v>
          </cell>
          <cell r="E278" t="str">
            <v>Tổng công ty Công nghiệp Công nghệ cao Viettel</v>
          </cell>
          <cell r="F278" t="str">
            <v>Khối 1 - TCT CNC</v>
          </cell>
          <cell r="G278" t="str">
            <v>Trung tâm Mô hình mô phỏng</v>
          </cell>
        </row>
        <row r="279">
          <cell r="B279" t="str">
            <v>452779</v>
          </cell>
          <cell r="C279" t="str">
            <v>Nguyễn Danh Nam</v>
          </cell>
          <cell r="D279" t="str">
            <v>Kỹ sư Toán động lực học</v>
          </cell>
          <cell r="E279" t="str">
            <v>Tổng công ty Công nghiệp Công nghệ cao Viettel</v>
          </cell>
          <cell r="F279" t="str">
            <v>Khối 1 - TCT CNC</v>
          </cell>
          <cell r="G279" t="str">
            <v>Trung tâm Mô hình mô phỏng</v>
          </cell>
        </row>
        <row r="280">
          <cell r="B280" t="str">
            <v>452783</v>
          </cell>
          <cell r="C280" t="str">
            <v>Phùng Hải Nguyên</v>
          </cell>
          <cell r="D280" t="str">
            <v>Kỹ sư Phát triển phần mềm</v>
          </cell>
          <cell r="E280" t="str">
            <v>Tổng công ty Công nghiệp Công nghệ cao Viettel</v>
          </cell>
          <cell r="F280" t="str">
            <v>Khối 1 - TCT CNC</v>
          </cell>
          <cell r="G280" t="str">
            <v>Trung tâm Mô hình mô phỏng</v>
          </cell>
        </row>
        <row r="281">
          <cell r="B281" t="str">
            <v>453245</v>
          </cell>
          <cell r="C281" t="str">
            <v>Phạm Thanh Tùng</v>
          </cell>
          <cell r="D281" t="str">
            <v>Kỹ sư Phát triển phần mềm</v>
          </cell>
          <cell r="E281" t="str">
            <v>Tổng công ty Công nghiệp Công nghệ cao Viettel</v>
          </cell>
          <cell r="F281" t="str">
            <v>Khối 1 - TCT CNC</v>
          </cell>
          <cell r="G281" t="str">
            <v>Trung tâm Mô hình mô phỏng</v>
          </cell>
        </row>
        <row r="282">
          <cell r="B282" t="str">
            <v>454895</v>
          </cell>
          <cell r="C282" t="str">
            <v>Đào Quang Nhật</v>
          </cell>
          <cell r="D282" t="str">
            <v>Kỹ sư Phát triển phần mềm</v>
          </cell>
          <cell r="E282" t="str">
            <v>Tổng công ty Công nghiệp Công nghệ cao Viettel</v>
          </cell>
          <cell r="F282" t="str">
            <v>Khối 1 - TCT CNC</v>
          </cell>
          <cell r="G282" t="str">
            <v>Trung tâm Mô hình mô phỏng</v>
          </cell>
        </row>
        <row r="283">
          <cell r="B283" t="str">
            <v>458313</v>
          </cell>
          <cell r="C283" t="str">
            <v>Dương Minh Long</v>
          </cell>
          <cell r="D283" t="str">
            <v>Kỹ sư Phát triển phần mềm</v>
          </cell>
          <cell r="E283" t="str">
            <v>Tổng công ty Công nghiệp Công nghệ cao Viettel</v>
          </cell>
          <cell r="F283" t="str">
            <v>Khối 1 - TCT CNC</v>
          </cell>
          <cell r="G283" t="str">
            <v>Trung tâm Mô hình mô phỏng</v>
          </cell>
        </row>
        <row r="284">
          <cell r="B284" t="str">
            <v>459467</v>
          </cell>
          <cell r="C284" t="str">
            <v>Hoàng Thanh Tùng</v>
          </cell>
          <cell r="D284" t="str">
            <v>Kỹ sư Cơ khí</v>
          </cell>
          <cell r="E284" t="str">
            <v>Tổng công ty Công nghiệp Công nghệ cao Viettel</v>
          </cell>
          <cell r="F284" t="str">
            <v>Khối 1 - TCT CNC</v>
          </cell>
          <cell r="G284" t="str">
            <v>Trung tâm Mô hình mô phỏng</v>
          </cell>
        </row>
        <row r="285">
          <cell r="B285" t="str">
            <v>462359</v>
          </cell>
          <cell r="C285" t="str">
            <v>Nguyễn Đức Minh</v>
          </cell>
          <cell r="D285" t="str">
            <v>Kỹ sư Phần mềm nhúng</v>
          </cell>
          <cell r="E285" t="str">
            <v>Tổng công ty Công nghiệp Công nghệ cao Viettel</v>
          </cell>
          <cell r="F285" t="str">
            <v>Khối 1 - TCT CNC</v>
          </cell>
          <cell r="G285" t="str">
            <v>Trung tâm Mô hình mô phỏng</v>
          </cell>
        </row>
        <row r="286">
          <cell r="B286" t="str">
            <v>463703</v>
          </cell>
          <cell r="C286" t="str">
            <v>Nguyễn Quang Đông</v>
          </cell>
          <cell r="D286" t="str">
            <v>Kỹ sư Phát triển phần mềm</v>
          </cell>
          <cell r="E286" t="str">
            <v>Tổng công ty Công nghiệp Công nghệ cao Viettel</v>
          </cell>
          <cell r="F286" t="str">
            <v>Khối 1 - TCT CNC</v>
          </cell>
          <cell r="G286" t="str">
            <v>Trung tâm Mô hình mô phỏng</v>
          </cell>
        </row>
        <row r="287">
          <cell r="B287" t="str">
            <v>465133</v>
          </cell>
          <cell r="C287" t="str">
            <v>Đặng Đức Độ</v>
          </cell>
          <cell r="D287" t="str">
            <v>Kỹ sư Toán động lực học</v>
          </cell>
          <cell r="E287" t="str">
            <v>Tổng công ty Công nghiệp Công nghệ cao Viettel</v>
          </cell>
          <cell r="F287" t="str">
            <v>Khối 1 - TCT CNC</v>
          </cell>
          <cell r="G287" t="str">
            <v>Trung tâm Mô hình mô phỏng</v>
          </cell>
        </row>
        <row r="288">
          <cell r="B288" t="str">
            <v>465147</v>
          </cell>
          <cell r="C288" t="str">
            <v>Nguyễn Hữu Hưng</v>
          </cell>
          <cell r="D288" t="str">
            <v>Kỹ sư Nghiên cứu thuật toán</v>
          </cell>
          <cell r="E288" t="str">
            <v>Tổng công ty Công nghiệp Công nghệ cao Viettel</v>
          </cell>
          <cell r="F288" t="str">
            <v>Khối 1 - TCT CNC</v>
          </cell>
          <cell r="G288" t="str">
            <v>Trung tâm Mô hình mô phỏng</v>
          </cell>
        </row>
        <row r="289">
          <cell r="B289" t="str">
            <v>465151</v>
          </cell>
          <cell r="C289" t="str">
            <v>Phạm Vũ Khánh</v>
          </cell>
          <cell r="D289" t="str">
            <v>Kỹ sư Điều khiển tự động</v>
          </cell>
          <cell r="E289" t="str">
            <v>Tổng công ty Công nghiệp Công nghệ cao Viettel</v>
          </cell>
          <cell r="F289" t="str">
            <v>Khối 1 - TCT CNC</v>
          </cell>
          <cell r="G289" t="str">
            <v>Trung tâm Mô hình mô phỏng</v>
          </cell>
        </row>
        <row r="290">
          <cell r="B290" t="str">
            <v>467335</v>
          </cell>
          <cell r="C290" t="str">
            <v>Nguyễn Đình Hải</v>
          </cell>
          <cell r="D290" t="str">
            <v>Kỹ sư Điều khiển tự động</v>
          </cell>
          <cell r="E290" t="str">
            <v>Tổng công ty Công nghiệp Công nghệ cao Viettel</v>
          </cell>
          <cell r="F290" t="str">
            <v>Khối 1 - TCT CNC</v>
          </cell>
          <cell r="G290" t="str">
            <v>Trung tâm Mô hình mô phỏng</v>
          </cell>
        </row>
        <row r="291">
          <cell r="B291" t="str">
            <v>471789</v>
          </cell>
          <cell r="C291" t="str">
            <v>Nguyễn Khánh Huyền</v>
          </cell>
          <cell r="D291" t="str">
            <v>Kỹ sư Nghiên cứu thuật toán</v>
          </cell>
          <cell r="E291" t="str">
            <v>Tổng công ty Công nghiệp Công nghệ cao Viettel</v>
          </cell>
          <cell r="F291" t="str">
            <v>Khối 1 - TCT CNC</v>
          </cell>
          <cell r="G291" t="str">
            <v>Trung tâm Mô hình mô phỏng</v>
          </cell>
        </row>
        <row r="292">
          <cell r="B292" t="str">
            <v>476335</v>
          </cell>
          <cell r="C292" t="str">
            <v>Nguyễn Ngọc Thiện</v>
          </cell>
          <cell r="D292" t="str">
            <v>Kỹ sư Phát triển phần mềm</v>
          </cell>
          <cell r="E292" t="str">
            <v>Tổng công ty Công nghiệp Công nghệ cao Viettel</v>
          </cell>
          <cell r="F292" t="str">
            <v>Khối 1 - TCT CNC</v>
          </cell>
          <cell r="G292" t="str">
            <v>Trung tâm Mô hình mô phỏng</v>
          </cell>
        </row>
        <row r="293">
          <cell r="B293" t="str">
            <v>476637</v>
          </cell>
          <cell r="C293" t="str">
            <v>Cao Thành Trung</v>
          </cell>
          <cell r="D293" t="str">
            <v>Kỹ sư Toán động lực học</v>
          </cell>
          <cell r="E293" t="str">
            <v>Tổng công ty Công nghiệp Công nghệ cao Viettel</v>
          </cell>
          <cell r="F293" t="str">
            <v>Khối 1 - TCT CNC</v>
          </cell>
          <cell r="G293" t="str">
            <v>Trung tâm Mô hình mô phỏng</v>
          </cell>
        </row>
        <row r="294">
          <cell r="B294" t="str">
            <v>477463</v>
          </cell>
          <cell r="C294" t="str">
            <v>Trần Minh Hiển</v>
          </cell>
          <cell r="D294" t="str">
            <v>Kỹ sư Nghiên cứu thuật toán</v>
          </cell>
          <cell r="E294" t="str">
            <v>Tổng công ty Công nghiệp Công nghệ cao Viettel</v>
          </cell>
          <cell r="F294" t="str">
            <v>Khối 1 - TCT CNC</v>
          </cell>
          <cell r="G294" t="str">
            <v>Trung tâm Mô hình mô phỏng</v>
          </cell>
        </row>
        <row r="295">
          <cell r="B295" t="str">
            <v>003965</v>
          </cell>
          <cell r="C295" t="str">
            <v>Trần Trung Trực</v>
          </cell>
          <cell r="D295" t="str">
            <v>Giám đốc Trung tâm</v>
          </cell>
          <cell r="E295" t="str">
            <v>Tổng công ty Công nghiệp Công nghệ cao Viettel</v>
          </cell>
          <cell r="F295" t="str">
            <v>Khối 1 - TCT CNC</v>
          </cell>
          <cell r="G295" t="str">
            <v>Trung tâm Nghiên cứu giải pháp tích hợp công nghệ cao</v>
          </cell>
        </row>
        <row r="296">
          <cell r="B296" t="str">
            <v>151873</v>
          </cell>
          <cell r="C296" t="str">
            <v>Lê Mạnh Linh</v>
          </cell>
          <cell r="D296" t="str">
            <v>Kỹ sư chính điện-điều khiển</v>
          </cell>
          <cell r="E296" t="str">
            <v>Tổng công ty Công nghiệp Công nghệ cao Viettel</v>
          </cell>
          <cell r="F296" t="str">
            <v>Khối 1 - TCT CNC</v>
          </cell>
          <cell r="G296" t="str">
            <v>Trung tâm Nghiên cứu giải pháp tích hợp công nghệ cao</v>
          </cell>
        </row>
        <row r="297">
          <cell r="B297" t="str">
            <v>175936</v>
          </cell>
          <cell r="C297" t="str">
            <v>Nguyễn Thành Tiến</v>
          </cell>
          <cell r="D297" t="str">
            <v>Kỹ sư Thiết kế phần cứng</v>
          </cell>
          <cell r="E297" t="str">
            <v>Tổng công ty Công nghiệp Công nghệ cao Viettel</v>
          </cell>
          <cell r="F297" t="str">
            <v>Khối 1 - TCT CNC</v>
          </cell>
          <cell r="G297" t="str">
            <v>Trung tâm Nghiên cứu giải pháp tích hợp công nghệ cao</v>
          </cell>
        </row>
        <row r="298">
          <cell r="B298" t="str">
            <v>275819</v>
          </cell>
          <cell r="C298" t="str">
            <v>Nguyễn Hữu Hưng</v>
          </cell>
          <cell r="D298" t="str">
            <v>Kỹ sư Cơ khí</v>
          </cell>
          <cell r="E298" t="str">
            <v>Tổng công ty Công nghiệp Công nghệ cao Viettel</v>
          </cell>
          <cell r="F298" t="str">
            <v>Khối 1 - TCT CNC</v>
          </cell>
          <cell r="G298" t="str">
            <v>Trung tâm Nghiên cứu giải pháp tích hợp công nghệ cao</v>
          </cell>
        </row>
        <row r="299">
          <cell r="B299" t="str">
            <v>292558</v>
          </cell>
          <cell r="C299" t="str">
            <v>Nguyễn Chí Dũng</v>
          </cell>
          <cell r="D299" t="str">
            <v>Kỹ sư Điều khiển tự động</v>
          </cell>
          <cell r="E299" t="str">
            <v>Tổng công ty Công nghiệp Công nghệ cao Viettel</v>
          </cell>
          <cell r="F299" t="str">
            <v>Khối 1 - TCT CNC</v>
          </cell>
          <cell r="G299" t="str">
            <v>Trung tâm Nghiên cứu giải pháp tích hợp công nghệ cao</v>
          </cell>
        </row>
        <row r="300">
          <cell r="B300" t="str">
            <v>433270</v>
          </cell>
          <cell r="C300" t="str">
            <v>Vũ Minh Hiếu</v>
          </cell>
          <cell r="D300" t="str">
            <v>Kỹ sư Điều khiển tự động</v>
          </cell>
          <cell r="E300" t="str">
            <v>Tổng công ty Công nghiệp Công nghệ cao Viettel</v>
          </cell>
          <cell r="F300" t="str">
            <v>Khối 1 - TCT CNC</v>
          </cell>
          <cell r="G300" t="str">
            <v>Trung tâm Nghiên cứu giải pháp tích hợp công nghệ cao</v>
          </cell>
        </row>
        <row r="301">
          <cell r="B301" t="str">
            <v>436204</v>
          </cell>
          <cell r="C301" t="str">
            <v>Nguyễn Văn Trung</v>
          </cell>
          <cell r="D301" t="str">
            <v>Kỹ sư Cơ khí</v>
          </cell>
          <cell r="E301" t="str">
            <v>Tổng công ty Công nghiệp Công nghệ cao Viettel</v>
          </cell>
          <cell r="F301" t="str">
            <v>Khối 1 - TCT CNC</v>
          </cell>
          <cell r="G301" t="str">
            <v>Trung tâm Nghiên cứu giải pháp tích hợp công nghệ cao</v>
          </cell>
        </row>
        <row r="302">
          <cell r="B302" t="str">
            <v>439911</v>
          </cell>
          <cell r="C302" t="str">
            <v>Nguyễn Tiến Quân</v>
          </cell>
          <cell r="D302" t="str">
            <v>Kỹ sư Điều khiển tự động</v>
          </cell>
          <cell r="E302" t="str">
            <v>Tổng công ty Công nghiệp Công nghệ cao Viettel</v>
          </cell>
          <cell r="F302" t="str">
            <v>Khối 1 - TCT CNC</v>
          </cell>
          <cell r="G302" t="str">
            <v>Trung tâm Nghiên cứu giải pháp tích hợp công nghệ cao</v>
          </cell>
        </row>
        <row r="303">
          <cell r="B303" t="str">
            <v>441446</v>
          </cell>
          <cell r="C303" t="str">
            <v>Đặng Công Mạnh</v>
          </cell>
          <cell r="D303" t="str">
            <v>Kỹ sư Cơ khí</v>
          </cell>
          <cell r="E303" t="str">
            <v>Tổng công ty Công nghiệp Công nghệ cao Viettel</v>
          </cell>
          <cell r="F303" t="str">
            <v>Khối 1 - TCT CNC</v>
          </cell>
          <cell r="G303" t="str">
            <v>Trung tâm Nghiên cứu giải pháp tích hợp công nghệ cao</v>
          </cell>
        </row>
        <row r="304">
          <cell r="B304" t="str">
            <v>444052</v>
          </cell>
          <cell r="C304" t="str">
            <v>Nguyễn Huy Hoàng</v>
          </cell>
          <cell r="D304" t="str">
            <v>Kỹ sư Điều khiển tự động</v>
          </cell>
          <cell r="E304" t="str">
            <v>Tổng công ty Công nghiệp Công nghệ cao Viettel</v>
          </cell>
          <cell r="F304" t="str">
            <v>Khối 1 - TCT CNC</v>
          </cell>
          <cell r="G304" t="str">
            <v>Trung tâm Nghiên cứu giải pháp tích hợp công nghệ cao</v>
          </cell>
        </row>
        <row r="305">
          <cell r="B305" t="str">
            <v>446143</v>
          </cell>
          <cell r="C305" t="str">
            <v>Lý Hồng Thắng</v>
          </cell>
          <cell r="D305" t="str">
            <v>Kỹ sư Cơ khí</v>
          </cell>
          <cell r="E305" t="str">
            <v>Tổng công ty Công nghiệp Công nghệ cao Viettel</v>
          </cell>
          <cell r="F305" t="str">
            <v>Khối 1 - TCT CNC</v>
          </cell>
          <cell r="G305" t="str">
            <v>Trung tâm Nghiên cứu giải pháp tích hợp công nghệ cao</v>
          </cell>
        </row>
        <row r="306">
          <cell r="B306" t="str">
            <v>449871</v>
          </cell>
          <cell r="C306" t="str">
            <v>Phùng Hoài Nam</v>
          </cell>
          <cell r="D306" t="str">
            <v>Kỹ sư Phần mềm nhúng</v>
          </cell>
          <cell r="E306" t="str">
            <v>Tổng công ty Công nghiệp Công nghệ cao Viettel</v>
          </cell>
          <cell r="F306" t="str">
            <v>Khối 1 - TCT CNC</v>
          </cell>
          <cell r="G306" t="str">
            <v>Trung tâm Nghiên cứu giải pháp tích hợp công nghệ cao</v>
          </cell>
        </row>
        <row r="307">
          <cell r="B307" t="str">
            <v>459283</v>
          </cell>
          <cell r="C307" t="str">
            <v>Nguyễn Hữu Nghiệp</v>
          </cell>
          <cell r="D307" t="str">
            <v>Kỹ sư Điều khiển tự động</v>
          </cell>
          <cell r="E307" t="str">
            <v>Tổng công ty Công nghiệp Công nghệ cao Viettel</v>
          </cell>
          <cell r="F307" t="str">
            <v>Khối 1 - TCT CNC</v>
          </cell>
          <cell r="G307" t="str">
            <v>Trung tâm Nghiên cứu giải pháp tích hợp công nghệ cao</v>
          </cell>
        </row>
        <row r="308">
          <cell r="B308" t="str">
            <v>459883</v>
          </cell>
          <cell r="C308" t="str">
            <v>Bùi Đức Tâm</v>
          </cell>
          <cell r="D308" t="str">
            <v>Kỹ sư Điều khiển tự động</v>
          </cell>
          <cell r="E308" t="str">
            <v>Tổng công ty Công nghiệp Công nghệ cao Viettel</v>
          </cell>
          <cell r="F308" t="str">
            <v>Khối 1 - TCT CNC</v>
          </cell>
          <cell r="G308" t="str">
            <v>Trung tâm Nghiên cứu giải pháp tích hợp công nghệ cao</v>
          </cell>
        </row>
        <row r="309">
          <cell r="B309" t="str">
            <v>460823</v>
          </cell>
          <cell r="C309" t="str">
            <v>Lê Đức Mạnh</v>
          </cell>
          <cell r="D309" t="str">
            <v>Kỹ sư Cơ khí</v>
          </cell>
          <cell r="E309" t="str">
            <v>Tổng công ty Công nghiệp Công nghệ cao Viettel</v>
          </cell>
          <cell r="F309" t="str">
            <v>Khối 1 - TCT CNC</v>
          </cell>
          <cell r="G309" t="str">
            <v>Trung tâm Nghiên cứu giải pháp tích hợp công nghệ cao</v>
          </cell>
        </row>
        <row r="310">
          <cell r="B310" t="str">
            <v>470709</v>
          </cell>
          <cell r="C310" t="str">
            <v>Nguyễn Văn Minh</v>
          </cell>
          <cell r="D310" t="str">
            <v>Kỹ sư Phần mềm nhúng</v>
          </cell>
          <cell r="E310" t="str">
            <v>Tổng công ty Công nghiệp Công nghệ cao Viettel</v>
          </cell>
          <cell r="F310" t="str">
            <v>Khối 1 - TCT CNC</v>
          </cell>
          <cell r="G310" t="str">
            <v>Trung tâm Nghiên cứu giải pháp tích hợp công nghệ cao</v>
          </cell>
        </row>
        <row r="311">
          <cell r="B311" t="str">
            <v>474099</v>
          </cell>
          <cell r="C311" t="str">
            <v>Đinh Hữu Thành</v>
          </cell>
          <cell r="D311" t="str">
            <v>Kỹ sư Điều khiển tự động</v>
          </cell>
          <cell r="E311" t="str">
            <v>Tổng công ty Công nghiệp Công nghệ cao Viettel</v>
          </cell>
          <cell r="F311" t="str">
            <v>Khối 1 - TCT CNC</v>
          </cell>
          <cell r="G311" t="str">
            <v>Trung tâm Nghiên cứu giải pháp tích hợp công nghệ cao</v>
          </cell>
        </row>
        <row r="312">
          <cell r="B312" t="str">
            <v>475173</v>
          </cell>
          <cell r="C312" t="str">
            <v>Nguyễn Xuân Quý</v>
          </cell>
          <cell r="D312" t="str">
            <v>Kỹ sư Cơ khí</v>
          </cell>
          <cell r="E312" t="str">
            <v>Tổng công ty Công nghiệp Công nghệ cao Viettel</v>
          </cell>
          <cell r="F312" t="str">
            <v>Khối 1 - TCT CNC</v>
          </cell>
          <cell r="G312" t="str">
            <v>Trung tâm Nghiên cứu giải pháp tích hợp công nghệ cao</v>
          </cell>
        </row>
        <row r="313">
          <cell r="B313" t="str">
            <v>475805</v>
          </cell>
          <cell r="C313" t="str">
            <v>Nguyễn Văn Dân</v>
          </cell>
          <cell r="D313" t="str">
            <v>Kỹ sư Điều khiển tự động</v>
          </cell>
          <cell r="E313" t="str">
            <v>Tổng công ty Công nghiệp Công nghệ cao Viettel</v>
          </cell>
          <cell r="F313" t="str">
            <v>Khối 1 - TCT CNC</v>
          </cell>
          <cell r="G313" t="str">
            <v>Trung tâm Nghiên cứu giải pháp tích hợp công nghệ cao</v>
          </cell>
        </row>
        <row r="314">
          <cell r="B314" t="str">
            <v>045090</v>
          </cell>
          <cell r="C314" t="str">
            <v>Nguyễn Văn Hải</v>
          </cell>
          <cell r="D314" t="str">
            <v>Giám đốc Trung tâm</v>
          </cell>
          <cell r="E314" t="str">
            <v>Tổng công ty Công nghiệp Công nghệ cao Viettel</v>
          </cell>
          <cell r="F314" t="str">
            <v>Khối 1 - TCT CNC</v>
          </cell>
          <cell r="G314" t="str">
            <v>Trung tâm Quang điện tử</v>
          </cell>
        </row>
        <row r="315">
          <cell r="B315" t="str">
            <v>056921</v>
          </cell>
          <cell r="C315" t="str">
            <v>Ngô Quang Huy</v>
          </cell>
          <cell r="D315" t="str">
            <v>Kỹ sư Thiết kế hệ thống</v>
          </cell>
          <cell r="E315" t="str">
            <v>Tổng công ty Công nghiệp Công nghệ cao Viettel</v>
          </cell>
          <cell r="F315" t="str">
            <v>Khối 1 - TCT CNC</v>
          </cell>
          <cell r="G315" t="str">
            <v>Trung tâm Quang điện tử</v>
          </cell>
        </row>
        <row r="316">
          <cell r="B316" t="str">
            <v>135650</v>
          </cell>
          <cell r="C316" t="str">
            <v>Nguyễn Văn Mạnh</v>
          </cell>
          <cell r="D316" t="str">
            <v>Kỹ sư chính hệ thống</v>
          </cell>
          <cell r="E316" t="str">
            <v>Tổng công ty Công nghiệp Công nghệ cao Viettel</v>
          </cell>
          <cell r="F316" t="str">
            <v>Khối 1 - TCT CNC</v>
          </cell>
          <cell r="G316" t="str">
            <v>Trung tâm Quang điện tử</v>
          </cell>
        </row>
        <row r="317">
          <cell r="B317" t="str">
            <v>148777</v>
          </cell>
          <cell r="C317" t="str">
            <v>Tạ Hồng Nam</v>
          </cell>
          <cell r="D317" t="str">
            <v>Phó Giám đốc Trung tâm</v>
          </cell>
          <cell r="E317" t="str">
            <v>Tổng công ty Công nghiệp Công nghệ cao Viettel</v>
          </cell>
          <cell r="F317" t="str">
            <v>Khối 1 - TCT CNC</v>
          </cell>
          <cell r="G317" t="str">
            <v>Trung tâm Quang điện tử</v>
          </cell>
        </row>
        <row r="318">
          <cell r="B318" t="str">
            <v>204902</v>
          </cell>
          <cell r="C318" t="str">
            <v>Vũ Quang Huy</v>
          </cell>
          <cell r="D318" t="str">
            <v>Trưởng phòng Xử lý tín hiệu hình ảnh thời gian thực</v>
          </cell>
          <cell r="E318" t="str">
            <v>Tổng công ty Công nghiệp Công nghệ cao Viettel</v>
          </cell>
          <cell r="F318" t="str">
            <v>Khối 1 - TCT CNC</v>
          </cell>
          <cell r="G318" t="str">
            <v>Trung tâm Quang điện tử</v>
          </cell>
        </row>
        <row r="319">
          <cell r="B319" t="str">
            <v>205108</v>
          </cell>
          <cell r="C319" t="str">
            <v>Quế Đại Cường</v>
          </cell>
          <cell r="D319" t="str">
            <v>Kỹ sư Cơ khí chính xác</v>
          </cell>
          <cell r="E319" t="str">
            <v>Tổng công ty Công nghiệp Công nghệ cao Viettel</v>
          </cell>
          <cell r="F319" t="str">
            <v>Khối 1 - TCT CNC</v>
          </cell>
          <cell r="G319" t="str">
            <v>Trung tâm Quang điện tử</v>
          </cell>
        </row>
        <row r="320">
          <cell r="B320" t="str">
            <v>207125</v>
          </cell>
          <cell r="C320" t="str">
            <v>Hoàng Minh Anh</v>
          </cell>
          <cell r="D320" t="str">
            <v>Trưởng phòng</v>
          </cell>
          <cell r="E320" t="str">
            <v>Tổng công ty Công nghiệp Công nghệ cao Viettel</v>
          </cell>
          <cell r="F320" t="str">
            <v>Khối 1 - TCT CNC</v>
          </cell>
          <cell r="G320" t="str">
            <v>Trung tâm Quang điện tử</v>
          </cell>
        </row>
        <row r="321">
          <cell r="B321" t="str">
            <v>207633</v>
          </cell>
          <cell r="C321" t="str">
            <v>Nguyễn Đăng Bản</v>
          </cell>
          <cell r="D321" t="str">
            <v>Trưởng phòng Điều khiển ổn định quán tính</v>
          </cell>
          <cell r="E321" t="str">
            <v>Tổng công ty Công nghiệp Công nghệ cao Viettel</v>
          </cell>
          <cell r="F321" t="str">
            <v>Khối 1 - TCT CNC</v>
          </cell>
          <cell r="G321" t="str">
            <v>Trung tâm Quang điện tử</v>
          </cell>
        </row>
        <row r="322">
          <cell r="B322" t="str">
            <v>207660</v>
          </cell>
          <cell r="C322" t="str">
            <v>Đặng Xuân Du</v>
          </cell>
          <cell r="D322" t="str">
            <v>Kỹ sư Quang học</v>
          </cell>
          <cell r="E322" t="str">
            <v>Tổng công ty Công nghiệp Công nghệ cao Viettel</v>
          </cell>
          <cell r="F322" t="str">
            <v>Khối 1 - TCT CNC</v>
          </cell>
          <cell r="G322" t="str">
            <v>Trung tâm Quang điện tử</v>
          </cell>
        </row>
        <row r="323">
          <cell r="B323" t="str">
            <v>212178</v>
          </cell>
          <cell r="C323" t="str">
            <v>Vũ Văn Tuấn</v>
          </cell>
          <cell r="D323" t="str">
            <v>Trưởng phòng Laser và cảm biến ảnh</v>
          </cell>
          <cell r="E323" t="str">
            <v>Tổng công ty Công nghiệp Công nghệ cao Viettel</v>
          </cell>
          <cell r="F323" t="str">
            <v>Khối 1 - TCT CNC</v>
          </cell>
          <cell r="G323" t="str">
            <v>Trung tâm Quang điện tử</v>
          </cell>
        </row>
        <row r="324">
          <cell r="B324" t="str">
            <v>215958</v>
          </cell>
          <cell r="C324" t="str">
            <v>Vũ Đức Thuận</v>
          </cell>
          <cell r="D324" t="str">
            <v>Kỹ sư Điều khiển tự động</v>
          </cell>
          <cell r="E324" t="str">
            <v>Tổng công ty Công nghiệp Công nghệ cao Viettel</v>
          </cell>
          <cell r="F324" t="str">
            <v>Khối 1 - TCT CNC</v>
          </cell>
          <cell r="G324" t="str">
            <v>Trung tâm Quang điện tử</v>
          </cell>
        </row>
        <row r="325">
          <cell r="B325" t="str">
            <v>215963</v>
          </cell>
          <cell r="C325" t="str">
            <v>Nguyễn Đức Hiệp</v>
          </cell>
          <cell r="D325" t="str">
            <v>Kỹ sư Điều khiển tự động</v>
          </cell>
          <cell r="E325" t="str">
            <v>Tổng công ty Công nghiệp Công nghệ cao Viettel</v>
          </cell>
          <cell r="F325" t="str">
            <v>Khối 1 - TCT CNC</v>
          </cell>
          <cell r="G325" t="str">
            <v>Trung tâm Quang điện tử</v>
          </cell>
        </row>
        <row r="326">
          <cell r="B326" t="str">
            <v>219357</v>
          </cell>
          <cell r="C326" t="str">
            <v>Vũ Thành Đạt</v>
          </cell>
          <cell r="D326" t="str">
            <v>Kỹ sư Quang học</v>
          </cell>
          <cell r="E326" t="str">
            <v>Tổng công ty Công nghiệp Công nghệ cao Viettel</v>
          </cell>
          <cell r="F326" t="str">
            <v>Khối 1 - TCT CNC</v>
          </cell>
          <cell r="G326" t="str">
            <v>Trung tâm Quang điện tử</v>
          </cell>
        </row>
        <row r="327">
          <cell r="B327" t="str">
            <v>230844</v>
          </cell>
          <cell r="C327" t="str">
            <v>Mai Văn Dũng</v>
          </cell>
          <cell r="D327" t="str">
            <v>Kỹ sư Thiết kế phần cứng</v>
          </cell>
          <cell r="E327" t="str">
            <v>Tổng công ty Công nghiệp Công nghệ cao Viettel</v>
          </cell>
          <cell r="F327" t="str">
            <v>Khối 1 - TCT CNC</v>
          </cell>
          <cell r="G327" t="str">
            <v>Trung tâm Quang điện tử</v>
          </cell>
        </row>
        <row r="328">
          <cell r="B328" t="str">
            <v>231063</v>
          </cell>
          <cell r="C328" t="str">
            <v>Kiều Vũ Thắng</v>
          </cell>
          <cell r="D328" t="str">
            <v>Kỹ sư Xử lý ảnh</v>
          </cell>
          <cell r="E328" t="str">
            <v>Tổng công ty Công nghiệp Công nghệ cao Viettel</v>
          </cell>
          <cell r="F328" t="str">
            <v>Khối 1 - TCT CNC</v>
          </cell>
          <cell r="G328" t="str">
            <v>Trung tâm Quang điện tử</v>
          </cell>
        </row>
        <row r="329">
          <cell r="B329" t="str">
            <v>233982</v>
          </cell>
          <cell r="C329" t="str">
            <v>Trần Anh Tuấn</v>
          </cell>
          <cell r="D329" t="str">
            <v>Kỹ sư Thiết kế phần mềm</v>
          </cell>
          <cell r="E329" t="str">
            <v>Tổng công ty Công nghiệp Công nghệ cao Viettel</v>
          </cell>
          <cell r="F329" t="str">
            <v>Khối 1 - TCT CNC</v>
          </cell>
          <cell r="G329" t="str">
            <v>Trung tâm Quang điện tử</v>
          </cell>
        </row>
        <row r="330">
          <cell r="B330" t="str">
            <v>234945</v>
          </cell>
          <cell r="C330" t="str">
            <v>Hoàng Duy Khánh</v>
          </cell>
          <cell r="D330" t="str">
            <v>Kỹ sư Cơ khí chính xác</v>
          </cell>
          <cell r="E330" t="str">
            <v>Tổng công ty Công nghiệp Công nghệ cao Viettel</v>
          </cell>
          <cell r="F330" t="str">
            <v>Khối 1 - TCT CNC</v>
          </cell>
          <cell r="G330" t="str">
            <v>Trung tâm Quang điện tử</v>
          </cell>
        </row>
        <row r="331">
          <cell r="B331" t="str">
            <v>236238</v>
          </cell>
          <cell r="C331" t="str">
            <v>Nguyễn Duy Khánh</v>
          </cell>
          <cell r="D331" t="str">
            <v>Kỹ sư Thiết kế phần cứng</v>
          </cell>
          <cell r="E331" t="str">
            <v>Tổng công ty Công nghiệp Công nghệ cao Viettel</v>
          </cell>
          <cell r="F331" t="str">
            <v>Khối 1 - TCT CNC</v>
          </cell>
          <cell r="G331" t="str">
            <v>Trung tâm Quang điện tử</v>
          </cell>
        </row>
        <row r="332">
          <cell r="B332" t="str">
            <v>236790</v>
          </cell>
          <cell r="C332" t="str">
            <v>Nguyễn Tiến Đạt</v>
          </cell>
          <cell r="D332" t="str">
            <v>Kỹ sư Lập trình nhúng</v>
          </cell>
          <cell r="E332" t="str">
            <v>Tổng công ty Công nghiệp Công nghệ cao Viettel</v>
          </cell>
          <cell r="F332" t="str">
            <v>Khối 1 - TCT CNC</v>
          </cell>
          <cell r="G332" t="str">
            <v>Trung tâm Quang điện tử</v>
          </cell>
        </row>
        <row r="333">
          <cell r="B333" t="str">
            <v>239309</v>
          </cell>
          <cell r="C333" t="str">
            <v>Cao Xuân Dục</v>
          </cell>
          <cell r="D333" t="str">
            <v>Kỹ sư FPGA</v>
          </cell>
          <cell r="E333" t="str">
            <v>Tổng công ty Công nghiệp Công nghệ cao Viettel</v>
          </cell>
          <cell r="F333" t="str">
            <v>Khối 1 - TCT CNC</v>
          </cell>
          <cell r="G333" t="str">
            <v>Trung tâm Quang điện tử</v>
          </cell>
        </row>
        <row r="334">
          <cell r="B334" t="str">
            <v>239311</v>
          </cell>
          <cell r="C334" t="str">
            <v>Nguyễn Văn Hiếu</v>
          </cell>
          <cell r="D334" t="str">
            <v>Kỹ sư Quang điện tử</v>
          </cell>
          <cell r="E334" t="str">
            <v>Tổng công ty Công nghiệp Công nghệ cao Viettel</v>
          </cell>
          <cell r="F334" t="str">
            <v>Khối 1 - TCT CNC</v>
          </cell>
          <cell r="G334" t="str">
            <v>Trung tâm Quang điện tử</v>
          </cell>
        </row>
        <row r="335">
          <cell r="B335" t="str">
            <v>242654</v>
          </cell>
          <cell r="C335" t="str">
            <v>Lê Tuấn Đạt</v>
          </cell>
          <cell r="D335" t="str">
            <v>Kỹ sư Thiết kế phần mềm</v>
          </cell>
          <cell r="E335" t="str">
            <v>Tổng công ty Công nghiệp Công nghệ cao Viettel</v>
          </cell>
          <cell r="F335" t="str">
            <v>Khối 1 - TCT CNC</v>
          </cell>
          <cell r="G335" t="str">
            <v>Trung tâm Quang điện tử</v>
          </cell>
        </row>
        <row r="336">
          <cell r="B336" t="str">
            <v>243013</v>
          </cell>
          <cell r="C336" t="str">
            <v>Nguyễn Viết Hùng</v>
          </cell>
          <cell r="D336" t="str">
            <v>Kỹ sư Nghiên cứu thuật toán</v>
          </cell>
          <cell r="E336" t="str">
            <v>Tổng công ty Công nghiệp Công nghệ cao Viettel</v>
          </cell>
          <cell r="F336" t="str">
            <v>Khối 1 - TCT CNC</v>
          </cell>
          <cell r="G336" t="str">
            <v>Trung tâm Quang điện tử</v>
          </cell>
        </row>
        <row r="337">
          <cell r="B337" t="str">
            <v>246818</v>
          </cell>
          <cell r="C337" t="str">
            <v>Trần Lê Lân</v>
          </cell>
          <cell r="D337" t="str">
            <v>Kỹ sư Thiết kế phần cứng</v>
          </cell>
          <cell r="E337" t="str">
            <v>Tổng công ty Công nghiệp Công nghệ cao Viettel</v>
          </cell>
          <cell r="F337" t="str">
            <v>Khối 1 - TCT CNC</v>
          </cell>
          <cell r="G337" t="str">
            <v>Trung tâm Quang điện tử</v>
          </cell>
        </row>
        <row r="338">
          <cell r="B338" t="str">
            <v>265460</v>
          </cell>
          <cell r="C338" t="str">
            <v>Lê Trung Kiên</v>
          </cell>
          <cell r="D338" t="str">
            <v>Kỹ sư Xử lý ảnh</v>
          </cell>
          <cell r="E338" t="str">
            <v>Tổng công ty Công nghiệp Công nghệ cao Viettel</v>
          </cell>
          <cell r="F338" t="str">
            <v>Khối 1 - TCT CNC</v>
          </cell>
          <cell r="G338" t="str">
            <v>Trung tâm Quang điện tử</v>
          </cell>
        </row>
        <row r="339">
          <cell r="B339" t="str">
            <v>272736</v>
          </cell>
          <cell r="C339" t="str">
            <v>Trương Bá Mạnh</v>
          </cell>
          <cell r="D339" t="str">
            <v>Kỹ sư Xử lý ảnh</v>
          </cell>
          <cell r="E339" t="str">
            <v>Tổng công ty Công nghiệp Công nghệ cao Viettel</v>
          </cell>
          <cell r="F339" t="str">
            <v>Khối 1 - TCT CNC</v>
          </cell>
          <cell r="G339" t="str">
            <v>Trung tâm Quang điện tử</v>
          </cell>
        </row>
        <row r="340">
          <cell r="B340" t="str">
            <v>277784</v>
          </cell>
          <cell r="C340" t="str">
            <v>Đinh Đắc Cường</v>
          </cell>
          <cell r="D340" t="str">
            <v>Kỹ sư Lập trình nhúng</v>
          </cell>
          <cell r="E340" t="str">
            <v>Tổng công ty Công nghiệp Công nghệ cao Viettel</v>
          </cell>
          <cell r="F340" t="str">
            <v>Khối 1 - TCT CNC</v>
          </cell>
          <cell r="G340" t="str">
            <v>Trung tâm Quang điện tử</v>
          </cell>
        </row>
        <row r="341">
          <cell r="B341" t="str">
            <v>278970</v>
          </cell>
          <cell r="C341" t="str">
            <v>Đoàn Hữu Hướng</v>
          </cell>
          <cell r="D341" t="str">
            <v>Kỹ sư Phần mềm nhúng</v>
          </cell>
          <cell r="E341" t="str">
            <v>Tổng công ty Công nghiệp Công nghệ cao Viettel</v>
          </cell>
          <cell r="F341" t="str">
            <v>Khối 1 - TCT CNC</v>
          </cell>
          <cell r="G341" t="str">
            <v>Trung tâm Quang điện tử</v>
          </cell>
        </row>
        <row r="342">
          <cell r="B342" t="str">
            <v>282345</v>
          </cell>
          <cell r="C342" t="str">
            <v>Nguyễn Tuấn Anh</v>
          </cell>
          <cell r="D342" t="str">
            <v>Kỹ sư Quang điện tử</v>
          </cell>
          <cell r="E342" t="str">
            <v>Tổng công ty Công nghiệp Công nghệ cao Viettel</v>
          </cell>
          <cell r="F342" t="str">
            <v>Khối 1 - TCT CNC</v>
          </cell>
          <cell r="G342" t="str">
            <v>Trung tâm Quang điện tử</v>
          </cell>
        </row>
        <row r="343">
          <cell r="B343" t="str">
            <v>284535</v>
          </cell>
          <cell r="C343" t="str">
            <v>Lê Thị Hồng Ngọc</v>
          </cell>
          <cell r="D343" t="str">
            <v>Kỹ sư Nghiên cứu thuật toán</v>
          </cell>
          <cell r="E343" t="str">
            <v>Tổng công ty Công nghiệp Công nghệ cao Viettel</v>
          </cell>
          <cell r="F343" t="str">
            <v>Khối 1 - TCT CNC</v>
          </cell>
          <cell r="G343" t="str">
            <v>Trung tâm Quang điện tử</v>
          </cell>
        </row>
        <row r="344">
          <cell r="B344" t="str">
            <v>293060</v>
          </cell>
          <cell r="C344" t="str">
            <v>Lã Văn Quy</v>
          </cell>
          <cell r="D344" t="str">
            <v>Kỹ sư Cơ khí</v>
          </cell>
          <cell r="E344" t="str">
            <v>Tổng công ty Công nghiệp Công nghệ cao Viettel</v>
          </cell>
          <cell r="F344" t="str">
            <v>Khối 1 - TCT CNC</v>
          </cell>
          <cell r="G344" t="str">
            <v>Trung tâm Quang điện tử</v>
          </cell>
        </row>
        <row r="345">
          <cell r="B345" t="str">
            <v>427196</v>
          </cell>
          <cell r="C345" t="str">
            <v>Tô Bảo Đồng</v>
          </cell>
          <cell r="D345" t="str">
            <v>Kỹ sư Quang điện tử</v>
          </cell>
          <cell r="E345" t="str">
            <v>Tổng công ty Công nghiệp Công nghệ cao Viettel</v>
          </cell>
          <cell r="F345" t="str">
            <v>Khối 1 - TCT CNC</v>
          </cell>
          <cell r="G345" t="str">
            <v>Trung tâm Quang điện tử</v>
          </cell>
        </row>
        <row r="346">
          <cell r="B346" t="str">
            <v>428105</v>
          </cell>
          <cell r="C346" t="str">
            <v>Vũ Đức Thái</v>
          </cell>
          <cell r="D346" t="str">
            <v>Kỹ sư Nghiên cứu thuật toán</v>
          </cell>
          <cell r="E346" t="str">
            <v>Tổng công ty Công nghiệp Công nghệ cao Viettel</v>
          </cell>
          <cell r="F346" t="str">
            <v>Khối 1 - TCT CNC</v>
          </cell>
          <cell r="G346" t="str">
            <v>Trung tâm Quang điện tử</v>
          </cell>
        </row>
        <row r="347">
          <cell r="B347" t="str">
            <v>428605</v>
          </cell>
          <cell r="C347" t="str">
            <v>Nguyễn Quang Linh</v>
          </cell>
          <cell r="D347" t="str">
            <v>Kỹ sư Nghiên cứu thuật toán</v>
          </cell>
          <cell r="E347" t="str">
            <v>Tổng công ty Công nghiệp Công nghệ cao Viettel</v>
          </cell>
          <cell r="F347" t="str">
            <v>Khối 1 - TCT CNC</v>
          </cell>
          <cell r="G347" t="str">
            <v>Trung tâm Quang điện tử</v>
          </cell>
        </row>
        <row r="348">
          <cell r="B348" t="str">
            <v>431060</v>
          </cell>
          <cell r="C348" t="str">
            <v>Đàm Mạnh Tiến</v>
          </cell>
          <cell r="D348" t="str">
            <v>Kỹ sư Cơ khí chính xác</v>
          </cell>
          <cell r="E348" t="str">
            <v>Tổng công ty Công nghiệp Công nghệ cao Viettel</v>
          </cell>
          <cell r="F348" t="str">
            <v>Khối 1 - TCT CNC</v>
          </cell>
          <cell r="G348" t="str">
            <v>Trung tâm Quang điện tử</v>
          </cell>
        </row>
        <row r="349">
          <cell r="B349" t="str">
            <v>439598</v>
          </cell>
          <cell r="C349" t="str">
            <v>Nguyễn Quang Thanh</v>
          </cell>
          <cell r="D349" t="str">
            <v>Kỹ sư Quang học</v>
          </cell>
          <cell r="E349" t="str">
            <v>Tổng công ty Công nghiệp Công nghệ cao Viettel</v>
          </cell>
          <cell r="F349" t="str">
            <v>Khối 1 - TCT CNC</v>
          </cell>
          <cell r="G349" t="str">
            <v>Trung tâm Quang điện tử</v>
          </cell>
        </row>
        <row r="350">
          <cell r="B350" t="str">
            <v>439599</v>
          </cell>
          <cell r="C350" t="str">
            <v>Nguyễn Ngô Tiến Phú</v>
          </cell>
          <cell r="D350" t="str">
            <v>Kỹ sư Quang điện tử</v>
          </cell>
          <cell r="E350" t="str">
            <v>Tổng công ty Công nghiệp Công nghệ cao Viettel</v>
          </cell>
          <cell r="F350" t="str">
            <v>Khối 1 - TCT CNC</v>
          </cell>
          <cell r="G350" t="str">
            <v>Trung tâm Quang điện tử</v>
          </cell>
        </row>
        <row r="351">
          <cell r="B351" t="str">
            <v>441341</v>
          </cell>
          <cell r="C351" t="str">
            <v>Hoàng Văn Thịnh</v>
          </cell>
          <cell r="D351" t="str">
            <v>Kỹ sư Quang điện tử</v>
          </cell>
          <cell r="E351" t="str">
            <v>Tổng công ty Công nghiệp Công nghệ cao Viettel</v>
          </cell>
          <cell r="F351" t="str">
            <v>Khối 1 - TCT CNC</v>
          </cell>
          <cell r="G351" t="str">
            <v>Trung tâm Quang điện tử</v>
          </cell>
        </row>
        <row r="352">
          <cell r="B352" t="str">
            <v>447329</v>
          </cell>
          <cell r="C352" t="str">
            <v>Lê Việt Hoàng</v>
          </cell>
          <cell r="D352" t="str">
            <v>Kỹ sư Xử lý ảnh</v>
          </cell>
          <cell r="E352" t="str">
            <v>Tổng công ty Công nghiệp Công nghệ cao Viettel</v>
          </cell>
          <cell r="F352" t="str">
            <v>Khối 1 - TCT CNC</v>
          </cell>
          <cell r="G352" t="str">
            <v>Trung tâm Quang điện tử</v>
          </cell>
        </row>
        <row r="353">
          <cell r="B353" t="str">
            <v>449471</v>
          </cell>
          <cell r="C353" t="str">
            <v>Phạm Sơn Lâm</v>
          </cell>
          <cell r="D353" t="str">
            <v>Kỹ sư Điều khiển tự động</v>
          </cell>
          <cell r="E353" t="str">
            <v>Tổng công ty Công nghiệp Công nghệ cao Viettel</v>
          </cell>
          <cell r="F353" t="str">
            <v>Khối 1 - TCT CNC</v>
          </cell>
          <cell r="G353" t="str">
            <v>Trung tâm Quang điện tử</v>
          </cell>
        </row>
        <row r="354">
          <cell r="B354" t="str">
            <v>458023</v>
          </cell>
          <cell r="C354" t="str">
            <v>Vũ Văn Kiên</v>
          </cell>
          <cell r="D354" t="str">
            <v>Kỹ sư Quang điện tử</v>
          </cell>
          <cell r="E354" t="str">
            <v>Tổng công ty Công nghiệp Công nghệ cao Viettel</v>
          </cell>
          <cell r="F354" t="str">
            <v>Khối 1 - TCT CNC</v>
          </cell>
          <cell r="G354" t="str">
            <v>Trung tâm Quang điện tử</v>
          </cell>
        </row>
        <row r="355">
          <cell r="B355" t="str">
            <v>458025</v>
          </cell>
          <cell r="C355" t="str">
            <v>Bùi Quốc Việt</v>
          </cell>
          <cell r="D355" t="str">
            <v>Kỹ sư Quang điện tử</v>
          </cell>
          <cell r="E355" t="str">
            <v>Tổng công ty Công nghiệp Công nghệ cao Viettel</v>
          </cell>
          <cell r="F355" t="str">
            <v>Khối 1 - TCT CNC</v>
          </cell>
          <cell r="G355" t="str">
            <v>Trung tâm Quang điện tử</v>
          </cell>
        </row>
        <row r="356">
          <cell r="B356" t="str">
            <v>458161</v>
          </cell>
          <cell r="C356" t="str">
            <v>Dương Duy Khanh</v>
          </cell>
          <cell r="D356" t="str">
            <v>Kỹ sư Quang điện tử</v>
          </cell>
          <cell r="E356" t="str">
            <v>Tổng công ty Công nghiệp Công nghệ cao Viettel</v>
          </cell>
          <cell r="F356" t="str">
            <v>Khối 1 - TCT CNC</v>
          </cell>
          <cell r="G356" t="str">
            <v>Trung tâm Quang điện tử</v>
          </cell>
        </row>
        <row r="357">
          <cell r="B357" t="str">
            <v>459249</v>
          </cell>
          <cell r="C357" t="str">
            <v>Bùi Việt Đức</v>
          </cell>
          <cell r="D357" t="str">
            <v>Kỹ sư Thiết kế phần cứng</v>
          </cell>
          <cell r="E357" t="str">
            <v>Tổng công ty Công nghiệp Công nghệ cao Viettel</v>
          </cell>
          <cell r="F357" t="str">
            <v>Khối 1 - TCT CNC</v>
          </cell>
          <cell r="G357" t="str">
            <v>Trung tâm Quang điện tử</v>
          </cell>
        </row>
        <row r="358">
          <cell r="B358" t="str">
            <v>460841</v>
          </cell>
          <cell r="C358" t="str">
            <v>Nguyễn Duy Hưng</v>
          </cell>
          <cell r="D358" t="str">
            <v>Kỹ sư Quang học</v>
          </cell>
          <cell r="E358" t="str">
            <v>Tổng công ty Công nghiệp Công nghệ cao Viettel</v>
          </cell>
          <cell r="F358" t="str">
            <v>Khối 1 - TCT CNC</v>
          </cell>
          <cell r="G358" t="str">
            <v>Trung tâm Quang điện tử</v>
          </cell>
        </row>
        <row r="359">
          <cell r="B359" t="str">
            <v>461161</v>
          </cell>
          <cell r="C359" t="str">
            <v>Nguyễn Văn Lộc</v>
          </cell>
          <cell r="D359" t="str">
            <v>Kỹ sư Thiết kế phần cứng</v>
          </cell>
          <cell r="E359" t="str">
            <v>Tổng công ty Công nghiệp Công nghệ cao Viettel</v>
          </cell>
          <cell r="F359" t="str">
            <v>Khối 1 - TCT CNC</v>
          </cell>
          <cell r="G359" t="str">
            <v>Trung tâm Quang điện tử</v>
          </cell>
        </row>
        <row r="360">
          <cell r="B360" t="str">
            <v>461671</v>
          </cell>
          <cell r="C360" t="str">
            <v>Nguyễn Thành Nam</v>
          </cell>
          <cell r="D360" t="str">
            <v>Kỹ sư Thiết kế phần cứng</v>
          </cell>
          <cell r="E360" t="str">
            <v>Tổng công ty Công nghiệp Công nghệ cao Viettel</v>
          </cell>
          <cell r="F360" t="str">
            <v>Khối 1 - TCT CNC</v>
          </cell>
          <cell r="G360" t="str">
            <v>Trung tâm Quang điện tử</v>
          </cell>
        </row>
        <row r="361">
          <cell r="B361" t="str">
            <v>464265</v>
          </cell>
          <cell r="C361" t="str">
            <v>Nguyễn Ngọc Linh Chi</v>
          </cell>
          <cell r="D361" t="str">
            <v>Kỹ sư Nghiên cứu thuật toán</v>
          </cell>
          <cell r="E361" t="str">
            <v>Tổng công ty Công nghiệp Công nghệ cao Viettel</v>
          </cell>
          <cell r="F361" t="str">
            <v>Khối 1 - TCT CNC</v>
          </cell>
          <cell r="G361" t="str">
            <v>Trung tâm Quang điện tử</v>
          </cell>
        </row>
        <row r="362">
          <cell r="B362" t="str">
            <v>466111</v>
          </cell>
          <cell r="C362" t="str">
            <v>Phạm Thị Thu Hiền</v>
          </cell>
          <cell r="D362" t="str">
            <v>Kỹ sư Quang học</v>
          </cell>
          <cell r="E362" t="str">
            <v>Tổng công ty Công nghiệp Công nghệ cao Viettel</v>
          </cell>
          <cell r="F362" t="str">
            <v>Khối 1 - TCT CNC</v>
          </cell>
          <cell r="G362" t="str">
            <v>Trung tâm Quang điện tử</v>
          </cell>
        </row>
        <row r="363">
          <cell r="B363" t="str">
            <v>466289</v>
          </cell>
          <cell r="C363" t="str">
            <v>Trần Duy Nghĩa</v>
          </cell>
          <cell r="D363" t="str">
            <v>Kỹ sư Phần mềm nhúng</v>
          </cell>
          <cell r="E363" t="str">
            <v>Tổng công ty Công nghiệp Công nghệ cao Viettel</v>
          </cell>
          <cell r="F363" t="str">
            <v>Khối 1 - TCT CNC</v>
          </cell>
          <cell r="G363" t="str">
            <v>Trung tâm Quang điện tử</v>
          </cell>
        </row>
        <row r="364">
          <cell r="B364" t="str">
            <v>468403</v>
          </cell>
          <cell r="C364" t="str">
            <v>Hồng Gia Bảo</v>
          </cell>
          <cell r="D364" t="str">
            <v>Kỹ sư Điều khiển tự động</v>
          </cell>
          <cell r="E364" t="str">
            <v>Tổng công ty Công nghiệp Công nghệ cao Viettel</v>
          </cell>
          <cell r="F364" t="str">
            <v>Khối 1 - TCT CNC</v>
          </cell>
          <cell r="G364" t="str">
            <v>Trung tâm Quang điện tử</v>
          </cell>
        </row>
        <row r="365">
          <cell r="B365" t="str">
            <v>468405</v>
          </cell>
          <cell r="C365" t="str">
            <v>Vũ Đình Phúc Minh</v>
          </cell>
          <cell r="D365" t="str">
            <v>Kỹ sư Phần mềm nhúng</v>
          </cell>
          <cell r="E365" t="str">
            <v>Tổng công ty Công nghiệp Công nghệ cao Viettel</v>
          </cell>
          <cell r="F365" t="str">
            <v>Khối 1 - TCT CNC</v>
          </cell>
          <cell r="G365" t="str">
            <v>Trung tâm Quang điện tử</v>
          </cell>
        </row>
        <row r="366">
          <cell r="B366" t="str">
            <v>470355</v>
          </cell>
          <cell r="C366" t="str">
            <v>Ngô Đức Mạnh</v>
          </cell>
          <cell r="D366" t="str">
            <v>Kỹ sư Phần mềm nhúng</v>
          </cell>
          <cell r="E366" t="str">
            <v>Tổng công ty Công nghiệp Công nghệ cao Viettel</v>
          </cell>
          <cell r="F366" t="str">
            <v>Khối 1 - TCT CNC</v>
          </cell>
          <cell r="G366" t="str">
            <v>Trung tâm Quang điện tử</v>
          </cell>
        </row>
        <row r="367">
          <cell r="B367" t="str">
            <v>471783</v>
          </cell>
          <cell r="C367" t="str">
            <v>Nguyễn Trường Danh</v>
          </cell>
          <cell r="D367" t="str">
            <v>Kỹ sư Nghiên cứu thuật toán</v>
          </cell>
          <cell r="E367" t="str">
            <v>Tổng công ty Công nghiệp Công nghệ cao Viettel</v>
          </cell>
          <cell r="F367" t="str">
            <v>Khối 1 - TCT CNC</v>
          </cell>
          <cell r="G367" t="str">
            <v>Trung tâm Quang điện tử</v>
          </cell>
        </row>
        <row r="368">
          <cell r="B368" t="str">
            <v>472503</v>
          </cell>
          <cell r="C368" t="str">
            <v>Trịnh Đăng Cảnh</v>
          </cell>
          <cell r="D368" t="str">
            <v>Kỹ sư Cơ khí</v>
          </cell>
          <cell r="E368" t="str">
            <v>Tổng công ty Công nghiệp Công nghệ cao Viettel</v>
          </cell>
          <cell r="F368" t="str">
            <v>Khối 1 - TCT CNC</v>
          </cell>
          <cell r="G368" t="str">
            <v>Trung tâm Quang điện tử</v>
          </cell>
        </row>
        <row r="369">
          <cell r="B369" t="str">
            <v>473185</v>
          </cell>
          <cell r="C369" t="str">
            <v>Hoàng Thị Thương</v>
          </cell>
          <cell r="D369" t="str">
            <v>Laser engineer</v>
          </cell>
          <cell r="E369" t="str">
            <v>Tổng công ty Công nghiệp Công nghệ cao Viettel</v>
          </cell>
          <cell r="F369" t="str">
            <v>Khối 1 - TCT CNC</v>
          </cell>
          <cell r="G369" t="str">
            <v>Trung tâm Quang điện tử</v>
          </cell>
        </row>
        <row r="370">
          <cell r="B370" t="str">
            <v>473595</v>
          </cell>
          <cell r="C370" t="str">
            <v>Vũ Văn Hưởng</v>
          </cell>
          <cell r="D370" t="str">
            <v>Kỹ sư Cơ khí</v>
          </cell>
          <cell r="E370" t="str">
            <v>Tổng công ty Công nghiệp Công nghệ cao Viettel</v>
          </cell>
          <cell r="F370" t="str">
            <v>Khối 1 - TCT CNC</v>
          </cell>
          <cell r="G370" t="str">
            <v>Trung tâm Quang điện tử</v>
          </cell>
        </row>
        <row r="371">
          <cell r="B371" t="str">
            <v>475517</v>
          </cell>
          <cell r="C371" t="str">
            <v>Nguyễn Hữu Đại</v>
          </cell>
          <cell r="D371" t="str">
            <v>Kỹ sư Quang điện tử</v>
          </cell>
          <cell r="E371" t="str">
            <v>Tổng công ty Công nghiệp Công nghệ cao Viettel</v>
          </cell>
          <cell r="F371" t="str">
            <v>Khối 1 - TCT CNC</v>
          </cell>
          <cell r="G371" t="str">
            <v>Trung tâm Quang điện tử</v>
          </cell>
        </row>
        <row r="372">
          <cell r="B372" t="str">
            <v>475907</v>
          </cell>
          <cell r="C372" t="str">
            <v>Trần Đức Mạnh</v>
          </cell>
          <cell r="D372" t="str">
            <v>Kỹ sư Nghiên cứu thuật toán</v>
          </cell>
          <cell r="E372" t="str">
            <v>Tổng công ty Công nghiệp Công nghệ cao Viettel</v>
          </cell>
          <cell r="F372" t="str">
            <v>Khối 1 - TCT CNC</v>
          </cell>
          <cell r="G372" t="str">
            <v>Trung tâm Quang điện tử</v>
          </cell>
        </row>
        <row r="373">
          <cell r="B373" t="str">
            <v>476333</v>
          </cell>
          <cell r="C373" t="str">
            <v>Trần Anh Đức</v>
          </cell>
          <cell r="D373" t="str">
            <v>Kỹ sư Quang điện tử</v>
          </cell>
          <cell r="E373" t="str">
            <v>Tổng công ty Công nghiệp Công nghệ cao Viettel</v>
          </cell>
          <cell r="F373" t="str">
            <v>Khối 1 - TCT CNC</v>
          </cell>
          <cell r="G373" t="str">
            <v>Trung tâm Quang điện tử</v>
          </cell>
        </row>
        <row r="374">
          <cell r="B374" t="str">
            <v>476631</v>
          </cell>
          <cell r="C374" t="str">
            <v>Nguyễn Mạnh Toàn</v>
          </cell>
          <cell r="D374" t="str">
            <v>Kỹ sư Cơ khí</v>
          </cell>
          <cell r="E374" t="str">
            <v>Tổng công ty Công nghiệp Công nghệ cao Viettel</v>
          </cell>
          <cell r="F374" t="str">
            <v>Khối 1 - TCT CNC</v>
          </cell>
          <cell r="G374" t="str">
            <v>Trung tâm Quang điện tử</v>
          </cell>
        </row>
        <row r="375">
          <cell r="B375" t="str">
            <v>476635</v>
          </cell>
          <cell r="C375" t="str">
            <v>Nguyễn Khánh Nguyên</v>
          </cell>
          <cell r="D375" t="str">
            <v>Kỹ sư Phần mềm nhúng</v>
          </cell>
          <cell r="E375" t="str">
            <v>Tổng công ty Công nghiệp Công nghệ cao Viettel</v>
          </cell>
          <cell r="F375" t="str">
            <v>Khối 1 - TCT CNC</v>
          </cell>
          <cell r="G375" t="str">
            <v>Trung tâm Quang điện tử</v>
          </cell>
        </row>
        <row r="376">
          <cell r="B376" t="str">
            <v>527994</v>
          </cell>
          <cell r="C376" t="str">
            <v>Vũ Quang Vinh</v>
          </cell>
          <cell r="D376" t="str">
            <v>Kỹ sư Cơ khí chính xác</v>
          </cell>
          <cell r="E376" t="str">
            <v>Tổng công ty Công nghiệp Công nghệ cao Viettel</v>
          </cell>
          <cell r="F376" t="str">
            <v>Khối 1 - TCT CNC</v>
          </cell>
          <cell r="G376" t="str">
            <v>Trung tâm Quang điện tử</v>
          </cell>
        </row>
        <row r="377">
          <cell r="B377" t="str">
            <v>004032</v>
          </cell>
          <cell r="C377" t="str">
            <v>Nguyễn Đức Nam</v>
          </cell>
          <cell r="D377" t="str">
            <v>Kỹ sư trưởng Hệ thống</v>
          </cell>
          <cell r="E377" t="str">
            <v>Tổng công ty Công nghiệp Công nghệ cao Viettel</v>
          </cell>
          <cell r="F377" t="str">
            <v>Khối 1 - TCT CNC</v>
          </cell>
          <cell r="G377" t="str">
            <v>Trung tâm Rada</v>
          </cell>
        </row>
        <row r="378">
          <cell r="B378" t="str">
            <v>087322</v>
          </cell>
          <cell r="C378" t="str">
            <v>Nguyễn Thế Anh</v>
          </cell>
          <cell r="D378" t="str">
            <v>Trưởng phòng Khai thác dữ liệu Radar</v>
          </cell>
          <cell r="E378" t="str">
            <v>Tổng công ty Công nghiệp Công nghệ cao Viettel</v>
          </cell>
          <cell r="F378" t="str">
            <v>Khối 1 - TCT CNC</v>
          </cell>
          <cell r="G378" t="str">
            <v>Trung tâm Rada</v>
          </cell>
        </row>
        <row r="379">
          <cell r="B379" t="str">
            <v>099036</v>
          </cell>
          <cell r="C379" t="str">
            <v>Trần Hoàng Việt</v>
          </cell>
          <cell r="D379" t="str">
            <v>Trưởng phòng Công nghệ ăng-ten mảng pha chủ động</v>
          </cell>
          <cell r="E379" t="str">
            <v>Tổng công ty Công nghiệp Công nghệ cao Viettel</v>
          </cell>
          <cell r="F379" t="str">
            <v>Khối 1 - TCT CNC</v>
          </cell>
          <cell r="G379" t="str">
            <v>Trung tâm Rada</v>
          </cell>
        </row>
        <row r="380">
          <cell r="B380" t="str">
            <v>123196</v>
          </cell>
          <cell r="C380" t="str">
            <v>Hồ Quang Huyên</v>
          </cell>
          <cell r="D380" t="str">
            <v>Kỹ sư Cao tần</v>
          </cell>
          <cell r="E380" t="str">
            <v>Tổng công ty Công nghiệp Công nghệ cao Viettel</v>
          </cell>
          <cell r="F380" t="str">
            <v>Khối 1 - TCT CNC</v>
          </cell>
          <cell r="G380" t="str">
            <v>Trung tâm Rada</v>
          </cell>
        </row>
        <row r="381">
          <cell r="B381" t="str">
            <v>137028</v>
          </cell>
          <cell r="C381" t="str">
            <v>Nguyễn Như Thành</v>
          </cell>
          <cell r="D381" t="str">
            <v>Giám đốc Trung tâm</v>
          </cell>
          <cell r="E381" t="str">
            <v>Tổng công ty Công nghiệp Công nghệ cao Viettel</v>
          </cell>
          <cell r="F381" t="str">
            <v>Khối 1 - TCT CNC</v>
          </cell>
          <cell r="G381" t="str">
            <v>Trung tâm Rada</v>
          </cell>
        </row>
        <row r="382">
          <cell r="B382" t="str">
            <v>140756</v>
          </cell>
          <cell r="C382" t="str">
            <v>Trần Trung Kiên</v>
          </cell>
          <cell r="D382" t="str">
            <v>Phó Giám đốc Trung tâm</v>
          </cell>
          <cell r="E382" t="str">
            <v>Tổng công ty Công nghiệp Công nghệ cao Viettel</v>
          </cell>
          <cell r="F382" t="str">
            <v>Khối 1 - TCT CNC</v>
          </cell>
          <cell r="G382" t="str">
            <v>Trung tâm Rada</v>
          </cell>
        </row>
        <row r="383">
          <cell r="B383" t="str">
            <v>152993</v>
          </cell>
          <cell r="C383" t="str">
            <v>Lê Trung Đức</v>
          </cell>
          <cell r="D383" t="str">
            <v>Trưởng phòng Điều khiển toàn đài</v>
          </cell>
          <cell r="E383" t="str">
            <v>Tổng công ty Công nghiệp Công nghệ cao Viettel</v>
          </cell>
          <cell r="F383" t="str">
            <v>Khối 1 - TCT CNC</v>
          </cell>
          <cell r="G383" t="str">
            <v>Trung tâm Rada</v>
          </cell>
        </row>
        <row r="384">
          <cell r="B384" t="str">
            <v>154954</v>
          </cell>
          <cell r="C384" t="str">
            <v>Bùi Hữu Hoàng</v>
          </cell>
          <cell r="D384" t="str">
            <v>Kỹ sư Cơ khí</v>
          </cell>
          <cell r="E384" t="str">
            <v>Tổng công ty Công nghiệp Công nghệ cao Viettel</v>
          </cell>
          <cell r="F384" t="str">
            <v>Khối 1 - TCT CNC</v>
          </cell>
          <cell r="G384" t="str">
            <v>Trung tâm Rada</v>
          </cell>
        </row>
        <row r="385">
          <cell r="B385" t="str">
            <v>175665</v>
          </cell>
          <cell r="C385" t="str">
            <v>Đồng Xuân Hoàng</v>
          </cell>
          <cell r="D385" t="str">
            <v>Trưởng phòng Công nghệ xử lý cấp 1 Radar</v>
          </cell>
          <cell r="E385" t="str">
            <v>Tổng công ty Công nghiệp Công nghệ cao Viettel</v>
          </cell>
          <cell r="F385" t="str">
            <v>Khối 1 - TCT CNC</v>
          </cell>
          <cell r="G385" t="str">
            <v>Trung tâm Rada</v>
          </cell>
        </row>
        <row r="386">
          <cell r="B386" t="str">
            <v>185253</v>
          </cell>
          <cell r="C386" t="str">
            <v>Lê Xuân Thành</v>
          </cell>
          <cell r="D386" t="str">
            <v>Kỹ sư Xử lý tín hiệu</v>
          </cell>
          <cell r="E386" t="str">
            <v>Tổng công ty Công nghiệp Công nghệ cao Viettel</v>
          </cell>
          <cell r="F386" t="str">
            <v>Khối 1 - TCT CNC</v>
          </cell>
          <cell r="G386" t="str">
            <v>Trung tâm Rada</v>
          </cell>
        </row>
        <row r="387">
          <cell r="B387" t="str">
            <v>185254</v>
          </cell>
          <cell r="C387" t="str">
            <v>Nguyễn Mạnh Thắng</v>
          </cell>
          <cell r="D387" t="str">
            <v>Kỹ sư Xử lý tín hiệu</v>
          </cell>
          <cell r="E387" t="str">
            <v>Tổng công ty Công nghiệp Công nghệ cao Viettel</v>
          </cell>
          <cell r="F387" t="str">
            <v>Khối 1 - TCT CNC</v>
          </cell>
          <cell r="G387" t="str">
            <v>Trung tâm Rada</v>
          </cell>
        </row>
        <row r="388">
          <cell r="B388" t="str">
            <v>185255</v>
          </cell>
          <cell r="C388" t="str">
            <v>Nguyễn Mạnh Tuấn</v>
          </cell>
          <cell r="D388" t="str">
            <v>Kỹ sư Xử lý tín hiệu</v>
          </cell>
          <cell r="E388" t="str">
            <v>Tổng công ty Công nghiệp Công nghệ cao Viettel</v>
          </cell>
          <cell r="F388" t="str">
            <v>Khối 1 - TCT CNC</v>
          </cell>
          <cell r="G388" t="str">
            <v>Trung tâm Rada</v>
          </cell>
        </row>
        <row r="389">
          <cell r="B389" t="str">
            <v>185257</v>
          </cell>
          <cell r="C389" t="str">
            <v>Nguyễn Văn Nghĩa</v>
          </cell>
          <cell r="D389" t="str">
            <v>Kỹ sư Cao tần</v>
          </cell>
          <cell r="E389" t="str">
            <v>Tổng công ty Công nghiệp Công nghệ cao Viettel</v>
          </cell>
          <cell r="F389" t="str">
            <v>Khối 1 - TCT CNC</v>
          </cell>
          <cell r="G389" t="str">
            <v>Trung tâm Rada</v>
          </cell>
        </row>
        <row r="390">
          <cell r="B390" t="str">
            <v>185258</v>
          </cell>
          <cell r="C390" t="str">
            <v>Trịnh Văn Du</v>
          </cell>
          <cell r="D390" t="str">
            <v>Kỹ sư Cao tần</v>
          </cell>
          <cell r="E390" t="str">
            <v>Tổng công ty Công nghiệp Công nghệ cao Viettel</v>
          </cell>
          <cell r="F390" t="str">
            <v>Khối 1 - TCT CNC</v>
          </cell>
          <cell r="G390" t="str">
            <v>Trung tâm Rada</v>
          </cell>
        </row>
        <row r="391">
          <cell r="B391" t="str">
            <v>197127</v>
          </cell>
          <cell r="C391" t="str">
            <v>Phạm Đình Toại</v>
          </cell>
          <cell r="D391" t="str">
            <v>Kỹ sư Antenna</v>
          </cell>
          <cell r="E391" t="str">
            <v>Tổng công ty Công nghiệp Công nghệ cao Viettel</v>
          </cell>
          <cell r="F391" t="str">
            <v>Khối 1 - TCT CNC</v>
          </cell>
          <cell r="G391" t="str">
            <v>Trung tâm Rada</v>
          </cell>
        </row>
        <row r="392">
          <cell r="B392" t="str">
            <v>204319</v>
          </cell>
          <cell r="C392" t="str">
            <v>Nguyễn Văn Nghĩa</v>
          </cell>
          <cell r="D392" t="str">
            <v>Kỹ sư Cơ khí</v>
          </cell>
          <cell r="E392" t="str">
            <v>Tổng công ty Công nghiệp Công nghệ cao Viettel</v>
          </cell>
          <cell r="F392" t="str">
            <v>Khối 1 - TCT CNC</v>
          </cell>
          <cell r="G392" t="str">
            <v>Trung tâm Rada</v>
          </cell>
        </row>
        <row r="393">
          <cell r="B393" t="str">
            <v>207372</v>
          </cell>
          <cell r="C393" t="str">
            <v>Ngô Thị Hường</v>
          </cell>
          <cell r="D393" t="str">
            <v>Kỹ sư Antenna</v>
          </cell>
          <cell r="E393" t="str">
            <v>Tổng công ty Công nghiệp Công nghệ cao Viettel</v>
          </cell>
          <cell r="F393" t="str">
            <v>Khối 1 - TCT CNC</v>
          </cell>
          <cell r="G393" t="str">
            <v>Trung tâm Rada</v>
          </cell>
        </row>
        <row r="394">
          <cell r="B394" t="str">
            <v>207613</v>
          </cell>
          <cell r="C394" t="str">
            <v>Nguyễn Văn Luật</v>
          </cell>
          <cell r="D394" t="str">
            <v>Kỹ sư Cao tần</v>
          </cell>
          <cell r="E394" t="str">
            <v>Tổng công ty Công nghiệp Công nghệ cao Viettel</v>
          </cell>
          <cell r="F394" t="str">
            <v>Khối 1 - TCT CNC</v>
          </cell>
          <cell r="G394" t="str">
            <v>Trung tâm Rada</v>
          </cell>
        </row>
        <row r="395">
          <cell r="B395" t="str">
            <v>216737</v>
          </cell>
          <cell r="C395" t="str">
            <v>Trần Thị Thanh</v>
          </cell>
          <cell r="D395" t="str">
            <v>Kỹ sư Xử lý tín hiệu</v>
          </cell>
          <cell r="E395" t="str">
            <v>Tổng công ty Công nghiệp Công nghệ cao Viettel</v>
          </cell>
          <cell r="F395" t="str">
            <v>Khối 1 - TCT CNC</v>
          </cell>
          <cell r="G395" t="str">
            <v>Trung tâm Rada</v>
          </cell>
        </row>
        <row r="396">
          <cell r="B396" t="str">
            <v>217409</v>
          </cell>
          <cell r="C396" t="str">
            <v>Vũ Bá Dương</v>
          </cell>
          <cell r="D396" t="str">
            <v>Kỹ sư Phần mềm nhúng</v>
          </cell>
          <cell r="E396" t="str">
            <v>Tổng công ty Công nghiệp Công nghệ cao Viettel</v>
          </cell>
          <cell r="F396" t="str">
            <v>Khối 1 - TCT CNC</v>
          </cell>
          <cell r="G396" t="str">
            <v>Trung tâm Rada</v>
          </cell>
        </row>
        <row r="397">
          <cell r="B397" t="str">
            <v>217410</v>
          </cell>
          <cell r="C397" t="str">
            <v>Trần Quốc Tuân</v>
          </cell>
          <cell r="D397" t="str">
            <v>Kỹ sư Xử lý tín hiệu</v>
          </cell>
          <cell r="E397" t="str">
            <v>Tổng công ty Công nghiệp Công nghệ cao Viettel</v>
          </cell>
          <cell r="F397" t="str">
            <v>Khối 1 - TCT CNC</v>
          </cell>
          <cell r="G397" t="str">
            <v>Trung tâm Rada</v>
          </cell>
        </row>
        <row r="398">
          <cell r="B398" t="str">
            <v>220025</v>
          </cell>
          <cell r="C398" t="str">
            <v>Nguyễn Văn Lợi</v>
          </cell>
          <cell r="D398" t="str">
            <v>Trưởng phòng Thiết kế hệ thống</v>
          </cell>
          <cell r="E398" t="str">
            <v>Tổng công ty Công nghiệp Công nghệ cao Viettel</v>
          </cell>
          <cell r="F398" t="str">
            <v>Khối 1 - TCT CNC</v>
          </cell>
          <cell r="G398" t="str">
            <v>Trung tâm Rada</v>
          </cell>
        </row>
        <row r="399">
          <cell r="B399" t="str">
            <v>229327</v>
          </cell>
          <cell r="C399" t="str">
            <v>Nguyễn Văn Tam</v>
          </cell>
          <cell r="D399" t="str">
            <v>Kỹ sư Điều khiển tự động</v>
          </cell>
          <cell r="E399" t="str">
            <v>Tổng công ty Công nghiệp Công nghệ cao Viettel</v>
          </cell>
          <cell r="F399" t="str">
            <v>Khối 1 - TCT CNC</v>
          </cell>
          <cell r="G399" t="str">
            <v>Trung tâm Rada</v>
          </cell>
        </row>
        <row r="400">
          <cell r="B400" t="str">
            <v>229880</v>
          </cell>
          <cell r="C400" t="str">
            <v>Phạm Xuân Tiến</v>
          </cell>
          <cell r="D400" t="str">
            <v>Kỹ sư Thiết kế phần cứng</v>
          </cell>
          <cell r="E400" t="str">
            <v>Tổng công ty Công nghiệp Công nghệ cao Viettel</v>
          </cell>
          <cell r="F400" t="str">
            <v>Khối 1 - TCT CNC</v>
          </cell>
          <cell r="G400" t="str">
            <v>Trung tâm Rada</v>
          </cell>
        </row>
        <row r="401">
          <cell r="B401" t="str">
            <v>233490</v>
          </cell>
          <cell r="C401" t="str">
            <v>Nguyễn Thị Bích Phượng</v>
          </cell>
          <cell r="D401" t="str">
            <v>Kỹ sư Antenna</v>
          </cell>
          <cell r="E401" t="str">
            <v>Tổng công ty Công nghiệp Công nghệ cao Viettel</v>
          </cell>
          <cell r="F401" t="str">
            <v>Khối 1 - TCT CNC</v>
          </cell>
          <cell r="G401" t="str">
            <v>Trung tâm Rada</v>
          </cell>
        </row>
        <row r="402">
          <cell r="B402" t="str">
            <v>236492</v>
          </cell>
          <cell r="C402" t="str">
            <v>Nguyễn Hồng Việt</v>
          </cell>
          <cell r="D402" t="str">
            <v>Kỹ sư Phần mềm nhúng</v>
          </cell>
          <cell r="E402" t="str">
            <v>Tổng công ty Công nghiệp Công nghệ cao Viettel</v>
          </cell>
          <cell r="F402" t="str">
            <v>Khối 1 - TCT CNC</v>
          </cell>
          <cell r="G402" t="str">
            <v>Trung tâm Rada</v>
          </cell>
        </row>
        <row r="403">
          <cell r="B403" t="str">
            <v>237261</v>
          </cell>
          <cell r="C403" t="str">
            <v>Nguyễn Văn Khương</v>
          </cell>
          <cell r="D403" t="str">
            <v>Kỹ sư Thiết kế phần mềm</v>
          </cell>
          <cell r="E403" t="str">
            <v>Tổng công ty Công nghiệp Công nghệ cao Viettel</v>
          </cell>
          <cell r="F403" t="str">
            <v>Khối 1 - TCT CNC</v>
          </cell>
          <cell r="G403" t="str">
            <v>Trung tâm Rada</v>
          </cell>
        </row>
        <row r="404">
          <cell r="B404" t="str">
            <v>237592</v>
          </cell>
          <cell r="C404" t="str">
            <v>Trần Quang Huy</v>
          </cell>
          <cell r="D404" t="str">
            <v>Kỹ sư Cơ khí</v>
          </cell>
          <cell r="E404" t="str">
            <v>Tổng công ty Công nghiệp Công nghệ cao Viettel</v>
          </cell>
          <cell r="F404" t="str">
            <v>Khối 1 - TCT CNC</v>
          </cell>
          <cell r="G404" t="str">
            <v>Trung tâm Rada</v>
          </cell>
        </row>
        <row r="405">
          <cell r="B405" t="str">
            <v>238546</v>
          </cell>
          <cell r="C405" t="str">
            <v>Nguyễn Văn Phú</v>
          </cell>
          <cell r="D405" t="str">
            <v>Kỹ sư Antenna</v>
          </cell>
          <cell r="E405" t="str">
            <v>Tổng công ty Công nghiệp Công nghệ cao Viettel</v>
          </cell>
          <cell r="F405" t="str">
            <v>Khối 1 - TCT CNC</v>
          </cell>
          <cell r="G405" t="str">
            <v>Trung tâm Rada</v>
          </cell>
        </row>
        <row r="406">
          <cell r="B406" t="str">
            <v>238826</v>
          </cell>
          <cell r="C406" t="str">
            <v>Bùi Hoàng Hà</v>
          </cell>
          <cell r="D406" t="str">
            <v>Kỹ sư Antenna</v>
          </cell>
          <cell r="E406" t="str">
            <v>Tổng công ty Công nghiệp Công nghệ cao Viettel</v>
          </cell>
          <cell r="F406" t="str">
            <v>Khối 1 - TCT CNC</v>
          </cell>
          <cell r="G406" t="str">
            <v>Trung tâm Rada</v>
          </cell>
        </row>
        <row r="407">
          <cell r="B407" t="str">
            <v>239460</v>
          </cell>
          <cell r="C407" t="str">
            <v>Nguyễn Văn Sơn</v>
          </cell>
          <cell r="D407" t="str">
            <v>Kỹ sư Cơ khí</v>
          </cell>
          <cell r="E407" t="str">
            <v>Tổng công ty Công nghiệp Công nghệ cao Viettel</v>
          </cell>
          <cell r="F407" t="str">
            <v>Khối 1 - TCT CNC</v>
          </cell>
          <cell r="G407" t="str">
            <v>Trung tâm Rada</v>
          </cell>
        </row>
        <row r="408">
          <cell r="B408" t="str">
            <v>240214</v>
          </cell>
          <cell r="C408" t="str">
            <v>Lê Việt Tiệp</v>
          </cell>
          <cell r="D408" t="str">
            <v>Kỹ sư Kiểm soát chất lượng (QC)</v>
          </cell>
          <cell r="E408" t="str">
            <v>Tổng công ty Công nghiệp Công nghệ cao Viettel</v>
          </cell>
          <cell r="F408" t="str">
            <v>Khối 1 - TCT CNC</v>
          </cell>
          <cell r="G408" t="str">
            <v>Trung tâm Rada</v>
          </cell>
        </row>
        <row r="409">
          <cell r="B409" t="str">
            <v>240660</v>
          </cell>
          <cell r="C409" t="str">
            <v>Đoàn Thị Phương</v>
          </cell>
          <cell r="D409" t="str">
            <v>Kỹ sư Cơ khí</v>
          </cell>
          <cell r="E409" t="str">
            <v>Tổng công ty Công nghiệp Công nghệ cao Viettel</v>
          </cell>
          <cell r="F409" t="str">
            <v>Khối 1 - TCT CNC</v>
          </cell>
          <cell r="G409" t="str">
            <v>Trung tâm Rada</v>
          </cell>
        </row>
        <row r="410">
          <cell r="B410" t="str">
            <v>242313</v>
          </cell>
          <cell r="C410" t="str">
            <v>Trần Quang Dũng</v>
          </cell>
          <cell r="D410" t="str">
            <v>Kỹ sư Cơ khí</v>
          </cell>
          <cell r="E410" t="str">
            <v>Tổng công ty Công nghiệp Công nghệ cao Viettel</v>
          </cell>
          <cell r="F410" t="str">
            <v>Khối 1 - TCT CNC</v>
          </cell>
          <cell r="G410" t="str">
            <v>Trung tâm Rada</v>
          </cell>
        </row>
        <row r="411">
          <cell r="B411" t="str">
            <v>245314</v>
          </cell>
          <cell r="C411" t="str">
            <v>Đàm Quang Huy</v>
          </cell>
          <cell r="D411" t="str">
            <v>Kỹ sư Điều khiển tự động</v>
          </cell>
          <cell r="E411" t="str">
            <v>Tổng công ty Công nghiệp Công nghệ cao Viettel</v>
          </cell>
          <cell r="F411" t="str">
            <v>Khối 1 - TCT CNC</v>
          </cell>
          <cell r="G411" t="str">
            <v>Trung tâm Rada</v>
          </cell>
        </row>
        <row r="412">
          <cell r="B412" t="str">
            <v>250371</v>
          </cell>
          <cell r="C412" t="str">
            <v>Cao Văn Đoàn</v>
          </cell>
          <cell r="D412" t="str">
            <v>Kỹ sư Cơ khí</v>
          </cell>
          <cell r="E412" t="str">
            <v>Tổng công ty Công nghiệp Công nghệ cao Viettel</v>
          </cell>
          <cell r="F412" t="str">
            <v>Khối 1 - TCT CNC</v>
          </cell>
          <cell r="G412" t="str">
            <v>Trung tâm Rada</v>
          </cell>
        </row>
        <row r="413">
          <cell r="B413" t="str">
            <v>270951</v>
          </cell>
          <cell r="C413" t="str">
            <v>Nguyễn Đình Sơn</v>
          </cell>
          <cell r="D413" t="str">
            <v>Kỹ sư Antenna</v>
          </cell>
          <cell r="E413" t="str">
            <v>Tổng công ty Công nghiệp Công nghệ cao Viettel</v>
          </cell>
          <cell r="F413" t="str">
            <v>Khối 1 - TCT CNC</v>
          </cell>
          <cell r="G413" t="str">
            <v>Trung tâm Rada</v>
          </cell>
        </row>
        <row r="414">
          <cell r="B414" t="str">
            <v>275822</v>
          </cell>
          <cell r="C414" t="str">
            <v>Đoàn Đức Lợi</v>
          </cell>
          <cell r="D414" t="str">
            <v>Kỹ sư Điều khiển tự động</v>
          </cell>
          <cell r="E414" t="str">
            <v>Tổng công ty Công nghiệp Công nghệ cao Viettel</v>
          </cell>
          <cell r="F414" t="str">
            <v>Khối 1 - TCT CNC</v>
          </cell>
          <cell r="G414" t="str">
            <v>Trung tâm Rada</v>
          </cell>
        </row>
        <row r="415">
          <cell r="B415" t="str">
            <v>276033</v>
          </cell>
          <cell r="C415" t="str">
            <v>Nguyễn Thị Hoa</v>
          </cell>
          <cell r="D415" t="str">
            <v>Kỹ sư FPGA</v>
          </cell>
          <cell r="E415" t="str">
            <v>Tổng công ty Công nghiệp Công nghệ cao Viettel</v>
          </cell>
          <cell r="F415" t="str">
            <v>Khối 1 - TCT CNC</v>
          </cell>
          <cell r="G415" t="str">
            <v>Trung tâm Rada</v>
          </cell>
        </row>
        <row r="416">
          <cell r="B416" t="str">
            <v>278333</v>
          </cell>
          <cell r="C416" t="str">
            <v>Đỗ Duy Khánh</v>
          </cell>
          <cell r="D416" t="str">
            <v>Kỹ sư Xử lý tín hiệu</v>
          </cell>
          <cell r="E416" t="str">
            <v>Tổng công ty Công nghiệp Công nghệ cao Viettel</v>
          </cell>
          <cell r="F416" t="str">
            <v>Khối 1 - TCT CNC</v>
          </cell>
          <cell r="G416" t="str">
            <v>Trung tâm Rada</v>
          </cell>
        </row>
        <row r="417">
          <cell r="B417" t="str">
            <v>279724</v>
          </cell>
          <cell r="C417" t="str">
            <v>Nguyễn Đức Tài</v>
          </cell>
          <cell r="D417" t="str">
            <v>Kỹ sư Thiết kế phần cứng</v>
          </cell>
          <cell r="E417" t="str">
            <v>Tổng công ty Công nghiệp Công nghệ cao Viettel</v>
          </cell>
          <cell r="F417" t="str">
            <v>Khối 1 - TCT CNC</v>
          </cell>
          <cell r="G417" t="str">
            <v>Trung tâm Rada</v>
          </cell>
        </row>
        <row r="418">
          <cell r="B418" t="str">
            <v>285407</v>
          </cell>
          <cell r="C418" t="str">
            <v>Nguyễn Tiến Nam</v>
          </cell>
          <cell r="D418" t="str">
            <v>Kỹ sư Thiết kế phần cứng</v>
          </cell>
          <cell r="E418" t="str">
            <v>Tổng công ty Công nghiệp Công nghệ cao Viettel</v>
          </cell>
          <cell r="F418" t="str">
            <v>Khối 1 - TCT CNC</v>
          </cell>
          <cell r="G418" t="str">
            <v>Trung tâm Rada</v>
          </cell>
        </row>
        <row r="419">
          <cell r="B419" t="str">
            <v>289574</v>
          </cell>
          <cell r="C419" t="str">
            <v>Nguyễn Đình Khuê</v>
          </cell>
          <cell r="D419" t="str">
            <v>Kỹ sư Xử lý tín hiệu</v>
          </cell>
          <cell r="E419" t="str">
            <v>Tổng công ty Công nghiệp Công nghệ cao Viettel</v>
          </cell>
          <cell r="F419" t="str">
            <v>Khối 1 - TCT CNC</v>
          </cell>
          <cell r="G419" t="str">
            <v>Trung tâm Rada</v>
          </cell>
        </row>
        <row r="420">
          <cell r="B420" t="str">
            <v>290843</v>
          </cell>
          <cell r="C420" t="str">
            <v>Nguyễn Hoàng Linh</v>
          </cell>
          <cell r="D420" t="str">
            <v>Kỹ sư Thiết kế phần cứng</v>
          </cell>
          <cell r="E420" t="str">
            <v>Tổng công ty Công nghiệp Công nghệ cao Viettel</v>
          </cell>
          <cell r="F420" t="str">
            <v>Khối 1 - TCT CNC</v>
          </cell>
          <cell r="G420" t="str">
            <v>Trung tâm Rada</v>
          </cell>
        </row>
        <row r="421">
          <cell r="B421" t="str">
            <v>290857</v>
          </cell>
          <cell r="C421" t="str">
            <v>Lương Hải Quân</v>
          </cell>
          <cell r="D421" t="str">
            <v>Kỹ sư Xử lý tín hiệu</v>
          </cell>
          <cell r="E421" t="str">
            <v>Tổng công ty Công nghiệp Công nghệ cao Viettel</v>
          </cell>
          <cell r="F421" t="str">
            <v>Khối 1 - TCT CNC</v>
          </cell>
          <cell r="G421" t="str">
            <v>Trung tâm Rada</v>
          </cell>
        </row>
        <row r="422">
          <cell r="B422" t="str">
            <v>291708</v>
          </cell>
          <cell r="C422" t="str">
            <v>Nguyễn Minh Nguyệt</v>
          </cell>
          <cell r="D422" t="str">
            <v>Kỹ sư Kiểm thử</v>
          </cell>
          <cell r="E422" t="str">
            <v>Tổng công ty Công nghiệp Công nghệ cao Viettel</v>
          </cell>
          <cell r="F422" t="str">
            <v>Khối 1 - TCT CNC</v>
          </cell>
          <cell r="G422" t="str">
            <v>Trung tâm Rada</v>
          </cell>
        </row>
        <row r="423">
          <cell r="B423" t="str">
            <v>291849</v>
          </cell>
          <cell r="C423" t="str">
            <v>Trương Việt Hoàng</v>
          </cell>
          <cell r="D423" t="str">
            <v>Kỹ sư Thiết kế phần cứng</v>
          </cell>
          <cell r="E423" t="str">
            <v>Tổng công ty Công nghiệp Công nghệ cao Viettel</v>
          </cell>
          <cell r="F423" t="str">
            <v>Khối 1 - TCT CNC</v>
          </cell>
          <cell r="G423" t="str">
            <v>Trung tâm Rada</v>
          </cell>
        </row>
        <row r="424">
          <cell r="B424" t="str">
            <v>291887</v>
          </cell>
          <cell r="C424" t="str">
            <v>Phạm Thị Quyên</v>
          </cell>
          <cell r="D424" t="str">
            <v>Kỹ sư Kiểm thử</v>
          </cell>
          <cell r="E424" t="str">
            <v>Tổng công ty Công nghiệp Công nghệ cao Viettel</v>
          </cell>
          <cell r="F424" t="str">
            <v>Khối 1 - TCT CNC</v>
          </cell>
          <cell r="G424" t="str">
            <v>Trung tâm Rada</v>
          </cell>
        </row>
        <row r="425">
          <cell r="B425" t="str">
            <v>292563</v>
          </cell>
          <cell r="C425" t="str">
            <v>Phạm Văn Tiến</v>
          </cell>
          <cell r="D425" t="str">
            <v>Kỹ sư Nghiên cứu thuật toán</v>
          </cell>
          <cell r="E425" t="str">
            <v>Tổng công ty Công nghiệp Công nghệ cao Viettel</v>
          </cell>
          <cell r="F425" t="str">
            <v>Khối 1 - TCT CNC</v>
          </cell>
          <cell r="G425" t="str">
            <v>Trung tâm Rada</v>
          </cell>
        </row>
        <row r="426">
          <cell r="B426" t="str">
            <v>305960</v>
          </cell>
          <cell r="C426" t="str">
            <v>Phạm Dương Nam</v>
          </cell>
          <cell r="D426" t="str">
            <v>Kỹ sư thiết kế phần mềm</v>
          </cell>
          <cell r="E426" t="str">
            <v>Tổng công ty Công nghiệp Công nghệ cao Viettel</v>
          </cell>
          <cell r="F426" t="str">
            <v>Khối 1 - TCT CNC</v>
          </cell>
          <cell r="G426" t="str">
            <v>Trung tâm Rada</v>
          </cell>
        </row>
        <row r="427">
          <cell r="B427" t="str">
            <v>430463</v>
          </cell>
          <cell r="C427" t="str">
            <v>Lê Công Tuấn</v>
          </cell>
          <cell r="D427" t="str">
            <v>Kỹ sư Phát triển phần mềm</v>
          </cell>
          <cell r="E427" t="str">
            <v>Tổng công ty Công nghiệp Công nghệ cao Viettel</v>
          </cell>
          <cell r="F427" t="str">
            <v>Khối 1 - TCT CNC</v>
          </cell>
          <cell r="G427" t="str">
            <v>Trung tâm Rada</v>
          </cell>
        </row>
        <row r="428">
          <cell r="B428" t="str">
            <v>436519</v>
          </cell>
          <cell r="C428" t="str">
            <v>Hoàng Văn Thư</v>
          </cell>
          <cell r="D428" t="str">
            <v>Kỹ sư Phát triển phần mềm</v>
          </cell>
          <cell r="E428" t="str">
            <v>Tổng công ty Công nghiệp Công nghệ cao Viettel</v>
          </cell>
          <cell r="F428" t="str">
            <v>Khối 1 - TCT CNC</v>
          </cell>
          <cell r="G428" t="str">
            <v>Trung tâm Rada</v>
          </cell>
        </row>
        <row r="429">
          <cell r="B429" t="str">
            <v>439204</v>
          </cell>
          <cell r="C429" t="str">
            <v>Ngô Thế Quân</v>
          </cell>
          <cell r="D429" t="str">
            <v>Kỹ sư Thiết kế phần cứng</v>
          </cell>
          <cell r="E429" t="str">
            <v>Tổng công ty Công nghiệp Công nghệ cao Viettel</v>
          </cell>
          <cell r="F429" t="str">
            <v>Khối 1 - TCT CNC</v>
          </cell>
          <cell r="G429" t="str">
            <v>Trung tâm Rada</v>
          </cell>
        </row>
        <row r="430">
          <cell r="B430" t="str">
            <v>439269</v>
          </cell>
          <cell r="C430" t="str">
            <v>Nguyễn Thái Dương</v>
          </cell>
          <cell r="D430" t="str">
            <v>Kỹ sư Phần mềm nhúng</v>
          </cell>
          <cell r="E430" t="str">
            <v>Tổng công ty Công nghiệp Công nghệ cao Viettel</v>
          </cell>
          <cell r="F430" t="str">
            <v>Khối 1 - TCT CNC</v>
          </cell>
          <cell r="G430" t="str">
            <v>Trung tâm Rada</v>
          </cell>
        </row>
        <row r="431">
          <cell r="B431" t="str">
            <v>439596</v>
          </cell>
          <cell r="C431" t="str">
            <v>Trần Nguyên Khải</v>
          </cell>
          <cell r="D431" t="str">
            <v>Kỹ sư Điện-Tự động hóa</v>
          </cell>
          <cell r="E431" t="str">
            <v>Tổng công ty Công nghiệp Công nghệ cao Viettel</v>
          </cell>
          <cell r="F431" t="str">
            <v>Khối 1 - TCT CNC</v>
          </cell>
          <cell r="G431" t="str">
            <v>Trung tâm Rada</v>
          </cell>
        </row>
        <row r="432">
          <cell r="B432" t="str">
            <v>439597</v>
          </cell>
          <cell r="C432" t="str">
            <v>Nguyễn Đình Tú</v>
          </cell>
          <cell r="D432" t="str">
            <v>Kỹ sư Nghiên cứu thuật toán</v>
          </cell>
          <cell r="E432" t="str">
            <v>Tổng công ty Công nghiệp Công nghệ cao Viettel</v>
          </cell>
          <cell r="F432" t="str">
            <v>Khối 1 - TCT CNC</v>
          </cell>
          <cell r="G432" t="str">
            <v>Trung tâm Rada</v>
          </cell>
        </row>
        <row r="433">
          <cell r="B433" t="str">
            <v>439954</v>
          </cell>
          <cell r="C433" t="str">
            <v>Nguyễn Thế Công Minh</v>
          </cell>
          <cell r="D433" t="str">
            <v>Kỹ sư Điện-Tự động hóa</v>
          </cell>
          <cell r="E433" t="str">
            <v>Tổng công ty Công nghiệp Công nghệ cao Viettel</v>
          </cell>
          <cell r="F433" t="str">
            <v>Khối 1 - TCT CNC</v>
          </cell>
          <cell r="G433" t="str">
            <v>Trung tâm Rada</v>
          </cell>
        </row>
        <row r="434">
          <cell r="B434" t="str">
            <v>441580</v>
          </cell>
          <cell r="C434" t="str">
            <v>Nguyễn Thế Cơ</v>
          </cell>
          <cell r="D434" t="str">
            <v>Kỹ sư Điều khiển tự động</v>
          </cell>
          <cell r="E434" t="str">
            <v>Tổng công ty Công nghiệp Công nghệ cao Viettel</v>
          </cell>
          <cell r="F434" t="str">
            <v>Khối 1 - TCT CNC</v>
          </cell>
          <cell r="G434" t="str">
            <v>Trung tâm Rada</v>
          </cell>
        </row>
        <row r="435">
          <cell r="B435" t="str">
            <v>441582</v>
          </cell>
          <cell r="C435" t="str">
            <v>Nguyễn Xuân Tuấn</v>
          </cell>
          <cell r="D435" t="str">
            <v>Kỹ sư Điện-Tự động hóa</v>
          </cell>
          <cell r="E435" t="str">
            <v>Tổng công ty Công nghiệp Công nghệ cao Viettel</v>
          </cell>
          <cell r="F435" t="str">
            <v>Khối 1 - TCT CNC</v>
          </cell>
          <cell r="G435" t="str">
            <v>Trung tâm Rada</v>
          </cell>
        </row>
        <row r="436">
          <cell r="B436" t="str">
            <v>443008</v>
          </cell>
          <cell r="C436" t="str">
            <v>Phùng Tuấn Linh</v>
          </cell>
          <cell r="D436" t="str">
            <v>Kỹ sư Phát triển phần mềm</v>
          </cell>
          <cell r="E436" t="str">
            <v>Tổng công ty Công nghiệp Công nghệ cao Viettel</v>
          </cell>
          <cell r="F436" t="str">
            <v>Khối 1 - TCT CNC</v>
          </cell>
          <cell r="G436" t="str">
            <v>Trung tâm Rada</v>
          </cell>
        </row>
        <row r="437">
          <cell r="B437" t="str">
            <v>446141</v>
          </cell>
          <cell r="C437" t="str">
            <v>Đỗ Thiên Định</v>
          </cell>
          <cell r="D437" t="str">
            <v>Kỹ sư Cơ khí</v>
          </cell>
          <cell r="E437" t="str">
            <v>Tổng công ty Công nghiệp Công nghệ cao Viettel</v>
          </cell>
          <cell r="F437" t="str">
            <v>Khối 1 - TCT CNC</v>
          </cell>
          <cell r="G437" t="str">
            <v>Trung tâm Rada</v>
          </cell>
        </row>
        <row r="438">
          <cell r="B438" t="str">
            <v>446145</v>
          </cell>
          <cell r="C438" t="str">
            <v>Nguyễn Huy Hoàng</v>
          </cell>
          <cell r="D438" t="str">
            <v>Kỹ sư Cơ khí</v>
          </cell>
          <cell r="E438" t="str">
            <v>Tổng công ty Công nghiệp Công nghệ cao Viettel</v>
          </cell>
          <cell r="F438" t="str">
            <v>Khối 1 - TCT CNC</v>
          </cell>
          <cell r="G438" t="str">
            <v>Trung tâm Rada</v>
          </cell>
        </row>
        <row r="439">
          <cell r="B439" t="str">
            <v>446293</v>
          </cell>
          <cell r="C439" t="str">
            <v>Hoàng Minh Đức</v>
          </cell>
          <cell r="D439" t="str">
            <v>Kỹ sư Antenna</v>
          </cell>
          <cell r="E439" t="str">
            <v>Tổng công ty Công nghiệp Công nghệ cao Viettel</v>
          </cell>
          <cell r="F439" t="str">
            <v>Khối 1 - TCT CNC</v>
          </cell>
          <cell r="G439" t="str">
            <v>Trung tâm Rada</v>
          </cell>
        </row>
        <row r="440">
          <cell r="B440" t="str">
            <v>447097</v>
          </cell>
          <cell r="C440" t="str">
            <v>Lê Tân Việt</v>
          </cell>
          <cell r="D440" t="str">
            <v>Kỹ sư Thiết kế phần cứng</v>
          </cell>
          <cell r="E440" t="str">
            <v>Tổng công ty Công nghiệp Công nghệ cao Viettel</v>
          </cell>
          <cell r="F440" t="str">
            <v>Khối 1 - TCT CNC</v>
          </cell>
          <cell r="G440" t="str">
            <v>Trung tâm Rada</v>
          </cell>
        </row>
        <row r="441">
          <cell r="B441" t="str">
            <v>448239</v>
          </cell>
          <cell r="C441" t="str">
            <v>Nguyễn Đình Tuấn</v>
          </cell>
          <cell r="D441" t="str">
            <v>Kỹ sư Nghiên cứu thuật toán</v>
          </cell>
          <cell r="E441" t="str">
            <v>Tổng công ty Công nghiệp Công nghệ cao Viettel</v>
          </cell>
          <cell r="F441" t="str">
            <v>Khối 1 - TCT CNC</v>
          </cell>
          <cell r="G441" t="str">
            <v>Trung tâm Rada</v>
          </cell>
        </row>
        <row r="442">
          <cell r="B442" t="str">
            <v>452773</v>
          </cell>
          <cell r="C442" t="str">
            <v>Phạm Thanh Trà</v>
          </cell>
          <cell r="D442" t="str">
            <v>Kỹ sư Phân tích nghiệp vụ</v>
          </cell>
          <cell r="E442" t="str">
            <v>Tổng công ty Công nghiệp Công nghệ cao Viettel</v>
          </cell>
          <cell r="F442" t="str">
            <v>Khối 1 - TCT CNC</v>
          </cell>
          <cell r="G442" t="str">
            <v>Trung tâm Rada</v>
          </cell>
        </row>
        <row r="443">
          <cell r="B443" t="str">
            <v>456119</v>
          </cell>
          <cell r="C443" t="str">
            <v>Lê Thành Long</v>
          </cell>
          <cell r="D443" t="str">
            <v>Kỹ sư Cơ khí</v>
          </cell>
          <cell r="E443" t="str">
            <v>Tổng công ty Công nghiệp Công nghệ cao Viettel</v>
          </cell>
          <cell r="F443" t="str">
            <v>Khối 1 - TCT CNC</v>
          </cell>
          <cell r="G443" t="str">
            <v>Trung tâm Rada</v>
          </cell>
        </row>
        <row r="444">
          <cell r="B444" t="str">
            <v>457721</v>
          </cell>
          <cell r="C444" t="str">
            <v>Vũ Long</v>
          </cell>
          <cell r="D444" t="str">
            <v>Kỹ sư Nghiên cứu thuật toán</v>
          </cell>
          <cell r="E444" t="str">
            <v>Tổng công ty Công nghiệp Công nghệ cao Viettel</v>
          </cell>
          <cell r="F444" t="str">
            <v>Khối 1 - TCT CNC</v>
          </cell>
          <cell r="G444" t="str">
            <v>Trung tâm Rada</v>
          </cell>
        </row>
        <row r="445">
          <cell r="B445" t="str">
            <v>457723</v>
          </cell>
          <cell r="C445" t="str">
            <v>Lê Thúy Quỳnh</v>
          </cell>
          <cell r="D445" t="str">
            <v>Kỹ sư Nghiên cứu thuật toán</v>
          </cell>
          <cell r="E445" t="str">
            <v>Tổng công ty Công nghiệp Công nghệ cao Viettel</v>
          </cell>
          <cell r="F445" t="str">
            <v>Khối 1 - TCT CNC</v>
          </cell>
          <cell r="G445" t="str">
            <v>Trung tâm Rada</v>
          </cell>
        </row>
        <row r="446">
          <cell r="B446" t="str">
            <v>458529</v>
          </cell>
          <cell r="C446" t="str">
            <v>Đặng Hồng Kỳ</v>
          </cell>
          <cell r="D446" t="str">
            <v>Kỹ sư Phát triển phần mềm</v>
          </cell>
          <cell r="E446" t="str">
            <v>Tổng công ty Công nghiệp Công nghệ cao Viettel</v>
          </cell>
          <cell r="F446" t="str">
            <v>Khối 1 - TCT CNC</v>
          </cell>
          <cell r="G446" t="str">
            <v>Trung tâm Rada</v>
          </cell>
        </row>
        <row r="447">
          <cell r="B447" t="str">
            <v>459891</v>
          </cell>
          <cell r="C447" t="str">
            <v>Nguyễn Như Minh Tuấn</v>
          </cell>
          <cell r="D447" t="str">
            <v>Kỹ sư Điện-Tự động hóa</v>
          </cell>
          <cell r="E447" t="str">
            <v>Tổng công ty Công nghiệp Công nghệ cao Viettel</v>
          </cell>
          <cell r="F447" t="str">
            <v>Khối 1 - TCT CNC</v>
          </cell>
          <cell r="G447" t="str">
            <v>Trung tâm Rada</v>
          </cell>
        </row>
        <row r="448">
          <cell r="B448" t="str">
            <v>460665</v>
          </cell>
          <cell r="C448" t="str">
            <v>Nguyễn Đình Việt Anh</v>
          </cell>
          <cell r="D448" t="str">
            <v>Kỹ sư Phát triển phần mềm</v>
          </cell>
          <cell r="E448" t="str">
            <v>Tổng công ty Công nghiệp Công nghệ cao Viettel</v>
          </cell>
          <cell r="F448" t="str">
            <v>Khối 1 - TCT CNC</v>
          </cell>
          <cell r="G448" t="str">
            <v>Trung tâm Rada</v>
          </cell>
        </row>
        <row r="449">
          <cell r="B449" t="str">
            <v>461165</v>
          </cell>
          <cell r="C449" t="str">
            <v>Lại Việt Bách</v>
          </cell>
          <cell r="D449" t="str">
            <v>Kỹ sư Cao tần</v>
          </cell>
          <cell r="E449" t="str">
            <v>Tổng công ty Công nghiệp Công nghệ cao Viettel</v>
          </cell>
          <cell r="F449" t="str">
            <v>Khối 1 - TCT CNC</v>
          </cell>
          <cell r="G449" t="str">
            <v>Trung tâm Rada</v>
          </cell>
        </row>
        <row r="450">
          <cell r="B450" t="str">
            <v>464269</v>
          </cell>
          <cell r="C450" t="str">
            <v>Nguyễn Huy Hoàng</v>
          </cell>
          <cell r="D450" t="str">
            <v>Kỹ sư Phần mềm nhúng</v>
          </cell>
          <cell r="E450" t="str">
            <v>Tổng công ty Công nghiệp Công nghệ cao Viettel</v>
          </cell>
          <cell r="F450" t="str">
            <v>Khối 1 - TCT CNC</v>
          </cell>
          <cell r="G450" t="str">
            <v>Trung tâm Rada</v>
          </cell>
        </row>
        <row r="451">
          <cell r="B451" t="str">
            <v>466099</v>
          </cell>
          <cell r="C451" t="str">
            <v>Hoàng Thị Thúy Hằng</v>
          </cell>
          <cell r="D451" t="str">
            <v>Kỹ sư Thiết kế phần cứng</v>
          </cell>
          <cell r="E451" t="str">
            <v>Tổng công ty Công nghiệp Công nghệ cao Viettel</v>
          </cell>
          <cell r="F451" t="str">
            <v>Khối 1 - TCT CNC</v>
          </cell>
          <cell r="G451" t="str">
            <v>Trung tâm Rada</v>
          </cell>
        </row>
        <row r="452">
          <cell r="B452" t="str">
            <v>467333</v>
          </cell>
          <cell r="C452" t="str">
            <v>Nguyễn Chi Hiệu</v>
          </cell>
          <cell r="D452" t="str">
            <v>Kỹ sư Thiết kế cơ khí</v>
          </cell>
          <cell r="E452" t="str">
            <v>Tổng công ty Công nghiệp Công nghệ cao Viettel</v>
          </cell>
          <cell r="F452" t="str">
            <v>Khối 1 - TCT CNC</v>
          </cell>
          <cell r="G452" t="str">
            <v>Trung tâm Rada</v>
          </cell>
        </row>
        <row r="453">
          <cell r="B453" t="str">
            <v>468471</v>
          </cell>
          <cell r="C453" t="str">
            <v>Nguyễn Văn An</v>
          </cell>
          <cell r="D453" t="str">
            <v>Kỹ sư FPGA</v>
          </cell>
          <cell r="E453" t="str">
            <v>Tổng công ty Công nghiệp Công nghệ cao Viettel</v>
          </cell>
          <cell r="F453" t="str">
            <v>Khối 1 - TCT CNC</v>
          </cell>
          <cell r="G453" t="str">
            <v>Trung tâm Rada</v>
          </cell>
        </row>
        <row r="454">
          <cell r="B454" t="str">
            <v>470341</v>
          </cell>
          <cell r="C454" t="str">
            <v>Trần Ngọc Cường</v>
          </cell>
          <cell r="D454" t="str">
            <v>Kỹ sư Điện-Tự động hóa</v>
          </cell>
          <cell r="E454" t="str">
            <v>Tổng công ty Công nghiệp Công nghệ cao Viettel</v>
          </cell>
          <cell r="F454" t="str">
            <v>Khối 1 - TCT CNC</v>
          </cell>
          <cell r="G454" t="str">
            <v>Trung tâm Rada</v>
          </cell>
        </row>
        <row r="455">
          <cell r="B455" t="str">
            <v>470357</v>
          </cell>
          <cell r="C455" t="str">
            <v>Lưu Huy Khánh</v>
          </cell>
          <cell r="D455" t="str">
            <v>Kỹ sư Thiết kế phần cứng</v>
          </cell>
          <cell r="E455" t="str">
            <v>Tổng công ty Công nghiệp Công nghệ cao Viettel</v>
          </cell>
          <cell r="F455" t="str">
            <v>Khối 1 - TCT CNC</v>
          </cell>
          <cell r="G455" t="str">
            <v>Trung tâm Rada</v>
          </cell>
        </row>
        <row r="456">
          <cell r="B456" t="str">
            <v>472569</v>
          </cell>
          <cell r="C456" t="str">
            <v>Đỗ Đức Chung</v>
          </cell>
          <cell r="D456" t="str">
            <v>Kỹ sư Cơ khí</v>
          </cell>
          <cell r="E456" t="str">
            <v>Tổng công ty Công nghiệp Công nghệ cao Viettel</v>
          </cell>
          <cell r="F456" t="str">
            <v>Khối 1 - TCT CNC</v>
          </cell>
          <cell r="G456" t="str">
            <v>Trung tâm Rada</v>
          </cell>
        </row>
        <row r="457">
          <cell r="B457" t="str">
            <v>473083</v>
          </cell>
          <cell r="C457" t="str">
            <v>Đào Công Trường Giang</v>
          </cell>
          <cell r="D457" t="str">
            <v>Kỹ sư Thiết kế phần cứng</v>
          </cell>
          <cell r="E457" t="str">
            <v>Tổng công ty Công nghiệp Công nghệ cao Viettel</v>
          </cell>
          <cell r="F457" t="str">
            <v>Khối 1 - TCT CNC</v>
          </cell>
          <cell r="G457" t="str">
            <v>Trung tâm Rada</v>
          </cell>
        </row>
        <row r="458">
          <cell r="B458" t="str">
            <v>475189</v>
          </cell>
          <cell r="C458" t="str">
            <v>Phạm Phú Khang</v>
          </cell>
          <cell r="D458" t="str">
            <v>Kỹ sư Điều khiển tự động</v>
          </cell>
          <cell r="E458" t="str">
            <v>Tổng công ty Công nghiệp Công nghệ cao Viettel</v>
          </cell>
          <cell r="F458" t="str">
            <v>Khối 1 - TCT CNC</v>
          </cell>
          <cell r="G458" t="str">
            <v>Trung tâm Rada</v>
          </cell>
        </row>
        <row r="459">
          <cell r="B459" t="str">
            <v>476027</v>
          </cell>
          <cell r="C459" t="str">
            <v>Lê Ngọc Hải</v>
          </cell>
          <cell r="D459" t="str">
            <v>Kỹ sư Điện-Tự động hóa</v>
          </cell>
          <cell r="E459" t="str">
            <v>Tổng công ty Công nghiệp Công nghệ cao Viettel</v>
          </cell>
          <cell r="F459" t="str">
            <v>Khối 1 - TCT CNC</v>
          </cell>
          <cell r="G459" t="str">
            <v>Trung tâm Rada</v>
          </cell>
        </row>
        <row r="460">
          <cell r="B460" t="str">
            <v>476071</v>
          </cell>
          <cell r="C460" t="str">
            <v>Lê Văn Dũng</v>
          </cell>
          <cell r="D460" t="str">
            <v>Kỹ sư Thiết kế phần cứng</v>
          </cell>
          <cell r="E460" t="str">
            <v>Tổng công ty Công nghiệp Công nghệ cao Viettel</v>
          </cell>
          <cell r="F460" t="str">
            <v>Khối 1 - TCT CNC</v>
          </cell>
          <cell r="G460" t="str">
            <v>Trung tâm Rada</v>
          </cell>
        </row>
        <row r="461">
          <cell r="B461" t="str">
            <v>072554</v>
          </cell>
          <cell r="C461" t="str">
            <v>Đào Trọng Nghĩa</v>
          </cell>
          <cell r="D461" t="str">
            <v>Trưởng phòng Nghiên cứu, thiết kế công nghệ điện tử hàng không</v>
          </cell>
          <cell r="E461" t="str">
            <v>Tổng công ty Công nghiệp Công nghệ cao Viettel</v>
          </cell>
          <cell r="F461" t="str">
            <v>Khối 1 - TCT CNC</v>
          </cell>
          <cell r="G461" t="str">
            <v>Trung tâm Thông tin Quân sự</v>
          </cell>
        </row>
        <row r="462">
          <cell r="B462" t="str">
            <v>079711</v>
          </cell>
          <cell r="C462" t="str">
            <v>Đỗ Thị Ngọc Tuyền</v>
          </cell>
          <cell r="D462" t="str">
            <v>Kỹ sư Thiết kế phần cứng</v>
          </cell>
          <cell r="E462" t="str">
            <v>Tổng công ty Công nghiệp Công nghệ cao Viettel</v>
          </cell>
          <cell r="F462" t="str">
            <v>Khối 1 - TCT CNC</v>
          </cell>
          <cell r="G462" t="str">
            <v>Trung tâm Thông tin Quân sự</v>
          </cell>
        </row>
        <row r="463">
          <cell r="B463" t="str">
            <v>079720</v>
          </cell>
          <cell r="C463" t="str">
            <v>Nguyễn Minh Tùng</v>
          </cell>
          <cell r="D463" t="str">
            <v>Trưởng phòng Nghiên cứu, thiết kế chế thử phần cứng hiệu suất cao</v>
          </cell>
          <cell r="E463" t="str">
            <v>Tổng công ty Công nghiệp Công nghệ cao Viettel</v>
          </cell>
          <cell r="F463" t="str">
            <v>Khối 1 - TCT CNC</v>
          </cell>
          <cell r="G463" t="str">
            <v>Trung tâm Thông tin Quân sự</v>
          </cell>
        </row>
        <row r="464">
          <cell r="B464" t="str">
            <v>087199</v>
          </cell>
          <cell r="C464" t="str">
            <v>Đặng Hữu Tùng</v>
          </cell>
          <cell r="D464" t="str">
            <v>Phó Giám đốc Trung tâm</v>
          </cell>
          <cell r="E464" t="str">
            <v>Tổng công ty Công nghiệp Công nghệ cao Viettel</v>
          </cell>
          <cell r="F464" t="str">
            <v>Khối 1 - TCT CNC</v>
          </cell>
          <cell r="G464" t="str">
            <v>Trung tâm Thông tin Quân sự</v>
          </cell>
        </row>
        <row r="465">
          <cell r="B465" t="str">
            <v>110139</v>
          </cell>
          <cell r="C465" t="str">
            <v>Vũ Minh Tuấn</v>
          </cell>
          <cell r="D465" t="str">
            <v>Giám đốc Trung tâm</v>
          </cell>
          <cell r="E465" t="str">
            <v>Tổng công ty Công nghiệp Công nghệ cao Viettel</v>
          </cell>
          <cell r="F465" t="str">
            <v>Khối 1 - TCT CNC</v>
          </cell>
          <cell r="G465" t="str">
            <v>Trung tâm Thông tin Quân sự</v>
          </cell>
        </row>
        <row r="466">
          <cell r="B466" t="str">
            <v>114498</v>
          </cell>
          <cell r="C466" t="str">
            <v>Chu Bá Lâm</v>
          </cell>
          <cell r="D466" t="str">
            <v>Kỹ sư hệ thống</v>
          </cell>
          <cell r="E466" t="str">
            <v>Tổng công ty Công nghiệp Công nghệ cao Viettel</v>
          </cell>
          <cell r="F466" t="str">
            <v>Khối 1 - TCT CNC</v>
          </cell>
          <cell r="G466" t="str">
            <v>Trung tâm Thông tin Quân sự</v>
          </cell>
        </row>
        <row r="467">
          <cell r="B467" t="str">
            <v>123204</v>
          </cell>
          <cell r="C467" t="str">
            <v>Nguyễn Hữu Đức</v>
          </cell>
          <cell r="D467" t="str">
            <v>Kỹ sư trưởng Công nghệ</v>
          </cell>
          <cell r="E467" t="str">
            <v>Tổng công ty Công nghiệp Công nghệ cao Viettel</v>
          </cell>
          <cell r="F467" t="str">
            <v>Khối 1 - TCT CNC</v>
          </cell>
          <cell r="G467" t="str">
            <v>Trung tâm Thông tin Quân sự</v>
          </cell>
        </row>
        <row r="468">
          <cell r="B468" t="str">
            <v>135755</v>
          </cell>
          <cell r="C468" t="str">
            <v>Nguyễn Hồng Huy Thông</v>
          </cell>
          <cell r="D468" t="str">
            <v>Phó Giám đốc Trung tâm</v>
          </cell>
          <cell r="E468" t="str">
            <v>Tổng công ty Công nghiệp Công nghệ cao Viettel</v>
          </cell>
          <cell r="F468" t="str">
            <v>Khối 1 - TCT CNC</v>
          </cell>
          <cell r="G468" t="str">
            <v>Trung tâm Thông tin Quân sự</v>
          </cell>
        </row>
        <row r="469">
          <cell r="B469" t="str">
            <v>135756</v>
          </cell>
          <cell r="C469" t="str">
            <v>Nguyễn Ngọc Tú</v>
          </cell>
          <cell r="D469" t="str">
            <v>Kỹ sư Phần mềm nhúng</v>
          </cell>
          <cell r="E469" t="str">
            <v>Tổng công ty Công nghiệp Công nghệ cao Viettel</v>
          </cell>
          <cell r="F469" t="str">
            <v>Khối 1 - TCT CNC</v>
          </cell>
          <cell r="G469" t="str">
            <v>Trung tâm Thông tin Quân sự</v>
          </cell>
        </row>
        <row r="470">
          <cell r="B470" t="str">
            <v>137611</v>
          </cell>
          <cell r="C470" t="str">
            <v>Phùng Đức Phú</v>
          </cell>
          <cell r="D470" t="str">
            <v>Trưởng phòng Nghiên cứu, thiết kế cao tần tuyến tính</v>
          </cell>
          <cell r="E470" t="str">
            <v>Tổng công ty Công nghiệp Công nghệ cao Viettel</v>
          </cell>
          <cell r="F470" t="str">
            <v>Khối 1 - TCT CNC</v>
          </cell>
          <cell r="G470" t="str">
            <v>Trung tâm Thông tin Quân sự</v>
          </cell>
        </row>
        <row r="471">
          <cell r="B471" t="str">
            <v>138528</v>
          </cell>
          <cell r="C471" t="str">
            <v>Đậu Văn Công</v>
          </cell>
          <cell r="D471" t="str">
            <v>Kỹ sư Cao tần</v>
          </cell>
          <cell r="E471" t="str">
            <v>Tổng công ty Công nghiệp Công nghệ cao Viettel</v>
          </cell>
          <cell r="F471" t="str">
            <v>Khối 1 - TCT CNC</v>
          </cell>
          <cell r="G471" t="str">
            <v>Trung tâm Thông tin Quân sự</v>
          </cell>
        </row>
        <row r="472">
          <cell r="B472" t="str">
            <v>144034</v>
          </cell>
          <cell r="C472" t="str">
            <v>Nguyễn Vũ Lâm</v>
          </cell>
          <cell r="D472" t="str">
            <v>Kỹ sư Thiết kế phần cứng</v>
          </cell>
          <cell r="E472" t="str">
            <v>Tổng công ty Công nghiệp Công nghệ cao Viettel</v>
          </cell>
          <cell r="F472" t="str">
            <v>Khối 1 - TCT CNC</v>
          </cell>
          <cell r="G472" t="str">
            <v>Trung tâm Thông tin Quân sự</v>
          </cell>
        </row>
        <row r="473">
          <cell r="B473" t="str">
            <v>155474</v>
          </cell>
          <cell r="C473" t="str">
            <v>Nguyễn Phan Khánh Hà</v>
          </cell>
          <cell r="D473" t="str">
            <v>Trưởng phòng Nghiên cứu, phát triển công nghệ vô tuyến thích nghi</v>
          </cell>
          <cell r="E473" t="str">
            <v>Tổng công ty Công nghiệp Công nghệ cao Viettel</v>
          </cell>
          <cell r="F473" t="str">
            <v>Khối 1 - TCT CNC</v>
          </cell>
          <cell r="G473" t="str">
            <v>Trung tâm Thông tin Quân sự</v>
          </cell>
        </row>
        <row r="474">
          <cell r="B474" t="str">
            <v>165018</v>
          </cell>
          <cell r="C474" t="str">
            <v>Đàm Mạnh Cường</v>
          </cell>
          <cell r="D474" t="str">
            <v>Kỹ sư hệ thống</v>
          </cell>
          <cell r="E474" t="str">
            <v>Tổng công ty Công nghiệp Công nghệ cao Viettel</v>
          </cell>
          <cell r="F474" t="str">
            <v>Khối 1 - TCT CNC</v>
          </cell>
          <cell r="G474" t="str">
            <v>Trung tâm Thông tin Quân sự</v>
          </cell>
        </row>
        <row r="475">
          <cell r="B475" t="str">
            <v>171854</v>
          </cell>
          <cell r="C475" t="str">
            <v>Lê Văn Lực</v>
          </cell>
          <cell r="D475" t="str">
            <v>Phó phòng Nghiên cứu, phát triển công nghệ truyền dẫn Datalink</v>
          </cell>
          <cell r="E475" t="str">
            <v>Tổng công ty Công nghiệp Công nghệ cao Viettel</v>
          </cell>
          <cell r="F475" t="str">
            <v>Khối 1 - TCT CNC</v>
          </cell>
          <cell r="G475" t="str">
            <v>Trung tâm Thông tin Quân sự</v>
          </cell>
        </row>
        <row r="476">
          <cell r="B476" t="str">
            <v>174234</v>
          </cell>
          <cell r="C476" t="str">
            <v>Nguyễn Quốc Chung</v>
          </cell>
          <cell r="D476" t="str">
            <v>Kỹ sư Thiết kế phần cứng</v>
          </cell>
          <cell r="E476" t="str">
            <v>Tổng công ty Công nghiệp Công nghệ cao Viettel</v>
          </cell>
          <cell r="F476" t="str">
            <v>Khối 1 - TCT CNC</v>
          </cell>
          <cell r="G476" t="str">
            <v>Trung tâm Thông tin Quân sự</v>
          </cell>
        </row>
        <row r="477">
          <cell r="B477" t="str">
            <v>180496</v>
          </cell>
          <cell r="C477" t="str">
            <v>Nguyễn Khắc Nam</v>
          </cell>
          <cell r="D477" t="str">
            <v>Kỹ sư Thiết kế phần cứng</v>
          </cell>
          <cell r="E477" t="str">
            <v>Tổng công ty Công nghiệp Công nghệ cao Viettel</v>
          </cell>
          <cell r="F477" t="str">
            <v>Khối 1 - TCT CNC</v>
          </cell>
          <cell r="G477" t="str">
            <v>Trung tâm Thông tin Quân sự</v>
          </cell>
        </row>
        <row r="478">
          <cell r="B478" t="str">
            <v>184793</v>
          </cell>
          <cell r="C478" t="str">
            <v>Nguyễn Văn Thọ</v>
          </cell>
          <cell r="D478" t="str">
            <v>Kỹ sư FPGA</v>
          </cell>
          <cell r="E478" t="str">
            <v>Tổng công ty Công nghiệp Công nghệ cao Viettel</v>
          </cell>
          <cell r="F478" t="str">
            <v>Khối 1 - TCT CNC</v>
          </cell>
          <cell r="G478" t="str">
            <v>Trung tâm Thông tin Quân sự</v>
          </cell>
        </row>
        <row r="479">
          <cell r="B479" t="str">
            <v>186359</v>
          </cell>
          <cell r="C479" t="str">
            <v>Trương Minh Thắng</v>
          </cell>
          <cell r="D479" t="str">
            <v>Kỹ sư Cơ khí</v>
          </cell>
          <cell r="E479" t="str">
            <v>Tổng công ty Công nghiệp Công nghệ cao Viettel</v>
          </cell>
          <cell r="F479" t="str">
            <v>Khối 1 - TCT CNC</v>
          </cell>
          <cell r="G479" t="str">
            <v>Trung tâm Thông tin Quân sự</v>
          </cell>
        </row>
        <row r="480">
          <cell r="B480" t="str">
            <v>187015</v>
          </cell>
          <cell r="C480" t="str">
            <v>Vương Công Định</v>
          </cell>
          <cell r="D480" t="str">
            <v>Kỹ sư Phần mềm nhúng</v>
          </cell>
          <cell r="E480" t="str">
            <v>Tổng công ty Công nghiệp Công nghệ cao Viettel</v>
          </cell>
          <cell r="F480" t="str">
            <v>Khối 1 - TCT CNC</v>
          </cell>
          <cell r="G480" t="str">
            <v>Trung tâm Thông tin Quân sự</v>
          </cell>
        </row>
        <row r="481">
          <cell r="B481" t="str">
            <v>188493</v>
          </cell>
          <cell r="C481" t="str">
            <v>Trần Ngọc Thịnh</v>
          </cell>
          <cell r="D481" t="str">
            <v>Kỹ sư Phần mềm nhúng</v>
          </cell>
          <cell r="E481" t="str">
            <v>Tổng công ty Công nghiệp Công nghệ cao Viettel</v>
          </cell>
          <cell r="F481" t="str">
            <v>Khối 1 - TCT CNC</v>
          </cell>
          <cell r="G481" t="str">
            <v>Trung tâm Thông tin Quân sự</v>
          </cell>
        </row>
        <row r="482">
          <cell r="B482" t="str">
            <v>195193</v>
          </cell>
          <cell r="C482" t="str">
            <v>Nguyễn Viết Thu</v>
          </cell>
          <cell r="D482" t="str">
            <v>Kỹ sư hệ thống</v>
          </cell>
          <cell r="E482" t="str">
            <v>Tổng công ty Công nghiệp Công nghệ cao Viettel</v>
          </cell>
          <cell r="F482" t="str">
            <v>Khối 1 - TCT CNC</v>
          </cell>
          <cell r="G482" t="str">
            <v>Trung tâm Thông tin Quân sự</v>
          </cell>
        </row>
        <row r="483">
          <cell r="B483" t="str">
            <v>196096</v>
          </cell>
          <cell r="C483" t="str">
            <v>Phạm Ngọc Quốc Anh</v>
          </cell>
          <cell r="D483" t="str">
            <v>Kỹ sư Cao tần</v>
          </cell>
          <cell r="E483" t="str">
            <v>Tổng công ty Công nghiệp Công nghệ cao Viettel</v>
          </cell>
          <cell r="F483" t="str">
            <v>Khối 1 - TCT CNC</v>
          </cell>
          <cell r="G483" t="str">
            <v>Trung tâm Thông tin Quân sự</v>
          </cell>
        </row>
        <row r="484">
          <cell r="B484" t="str">
            <v>200814</v>
          </cell>
          <cell r="C484" t="str">
            <v>Nguyễn Trần Tiến</v>
          </cell>
          <cell r="D484" t="str">
            <v>Kỹ sư Thiết kế phần cứng</v>
          </cell>
          <cell r="E484" t="str">
            <v>Tổng công ty Công nghiệp Công nghệ cao Viettel</v>
          </cell>
          <cell r="F484" t="str">
            <v>Khối 1 - TCT CNC</v>
          </cell>
          <cell r="G484" t="str">
            <v>Trung tâm Thông tin Quân sự</v>
          </cell>
        </row>
        <row r="485">
          <cell r="B485" t="str">
            <v>207350</v>
          </cell>
          <cell r="C485" t="str">
            <v>Đặng Cao Quyền</v>
          </cell>
          <cell r="D485" t="str">
            <v>Kỹ sư Cao tần</v>
          </cell>
          <cell r="E485" t="str">
            <v>Tổng công ty Công nghiệp Công nghệ cao Viettel</v>
          </cell>
          <cell r="F485" t="str">
            <v>Khối 1 - TCT CNC</v>
          </cell>
          <cell r="G485" t="str">
            <v>Trung tâm Thông tin Quân sự</v>
          </cell>
        </row>
        <row r="486">
          <cell r="B486" t="str">
            <v>208026</v>
          </cell>
          <cell r="C486" t="str">
            <v>Trần Thanh Vũ</v>
          </cell>
          <cell r="D486" t="str">
            <v>Kỹ sư Cơ khí</v>
          </cell>
          <cell r="E486" t="str">
            <v>Tổng công ty Công nghiệp Công nghệ cao Viettel</v>
          </cell>
          <cell r="F486" t="str">
            <v>Khối 1 - TCT CNC</v>
          </cell>
          <cell r="G486" t="str">
            <v>Trung tâm Thông tin Quân sự</v>
          </cell>
        </row>
        <row r="487">
          <cell r="B487" t="str">
            <v>209751</v>
          </cell>
          <cell r="C487" t="str">
            <v>Phạm Ngọc Tùng</v>
          </cell>
          <cell r="D487" t="str">
            <v>Kỹ sư FPGA</v>
          </cell>
          <cell r="E487" t="str">
            <v>Tổng công ty Công nghiệp Công nghệ cao Viettel</v>
          </cell>
          <cell r="F487" t="str">
            <v>Khối 1 - TCT CNC</v>
          </cell>
          <cell r="G487" t="str">
            <v>Trung tâm Thông tin Quân sự</v>
          </cell>
        </row>
        <row r="488">
          <cell r="B488" t="str">
            <v>211277</v>
          </cell>
          <cell r="C488" t="str">
            <v>Nguyễn Trung Thành</v>
          </cell>
          <cell r="D488" t="str">
            <v>Kỹ sư Phần mềm nhúng</v>
          </cell>
          <cell r="E488" t="str">
            <v>Tổng công ty Công nghiệp Công nghệ cao Viettel</v>
          </cell>
          <cell r="F488" t="str">
            <v>Khối 1 - TCT CNC</v>
          </cell>
          <cell r="G488" t="str">
            <v>Trung tâm Thông tin Quân sự</v>
          </cell>
        </row>
        <row r="489">
          <cell r="B489" t="str">
            <v>211307</v>
          </cell>
          <cell r="C489" t="str">
            <v>Vũ Đức Minh</v>
          </cell>
          <cell r="D489" t="str">
            <v>Kỹ sư Cơ khí</v>
          </cell>
          <cell r="E489" t="str">
            <v>Tổng công ty Công nghiệp Công nghệ cao Viettel</v>
          </cell>
          <cell r="F489" t="str">
            <v>Khối 1 - TCT CNC</v>
          </cell>
          <cell r="G489" t="str">
            <v>Trung tâm Thông tin Quân sự</v>
          </cell>
        </row>
        <row r="490">
          <cell r="B490" t="str">
            <v>218374</v>
          </cell>
          <cell r="C490" t="str">
            <v>Ngô Thị Đoan Trang</v>
          </cell>
          <cell r="D490" t="str">
            <v>Kỹ sư Linh kiện</v>
          </cell>
          <cell r="E490" t="str">
            <v>Tổng công ty Công nghiệp Công nghệ cao Viettel</v>
          </cell>
          <cell r="F490" t="str">
            <v>Khối 1 - TCT CNC</v>
          </cell>
          <cell r="G490" t="str">
            <v>Trung tâm Thông tin Quân sự</v>
          </cell>
        </row>
        <row r="491">
          <cell r="B491" t="str">
            <v>223361</v>
          </cell>
          <cell r="C491" t="str">
            <v>Nguyễn Trung Hưng</v>
          </cell>
          <cell r="D491" t="str">
            <v>Kỹ sư Phần mềm nhúng</v>
          </cell>
          <cell r="E491" t="str">
            <v>Tổng công ty Công nghiệp Công nghệ cao Viettel</v>
          </cell>
          <cell r="F491" t="str">
            <v>Khối 1 - TCT CNC</v>
          </cell>
          <cell r="G491" t="str">
            <v>Trung tâm Thông tin Quân sự</v>
          </cell>
        </row>
        <row r="492">
          <cell r="B492" t="str">
            <v>224878</v>
          </cell>
          <cell r="C492" t="str">
            <v>Đào Xuân Thủy</v>
          </cell>
          <cell r="D492" t="str">
            <v>Kỹ sư Cao tần</v>
          </cell>
          <cell r="E492" t="str">
            <v>Tổng công ty Công nghiệp Công nghệ cao Viettel</v>
          </cell>
          <cell r="F492" t="str">
            <v>Khối 1 - TCT CNC</v>
          </cell>
          <cell r="G492" t="str">
            <v>Trung tâm Thông tin Quân sự</v>
          </cell>
        </row>
        <row r="493">
          <cell r="B493" t="str">
            <v>225454</v>
          </cell>
          <cell r="C493" t="str">
            <v>Phạm Minh Sơn</v>
          </cell>
          <cell r="D493" t="str">
            <v>Kỹ sư Phần mềm nhúng</v>
          </cell>
          <cell r="E493" t="str">
            <v>Tổng công ty Công nghiệp Công nghệ cao Viettel</v>
          </cell>
          <cell r="F493" t="str">
            <v>Khối 1 - TCT CNC</v>
          </cell>
          <cell r="G493" t="str">
            <v>Trung tâm Thông tin Quân sự</v>
          </cell>
        </row>
        <row r="494">
          <cell r="B494" t="str">
            <v>230843</v>
          </cell>
          <cell r="C494" t="str">
            <v>Phùng Văn Quả</v>
          </cell>
          <cell r="D494" t="str">
            <v>Kỹ sư Phần mềm nhúng</v>
          </cell>
          <cell r="E494" t="str">
            <v>Tổng công ty Công nghiệp Công nghệ cao Viettel</v>
          </cell>
          <cell r="F494" t="str">
            <v>Khối 1 - TCT CNC</v>
          </cell>
          <cell r="G494" t="str">
            <v>Trung tâm Thông tin Quân sự</v>
          </cell>
        </row>
        <row r="495">
          <cell r="B495" t="str">
            <v>234132</v>
          </cell>
          <cell r="C495" t="str">
            <v>Đặng Trung Đức</v>
          </cell>
          <cell r="D495" t="str">
            <v>Kỹ sư Phần mềm nhúng</v>
          </cell>
          <cell r="E495" t="str">
            <v>Tổng công ty Công nghiệp Công nghệ cao Viettel</v>
          </cell>
          <cell r="F495" t="str">
            <v>Khối 1 - TCT CNC</v>
          </cell>
          <cell r="G495" t="str">
            <v>Trung tâm Thông tin Quân sự</v>
          </cell>
        </row>
        <row r="496">
          <cell r="B496" t="str">
            <v>234943</v>
          </cell>
          <cell r="C496" t="str">
            <v>Dương Tùng</v>
          </cell>
          <cell r="D496" t="str">
            <v>Kỹ sư Cao tần</v>
          </cell>
          <cell r="E496" t="str">
            <v>Tổng công ty Công nghiệp Công nghệ cao Viettel</v>
          </cell>
          <cell r="F496" t="str">
            <v>Khối 1 - TCT CNC</v>
          </cell>
          <cell r="G496" t="str">
            <v>Trung tâm Thông tin Quân sự</v>
          </cell>
        </row>
        <row r="497">
          <cell r="B497" t="str">
            <v>235018</v>
          </cell>
          <cell r="C497" t="str">
            <v>Nguyễn Thế Toàn</v>
          </cell>
          <cell r="D497" t="str">
            <v>Kỹ sư Thiết kế phần cứng</v>
          </cell>
          <cell r="E497" t="str">
            <v>Tổng công ty Công nghiệp Công nghệ cao Viettel</v>
          </cell>
          <cell r="F497" t="str">
            <v>Khối 1 - TCT CNC</v>
          </cell>
          <cell r="G497" t="str">
            <v>Trung tâm Thông tin Quân sự</v>
          </cell>
        </row>
        <row r="498">
          <cell r="B498" t="str">
            <v>235799</v>
          </cell>
          <cell r="C498" t="str">
            <v>Trần Xuân Ngà</v>
          </cell>
          <cell r="D498" t="str">
            <v>Kỹ sư Thiết kế phần cứng</v>
          </cell>
          <cell r="E498" t="str">
            <v>Tổng công ty Công nghiệp Công nghệ cao Viettel</v>
          </cell>
          <cell r="F498" t="str">
            <v>Khối 1 - TCT CNC</v>
          </cell>
          <cell r="G498" t="str">
            <v>Trung tâm Thông tin Quân sự</v>
          </cell>
        </row>
        <row r="499">
          <cell r="B499" t="str">
            <v>236487</v>
          </cell>
          <cell r="C499" t="str">
            <v>Cấn Tuấn Anh</v>
          </cell>
          <cell r="D499" t="str">
            <v>Kỹ sư Thiết kế phần mềm</v>
          </cell>
          <cell r="E499" t="str">
            <v>Tổng công ty Công nghiệp Công nghệ cao Viettel</v>
          </cell>
          <cell r="F499" t="str">
            <v>Khối 1 - TCT CNC</v>
          </cell>
          <cell r="G499" t="str">
            <v>Trung tâm Thông tin Quân sự</v>
          </cell>
        </row>
        <row r="500">
          <cell r="B500" t="str">
            <v>236489</v>
          </cell>
          <cell r="C500" t="str">
            <v>Lê Tiến Đạt</v>
          </cell>
          <cell r="D500" t="str">
            <v>Kỹ sư Phần mềm nhúng</v>
          </cell>
          <cell r="E500" t="str">
            <v>Tổng công ty Công nghiệp Công nghệ cao Viettel</v>
          </cell>
          <cell r="F500" t="str">
            <v>Khối 1 - TCT CNC</v>
          </cell>
          <cell r="G500" t="str">
            <v>Trung tâm Thông tin Quân sự</v>
          </cell>
        </row>
        <row r="501">
          <cell r="B501" t="str">
            <v>241355</v>
          </cell>
          <cell r="C501" t="str">
            <v>Đinh Công Kiên</v>
          </cell>
          <cell r="D501" t="str">
            <v>Kỹ sư Antenna</v>
          </cell>
          <cell r="E501" t="str">
            <v>Tổng công ty Công nghiệp Công nghệ cao Viettel</v>
          </cell>
          <cell r="F501" t="str">
            <v>Khối 1 - TCT CNC</v>
          </cell>
          <cell r="G501" t="str">
            <v>Trung tâm Thông tin Quân sự</v>
          </cell>
        </row>
        <row r="502">
          <cell r="B502" t="str">
            <v>242065</v>
          </cell>
          <cell r="C502" t="str">
            <v>Lê Nguyễn Thanh Tùng</v>
          </cell>
          <cell r="D502" t="str">
            <v>Kỹ sư Thiết kế phần cứng</v>
          </cell>
          <cell r="E502" t="str">
            <v>Tổng công ty Công nghiệp Công nghệ cao Viettel</v>
          </cell>
          <cell r="F502" t="str">
            <v>Khối 1 - TCT CNC</v>
          </cell>
          <cell r="G502" t="str">
            <v>Trung tâm Thông tin Quân sự</v>
          </cell>
        </row>
        <row r="503">
          <cell r="B503" t="str">
            <v>267375</v>
          </cell>
          <cell r="C503" t="str">
            <v>Vi Quang Hiệp</v>
          </cell>
          <cell r="D503" t="str">
            <v>Kỹ sư FPGA</v>
          </cell>
          <cell r="E503" t="str">
            <v>Tổng công ty Công nghiệp Công nghệ cao Viettel</v>
          </cell>
          <cell r="F503" t="str">
            <v>Khối 1 - TCT CNC</v>
          </cell>
          <cell r="G503" t="str">
            <v>Trung tâm Thông tin Quân sự</v>
          </cell>
        </row>
        <row r="504">
          <cell r="B504" t="str">
            <v>271822</v>
          </cell>
          <cell r="C504" t="str">
            <v>Nguyễn Thúy Hiền</v>
          </cell>
          <cell r="D504" t="str">
            <v>Kỹ sư Phân tích hệ thống</v>
          </cell>
          <cell r="E504" t="str">
            <v>Tổng công ty Công nghiệp Công nghệ cao Viettel</v>
          </cell>
          <cell r="F504" t="str">
            <v>Khối 1 - TCT CNC</v>
          </cell>
          <cell r="G504" t="str">
            <v>Trung tâm Thông tin Quân sự</v>
          </cell>
        </row>
        <row r="505">
          <cell r="B505" t="str">
            <v>273489</v>
          </cell>
          <cell r="C505" t="str">
            <v>Trần Trọng Nghĩa</v>
          </cell>
          <cell r="D505" t="str">
            <v>Kỹ sư Cơ khí</v>
          </cell>
          <cell r="E505" t="str">
            <v>Tổng công ty Công nghiệp Công nghệ cao Viettel</v>
          </cell>
          <cell r="F505" t="str">
            <v>Khối 1 - TCT CNC</v>
          </cell>
          <cell r="G505" t="str">
            <v>Trung tâm Thông tin Quân sự</v>
          </cell>
        </row>
        <row r="506">
          <cell r="B506" t="str">
            <v>275807</v>
          </cell>
          <cell r="C506" t="str">
            <v>Nguyễn Thị Vân Nhã</v>
          </cell>
          <cell r="D506" t="str">
            <v>Kỹ sư Phân tích hệ thống</v>
          </cell>
          <cell r="E506" t="str">
            <v>Tổng công ty Công nghiệp Công nghệ cao Viettel</v>
          </cell>
          <cell r="F506" t="str">
            <v>Khối 1 - TCT CNC</v>
          </cell>
          <cell r="G506" t="str">
            <v>Trung tâm Thông tin Quân sự</v>
          </cell>
        </row>
        <row r="507">
          <cell r="B507" t="str">
            <v>277339</v>
          </cell>
          <cell r="C507" t="str">
            <v>Nguyễn Thị Kim Ngân</v>
          </cell>
          <cell r="D507" t="str">
            <v>Kỹ sư Antenna</v>
          </cell>
          <cell r="E507" t="str">
            <v>Tổng công ty Công nghiệp Công nghệ cao Viettel</v>
          </cell>
          <cell r="F507" t="str">
            <v>Khối 1 - TCT CNC</v>
          </cell>
          <cell r="G507" t="str">
            <v>Trung tâm Thông tin Quân sự</v>
          </cell>
        </row>
        <row r="508">
          <cell r="B508" t="str">
            <v>289838</v>
          </cell>
          <cell r="C508" t="str">
            <v>Tạ Thị Thanh Lâm</v>
          </cell>
          <cell r="D508" t="str">
            <v>Kỹ sư Antenna</v>
          </cell>
          <cell r="E508" t="str">
            <v>Tổng công ty Công nghiệp Công nghệ cao Viettel</v>
          </cell>
          <cell r="F508" t="str">
            <v>Khối 1 - TCT CNC</v>
          </cell>
          <cell r="G508" t="str">
            <v>Trung tâm Thông tin Quân sự</v>
          </cell>
        </row>
        <row r="509">
          <cell r="B509" t="str">
            <v>427193</v>
          </cell>
          <cell r="C509" t="str">
            <v>Nguyễn Tuấn Anh</v>
          </cell>
          <cell r="D509" t="str">
            <v>Kỹ sư Thiết kế phần cứng</v>
          </cell>
          <cell r="E509" t="str">
            <v>Tổng công ty Công nghiệp Công nghệ cao Viettel</v>
          </cell>
          <cell r="F509" t="str">
            <v>Khối 1 - TCT CNC</v>
          </cell>
          <cell r="G509" t="str">
            <v>Trung tâm Thông tin Quân sự</v>
          </cell>
        </row>
        <row r="510">
          <cell r="B510" t="str">
            <v>434404</v>
          </cell>
          <cell r="C510" t="str">
            <v>Dương Đình Nam</v>
          </cell>
          <cell r="D510" t="str">
            <v>Kỹ sư Phần mềm nhúng</v>
          </cell>
          <cell r="E510" t="str">
            <v>Tổng công ty Công nghiệp Công nghệ cao Viettel</v>
          </cell>
          <cell r="F510" t="str">
            <v>Khối 1 - TCT CNC</v>
          </cell>
          <cell r="G510" t="str">
            <v>Trung tâm Thông tin Quân sự</v>
          </cell>
        </row>
        <row r="511">
          <cell r="B511" t="str">
            <v>439329</v>
          </cell>
          <cell r="C511" t="str">
            <v>Hoàng Hải Long</v>
          </cell>
          <cell r="D511" t="str">
            <v>Kỹ sư Phần mềm nhúng</v>
          </cell>
          <cell r="E511" t="str">
            <v>Tổng công ty Công nghiệp Công nghệ cao Viettel</v>
          </cell>
          <cell r="F511" t="str">
            <v>Khối 1 - TCT CNC</v>
          </cell>
          <cell r="G511" t="str">
            <v>Trung tâm Thông tin Quân sự</v>
          </cell>
        </row>
        <row r="512">
          <cell r="B512" t="str">
            <v>439851</v>
          </cell>
          <cell r="C512" t="str">
            <v>Phùng Văn Huy</v>
          </cell>
          <cell r="D512" t="str">
            <v>Kỹ sư Thiết kế phần cứng</v>
          </cell>
          <cell r="E512" t="str">
            <v>Tổng công ty Công nghiệp Công nghệ cao Viettel</v>
          </cell>
          <cell r="F512" t="str">
            <v>Khối 1 - TCT CNC</v>
          </cell>
          <cell r="G512" t="str">
            <v>Trung tâm Thông tin Quân sự</v>
          </cell>
        </row>
        <row r="513">
          <cell r="B513" t="str">
            <v>444304</v>
          </cell>
          <cell r="C513" t="str">
            <v>Phan Đăng Duy</v>
          </cell>
          <cell r="D513" t="str">
            <v>Kỹ sư Công nghệ Vật liệu</v>
          </cell>
          <cell r="E513" t="str">
            <v>Tổng công ty Công nghiệp Công nghệ cao Viettel</v>
          </cell>
          <cell r="F513" t="str">
            <v>Khối 1 - TCT CNC</v>
          </cell>
          <cell r="G513" t="str">
            <v>Trung tâm Thông tin Quân sự</v>
          </cell>
        </row>
        <row r="514">
          <cell r="B514" t="str">
            <v>448217</v>
          </cell>
          <cell r="C514" t="str">
            <v>Lê Nam Khánh</v>
          </cell>
          <cell r="D514" t="str">
            <v>Kỹ sư Thiết kế phần cứng</v>
          </cell>
          <cell r="E514" t="str">
            <v>Tổng công ty Công nghiệp Công nghệ cao Viettel</v>
          </cell>
          <cell r="F514" t="str">
            <v>Khối 1 - TCT CNC</v>
          </cell>
          <cell r="G514" t="str">
            <v>Trung tâm Thông tin Quân sự</v>
          </cell>
        </row>
        <row r="515">
          <cell r="B515" t="str">
            <v>458027</v>
          </cell>
          <cell r="C515" t="str">
            <v>Võ Thái Linh</v>
          </cell>
          <cell r="D515" t="str">
            <v>Kỹ sư Thiết kế phần cứng</v>
          </cell>
          <cell r="E515" t="str">
            <v>Tổng công ty Công nghiệp Công nghệ cao Viettel</v>
          </cell>
          <cell r="F515" t="str">
            <v>Khối 1 - TCT CNC</v>
          </cell>
          <cell r="G515" t="str">
            <v>Trung tâm Thông tin Quân sự</v>
          </cell>
        </row>
        <row r="516">
          <cell r="B516" t="str">
            <v>466109</v>
          </cell>
          <cell r="C516" t="str">
            <v>Nguyễn Đỗ Hồng Phương</v>
          </cell>
          <cell r="D516" t="str">
            <v>Kỹ sư FPGA</v>
          </cell>
          <cell r="E516" t="str">
            <v>Tổng công ty Công nghiệp Công nghệ cao Viettel</v>
          </cell>
          <cell r="F516" t="str">
            <v>Khối 1 - TCT CNC</v>
          </cell>
          <cell r="G516" t="str">
            <v>Trung tâm Thông tin Quân sự</v>
          </cell>
        </row>
        <row r="517">
          <cell r="B517" t="str">
            <v>467347</v>
          </cell>
          <cell r="C517" t="str">
            <v>Ngô Trường Long</v>
          </cell>
          <cell r="D517" t="str">
            <v>Kỹ sư Phần mềm nhúng</v>
          </cell>
          <cell r="E517" t="str">
            <v>Tổng công ty Công nghiệp Công nghệ cao Viettel</v>
          </cell>
          <cell r="F517" t="str">
            <v>Khối 1 - TCT CNC</v>
          </cell>
          <cell r="G517" t="str">
            <v>Trung tâm Thông tin Quân sự</v>
          </cell>
        </row>
        <row r="518">
          <cell r="B518" t="str">
            <v>468835</v>
          </cell>
          <cell r="C518" t="str">
            <v>Lê Công Hào</v>
          </cell>
          <cell r="D518" t="str">
            <v>Kỹ sư Điều khiển tự động</v>
          </cell>
          <cell r="E518" t="str">
            <v>Tổng công ty Công nghiệp Công nghệ cao Viettel</v>
          </cell>
          <cell r="F518" t="str">
            <v>Khối 1 - TCT CNC</v>
          </cell>
          <cell r="G518" t="str">
            <v>Trung tâm Thông tin Quân sự</v>
          </cell>
        </row>
        <row r="519">
          <cell r="B519" t="str">
            <v>469065</v>
          </cell>
          <cell r="C519" t="str">
            <v>Nguyễn Anh Quốc</v>
          </cell>
          <cell r="D519" t="str">
            <v>Kỹ sư Thiết kế phần cứng</v>
          </cell>
          <cell r="E519" t="str">
            <v>Tổng công ty Công nghiệp Công nghệ cao Viettel</v>
          </cell>
          <cell r="F519" t="str">
            <v>Khối 1 - TCT CNC</v>
          </cell>
          <cell r="G519" t="str">
            <v>Trung tâm Thông tin Quân sự</v>
          </cell>
        </row>
        <row r="520">
          <cell r="B520" t="str">
            <v>472179</v>
          </cell>
          <cell r="C520" t="str">
            <v>Dương Minh Tâm</v>
          </cell>
          <cell r="D520" t="str">
            <v>Kỹ sư Phân tích nghiệp vụ</v>
          </cell>
          <cell r="E520" t="str">
            <v>Tổng công ty Công nghiệp Công nghệ cao Viettel</v>
          </cell>
          <cell r="F520" t="str">
            <v>Khối 1 - TCT CNC</v>
          </cell>
          <cell r="G520" t="str">
            <v>Trung tâm Thông tin Quân sự</v>
          </cell>
        </row>
        <row r="521">
          <cell r="B521" t="str">
            <v>472575</v>
          </cell>
          <cell r="C521" t="str">
            <v>Hoàng Ngọc Nhất</v>
          </cell>
          <cell r="D521" t="str">
            <v>Kỹ sư Phát triển phần mềm</v>
          </cell>
          <cell r="E521" t="str">
            <v>Tổng công ty Công nghiệp Công nghệ cao Viettel</v>
          </cell>
          <cell r="F521" t="str">
            <v>Khối 1 - TCT CNC</v>
          </cell>
          <cell r="G521" t="str">
            <v>Trung tâm Thông tin Quân sự</v>
          </cell>
        </row>
        <row r="522">
          <cell r="B522" t="str">
            <v>473131</v>
          </cell>
          <cell r="C522" t="str">
            <v>Lê Thế Dũng</v>
          </cell>
          <cell r="D522" t="str">
            <v>Kỹ sư Thiết kế phần cứng</v>
          </cell>
          <cell r="E522" t="str">
            <v>Tổng công ty Công nghiệp Công nghệ cao Viettel</v>
          </cell>
          <cell r="F522" t="str">
            <v>Khối 1 - TCT CNC</v>
          </cell>
          <cell r="G522" t="str">
            <v>Trung tâm Thông tin Quân sự</v>
          </cell>
        </row>
        <row r="523">
          <cell r="B523" t="str">
            <v>473187</v>
          </cell>
          <cell r="C523" t="str">
            <v>Nguyễn Duy Thế</v>
          </cell>
          <cell r="D523" t="str">
            <v>Kỹ sư FPGA</v>
          </cell>
          <cell r="E523" t="str">
            <v>Tổng công ty Công nghiệp Công nghệ cao Viettel</v>
          </cell>
          <cell r="F523" t="str">
            <v>Khối 1 - TCT CNC</v>
          </cell>
          <cell r="G523" t="str">
            <v>Trung tâm Thông tin Quân sự</v>
          </cell>
        </row>
        <row r="524">
          <cell r="B524" t="str">
            <v>473583</v>
          </cell>
          <cell r="C524" t="str">
            <v>Nguyễn Duy Minh</v>
          </cell>
          <cell r="D524" t="str">
            <v>Kỹ sư Nghiên cứu thuật toán</v>
          </cell>
          <cell r="E524" t="str">
            <v>Tổng công ty Công nghiệp Công nghệ cao Viettel</v>
          </cell>
          <cell r="F524" t="str">
            <v>Khối 1 - TCT CNC</v>
          </cell>
          <cell r="G524" t="str">
            <v>Trung tâm Thông tin Quân sự</v>
          </cell>
        </row>
        <row r="525">
          <cell r="B525" t="str">
            <v>473771</v>
          </cell>
          <cell r="C525" t="str">
            <v>Đỗ Hoàng Minh</v>
          </cell>
          <cell r="D525" t="str">
            <v>Kỹ sư Thiết kế phần cứng</v>
          </cell>
          <cell r="E525" t="str">
            <v>Tổng công ty Công nghiệp Công nghệ cao Viettel</v>
          </cell>
          <cell r="F525" t="str">
            <v>Khối 1 - TCT CNC</v>
          </cell>
          <cell r="G525" t="str">
            <v>Trung tâm Thông tin Quân sự</v>
          </cell>
        </row>
        <row r="526">
          <cell r="B526" t="str">
            <v>474105</v>
          </cell>
          <cell r="C526" t="str">
            <v>Nguyễn Quang Hòa</v>
          </cell>
          <cell r="D526" t="str">
            <v>Kỹ sư Xử lý tín hiệu</v>
          </cell>
          <cell r="E526" t="str">
            <v>Tổng công ty Công nghiệp Công nghệ cao Viettel</v>
          </cell>
          <cell r="F526" t="str">
            <v>Khối 1 - TCT CNC</v>
          </cell>
          <cell r="G526" t="str">
            <v>Trung tâm Thông tin Quân sự</v>
          </cell>
        </row>
        <row r="527">
          <cell r="B527" t="str">
            <v>474107</v>
          </cell>
          <cell r="C527" t="str">
            <v>Đặng Quang Anh</v>
          </cell>
          <cell r="D527" t="str">
            <v>Kỹ sư Antenna</v>
          </cell>
          <cell r="E527" t="str">
            <v>Tổng công ty Công nghiệp Công nghệ cao Viettel</v>
          </cell>
          <cell r="F527" t="str">
            <v>Khối 1 - TCT CNC</v>
          </cell>
          <cell r="G527" t="str">
            <v>Trung tâm Thông tin Quân sự</v>
          </cell>
        </row>
        <row r="528">
          <cell r="B528" t="str">
            <v>474439</v>
          </cell>
          <cell r="C528" t="str">
            <v>Đặng Văn Thắng</v>
          </cell>
          <cell r="D528" t="str">
            <v>Kỹ sư Phần mềm nhúng</v>
          </cell>
          <cell r="E528" t="str">
            <v>Tổng công ty Công nghiệp Công nghệ cao Viettel</v>
          </cell>
          <cell r="F528" t="str">
            <v>Khối 1 - TCT CNC</v>
          </cell>
          <cell r="G528" t="str">
            <v>Trung tâm Thông tin Quân sự</v>
          </cell>
        </row>
        <row r="529">
          <cell r="B529" t="str">
            <v>475171</v>
          </cell>
          <cell r="C529" t="str">
            <v>Trần Tuấn Anh</v>
          </cell>
          <cell r="D529" t="str">
            <v>Kỹ sư Phần mềm nhúng</v>
          </cell>
          <cell r="E529" t="str">
            <v>Tổng công ty Công nghiệp Công nghệ cao Viettel</v>
          </cell>
          <cell r="F529" t="str">
            <v>Khối 1 - TCT CNC</v>
          </cell>
          <cell r="G529" t="str">
            <v>Trung tâm Thông tin Quân sự</v>
          </cell>
        </row>
        <row r="530">
          <cell r="B530" t="str">
            <v>475549</v>
          </cell>
          <cell r="C530" t="str">
            <v>Trịnh Mạnh Tiến</v>
          </cell>
          <cell r="D530" t="str">
            <v>Kỹ sư Xử lý tín hiệu</v>
          </cell>
          <cell r="E530" t="str">
            <v>Tổng công ty Công nghiệp Công nghệ cao Viettel</v>
          </cell>
          <cell r="F530" t="str">
            <v>Khối 1 - TCT CNC</v>
          </cell>
          <cell r="G530" t="str">
            <v>Trung tâm Thông tin Quân sự</v>
          </cell>
        </row>
        <row r="531">
          <cell r="B531" t="str">
            <v>476011</v>
          </cell>
          <cell r="C531" t="str">
            <v>Nguyễn Ngọc Sơn</v>
          </cell>
          <cell r="D531" t="str">
            <v>Kỹ sư Phát triển phần mềm</v>
          </cell>
          <cell r="E531" t="str">
            <v>Tổng công ty Công nghiệp Công nghệ cao Viettel</v>
          </cell>
          <cell r="F531" t="str">
            <v>Khối 1 - TCT CNC</v>
          </cell>
          <cell r="G531" t="str">
            <v>Trung tâm Thông tin Quân sự</v>
          </cell>
        </row>
        <row r="532">
          <cell r="B532" t="str">
            <v>476945</v>
          </cell>
          <cell r="C532" t="str">
            <v>Thái Đình Đức</v>
          </cell>
          <cell r="D532" t="str">
            <v>Kỹ sư Phần mềm nhúng</v>
          </cell>
          <cell r="E532" t="str">
            <v>Tổng công ty Công nghiệp Công nghệ cao Viettel</v>
          </cell>
          <cell r="F532" t="str">
            <v>Khối 1 - TCT CNC</v>
          </cell>
          <cell r="G532" t="str">
            <v>Trung tâm Thông tin Quân sự</v>
          </cell>
        </row>
        <row r="533">
          <cell r="B533" t="str">
            <v>477465</v>
          </cell>
          <cell r="C533" t="str">
            <v>Đoàn Đình Giang</v>
          </cell>
          <cell r="D533" t="str">
            <v>Kỹ sư Phát triển phần mềm</v>
          </cell>
          <cell r="E533" t="str">
            <v>Tổng công ty Công nghiệp Công nghệ cao Viettel</v>
          </cell>
          <cell r="F533" t="str">
            <v>Khối 1 - TCT CNC</v>
          </cell>
          <cell r="G533" t="str">
            <v>Trung tâm Thông tin Quân sự</v>
          </cell>
        </row>
        <row r="534">
          <cell r="B534" t="str">
            <v>072555</v>
          </cell>
          <cell r="C534" t="str">
            <v>Lê Huy Hiếu</v>
          </cell>
          <cell r="D534" t="str">
            <v>Kỹ sư Cao tần</v>
          </cell>
          <cell r="E534" t="str">
            <v>Tổng công ty Công nghiệp Công nghệ cao Viettel</v>
          </cell>
          <cell r="F534" t="str">
            <v>Khối 1 - TCT CNC</v>
          </cell>
          <cell r="G534" t="str">
            <v>Trung tâm Tác chiến điện tử</v>
          </cell>
        </row>
        <row r="535">
          <cell r="B535" t="str">
            <v>087201</v>
          </cell>
          <cell r="C535" t="str">
            <v>Nguyễn Thái Bình</v>
          </cell>
          <cell r="D535" t="str">
            <v>Giám đốc Trung tâm</v>
          </cell>
          <cell r="E535" t="str">
            <v>Tổng công ty Công nghiệp Công nghệ cao Viettel</v>
          </cell>
          <cell r="F535" t="str">
            <v>Khối 1 - TCT CNC</v>
          </cell>
          <cell r="G535" t="str">
            <v>Trung tâm Tác chiến điện tử</v>
          </cell>
        </row>
        <row r="536">
          <cell r="B536" t="str">
            <v>096596</v>
          </cell>
          <cell r="C536" t="str">
            <v>Lê Đăng Hiếu</v>
          </cell>
          <cell r="D536" t="str">
            <v>Trưởng phòng Nghiên cứu công nghệ xử lý tín hiệu sơ cấp, cấp cao</v>
          </cell>
          <cell r="E536" t="str">
            <v>Tổng công ty Công nghiệp Công nghệ cao Viettel</v>
          </cell>
          <cell r="F536" t="str">
            <v>Khối 1 - TCT CNC</v>
          </cell>
          <cell r="G536" t="str">
            <v>Trung tâm Tác chiến điện tử</v>
          </cell>
        </row>
        <row r="537">
          <cell r="B537" t="str">
            <v>120001</v>
          </cell>
          <cell r="C537" t="str">
            <v>Dương Minh Tùng</v>
          </cell>
          <cell r="D537" t="str">
            <v>Phó Giám đốc Trung tâm</v>
          </cell>
          <cell r="E537" t="str">
            <v>Tổng công ty Công nghiệp Công nghệ cao Viettel</v>
          </cell>
          <cell r="F537" t="str">
            <v>Khối 1 - TCT CNC</v>
          </cell>
          <cell r="G537" t="str">
            <v>Trung tâm Tác chiến điện tử</v>
          </cell>
        </row>
        <row r="538">
          <cell r="B538" t="str">
            <v>137610</v>
          </cell>
          <cell r="C538" t="str">
            <v>Ngô Thanh Bình</v>
          </cell>
          <cell r="D538" t="str">
            <v>Trưởng phòng Nghiên cứu, phát triển hệ thống</v>
          </cell>
          <cell r="E538" t="str">
            <v>Tổng công ty Công nghiệp Công nghệ cao Viettel</v>
          </cell>
          <cell r="F538" t="str">
            <v>Khối 1 - TCT CNC</v>
          </cell>
          <cell r="G538" t="str">
            <v>Trung tâm Tác chiến điện tử</v>
          </cell>
        </row>
        <row r="539">
          <cell r="B539" t="str">
            <v>138488</v>
          </cell>
          <cell r="C539" t="str">
            <v>Tần Lê Hoàng Long</v>
          </cell>
          <cell r="D539" t="str">
            <v>Trưởng phòng</v>
          </cell>
          <cell r="E539" t="str">
            <v>Tổng công ty Công nghiệp Công nghệ cao Viettel</v>
          </cell>
          <cell r="F539" t="str">
            <v>Khối 1 - TCT CNC</v>
          </cell>
          <cell r="G539" t="str">
            <v>Trung tâm Tác chiến điện tử</v>
          </cell>
        </row>
        <row r="540">
          <cell r="B540" t="str">
            <v>142096</v>
          </cell>
          <cell r="C540" t="str">
            <v>Tưởng Văn Đạt</v>
          </cell>
          <cell r="D540" t="str">
            <v>Kỹ sư chính Nghiên cứu thuật toán</v>
          </cell>
          <cell r="E540" t="str">
            <v>Tổng công ty Công nghiệp Công nghệ cao Viettel</v>
          </cell>
          <cell r="F540" t="str">
            <v>Khối 1 - TCT CNC</v>
          </cell>
          <cell r="G540" t="str">
            <v>Trung tâm Tác chiến điện tử</v>
          </cell>
        </row>
        <row r="541">
          <cell r="B541" t="str">
            <v>162539</v>
          </cell>
          <cell r="C541" t="str">
            <v>Nguyễn Viết Trường</v>
          </cell>
          <cell r="D541" t="str">
            <v>Kỹ sư Phần mềm nhúng</v>
          </cell>
          <cell r="E541" t="str">
            <v>Tổng công ty Công nghiệp Công nghệ cao Viettel</v>
          </cell>
          <cell r="F541" t="str">
            <v>Khối 1 - TCT CNC</v>
          </cell>
          <cell r="G541" t="str">
            <v>Trung tâm Tác chiến điện tử</v>
          </cell>
        </row>
        <row r="542">
          <cell r="B542" t="str">
            <v>164964</v>
          </cell>
          <cell r="C542" t="str">
            <v>Trần Ngọc Tú</v>
          </cell>
          <cell r="D542" t="str">
            <v>Kỹ sư Thiết kế phần mềm</v>
          </cell>
          <cell r="E542" t="str">
            <v>Tổng công ty Công nghiệp Công nghệ cao Viettel</v>
          </cell>
          <cell r="F542" t="str">
            <v>Khối 1 - TCT CNC</v>
          </cell>
          <cell r="G542" t="str">
            <v>Trung tâm Tác chiến điện tử</v>
          </cell>
        </row>
        <row r="543">
          <cell r="B543" t="str">
            <v>194737</v>
          </cell>
          <cell r="C543" t="str">
            <v>Nguyễn Thị Hương</v>
          </cell>
          <cell r="D543" t="str">
            <v>Kỹ sư Phân tích nghiệp vụ</v>
          </cell>
          <cell r="E543" t="str">
            <v>Tổng công ty Công nghiệp Công nghệ cao Viettel</v>
          </cell>
          <cell r="F543" t="str">
            <v>Khối 1 - TCT CNC</v>
          </cell>
          <cell r="G543" t="str">
            <v>Trung tâm Tác chiến điện tử</v>
          </cell>
        </row>
        <row r="544">
          <cell r="B544" t="str">
            <v>197134</v>
          </cell>
          <cell r="C544" t="str">
            <v>Bùi Minh Vũ</v>
          </cell>
          <cell r="D544" t="str">
            <v>Kỹ sư Cao tần</v>
          </cell>
          <cell r="E544" t="str">
            <v>Tổng công ty Công nghiệp Công nghệ cao Viettel</v>
          </cell>
          <cell r="F544" t="str">
            <v>Khối 1 - TCT CNC</v>
          </cell>
          <cell r="G544" t="str">
            <v>Trung tâm Tác chiến điện tử</v>
          </cell>
        </row>
        <row r="545">
          <cell r="B545" t="str">
            <v>206855</v>
          </cell>
          <cell r="C545" t="str">
            <v>Đỗ Văn Lộng</v>
          </cell>
          <cell r="D545" t="str">
            <v>Kỹ sư chính xử lý tín hiệu</v>
          </cell>
          <cell r="E545" t="str">
            <v>Tổng công ty Công nghiệp Công nghệ cao Viettel</v>
          </cell>
          <cell r="F545" t="str">
            <v>Khối 1 - TCT CNC</v>
          </cell>
          <cell r="G545" t="str">
            <v>Trung tâm Tác chiến điện tử</v>
          </cell>
        </row>
        <row r="546">
          <cell r="B546" t="str">
            <v>210575</v>
          </cell>
          <cell r="C546" t="str">
            <v>Bùi Văn Thành</v>
          </cell>
          <cell r="D546" t="str">
            <v>Kỹ sư Thiết kế phần cứng</v>
          </cell>
          <cell r="E546" t="str">
            <v>Tổng công ty Công nghiệp Công nghệ cao Viettel</v>
          </cell>
          <cell r="F546" t="str">
            <v>Khối 1 - TCT CNC</v>
          </cell>
          <cell r="G546" t="str">
            <v>Trung tâm Tác chiến điện tử</v>
          </cell>
        </row>
        <row r="547">
          <cell r="B547" t="str">
            <v>217307</v>
          </cell>
          <cell r="C547" t="str">
            <v>Nguyễn Trần Minh</v>
          </cell>
          <cell r="D547" t="str">
            <v>Kỹ sư Xử lý tín hiệu</v>
          </cell>
          <cell r="E547" t="str">
            <v>Tổng công ty Công nghiệp Công nghệ cao Viettel</v>
          </cell>
          <cell r="F547" t="str">
            <v>Khối 1 - TCT CNC</v>
          </cell>
          <cell r="G547" t="str">
            <v>Trung tâm Tác chiến điện tử</v>
          </cell>
        </row>
        <row r="548">
          <cell r="B548" t="str">
            <v>219643</v>
          </cell>
          <cell r="C548" t="str">
            <v>Nguyễn Văn Khải</v>
          </cell>
          <cell r="D548" t="str">
            <v>Kỹ sư Thiết kế phần mềm</v>
          </cell>
          <cell r="E548" t="str">
            <v>Tổng công ty Công nghiệp Công nghệ cao Viettel</v>
          </cell>
          <cell r="F548" t="str">
            <v>Khối 1 - TCT CNC</v>
          </cell>
          <cell r="G548" t="str">
            <v>Trung tâm Tác chiến điện tử</v>
          </cell>
        </row>
        <row r="549">
          <cell r="B549" t="str">
            <v>228430</v>
          </cell>
          <cell r="C549" t="str">
            <v>Hoàng Anh Hùng</v>
          </cell>
          <cell r="D549" t="str">
            <v>Kỹ sư Thiết kế phần mềm</v>
          </cell>
          <cell r="E549" t="str">
            <v>Tổng công ty Công nghiệp Công nghệ cao Viettel</v>
          </cell>
          <cell r="F549" t="str">
            <v>Khối 1 - TCT CNC</v>
          </cell>
          <cell r="G549" t="str">
            <v>Trung tâm Tác chiến điện tử</v>
          </cell>
        </row>
        <row r="550">
          <cell r="B550" t="str">
            <v>228435</v>
          </cell>
          <cell r="C550" t="str">
            <v>Trần Mạnh Hùng</v>
          </cell>
          <cell r="D550" t="str">
            <v>Kỹ sư Phần mềm nhúng</v>
          </cell>
          <cell r="E550" t="str">
            <v>Tổng công ty Công nghiệp Công nghệ cao Viettel</v>
          </cell>
          <cell r="F550" t="str">
            <v>Khối 1 - TCT CNC</v>
          </cell>
          <cell r="G550" t="str">
            <v>Trung tâm Tác chiến điện tử</v>
          </cell>
        </row>
        <row r="551">
          <cell r="B551" t="str">
            <v>233347</v>
          </cell>
          <cell r="C551" t="str">
            <v>Phan Lê Thành Nguyên</v>
          </cell>
          <cell r="D551" t="str">
            <v>Kỹ sư Cao tần</v>
          </cell>
          <cell r="E551" t="str">
            <v>Tổng công ty Công nghiệp Công nghệ cao Viettel</v>
          </cell>
          <cell r="F551" t="str">
            <v>Khối 1 - TCT CNC</v>
          </cell>
          <cell r="G551" t="str">
            <v>Trung tâm Tác chiến điện tử</v>
          </cell>
        </row>
        <row r="552">
          <cell r="B552" t="str">
            <v>233756</v>
          </cell>
          <cell r="C552" t="str">
            <v>Nguyễn Tiến Mạnh</v>
          </cell>
          <cell r="D552" t="str">
            <v>Kỹ sư Antenna</v>
          </cell>
          <cell r="E552" t="str">
            <v>Tổng công ty Công nghiệp Công nghệ cao Viettel</v>
          </cell>
          <cell r="F552" t="str">
            <v>Khối 1 - TCT CNC</v>
          </cell>
          <cell r="G552" t="str">
            <v>Trung tâm Tác chiến điện tử</v>
          </cell>
        </row>
        <row r="553">
          <cell r="B553" t="str">
            <v>236485</v>
          </cell>
          <cell r="C553" t="str">
            <v>Nguyễn Thành Đô</v>
          </cell>
          <cell r="D553" t="str">
            <v>Kỹ sư Cơ khí</v>
          </cell>
          <cell r="E553" t="str">
            <v>Tổng công ty Công nghiệp Công nghệ cao Viettel</v>
          </cell>
          <cell r="F553" t="str">
            <v>Khối 1 - TCT CNC</v>
          </cell>
          <cell r="G553" t="str">
            <v>Trung tâm Tác chiến điện tử</v>
          </cell>
        </row>
        <row r="554">
          <cell r="B554" t="str">
            <v>237264</v>
          </cell>
          <cell r="C554" t="str">
            <v>Lương Thế Anh</v>
          </cell>
          <cell r="D554" t="str">
            <v>Kỹ sư Thiết kế phần mềm</v>
          </cell>
          <cell r="E554" t="str">
            <v>Tổng công ty Công nghiệp Công nghệ cao Viettel</v>
          </cell>
          <cell r="F554" t="str">
            <v>Khối 1 - TCT CNC</v>
          </cell>
          <cell r="G554" t="str">
            <v>Trung tâm Tác chiến điện tử</v>
          </cell>
        </row>
        <row r="555">
          <cell r="B555" t="str">
            <v>241354</v>
          </cell>
          <cell r="C555" t="str">
            <v>Đồng Quang Huy</v>
          </cell>
          <cell r="D555" t="str">
            <v>Kỹ sư Cao tần</v>
          </cell>
          <cell r="E555" t="str">
            <v>Tổng công ty Công nghiệp Công nghệ cao Viettel</v>
          </cell>
          <cell r="F555" t="str">
            <v>Khối 1 - TCT CNC</v>
          </cell>
          <cell r="G555" t="str">
            <v>Trung tâm Tác chiến điện tử</v>
          </cell>
        </row>
        <row r="556">
          <cell r="B556" t="str">
            <v>245476</v>
          </cell>
          <cell r="C556" t="str">
            <v>Đỗ Sơn Lâm</v>
          </cell>
          <cell r="D556" t="str">
            <v>Kỹ sư FPGA</v>
          </cell>
          <cell r="E556" t="str">
            <v>Tổng công ty Công nghiệp Công nghệ cao Viettel</v>
          </cell>
          <cell r="F556" t="str">
            <v>Khối 1 - TCT CNC</v>
          </cell>
          <cell r="G556" t="str">
            <v>Trung tâm Tác chiến điện tử</v>
          </cell>
        </row>
        <row r="557">
          <cell r="B557" t="str">
            <v>245477</v>
          </cell>
          <cell r="C557" t="str">
            <v>Nguyễn Hữu Duy</v>
          </cell>
          <cell r="D557" t="str">
            <v>Kỹ sư Cơ điện tử</v>
          </cell>
          <cell r="E557" t="str">
            <v>Tổng công ty Công nghiệp Công nghệ cao Viettel</v>
          </cell>
          <cell r="F557" t="str">
            <v>Khối 1 - TCT CNC</v>
          </cell>
          <cell r="G557" t="str">
            <v>Trung tâm Tác chiến điện tử</v>
          </cell>
        </row>
        <row r="558">
          <cell r="B558" t="str">
            <v>245807</v>
          </cell>
          <cell r="C558" t="str">
            <v>Cao Thế Khanh</v>
          </cell>
          <cell r="D558" t="str">
            <v>Kỹ sư Cơ điện</v>
          </cell>
          <cell r="E558" t="str">
            <v>Tổng công ty Công nghiệp Công nghệ cao Viettel</v>
          </cell>
          <cell r="F558" t="str">
            <v>Khối 1 - TCT CNC</v>
          </cell>
          <cell r="G558" t="str">
            <v>Trung tâm Tác chiến điện tử</v>
          </cell>
        </row>
        <row r="559">
          <cell r="B559" t="str">
            <v>249096</v>
          </cell>
          <cell r="C559" t="str">
            <v>Đặng Xuân Hoàng</v>
          </cell>
          <cell r="D559" t="str">
            <v>Kỹ sư Thiết kế phần cứng</v>
          </cell>
          <cell r="E559" t="str">
            <v>Tổng công ty Công nghiệp Công nghệ cao Viettel</v>
          </cell>
          <cell r="F559" t="str">
            <v>Khối 1 - TCT CNC</v>
          </cell>
          <cell r="G559" t="str">
            <v>Trung tâm Tác chiến điện tử</v>
          </cell>
        </row>
        <row r="560">
          <cell r="B560" t="str">
            <v>265528</v>
          </cell>
          <cell r="C560" t="str">
            <v>Nguyễn Văn Phong</v>
          </cell>
          <cell r="D560" t="str">
            <v>Kỹ sư Thiết kế phần cứng</v>
          </cell>
          <cell r="E560" t="str">
            <v>Tổng công ty Công nghiệp Công nghệ cao Viettel</v>
          </cell>
          <cell r="F560" t="str">
            <v>Khối 1 - TCT CNC</v>
          </cell>
          <cell r="G560" t="str">
            <v>Trung tâm Tác chiến điện tử</v>
          </cell>
        </row>
        <row r="561">
          <cell r="B561" t="str">
            <v>267374</v>
          </cell>
          <cell r="C561" t="str">
            <v>Phạm Văn Đoán</v>
          </cell>
          <cell r="D561" t="str">
            <v>Kỹ sư FPGA</v>
          </cell>
          <cell r="E561" t="str">
            <v>Tổng công ty Công nghiệp Công nghệ cao Viettel</v>
          </cell>
          <cell r="F561" t="str">
            <v>Khối 1 - TCT CNC</v>
          </cell>
          <cell r="G561" t="str">
            <v>Trung tâm Tác chiến điện tử</v>
          </cell>
        </row>
        <row r="562">
          <cell r="B562" t="str">
            <v>271570</v>
          </cell>
          <cell r="C562" t="str">
            <v>Đặng Anh Tú</v>
          </cell>
          <cell r="D562" t="str">
            <v>Kỹ sư Cơ khí</v>
          </cell>
          <cell r="E562" t="str">
            <v>Tổng công ty Công nghiệp Công nghệ cao Viettel</v>
          </cell>
          <cell r="F562" t="str">
            <v>Khối 1 - TCT CNC</v>
          </cell>
          <cell r="G562" t="str">
            <v>Trung tâm Tác chiến điện tử</v>
          </cell>
        </row>
        <row r="563">
          <cell r="B563" t="str">
            <v>272785</v>
          </cell>
          <cell r="C563" t="str">
            <v>Trịnh Ngọc Anh</v>
          </cell>
          <cell r="D563" t="str">
            <v>Kỹ sư Antenna</v>
          </cell>
          <cell r="E563" t="str">
            <v>Tổng công ty Công nghiệp Công nghệ cao Viettel</v>
          </cell>
          <cell r="F563" t="str">
            <v>Khối 1 - TCT CNC</v>
          </cell>
          <cell r="G563" t="str">
            <v>Trung tâm Tác chiến điện tử</v>
          </cell>
        </row>
        <row r="564">
          <cell r="B564" t="str">
            <v>273430</v>
          </cell>
          <cell r="C564" t="str">
            <v>Hoàng Anh Đức</v>
          </cell>
          <cell r="D564" t="str">
            <v>Kỹ sư Xử lý tín hiệu</v>
          </cell>
          <cell r="E564" t="str">
            <v>Tổng công ty Công nghiệp Công nghệ cao Viettel</v>
          </cell>
          <cell r="F564" t="str">
            <v>Khối 1 - TCT CNC</v>
          </cell>
          <cell r="G564" t="str">
            <v>Trung tâm Tác chiến điện tử</v>
          </cell>
        </row>
        <row r="565">
          <cell r="B565" t="str">
            <v>274326</v>
          </cell>
          <cell r="C565" t="str">
            <v>Hoàng Thanh Tùng</v>
          </cell>
          <cell r="D565" t="str">
            <v>Kỹ sư Phần mềm nhúng</v>
          </cell>
          <cell r="E565" t="str">
            <v>Tổng công ty Công nghiệp Công nghệ cao Viettel</v>
          </cell>
          <cell r="F565" t="str">
            <v>Khối 1 - TCT CNC</v>
          </cell>
          <cell r="G565" t="str">
            <v>Trung tâm Tác chiến điện tử</v>
          </cell>
        </row>
        <row r="566">
          <cell r="B566" t="str">
            <v>275818</v>
          </cell>
          <cell r="C566" t="str">
            <v>Hán Đình Hồng</v>
          </cell>
          <cell r="D566" t="str">
            <v>Kỹ sư Phần mềm nhúng</v>
          </cell>
          <cell r="E566" t="str">
            <v>Tổng công ty Công nghiệp Công nghệ cao Viettel</v>
          </cell>
          <cell r="F566" t="str">
            <v>Khối 1 - TCT CNC</v>
          </cell>
          <cell r="G566" t="str">
            <v>Trung tâm Tác chiến điện tử</v>
          </cell>
        </row>
        <row r="567">
          <cell r="B567" t="str">
            <v>276463</v>
          </cell>
          <cell r="C567" t="str">
            <v>Trần Bình Minh</v>
          </cell>
          <cell r="D567" t="str">
            <v>Kỹ sư Xử lý tín hiệu</v>
          </cell>
          <cell r="E567" t="str">
            <v>Tổng công ty Công nghiệp Công nghệ cao Viettel</v>
          </cell>
          <cell r="F567" t="str">
            <v>Khối 1 - TCT CNC</v>
          </cell>
          <cell r="G567" t="str">
            <v>Trung tâm Tác chiến điện tử</v>
          </cell>
        </row>
        <row r="568">
          <cell r="B568" t="str">
            <v>276630</v>
          </cell>
          <cell r="C568" t="str">
            <v>Đoàn Văn Sơn</v>
          </cell>
          <cell r="D568" t="str">
            <v>Kỹ sư Cơ khí</v>
          </cell>
          <cell r="E568" t="str">
            <v>Tổng công ty Công nghiệp Công nghệ cao Viettel</v>
          </cell>
          <cell r="F568" t="str">
            <v>Khối 1 - TCT CNC</v>
          </cell>
          <cell r="G568" t="str">
            <v>Trung tâm Tác chiến điện tử</v>
          </cell>
        </row>
        <row r="569">
          <cell r="B569" t="str">
            <v>277141</v>
          </cell>
          <cell r="C569" t="str">
            <v>Đỗ Ngọc Dương</v>
          </cell>
          <cell r="D569" t="str">
            <v>Kỹ sư Mô phỏng</v>
          </cell>
          <cell r="E569" t="str">
            <v>Tổng công ty Công nghiệp Công nghệ cao Viettel</v>
          </cell>
          <cell r="F569" t="str">
            <v>Khối 1 - TCT CNC</v>
          </cell>
          <cell r="G569" t="str">
            <v>Trung tâm Tác chiến điện tử</v>
          </cell>
        </row>
        <row r="570">
          <cell r="B570" t="str">
            <v>280086</v>
          </cell>
          <cell r="C570" t="str">
            <v>Đỗ Quang Thắng</v>
          </cell>
          <cell r="D570" t="str">
            <v>Kỹ sư Mô phỏng</v>
          </cell>
          <cell r="E570" t="str">
            <v>Tổng công ty Công nghiệp Công nghệ cao Viettel</v>
          </cell>
          <cell r="F570" t="str">
            <v>Khối 1 - TCT CNC</v>
          </cell>
          <cell r="G570" t="str">
            <v>Trung tâm Tác chiến điện tử</v>
          </cell>
        </row>
        <row r="571">
          <cell r="B571" t="str">
            <v>282976</v>
          </cell>
          <cell r="C571" t="str">
            <v>Nguyễn Thị Thương Huyền</v>
          </cell>
          <cell r="D571" t="str">
            <v>Kỹ sư Phân tích hệ thống</v>
          </cell>
          <cell r="E571" t="str">
            <v>Tổng công ty Công nghiệp Công nghệ cao Viettel</v>
          </cell>
          <cell r="F571" t="str">
            <v>Khối 1 - TCT CNC</v>
          </cell>
          <cell r="G571" t="str">
            <v>Trung tâm Tác chiến điện tử</v>
          </cell>
        </row>
        <row r="572">
          <cell r="B572" t="str">
            <v>288897</v>
          </cell>
          <cell r="C572" t="str">
            <v>Lê Công Vĩnh</v>
          </cell>
          <cell r="D572" t="str">
            <v>Kỹ sư Thiết kế phần mềm</v>
          </cell>
          <cell r="E572" t="str">
            <v>Tổng công ty Công nghiệp Công nghệ cao Viettel</v>
          </cell>
          <cell r="F572" t="str">
            <v>Khối 1 - TCT CNC</v>
          </cell>
          <cell r="G572" t="str">
            <v>Trung tâm Tác chiến điện tử</v>
          </cell>
        </row>
        <row r="573">
          <cell r="B573" t="str">
            <v>290861</v>
          </cell>
          <cell r="C573" t="str">
            <v>Chu Hữu Khánh</v>
          </cell>
          <cell r="D573" t="str">
            <v>Kỹ sư Xử lý tín hiệu</v>
          </cell>
          <cell r="E573" t="str">
            <v>Tổng công ty Công nghiệp Công nghệ cao Viettel</v>
          </cell>
          <cell r="F573" t="str">
            <v>Khối 1 - TCT CNC</v>
          </cell>
          <cell r="G573" t="str">
            <v>Trung tâm Tác chiến điện tử</v>
          </cell>
        </row>
        <row r="574">
          <cell r="B574" t="str">
            <v>429229</v>
          </cell>
          <cell r="C574" t="str">
            <v>Nguyễn Duy Phong</v>
          </cell>
          <cell r="D574" t="str">
            <v>Kỹ sư Antenna</v>
          </cell>
          <cell r="E574" t="str">
            <v>Tổng công ty Công nghiệp Công nghệ cao Viettel</v>
          </cell>
          <cell r="F574" t="str">
            <v>Khối 1 - TCT CNC</v>
          </cell>
          <cell r="G574" t="str">
            <v>Trung tâm Tác chiến điện tử</v>
          </cell>
        </row>
        <row r="575">
          <cell r="B575" t="str">
            <v>441225</v>
          </cell>
          <cell r="C575" t="str">
            <v>Nguyễn Hữu Hưng</v>
          </cell>
          <cell r="D575" t="str">
            <v>Kỹ sư Phần mềm nhúng</v>
          </cell>
          <cell r="E575" t="str">
            <v>Tổng công ty Công nghiệp Công nghệ cao Viettel</v>
          </cell>
          <cell r="F575" t="str">
            <v>Khối 1 - TCT CNC</v>
          </cell>
          <cell r="G575" t="str">
            <v>Trung tâm Tác chiến điện tử</v>
          </cell>
        </row>
        <row r="576">
          <cell r="B576" t="str">
            <v>449885</v>
          </cell>
          <cell r="C576" t="str">
            <v>Hồ Hải Quân</v>
          </cell>
          <cell r="D576" t="str">
            <v>Kỹ sư Cao tần</v>
          </cell>
          <cell r="E576" t="str">
            <v>Tổng công ty Công nghiệp Công nghệ cao Viettel</v>
          </cell>
          <cell r="F576" t="str">
            <v>Khối 1 - TCT CNC</v>
          </cell>
          <cell r="G576" t="str">
            <v>Trung tâm Tác chiến điện tử</v>
          </cell>
        </row>
        <row r="577">
          <cell r="B577" t="str">
            <v>454701</v>
          </cell>
          <cell r="C577" t="str">
            <v>Nguyễn Sơn Tùng</v>
          </cell>
          <cell r="D577" t="str">
            <v>Kỹ sư Thiết kế phần cứng</v>
          </cell>
          <cell r="E577" t="str">
            <v>Tổng công ty Công nghiệp Công nghệ cao Viettel</v>
          </cell>
          <cell r="F577" t="str">
            <v>Khối 1 - TCT CNC</v>
          </cell>
          <cell r="G577" t="str">
            <v>Trung tâm Tác chiến điện tử</v>
          </cell>
        </row>
        <row r="578">
          <cell r="B578" t="str">
            <v>463851</v>
          </cell>
          <cell r="C578" t="str">
            <v>Khổng Minh Đăng</v>
          </cell>
          <cell r="D578" t="str">
            <v>Kỹ sư Thiết kế phần cứng</v>
          </cell>
          <cell r="E578" t="str">
            <v>Tổng công ty Công nghiệp Công nghệ cao Viettel</v>
          </cell>
          <cell r="F578" t="str">
            <v>Khối 1 - TCT CNC</v>
          </cell>
          <cell r="G578" t="str">
            <v>Trung tâm Tác chiến điện tử</v>
          </cell>
        </row>
        <row r="579">
          <cell r="B579" t="str">
            <v>465145</v>
          </cell>
          <cell r="C579" t="str">
            <v>Nguyễn Tự Sang</v>
          </cell>
          <cell r="D579" t="str">
            <v>Kỹ sư Phát triển phần mềm</v>
          </cell>
          <cell r="E579" t="str">
            <v>Tổng công ty Công nghiệp Công nghệ cao Viettel</v>
          </cell>
          <cell r="F579" t="str">
            <v>Khối 1 - TCT CNC</v>
          </cell>
          <cell r="G579" t="str">
            <v>Trung tâm Tác chiến điện tử</v>
          </cell>
        </row>
        <row r="580">
          <cell r="B580" t="str">
            <v>465387</v>
          </cell>
          <cell r="C580" t="str">
            <v>Nguyễn Thị Hải Yến</v>
          </cell>
          <cell r="D580" t="str">
            <v>Kỹ sư Cao tần</v>
          </cell>
          <cell r="E580" t="str">
            <v>Tổng công ty Công nghiệp Công nghệ cao Viettel</v>
          </cell>
          <cell r="F580" t="str">
            <v>Khối 1 - TCT CNC</v>
          </cell>
          <cell r="G580" t="str">
            <v>Trung tâm Tác chiến điện tử</v>
          </cell>
        </row>
        <row r="581">
          <cell r="B581" t="str">
            <v>465725</v>
          </cell>
          <cell r="C581" t="str">
            <v>Phạm Văn Hoàng</v>
          </cell>
          <cell r="D581" t="str">
            <v>Kỹ sư Nghiên cứu thuật toán</v>
          </cell>
          <cell r="E581" t="str">
            <v>Tổng công ty Công nghiệp Công nghệ cao Viettel</v>
          </cell>
          <cell r="F581" t="str">
            <v>Khối 1 - TCT CNC</v>
          </cell>
          <cell r="G581" t="str">
            <v>Trung tâm Tác chiến điện tử</v>
          </cell>
        </row>
        <row r="582">
          <cell r="B582" t="str">
            <v>466101</v>
          </cell>
          <cell r="C582" t="str">
            <v>Đặng Hoàng Diệu</v>
          </cell>
          <cell r="D582" t="str">
            <v>Kỹ sư Điều khiển tự động</v>
          </cell>
          <cell r="E582" t="str">
            <v>Tổng công ty Công nghiệp Công nghệ cao Viettel</v>
          </cell>
          <cell r="F582" t="str">
            <v>Khối 1 - TCT CNC</v>
          </cell>
          <cell r="G582" t="str">
            <v>Trung tâm Tác chiến điện tử</v>
          </cell>
        </row>
        <row r="583">
          <cell r="B583" t="str">
            <v>466103</v>
          </cell>
          <cell r="C583" t="str">
            <v>Nguyễn Trọng Tuấn</v>
          </cell>
          <cell r="D583" t="str">
            <v>Kỹ sư Phần mềm nhúng</v>
          </cell>
          <cell r="E583" t="str">
            <v>Tổng công ty Công nghiệp Công nghệ cao Viettel</v>
          </cell>
          <cell r="F583" t="str">
            <v>Khối 1 - TCT CNC</v>
          </cell>
          <cell r="G583" t="str">
            <v>Trung tâm Tác chiến điện tử</v>
          </cell>
        </row>
        <row r="584">
          <cell r="B584" t="str">
            <v>466957</v>
          </cell>
          <cell r="C584" t="str">
            <v>Nguyễn Anh Dũng</v>
          </cell>
          <cell r="D584" t="str">
            <v>Kỹ sư Phát triển phần mềm</v>
          </cell>
          <cell r="E584" t="str">
            <v>Tổng công ty Công nghiệp Công nghệ cao Viettel</v>
          </cell>
          <cell r="F584" t="str">
            <v>Khối 1 - TCT CNC</v>
          </cell>
          <cell r="G584" t="str">
            <v>Trung tâm Tác chiến điện tử</v>
          </cell>
        </row>
        <row r="585">
          <cell r="B585" t="str">
            <v>468833</v>
          </cell>
          <cell r="C585" t="str">
            <v>Hoàng Đình Long</v>
          </cell>
          <cell r="D585" t="str">
            <v>Kỹ sư Nghiên cứu thuật toán</v>
          </cell>
          <cell r="E585" t="str">
            <v>Tổng công ty Công nghiệp Công nghệ cao Viettel</v>
          </cell>
          <cell r="F585" t="str">
            <v>Khối 1 - TCT CNC</v>
          </cell>
          <cell r="G585" t="str">
            <v>Trung tâm Tác chiến điện tử</v>
          </cell>
        </row>
        <row r="586">
          <cell r="B586" t="str">
            <v>471547</v>
          </cell>
          <cell r="C586" t="str">
            <v>Đỗ Quân</v>
          </cell>
          <cell r="D586" t="str">
            <v>Kỹ sư chính xử lý tín hiệu</v>
          </cell>
          <cell r="E586" t="str">
            <v>Tổng công ty Công nghiệp Công nghệ cao Viettel</v>
          </cell>
          <cell r="F586" t="str">
            <v>Khối 1 - TCT CNC</v>
          </cell>
          <cell r="G586" t="str">
            <v>Trung tâm Tác chiến điện tử</v>
          </cell>
        </row>
        <row r="587">
          <cell r="B587" t="str">
            <v>472489</v>
          </cell>
          <cell r="C587" t="str">
            <v>Trịnh Văn Thái</v>
          </cell>
          <cell r="D587" t="str">
            <v>Kỹ sư Antenna</v>
          </cell>
          <cell r="E587" t="str">
            <v>Tổng công ty Công nghiệp Công nghệ cao Viettel</v>
          </cell>
          <cell r="F587" t="str">
            <v>Khối 1 - TCT CNC</v>
          </cell>
          <cell r="G587" t="str">
            <v>Trung tâm Tác chiến điện tử</v>
          </cell>
        </row>
        <row r="588">
          <cell r="B588" t="str">
            <v>472493</v>
          </cell>
          <cell r="C588" t="str">
            <v>Đặng Văn Lâm</v>
          </cell>
          <cell r="D588" t="str">
            <v>Kỹ sư Thiết kế phần cứng</v>
          </cell>
          <cell r="E588" t="str">
            <v>Tổng công ty Công nghiệp Công nghệ cao Viettel</v>
          </cell>
          <cell r="F588" t="str">
            <v>Khối 1 - TCT CNC</v>
          </cell>
          <cell r="G588" t="str">
            <v>Trung tâm Tác chiến điện tử</v>
          </cell>
        </row>
        <row r="589">
          <cell r="B589" t="str">
            <v>475821</v>
          </cell>
          <cell r="C589" t="str">
            <v>Bùi Mạnh Cường</v>
          </cell>
          <cell r="D589" t="str">
            <v>Kỹ sư Xử lý tín hiệu</v>
          </cell>
          <cell r="E589" t="str">
            <v>Tổng công ty Công nghiệp Công nghệ cao Viettel</v>
          </cell>
          <cell r="F589" t="str">
            <v>Khối 1 - TCT CNC</v>
          </cell>
          <cell r="G589" t="str">
            <v>Trung tâm Tác chiến điện tử</v>
          </cell>
        </row>
        <row r="590">
          <cell r="B590" t="str">
            <v>003738</v>
          </cell>
          <cell r="C590" t="str">
            <v>Nguyễn Thế Anh</v>
          </cell>
          <cell r="D590" t="str">
            <v>Kỹ sư Đảm bảo kỹ thuật</v>
          </cell>
          <cell r="E590" t="str">
            <v>Tổng công ty Công nghiệp Công nghệ cao Viettel</v>
          </cell>
          <cell r="F590" t="str">
            <v>Khối 1 - TCT CNC</v>
          </cell>
          <cell r="G590" t="str">
            <v>Trung tâm dịch vụ sau bán hàng</v>
          </cell>
        </row>
        <row r="591">
          <cell r="B591" t="str">
            <v>045099</v>
          </cell>
          <cell r="C591" t="str">
            <v>Phan Ngọc Hoàn</v>
          </cell>
          <cell r="D591" t="str">
            <v>Kỹ sư Đảm bảo chất lượng</v>
          </cell>
          <cell r="E591" t="str">
            <v>Tổng công ty Công nghiệp Công nghệ cao Viettel</v>
          </cell>
          <cell r="F591" t="str">
            <v>Khối 1 - TCT CNC</v>
          </cell>
          <cell r="G591" t="str">
            <v>Trung tâm dịch vụ sau bán hàng</v>
          </cell>
        </row>
        <row r="592">
          <cell r="B592" t="str">
            <v>045111</v>
          </cell>
          <cell r="C592" t="str">
            <v>Phạm Xuân Hải</v>
          </cell>
          <cell r="D592" t="str">
            <v>Giám đốc Trung tâm</v>
          </cell>
          <cell r="E592" t="str">
            <v>Tổng công ty Công nghiệp Công nghệ cao Viettel</v>
          </cell>
          <cell r="F592" t="str">
            <v>Khối 1 - TCT CNC</v>
          </cell>
          <cell r="G592" t="str">
            <v>Trung tâm dịch vụ sau bán hàng</v>
          </cell>
        </row>
        <row r="593">
          <cell r="B593" t="str">
            <v>047494</v>
          </cell>
          <cell r="C593" t="str">
            <v>Hà Mạnh Thắng</v>
          </cell>
          <cell r="D593" t="str">
            <v>Phó Giám đốc Trung tâm</v>
          </cell>
          <cell r="E593" t="str">
            <v>Tổng công ty Công nghiệp Công nghệ cao Viettel</v>
          </cell>
          <cell r="F593" t="str">
            <v>Khối 1 - TCT CNC</v>
          </cell>
          <cell r="G593" t="str">
            <v>Trung tâm dịch vụ sau bán hàng</v>
          </cell>
        </row>
        <row r="594">
          <cell r="B594" t="str">
            <v>066815</v>
          </cell>
          <cell r="C594" t="str">
            <v>Nguyễn Hoài Hà</v>
          </cell>
          <cell r="D594" t="str">
            <v>Kỹ sư Đảm bảo kỹ thuật</v>
          </cell>
          <cell r="E594" t="str">
            <v>Tổng công ty Công nghiệp Công nghệ cao Viettel</v>
          </cell>
          <cell r="F594" t="str">
            <v>Khối 1 - TCT CNC</v>
          </cell>
          <cell r="G594" t="str">
            <v>Trung tâm dịch vụ sau bán hàng</v>
          </cell>
        </row>
        <row r="595">
          <cell r="B595" t="str">
            <v>083193</v>
          </cell>
          <cell r="C595" t="str">
            <v>Nguyễn Tiến Tài</v>
          </cell>
          <cell r="D595" t="str">
            <v>Kỹ sư triển khai</v>
          </cell>
          <cell r="E595" t="str">
            <v>Tổng công ty Công nghiệp Công nghệ cao Viettel</v>
          </cell>
          <cell r="F595" t="str">
            <v>Khối 1 - TCT CNC</v>
          </cell>
          <cell r="G595" t="str">
            <v>Trung tâm dịch vụ sau bán hàng</v>
          </cell>
        </row>
        <row r="596">
          <cell r="B596" t="str">
            <v>089438</v>
          </cell>
          <cell r="C596" t="str">
            <v>Trần Huy Đạo</v>
          </cell>
          <cell r="D596" t="str">
            <v>Trưởng phòng</v>
          </cell>
          <cell r="E596" t="str">
            <v>Tổng công ty Công nghiệp Công nghệ cao Viettel</v>
          </cell>
          <cell r="F596" t="str">
            <v>Khối 1 - TCT CNC</v>
          </cell>
          <cell r="G596" t="str">
            <v>Trung tâm dịch vụ sau bán hàng</v>
          </cell>
        </row>
        <row r="597">
          <cell r="B597" t="str">
            <v>106416</v>
          </cell>
          <cell r="C597" t="str">
            <v>Lê Thị Phương Lan</v>
          </cell>
          <cell r="D597" t="str">
            <v>Kỹ sư Đảm bảo kỹ thuật</v>
          </cell>
          <cell r="E597" t="str">
            <v>Tổng công ty Công nghiệp Công nghệ cao Viettel</v>
          </cell>
          <cell r="F597" t="str">
            <v>Khối 1 - TCT CNC</v>
          </cell>
          <cell r="G597" t="str">
            <v>Trung tâm dịch vụ sau bán hàng</v>
          </cell>
        </row>
        <row r="598">
          <cell r="B598" t="str">
            <v>108440</v>
          </cell>
          <cell r="C598" t="str">
            <v>Lê Duy Tuấn</v>
          </cell>
          <cell r="D598" t="str">
            <v>Kỹ sư Đảm bảo kỹ thuật</v>
          </cell>
          <cell r="E598" t="str">
            <v>Tổng công ty Công nghiệp Công nghệ cao Viettel</v>
          </cell>
          <cell r="F598" t="str">
            <v>Khối 1 - TCT CNC</v>
          </cell>
          <cell r="G598" t="str">
            <v>Trung tâm dịch vụ sau bán hàng</v>
          </cell>
        </row>
        <row r="599">
          <cell r="B599" t="str">
            <v>118206</v>
          </cell>
          <cell r="C599" t="str">
            <v>Tạ Duy Linh</v>
          </cell>
          <cell r="D599" t="str">
            <v>Trưởng phòng Triển khai và chuyển giao sản phẩm</v>
          </cell>
          <cell r="E599" t="str">
            <v>Tổng công ty Công nghiệp Công nghệ cao Viettel</v>
          </cell>
          <cell r="F599" t="str">
            <v>Khối 1 - TCT CNC</v>
          </cell>
          <cell r="G599" t="str">
            <v>Trung tâm dịch vụ sau bán hàng</v>
          </cell>
        </row>
        <row r="600">
          <cell r="B600" t="str">
            <v>122418</v>
          </cell>
          <cell r="C600" t="str">
            <v>Phạm Đức Hoài</v>
          </cell>
          <cell r="D600" t="str">
            <v>Kỹ sư Đảm bảo kỹ thuật</v>
          </cell>
          <cell r="E600" t="str">
            <v>Tổng công ty Công nghiệp Công nghệ cao Viettel</v>
          </cell>
          <cell r="F600" t="str">
            <v>Khối 1 - TCT CNC</v>
          </cell>
          <cell r="G600" t="str">
            <v>Trung tâm dịch vụ sau bán hàng</v>
          </cell>
        </row>
        <row r="601">
          <cell r="B601" t="str">
            <v>185175</v>
          </cell>
          <cell r="C601" t="str">
            <v>Bùi Xuân Thắng</v>
          </cell>
          <cell r="D601" t="str">
            <v>Kỹ sư Đảm bảo kỹ thuật</v>
          </cell>
          <cell r="E601" t="str">
            <v>Tổng công ty Công nghiệp Công nghệ cao Viettel</v>
          </cell>
          <cell r="F601" t="str">
            <v>Khối 1 - TCT CNC</v>
          </cell>
          <cell r="G601" t="str">
            <v>Trung tâm dịch vụ sau bán hàng</v>
          </cell>
        </row>
        <row r="602">
          <cell r="B602" t="str">
            <v>185256</v>
          </cell>
          <cell r="C602" t="str">
            <v>Nguyễn Trọng Thanh</v>
          </cell>
          <cell r="D602" t="str">
            <v>Trưởng phòng Hỗ trợ kỹ thuật</v>
          </cell>
          <cell r="E602" t="str">
            <v>Tổng công ty Công nghiệp Công nghệ cao Viettel</v>
          </cell>
          <cell r="F602" t="str">
            <v>Khối 1 - TCT CNC</v>
          </cell>
          <cell r="G602" t="str">
            <v>Trung tâm dịch vụ sau bán hàng</v>
          </cell>
        </row>
        <row r="603">
          <cell r="B603" t="str">
            <v>186819</v>
          </cell>
          <cell r="C603" t="str">
            <v>Hà Đình Sơn</v>
          </cell>
          <cell r="D603" t="str">
            <v>Kỹ sư Đảm bảo kỹ thuật</v>
          </cell>
          <cell r="E603" t="str">
            <v>Tổng công ty Công nghiệp Công nghệ cao Viettel</v>
          </cell>
          <cell r="F603" t="str">
            <v>Khối 1 - TCT CNC</v>
          </cell>
          <cell r="G603" t="str">
            <v>Trung tâm dịch vụ sau bán hàng</v>
          </cell>
        </row>
        <row r="604">
          <cell r="B604" t="str">
            <v>190583</v>
          </cell>
          <cell r="C604" t="str">
            <v>Trương Văn Lễ</v>
          </cell>
          <cell r="D604" t="str">
            <v>Kỹ sư Đảm bảo kỹ thuật</v>
          </cell>
          <cell r="E604" t="str">
            <v>Tổng công ty Công nghiệp Công nghệ cao Viettel</v>
          </cell>
          <cell r="F604" t="str">
            <v>Khối 1 - TCT CNC</v>
          </cell>
          <cell r="G604" t="str">
            <v>Trung tâm dịch vụ sau bán hàng</v>
          </cell>
        </row>
        <row r="605">
          <cell r="B605" t="str">
            <v>200111</v>
          </cell>
          <cell r="C605" t="str">
            <v>Nguyễn Công Khanh</v>
          </cell>
          <cell r="D605" t="str">
            <v>Kỹ sư Đảm bảo kỹ thuật</v>
          </cell>
          <cell r="E605" t="str">
            <v>Tổng công ty Công nghiệp Công nghệ cao Viettel</v>
          </cell>
          <cell r="F605" t="str">
            <v>Khối 1 - TCT CNC</v>
          </cell>
          <cell r="G605" t="str">
            <v>Trung tâm dịch vụ sau bán hàng</v>
          </cell>
        </row>
        <row r="606">
          <cell r="B606" t="str">
            <v>200336</v>
          </cell>
          <cell r="C606" t="str">
            <v>Nguyễn Như Kiên</v>
          </cell>
          <cell r="D606" t="str">
            <v>Kỹ sư Triển khai hạ tầng</v>
          </cell>
          <cell r="E606" t="str">
            <v>Tổng công ty Công nghiệp Công nghệ cao Viettel</v>
          </cell>
          <cell r="F606" t="str">
            <v>Khối 1 - TCT CNC</v>
          </cell>
          <cell r="G606" t="str">
            <v>Trung tâm dịch vụ sau bán hàng</v>
          </cell>
        </row>
        <row r="607">
          <cell r="B607" t="str">
            <v>204936</v>
          </cell>
          <cell r="C607" t="str">
            <v>Lê Ngọc Đức</v>
          </cell>
          <cell r="D607" t="str">
            <v>Kỹ sư Thiết kế hạ tầng mạng IP</v>
          </cell>
          <cell r="E607" t="str">
            <v>Tổng công ty Công nghiệp Công nghệ cao Viettel</v>
          </cell>
          <cell r="F607" t="str">
            <v>Khối 1 - TCT CNC</v>
          </cell>
          <cell r="G607" t="str">
            <v>Trung tâm dịch vụ sau bán hàng</v>
          </cell>
        </row>
        <row r="608">
          <cell r="B608" t="str">
            <v>223305</v>
          </cell>
          <cell r="C608" t="str">
            <v>Phan Vinh Quang</v>
          </cell>
          <cell r="D608" t="str">
            <v>Kỹ thuật viên Cơ khí</v>
          </cell>
          <cell r="E608" t="str">
            <v>Tổng công ty Công nghiệp Công nghệ cao Viettel</v>
          </cell>
          <cell r="F608" t="str">
            <v>Khối 1 - TCT CNC</v>
          </cell>
          <cell r="G608" t="str">
            <v>Trung tâm dịch vụ sau bán hàng</v>
          </cell>
        </row>
        <row r="609">
          <cell r="B609" t="str">
            <v>242745</v>
          </cell>
          <cell r="C609" t="str">
            <v>Nguyễn Tuấn Anh</v>
          </cell>
          <cell r="D609" t="str">
            <v>Kỹ sư Đảm bảo kỹ thuật</v>
          </cell>
          <cell r="E609" t="str">
            <v>Tổng công ty Công nghiệp Công nghệ cao Viettel</v>
          </cell>
          <cell r="F609" t="str">
            <v>Khối 1 - TCT CNC</v>
          </cell>
          <cell r="G609" t="str">
            <v>Trung tâm dịch vụ sau bán hàng</v>
          </cell>
        </row>
        <row r="610">
          <cell r="B610" t="str">
            <v>446285</v>
          </cell>
          <cell r="C610" t="str">
            <v>Lê Tuấn Vũ</v>
          </cell>
          <cell r="D610" t="str">
            <v>Kỹ sư Đảm bảo kỹ thuật</v>
          </cell>
          <cell r="E610" t="str">
            <v>Tổng công ty Công nghiệp Công nghệ cao Viettel</v>
          </cell>
          <cell r="F610" t="str">
            <v>Khối 1 - TCT CNC</v>
          </cell>
          <cell r="G610" t="str">
            <v>Trung tâm dịch vụ sau bán hàng</v>
          </cell>
        </row>
        <row r="611">
          <cell r="B611" t="str">
            <v>449481</v>
          </cell>
          <cell r="C611" t="str">
            <v>Nguyễn Huy Phương</v>
          </cell>
          <cell r="D611" t="str">
            <v>Kỹ sư Đảm bảo kỹ thuật</v>
          </cell>
          <cell r="E611" t="str">
            <v>Tổng công ty Công nghiệp Công nghệ cao Viettel</v>
          </cell>
          <cell r="F611" t="str">
            <v>Khối 1 - TCT CNC</v>
          </cell>
          <cell r="G611" t="str">
            <v>Trung tâm dịch vụ sau bán hàng</v>
          </cell>
        </row>
        <row r="612">
          <cell r="B612" t="str">
            <v>471967</v>
          </cell>
          <cell r="C612" t="str">
            <v>Nguyễn Chí Thành</v>
          </cell>
          <cell r="D612" t="str">
            <v>Kỹ sư Thử nghiệm</v>
          </cell>
          <cell r="E612" t="str">
            <v>Tổng công ty Công nghiệp Công nghệ cao Viettel</v>
          </cell>
          <cell r="F612" t="str">
            <v>Khối 1 - TCT CNC</v>
          </cell>
          <cell r="G612" t="str">
            <v>Trung tâm dịch vụ sau bán hàng</v>
          </cell>
        </row>
        <row r="613">
          <cell r="B613" t="str">
            <v>476491</v>
          </cell>
          <cell r="C613" t="str">
            <v>Lê Hải Long</v>
          </cell>
          <cell r="D613" t="str">
            <v>Kỹ sư Đảm bảo kỹ thuật</v>
          </cell>
          <cell r="E613" t="str">
            <v>Tổng công ty Công nghiệp Công nghệ cao Viettel</v>
          </cell>
          <cell r="F613" t="str">
            <v>Khối 1 - TCT CNC</v>
          </cell>
          <cell r="G613" t="str">
            <v>Trung tâm dịch vụ sau bán hàng</v>
          </cell>
        </row>
        <row r="614">
          <cell r="B614" t="str">
            <v>046788</v>
          </cell>
          <cell r="C614" t="str">
            <v>Phạm Huy Tường</v>
          </cell>
          <cell r="D614" t="str">
            <v>Giám đốc Trung tâm</v>
          </cell>
          <cell r="E614" t="str">
            <v>Tổng công ty Công nghiệp Công nghệ cao Viettel</v>
          </cell>
          <cell r="F614" t="str">
            <v>Khối 1 - TCT CNC</v>
          </cell>
          <cell r="G614" t="str">
            <v>Trung tâm sản xuất</v>
          </cell>
        </row>
        <row r="615">
          <cell r="B615" t="str">
            <v>086857</v>
          </cell>
          <cell r="C615" t="str">
            <v>Vũ Thế Dũng</v>
          </cell>
          <cell r="D615" t="str">
            <v>Phó Giám đốc Trung tâm</v>
          </cell>
          <cell r="E615" t="str">
            <v>Tổng công ty Công nghiệp Công nghệ cao Viettel</v>
          </cell>
          <cell r="F615" t="str">
            <v>Khối 1 - TCT CNC</v>
          </cell>
          <cell r="G615" t="str">
            <v>Trung tâm sản xuất</v>
          </cell>
        </row>
        <row r="616">
          <cell r="B616" t="str">
            <v>091497</v>
          </cell>
          <cell r="C616" t="str">
            <v>Nguyễn Việt Cường</v>
          </cell>
          <cell r="D616" t="str">
            <v>Trưởng phòng Điều hành sản xuất</v>
          </cell>
          <cell r="E616" t="str">
            <v>Tổng công ty Công nghiệp Công nghệ cao Viettel</v>
          </cell>
          <cell r="F616" t="str">
            <v>Khối 1 - TCT CNC</v>
          </cell>
          <cell r="G616" t="str">
            <v>Trung tâm sản xuất</v>
          </cell>
        </row>
        <row r="617">
          <cell r="B617" t="str">
            <v>100477</v>
          </cell>
          <cell r="C617" t="str">
            <v>Khương Văn Hữu</v>
          </cell>
          <cell r="D617" t="str">
            <v>Trưởng phòng Kỹ thuật và công nghệ sản xuất</v>
          </cell>
          <cell r="E617" t="str">
            <v>Tổng công ty Công nghiệp Công nghệ cao Viettel</v>
          </cell>
          <cell r="F617" t="str">
            <v>Khối 1 - TCT CNC</v>
          </cell>
          <cell r="G617" t="str">
            <v>Trung tâm sản xuất</v>
          </cell>
        </row>
        <row r="618">
          <cell r="B618" t="str">
            <v>164978</v>
          </cell>
          <cell r="C618" t="str">
            <v>Đoàn Ngọc Trung</v>
          </cell>
          <cell r="D618" t="str">
            <v>Kỹ sư Quản lý sản xuất</v>
          </cell>
          <cell r="E618" t="str">
            <v>Tổng công ty Công nghiệp Công nghệ cao Viettel</v>
          </cell>
          <cell r="F618" t="str">
            <v>Khối 1 - TCT CNC</v>
          </cell>
          <cell r="G618" t="str">
            <v>Trung tâm sản xuất</v>
          </cell>
        </row>
        <row r="619">
          <cell r="B619" t="str">
            <v>173333</v>
          </cell>
          <cell r="C619" t="str">
            <v>Nguyễn Văn Hải</v>
          </cell>
          <cell r="D619" t="str">
            <v>Kỹ sư Kỹ thuật sản xuất</v>
          </cell>
          <cell r="E619" t="str">
            <v>Tổng công ty Công nghiệp Công nghệ cao Viettel</v>
          </cell>
          <cell r="F619" t="str">
            <v>Khối 1 - TCT CNC</v>
          </cell>
          <cell r="G619" t="str">
            <v>Trung tâm sản xuất</v>
          </cell>
        </row>
        <row r="620">
          <cell r="B620" t="str">
            <v>185197</v>
          </cell>
          <cell r="C620" t="str">
            <v>Đinh Duy Mạnh</v>
          </cell>
          <cell r="D620" t="str">
            <v>Kỹ sư Kỹ thuật sản xuất</v>
          </cell>
          <cell r="E620" t="str">
            <v>Tổng công ty Công nghiệp Công nghệ cao Viettel</v>
          </cell>
          <cell r="F620" t="str">
            <v>Khối 1 - TCT CNC</v>
          </cell>
          <cell r="G620" t="str">
            <v>Trung tâm sản xuất</v>
          </cell>
        </row>
        <row r="621">
          <cell r="B621" t="str">
            <v>197361</v>
          </cell>
          <cell r="C621" t="str">
            <v>Đặng Lê Hoàng</v>
          </cell>
          <cell r="D621" t="str">
            <v>Kỹ sư Quản lý sản xuất</v>
          </cell>
          <cell r="E621" t="str">
            <v>Tổng công ty Công nghiệp Công nghệ cao Viettel</v>
          </cell>
          <cell r="F621" t="str">
            <v>Khối 1 - TCT CNC</v>
          </cell>
          <cell r="G621" t="str">
            <v>Trung tâm sản xuất</v>
          </cell>
        </row>
        <row r="622">
          <cell r="B622" t="str">
            <v>204326</v>
          </cell>
          <cell r="C622" t="str">
            <v>Nguyễn Minh Đạo</v>
          </cell>
          <cell r="D622" t="str">
            <v>Kỹ sư Kỹ thuật sản xuất</v>
          </cell>
          <cell r="E622" t="str">
            <v>Tổng công ty Công nghiệp Công nghệ cao Viettel</v>
          </cell>
          <cell r="F622" t="str">
            <v>Khối 1 - TCT CNC</v>
          </cell>
          <cell r="G622" t="str">
            <v>Trung tâm sản xuất</v>
          </cell>
        </row>
        <row r="623">
          <cell r="B623" t="str">
            <v>207639</v>
          </cell>
          <cell r="C623" t="str">
            <v>Lê Thanh Tùng</v>
          </cell>
          <cell r="D623" t="str">
            <v>Kỹ sư Quản lý sản xuất</v>
          </cell>
          <cell r="E623" t="str">
            <v>Tổng công ty Công nghiệp Công nghệ cao Viettel</v>
          </cell>
          <cell r="F623" t="str">
            <v>Khối 1 - TCT CNC</v>
          </cell>
          <cell r="G623" t="str">
            <v>Trung tâm sản xuất</v>
          </cell>
        </row>
        <row r="624">
          <cell r="B624" t="str">
            <v>207774</v>
          </cell>
          <cell r="C624" t="str">
            <v>Vũ Hòa Phúc</v>
          </cell>
          <cell r="D624" t="str">
            <v>Kỹ sư Kỹ thuật sản xuất</v>
          </cell>
          <cell r="E624" t="str">
            <v>Tổng công ty Công nghiệp Công nghệ cao Viettel</v>
          </cell>
          <cell r="F624" t="str">
            <v>Khối 1 - TCT CNC</v>
          </cell>
          <cell r="G624" t="str">
            <v>Trung tâm sản xuất</v>
          </cell>
        </row>
        <row r="625">
          <cell r="B625" t="str">
            <v>221581</v>
          </cell>
          <cell r="C625" t="str">
            <v>Đinh Quốc Đạt</v>
          </cell>
          <cell r="D625" t="str">
            <v>Kỹ sư Kỹ thuật sản xuất</v>
          </cell>
          <cell r="E625" t="str">
            <v>Tổng công ty Công nghiệp Công nghệ cao Viettel</v>
          </cell>
          <cell r="F625" t="str">
            <v>Khối 1 - TCT CNC</v>
          </cell>
          <cell r="G625" t="str">
            <v>Trung tâm sản xuất</v>
          </cell>
        </row>
        <row r="626">
          <cell r="B626" t="str">
            <v>221586</v>
          </cell>
          <cell r="C626" t="str">
            <v>Nguyễn Văn Đức</v>
          </cell>
          <cell r="D626" t="str">
            <v>Trắc thủ</v>
          </cell>
          <cell r="E626" t="str">
            <v>Tổng công ty Công nghiệp Công nghệ cao Viettel</v>
          </cell>
          <cell r="F626" t="str">
            <v>Khối 1 - TCT CNC</v>
          </cell>
          <cell r="G626" t="str">
            <v>Trung tâm sản xuất</v>
          </cell>
        </row>
        <row r="627">
          <cell r="B627" t="str">
            <v>246817</v>
          </cell>
          <cell r="C627" t="str">
            <v>Phạm Xuân Ngọc</v>
          </cell>
          <cell r="D627" t="str">
            <v>Kỹ sư kỹ thuật sản xuất</v>
          </cell>
          <cell r="E627" t="str">
            <v>Tổng công ty Công nghiệp Công nghệ cao Viettel</v>
          </cell>
          <cell r="F627" t="str">
            <v>Khối 1 - TCT CNC</v>
          </cell>
          <cell r="G627" t="str">
            <v>Trung tâm sản xuất</v>
          </cell>
        </row>
        <row r="628">
          <cell r="B628" t="str">
            <v>262904</v>
          </cell>
          <cell r="C628" t="str">
            <v>Lương Thu Hương</v>
          </cell>
          <cell r="D628" t="str">
            <v>Kỹ sư Kỹ thuật sản xuất</v>
          </cell>
          <cell r="E628" t="str">
            <v>Tổng công ty Công nghiệp Công nghệ cao Viettel</v>
          </cell>
          <cell r="F628" t="str">
            <v>Khối 1 - TCT CNC</v>
          </cell>
          <cell r="G628" t="str">
            <v>Trung tâm sản xuất</v>
          </cell>
        </row>
        <row r="629">
          <cell r="B629" t="str">
            <v>272688</v>
          </cell>
          <cell r="C629" t="str">
            <v>Ngô Văn Ninh</v>
          </cell>
          <cell r="D629" t="str">
            <v>Kỹ sư Kỹ thuật sản xuất</v>
          </cell>
          <cell r="E629" t="str">
            <v>Tổng công ty Công nghiệp Công nghệ cao Viettel</v>
          </cell>
          <cell r="F629" t="str">
            <v>Khối 1 - TCT CNC</v>
          </cell>
          <cell r="G629" t="str">
            <v>Trung tâm sản xuất</v>
          </cell>
        </row>
        <row r="630">
          <cell r="B630" t="str">
            <v>286256</v>
          </cell>
          <cell r="C630" t="str">
            <v>Vũ Thị Trang</v>
          </cell>
          <cell r="D630" t="str">
            <v>Kỹ sư Quản lý sản xuất</v>
          </cell>
          <cell r="E630" t="str">
            <v>Tổng công ty Công nghiệp Công nghệ cao Viettel</v>
          </cell>
          <cell r="F630" t="str">
            <v>Khối 1 - TCT CNC</v>
          </cell>
          <cell r="G630" t="str">
            <v>Trung tâm sản xuất</v>
          </cell>
        </row>
        <row r="631">
          <cell r="B631" t="str">
            <v>290199</v>
          </cell>
          <cell r="C631" t="str">
            <v>Phạm Huy Hoàng</v>
          </cell>
          <cell r="D631" t="str">
            <v>Kỹ sư Kỹ thuật sản xuất</v>
          </cell>
          <cell r="E631" t="str">
            <v>Tổng công ty Công nghiệp Công nghệ cao Viettel</v>
          </cell>
          <cell r="F631" t="str">
            <v>Khối 1 - TCT CNC</v>
          </cell>
          <cell r="G631" t="str">
            <v>Trung tâm sản xuất</v>
          </cell>
        </row>
        <row r="632">
          <cell r="B632" t="str">
            <v>438557</v>
          </cell>
          <cell r="C632" t="str">
            <v>Trần Thị Minh Hồng</v>
          </cell>
          <cell r="D632" t="str">
            <v>Kỹ sư Kỹ thuật sản xuất</v>
          </cell>
          <cell r="E632" t="str">
            <v>Tổng công ty Công nghiệp Công nghệ cao Viettel</v>
          </cell>
          <cell r="F632" t="str">
            <v>Khối 1 - TCT CNC</v>
          </cell>
          <cell r="G632" t="str">
            <v>Trung tâm sản xuất</v>
          </cell>
        </row>
        <row r="633">
          <cell r="B633" t="str">
            <v>442881</v>
          </cell>
          <cell r="C633" t="str">
            <v>Ngô Ngọc Thịnh</v>
          </cell>
          <cell r="D633" t="str">
            <v>Kỹ sư Kỹ thuật sản xuất</v>
          </cell>
          <cell r="E633" t="str">
            <v>Tổng công ty Công nghiệp Công nghệ cao Viettel</v>
          </cell>
          <cell r="F633" t="str">
            <v>Khối 1 - TCT CNC</v>
          </cell>
          <cell r="G633" t="str">
            <v>Trung tâm sản xuất</v>
          </cell>
        </row>
        <row r="634">
          <cell r="B634" t="str">
            <v>452775</v>
          </cell>
          <cell r="C634" t="str">
            <v>Phùng Tiến Công</v>
          </cell>
          <cell r="D634" t="str">
            <v>Kỹ sư Kỹ thuật sản xuất</v>
          </cell>
          <cell r="E634" t="str">
            <v>Tổng công ty Công nghiệp Công nghệ cao Viettel</v>
          </cell>
          <cell r="F634" t="str">
            <v>Khối 1 - TCT CNC</v>
          </cell>
          <cell r="G634" t="str">
            <v>Trung tâm sản xuất</v>
          </cell>
        </row>
        <row r="635">
          <cell r="B635" t="str">
            <v>476749</v>
          </cell>
          <cell r="C635" t="str">
            <v>Nguyễn Xuân Chúc</v>
          </cell>
          <cell r="D635" t="str">
            <v>Kỹ sư Kỹ thuật sản xuất</v>
          </cell>
          <cell r="E635" t="str">
            <v>Tổng công ty Công nghiệp Công nghệ cao Viettel</v>
          </cell>
          <cell r="F635" t="str">
            <v>Khối 1 - TCT CNC</v>
          </cell>
          <cell r="G635" t="str">
            <v>Trung tâm sản xuất</v>
          </cell>
        </row>
        <row r="636">
          <cell r="B636" t="str">
            <v>045593</v>
          </cell>
          <cell r="C636" t="str">
            <v>Lê Thị Thanh Nhàn</v>
          </cell>
          <cell r="D636" t="str">
            <v>Trưởng phòng Kiểm thử</v>
          </cell>
          <cell r="E636" t="str">
            <v>Tổng công ty Công nghiệp Công nghệ cao Viettel</v>
          </cell>
          <cell r="F636" t="str">
            <v>Khối 1 - TCT CNC</v>
          </cell>
          <cell r="G636" t="str">
            <v>Trung tâm Đảm bảo chất lượng</v>
          </cell>
        </row>
        <row r="637">
          <cell r="B637" t="str">
            <v>108597</v>
          </cell>
          <cell r="C637" t="str">
            <v>Trần Thu Hiền</v>
          </cell>
          <cell r="D637" t="str">
            <v>Kỹ sư Kiểm thử</v>
          </cell>
          <cell r="E637" t="str">
            <v>Tổng công ty Công nghiệp Công nghệ cao Viettel</v>
          </cell>
          <cell r="F637" t="str">
            <v>Khối 1 - TCT CNC</v>
          </cell>
          <cell r="G637" t="str">
            <v>Trung tâm Đảm bảo chất lượng</v>
          </cell>
        </row>
        <row r="638">
          <cell r="B638" t="str">
            <v>116282</v>
          </cell>
          <cell r="C638" t="str">
            <v>Trần Bá Quỳnh</v>
          </cell>
          <cell r="D638" t="str">
            <v>Phó Giám đốc Trung tâm</v>
          </cell>
          <cell r="E638" t="str">
            <v>Tổng công ty Công nghiệp Công nghệ cao Viettel</v>
          </cell>
          <cell r="F638" t="str">
            <v>Khối 1 - TCT CNC</v>
          </cell>
          <cell r="G638" t="str">
            <v>Trung tâm Đảm bảo chất lượng</v>
          </cell>
        </row>
        <row r="639">
          <cell r="B639" t="str">
            <v>116874</v>
          </cell>
          <cell r="C639" t="str">
            <v>Cao Minh Thành</v>
          </cell>
          <cell r="D639" t="str">
            <v>Giám đốc Trung tâm</v>
          </cell>
          <cell r="E639" t="str">
            <v>Tổng công ty Công nghiệp Công nghệ cao Viettel</v>
          </cell>
          <cell r="F639" t="str">
            <v>Khối 1 - TCT CNC</v>
          </cell>
          <cell r="G639" t="str">
            <v>Trung tâm Đảm bảo chất lượng</v>
          </cell>
        </row>
        <row r="640">
          <cell r="B640" t="str">
            <v>154613</v>
          </cell>
          <cell r="C640" t="str">
            <v>Phương Văn Hiệp</v>
          </cell>
          <cell r="D640" t="str">
            <v>Kỹ sư Kiểm soát chất lượng (QC)</v>
          </cell>
          <cell r="E640" t="str">
            <v>Tổng công ty Công nghiệp Công nghệ cao Viettel</v>
          </cell>
          <cell r="F640" t="str">
            <v>Khối 1 - TCT CNC</v>
          </cell>
          <cell r="G640" t="str">
            <v>Trung tâm Đảm bảo chất lượng</v>
          </cell>
        </row>
        <row r="641">
          <cell r="B641" t="str">
            <v>176233</v>
          </cell>
          <cell r="C641" t="str">
            <v>Nguyễn Lan Anh</v>
          </cell>
          <cell r="D641" t="str">
            <v>Kỹ sư Kiểm thử</v>
          </cell>
          <cell r="E641" t="str">
            <v>Tổng công ty Công nghiệp Công nghệ cao Viettel</v>
          </cell>
          <cell r="F641" t="str">
            <v>Khối 1 - TCT CNC</v>
          </cell>
          <cell r="G641" t="str">
            <v>Trung tâm Đảm bảo chất lượng</v>
          </cell>
        </row>
        <row r="642">
          <cell r="B642" t="str">
            <v>186936</v>
          </cell>
          <cell r="C642" t="str">
            <v>Dương Minh Trí</v>
          </cell>
          <cell r="D642" t="str">
            <v>Kỹ sư Kiểm soát chất lượng (QC)</v>
          </cell>
          <cell r="E642" t="str">
            <v>Tổng công ty Công nghiệp Công nghệ cao Viettel</v>
          </cell>
          <cell r="F642" t="str">
            <v>Khối 1 - TCT CNC</v>
          </cell>
          <cell r="G642" t="str">
            <v>Trung tâm Đảm bảo chất lượng</v>
          </cell>
        </row>
        <row r="643">
          <cell r="B643" t="str">
            <v>219558</v>
          </cell>
          <cell r="C643" t="str">
            <v>Hoàng Anh Dũng</v>
          </cell>
          <cell r="D643" t="str">
            <v>Kỹ sư Kiểm soát chất lượng (QC)</v>
          </cell>
          <cell r="E643" t="str">
            <v>Tổng công ty Công nghiệp Công nghệ cao Viettel</v>
          </cell>
          <cell r="F643" t="str">
            <v>Khối 1 - TCT CNC</v>
          </cell>
          <cell r="G643" t="str">
            <v>Trung tâm Đảm bảo chất lượng</v>
          </cell>
        </row>
        <row r="644">
          <cell r="B644" t="str">
            <v>223012</v>
          </cell>
          <cell r="C644" t="str">
            <v>Nguyễn Thị Mai Hương</v>
          </cell>
          <cell r="D644" t="str">
            <v>Kỹ sư Kiểm thử phần mềm</v>
          </cell>
          <cell r="E644" t="str">
            <v>Tổng công ty Công nghiệp Công nghệ cao Viettel</v>
          </cell>
          <cell r="F644" t="str">
            <v>Khối 1 - TCT CNC</v>
          </cell>
          <cell r="G644" t="str">
            <v>Trung tâm Đảm bảo chất lượng</v>
          </cell>
        </row>
        <row r="645">
          <cell r="B645" t="str">
            <v>227383</v>
          </cell>
          <cell r="C645" t="str">
            <v>Nguyễn Phương Nga</v>
          </cell>
          <cell r="D645" t="str">
            <v>Kỹ sư Đảm bảo chất lượng</v>
          </cell>
          <cell r="E645" t="str">
            <v>Tổng công ty Công nghiệp Công nghệ cao Viettel</v>
          </cell>
          <cell r="F645" t="str">
            <v>Khối 1 - TCT CNC</v>
          </cell>
          <cell r="G645" t="str">
            <v>Trung tâm Đảm bảo chất lượng</v>
          </cell>
        </row>
        <row r="646">
          <cell r="B646" t="str">
            <v>234273</v>
          </cell>
          <cell r="C646" t="str">
            <v>Hoàng Trung Anh</v>
          </cell>
          <cell r="D646" t="str">
            <v>Kỹ sư Kiểm soát chất lượng (QC)</v>
          </cell>
          <cell r="E646" t="str">
            <v>Tổng công ty Công nghiệp Công nghệ cao Viettel</v>
          </cell>
          <cell r="F646" t="str">
            <v>Khối 1 - TCT CNC</v>
          </cell>
          <cell r="G646" t="str">
            <v>Trung tâm Đảm bảo chất lượng</v>
          </cell>
        </row>
        <row r="647">
          <cell r="B647" t="str">
            <v>234498</v>
          </cell>
          <cell r="C647" t="str">
            <v>Lê Văn Quỳnh</v>
          </cell>
          <cell r="D647" t="str">
            <v>Kỹ sư Đảm bảo chất lượng</v>
          </cell>
          <cell r="E647" t="str">
            <v>Tổng công ty Công nghiệp Công nghệ cao Viettel</v>
          </cell>
          <cell r="F647" t="str">
            <v>Khối 1 - TCT CNC</v>
          </cell>
          <cell r="G647" t="str">
            <v>Trung tâm Đảm bảo chất lượng</v>
          </cell>
        </row>
        <row r="648">
          <cell r="B648" t="str">
            <v>239037</v>
          </cell>
          <cell r="C648" t="str">
            <v>Nguyễn Thị Hằng</v>
          </cell>
          <cell r="D648" t="str">
            <v>Kỹ sư Kiểm soát chất lượng (QC)</v>
          </cell>
          <cell r="E648" t="str">
            <v>Tổng công ty Công nghiệp Công nghệ cao Viettel</v>
          </cell>
          <cell r="F648" t="str">
            <v>Khối 1 - TCT CNC</v>
          </cell>
          <cell r="G648" t="str">
            <v>Trung tâm Đảm bảo chất lượng</v>
          </cell>
        </row>
        <row r="649">
          <cell r="B649" t="str">
            <v>243863</v>
          </cell>
          <cell r="C649" t="str">
            <v>Hoàng Anh Tuấn</v>
          </cell>
          <cell r="D649" t="str">
            <v>Kỹ sư Đảm bảo chất lượng</v>
          </cell>
          <cell r="E649" t="str">
            <v>Tổng công ty Công nghiệp Công nghệ cao Viettel</v>
          </cell>
          <cell r="F649" t="str">
            <v>Khối 1 - TCT CNC</v>
          </cell>
          <cell r="G649" t="str">
            <v>Trung tâm Đảm bảo chất lượng</v>
          </cell>
        </row>
        <row r="650">
          <cell r="B650" t="str">
            <v>249101</v>
          </cell>
          <cell r="C650" t="str">
            <v>Bùi Thị Minh Ngọc</v>
          </cell>
          <cell r="D650" t="str">
            <v>Kỹ sư Kiểm thử</v>
          </cell>
          <cell r="E650" t="str">
            <v>Tổng công ty Công nghiệp Công nghệ cao Viettel</v>
          </cell>
          <cell r="F650" t="str">
            <v>Khối 1 - TCT CNC</v>
          </cell>
          <cell r="G650" t="str">
            <v>Trung tâm Đảm bảo chất lượng</v>
          </cell>
        </row>
        <row r="651">
          <cell r="B651" t="str">
            <v>249514</v>
          </cell>
          <cell r="C651" t="str">
            <v>Trần Duy Hà</v>
          </cell>
          <cell r="D651" t="str">
            <v>Kỹ sư Kiểm soát chất lượng (QC)</v>
          </cell>
          <cell r="E651" t="str">
            <v>Tổng công ty Công nghiệp Công nghệ cao Viettel</v>
          </cell>
          <cell r="F651" t="str">
            <v>Khối 1 - TCT CNC</v>
          </cell>
          <cell r="G651" t="str">
            <v>Trung tâm Đảm bảo chất lượng</v>
          </cell>
        </row>
        <row r="652">
          <cell r="B652" t="str">
            <v>268914</v>
          </cell>
          <cell r="C652" t="str">
            <v>Đinh Quốc Toàn</v>
          </cell>
          <cell r="D652" t="str">
            <v>Kỹ sư Kiểm thử</v>
          </cell>
          <cell r="E652" t="str">
            <v>Tổng công ty Công nghiệp Công nghệ cao Viettel</v>
          </cell>
          <cell r="F652" t="str">
            <v>Khối 1 - TCT CNC</v>
          </cell>
          <cell r="G652" t="str">
            <v>Trung tâm Đảm bảo chất lượng</v>
          </cell>
        </row>
        <row r="653">
          <cell r="B653" t="str">
            <v>270149</v>
          </cell>
          <cell r="C653" t="str">
            <v>Vũ Văn Thuận</v>
          </cell>
          <cell r="D653" t="str">
            <v>Kỹ sư Kiểm soát chất lượng (QC)</v>
          </cell>
          <cell r="E653" t="str">
            <v>Tổng công ty Công nghiệp Công nghệ cao Viettel</v>
          </cell>
          <cell r="F653" t="str">
            <v>Khối 1 - TCT CNC</v>
          </cell>
          <cell r="G653" t="str">
            <v>Trung tâm Đảm bảo chất lượng</v>
          </cell>
        </row>
        <row r="654">
          <cell r="B654" t="str">
            <v>273698</v>
          </cell>
          <cell r="C654" t="str">
            <v>Phạm Trung Sơn</v>
          </cell>
          <cell r="D654" t="str">
            <v>Kỹ sư Đảm bảo chất lượng (QA)</v>
          </cell>
          <cell r="E654" t="str">
            <v>Tổng công ty Công nghiệp Công nghệ cao Viettel</v>
          </cell>
          <cell r="F654" t="str">
            <v>Khối 1 - TCT CNC</v>
          </cell>
          <cell r="G654" t="str">
            <v>Trung tâm Đảm bảo chất lượng</v>
          </cell>
        </row>
        <row r="655">
          <cell r="B655" t="str">
            <v>281804</v>
          </cell>
          <cell r="C655" t="str">
            <v>Trần Thị Huyền Trang</v>
          </cell>
          <cell r="D655" t="str">
            <v>Kỹ sư Kiểm thử</v>
          </cell>
          <cell r="E655" t="str">
            <v>Tổng công ty Công nghiệp Công nghệ cao Viettel</v>
          </cell>
          <cell r="F655" t="str">
            <v>Khối 1 - TCT CNC</v>
          </cell>
          <cell r="G655" t="str">
            <v>Trung tâm Đảm bảo chất lượng</v>
          </cell>
        </row>
        <row r="656">
          <cell r="B656" t="str">
            <v>294152</v>
          </cell>
          <cell r="C656" t="str">
            <v>Nguyễn Thị Thu Trang</v>
          </cell>
          <cell r="D656" t="str">
            <v>Kỹ sư Đảm bảo chất lượng (QA)</v>
          </cell>
          <cell r="E656" t="str">
            <v>Tổng công ty Công nghiệp Công nghệ cao Viettel</v>
          </cell>
          <cell r="F656" t="str">
            <v>Khối 1 - TCT CNC</v>
          </cell>
          <cell r="G656" t="str">
            <v>Trung tâm Đảm bảo chất lượng</v>
          </cell>
        </row>
        <row r="657">
          <cell r="B657" t="str">
            <v>427542</v>
          </cell>
          <cell r="C657" t="str">
            <v>Nguyễn Thị Hồng Minh</v>
          </cell>
          <cell r="D657" t="str">
            <v>Kỹ sư Kiểm soát chất lượng (QC)</v>
          </cell>
          <cell r="E657" t="str">
            <v>Tổng công ty Công nghiệp Công nghệ cao Viettel</v>
          </cell>
          <cell r="F657" t="str">
            <v>Khối 1 - TCT CNC</v>
          </cell>
          <cell r="G657" t="str">
            <v>Trung tâm Đảm bảo chất lượng</v>
          </cell>
        </row>
        <row r="658">
          <cell r="B658" t="str">
            <v>430901</v>
          </cell>
          <cell r="C658" t="str">
            <v>Nguyễn Trần Đạt</v>
          </cell>
          <cell r="D658" t="str">
            <v>Kỹ sư Kiểm soát chất lượng (QC)</v>
          </cell>
          <cell r="E658" t="str">
            <v>Tổng công ty Công nghiệp Công nghệ cao Viettel</v>
          </cell>
          <cell r="F658" t="str">
            <v>Khối 1 - TCT CNC</v>
          </cell>
          <cell r="G658" t="str">
            <v>Trung tâm Đảm bảo chất lượng</v>
          </cell>
        </row>
        <row r="659">
          <cell r="B659" t="str">
            <v>448577</v>
          </cell>
          <cell r="C659" t="str">
            <v>Ninh Thị Lan</v>
          </cell>
          <cell r="D659" t="str">
            <v>Kỹ sư Kiểm thử phần mềm</v>
          </cell>
          <cell r="E659" t="str">
            <v>Tổng công ty Công nghiệp Công nghệ cao Viettel</v>
          </cell>
          <cell r="F659" t="str">
            <v>Khối 1 - TCT CNC</v>
          </cell>
          <cell r="G659" t="str">
            <v>Trung tâm Đảm bảo chất lượng</v>
          </cell>
        </row>
        <row r="660">
          <cell r="B660" t="str">
            <v>449887</v>
          </cell>
          <cell r="C660" t="str">
            <v>Nguyễn Thị Trang</v>
          </cell>
          <cell r="D660" t="str">
            <v>Kỹ sư Đảm bảo chất lượng</v>
          </cell>
          <cell r="E660" t="str">
            <v>Tổng công ty Công nghiệp Công nghệ cao Viettel</v>
          </cell>
          <cell r="F660" t="str">
            <v>Khối 1 - TCT CNC</v>
          </cell>
          <cell r="G660" t="str">
            <v>Trung tâm Đảm bảo chất lượng</v>
          </cell>
        </row>
        <row r="661">
          <cell r="B661" t="str">
            <v>457409</v>
          </cell>
          <cell r="C661" t="str">
            <v>Phạm Quang Vũ</v>
          </cell>
          <cell r="D661" t="str">
            <v>Kỹ sư Kiểm soát chất lượng (QC)</v>
          </cell>
          <cell r="E661" t="str">
            <v>Tổng công ty Công nghiệp Công nghệ cao Viettel</v>
          </cell>
          <cell r="F661" t="str">
            <v>Khối 1 - TCT CNC</v>
          </cell>
          <cell r="G661" t="str">
            <v>Trung tâm Đảm bảo chất lượng</v>
          </cell>
        </row>
        <row r="662">
          <cell r="B662" t="str">
            <v>460535</v>
          </cell>
          <cell r="C662" t="str">
            <v>Nguyễn Đức Nghĩa</v>
          </cell>
          <cell r="D662" t="str">
            <v>Kỹ sư Kiểm soát chất lượng (QC)</v>
          </cell>
          <cell r="E662" t="str">
            <v>Tổng công ty Công nghiệp Công nghệ cao Viettel</v>
          </cell>
          <cell r="F662" t="str">
            <v>Khối 1 - TCT CNC</v>
          </cell>
          <cell r="G662" t="str">
            <v>Trung tâm Đảm bảo chất lượng</v>
          </cell>
        </row>
        <row r="663">
          <cell r="B663" t="str">
            <v>473085</v>
          </cell>
          <cell r="C663" t="str">
            <v>Hoàng Phi Long</v>
          </cell>
          <cell r="D663" t="str">
            <v>Kỹ sư Đảm bảo chất lượng (QA)</v>
          </cell>
          <cell r="E663" t="str">
            <v>Tổng công ty Công nghiệp Công nghệ cao Viettel</v>
          </cell>
          <cell r="F663" t="str">
            <v>Khối 1 - TCT CNC</v>
          </cell>
          <cell r="G663" t="str">
            <v>Trung tâm Đảm bảo chất lượng</v>
          </cell>
        </row>
        <row r="664">
          <cell r="B664" t="str">
            <v>473463</v>
          </cell>
          <cell r="C664" t="str">
            <v>Phạm Huy</v>
          </cell>
          <cell r="D664" t="str">
            <v>Kỹ sư Kiểm soát chất lượng (QC)</v>
          </cell>
          <cell r="E664" t="str">
            <v>Tổng công ty Công nghiệp Công nghệ cao Viettel</v>
          </cell>
          <cell r="F664" t="str">
            <v>Khối 1 - TCT CNC</v>
          </cell>
          <cell r="G664" t="str">
            <v>Trung tâm Đảm bảo chất lượng</v>
          </cell>
        </row>
        <row r="665">
          <cell r="B665" t="str">
            <v>477925</v>
          </cell>
          <cell r="C665" t="str">
            <v>Đinh Nhật Tân</v>
          </cell>
          <cell r="D665" t="str">
            <v>Kỹ sư Kiểm soát chất lượng (QC)</v>
          </cell>
          <cell r="E665" t="str">
            <v>Tổng công ty Công nghiệp Công nghệ cao Viettel</v>
          </cell>
          <cell r="F665" t="str">
            <v>Khối 1 - TCT CNC</v>
          </cell>
          <cell r="G665" t="str">
            <v>Trung tâm Đảm bảo chất lượng</v>
          </cell>
        </row>
        <row r="666">
          <cell r="B666" t="str">
            <v>004011</v>
          </cell>
          <cell r="C666" t="str">
            <v>Phan Thanh Trung</v>
          </cell>
          <cell r="D666" t="str">
            <v>Phó Giám đốc Khối</v>
          </cell>
          <cell r="E666" t="str">
            <v>Tổng công ty Công nghiệp Công nghệ cao Viettel</v>
          </cell>
          <cell r="F666" t="str">
            <v>Khối 2 - TCT CNC</v>
          </cell>
          <cell r="G666" t="str">
            <v>Ban Giám đốc Khối</v>
          </cell>
        </row>
        <row r="667">
          <cell r="B667" t="str">
            <v>019658</v>
          </cell>
          <cell r="C667" t="str">
            <v>Lê Trường Giang</v>
          </cell>
          <cell r="D667" t="str">
            <v>Phó Giám đốc Khối</v>
          </cell>
          <cell r="E667" t="str">
            <v>Tổng công ty Công nghiệp Công nghệ cao Viettel</v>
          </cell>
          <cell r="F667" t="str">
            <v>Khối 2 - TCT CNC</v>
          </cell>
          <cell r="G667" t="str">
            <v>Ban Giám đốc Khối</v>
          </cell>
        </row>
        <row r="668">
          <cell r="B668" t="str">
            <v>058347</v>
          </cell>
          <cell r="C668" t="str">
            <v>Nguyễn Hữu Huy</v>
          </cell>
          <cell r="D668" t="str">
            <v>Chuyên viên Kinh doanh</v>
          </cell>
          <cell r="E668" t="str">
            <v>Tổng công ty Công nghiệp Công nghệ cao Viettel</v>
          </cell>
          <cell r="F668" t="str">
            <v>Khối 2 - TCT CNC</v>
          </cell>
          <cell r="G668" t="str">
            <v>Phòng Kinh doanh</v>
          </cell>
        </row>
        <row r="669">
          <cell r="B669" t="str">
            <v>077152</v>
          </cell>
          <cell r="C669" t="str">
            <v>Trần Trọng Dũng</v>
          </cell>
          <cell r="D669" t="str">
            <v>Chuyên viên Kinh doanh</v>
          </cell>
          <cell r="E669" t="str">
            <v>Tổng công ty Công nghiệp Công nghệ cao Viettel</v>
          </cell>
          <cell r="F669" t="str">
            <v>Khối 2 - TCT CNC</v>
          </cell>
          <cell r="G669" t="str">
            <v>Phòng Kinh doanh</v>
          </cell>
        </row>
        <row r="670">
          <cell r="B670" t="str">
            <v>175276</v>
          </cell>
          <cell r="C670" t="str">
            <v>Nguyễn Thị Hồng Nhung</v>
          </cell>
          <cell r="D670" t="str">
            <v>Nhân viên Kinh doanh</v>
          </cell>
          <cell r="E670" t="str">
            <v>Tổng công ty Công nghiệp Công nghệ cao Viettel</v>
          </cell>
          <cell r="F670" t="str">
            <v>Khối 2 - TCT CNC</v>
          </cell>
          <cell r="G670" t="str">
            <v>Phòng Kinh doanh</v>
          </cell>
        </row>
        <row r="671">
          <cell r="B671" t="str">
            <v>527988</v>
          </cell>
          <cell r="C671" t="str">
            <v>Hoàng Hồng Ngọc</v>
          </cell>
          <cell r="D671" t="str">
            <v>Nhân viên Kinh doanh</v>
          </cell>
          <cell r="E671" t="str">
            <v>Tổng công ty Công nghiệp Công nghệ cao Viettel</v>
          </cell>
          <cell r="F671" t="str">
            <v>Khối 2 - TCT CNC</v>
          </cell>
          <cell r="G671" t="str">
            <v>Phòng Kinh doanh</v>
          </cell>
        </row>
        <row r="672">
          <cell r="B672" t="str">
            <v>109018</v>
          </cell>
          <cell r="C672" t="str">
            <v>Vũ Thị Thanh Hoa</v>
          </cell>
          <cell r="D672" t="str">
            <v>Kỹ sư Linh kiện</v>
          </cell>
          <cell r="E672" t="str">
            <v>Tổng công ty Công nghiệp Công nghệ cao Viettel</v>
          </cell>
          <cell r="F672" t="str">
            <v>Khối 2 - TCT CNC</v>
          </cell>
          <cell r="G672" t="str">
            <v>Phòng Quản lý sản xuất</v>
          </cell>
        </row>
        <row r="673">
          <cell r="B673" t="str">
            <v>123637</v>
          </cell>
          <cell r="C673" t="str">
            <v>Lương Văn Toản</v>
          </cell>
          <cell r="D673" t="str">
            <v>Trưởng phòng Quản lý sản xuất</v>
          </cell>
          <cell r="E673" t="str">
            <v>Tổng công ty Công nghiệp Công nghệ cao Viettel</v>
          </cell>
          <cell r="F673" t="str">
            <v>Khối 2 - TCT CNC</v>
          </cell>
          <cell r="G673" t="str">
            <v>Phòng Quản lý sản xuất</v>
          </cell>
        </row>
        <row r="674">
          <cell r="B674" t="str">
            <v>243952</v>
          </cell>
          <cell r="C674" t="str">
            <v>Lê Minh Hiếu</v>
          </cell>
          <cell r="D674" t="str">
            <v>Kỹ sư Quản lý sản xuất</v>
          </cell>
          <cell r="E674" t="str">
            <v>Tổng công ty Công nghiệp Công nghệ cao Viettel</v>
          </cell>
          <cell r="F674" t="str">
            <v>Khối 2 - TCT CNC</v>
          </cell>
          <cell r="G674" t="str">
            <v>Phòng Quản lý sản xuất</v>
          </cell>
        </row>
        <row r="675">
          <cell r="B675" t="str">
            <v>247044</v>
          </cell>
          <cell r="C675" t="str">
            <v>Dương Hoàng Liên</v>
          </cell>
          <cell r="D675" t="str">
            <v>Kỹ sư Quản lý chất lượng sản xuất</v>
          </cell>
          <cell r="E675" t="str">
            <v>Tổng công ty Công nghiệp Công nghệ cao Viettel</v>
          </cell>
          <cell r="F675" t="str">
            <v>Khối 2 - TCT CNC</v>
          </cell>
          <cell r="G675" t="str">
            <v>Phòng Quản lý sản xuất</v>
          </cell>
        </row>
        <row r="676">
          <cell r="B676" t="str">
            <v>251015</v>
          </cell>
          <cell r="C676" t="str">
            <v>Nghiêm Văn Hào</v>
          </cell>
          <cell r="D676" t="str">
            <v>Kỹ sư Quản lý chất lượng sản xuất</v>
          </cell>
          <cell r="E676" t="str">
            <v>Tổng công ty Công nghiệp Công nghệ cao Viettel</v>
          </cell>
          <cell r="F676" t="str">
            <v>Khối 2 - TCT CNC</v>
          </cell>
          <cell r="G676" t="str">
            <v>Phòng Quản lý sản xuất</v>
          </cell>
        </row>
        <row r="677">
          <cell r="B677" t="str">
            <v>262586</v>
          </cell>
          <cell r="C677" t="str">
            <v>Vũ Thị Ngọc Lanh</v>
          </cell>
          <cell r="D677" t="str">
            <v>Kỹ sư quản lý sản xuất</v>
          </cell>
          <cell r="E677" t="str">
            <v>Tổng công ty Công nghiệp Công nghệ cao Viettel</v>
          </cell>
          <cell r="F677" t="str">
            <v>Khối 2 - TCT CNC</v>
          </cell>
          <cell r="G677" t="str">
            <v>Phòng Quản lý sản xuất</v>
          </cell>
        </row>
        <row r="678">
          <cell r="B678" t="str">
            <v>281298</v>
          </cell>
          <cell r="C678" t="str">
            <v>Lương Thị Thoa</v>
          </cell>
          <cell r="D678" t="str">
            <v>Kỹ sư Linh kiện</v>
          </cell>
          <cell r="E678" t="str">
            <v>Tổng công ty Công nghiệp Công nghệ cao Viettel</v>
          </cell>
          <cell r="F678" t="str">
            <v>Khối 2 - TCT CNC</v>
          </cell>
          <cell r="G678" t="str">
            <v>Phòng Quản lý sản xuất</v>
          </cell>
        </row>
        <row r="679">
          <cell r="B679" t="str">
            <v>441295</v>
          </cell>
          <cell r="C679" t="str">
            <v>Nguyễn Thanh Tùng</v>
          </cell>
          <cell r="D679" t="str">
            <v>Kỹ sư Quản lý sản xuất</v>
          </cell>
          <cell r="E679" t="str">
            <v>Tổng công ty Công nghiệp Công nghệ cao Viettel</v>
          </cell>
          <cell r="F679" t="str">
            <v>Khối 2 - TCT CNC</v>
          </cell>
          <cell r="G679" t="str">
            <v>Phòng Quản lý sản xuất</v>
          </cell>
        </row>
        <row r="680">
          <cell r="B680" t="str">
            <v>008189</v>
          </cell>
          <cell r="C680" t="str">
            <v>Trần Thị Phương Lan</v>
          </cell>
          <cell r="D680" t="str">
            <v>Nhân viên Hành chính</v>
          </cell>
          <cell r="E680" t="str">
            <v>Tổng công ty Công nghiệp Công nghệ cao Viettel</v>
          </cell>
          <cell r="F680" t="str">
            <v>Khối 2 - TCT CNC</v>
          </cell>
          <cell r="G680" t="str">
            <v>Phòng Tổng hợp</v>
          </cell>
        </row>
        <row r="681">
          <cell r="B681" t="str">
            <v>059868</v>
          </cell>
          <cell r="C681" t="str">
            <v>Lê Thị Hằng</v>
          </cell>
          <cell r="D681" t="str">
            <v>Nhân viên Hỗ trợ dự án</v>
          </cell>
          <cell r="E681" t="str">
            <v>Tổng công ty Công nghiệp Công nghệ cao Viettel</v>
          </cell>
          <cell r="F681" t="str">
            <v>Khối 2 - TCT CNC</v>
          </cell>
          <cell r="G681" t="str">
            <v>Phòng Tổng hợp</v>
          </cell>
        </row>
        <row r="682">
          <cell r="B682" t="str">
            <v>071839</v>
          </cell>
          <cell r="C682" t="str">
            <v>Chu Thái Bảo</v>
          </cell>
          <cell r="D682" t="str">
            <v>Trưởng phòng Tổng hợp</v>
          </cell>
          <cell r="E682" t="str">
            <v>Tổng công ty Công nghiệp Công nghệ cao Viettel</v>
          </cell>
          <cell r="F682" t="str">
            <v>Khối 2 - TCT CNC</v>
          </cell>
          <cell r="G682" t="str">
            <v>Phòng Tổng hợp</v>
          </cell>
        </row>
        <row r="683">
          <cell r="B683" t="str">
            <v>098288</v>
          </cell>
          <cell r="C683" t="str">
            <v>Lưu Thị Phương Thảo</v>
          </cell>
          <cell r="D683" t="str">
            <v>Nhân viên Kế hoạch Tổng hợp</v>
          </cell>
          <cell r="E683" t="str">
            <v>Tổng công ty Công nghiệp Công nghệ cao Viettel</v>
          </cell>
          <cell r="F683" t="str">
            <v>Khối 2 - TCT CNC</v>
          </cell>
          <cell r="G683" t="str">
            <v>Phòng Tổng hợp</v>
          </cell>
        </row>
        <row r="684">
          <cell r="B684" t="str">
            <v>125636</v>
          </cell>
          <cell r="C684" t="str">
            <v>Trịnh Thị Thanh Loan</v>
          </cell>
          <cell r="D684" t="str">
            <v>Trợ lý Đề tài</v>
          </cell>
          <cell r="E684" t="str">
            <v>Tổng công ty Công nghiệp Công nghệ cao Viettel</v>
          </cell>
          <cell r="F684" t="str">
            <v>Khối 2 - TCT CNC</v>
          </cell>
          <cell r="G684" t="str">
            <v>Phòng Tổng hợp</v>
          </cell>
        </row>
        <row r="685">
          <cell r="B685" t="str">
            <v>127496</v>
          </cell>
          <cell r="C685" t="str">
            <v>Nghiêm Ngọc Ly</v>
          </cell>
          <cell r="D685" t="str">
            <v>Nhân viên Quản lý tài sản</v>
          </cell>
          <cell r="E685" t="str">
            <v>Tổng công ty Công nghiệp Công nghệ cao Viettel</v>
          </cell>
          <cell r="F685" t="str">
            <v>Khối 2 - TCT CNC</v>
          </cell>
          <cell r="G685" t="str">
            <v>Phòng Tổng hợp</v>
          </cell>
        </row>
        <row r="686">
          <cell r="B686" t="str">
            <v>198558</v>
          </cell>
          <cell r="C686" t="str">
            <v>Lê Thị Tuyết Thanh</v>
          </cell>
          <cell r="D686" t="str">
            <v>Nhân viên Kế hoạch Tổng hợp</v>
          </cell>
          <cell r="E686" t="str">
            <v>Tổng công ty Công nghiệp Công nghệ cao Viettel</v>
          </cell>
          <cell r="F686" t="str">
            <v>Khối 2 - TCT CNC</v>
          </cell>
          <cell r="G686" t="str">
            <v>Phòng Tổng hợp</v>
          </cell>
        </row>
        <row r="687">
          <cell r="B687" t="str">
            <v>202023</v>
          </cell>
          <cell r="C687" t="str">
            <v>Đoàn Thị Ngoan</v>
          </cell>
          <cell r="D687" t="str">
            <v>Nhân viên Quản lý tài sản</v>
          </cell>
          <cell r="E687" t="str">
            <v>Tổng công ty Công nghiệp Công nghệ cao Viettel</v>
          </cell>
          <cell r="F687" t="str">
            <v>Khối 2 - TCT CNC</v>
          </cell>
          <cell r="G687" t="str">
            <v>Phòng Tổng hợp</v>
          </cell>
        </row>
        <row r="688">
          <cell r="B688" t="str">
            <v>204656</v>
          </cell>
          <cell r="C688" t="str">
            <v>Nguyễn Tiến Thành</v>
          </cell>
          <cell r="D688" t="str">
            <v>Nhân viên Hỗ trợ dự án</v>
          </cell>
          <cell r="E688" t="str">
            <v>Tổng công ty Công nghiệp Công nghệ cao Viettel</v>
          </cell>
          <cell r="F688" t="str">
            <v>Khối 2 - TCT CNC</v>
          </cell>
          <cell r="G688" t="str">
            <v>Phòng Tổng hợp</v>
          </cell>
        </row>
        <row r="689">
          <cell r="B689" t="str">
            <v>047735</v>
          </cell>
          <cell r="C689" t="str">
            <v>Trần Xuân Dũng</v>
          </cell>
          <cell r="D689" t="str">
            <v>Trưởng phòng Phần mềm Ứng dụng</v>
          </cell>
          <cell r="E689" t="str">
            <v>Tổng công ty Công nghiệp Công nghệ cao Viettel</v>
          </cell>
          <cell r="F689" t="str">
            <v>Khối 2 - TCT CNC</v>
          </cell>
          <cell r="G689" t="str">
            <v>Trung tâm Kỹ thuật công nghệ - TCT CNC</v>
          </cell>
        </row>
        <row r="690">
          <cell r="B690" t="str">
            <v>065624</v>
          </cell>
          <cell r="C690" t="str">
            <v>Nguyễn Thị Nga</v>
          </cell>
          <cell r="D690" t="str">
            <v>Trưởng phòng Đảm bảo chất lượng</v>
          </cell>
          <cell r="E690" t="str">
            <v>Tổng công ty Công nghiệp Công nghệ cao Viettel</v>
          </cell>
          <cell r="F690" t="str">
            <v>Khối 2 - TCT CNC</v>
          </cell>
          <cell r="G690" t="str">
            <v>Trung tâm Kỹ thuật công nghệ - TCT CNC</v>
          </cell>
        </row>
        <row r="691">
          <cell r="B691" t="str">
            <v>071897</v>
          </cell>
          <cell r="C691" t="str">
            <v>Nguyễn Anh Tuấn</v>
          </cell>
          <cell r="D691" t="str">
            <v>Kỹ sư Phát triển phần mềm</v>
          </cell>
          <cell r="E691" t="str">
            <v>Tổng công ty Công nghiệp Công nghệ cao Viettel</v>
          </cell>
          <cell r="F691" t="str">
            <v>Khối 2 - TCT CNC</v>
          </cell>
          <cell r="G691" t="str">
            <v>Trung tâm Kỹ thuật công nghệ - TCT CNC</v>
          </cell>
        </row>
        <row r="692">
          <cell r="B692" t="str">
            <v>084922</v>
          </cell>
          <cell r="C692" t="str">
            <v>Bùi Thị Khanh</v>
          </cell>
          <cell r="D692" t="str">
            <v>Kỹ sư Kiểm thử</v>
          </cell>
          <cell r="E692" t="str">
            <v>Tổng công ty Công nghiệp Công nghệ cao Viettel</v>
          </cell>
          <cell r="F692" t="str">
            <v>Khối 2 - TCT CNC</v>
          </cell>
          <cell r="G692" t="str">
            <v>Trung tâm Kỹ thuật công nghệ - TCT CNC</v>
          </cell>
        </row>
        <row r="693">
          <cell r="B693" t="str">
            <v>092260</v>
          </cell>
          <cell r="C693" t="str">
            <v>Nguyễn Tử Minh Diện</v>
          </cell>
          <cell r="D693" t="str">
            <v>Phó phòng Thiết kế Phần cứng</v>
          </cell>
          <cell r="E693" t="str">
            <v>Tổng công ty Công nghiệp Công nghệ cao Viettel</v>
          </cell>
          <cell r="F693" t="str">
            <v>Khối 2 - TCT CNC</v>
          </cell>
          <cell r="G693" t="str">
            <v>Trung tâm Kỹ thuật công nghệ - TCT CNC</v>
          </cell>
        </row>
        <row r="694">
          <cell r="B694" t="str">
            <v>094479</v>
          </cell>
          <cell r="C694" t="str">
            <v>Lê Thị Thanh</v>
          </cell>
          <cell r="D694" t="str">
            <v>Kỹ sư Kiểm thử</v>
          </cell>
          <cell r="E694" t="str">
            <v>Tổng công ty Công nghiệp Công nghệ cao Viettel</v>
          </cell>
          <cell r="F694" t="str">
            <v>Khối 2 - TCT CNC</v>
          </cell>
          <cell r="G694" t="str">
            <v>Trung tâm Kỹ thuật công nghệ - TCT CNC</v>
          </cell>
        </row>
        <row r="695">
          <cell r="B695" t="str">
            <v>095676</v>
          </cell>
          <cell r="C695" t="str">
            <v>Vũ Tuấn Đức</v>
          </cell>
          <cell r="D695" t="str">
            <v>Giám đốc Trung tâm</v>
          </cell>
          <cell r="E695" t="str">
            <v>Tổng công ty Công nghiệp Công nghệ cao Viettel</v>
          </cell>
          <cell r="F695" t="str">
            <v>Khối 2 - TCT CNC</v>
          </cell>
          <cell r="G695" t="str">
            <v>Trung tâm Kỹ thuật công nghệ - TCT CNC</v>
          </cell>
        </row>
        <row r="696">
          <cell r="B696" t="str">
            <v>120350</v>
          </cell>
          <cell r="C696" t="str">
            <v>Hoàng Tiến Trung</v>
          </cell>
          <cell r="D696" t="str">
            <v>Trưởng phòng Thiết kế phần cứng</v>
          </cell>
          <cell r="E696" t="str">
            <v>Tổng công ty Công nghiệp Công nghệ cao Viettel</v>
          </cell>
          <cell r="F696" t="str">
            <v>Khối 2 - TCT CNC</v>
          </cell>
          <cell r="G696" t="str">
            <v>Trung tâm Kỹ thuật công nghệ - TCT CNC</v>
          </cell>
        </row>
        <row r="697">
          <cell r="B697" t="str">
            <v>166924</v>
          </cell>
          <cell r="C697" t="str">
            <v>Phạm Thị Hằng</v>
          </cell>
          <cell r="D697" t="str">
            <v>Kỹ sư Quản lý chất lượng</v>
          </cell>
          <cell r="E697" t="str">
            <v>Tổng công ty Công nghiệp Công nghệ cao Viettel</v>
          </cell>
          <cell r="F697" t="str">
            <v>Khối 2 - TCT CNC</v>
          </cell>
          <cell r="G697" t="str">
            <v>Trung tâm Kỹ thuật công nghệ - TCT CNC</v>
          </cell>
        </row>
        <row r="698">
          <cell r="B698" t="str">
            <v>185497</v>
          </cell>
          <cell r="C698" t="str">
            <v>Nguyễn Đức Hùng</v>
          </cell>
          <cell r="D698" t="str">
            <v>Kỹ sư Thiết kế bo mạch</v>
          </cell>
          <cell r="E698" t="str">
            <v>Tổng công ty Công nghiệp Công nghệ cao Viettel</v>
          </cell>
          <cell r="F698" t="str">
            <v>Khối 2 - TCT CNC</v>
          </cell>
          <cell r="G698" t="str">
            <v>Trung tâm Kỹ thuật công nghệ - TCT CNC</v>
          </cell>
        </row>
        <row r="699">
          <cell r="B699" t="str">
            <v>194824</v>
          </cell>
          <cell r="C699" t="str">
            <v>Vũ Mạnh Cường</v>
          </cell>
          <cell r="D699" t="str">
            <v>Kỹ sư Thiết kế sơ đồ nguyên lý</v>
          </cell>
          <cell r="E699" t="str">
            <v>Tổng công ty Công nghiệp Công nghệ cao Viettel</v>
          </cell>
          <cell r="F699" t="str">
            <v>Khối 2 - TCT CNC</v>
          </cell>
          <cell r="G699" t="str">
            <v>Trung tâm Kỹ thuật công nghệ - TCT CNC</v>
          </cell>
        </row>
        <row r="700">
          <cell r="B700" t="str">
            <v>198494</v>
          </cell>
          <cell r="C700" t="str">
            <v>Nguyễn Đăng Tùng</v>
          </cell>
          <cell r="D700" t="str">
            <v>Kỹ sư Thiết kế sơ đồ nguyên lý</v>
          </cell>
          <cell r="E700" t="str">
            <v>Tổng công ty Công nghiệp Công nghệ cao Viettel</v>
          </cell>
          <cell r="F700" t="str">
            <v>Khối 2 - TCT CNC</v>
          </cell>
          <cell r="G700" t="str">
            <v>Trung tâm Kỹ thuật công nghệ - TCT CNC</v>
          </cell>
        </row>
        <row r="701">
          <cell r="B701" t="str">
            <v>198502</v>
          </cell>
          <cell r="C701" t="str">
            <v>Đinh Thu Giang</v>
          </cell>
          <cell r="D701" t="str">
            <v>Kỹ sư kiểm thử</v>
          </cell>
          <cell r="E701" t="str">
            <v>Tổng công ty Công nghiệp Công nghệ cao Viettel</v>
          </cell>
          <cell r="F701" t="str">
            <v>Khối 2 - TCT CNC</v>
          </cell>
          <cell r="G701" t="str">
            <v>Trung tâm Kỹ thuật công nghệ - TCT CNC</v>
          </cell>
        </row>
        <row r="702">
          <cell r="B702" t="str">
            <v>198512</v>
          </cell>
          <cell r="C702" t="str">
            <v>Trần Thị Hoài</v>
          </cell>
          <cell r="D702" t="str">
            <v>Kỹ sư Thiết kế sơ đồ nguyên lý</v>
          </cell>
          <cell r="E702" t="str">
            <v>Tổng công ty Công nghiệp Công nghệ cao Viettel</v>
          </cell>
          <cell r="F702" t="str">
            <v>Khối 2 - TCT CNC</v>
          </cell>
          <cell r="G702" t="str">
            <v>Trung tâm Kỹ thuật công nghệ - TCT CNC</v>
          </cell>
        </row>
        <row r="703">
          <cell r="B703" t="str">
            <v>198513</v>
          </cell>
          <cell r="C703" t="str">
            <v>Phí Ngọc Tú</v>
          </cell>
          <cell r="D703" t="str">
            <v>Kỹ sư Thiết kế sơ đồ nguyên lý</v>
          </cell>
          <cell r="E703" t="str">
            <v>Tổng công ty Công nghiệp Công nghệ cao Viettel</v>
          </cell>
          <cell r="F703" t="str">
            <v>Khối 2 - TCT CNC</v>
          </cell>
          <cell r="G703" t="str">
            <v>Trung tâm Kỹ thuật công nghệ - TCT CNC</v>
          </cell>
        </row>
        <row r="704">
          <cell r="B704" t="str">
            <v>198557</v>
          </cell>
          <cell r="C704" t="str">
            <v>Khổng Văn Mạnh</v>
          </cell>
          <cell r="D704" t="str">
            <v>Trưởng phòng Cơ khí</v>
          </cell>
          <cell r="E704" t="str">
            <v>Tổng công ty Công nghiệp Công nghệ cao Viettel</v>
          </cell>
          <cell r="F704" t="str">
            <v>Khối 2 - TCT CNC</v>
          </cell>
          <cell r="G704" t="str">
            <v>Trung tâm Kỹ thuật công nghệ - TCT CNC</v>
          </cell>
        </row>
        <row r="705">
          <cell r="B705" t="str">
            <v>199314</v>
          </cell>
          <cell r="C705" t="str">
            <v>Phạm Trần Anh Thảo</v>
          </cell>
          <cell r="D705" t="str">
            <v>Kỹ sư Thiết kế sơ đồ nguyên lý</v>
          </cell>
          <cell r="E705" t="str">
            <v>Tổng công ty Công nghiệp Công nghệ cao Viettel</v>
          </cell>
          <cell r="F705" t="str">
            <v>Khối 2 - TCT CNC</v>
          </cell>
          <cell r="G705" t="str">
            <v>Trung tâm Kỹ thuật công nghệ - TCT CNC</v>
          </cell>
        </row>
        <row r="706">
          <cell r="B706" t="str">
            <v>204657</v>
          </cell>
          <cell r="C706" t="str">
            <v>Nguyễn Đức Diễn</v>
          </cell>
          <cell r="D706" t="str">
            <v>Kỹ sư Phát triển phần mềm</v>
          </cell>
          <cell r="E706" t="str">
            <v>Tổng công ty Công nghiệp Công nghệ cao Viettel</v>
          </cell>
          <cell r="F706" t="str">
            <v>Khối 2 - TCT CNC</v>
          </cell>
          <cell r="G706" t="str">
            <v>Trung tâm Kỹ thuật công nghệ - TCT CNC</v>
          </cell>
        </row>
        <row r="707">
          <cell r="B707" t="str">
            <v>206741</v>
          </cell>
          <cell r="C707" t="str">
            <v>Nguyễn Tiến Lực</v>
          </cell>
          <cell r="D707" t="str">
            <v>Kỹ sư Phát triển phần mềm</v>
          </cell>
          <cell r="E707" t="str">
            <v>Tổng công ty Công nghiệp Công nghệ cao Viettel</v>
          </cell>
          <cell r="F707" t="str">
            <v>Khối 2 - TCT CNC</v>
          </cell>
          <cell r="G707" t="str">
            <v>Trung tâm Kỹ thuật công nghệ - TCT CNC</v>
          </cell>
        </row>
        <row r="708">
          <cell r="B708" t="str">
            <v>209028</v>
          </cell>
          <cell r="C708" t="str">
            <v>Trần Quang Hòa</v>
          </cell>
          <cell r="D708" t="str">
            <v>Kỹ sư Thiết kế sơ đồ nguyên lý</v>
          </cell>
          <cell r="E708" t="str">
            <v>Tổng công ty Công nghiệp Công nghệ cao Viettel</v>
          </cell>
          <cell r="F708" t="str">
            <v>Khối 2 - TCT CNC</v>
          </cell>
          <cell r="G708" t="str">
            <v>Trung tâm Kỹ thuật công nghệ - TCT CNC</v>
          </cell>
        </row>
        <row r="709">
          <cell r="B709" t="str">
            <v>209840</v>
          </cell>
          <cell r="C709" t="str">
            <v>Trần Xuân Hiền</v>
          </cell>
          <cell r="D709" t="str">
            <v>Kỹ sư Phát triển phần mềm</v>
          </cell>
          <cell r="E709" t="str">
            <v>Tổng công ty Công nghiệp Công nghệ cao Viettel</v>
          </cell>
          <cell r="F709" t="str">
            <v>Khối 2 - TCT CNC</v>
          </cell>
          <cell r="G709" t="str">
            <v>Trung tâm Kỹ thuật công nghệ - TCT CNC</v>
          </cell>
        </row>
        <row r="710">
          <cell r="B710" t="str">
            <v>214110</v>
          </cell>
          <cell r="C710" t="str">
            <v>Nguyễn Công Chiểu</v>
          </cell>
          <cell r="D710" t="str">
            <v>Kỹ sư Thiết kế cơ khí</v>
          </cell>
          <cell r="E710" t="str">
            <v>Tổng công ty Công nghiệp Công nghệ cao Viettel</v>
          </cell>
          <cell r="F710" t="str">
            <v>Khối 2 - TCT CNC</v>
          </cell>
          <cell r="G710" t="str">
            <v>Trung tâm Kỹ thuật công nghệ - TCT CNC</v>
          </cell>
        </row>
        <row r="711">
          <cell r="B711" t="str">
            <v>217297</v>
          </cell>
          <cell r="C711" t="str">
            <v>Đinh Văn Hải</v>
          </cell>
          <cell r="D711" t="str">
            <v>Kỹ sư Thiết kế cơ khí</v>
          </cell>
          <cell r="E711" t="str">
            <v>Tổng công ty Công nghiệp Công nghệ cao Viettel</v>
          </cell>
          <cell r="F711" t="str">
            <v>Khối 2 - TCT CNC</v>
          </cell>
          <cell r="G711" t="str">
            <v>Trung tâm Kỹ thuật công nghệ - TCT CNC</v>
          </cell>
        </row>
        <row r="712">
          <cell r="B712" t="str">
            <v>238914</v>
          </cell>
          <cell r="C712" t="str">
            <v>Nguyễn Trọng Đức</v>
          </cell>
          <cell r="D712" t="str">
            <v>Kỹ sư Phát triển phần mềm</v>
          </cell>
          <cell r="E712" t="str">
            <v>Tổng công ty Công nghiệp Công nghệ cao Viettel</v>
          </cell>
          <cell r="F712" t="str">
            <v>Khối 2 - TCT CNC</v>
          </cell>
          <cell r="G712" t="str">
            <v>Trung tâm Kỹ thuật công nghệ - TCT CNC</v>
          </cell>
        </row>
        <row r="713">
          <cell r="B713" t="str">
            <v>246338</v>
          </cell>
          <cell r="C713" t="str">
            <v>Nguyễn Văn Nam</v>
          </cell>
          <cell r="D713" t="str">
            <v>Kỹ sư chính thiết kế phần mềm</v>
          </cell>
          <cell r="E713" t="str">
            <v>Tổng công ty Công nghiệp Công nghệ cao Viettel</v>
          </cell>
          <cell r="F713" t="str">
            <v>Khối 2 - TCT CNC</v>
          </cell>
          <cell r="G713" t="str">
            <v>Trung tâm Kỹ thuật công nghệ - TCT CNC</v>
          </cell>
        </row>
        <row r="714">
          <cell r="B714" t="str">
            <v>246396</v>
          </cell>
          <cell r="C714" t="str">
            <v>Nguyễn Đình Dương</v>
          </cell>
          <cell r="D714" t="str">
            <v>Kỹ sư Thiết kế cơ khí</v>
          </cell>
          <cell r="E714" t="str">
            <v>Tổng công ty Công nghiệp Công nghệ cao Viettel</v>
          </cell>
          <cell r="F714" t="str">
            <v>Khối 2 - TCT CNC</v>
          </cell>
          <cell r="G714" t="str">
            <v>Trung tâm Kỹ thuật công nghệ - TCT CNC</v>
          </cell>
        </row>
        <row r="715">
          <cell r="B715" t="str">
            <v>251019</v>
          </cell>
          <cell r="C715" t="str">
            <v>Trịnh Thị Thảo</v>
          </cell>
          <cell r="D715" t="str">
            <v>Kỹ sư Kiểm thử</v>
          </cell>
          <cell r="E715" t="str">
            <v>Tổng công ty Công nghiệp Công nghệ cao Viettel</v>
          </cell>
          <cell r="F715" t="str">
            <v>Khối 2 - TCT CNC</v>
          </cell>
          <cell r="G715" t="str">
            <v>Trung tâm Kỹ thuật công nghệ - TCT CNC</v>
          </cell>
        </row>
        <row r="716">
          <cell r="B716" t="str">
            <v>251354</v>
          </cell>
          <cell r="C716" t="str">
            <v>Nguyễn Quốc Hùng</v>
          </cell>
          <cell r="D716" t="str">
            <v>Kỹ sư Cơ khí</v>
          </cell>
          <cell r="E716" t="str">
            <v>Tổng công ty Công nghiệp Công nghệ cao Viettel</v>
          </cell>
          <cell r="F716" t="str">
            <v>Khối 2 - TCT CNC</v>
          </cell>
          <cell r="G716" t="str">
            <v>Trung tâm Kỹ thuật công nghệ - TCT CNC</v>
          </cell>
        </row>
        <row r="717">
          <cell r="B717" t="str">
            <v>262696</v>
          </cell>
          <cell r="C717" t="str">
            <v>Nguyễn Khắc Tùng</v>
          </cell>
          <cell r="D717" t="str">
            <v>Kỹ sư phát triển phần mềm</v>
          </cell>
          <cell r="E717" t="str">
            <v>Tổng công ty Công nghiệp Công nghệ cao Viettel</v>
          </cell>
          <cell r="F717" t="str">
            <v>Khối 2 - TCT CNC</v>
          </cell>
          <cell r="G717" t="str">
            <v>Trung tâm Kỹ thuật công nghệ - TCT CNC</v>
          </cell>
        </row>
        <row r="718">
          <cell r="B718" t="str">
            <v>263012</v>
          </cell>
          <cell r="C718" t="str">
            <v>Ngô Tuấn Minh</v>
          </cell>
          <cell r="D718" t="str">
            <v>Kỹ sư Kiểm soát chất lượng (QC)</v>
          </cell>
          <cell r="E718" t="str">
            <v>Tổng công ty Công nghiệp Công nghệ cao Viettel</v>
          </cell>
          <cell r="F718" t="str">
            <v>Khối 2 - TCT CNC</v>
          </cell>
          <cell r="G718" t="str">
            <v>Trung tâm Kỹ thuật công nghệ - TCT CNC</v>
          </cell>
        </row>
        <row r="719">
          <cell r="B719" t="str">
            <v>265289</v>
          </cell>
          <cell r="C719" t="str">
            <v>Đặng Thanh Huyền</v>
          </cell>
          <cell r="D719" t="str">
            <v>Kỹ sư Đảm bảo chất lượng</v>
          </cell>
          <cell r="E719" t="str">
            <v>Tổng công ty Công nghiệp Công nghệ cao Viettel</v>
          </cell>
          <cell r="F719" t="str">
            <v>Khối 2 - TCT CNC</v>
          </cell>
          <cell r="G719" t="str">
            <v>Trung tâm Kỹ thuật công nghệ - TCT CNC</v>
          </cell>
        </row>
        <row r="720">
          <cell r="B720" t="str">
            <v>266900</v>
          </cell>
          <cell r="C720" t="str">
            <v>Lê Như Quỳnh</v>
          </cell>
          <cell r="D720" t="str">
            <v>Kỹ sư Kiểm thử</v>
          </cell>
          <cell r="E720" t="str">
            <v>Tổng công ty Công nghiệp Công nghệ cao Viettel</v>
          </cell>
          <cell r="F720" t="str">
            <v>Khối 2 - TCT CNC</v>
          </cell>
          <cell r="G720" t="str">
            <v>Trung tâm Kỹ thuật công nghệ - TCT CNC</v>
          </cell>
        </row>
        <row r="721">
          <cell r="B721" t="str">
            <v>266903</v>
          </cell>
          <cell r="C721" t="str">
            <v>Vũ Nhật Hiếu</v>
          </cell>
          <cell r="D721" t="str">
            <v>Kỹ sư Kiểm soát chất lượng (QC)</v>
          </cell>
          <cell r="E721" t="str">
            <v>Tổng công ty Công nghiệp Công nghệ cao Viettel</v>
          </cell>
          <cell r="F721" t="str">
            <v>Khối 2 - TCT CNC</v>
          </cell>
          <cell r="G721" t="str">
            <v>Trung tâm Kỹ thuật công nghệ - TCT CNC</v>
          </cell>
        </row>
        <row r="722">
          <cell r="B722" t="str">
            <v>272207</v>
          </cell>
          <cell r="C722" t="str">
            <v>Nguyễn Huy Hoàng</v>
          </cell>
          <cell r="D722" t="str">
            <v>Kỹ sư Thiết kế cơ khí</v>
          </cell>
          <cell r="E722" t="str">
            <v>Tổng công ty Công nghiệp Công nghệ cao Viettel</v>
          </cell>
          <cell r="F722" t="str">
            <v>Khối 2 - TCT CNC</v>
          </cell>
          <cell r="G722" t="str">
            <v>Trung tâm Kỹ thuật công nghệ - TCT CNC</v>
          </cell>
        </row>
        <row r="723">
          <cell r="B723" t="str">
            <v>274170</v>
          </cell>
          <cell r="C723" t="str">
            <v>Trần Thanh Tùng</v>
          </cell>
          <cell r="D723" t="str">
            <v>Kỹ sư Thiết kế sơ đồ nguyên lý</v>
          </cell>
          <cell r="E723" t="str">
            <v>Tổng công ty Công nghiệp Công nghệ cao Viettel</v>
          </cell>
          <cell r="F723" t="str">
            <v>Khối 2 - TCT CNC</v>
          </cell>
          <cell r="G723" t="str">
            <v>Trung tâm Kỹ thuật công nghệ - TCT CNC</v>
          </cell>
        </row>
        <row r="724">
          <cell r="B724" t="str">
            <v>275850</v>
          </cell>
          <cell r="C724" t="str">
            <v>Trần Thị Thu Huệ</v>
          </cell>
          <cell r="D724" t="str">
            <v>Kỹ sư Kiểm thử</v>
          </cell>
          <cell r="E724" t="str">
            <v>Tổng công ty Công nghiệp Công nghệ cao Viettel</v>
          </cell>
          <cell r="F724" t="str">
            <v>Khối 2 - TCT CNC</v>
          </cell>
          <cell r="G724" t="str">
            <v>Trung tâm Kỹ thuật công nghệ - TCT CNC</v>
          </cell>
        </row>
        <row r="725">
          <cell r="B725" t="str">
            <v>432485</v>
          </cell>
          <cell r="C725" t="str">
            <v>Vũ Xuân Lâm</v>
          </cell>
          <cell r="D725" t="str">
            <v>Kỹ sư Phát triển phần mềm ứng dụng</v>
          </cell>
          <cell r="E725" t="str">
            <v>Tổng công ty Công nghiệp Công nghệ cao Viettel</v>
          </cell>
          <cell r="F725" t="str">
            <v>Khối 2 - TCT CNC</v>
          </cell>
          <cell r="G725" t="str">
            <v>Trung tâm Kỹ thuật công nghệ - TCT CNC</v>
          </cell>
        </row>
        <row r="726">
          <cell r="B726" t="str">
            <v>443806</v>
          </cell>
          <cell r="C726" t="str">
            <v>Hoàng Minh Tân</v>
          </cell>
          <cell r="D726" t="str">
            <v>Kỹ sư Phát triển phần mềm</v>
          </cell>
          <cell r="E726" t="str">
            <v>Tổng công ty Công nghiệp Công nghệ cao Viettel</v>
          </cell>
          <cell r="F726" t="str">
            <v>Khối 2 - TCT CNC</v>
          </cell>
          <cell r="G726" t="str">
            <v>Trung tâm Kỹ thuật công nghệ - TCT CNC</v>
          </cell>
        </row>
        <row r="727">
          <cell r="B727" t="str">
            <v>453411</v>
          </cell>
          <cell r="C727" t="str">
            <v>Nguyễn Thành Long</v>
          </cell>
          <cell r="D727" t="str">
            <v>Kỹ sư Thiết kế phần cứng</v>
          </cell>
          <cell r="E727" t="str">
            <v>Tổng công ty Công nghiệp Công nghệ cao Viettel</v>
          </cell>
          <cell r="F727" t="str">
            <v>Khối 2 - TCT CNC</v>
          </cell>
          <cell r="G727" t="str">
            <v>Trung tâm Kỹ thuật công nghệ - TCT CNC</v>
          </cell>
        </row>
        <row r="728">
          <cell r="B728" t="str">
            <v>458725</v>
          </cell>
          <cell r="C728" t="str">
            <v>Võ Kiều Trinh</v>
          </cell>
          <cell r="D728" t="str">
            <v>Kỹ sư Kiểm soát chất lượng (QC)</v>
          </cell>
          <cell r="E728" t="str">
            <v>Tổng công ty Công nghiệp Công nghệ cao Viettel</v>
          </cell>
          <cell r="F728" t="str">
            <v>Khối 2 - TCT CNC</v>
          </cell>
          <cell r="G728" t="str">
            <v>Trung tâm Kỹ thuật công nghệ - TCT CNC</v>
          </cell>
        </row>
        <row r="729">
          <cell r="B729" t="str">
            <v>459615</v>
          </cell>
          <cell r="C729" t="str">
            <v>Dương Minh Trung</v>
          </cell>
          <cell r="D729" t="str">
            <v>Kỹ sư Kiểm soát chất lượng (QC)</v>
          </cell>
          <cell r="E729" t="str">
            <v>Tổng công ty Công nghiệp Công nghệ cao Viettel</v>
          </cell>
          <cell r="F729" t="str">
            <v>Khối 2 - TCT CNC</v>
          </cell>
          <cell r="G729" t="str">
            <v>Trung tâm Kỹ thuật công nghệ - TCT CNC</v>
          </cell>
        </row>
        <row r="730">
          <cell r="B730" t="str">
            <v>465719</v>
          </cell>
          <cell r="C730" t="str">
            <v>Nguyễn Trọng Công</v>
          </cell>
          <cell r="D730" t="str">
            <v>Kỹ sư Kiểm soát chất lượng (QC)</v>
          </cell>
          <cell r="E730" t="str">
            <v>Tổng công ty Công nghiệp Công nghệ cao Viettel</v>
          </cell>
          <cell r="F730" t="str">
            <v>Khối 2 - TCT CNC</v>
          </cell>
          <cell r="G730" t="str">
            <v>Trung tâm Kỹ thuật công nghệ - TCT CNC</v>
          </cell>
        </row>
        <row r="731">
          <cell r="B731" t="str">
            <v>470351</v>
          </cell>
          <cell r="C731" t="str">
            <v>Nguyễn Quang Trường</v>
          </cell>
          <cell r="D731" t="str">
            <v>Kỹ sư Thiết kế phần cứng</v>
          </cell>
          <cell r="E731" t="str">
            <v>Tổng công ty Công nghiệp Công nghệ cao Viettel</v>
          </cell>
          <cell r="F731" t="str">
            <v>Khối 2 - TCT CNC</v>
          </cell>
          <cell r="G731" t="str">
            <v>Trung tâm Kỹ thuật công nghệ - TCT CNC</v>
          </cell>
        </row>
        <row r="732">
          <cell r="B732" t="str">
            <v>471969</v>
          </cell>
          <cell r="C732" t="str">
            <v>Trần Văn Đức</v>
          </cell>
          <cell r="D732" t="str">
            <v>Kỹ sư Thiết kế phần cứng</v>
          </cell>
          <cell r="E732" t="str">
            <v>Tổng công ty Công nghiệp Công nghệ cao Viettel</v>
          </cell>
          <cell r="F732" t="str">
            <v>Khối 2 - TCT CNC</v>
          </cell>
          <cell r="G732" t="str">
            <v>Trung tâm Kỹ thuật công nghệ - TCT CNC</v>
          </cell>
        </row>
        <row r="733">
          <cell r="B733" t="str">
            <v>475049</v>
          </cell>
          <cell r="C733" t="str">
            <v>Nguyễn Hoàng Việt</v>
          </cell>
          <cell r="D733" t="str">
            <v>Kỹ sư Phát triển phần mềm</v>
          </cell>
          <cell r="E733" t="str">
            <v>Tổng công ty Công nghiệp Công nghệ cao Viettel</v>
          </cell>
          <cell r="F733" t="str">
            <v>Khối 2 - TCT CNC</v>
          </cell>
          <cell r="G733" t="str">
            <v>Trung tâm Kỹ thuật công nghệ - TCT CNC</v>
          </cell>
        </row>
        <row r="734">
          <cell r="B734" t="str">
            <v>476159</v>
          </cell>
          <cell r="C734" t="str">
            <v>Đào Thị Kim Trang</v>
          </cell>
          <cell r="D734" t="str">
            <v>Kỹ sư Phát triển phần mềm</v>
          </cell>
          <cell r="E734" t="str">
            <v>Tổng công ty Công nghiệp Công nghệ cao Viettel</v>
          </cell>
          <cell r="F734" t="str">
            <v>Khối 2 - TCT CNC</v>
          </cell>
          <cell r="G734" t="str">
            <v>Trung tâm Kỹ thuật công nghệ - TCT CNC</v>
          </cell>
        </row>
        <row r="735">
          <cell r="B735" t="str">
            <v>477273</v>
          </cell>
          <cell r="C735" t="str">
            <v>Bùi Thị Ngọc Mai</v>
          </cell>
          <cell r="D735" t="str">
            <v>Kỹ sư Phát triển phần mềm</v>
          </cell>
          <cell r="E735" t="str">
            <v>Tổng công ty Công nghiệp Công nghệ cao Viettel</v>
          </cell>
          <cell r="F735" t="str">
            <v>Khối 2 - TCT CNC</v>
          </cell>
          <cell r="G735" t="str">
            <v>Trung tâm Kỹ thuật công nghệ - TCT CNC</v>
          </cell>
        </row>
        <row r="736">
          <cell r="B736" t="str">
            <v>477689</v>
          </cell>
          <cell r="C736" t="str">
            <v>Tô Hoàng Hiệp</v>
          </cell>
          <cell r="D736" t="str">
            <v>Kỹ sư Cơ khí</v>
          </cell>
          <cell r="E736" t="str">
            <v>Tổng công ty Công nghiệp Công nghệ cao Viettel</v>
          </cell>
          <cell r="F736" t="str">
            <v>Khối 2 - TCT CNC</v>
          </cell>
          <cell r="G736" t="str">
            <v>Trung tâm Kỹ thuật công nghệ - TCT CNC</v>
          </cell>
        </row>
        <row r="737">
          <cell r="B737" t="str">
            <v>045191</v>
          </cell>
          <cell r="C737" t="str">
            <v>Đinh Viết Quân</v>
          </cell>
          <cell r="D737" t="str">
            <v>Giám đốc Trung tâm</v>
          </cell>
          <cell r="E737" t="str">
            <v>Tổng công ty Công nghiệp Công nghệ cao Viettel</v>
          </cell>
          <cell r="F737" t="str">
            <v>Khối 2 - TCT CNC</v>
          </cell>
          <cell r="G737" t="str">
            <v>Trung tâm Nghiên cứu Công nghệ chuyển mạch</v>
          </cell>
        </row>
        <row r="738">
          <cell r="B738" t="str">
            <v>065452</v>
          </cell>
          <cell r="C738" t="str">
            <v>Nguyễn Tiến Uy</v>
          </cell>
          <cell r="D738" t="str">
            <v>Kỹ sư Phát triển phần mềm</v>
          </cell>
          <cell r="E738" t="str">
            <v>Tổng công ty Công nghiệp Công nghệ cao Viettel</v>
          </cell>
          <cell r="F738" t="str">
            <v>Khối 2 - TCT CNC</v>
          </cell>
          <cell r="G738" t="str">
            <v>Trung tâm Nghiên cứu Công nghệ chuyển mạch</v>
          </cell>
        </row>
        <row r="739">
          <cell r="B739" t="str">
            <v>070872</v>
          </cell>
          <cell r="C739" t="str">
            <v>Đỗ Kiều Minh</v>
          </cell>
          <cell r="D739" t="str">
            <v>Kỹ sư Kiểm thử</v>
          </cell>
          <cell r="E739" t="str">
            <v>Tổng công ty Công nghiệp Công nghệ cao Viettel</v>
          </cell>
          <cell r="F739" t="str">
            <v>Khối 2 - TCT CNC</v>
          </cell>
          <cell r="G739" t="str">
            <v>Trung tâm Nghiên cứu Công nghệ chuyển mạch</v>
          </cell>
        </row>
        <row r="740">
          <cell r="B740" t="str">
            <v>096877</v>
          </cell>
          <cell r="C740" t="str">
            <v>Nguyễn Thị Thu Thảo</v>
          </cell>
          <cell r="D740" t="str">
            <v>Trưởng phòng Kiểm thử</v>
          </cell>
          <cell r="E740" t="str">
            <v>Tổng công ty Công nghiệp Công nghệ cao Viettel</v>
          </cell>
          <cell r="F740" t="str">
            <v>Khối 2 - TCT CNC</v>
          </cell>
          <cell r="G740" t="str">
            <v>Trung tâm Nghiên cứu Công nghệ chuyển mạch</v>
          </cell>
        </row>
        <row r="741">
          <cell r="B741" t="str">
            <v>102077</v>
          </cell>
          <cell r="C741" t="str">
            <v>Lê Văn Hiên</v>
          </cell>
          <cell r="D741" t="str">
            <v>Phó Giám đốc Trung tâm</v>
          </cell>
          <cell r="E741" t="str">
            <v>Tổng công ty Công nghiệp Công nghệ cao Viettel</v>
          </cell>
          <cell r="F741" t="str">
            <v>Khối 2 - TCT CNC</v>
          </cell>
          <cell r="G741" t="str">
            <v>Trung tâm Nghiên cứu Công nghệ chuyển mạch</v>
          </cell>
        </row>
        <row r="742">
          <cell r="B742" t="str">
            <v>116661</v>
          </cell>
          <cell r="C742" t="str">
            <v>Phạm Quang Điệp</v>
          </cell>
          <cell r="D742" t="str">
            <v>Kỹ sư trưởng Công nghệ</v>
          </cell>
          <cell r="E742" t="str">
            <v>Tổng công ty Công nghiệp Công nghệ cao Viettel</v>
          </cell>
          <cell r="F742" t="str">
            <v>Khối 2 - TCT CNC</v>
          </cell>
          <cell r="G742" t="str">
            <v>Trung tâm Nghiên cứu Công nghệ chuyển mạch</v>
          </cell>
        </row>
        <row r="743">
          <cell r="B743" t="str">
            <v>116662</v>
          </cell>
          <cell r="C743" t="str">
            <v>Trần Thị Vân Anh</v>
          </cell>
          <cell r="D743" t="str">
            <v>Kỹ sư Phát triển phần mềm</v>
          </cell>
          <cell r="E743" t="str">
            <v>Tổng công ty Công nghiệp Công nghệ cao Viettel</v>
          </cell>
          <cell r="F743" t="str">
            <v>Khối 2 - TCT CNC</v>
          </cell>
          <cell r="G743" t="str">
            <v>Trung tâm Nghiên cứu Công nghệ chuyển mạch</v>
          </cell>
        </row>
        <row r="744">
          <cell r="B744" t="str">
            <v>134597</v>
          </cell>
          <cell r="C744" t="str">
            <v>Lê Quốc Trung</v>
          </cell>
          <cell r="D744" t="str">
            <v>Kỹ sư Phát triển phần mềm</v>
          </cell>
          <cell r="E744" t="str">
            <v>Tổng công ty Công nghiệp Công nghệ cao Viettel</v>
          </cell>
          <cell r="F744" t="str">
            <v>Khối 2 - TCT CNC</v>
          </cell>
          <cell r="G744" t="str">
            <v>Trung tâm Nghiên cứu Công nghệ chuyển mạch</v>
          </cell>
        </row>
        <row r="745">
          <cell r="B745" t="str">
            <v>169194</v>
          </cell>
          <cell r="C745" t="str">
            <v>Đỗ Ngọc Thanh</v>
          </cell>
          <cell r="D745" t="str">
            <v>Kỹ sư trưởng Công nghệ</v>
          </cell>
          <cell r="E745" t="str">
            <v>Tổng công ty Công nghiệp Công nghệ cao Viettel</v>
          </cell>
          <cell r="F745" t="str">
            <v>Khối 2 - TCT CNC</v>
          </cell>
          <cell r="G745" t="str">
            <v>Trung tâm Nghiên cứu Công nghệ chuyển mạch</v>
          </cell>
        </row>
        <row r="746">
          <cell r="B746" t="str">
            <v>177564</v>
          </cell>
          <cell r="C746" t="str">
            <v>Trần Đức Bình</v>
          </cell>
          <cell r="D746" t="str">
            <v>Kỹ sư Phát triển phần mềm</v>
          </cell>
          <cell r="E746" t="str">
            <v>Tổng công ty Công nghiệp Công nghệ cao Viettel</v>
          </cell>
          <cell r="F746" t="str">
            <v>Khối 2 - TCT CNC</v>
          </cell>
          <cell r="G746" t="str">
            <v>Trung tâm Nghiên cứu Công nghệ chuyển mạch</v>
          </cell>
        </row>
        <row r="747">
          <cell r="B747" t="str">
            <v>182577</v>
          </cell>
          <cell r="C747" t="str">
            <v>Lê Minh Tú</v>
          </cell>
          <cell r="D747" t="str">
            <v>Kỹ sư Phát triển phần mềm</v>
          </cell>
          <cell r="E747" t="str">
            <v>Tổng công ty Công nghiệp Công nghệ cao Viettel</v>
          </cell>
          <cell r="F747" t="str">
            <v>Khối 2 - TCT CNC</v>
          </cell>
          <cell r="G747" t="str">
            <v>Trung tâm Nghiên cứu Công nghệ chuyển mạch</v>
          </cell>
        </row>
        <row r="748">
          <cell r="B748" t="str">
            <v>191573</v>
          </cell>
          <cell r="C748" t="str">
            <v>Triệu Tuấn Anh</v>
          </cell>
          <cell r="D748" t="str">
            <v>Trưởng phòng Sản phẩm quản lý truy nhập di động</v>
          </cell>
          <cell r="E748" t="str">
            <v>Tổng công ty Công nghiệp Công nghệ cao Viettel</v>
          </cell>
          <cell r="F748" t="str">
            <v>Khối 2 - TCT CNC</v>
          </cell>
          <cell r="G748" t="str">
            <v>Trung tâm Nghiên cứu Công nghệ chuyển mạch</v>
          </cell>
        </row>
        <row r="749">
          <cell r="B749" t="str">
            <v>192595</v>
          </cell>
          <cell r="C749" t="str">
            <v>Ngô Mạnh Quyền</v>
          </cell>
          <cell r="D749" t="str">
            <v>Kỹ sư Phát triển phần mềm</v>
          </cell>
          <cell r="E749" t="str">
            <v>Tổng công ty Công nghiệp Công nghệ cao Viettel</v>
          </cell>
          <cell r="F749" t="str">
            <v>Khối 2 - TCT CNC</v>
          </cell>
          <cell r="G749" t="str">
            <v>Trung tâm Nghiên cứu Công nghệ chuyển mạch</v>
          </cell>
        </row>
        <row r="750">
          <cell r="B750" t="str">
            <v>196197</v>
          </cell>
          <cell r="C750" t="str">
            <v>Nguyễn Việt Anh</v>
          </cell>
          <cell r="D750" t="str">
            <v>Kỹ sư Phát triển phần mềm</v>
          </cell>
          <cell r="E750" t="str">
            <v>Tổng công ty Công nghiệp Công nghệ cao Viettel</v>
          </cell>
          <cell r="F750" t="str">
            <v>Khối 2 - TCT CNC</v>
          </cell>
          <cell r="G750" t="str">
            <v>Trung tâm Nghiên cứu Công nghệ chuyển mạch</v>
          </cell>
        </row>
        <row r="751">
          <cell r="B751" t="str">
            <v>196295</v>
          </cell>
          <cell r="C751" t="str">
            <v>Đặng Thị Huyền</v>
          </cell>
          <cell r="D751" t="str">
            <v>Kỹ sư Phát triển phần mềm</v>
          </cell>
          <cell r="E751" t="str">
            <v>Tổng công ty Công nghiệp Công nghệ cao Viettel</v>
          </cell>
          <cell r="F751" t="str">
            <v>Khối 2 - TCT CNC</v>
          </cell>
          <cell r="G751" t="str">
            <v>Trung tâm Nghiên cứu Công nghệ chuyển mạch</v>
          </cell>
        </row>
        <row r="752">
          <cell r="B752" t="str">
            <v>198508</v>
          </cell>
          <cell r="C752" t="str">
            <v>Đỗ Thế Anh</v>
          </cell>
          <cell r="D752" t="str">
            <v>Kỹ sư Phát triển phần mềm</v>
          </cell>
          <cell r="E752" t="str">
            <v>Tổng công ty Công nghiệp Công nghệ cao Viettel</v>
          </cell>
          <cell r="F752" t="str">
            <v>Khối 2 - TCT CNC</v>
          </cell>
          <cell r="G752" t="str">
            <v>Trung tâm Nghiên cứu Công nghệ chuyển mạch</v>
          </cell>
        </row>
        <row r="753">
          <cell r="B753" t="str">
            <v>199313</v>
          </cell>
          <cell r="C753" t="str">
            <v>Phùng Thị Thỏa</v>
          </cell>
          <cell r="D753" t="str">
            <v>Kỹ sư Kiểm thử</v>
          </cell>
          <cell r="E753" t="str">
            <v>Tổng công ty Công nghiệp Công nghệ cao Viettel</v>
          </cell>
          <cell r="F753" t="str">
            <v>Khối 2 - TCT CNC</v>
          </cell>
          <cell r="G753" t="str">
            <v>Trung tâm Nghiên cứu Công nghệ chuyển mạch</v>
          </cell>
        </row>
        <row r="754">
          <cell r="B754" t="str">
            <v>204686</v>
          </cell>
          <cell r="C754" t="str">
            <v>Nguyễn Văn Huy</v>
          </cell>
          <cell r="D754" t="str">
            <v>Kỹ sư Phát triển phần mềm</v>
          </cell>
          <cell r="E754" t="str">
            <v>Tổng công ty Công nghiệp Công nghệ cao Viettel</v>
          </cell>
          <cell r="F754" t="str">
            <v>Khối 2 - TCT CNC</v>
          </cell>
          <cell r="G754" t="str">
            <v>Trung tâm Nghiên cứu Công nghệ chuyển mạch</v>
          </cell>
        </row>
        <row r="755">
          <cell r="B755" t="str">
            <v>204708</v>
          </cell>
          <cell r="C755" t="str">
            <v>Nguyễn Thị Huyền Trang</v>
          </cell>
          <cell r="D755" t="str">
            <v>Kỹ sư Kiểm thử</v>
          </cell>
          <cell r="E755" t="str">
            <v>Tổng công ty Công nghiệp Công nghệ cao Viettel</v>
          </cell>
          <cell r="F755" t="str">
            <v>Khối 2 - TCT CNC</v>
          </cell>
          <cell r="G755" t="str">
            <v>Trung tâm Nghiên cứu Công nghệ chuyển mạch</v>
          </cell>
        </row>
        <row r="756">
          <cell r="B756" t="str">
            <v>206120</v>
          </cell>
          <cell r="C756" t="str">
            <v>Phạm Đức Mạnh</v>
          </cell>
          <cell r="D756" t="str">
            <v>Kỹ sư Phát triển phần mềm</v>
          </cell>
          <cell r="E756" t="str">
            <v>Tổng công ty Công nghiệp Công nghệ cao Viettel</v>
          </cell>
          <cell r="F756" t="str">
            <v>Khối 2 - TCT CNC</v>
          </cell>
          <cell r="G756" t="str">
            <v>Trung tâm Nghiên cứu Công nghệ chuyển mạch</v>
          </cell>
        </row>
        <row r="757">
          <cell r="B757" t="str">
            <v>206261</v>
          </cell>
          <cell r="C757" t="str">
            <v>Lê Ngọc Toàn</v>
          </cell>
          <cell r="D757" t="str">
            <v>Trưởng phòng Nghiên cứu công nghệ xử lý dữ liệu</v>
          </cell>
          <cell r="E757" t="str">
            <v>Tổng công ty Công nghiệp Công nghệ cao Viettel</v>
          </cell>
          <cell r="F757" t="str">
            <v>Khối 2 - TCT CNC</v>
          </cell>
          <cell r="G757" t="str">
            <v>Trung tâm Nghiên cứu Công nghệ chuyển mạch</v>
          </cell>
        </row>
        <row r="758">
          <cell r="B758" t="str">
            <v>207855</v>
          </cell>
          <cell r="C758" t="str">
            <v>Lưu Văn Hoan</v>
          </cell>
          <cell r="D758" t="str">
            <v>Kỹ sư Phát triển phần mềm</v>
          </cell>
          <cell r="E758" t="str">
            <v>Tổng công ty Công nghiệp Công nghệ cao Viettel</v>
          </cell>
          <cell r="F758" t="str">
            <v>Khối 2 - TCT CNC</v>
          </cell>
          <cell r="G758" t="str">
            <v>Trung tâm Nghiên cứu Công nghệ chuyển mạch</v>
          </cell>
        </row>
        <row r="759">
          <cell r="B759" t="str">
            <v>208402</v>
          </cell>
          <cell r="C759" t="str">
            <v>Phạm Tuấn Anh</v>
          </cell>
          <cell r="D759" t="str">
            <v>Kỹ sư Phát triển phần mềm</v>
          </cell>
          <cell r="E759" t="str">
            <v>Tổng công ty Công nghiệp Công nghệ cao Viettel</v>
          </cell>
          <cell r="F759" t="str">
            <v>Khối 2 - TCT CNC</v>
          </cell>
          <cell r="G759" t="str">
            <v>Trung tâm Nghiên cứu Công nghệ chuyển mạch</v>
          </cell>
        </row>
        <row r="760">
          <cell r="B760" t="str">
            <v>209837</v>
          </cell>
          <cell r="C760" t="str">
            <v>Nguyễn Thế Hiếu</v>
          </cell>
          <cell r="D760" t="str">
            <v>Kỹ sư Phát triển phần mềm</v>
          </cell>
          <cell r="E760" t="str">
            <v>Tổng công ty Công nghiệp Công nghệ cao Viettel</v>
          </cell>
          <cell r="F760" t="str">
            <v>Khối 2 - TCT CNC</v>
          </cell>
          <cell r="G760" t="str">
            <v>Trung tâm Nghiên cứu Công nghệ chuyển mạch</v>
          </cell>
        </row>
        <row r="761">
          <cell r="B761" t="str">
            <v>216017</v>
          </cell>
          <cell r="C761" t="str">
            <v>Bá Đình Hoài</v>
          </cell>
          <cell r="D761" t="str">
            <v>Kỹ sư Phát triển phần mềm</v>
          </cell>
          <cell r="E761" t="str">
            <v>Tổng công ty Công nghiệp Công nghệ cao Viettel</v>
          </cell>
          <cell r="F761" t="str">
            <v>Khối 2 - TCT CNC</v>
          </cell>
          <cell r="G761" t="str">
            <v>Trung tâm Nghiên cứu Công nghệ chuyển mạch</v>
          </cell>
        </row>
        <row r="762">
          <cell r="B762" t="str">
            <v>218135</v>
          </cell>
          <cell r="C762" t="str">
            <v>Nguyễn Tiến Đông</v>
          </cell>
          <cell r="D762" t="str">
            <v>Trưởng phòng Sản phẩm quản lý dịch vụ di động</v>
          </cell>
          <cell r="E762" t="str">
            <v>Tổng công ty Công nghiệp Công nghệ cao Viettel</v>
          </cell>
          <cell r="F762" t="str">
            <v>Khối 2 - TCT CNC</v>
          </cell>
          <cell r="G762" t="str">
            <v>Trung tâm Nghiên cứu Công nghệ chuyển mạch</v>
          </cell>
        </row>
        <row r="763">
          <cell r="B763" t="str">
            <v>218881</v>
          </cell>
          <cell r="C763" t="str">
            <v>Phạm Thanh Phong</v>
          </cell>
          <cell r="D763" t="str">
            <v>Kỹ sư Phát triển phần mềm</v>
          </cell>
          <cell r="E763" t="str">
            <v>Tổng công ty Công nghiệp Công nghệ cao Viettel</v>
          </cell>
          <cell r="F763" t="str">
            <v>Khối 2 - TCT CNC</v>
          </cell>
          <cell r="G763" t="str">
            <v>Trung tâm Nghiên cứu Công nghệ chuyển mạch</v>
          </cell>
        </row>
        <row r="764">
          <cell r="B764" t="str">
            <v>228876</v>
          </cell>
          <cell r="C764" t="str">
            <v>Lê Mạnh Hà</v>
          </cell>
          <cell r="D764" t="str">
            <v>Kỹ sư Phát triển phần mềm</v>
          </cell>
          <cell r="E764" t="str">
            <v>Tổng công ty Công nghiệp Công nghệ cao Viettel</v>
          </cell>
          <cell r="F764" t="str">
            <v>Khối 2 - TCT CNC</v>
          </cell>
          <cell r="G764" t="str">
            <v>Trung tâm Nghiên cứu Công nghệ chuyển mạch</v>
          </cell>
        </row>
        <row r="765">
          <cell r="B765" t="str">
            <v>240447</v>
          </cell>
          <cell r="C765" t="str">
            <v>Lê Hồng Quân</v>
          </cell>
          <cell r="D765" t="str">
            <v>Kỹ sư Phát triển phần mềm</v>
          </cell>
          <cell r="E765" t="str">
            <v>Tổng công ty Công nghiệp Công nghệ cao Viettel</v>
          </cell>
          <cell r="F765" t="str">
            <v>Khối 2 - TCT CNC</v>
          </cell>
          <cell r="G765" t="str">
            <v>Trung tâm Nghiên cứu Công nghệ chuyển mạch</v>
          </cell>
        </row>
        <row r="766">
          <cell r="B766" t="str">
            <v>240738</v>
          </cell>
          <cell r="C766" t="str">
            <v>Đào Thị Huyền</v>
          </cell>
          <cell r="D766" t="str">
            <v>Kỹ sư Phát triển phần mềm</v>
          </cell>
          <cell r="E766" t="str">
            <v>Tổng công ty Công nghiệp Công nghệ cao Viettel</v>
          </cell>
          <cell r="F766" t="str">
            <v>Khối 2 - TCT CNC</v>
          </cell>
          <cell r="G766" t="str">
            <v>Trung tâm Nghiên cứu Công nghệ chuyển mạch</v>
          </cell>
        </row>
        <row r="767">
          <cell r="B767" t="str">
            <v>240739</v>
          </cell>
          <cell r="C767" t="str">
            <v>Nguyễn Thị Loan</v>
          </cell>
          <cell r="D767" t="str">
            <v>Kỹ sư Kiểm thử</v>
          </cell>
          <cell r="E767" t="str">
            <v>Tổng công ty Công nghiệp Công nghệ cao Viettel</v>
          </cell>
          <cell r="F767" t="str">
            <v>Khối 2 - TCT CNC</v>
          </cell>
          <cell r="G767" t="str">
            <v>Trung tâm Nghiên cứu Công nghệ chuyển mạch</v>
          </cell>
        </row>
        <row r="768">
          <cell r="B768" t="str">
            <v>246234</v>
          </cell>
          <cell r="C768" t="str">
            <v>Nguyễn Đắc Hoàn</v>
          </cell>
          <cell r="D768" t="str">
            <v>Kỹ sư Phát triển phần mềm</v>
          </cell>
          <cell r="E768" t="str">
            <v>Tổng công ty Công nghiệp Công nghệ cao Viettel</v>
          </cell>
          <cell r="F768" t="str">
            <v>Khối 2 - TCT CNC</v>
          </cell>
          <cell r="G768" t="str">
            <v>Trung tâm Nghiên cứu Công nghệ chuyển mạch</v>
          </cell>
        </row>
        <row r="769">
          <cell r="B769" t="str">
            <v>270944</v>
          </cell>
          <cell r="C769" t="str">
            <v>Lê Ngọc Lâm</v>
          </cell>
          <cell r="D769" t="str">
            <v>Kỹ sư Phát triển phần mềm</v>
          </cell>
          <cell r="E769" t="str">
            <v>Tổng công ty Công nghiệp Công nghệ cao Viettel</v>
          </cell>
          <cell r="F769" t="str">
            <v>Khối 2 - TCT CNC</v>
          </cell>
          <cell r="G769" t="str">
            <v>Trung tâm Nghiên cứu Công nghệ chuyển mạch</v>
          </cell>
        </row>
        <row r="770">
          <cell r="B770" t="str">
            <v>271297</v>
          </cell>
          <cell r="C770" t="str">
            <v>Nguyễn Anh Tuấn</v>
          </cell>
          <cell r="D770" t="str">
            <v>Kỹ sư Phát triển phần mềm</v>
          </cell>
          <cell r="E770" t="str">
            <v>Tổng công ty Công nghiệp Công nghệ cao Viettel</v>
          </cell>
          <cell r="F770" t="str">
            <v>Khối 2 - TCT CNC</v>
          </cell>
          <cell r="G770" t="str">
            <v>Trung tâm Nghiên cứu Công nghệ chuyển mạch</v>
          </cell>
        </row>
        <row r="771">
          <cell r="B771" t="str">
            <v>271598</v>
          </cell>
          <cell r="C771" t="str">
            <v>Lê Văn Sáng</v>
          </cell>
          <cell r="D771" t="str">
            <v>Kỹ sư Phát triển phần mềm</v>
          </cell>
          <cell r="E771" t="str">
            <v>Tổng công ty Công nghiệp Công nghệ cao Viettel</v>
          </cell>
          <cell r="F771" t="str">
            <v>Khối 2 - TCT CNC</v>
          </cell>
          <cell r="G771" t="str">
            <v>Trung tâm Nghiên cứu Công nghệ chuyển mạch</v>
          </cell>
        </row>
        <row r="772">
          <cell r="B772" t="str">
            <v>272779</v>
          </cell>
          <cell r="C772" t="str">
            <v>Nguyễn Thị Huế</v>
          </cell>
          <cell r="D772" t="str">
            <v>Kỹ sư Kiểm thử</v>
          </cell>
          <cell r="E772" t="str">
            <v>Tổng công ty Công nghiệp Công nghệ cao Viettel</v>
          </cell>
          <cell r="F772" t="str">
            <v>Khối 2 - TCT CNC</v>
          </cell>
          <cell r="G772" t="str">
            <v>Trung tâm Nghiên cứu Công nghệ chuyển mạch</v>
          </cell>
        </row>
        <row r="773">
          <cell r="B773" t="str">
            <v>273675</v>
          </cell>
          <cell r="C773" t="str">
            <v>Nguyễn Phương Nam</v>
          </cell>
          <cell r="D773" t="str">
            <v>Kỹ sư Phát triển phần mềm</v>
          </cell>
          <cell r="E773" t="str">
            <v>Tổng công ty Công nghiệp Công nghệ cao Viettel</v>
          </cell>
          <cell r="F773" t="str">
            <v>Khối 2 - TCT CNC</v>
          </cell>
          <cell r="G773" t="str">
            <v>Trung tâm Nghiên cứu Công nghệ chuyển mạch</v>
          </cell>
        </row>
        <row r="774">
          <cell r="B774" t="str">
            <v>282985</v>
          </cell>
          <cell r="C774" t="str">
            <v>Lê Văn Hiếu</v>
          </cell>
          <cell r="D774" t="str">
            <v>Kỹ sư Phát triển phần mềm</v>
          </cell>
          <cell r="E774" t="str">
            <v>Tổng công ty Công nghiệp Công nghệ cao Viettel</v>
          </cell>
          <cell r="F774" t="str">
            <v>Khối 2 - TCT CNC</v>
          </cell>
          <cell r="G774" t="str">
            <v>Trung tâm Nghiên cứu Công nghệ chuyển mạch</v>
          </cell>
        </row>
        <row r="775">
          <cell r="B775" t="str">
            <v>290136</v>
          </cell>
          <cell r="C775" t="str">
            <v>Tô Quốc Hùng</v>
          </cell>
          <cell r="D775" t="str">
            <v>Kỹ sư Phát triển phần mềm</v>
          </cell>
          <cell r="E775" t="str">
            <v>Tổng công ty Công nghiệp Công nghệ cao Viettel</v>
          </cell>
          <cell r="F775" t="str">
            <v>Khối 2 - TCT CNC</v>
          </cell>
          <cell r="G775" t="str">
            <v>Trung tâm Nghiên cứu Công nghệ chuyển mạch</v>
          </cell>
        </row>
        <row r="776">
          <cell r="B776" t="str">
            <v>433642</v>
          </cell>
          <cell r="C776" t="str">
            <v>Lê Chí Phát</v>
          </cell>
          <cell r="D776" t="str">
            <v>Kỹ sư Phát triển phần mềm</v>
          </cell>
          <cell r="E776" t="str">
            <v>Tổng công ty Công nghiệp Công nghệ cao Viettel</v>
          </cell>
          <cell r="F776" t="str">
            <v>Khối 2 - TCT CNC</v>
          </cell>
          <cell r="G776" t="str">
            <v>Trung tâm Nghiên cứu Công nghệ chuyển mạch</v>
          </cell>
        </row>
        <row r="777">
          <cell r="B777" t="str">
            <v>438155</v>
          </cell>
          <cell r="C777" t="str">
            <v>Hà Long Quyền</v>
          </cell>
          <cell r="D777" t="str">
            <v>Kỹ sư Phát triển phần mềm</v>
          </cell>
          <cell r="E777" t="str">
            <v>Tổng công ty Công nghiệp Công nghệ cao Viettel</v>
          </cell>
          <cell r="F777" t="str">
            <v>Khối 2 - TCT CNC</v>
          </cell>
          <cell r="G777" t="str">
            <v>Trung tâm Nghiên cứu Công nghệ chuyển mạch</v>
          </cell>
        </row>
        <row r="778">
          <cell r="B778" t="str">
            <v>439129</v>
          </cell>
          <cell r="C778" t="str">
            <v>Mai Xuân Ngọc</v>
          </cell>
          <cell r="D778" t="str">
            <v>Kỹ sư Phát triển phần mềm</v>
          </cell>
          <cell r="E778" t="str">
            <v>Tổng công ty Công nghiệp Công nghệ cao Viettel</v>
          </cell>
          <cell r="F778" t="str">
            <v>Khối 2 - TCT CNC</v>
          </cell>
          <cell r="G778" t="str">
            <v>Trung tâm Nghiên cứu Công nghệ chuyển mạch</v>
          </cell>
        </row>
        <row r="779">
          <cell r="B779" t="str">
            <v>440660</v>
          </cell>
          <cell r="C779" t="str">
            <v>Dương Đức Thăng</v>
          </cell>
          <cell r="D779" t="str">
            <v>Kỹ sư Phát triển phần mềm</v>
          </cell>
          <cell r="E779" t="str">
            <v>Tổng công ty Công nghiệp Công nghệ cao Viettel</v>
          </cell>
          <cell r="F779" t="str">
            <v>Khối 2 - TCT CNC</v>
          </cell>
          <cell r="G779" t="str">
            <v>Trung tâm Nghiên cứu Công nghệ chuyển mạch</v>
          </cell>
        </row>
        <row r="780">
          <cell r="B780" t="str">
            <v>443367</v>
          </cell>
          <cell r="C780" t="str">
            <v>Trần Quang Vinh</v>
          </cell>
          <cell r="D780" t="str">
            <v>Kỹ sư Phát triển phần mềm</v>
          </cell>
          <cell r="E780" t="str">
            <v>Tổng công ty Công nghiệp Công nghệ cao Viettel</v>
          </cell>
          <cell r="F780" t="str">
            <v>Khối 2 - TCT CNC</v>
          </cell>
          <cell r="G780" t="str">
            <v>Trung tâm Nghiên cứu Công nghệ chuyển mạch</v>
          </cell>
        </row>
        <row r="781">
          <cell r="B781" t="str">
            <v>450567</v>
          </cell>
          <cell r="C781" t="str">
            <v>Mai Ngọc Trinh</v>
          </cell>
          <cell r="D781" t="str">
            <v>Kỹ sư Phát triển phần mềm</v>
          </cell>
          <cell r="E781" t="str">
            <v>Tổng công ty Công nghiệp Công nghệ cao Viettel</v>
          </cell>
          <cell r="F781" t="str">
            <v>Khối 2 - TCT CNC</v>
          </cell>
          <cell r="G781" t="str">
            <v>Trung tâm Nghiên cứu Công nghệ chuyển mạch</v>
          </cell>
        </row>
        <row r="782">
          <cell r="B782" t="str">
            <v>451083</v>
          </cell>
          <cell r="C782" t="str">
            <v>Lại Minh Hà</v>
          </cell>
          <cell r="D782" t="str">
            <v>Kỹ sư Phát triển phần mềm</v>
          </cell>
          <cell r="E782" t="str">
            <v>Tổng công ty Công nghiệp Công nghệ cao Viettel</v>
          </cell>
          <cell r="F782" t="str">
            <v>Khối 2 - TCT CNC</v>
          </cell>
          <cell r="G782" t="str">
            <v>Trung tâm Nghiên cứu Công nghệ chuyển mạch</v>
          </cell>
        </row>
        <row r="783">
          <cell r="B783" t="str">
            <v>451139</v>
          </cell>
          <cell r="C783" t="str">
            <v>Phan Tuấn Bách</v>
          </cell>
          <cell r="D783" t="str">
            <v>Kỹ sư Phát triển phần mềm</v>
          </cell>
          <cell r="E783" t="str">
            <v>Tổng công ty Công nghiệp Công nghệ cao Viettel</v>
          </cell>
          <cell r="F783" t="str">
            <v>Khối 2 - TCT CNC</v>
          </cell>
          <cell r="G783" t="str">
            <v>Trung tâm Nghiên cứu Công nghệ chuyển mạch</v>
          </cell>
        </row>
        <row r="784">
          <cell r="B784" t="str">
            <v>454233</v>
          </cell>
          <cell r="C784" t="str">
            <v>Nguyễn Ngọc Dũng</v>
          </cell>
          <cell r="D784" t="str">
            <v>Kỹ sư Phát triển phần mềm</v>
          </cell>
          <cell r="E784" t="str">
            <v>Tổng công ty Công nghiệp Công nghệ cao Viettel</v>
          </cell>
          <cell r="F784" t="str">
            <v>Khối 2 - TCT CNC</v>
          </cell>
          <cell r="G784" t="str">
            <v>Trung tâm Nghiên cứu Công nghệ chuyển mạch</v>
          </cell>
        </row>
        <row r="785">
          <cell r="B785" t="str">
            <v>461177</v>
          </cell>
          <cell r="C785" t="str">
            <v>Phạm Hồng Hùng</v>
          </cell>
          <cell r="D785" t="str">
            <v>Kỹ sư Phát triển phần mềm</v>
          </cell>
          <cell r="E785" t="str">
            <v>Tổng công ty Công nghiệp Công nghệ cao Viettel</v>
          </cell>
          <cell r="F785" t="str">
            <v>Khối 2 - TCT CNC</v>
          </cell>
          <cell r="G785" t="str">
            <v>Trung tâm Nghiên cứu Công nghệ chuyển mạch</v>
          </cell>
        </row>
        <row r="786">
          <cell r="B786" t="str">
            <v>463317</v>
          </cell>
          <cell r="C786" t="str">
            <v>Đỗ Tuấn Anh</v>
          </cell>
          <cell r="D786" t="str">
            <v>Kỹ sư Phát triển phần mềm</v>
          </cell>
          <cell r="E786" t="str">
            <v>Tổng công ty Công nghiệp Công nghệ cao Viettel</v>
          </cell>
          <cell r="F786" t="str">
            <v>Khối 2 - TCT CNC</v>
          </cell>
          <cell r="G786" t="str">
            <v>Trung tâm Nghiên cứu Công nghệ chuyển mạch</v>
          </cell>
        </row>
        <row r="787">
          <cell r="B787" t="str">
            <v>469061</v>
          </cell>
          <cell r="C787" t="str">
            <v>Nguyễn Bảo Trâm</v>
          </cell>
          <cell r="D787" t="str">
            <v>Kỹ sư Phát triển phần mềm</v>
          </cell>
          <cell r="E787" t="str">
            <v>Tổng công ty Công nghiệp Công nghệ cao Viettel</v>
          </cell>
          <cell r="F787" t="str">
            <v>Khối 2 - TCT CNC</v>
          </cell>
          <cell r="G787" t="str">
            <v>Trung tâm Nghiên cứu Công nghệ chuyển mạch</v>
          </cell>
        </row>
        <row r="788">
          <cell r="B788" t="str">
            <v>469145</v>
          </cell>
          <cell r="C788" t="str">
            <v>Trần Văn Tài</v>
          </cell>
          <cell r="D788" t="str">
            <v>Kỹ sư Phát triển phần mềm</v>
          </cell>
          <cell r="E788" t="str">
            <v>Tổng công ty Công nghiệp Công nghệ cao Viettel</v>
          </cell>
          <cell r="F788" t="str">
            <v>Khối 2 - TCT CNC</v>
          </cell>
          <cell r="G788" t="str">
            <v>Trung tâm Nghiên cứu Công nghệ chuyển mạch</v>
          </cell>
        </row>
        <row r="789">
          <cell r="B789" t="str">
            <v>469749</v>
          </cell>
          <cell r="C789" t="str">
            <v>Trần Minh Đạt</v>
          </cell>
          <cell r="D789" t="str">
            <v>Kỹ sư Phát triển phần mềm</v>
          </cell>
          <cell r="E789" t="str">
            <v>Tổng công ty Công nghiệp Công nghệ cao Viettel</v>
          </cell>
          <cell r="F789" t="str">
            <v>Khối 2 - TCT CNC</v>
          </cell>
          <cell r="G789" t="str">
            <v>Trung tâm Nghiên cứu Công nghệ chuyển mạch</v>
          </cell>
        </row>
        <row r="790">
          <cell r="B790" t="str">
            <v>469849</v>
          </cell>
          <cell r="C790" t="str">
            <v>Lê Vinh</v>
          </cell>
          <cell r="D790" t="str">
            <v>Kỹ sư Phát triển phần mềm</v>
          </cell>
          <cell r="E790" t="str">
            <v>Tổng công ty Công nghiệp Công nghệ cao Viettel</v>
          </cell>
          <cell r="F790" t="str">
            <v>Khối 2 - TCT CNC</v>
          </cell>
          <cell r="G790" t="str">
            <v>Trung tâm Nghiên cứu Công nghệ chuyển mạch</v>
          </cell>
        </row>
        <row r="791">
          <cell r="B791" t="str">
            <v>472731</v>
          </cell>
          <cell r="C791" t="str">
            <v>Nguyễn Trung Tuấn</v>
          </cell>
          <cell r="D791" t="str">
            <v>Kỹ sư Phát triển phần mềm</v>
          </cell>
          <cell r="E791" t="str">
            <v>Tổng công ty Công nghiệp Công nghệ cao Viettel</v>
          </cell>
          <cell r="F791" t="str">
            <v>Khối 2 - TCT CNC</v>
          </cell>
          <cell r="G791" t="str">
            <v>Trung tâm Nghiên cứu Công nghệ chuyển mạch</v>
          </cell>
        </row>
        <row r="792">
          <cell r="B792" t="str">
            <v>475699</v>
          </cell>
          <cell r="C792" t="str">
            <v>Vũ Đức Thịnh</v>
          </cell>
          <cell r="D792" t="str">
            <v>Kỹ sư Phát triển phần mềm</v>
          </cell>
          <cell r="E792" t="str">
            <v>Tổng công ty Công nghiệp Công nghệ cao Viettel</v>
          </cell>
          <cell r="F792" t="str">
            <v>Khối 2 - TCT CNC</v>
          </cell>
          <cell r="G792" t="str">
            <v>Trung tâm Nghiên cứu Công nghệ chuyển mạch</v>
          </cell>
        </row>
        <row r="793">
          <cell r="B793" t="str">
            <v>476971</v>
          </cell>
          <cell r="C793" t="str">
            <v>Nguyễn Thái Bình</v>
          </cell>
          <cell r="D793" t="str">
            <v>Kỹ sư Phát triển phần mềm</v>
          </cell>
          <cell r="E793" t="str">
            <v>Tổng công ty Công nghiệp Công nghệ cao Viettel</v>
          </cell>
          <cell r="F793" t="str">
            <v>Khối 2 - TCT CNC</v>
          </cell>
          <cell r="G793" t="str">
            <v>Trung tâm Nghiên cứu Công nghệ chuyển mạch</v>
          </cell>
        </row>
        <row r="794">
          <cell r="B794" t="str">
            <v>477421</v>
          </cell>
          <cell r="C794" t="str">
            <v>Nguyễn Đức Huy</v>
          </cell>
          <cell r="D794" t="str">
            <v>Kỹ sư Phát triển phần mềm</v>
          </cell>
          <cell r="E794" t="str">
            <v>Tổng công ty Công nghiệp Công nghệ cao Viettel</v>
          </cell>
          <cell r="F794" t="str">
            <v>Khối 2 - TCT CNC</v>
          </cell>
          <cell r="G794" t="str">
            <v>Trung tâm Nghiên cứu Công nghệ chuyển mạch</v>
          </cell>
        </row>
        <row r="795">
          <cell r="B795" t="str">
            <v>477427</v>
          </cell>
          <cell r="C795" t="str">
            <v>Nguyễn Gia Nam</v>
          </cell>
          <cell r="D795" t="str">
            <v>Kỹ sư Phát triển phần mềm</v>
          </cell>
          <cell r="E795" t="str">
            <v>Tổng công ty Công nghiệp Công nghệ cao Viettel</v>
          </cell>
          <cell r="F795" t="str">
            <v>Khối 2 - TCT CNC</v>
          </cell>
          <cell r="G795" t="str">
            <v>Trung tâm Nghiên cứu Công nghệ chuyển mạch</v>
          </cell>
        </row>
        <row r="796">
          <cell r="B796" t="str">
            <v>032489</v>
          </cell>
          <cell r="C796" t="str">
            <v>Phạm Hoàng Phương</v>
          </cell>
          <cell r="D796" t="str">
            <v>Kỹ sư Nghiên cứu giao thức mạng</v>
          </cell>
          <cell r="E796" t="str">
            <v>Tổng công ty Công nghiệp Công nghệ cao Viettel</v>
          </cell>
          <cell r="F796" t="str">
            <v>Khối 2 - TCT CNC</v>
          </cell>
          <cell r="G796" t="str">
            <v>Trung tâm Nghiên cứu Công nghệ truyền dẫn</v>
          </cell>
        </row>
        <row r="797">
          <cell r="B797" t="str">
            <v>087196</v>
          </cell>
          <cell r="C797" t="str">
            <v>Nguyễn Hạnh Trang</v>
          </cell>
          <cell r="D797" t="str">
            <v>Kỹ sư trưởng Công nghệ</v>
          </cell>
          <cell r="E797" t="str">
            <v>Tổng công ty Công nghiệp Công nghệ cao Viettel</v>
          </cell>
          <cell r="F797" t="str">
            <v>Khối 2 - TCT CNC</v>
          </cell>
          <cell r="G797" t="str">
            <v>Trung tâm Nghiên cứu Công nghệ truyền dẫn</v>
          </cell>
        </row>
        <row r="798">
          <cell r="B798" t="str">
            <v>112898</v>
          </cell>
          <cell r="C798" t="str">
            <v>Trần Văn Hưởng</v>
          </cell>
          <cell r="D798" t="str">
            <v>Giám đốc Trung tâm</v>
          </cell>
          <cell r="E798" t="str">
            <v>Tổng công ty Công nghiệp Công nghệ cao Viettel</v>
          </cell>
          <cell r="F798" t="str">
            <v>Khối 2 - TCT CNC</v>
          </cell>
          <cell r="G798" t="str">
            <v>Trung tâm Nghiên cứu Công nghệ truyền dẫn</v>
          </cell>
        </row>
        <row r="799">
          <cell r="B799" t="str">
            <v>122480</v>
          </cell>
          <cell r="C799" t="str">
            <v>Đỗ Đức Cường</v>
          </cell>
          <cell r="D799" t="str">
            <v>Kỹ sư Nghiên cứu giao thức mạng</v>
          </cell>
          <cell r="E799" t="str">
            <v>Tổng công ty Công nghiệp Công nghệ cao Viettel</v>
          </cell>
          <cell r="F799" t="str">
            <v>Khối 2 - TCT CNC</v>
          </cell>
          <cell r="G799" t="str">
            <v>Trung tâm Nghiên cứu Công nghệ truyền dẫn</v>
          </cell>
        </row>
        <row r="800">
          <cell r="B800" t="str">
            <v>137615</v>
          </cell>
          <cell r="C800" t="str">
            <v>Phạm Thu Nga</v>
          </cell>
          <cell r="D800" t="str">
            <v>Kỹ sư Phát triển giao thức mạng</v>
          </cell>
          <cell r="E800" t="str">
            <v>Tổng công ty Công nghiệp Công nghệ cao Viettel</v>
          </cell>
          <cell r="F800" t="str">
            <v>Khối 2 - TCT CNC</v>
          </cell>
          <cell r="G800" t="str">
            <v>Trung tâm Nghiên cứu Công nghệ truyền dẫn</v>
          </cell>
        </row>
        <row r="801">
          <cell r="B801" t="str">
            <v>144033</v>
          </cell>
          <cell r="C801" t="str">
            <v>Nguyễn Thùy Anh</v>
          </cell>
          <cell r="D801" t="str">
            <v>Kỹ sư Kiểm thử</v>
          </cell>
          <cell r="E801" t="str">
            <v>Tổng công ty Công nghiệp Công nghệ cao Viettel</v>
          </cell>
          <cell r="F801" t="str">
            <v>Khối 2 - TCT CNC</v>
          </cell>
          <cell r="G801" t="str">
            <v>Trung tâm Nghiên cứu Công nghệ truyền dẫn</v>
          </cell>
        </row>
        <row r="802">
          <cell r="B802" t="str">
            <v>153773</v>
          </cell>
          <cell r="C802" t="str">
            <v>Nguyễn Thanh Thủy</v>
          </cell>
          <cell r="D802" t="str">
            <v>Trưởng phòng Kiểm thử</v>
          </cell>
          <cell r="E802" t="str">
            <v>Tổng công ty Công nghiệp Công nghệ cao Viettel</v>
          </cell>
          <cell r="F802" t="str">
            <v>Khối 2 - TCT CNC</v>
          </cell>
          <cell r="G802" t="str">
            <v>Trung tâm Nghiên cứu Công nghệ truyền dẫn</v>
          </cell>
        </row>
        <row r="803">
          <cell r="B803" t="str">
            <v>176206</v>
          </cell>
          <cell r="C803" t="str">
            <v>Nguyễn Quang Mạnh</v>
          </cell>
          <cell r="D803" t="str">
            <v>Phó Giám đốc Trung tâm</v>
          </cell>
          <cell r="E803" t="str">
            <v>Tổng công ty Công nghiệp Công nghệ cao Viettel</v>
          </cell>
          <cell r="F803" t="str">
            <v>Khối 2 - TCT CNC</v>
          </cell>
          <cell r="G803" t="str">
            <v>Trung tâm Nghiên cứu Công nghệ truyền dẫn</v>
          </cell>
        </row>
        <row r="804">
          <cell r="B804" t="str">
            <v>196178</v>
          </cell>
          <cell r="C804" t="str">
            <v>Lương Đình Thọ</v>
          </cell>
          <cell r="D804" t="str">
            <v>Trưởng phòng Giải pháp</v>
          </cell>
          <cell r="E804" t="str">
            <v>Tổng công ty Công nghiệp Công nghệ cao Viettel</v>
          </cell>
          <cell r="F804" t="str">
            <v>Khối 2 - TCT CNC</v>
          </cell>
          <cell r="G804" t="str">
            <v>Trung tâm Nghiên cứu Công nghệ truyền dẫn</v>
          </cell>
        </row>
        <row r="805">
          <cell r="B805" t="str">
            <v>213254</v>
          </cell>
          <cell r="C805" t="str">
            <v>La Văn Thiện</v>
          </cell>
          <cell r="D805" t="str">
            <v>Trưởng phòng Phát triển công nghệ truyền dẫn IP</v>
          </cell>
          <cell r="E805" t="str">
            <v>Tổng công ty Công nghiệp Công nghệ cao Viettel</v>
          </cell>
          <cell r="F805" t="str">
            <v>Khối 2 - TCT CNC</v>
          </cell>
          <cell r="G805" t="str">
            <v>Trung tâm Nghiên cứu Công nghệ truyền dẫn</v>
          </cell>
        </row>
        <row r="806">
          <cell r="B806" t="str">
            <v>214807</v>
          </cell>
          <cell r="C806" t="str">
            <v>Đỗ Thế Hùng</v>
          </cell>
          <cell r="D806" t="str">
            <v>Kỹ sư Nghiên cứu giao thức mạng</v>
          </cell>
          <cell r="E806" t="str">
            <v>Tổng công ty Công nghiệp Công nghệ cao Viettel</v>
          </cell>
          <cell r="F806" t="str">
            <v>Khối 2 - TCT CNC</v>
          </cell>
          <cell r="G806" t="str">
            <v>Trung tâm Nghiên cứu Công nghệ truyền dẫn</v>
          </cell>
        </row>
        <row r="807">
          <cell r="B807" t="str">
            <v>215824</v>
          </cell>
          <cell r="C807" t="str">
            <v>Nguyễn Thanh Tiến</v>
          </cell>
          <cell r="D807" t="str">
            <v>Kỹ sư trưởng Hệ thống</v>
          </cell>
          <cell r="E807" t="str">
            <v>Tổng công ty Công nghiệp Công nghệ cao Viettel</v>
          </cell>
          <cell r="F807" t="str">
            <v>Khối 2 - TCT CNC</v>
          </cell>
          <cell r="G807" t="str">
            <v>Trung tâm Nghiên cứu Công nghệ truyền dẫn</v>
          </cell>
        </row>
        <row r="808">
          <cell r="B808" t="str">
            <v>218430</v>
          </cell>
          <cell r="C808" t="str">
            <v>Nguyễn Thanh Dương</v>
          </cell>
          <cell r="D808" t="str">
            <v>Kỹ sư Phát triển giao thức mạng</v>
          </cell>
          <cell r="E808" t="str">
            <v>Tổng công ty Công nghiệp Công nghệ cao Viettel</v>
          </cell>
          <cell r="F808" t="str">
            <v>Khối 2 - TCT CNC</v>
          </cell>
          <cell r="G808" t="str">
            <v>Trung tâm Nghiên cứu Công nghệ truyền dẫn</v>
          </cell>
        </row>
        <row r="809">
          <cell r="B809" t="str">
            <v>218643</v>
          </cell>
          <cell r="C809" t="str">
            <v>Phạm Thị Linh</v>
          </cell>
          <cell r="D809" t="str">
            <v>Kỹ sư Phát triển phần mềm hệ thống</v>
          </cell>
          <cell r="E809" t="str">
            <v>Tổng công ty Công nghiệp Công nghệ cao Viettel</v>
          </cell>
          <cell r="F809" t="str">
            <v>Khối 2 - TCT CNC</v>
          </cell>
          <cell r="G809" t="str">
            <v>Trung tâm Nghiên cứu Công nghệ truyền dẫn</v>
          </cell>
        </row>
        <row r="810">
          <cell r="B810" t="str">
            <v>219452</v>
          </cell>
          <cell r="C810" t="str">
            <v>Nguyễn Đức An</v>
          </cell>
          <cell r="D810" t="str">
            <v>Kỹ sư Phát triển phần mềm hệ thống</v>
          </cell>
          <cell r="E810" t="str">
            <v>Tổng công ty Công nghiệp Công nghệ cao Viettel</v>
          </cell>
          <cell r="F810" t="str">
            <v>Khối 2 - TCT CNC</v>
          </cell>
          <cell r="G810" t="str">
            <v>Trung tâm Nghiên cứu Công nghệ truyền dẫn</v>
          </cell>
        </row>
        <row r="811">
          <cell r="B811" t="str">
            <v>226805</v>
          </cell>
          <cell r="C811" t="str">
            <v>Bùi Đình Dũng</v>
          </cell>
          <cell r="D811" t="str">
            <v>Trưởng phòng Nghiên cứu công nghệ xPON</v>
          </cell>
          <cell r="E811" t="str">
            <v>Tổng công ty Công nghiệp Công nghệ cao Viettel</v>
          </cell>
          <cell r="F811" t="str">
            <v>Khối 2 - TCT CNC</v>
          </cell>
          <cell r="G811" t="str">
            <v>Trung tâm Nghiên cứu Công nghệ truyền dẫn</v>
          </cell>
        </row>
        <row r="812">
          <cell r="B812" t="str">
            <v>227746</v>
          </cell>
          <cell r="C812" t="str">
            <v>Trần Uy Hoàng</v>
          </cell>
          <cell r="D812" t="str">
            <v>Kỹ sư Phát triển giao thức mạng</v>
          </cell>
          <cell r="E812" t="str">
            <v>Tổng công ty Công nghiệp Công nghệ cao Viettel</v>
          </cell>
          <cell r="F812" t="str">
            <v>Khối 2 - TCT CNC</v>
          </cell>
          <cell r="G812" t="str">
            <v>Trung tâm Nghiên cứu Công nghệ truyền dẫn</v>
          </cell>
        </row>
        <row r="813">
          <cell r="B813" t="str">
            <v>240865</v>
          </cell>
          <cell r="C813" t="str">
            <v>Đào Thị Nhung</v>
          </cell>
          <cell r="D813" t="str">
            <v>Kỹ sư Kiểm thử</v>
          </cell>
          <cell r="E813" t="str">
            <v>Tổng công ty Công nghiệp Công nghệ cao Viettel</v>
          </cell>
          <cell r="F813" t="str">
            <v>Khối 2 - TCT CNC</v>
          </cell>
          <cell r="G813" t="str">
            <v>Trung tâm Nghiên cứu Công nghệ truyền dẫn</v>
          </cell>
        </row>
        <row r="814">
          <cell r="B814" t="str">
            <v>241091</v>
          </cell>
          <cell r="C814" t="str">
            <v>Bùi Thị Loan</v>
          </cell>
          <cell r="D814" t="str">
            <v>Kỹ sư Kiểm thử tự động</v>
          </cell>
          <cell r="E814" t="str">
            <v>Tổng công ty Công nghiệp Công nghệ cao Viettel</v>
          </cell>
          <cell r="F814" t="str">
            <v>Khối 2 - TCT CNC</v>
          </cell>
          <cell r="G814" t="str">
            <v>Trung tâm Nghiên cứu Công nghệ truyền dẫn</v>
          </cell>
        </row>
        <row r="815">
          <cell r="B815" t="str">
            <v>243884</v>
          </cell>
          <cell r="C815" t="str">
            <v>Đinh Văn Lực</v>
          </cell>
          <cell r="D815" t="str">
            <v>Kỹ sư Nghiên cứu giao thức mạng</v>
          </cell>
          <cell r="E815" t="str">
            <v>Tổng công ty Công nghiệp Công nghệ cao Viettel</v>
          </cell>
          <cell r="F815" t="str">
            <v>Khối 2 - TCT CNC</v>
          </cell>
          <cell r="G815" t="str">
            <v>Trung tâm Nghiên cứu Công nghệ truyền dẫn</v>
          </cell>
        </row>
        <row r="816">
          <cell r="B816" t="str">
            <v>244688</v>
          </cell>
          <cell r="C816" t="str">
            <v>Phạm Thị Thơm</v>
          </cell>
          <cell r="D816" t="str">
            <v>Kỹ sư Kiểm thử tự động</v>
          </cell>
          <cell r="E816" t="str">
            <v>Tổng công ty Công nghiệp Công nghệ cao Viettel</v>
          </cell>
          <cell r="F816" t="str">
            <v>Khối 2 - TCT CNC</v>
          </cell>
          <cell r="G816" t="str">
            <v>Trung tâm Nghiên cứu Công nghệ truyền dẫn</v>
          </cell>
        </row>
        <row r="817">
          <cell r="B817" t="str">
            <v>245349</v>
          </cell>
          <cell r="C817" t="str">
            <v>Huỳnh Nhật Tú</v>
          </cell>
          <cell r="D817" t="str">
            <v>Kỹ sư Phát triển giao thức mạng</v>
          </cell>
          <cell r="E817" t="str">
            <v>Tổng công ty Công nghiệp Công nghệ cao Viettel</v>
          </cell>
          <cell r="F817" t="str">
            <v>Khối 2 - TCT CNC</v>
          </cell>
          <cell r="G817" t="str">
            <v>Trung tâm Nghiên cứu Công nghệ truyền dẫn</v>
          </cell>
        </row>
        <row r="818">
          <cell r="B818" t="str">
            <v>245352</v>
          </cell>
          <cell r="C818" t="str">
            <v>Hứa Thái Châu</v>
          </cell>
          <cell r="D818" t="str">
            <v>Kỹ sư Phát triển giao thức mạng</v>
          </cell>
          <cell r="E818" t="str">
            <v>Tổng công ty Công nghiệp Công nghệ cao Viettel</v>
          </cell>
          <cell r="F818" t="str">
            <v>Khối 2 - TCT CNC</v>
          </cell>
          <cell r="G818" t="str">
            <v>Trung tâm Nghiên cứu Công nghệ truyền dẫn</v>
          </cell>
        </row>
        <row r="819">
          <cell r="B819" t="str">
            <v>246391</v>
          </cell>
          <cell r="C819" t="str">
            <v>Trương Thị Hà Trang</v>
          </cell>
          <cell r="D819" t="str">
            <v>Kỹ sư Kiểm thử</v>
          </cell>
          <cell r="E819" t="str">
            <v>Tổng công ty Công nghiệp Công nghệ cao Viettel</v>
          </cell>
          <cell r="F819" t="str">
            <v>Khối 2 - TCT CNC</v>
          </cell>
          <cell r="G819" t="str">
            <v>Trung tâm Nghiên cứu Công nghệ truyền dẫn</v>
          </cell>
        </row>
        <row r="820">
          <cell r="B820" t="str">
            <v>250803</v>
          </cell>
          <cell r="C820" t="str">
            <v>Hoàng Công Tánh</v>
          </cell>
          <cell r="D820" t="str">
            <v>Kỹ sư Phát triển phần mềm hệ thống</v>
          </cell>
          <cell r="E820" t="str">
            <v>Tổng công ty Công nghiệp Công nghệ cao Viettel</v>
          </cell>
          <cell r="F820" t="str">
            <v>Khối 2 - TCT CNC</v>
          </cell>
          <cell r="G820" t="str">
            <v>Trung tâm Nghiên cứu Công nghệ truyền dẫn</v>
          </cell>
        </row>
        <row r="821">
          <cell r="B821" t="str">
            <v>270068</v>
          </cell>
          <cell r="C821" t="str">
            <v>Đinh Hoàng Quyết</v>
          </cell>
          <cell r="D821" t="str">
            <v>Kỹ sư Phát triển phần mềm hệ thống</v>
          </cell>
          <cell r="E821" t="str">
            <v>Tổng công ty Công nghiệp Công nghệ cao Viettel</v>
          </cell>
          <cell r="F821" t="str">
            <v>Khối 2 - TCT CNC</v>
          </cell>
          <cell r="G821" t="str">
            <v>Trung tâm Nghiên cứu Công nghệ truyền dẫn</v>
          </cell>
        </row>
        <row r="822">
          <cell r="B822" t="str">
            <v>277729</v>
          </cell>
          <cell r="C822" t="str">
            <v>Hồ Hưng Duy</v>
          </cell>
          <cell r="D822" t="str">
            <v>Kỹ sư Phát triển giao thức mạng</v>
          </cell>
          <cell r="E822" t="str">
            <v>Tổng công ty Công nghiệp Công nghệ cao Viettel</v>
          </cell>
          <cell r="F822" t="str">
            <v>Khối 2 - TCT CNC</v>
          </cell>
          <cell r="G822" t="str">
            <v>Trung tâm Nghiên cứu Công nghệ truyền dẫn</v>
          </cell>
        </row>
        <row r="823">
          <cell r="B823" t="str">
            <v>284759</v>
          </cell>
          <cell r="C823" t="str">
            <v>Phạm Trung Hiếu</v>
          </cell>
          <cell r="D823" t="str">
            <v>Kỹ sư Phát triển giao thức mạng</v>
          </cell>
          <cell r="E823" t="str">
            <v>Tổng công ty Công nghiệp Công nghệ cao Viettel</v>
          </cell>
          <cell r="F823" t="str">
            <v>Khối 2 - TCT CNC</v>
          </cell>
          <cell r="G823" t="str">
            <v>Trung tâm Nghiên cứu Công nghệ truyền dẫn</v>
          </cell>
        </row>
        <row r="824">
          <cell r="B824" t="str">
            <v>289566</v>
          </cell>
          <cell r="C824" t="str">
            <v>Trần Minh Thắng</v>
          </cell>
          <cell r="D824" t="str">
            <v>Kỹ sư Phát triển giao thức mạng</v>
          </cell>
          <cell r="E824" t="str">
            <v>Tổng công ty Công nghiệp Công nghệ cao Viettel</v>
          </cell>
          <cell r="F824" t="str">
            <v>Khối 2 - TCT CNC</v>
          </cell>
          <cell r="G824" t="str">
            <v>Trung tâm Nghiên cứu Công nghệ truyền dẫn</v>
          </cell>
        </row>
        <row r="825">
          <cell r="B825" t="str">
            <v>289567</v>
          </cell>
          <cell r="C825" t="str">
            <v>Đào Minh Long</v>
          </cell>
          <cell r="D825" t="str">
            <v>Kỹ sư Nghiên cứu giao thức mạng</v>
          </cell>
          <cell r="E825" t="str">
            <v>Tổng công ty Công nghiệp Công nghệ cao Viettel</v>
          </cell>
          <cell r="F825" t="str">
            <v>Khối 2 - TCT CNC</v>
          </cell>
          <cell r="G825" t="str">
            <v>Trung tâm Nghiên cứu Công nghệ truyền dẫn</v>
          </cell>
        </row>
        <row r="826">
          <cell r="B826" t="str">
            <v>430133</v>
          </cell>
          <cell r="C826" t="str">
            <v>Nguyễn Đức Toản</v>
          </cell>
          <cell r="D826" t="str">
            <v>Kỹ sư Phát triển giao thức mạng</v>
          </cell>
          <cell r="E826" t="str">
            <v>Tổng công ty Công nghiệp Công nghệ cao Viettel</v>
          </cell>
          <cell r="F826" t="str">
            <v>Khối 2 - TCT CNC</v>
          </cell>
          <cell r="G826" t="str">
            <v>Trung tâm Nghiên cứu Công nghệ truyền dẫn</v>
          </cell>
        </row>
        <row r="827">
          <cell r="B827" t="str">
            <v>430736</v>
          </cell>
          <cell r="C827" t="str">
            <v>Đỗ Văn Phương</v>
          </cell>
          <cell r="D827" t="str">
            <v>Kỹ sư Lập trình nhúng</v>
          </cell>
          <cell r="E827" t="str">
            <v>Tổng công ty Công nghiệp Công nghệ cao Viettel</v>
          </cell>
          <cell r="F827" t="str">
            <v>Khối 2 - TCT CNC</v>
          </cell>
          <cell r="G827" t="str">
            <v>Trung tâm Nghiên cứu Công nghệ truyền dẫn</v>
          </cell>
        </row>
        <row r="828">
          <cell r="B828" t="str">
            <v>432361</v>
          </cell>
          <cell r="C828" t="str">
            <v>Nguyễn Hồng Sơn</v>
          </cell>
          <cell r="D828" t="str">
            <v>Kỹ sư Phát triển giao thức mạng</v>
          </cell>
          <cell r="E828" t="str">
            <v>Tổng công ty Công nghiệp Công nghệ cao Viettel</v>
          </cell>
          <cell r="F828" t="str">
            <v>Khối 2 - TCT CNC</v>
          </cell>
          <cell r="G828" t="str">
            <v>Trung tâm Nghiên cứu Công nghệ truyền dẫn</v>
          </cell>
        </row>
        <row r="829">
          <cell r="B829" t="str">
            <v>436753</v>
          </cell>
          <cell r="C829" t="str">
            <v>Đỗ Văn Nhất</v>
          </cell>
          <cell r="D829" t="str">
            <v>Kỹ sư Nghiên cứu giao thức mạng</v>
          </cell>
          <cell r="E829" t="str">
            <v>Tổng công ty Công nghiệp Công nghệ cao Viettel</v>
          </cell>
          <cell r="F829" t="str">
            <v>Khối 2 - TCT CNC</v>
          </cell>
          <cell r="G829" t="str">
            <v>Trung tâm Nghiên cứu Công nghệ truyền dẫn</v>
          </cell>
        </row>
        <row r="830">
          <cell r="B830" t="str">
            <v>439004</v>
          </cell>
          <cell r="C830" t="str">
            <v>Nguyễn Đặng Chung Đức</v>
          </cell>
          <cell r="D830" t="str">
            <v>Kỹ sư Phát triển phần mềm hệ thống</v>
          </cell>
          <cell r="E830" t="str">
            <v>Tổng công ty Công nghiệp Công nghệ cao Viettel</v>
          </cell>
          <cell r="F830" t="str">
            <v>Khối 2 - TCT CNC</v>
          </cell>
          <cell r="G830" t="str">
            <v>Trung tâm Nghiên cứu Công nghệ truyền dẫn</v>
          </cell>
        </row>
        <row r="831">
          <cell r="B831" t="str">
            <v>439012</v>
          </cell>
          <cell r="C831" t="str">
            <v>Trần Ngọc Trâm</v>
          </cell>
          <cell r="D831" t="str">
            <v>Kỹ sư Phát triển phần mềm hệ thống</v>
          </cell>
          <cell r="E831" t="str">
            <v>Tổng công ty Công nghiệp Công nghệ cao Viettel</v>
          </cell>
          <cell r="F831" t="str">
            <v>Khối 2 - TCT CNC</v>
          </cell>
          <cell r="G831" t="str">
            <v>Trung tâm Nghiên cứu Công nghệ truyền dẫn</v>
          </cell>
        </row>
        <row r="832">
          <cell r="B832" t="str">
            <v>439127</v>
          </cell>
          <cell r="C832" t="str">
            <v>Bùi Thế Lâm</v>
          </cell>
          <cell r="D832" t="str">
            <v>Kỹ sư Phát triển phần mềm hệ thống</v>
          </cell>
          <cell r="E832" t="str">
            <v>Tổng công ty Công nghiệp Công nghệ cao Viettel</v>
          </cell>
          <cell r="F832" t="str">
            <v>Khối 2 - TCT CNC</v>
          </cell>
          <cell r="G832" t="str">
            <v>Trung tâm Nghiên cứu Công nghệ truyền dẫn</v>
          </cell>
        </row>
        <row r="833">
          <cell r="B833" t="str">
            <v>439128</v>
          </cell>
          <cell r="C833" t="str">
            <v>Đào Thị Thu Giang</v>
          </cell>
          <cell r="D833" t="str">
            <v>Kỹ sư Phát triển giao thức mạng</v>
          </cell>
          <cell r="E833" t="str">
            <v>Tổng công ty Công nghiệp Công nghệ cao Viettel</v>
          </cell>
          <cell r="F833" t="str">
            <v>Khối 2 - TCT CNC</v>
          </cell>
          <cell r="G833" t="str">
            <v>Trung tâm Nghiên cứu Công nghệ truyền dẫn</v>
          </cell>
        </row>
        <row r="834">
          <cell r="B834" t="str">
            <v>439495</v>
          </cell>
          <cell r="C834" t="str">
            <v>Nguyễn Đức Kiên</v>
          </cell>
          <cell r="D834" t="str">
            <v>Kỹ sư Phát triển giao thức mạng</v>
          </cell>
          <cell r="E834" t="str">
            <v>Tổng công ty Công nghiệp Công nghệ cao Viettel</v>
          </cell>
          <cell r="F834" t="str">
            <v>Khối 2 - TCT CNC</v>
          </cell>
          <cell r="G834" t="str">
            <v>Trung tâm Nghiên cứu Công nghệ truyền dẫn</v>
          </cell>
        </row>
        <row r="835">
          <cell r="B835" t="str">
            <v>440201</v>
          </cell>
          <cell r="C835" t="str">
            <v>Lê Đức Lâm Vũ</v>
          </cell>
          <cell r="D835" t="str">
            <v>Kỹ sư Phát triển phần mềm hệ thống</v>
          </cell>
          <cell r="E835" t="str">
            <v>Tổng công ty Công nghiệp Công nghệ cao Viettel</v>
          </cell>
          <cell r="F835" t="str">
            <v>Khối 2 - TCT CNC</v>
          </cell>
          <cell r="G835" t="str">
            <v>Trung tâm Nghiên cứu Công nghệ truyền dẫn</v>
          </cell>
        </row>
        <row r="836">
          <cell r="B836" t="str">
            <v>446289</v>
          </cell>
          <cell r="C836" t="str">
            <v>Kiều Tấn Phát</v>
          </cell>
          <cell r="D836" t="str">
            <v>Kỹ sư Phát triển giao thức mạng</v>
          </cell>
          <cell r="E836" t="str">
            <v>Tổng công ty Công nghiệp Công nghệ cao Viettel</v>
          </cell>
          <cell r="F836" t="str">
            <v>Khối 2 - TCT CNC</v>
          </cell>
          <cell r="G836" t="str">
            <v>Trung tâm Nghiên cứu Công nghệ truyền dẫn</v>
          </cell>
        </row>
        <row r="837">
          <cell r="B837" t="str">
            <v>446291</v>
          </cell>
          <cell r="C837" t="str">
            <v>Vũ Ngọc Cường</v>
          </cell>
          <cell r="D837" t="str">
            <v>Kỹ sư phát triển giao thức mạng</v>
          </cell>
          <cell r="E837" t="str">
            <v>Tổng công ty Công nghiệp Công nghệ cao Viettel</v>
          </cell>
          <cell r="F837" t="str">
            <v>Khối 2 - TCT CNC</v>
          </cell>
          <cell r="G837" t="str">
            <v>Trung tâm Nghiên cứu Công nghệ truyền dẫn</v>
          </cell>
        </row>
        <row r="838">
          <cell r="B838" t="str">
            <v>446297</v>
          </cell>
          <cell r="C838" t="str">
            <v>Bùi Duy Tiến</v>
          </cell>
          <cell r="D838" t="str">
            <v>Kỹ sư phát triển giao thức mạng</v>
          </cell>
          <cell r="E838" t="str">
            <v>Tổng công ty Công nghiệp Công nghệ cao Viettel</v>
          </cell>
          <cell r="F838" t="str">
            <v>Khối 2 - TCT CNC</v>
          </cell>
          <cell r="G838" t="str">
            <v>Trung tâm Nghiên cứu Công nghệ truyền dẫn</v>
          </cell>
        </row>
        <row r="839">
          <cell r="B839" t="str">
            <v>451899</v>
          </cell>
          <cell r="C839" t="str">
            <v>Vũ Văn Trung</v>
          </cell>
          <cell r="D839" t="str">
            <v>Kỹ sư Phát triển phần mềm hệ thống</v>
          </cell>
          <cell r="E839" t="str">
            <v>Tổng công ty Công nghiệp Công nghệ cao Viettel</v>
          </cell>
          <cell r="F839" t="str">
            <v>Khối 2 - TCT CNC</v>
          </cell>
          <cell r="G839" t="str">
            <v>Trung tâm Nghiên cứu Công nghệ truyền dẫn</v>
          </cell>
        </row>
        <row r="840">
          <cell r="B840" t="str">
            <v>458897</v>
          </cell>
          <cell r="C840" t="str">
            <v>Phạm Quốc Huy</v>
          </cell>
          <cell r="D840" t="str">
            <v>Kỹ sư Phát triển phần mềm hệ thống</v>
          </cell>
          <cell r="E840" t="str">
            <v>Tổng công ty Công nghiệp Công nghệ cao Viettel</v>
          </cell>
          <cell r="F840" t="str">
            <v>Khối 2 - TCT CNC</v>
          </cell>
          <cell r="G840" t="str">
            <v>Trung tâm Nghiên cứu Công nghệ truyền dẫn</v>
          </cell>
        </row>
        <row r="841">
          <cell r="B841" t="str">
            <v>460689</v>
          </cell>
          <cell r="C841" t="str">
            <v>Hồ Thái Đại Lợi</v>
          </cell>
          <cell r="D841" t="str">
            <v>Kỹ sư Phát triển phần mềm hệ thống</v>
          </cell>
          <cell r="E841" t="str">
            <v>Tổng công ty Công nghiệp Công nghệ cao Viettel</v>
          </cell>
          <cell r="F841" t="str">
            <v>Khối 2 - TCT CNC</v>
          </cell>
          <cell r="G841" t="str">
            <v>Trung tâm Nghiên cứu Công nghệ truyền dẫn</v>
          </cell>
        </row>
        <row r="842">
          <cell r="B842" t="str">
            <v>462351</v>
          </cell>
          <cell r="C842" t="str">
            <v>Trần Minh Thành</v>
          </cell>
          <cell r="D842" t="str">
            <v>Kỹ sư Phát triển phần mềm hệ thống</v>
          </cell>
          <cell r="E842" t="str">
            <v>Tổng công ty Công nghiệp Công nghệ cao Viettel</v>
          </cell>
          <cell r="F842" t="str">
            <v>Khối 2 - TCT CNC</v>
          </cell>
          <cell r="G842" t="str">
            <v>Trung tâm Nghiên cứu Công nghệ truyền dẫn</v>
          </cell>
        </row>
        <row r="843">
          <cell r="B843" t="str">
            <v>466273</v>
          </cell>
          <cell r="C843" t="str">
            <v>Thiều Thị Mỹ Lệ</v>
          </cell>
          <cell r="D843" t="str">
            <v>Kỹ sư Kiểm thử</v>
          </cell>
          <cell r="E843" t="str">
            <v>Tổng công ty Công nghiệp Công nghệ cao Viettel</v>
          </cell>
          <cell r="F843" t="str">
            <v>Khối 2 - TCT CNC</v>
          </cell>
          <cell r="G843" t="str">
            <v>Trung tâm Nghiên cứu Công nghệ truyền dẫn</v>
          </cell>
        </row>
        <row r="844">
          <cell r="B844" t="str">
            <v>467159</v>
          </cell>
          <cell r="C844" t="str">
            <v>Bùi Văn Nam</v>
          </cell>
          <cell r="D844" t="str">
            <v>Kỹ sư Phát triển giao thức mạng</v>
          </cell>
          <cell r="E844" t="str">
            <v>Tổng công ty Công nghiệp Công nghệ cao Viettel</v>
          </cell>
          <cell r="F844" t="str">
            <v>Khối 2 - TCT CNC</v>
          </cell>
          <cell r="G844" t="str">
            <v>Trung tâm Nghiên cứu Công nghệ truyền dẫn</v>
          </cell>
        </row>
        <row r="845">
          <cell r="B845" t="str">
            <v>469157</v>
          </cell>
          <cell r="C845" t="str">
            <v>Nguyễn Lâm Vĩnh Gia</v>
          </cell>
          <cell r="D845" t="str">
            <v>Kỹ sư Phát triển phần mềm hệ thống</v>
          </cell>
          <cell r="E845" t="str">
            <v>Tổng công ty Công nghiệp Công nghệ cao Viettel</v>
          </cell>
          <cell r="F845" t="str">
            <v>Khối 2 - TCT CNC</v>
          </cell>
          <cell r="G845" t="str">
            <v>Trung tâm Nghiên cứu Công nghệ truyền dẫn</v>
          </cell>
        </row>
        <row r="846">
          <cell r="B846" t="str">
            <v>470345</v>
          </cell>
          <cell r="C846" t="str">
            <v>Nguyễn Thị Hằng</v>
          </cell>
          <cell r="D846" t="str">
            <v>Kỹ sư Kiểm thử</v>
          </cell>
          <cell r="E846" t="str">
            <v>Tổng công ty Công nghiệp Công nghệ cao Viettel</v>
          </cell>
          <cell r="F846" t="str">
            <v>Khối 2 - TCT CNC</v>
          </cell>
          <cell r="G846" t="str">
            <v>Trung tâm Nghiên cứu Công nghệ truyền dẫn</v>
          </cell>
        </row>
        <row r="847">
          <cell r="B847" t="str">
            <v>470347</v>
          </cell>
          <cell r="C847" t="str">
            <v>Lê Đinh Hoàng</v>
          </cell>
          <cell r="D847" t="str">
            <v>Kỹ sư Phát triển phần mềm hệ thống</v>
          </cell>
          <cell r="E847" t="str">
            <v>Tổng công ty Công nghiệp Công nghệ cao Viettel</v>
          </cell>
          <cell r="F847" t="str">
            <v>Khối 2 - TCT CNC</v>
          </cell>
          <cell r="G847" t="str">
            <v>Trung tâm Nghiên cứu Công nghệ truyền dẫn</v>
          </cell>
        </row>
        <row r="848">
          <cell r="B848" t="str">
            <v>470407</v>
          </cell>
          <cell r="C848" t="str">
            <v>Phạm Hồng Thi</v>
          </cell>
          <cell r="D848" t="str">
            <v>Kỹ sư Phát triển giao thức mạng</v>
          </cell>
          <cell r="E848" t="str">
            <v>Tổng công ty Công nghiệp Công nghệ cao Viettel</v>
          </cell>
          <cell r="F848" t="str">
            <v>Khối 2 - TCT CNC</v>
          </cell>
          <cell r="G848" t="str">
            <v>Trung tâm Nghiên cứu Công nghệ truyền dẫn</v>
          </cell>
        </row>
        <row r="849">
          <cell r="B849" t="str">
            <v>471781</v>
          </cell>
          <cell r="C849" t="str">
            <v>Trương Đăng Thành</v>
          </cell>
          <cell r="D849" t="str">
            <v>Kỹ sư Phát triển phần mềm hệ thống</v>
          </cell>
          <cell r="E849" t="str">
            <v>Tổng công ty Công nghiệp Công nghệ cao Viettel</v>
          </cell>
          <cell r="F849" t="str">
            <v>Khối 2 - TCT CNC</v>
          </cell>
          <cell r="G849" t="str">
            <v>Trung tâm Nghiên cứu Công nghệ truyền dẫn</v>
          </cell>
        </row>
        <row r="850">
          <cell r="B850" t="str">
            <v>472151</v>
          </cell>
          <cell r="C850" t="str">
            <v>Trịnh Cao Cường</v>
          </cell>
          <cell r="D850" t="str">
            <v>Kỹ sư Phát triển giao thức mạng</v>
          </cell>
          <cell r="E850" t="str">
            <v>Tổng công ty Công nghiệp Công nghệ cao Viettel</v>
          </cell>
          <cell r="F850" t="str">
            <v>Khối 2 - TCT CNC</v>
          </cell>
          <cell r="G850" t="str">
            <v>Trung tâm Nghiên cứu Công nghệ truyền dẫn</v>
          </cell>
        </row>
        <row r="851">
          <cell r="B851" t="str">
            <v>472495</v>
          </cell>
          <cell r="C851" t="str">
            <v>Nguyễn Thành Trung</v>
          </cell>
          <cell r="D851" t="str">
            <v>Kỹ sư Phát triển phần mềm hệ thống</v>
          </cell>
          <cell r="E851" t="str">
            <v>Tổng công ty Công nghiệp Công nghệ cao Viettel</v>
          </cell>
          <cell r="F851" t="str">
            <v>Khối 2 - TCT CNC</v>
          </cell>
          <cell r="G851" t="str">
            <v>Trung tâm Nghiên cứu Công nghệ truyền dẫn</v>
          </cell>
        </row>
        <row r="852">
          <cell r="B852" t="str">
            <v>473055</v>
          </cell>
          <cell r="C852" t="str">
            <v>Nguyễn Trần Đăng Khoa</v>
          </cell>
          <cell r="D852" t="str">
            <v>Kỹ sư Phát triển phần mềm hệ thống</v>
          </cell>
          <cell r="E852" t="str">
            <v>Tổng công ty Công nghiệp Công nghệ cao Viettel</v>
          </cell>
          <cell r="F852" t="str">
            <v>Khối 2 - TCT CNC</v>
          </cell>
          <cell r="G852" t="str">
            <v>Trung tâm Nghiên cứu Công nghệ truyền dẫn</v>
          </cell>
        </row>
        <row r="853">
          <cell r="B853" t="str">
            <v>475301</v>
          </cell>
          <cell r="C853" t="str">
            <v>Trần Duy Hưng</v>
          </cell>
          <cell r="D853" t="str">
            <v>Kỹ sư Nghiên cứu giao thức mạng</v>
          </cell>
          <cell r="E853" t="str">
            <v>Tổng công ty Công nghiệp Công nghệ cao Viettel</v>
          </cell>
          <cell r="F853" t="str">
            <v>Khối 2 - TCT CNC</v>
          </cell>
          <cell r="G853" t="str">
            <v>Trung tâm Nghiên cứu Công nghệ truyền dẫn</v>
          </cell>
        </row>
        <row r="854">
          <cell r="B854" t="str">
            <v>475625</v>
          </cell>
          <cell r="C854" t="str">
            <v>Trần Công Kha</v>
          </cell>
          <cell r="D854" t="str">
            <v>Kỹ sư Phát triển phần mềm hệ thống</v>
          </cell>
          <cell r="E854" t="str">
            <v>Tổng công ty Công nghiệp Công nghệ cao Viettel</v>
          </cell>
          <cell r="F854" t="str">
            <v>Khối 2 - TCT CNC</v>
          </cell>
          <cell r="G854" t="str">
            <v>Trung tâm Nghiên cứu Công nghệ truyền dẫn</v>
          </cell>
        </row>
        <row r="855">
          <cell r="B855" t="str">
            <v>476083</v>
          </cell>
          <cell r="C855" t="str">
            <v>Nguyễn Trường Thản</v>
          </cell>
          <cell r="D855" t="str">
            <v>Kỹ sư Phát triển phần mềm hệ thống</v>
          </cell>
          <cell r="E855" t="str">
            <v>Tổng công ty Công nghiệp Công nghệ cao Viettel</v>
          </cell>
          <cell r="F855" t="str">
            <v>Khối 2 - TCT CNC</v>
          </cell>
          <cell r="G855" t="str">
            <v>Trung tâm Nghiên cứu Công nghệ truyền dẫn</v>
          </cell>
        </row>
        <row r="856">
          <cell r="B856" t="str">
            <v>476091</v>
          </cell>
          <cell r="C856" t="str">
            <v>Phạm Hồng Dương</v>
          </cell>
          <cell r="D856" t="str">
            <v>Kỹ sư Phát triển phần mềm hệ thống</v>
          </cell>
          <cell r="E856" t="str">
            <v>Tổng công ty Công nghiệp Công nghệ cao Viettel</v>
          </cell>
          <cell r="F856" t="str">
            <v>Khối 2 - TCT CNC</v>
          </cell>
          <cell r="G856" t="str">
            <v>Trung tâm Nghiên cứu Công nghệ truyền dẫn</v>
          </cell>
        </row>
        <row r="857">
          <cell r="B857" t="str">
            <v>070324</v>
          </cell>
          <cell r="C857" t="str">
            <v>Nguyễn Đức Huy</v>
          </cell>
          <cell r="D857" t="str">
            <v>Giám đốc Trung tâm</v>
          </cell>
          <cell r="E857" t="str">
            <v>Tổng công ty Công nghiệp Công nghệ cao Viettel</v>
          </cell>
          <cell r="F857" t="str">
            <v>Khối 2 - TCT CNC</v>
          </cell>
          <cell r="G857" t="str">
            <v>Trung tâm Nghiên cứu công nghệ Đa phương tiện</v>
          </cell>
        </row>
        <row r="858">
          <cell r="B858" t="str">
            <v>129859</v>
          </cell>
          <cell r="C858" t="str">
            <v>Nguyễn Thị Hoài Phương</v>
          </cell>
          <cell r="D858" t="str">
            <v>Kỹ sư trưởng Công nghệ</v>
          </cell>
          <cell r="E858" t="str">
            <v>Tổng công ty Công nghiệp Công nghệ cao Viettel</v>
          </cell>
          <cell r="F858" t="str">
            <v>Khối 2 - TCT CNC</v>
          </cell>
          <cell r="G858" t="str">
            <v>Trung tâm Nghiên cứu công nghệ Đa phương tiện</v>
          </cell>
        </row>
        <row r="859">
          <cell r="B859" t="str">
            <v>166921</v>
          </cell>
          <cell r="C859" t="str">
            <v>Dương Thị Hương Lan</v>
          </cell>
          <cell r="D859" t="str">
            <v>Kỹ sư Kiểm thử</v>
          </cell>
          <cell r="E859" t="str">
            <v>Tổng công ty Công nghiệp Công nghệ cao Viettel</v>
          </cell>
          <cell r="F859" t="str">
            <v>Khối 2 - TCT CNC</v>
          </cell>
          <cell r="G859" t="str">
            <v>Trung tâm Nghiên cứu công nghệ Đa phương tiện</v>
          </cell>
        </row>
        <row r="860">
          <cell r="B860" t="str">
            <v>169195</v>
          </cell>
          <cell r="C860" t="str">
            <v>Nguyễn Xuân Tiến</v>
          </cell>
          <cell r="D860" t="str">
            <v>Kỹ sư Phát triển phần mềm</v>
          </cell>
          <cell r="E860" t="str">
            <v>Tổng công ty Công nghiệp Công nghệ cao Viettel</v>
          </cell>
          <cell r="F860" t="str">
            <v>Khối 2 - TCT CNC</v>
          </cell>
          <cell r="G860" t="str">
            <v>Trung tâm Nghiên cứu công nghệ Đa phương tiện</v>
          </cell>
        </row>
        <row r="861">
          <cell r="B861" t="str">
            <v>175278</v>
          </cell>
          <cell r="C861" t="str">
            <v>Trần Thị Hương</v>
          </cell>
          <cell r="D861" t="str">
            <v>Kỹ sư Kiểm thử</v>
          </cell>
          <cell r="E861" t="str">
            <v>Tổng công ty Công nghiệp Công nghệ cao Viettel</v>
          </cell>
          <cell r="F861" t="str">
            <v>Khối 2 - TCT CNC</v>
          </cell>
          <cell r="G861" t="str">
            <v>Trung tâm Nghiên cứu công nghệ Đa phương tiện</v>
          </cell>
        </row>
        <row r="862">
          <cell r="B862" t="str">
            <v>196250</v>
          </cell>
          <cell r="C862" t="str">
            <v>Vũ Thị Hồng Mơ</v>
          </cell>
          <cell r="D862" t="str">
            <v>Kỹ sư Kiểm thử</v>
          </cell>
          <cell r="E862" t="str">
            <v>Tổng công ty Công nghiệp Công nghệ cao Viettel</v>
          </cell>
          <cell r="F862" t="str">
            <v>Khối 2 - TCT CNC</v>
          </cell>
          <cell r="G862" t="str">
            <v>Trung tâm Nghiên cứu công nghệ Đa phương tiện</v>
          </cell>
        </row>
        <row r="863">
          <cell r="B863" t="str">
            <v>198504</v>
          </cell>
          <cell r="C863" t="str">
            <v>Lê Xuân Thắng</v>
          </cell>
          <cell r="D863" t="str">
            <v>Kỹ sư Phát triển phần mềm</v>
          </cell>
          <cell r="E863" t="str">
            <v>Tổng công ty Công nghiệp Công nghệ cao Viettel</v>
          </cell>
          <cell r="F863" t="str">
            <v>Khối 2 - TCT CNC</v>
          </cell>
          <cell r="G863" t="str">
            <v>Trung tâm Nghiên cứu công nghệ Đa phương tiện</v>
          </cell>
        </row>
        <row r="864">
          <cell r="B864" t="str">
            <v>198556</v>
          </cell>
          <cell r="C864" t="str">
            <v>Nguyễn Huy Tình</v>
          </cell>
          <cell r="D864" t="str">
            <v>Kỹ sư Phát triển phần mềm</v>
          </cell>
          <cell r="E864" t="str">
            <v>Tổng công ty Công nghiệp Công nghệ cao Viettel</v>
          </cell>
          <cell r="F864" t="str">
            <v>Khối 2 - TCT CNC</v>
          </cell>
          <cell r="G864" t="str">
            <v>Trung tâm Nghiên cứu công nghệ Đa phương tiện</v>
          </cell>
        </row>
        <row r="865">
          <cell r="B865" t="str">
            <v>206414</v>
          </cell>
          <cell r="C865" t="str">
            <v>Nguyễn Đức Linh</v>
          </cell>
          <cell r="D865" t="str">
            <v>Trưởng phòng Phát triển sản phẩm</v>
          </cell>
          <cell r="E865" t="str">
            <v>Tổng công ty Công nghiệp Công nghệ cao Viettel</v>
          </cell>
          <cell r="F865" t="str">
            <v>Khối 2 - TCT CNC</v>
          </cell>
          <cell r="G865" t="str">
            <v>Trung tâm Nghiên cứu công nghệ Đa phương tiện</v>
          </cell>
        </row>
        <row r="866">
          <cell r="B866" t="str">
            <v>206456</v>
          </cell>
          <cell r="C866" t="str">
            <v>Chu Hữu Tiến Nam</v>
          </cell>
          <cell r="D866" t="str">
            <v>Kỹ sư Phát triển phần mềm</v>
          </cell>
          <cell r="E866" t="str">
            <v>Tổng công ty Công nghiệp Công nghệ cao Viettel</v>
          </cell>
          <cell r="F866" t="str">
            <v>Khối 2 - TCT CNC</v>
          </cell>
          <cell r="G866" t="str">
            <v>Trung tâm Nghiên cứu công nghệ Đa phương tiện</v>
          </cell>
        </row>
        <row r="867">
          <cell r="B867" t="str">
            <v>207779</v>
          </cell>
          <cell r="C867" t="str">
            <v>Ngô Văn Vương</v>
          </cell>
          <cell r="D867" t="str">
            <v>Kỹ sư Phát triển phần mềm</v>
          </cell>
          <cell r="E867" t="str">
            <v>Tổng công ty Công nghiệp Công nghệ cao Viettel</v>
          </cell>
          <cell r="F867" t="str">
            <v>Khối 2 - TCT CNC</v>
          </cell>
          <cell r="G867" t="str">
            <v>Trung tâm Nghiên cứu công nghệ Đa phương tiện</v>
          </cell>
        </row>
        <row r="868">
          <cell r="B868" t="str">
            <v>207843</v>
          </cell>
          <cell r="C868" t="str">
            <v>Nguyễn Thế Lâm</v>
          </cell>
          <cell r="D868" t="str">
            <v>Trưởng phòng</v>
          </cell>
          <cell r="E868" t="str">
            <v>Tổng công ty Công nghiệp Công nghệ cao Viettel</v>
          </cell>
          <cell r="F868" t="str">
            <v>Khối 2 - TCT CNC</v>
          </cell>
          <cell r="G868" t="str">
            <v>Trung tâm Nghiên cứu công nghệ Đa phương tiện</v>
          </cell>
        </row>
        <row r="869">
          <cell r="B869" t="str">
            <v>235019</v>
          </cell>
          <cell r="C869" t="str">
            <v>Nguyễn Văn Minh</v>
          </cell>
          <cell r="D869" t="str">
            <v>Kỹ sư Phát triển phần mềm</v>
          </cell>
          <cell r="E869" t="str">
            <v>Tổng công ty Công nghiệp Công nghệ cao Viettel</v>
          </cell>
          <cell r="F869" t="str">
            <v>Khối 2 - TCT CNC</v>
          </cell>
          <cell r="G869" t="str">
            <v>Trung tâm Nghiên cứu công nghệ Đa phương tiện</v>
          </cell>
        </row>
        <row r="870">
          <cell r="B870" t="str">
            <v>266815</v>
          </cell>
          <cell r="C870" t="str">
            <v>Trần Đức Thịnh</v>
          </cell>
          <cell r="D870" t="str">
            <v>Kỹ sư Kiểm thử</v>
          </cell>
          <cell r="E870" t="str">
            <v>Tổng công ty Công nghiệp Công nghệ cao Viettel</v>
          </cell>
          <cell r="F870" t="str">
            <v>Khối 2 - TCT CNC</v>
          </cell>
          <cell r="G870" t="str">
            <v>Trung tâm Nghiên cứu công nghệ Đa phương tiện</v>
          </cell>
        </row>
        <row r="871">
          <cell r="B871" t="str">
            <v>266901</v>
          </cell>
          <cell r="C871" t="str">
            <v>Ninh Đức Tuấn</v>
          </cell>
          <cell r="D871" t="str">
            <v>Kỹ sư Phát triển phần mềm</v>
          </cell>
          <cell r="E871" t="str">
            <v>Tổng công ty Công nghiệp Công nghệ cao Viettel</v>
          </cell>
          <cell r="F871" t="str">
            <v>Khối 2 - TCT CNC</v>
          </cell>
          <cell r="G871" t="str">
            <v>Trung tâm Nghiên cứu công nghệ Đa phương tiện</v>
          </cell>
        </row>
        <row r="872">
          <cell r="B872" t="str">
            <v>271299</v>
          </cell>
          <cell r="C872" t="str">
            <v>Trần Minh Hiếu</v>
          </cell>
          <cell r="D872" t="str">
            <v>Kỹ sư Phát triển phần mềm</v>
          </cell>
          <cell r="E872" t="str">
            <v>Tổng công ty Công nghiệp Công nghệ cao Viettel</v>
          </cell>
          <cell r="F872" t="str">
            <v>Khối 2 - TCT CNC</v>
          </cell>
          <cell r="G872" t="str">
            <v>Trung tâm Nghiên cứu công nghệ Đa phương tiện</v>
          </cell>
        </row>
        <row r="873">
          <cell r="B873" t="str">
            <v>452761</v>
          </cell>
          <cell r="C873" t="str">
            <v>Lại Thị Huyền Thương</v>
          </cell>
          <cell r="D873" t="str">
            <v>Kỹ sư Phát triển phần mềm</v>
          </cell>
          <cell r="E873" t="str">
            <v>Tổng công ty Công nghiệp Công nghệ cao Viettel</v>
          </cell>
          <cell r="F873" t="str">
            <v>Khối 2 - TCT CNC</v>
          </cell>
          <cell r="G873" t="str">
            <v>Trung tâm Nghiên cứu công nghệ Đa phương tiện</v>
          </cell>
        </row>
        <row r="874">
          <cell r="B874" t="str">
            <v>461631</v>
          </cell>
          <cell r="C874" t="str">
            <v>Nguyễn Như Tiến Hưng</v>
          </cell>
          <cell r="D874" t="str">
            <v>Kỹ sư Phát triển phần mềm</v>
          </cell>
          <cell r="E874" t="str">
            <v>Tổng công ty Công nghiệp Công nghệ cao Viettel</v>
          </cell>
          <cell r="F874" t="str">
            <v>Khối 2 - TCT CNC</v>
          </cell>
          <cell r="G874" t="str">
            <v>Trung tâm Nghiên cứu công nghệ Đa phương tiện</v>
          </cell>
        </row>
        <row r="875">
          <cell r="B875" t="str">
            <v>464817</v>
          </cell>
          <cell r="C875" t="str">
            <v>Trịnh Quốc Đạt</v>
          </cell>
          <cell r="D875" t="str">
            <v>Kỹ sư Phát triển phần mềm</v>
          </cell>
          <cell r="E875" t="str">
            <v>Tổng công ty Công nghiệp Công nghệ cao Viettel</v>
          </cell>
          <cell r="F875" t="str">
            <v>Khối 2 - TCT CNC</v>
          </cell>
          <cell r="G875" t="str">
            <v>Trung tâm Nghiên cứu công nghệ Đa phương tiện</v>
          </cell>
        </row>
        <row r="876">
          <cell r="B876" t="str">
            <v>473765</v>
          </cell>
          <cell r="C876" t="str">
            <v>Đỗ Minh Hiếu</v>
          </cell>
          <cell r="D876" t="str">
            <v>Kỹ sư Phát triển phần mềm</v>
          </cell>
          <cell r="E876" t="str">
            <v>Tổng công ty Công nghiệp Công nghệ cao Viettel</v>
          </cell>
          <cell r="F876" t="str">
            <v>Khối 2 - TCT CNC</v>
          </cell>
          <cell r="G876" t="str">
            <v>Trung tâm Nghiên cứu công nghệ Đa phương tiện</v>
          </cell>
        </row>
        <row r="877">
          <cell r="B877" t="str">
            <v>475195</v>
          </cell>
          <cell r="C877" t="str">
            <v>Hoàng Minh Quân</v>
          </cell>
          <cell r="D877" t="str">
            <v>Kỹ sư Phát triển phần mềm</v>
          </cell>
          <cell r="E877" t="str">
            <v>Tổng công ty Công nghiệp Công nghệ cao Viettel</v>
          </cell>
          <cell r="F877" t="str">
            <v>Khối 2 - TCT CNC</v>
          </cell>
          <cell r="G877" t="str">
            <v>Trung tâm Nghiên cứu công nghệ Đa phương tiện</v>
          </cell>
        </row>
        <row r="878">
          <cell r="B878" t="str">
            <v>475811</v>
          </cell>
          <cell r="C878" t="str">
            <v>Lê Minh Thịnh</v>
          </cell>
          <cell r="D878" t="str">
            <v>Kỹ sư Phát triển phần mềm</v>
          </cell>
          <cell r="E878" t="str">
            <v>Tổng công ty Công nghiệp Công nghệ cao Viettel</v>
          </cell>
          <cell r="F878" t="str">
            <v>Khối 2 - TCT CNC</v>
          </cell>
          <cell r="G878" t="str">
            <v>Trung tâm Nghiên cứu công nghệ Đa phương tiện</v>
          </cell>
        </row>
        <row r="879">
          <cell r="B879" t="str">
            <v>476717</v>
          </cell>
          <cell r="C879" t="str">
            <v>Lê Thị Trang</v>
          </cell>
          <cell r="D879" t="str">
            <v>Kỹ sư Kiểm thử</v>
          </cell>
          <cell r="E879" t="str">
            <v>Tổng công ty Công nghiệp Công nghệ cao Viettel</v>
          </cell>
          <cell r="F879" t="str">
            <v>Khối 2 - TCT CNC</v>
          </cell>
          <cell r="G879" t="str">
            <v>Trung tâm Nghiên cứu công nghệ Đa phương tiện</v>
          </cell>
        </row>
        <row r="880">
          <cell r="B880" t="str">
            <v>019662</v>
          </cell>
          <cell r="C880" t="str">
            <v>Nguyễn Đức Tuyền</v>
          </cell>
          <cell r="D880" t="str">
            <v>Kỹ sư Hệ thống</v>
          </cell>
          <cell r="E880" t="str">
            <v>Tổng công ty Công nghiệp Công nghệ cao Viettel</v>
          </cell>
          <cell r="F880" t="str">
            <v>Khối 2 - TCT CNC</v>
          </cell>
          <cell r="G880" t="str">
            <v>Trung tâm Nghiên cứu thiết bị vô tuyến băng rộng</v>
          </cell>
        </row>
        <row r="881">
          <cell r="B881" t="str">
            <v>056995</v>
          </cell>
          <cell r="C881" t="str">
            <v>Nguyễn Bá Lượng</v>
          </cell>
          <cell r="D881" t="str">
            <v>Kỹ sư trưởng Công nghệ</v>
          </cell>
          <cell r="E881" t="str">
            <v>Tổng công ty Công nghiệp Công nghệ cao Viettel</v>
          </cell>
          <cell r="F881" t="str">
            <v>Khối 2 - TCT CNC</v>
          </cell>
          <cell r="G881" t="str">
            <v>Trung tâm Nghiên cứu thiết bị vô tuyến băng rộng</v>
          </cell>
        </row>
        <row r="882">
          <cell r="B882" t="str">
            <v>077154</v>
          </cell>
          <cell r="C882" t="str">
            <v>Trần Công Tân</v>
          </cell>
          <cell r="D882" t="str">
            <v>Kỹ sư Nghiên cứu giao thức mạng</v>
          </cell>
          <cell r="E882" t="str">
            <v>Tổng công ty Công nghiệp Công nghệ cao Viettel</v>
          </cell>
          <cell r="F882" t="str">
            <v>Khối 2 - TCT CNC</v>
          </cell>
          <cell r="G882" t="str">
            <v>Trung tâm Nghiên cứu thiết bị vô tuyến băng rộng</v>
          </cell>
        </row>
        <row r="883">
          <cell r="B883" t="str">
            <v>081530</v>
          </cell>
          <cell r="C883" t="str">
            <v>Nguyễn Chí Linh</v>
          </cell>
          <cell r="D883" t="str">
            <v>Phó Giám đốc Trung tâm</v>
          </cell>
          <cell r="E883" t="str">
            <v>Tổng công ty Công nghiệp Công nghệ cao Viettel</v>
          </cell>
          <cell r="F883" t="str">
            <v>Khối 2 - TCT CNC</v>
          </cell>
          <cell r="G883" t="str">
            <v>Trung tâm Nghiên cứu thiết bị vô tuyến băng rộng</v>
          </cell>
        </row>
        <row r="884">
          <cell r="B884" t="str">
            <v>102022</v>
          </cell>
          <cell r="C884" t="str">
            <v>Trần Thu Phương</v>
          </cell>
          <cell r="D884" t="str">
            <v>Kỹ sư Phát triển giao thức mạng</v>
          </cell>
          <cell r="E884" t="str">
            <v>Tổng công ty Công nghiệp Công nghệ cao Viettel</v>
          </cell>
          <cell r="F884" t="str">
            <v>Khối 2 - TCT CNC</v>
          </cell>
          <cell r="G884" t="str">
            <v>Trung tâm Nghiên cứu thiết bị vô tuyến băng rộng</v>
          </cell>
        </row>
        <row r="885">
          <cell r="B885" t="str">
            <v>109398</v>
          </cell>
          <cell r="C885" t="str">
            <v>Nguyễn Anh Tú</v>
          </cell>
          <cell r="D885" t="str">
            <v>Kỹ sư Nghiên cứu giao thức mạng</v>
          </cell>
          <cell r="E885" t="str">
            <v>Tổng công ty Công nghiệp Công nghệ cao Viettel</v>
          </cell>
          <cell r="F885" t="str">
            <v>Khối 2 - TCT CNC</v>
          </cell>
          <cell r="G885" t="str">
            <v>Trung tâm Nghiên cứu thiết bị vô tuyến băng rộng</v>
          </cell>
        </row>
        <row r="886">
          <cell r="B886" t="str">
            <v>109958</v>
          </cell>
          <cell r="C886" t="str">
            <v>Hoàng Đinh Hải Truyền</v>
          </cell>
          <cell r="D886" t="str">
            <v>Giám đốc Trung tâm</v>
          </cell>
          <cell r="E886" t="str">
            <v>Tổng công ty Công nghiệp Công nghệ cao Viettel</v>
          </cell>
          <cell r="F886" t="str">
            <v>Khối 2 - TCT CNC</v>
          </cell>
          <cell r="G886" t="str">
            <v>Trung tâm Nghiên cứu thiết bị vô tuyến băng rộng</v>
          </cell>
        </row>
        <row r="887">
          <cell r="B887" t="str">
            <v>118970</v>
          </cell>
          <cell r="C887" t="str">
            <v>Từ Văn Lập</v>
          </cell>
          <cell r="D887" t="str">
            <v>Kỹ sư Phát triển FPGA</v>
          </cell>
          <cell r="E887" t="str">
            <v>Tổng công ty Công nghiệp Công nghệ cao Viettel</v>
          </cell>
          <cell r="F887" t="str">
            <v>Khối 2 - TCT CNC</v>
          </cell>
          <cell r="G887" t="str">
            <v>Trung tâm Nghiên cứu thiết bị vô tuyến băng rộng</v>
          </cell>
        </row>
        <row r="888">
          <cell r="B888" t="str">
            <v>154073</v>
          </cell>
          <cell r="C888" t="str">
            <v>Vũ Thị Gấm</v>
          </cell>
          <cell r="D888" t="str">
            <v>Kỹ sư Kiểm thử</v>
          </cell>
          <cell r="E888" t="str">
            <v>Tổng công ty Công nghiệp Công nghệ cao Viettel</v>
          </cell>
          <cell r="F888" t="str">
            <v>Khối 2 - TCT CNC</v>
          </cell>
          <cell r="G888" t="str">
            <v>Trung tâm Nghiên cứu thiết bị vô tuyến băng rộng</v>
          </cell>
        </row>
        <row r="889">
          <cell r="B889" t="str">
            <v>155714</v>
          </cell>
          <cell r="C889" t="str">
            <v>Nguyễn Thị Tuyền</v>
          </cell>
          <cell r="D889" t="str">
            <v>Trưởng phòng Kiểm thử</v>
          </cell>
          <cell r="E889" t="str">
            <v>Tổng công ty Công nghiệp Công nghệ cao Viettel</v>
          </cell>
          <cell r="F889" t="str">
            <v>Khối 2 - TCT CNC</v>
          </cell>
          <cell r="G889" t="str">
            <v>Trung tâm Nghiên cứu thiết bị vô tuyến băng rộng</v>
          </cell>
        </row>
        <row r="890">
          <cell r="B890" t="str">
            <v>155717</v>
          </cell>
          <cell r="C890" t="str">
            <v>Lê Thị Huyền Trang</v>
          </cell>
          <cell r="D890" t="str">
            <v>Kỹ sư Phát triển giao thức mạng</v>
          </cell>
          <cell r="E890" t="str">
            <v>Tổng công ty Công nghiệp Công nghệ cao Viettel</v>
          </cell>
          <cell r="F890" t="str">
            <v>Khối 2 - TCT CNC</v>
          </cell>
          <cell r="G890" t="str">
            <v>Trung tâm Nghiên cứu thiết bị vô tuyến băng rộng</v>
          </cell>
        </row>
        <row r="891">
          <cell r="B891" t="str">
            <v>158074</v>
          </cell>
          <cell r="C891" t="str">
            <v>Đỗ Ngọc Tuấn</v>
          </cell>
          <cell r="D891" t="str">
            <v>Phó phòng phần mềm giao thức</v>
          </cell>
          <cell r="E891" t="str">
            <v>Tổng công ty Công nghiệp Công nghệ cao Viettel</v>
          </cell>
          <cell r="F891" t="str">
            <v>Khối 2 - TCT CNC</v>
          </cell>
          <cell r="G891" t="str">
            <v>Trung tâm Nghiên cứu thiết bị vô tuyến băng rộng</v>
          </cell>
        </row>
        <row r="892">
          <cell r="B892" t="str">
            <v>159777</v>
          </cell>
          <cell r="C892" t="str">
            <v>Phạm Kim Anh Dũng</v>
          </cell>
          <cell r="D892" t="str">
            <v>Trưởng phòng Phần mềm giao thức</v>
          </cell>
          <cell r="E892" t="str">
            <v>Tổng công ty Công nghiệp Công nghệ cao Viettel</v>
          </cell>
          <cell r="F892" t="str">
            <v>Khối 2 - TCT CNC</v>
          </cell>
          <cell r="G892" t="str">
            <v>Trung tâm Nghiên cứu thiết bị vô tuyến băng rộng</v>
          </cell>
        </row>
        <row r="893">
          <cell r="B893" t="str">
            <v>159778</v>
          </cell>
          <cell r="C893" t="str">
            <v>Lương Xuân Hào</v>
          </cell>
          <cell r="D893" t="str">
            <v>Trưởng phòng Xử lý tín hiệu</v>
          </cell>
          <cell r="E893" t="str">
            <v>Tổng công ty Công nghiệp Công nghệ cao Viettel</v>
          </cell>
          <cell r="F893" t="str">
            <v>Khối 2 - TCT CNC</v>
          </cell>
          <cell r="G893" t="str">
            <v>Trung tâm Nghiên cứu thiết bị vô tuyến băng rộng</v>
          </cell>
        </row>
        <row r="894">
          <cell r="B894" t="str">
            <v>165014</v>
          </cell>
          <cell r="C894" t="str">
            <v>Nguyễn Đức Nhật</v>
          </cell>
          <cell r="D894" t="str">
            <v>Trưởng phòng Thiết kế phần cứng cao tần</v>
          </cell>
          <cell r="E894" t="str">
            <v>Tổng công ty Công nghiệp Công nghệ cao Viettel</v>
          </cell>
          <cell r="F894" t="str">
            <v>Khối 2 - TCT CNC</v>
          </cell>
          <cell r="G894" t="str">
            <v>Trung tâm Nghiên cứu thiết bị vô tuyến băng rộng</v>
          </cell>
        </row>
        <row r="895">
          <cell r="B895" t="str">
            <v>171666</v>
          </cell>
          <cell r="C895" t="str">
            <v>Bùi Việt Hùng</v>
          </cell>
          <cell r="D895" t="str">
            <v>Kỹ sư Phát triển giao thức mạng</v>
          </cell>
          <cell r="E895" t="str">
            <v>Tổng công ty Công nghiệp Công nghệ cao Viettel</v>
          </cell>
          <cell r="F895" t="str">
            <v>Khối 2 - TCT CNC</v>
          </cell>
          <cell r="G895" t="str">
            <v>Trung tâm Nghiên cứu thiết bị vô tuyến băng rộng</v>
          </cell>
        </row>
        <row r="896">
          <cell r="B896" t="str">
            <v>180454</v>
          </cell>
          <cell r="C896" t="str">
            <v>Nguyễn Văn Trọng</v>
          </cell>
          <cell r="D896" t="str">
            <v>Kỹ sư Giải pháp công nghệ</v>
          </cell>
          <cell r="E896" t="str">
            <v>Tổng công ty Công nghiệp Công nghệ cao Viettel</v>
          </cell>
          <cell r="F896" t="str">
            <v>Khối 2 - TCT CNC</v>
          </cell>
          <cell r="G896" t="str">
            <v>Trung tâm Nghiên cứu thiết bị vô tuyến băng rộng</v>
          </cell>
        </row>
        <row r="897">
          <cell r="B897" t="str">
            <v>194826</v>
          </cell>
          <cell r="C897" t="str">
            <v>Đỗ Trọng Toàn</v>
          </cell>
          <cell r="D897" t="str">
            <v>Kỹ sư Thiết kế cao tần</v>
          </cell>
          <cell r="E897" t="str">
            <v>Tổng công ty Công nghiệp Công nghệ cao Viettel</v>
          </cell>
          <cell r="F897" t="str">
            <v>Khối 2 - TCT CNC</v>
          </cell>
          <cell r="G897" t="str">
            <v>Trung tâm Nghiên cứu thiết bị vô tuyến băng rộng</v>
          </cell>
        </row>
        <row r="898">
          <cell r="B898" t="str">
            <v>194845</v>
          </cell>
          <cell r="C898" t="str">
            <v>Hoàng Mạnh Cường</v>
          </cell>
          <cell r="D898" t="str">
            <v>Kỹ sư Thiết kế cao tần</v>
          </cell>
          <cell r="E898" t="str">
            <v>Tổng công ty Công nghiệp Công nghệ cao Viettel</v>
          </cell>
          <cell r="F898" t="str">
            <v>Khối 2 - TCT CNC</v>
          </cell>
          <cell r="G898" t="str">
            <v>Trung tâm Nghiên cứu thiết bị vô tuyến băng rộng</v>
          </cell>
        </row>
        <row r="899">
          <cell r="B899" t="str">
            <v>194846</v>
          </cell>
          <cell r="C899" t="str">
            <v>Lê Văn Cường</v>
          </cell>
          <cell r="D899" t="str">
            <v>Kỹ sư Phát triển DSP</v>
          </cell>
          <cell r="E899" t="str">
            <v>Tổng công ty Công nghiệp Công nghệ cao Viettel</v>
          </cell>
          <cell r="F899" t="str">
            <v>Khối 2 - TCT CNC</v>
          </cell>
          <cell r="G899" t="str">
            <v>Trung tâm Nghiên cứu thiết bị vô tuyến băng rộng</v>
          </cell>
        </row>
        <row r="900">
          <cell r="B900" t="str">
            <v>196202</v>
          </cell>
          <cell r="C900" t="str">
            <v>Nguyễn Tiến Sáng</v>
          </cell>
          <cell r="D900" t="str">
            <v>Kỹ sư Phát triển FPGA</v>
          </cell>
          <cell r="E900" t="str">
            <v>Tổng công ty Công nghiệp Công nghệ cao Viettel</v>
          </cell>
          <cell r="F900" t="str">
            <v>Khối 2 - TCT CNC</v>
          </cell>
          <cell r="G900" t="str">
            <v>Trung tâm Nghiên cứu thiết bị vô tuyến băng rộng</v>
          </cell>
        </row>
        <row r="901">
          <cell r="B901" t="str">
            <v>198497</v>
          </cell>
          <cell r="C901" t="str">
            <v>Nguyễn Xuân Thắng</v>
          </cell>
          <cell r="D901" t="str">
            <v>Trưởng phòng Xử lý tín hiệu cao tần</v>
          </cell>
          <cell r="E901" t="str">
            <v>Tổng công ty Công nghiệp Công nghệ cao Viettel</v>
          </cell>
          <cell r="F901" t="str">
            <v>Khối 2 - TCT CNC</v>
          </cell>
          <cell r="G901" t="str">
            <v>Trung tâm Nghiên cứu thiết bị vô tuyến băng rộng</v>
          </cell>
        </row>
        <row r="902">
          <cell r="B902" t="str">
            <v>199317</v>
          </cell>
          <cell r="C902" t="str">
            <v>Lê Đình An</v>
          </cell>
          <cell r="D902" t="str">
            <v>Kỹ sư Thiết kế cao tần</v>
          </cell>
          <cell r="E902" t="str">
            <v>Tổng công ty Công nghiệp Công nghệ cao Viettel</v>
          </cell>
          <cell r="F902" t="str">
            <v>Khối 2 - TCT CNC</v>
          </cell>
          <cell r="G902" t="str">
            <v>Trung tâm Nghiên cứu thiết bị vô tuyến băng rộng</v>
          </cell>
        </row>
        <row r="903">
          <cell r="B903" t="str">
            <v>199757</v>
          </cell>
          <cell r="C903" t="str">
            <v>Nguyễn Trung Tiến</v>
          </cell>
          <cell r="D903" t="str">
            <v>Phó phòng Xử lý tín hiệu băng gốc</v>
          </cell>
          <cell r="E903" t="str">
            <v>Tổng công ty Công nghiệp Công nghệ cao Viettel</v>
          </cell>
          <cell r="F903" t="str">
            <v>Khối 2 - TCT CNC</v>
          </cell>
          <cell r="G903" t="str">
            <v>Trung tâm Nghiên cứu thiết bị vô tuyến băng rộng</v>
          </cell>
        </row>
        <row r="904">
          <cell r="B904" t="str">
            <v>204660</v>
          </cell>
          <cell r="C904" t="str">
            <v>Vũ Duy Linh</v>
          </cell>
          <cell r="D904" t="str">
            <v>Kỹ sư Phát triển giao thức mạng</v>
          </cell>
          <cell r="E904" t="str">
            <v>Tổng công ty Công nghiệp Công nghệ cao Viettel</v>
          </cell>
          <cell r="F904" t="str">
            <v>Khối 2 - TCT CNC</v>
          </cell>
          <cell r="G904" t="str">
            <v>Trung tâm Nghiên cứu thiết bị vô tuyến băng rộng</v>
          </cell>
        </row>
        <row r="905">
          <cell r="B905" t="str">
            <v>204662</v>
          </cell>
          <cell r="C905" t="str">
            <v>Trần Văn Tùng</v>
          </cell>
          <cell r="D905" t="str">
            <v>Phó Giám đốc Trung tâm</v>
          </cell>
          <cell r="E905" t="str">
            <v>Tổng công ty Công nghiệp Công nghệ cao Viettel</v>
          </cell>
          <cell r="F905" t="str">
            <v>Khối 2 - TCT CNC</v>
          </cell>
          <cell r="G905" t="str">
            <v>Trung tâm Nghiên cứu thiết bị vô tuyến băng rộng</v>
          </cell>
        </row>
        <row r="906">
          <cell r="B906" t="str">
            <v>204707</v>
          </cell>
          <cell r="C906" t="str">
            <v>Hồ Thị Xuân Hòa</v>
          </cell>
          <cell r="D906" t="str">
            <v>Kỹ sư Phát triển thuật toán</v>
          </cell>
          <cell r="E906" t="str">
            <v>Tổng công ty Công nghiệp Công nghệ cao Viettel</v>
          </cell>
          <cell r="F906" t="str">
            <v>Khối 2 - TCT CNC</v>
          </cell>
          <cell r="G906" t="str">
            <v>Trung tâm Nghiên cứu thiết bị vô tuyến băng rộng</v>
          </cell>
        </row>
        <row r="907">
          <cell r="B907" t="str">
            <v>206262</v>
          </cell>
          <cell r="C907" t="str">
            <v>Lê Thanh Bằng</v>
          </cell>
          <cell r="D907" t="str">
            <v>Trưởng phòng Phát triển nền tảng FPGA</v>
          </cell>
          <cell r="E907" t="str">
            <v>Tổng công ty Công nghiệp Công nghệ cao Viettel</v>
          </cell>
          <cell r="F907" t="str">
            <v>Khối 2 - TCT CNC</v>
          </cell>
          <cell r="G907" t="str">
            <v>Trung tâm Nghiên cứu thiết bị vô tuyến băng rộng</v>
          </cell>
        </row>
        <row r="908">
          <cell r="B908" t="str">
            <v>206412</v>
          </cell>
          <cell r="C908" t="str">
            <v>Tăng Thiên Vũ</v>
          </cell>
          <cell r="D908" t="str">
            <v>Trưởng phòng Phần mềm hệ thống</v>
          </cell>
          <cell r="E908" t="str">
            <v>Tổng công ty Công nghiệp Công nghệ cao Viettel</v>
          </cell>
          <cell r="F908" t="str">
            <v>Khối 2 - TCT CNC</v>
          </cell>
          <cell r="G908" t="str">
            <v>Trung tâm Nghiên cứu thiết bị vô tuyến băng rộng</v>
          </cell>
        </row>
        <row r="909">
          <cell r="B909" t="str">
            <v>206802</v>
          </cell>
          <cell r="C909" t="str">
            <v>Đặng Văn Quý</v>
          </cell>
          <cell r="D909" t="str">
            <v>Kỹ sư Phát triển thuật toán</v>
          </cell>
          <cell r="E909" t="str">
            <v>Tổng công ty Công nghiệp Công nghệ cao Viettel</v>
          </cell>
          <cell r="F909" t="str">
            <v>Khối 2 - TCT CNC</v>
          </cell>
          <cell r="G909" t="str">
            <v>Trung tâm Nghiên cứu thiết bị vô tuyến băng rộng</v>
          </cell>
        </row>
        <row r="910">
          <cell r="B910" t="str">
            <v>207672</v>
          </cell>
          <cell r="C910" t="str">
            <v>Bùi Thị Vân</v>
          </cell>
          <cell r="D910" t="str">
            <v>Kỹ sư Thiết kế cao tần</v>
          </cell>
          <cell r="E910" t="str">
            <v>Tổng công ty Công nghiệp Công nghệ cao Viettel</v>
          </cell>
          <cell r="F910" t="str">
            <v>Khối 2 - TCT CNC</v>
          </cell>
          <cell r="G910" t="str">
            <v>Trung tâm Nghiên cứu thiết bị vô tuyến băng rộng</v>
          </cell>
        </row>
        <row r="911">
          <cell r="B911" t="str">
            <v>207688</v>
          </cell>
          <cell r="C911" t="str">
            <v>Dương Văn Hoàn</v>
          </cell>
          <cell r="D911" t="str">
            <v>Kỹ sư Phát triển thuật toán</v>
          </cell>
          <cell r="E911" t="str">
            <v>Tổng công ty Công nghiệp Công nghệ cao Viettel</v>
          </cell>
          <cell r="F911" t="str">
            <v>Khối 2 - TCT CNC</v>
          </cell>
          <cell r="G911" t="str">
            <v>Trung tâm Nghiên cứu thiết bị vô tuyến băng rộng</v>
          </cell>
        </row>
        <row r="912">
          <cell r="B912" t="str">
            <v>207713</v>
          </cell>
          <cell r="C912" t="str">
            <v>Vũ Thành Công</v>
          </cell>
          <cell r="D912" t="str">
            <v>Kỹ sư Nghiên cứu giao thức mạng</v>
          </cell>
          <cell r="E912" t="str">
            <v>Tổng công ty Công nghiệp Công nghệ cao Viettel</v>
          </cell>
          <cell r="F912" t="str">
            <v>Khối 2 - TCT CNC</v>
          </cell>
          <cell r="G912" t="str">
            <v>Trung tâm Nghiên cứu thiết bị vô tuyến băng rộng</v>
          </cell>
        </row>
        <row r="913">
          <cell r="B913" t="str">
            <v>208474</v>
          </cell>
          <cell r="C913" t="str">
            <v>Nguyễn Việt Anh</v>
          </cell>
          <cell r="D913" t="str">
            <v>Kỹ sư Thiết kế cao tần</v>
          </cell>
          <cell r="E913" t="str">
            <v>Tổng công ty Công nghiệp Công nghệ cao Viettel</v>
          </cell>
          <cell r="F913" t="str">
            <v>Khối 2 - TCT CNC</v>
          </cell>
          <cell r="G913" t="str">
            <v>Trung tâm Nghiên cứu thiết bị vô tuyến băng rộng</v>
          </cell>
        </row>
        <row r="914">
          <cell r="B914" t="str">
            <v>213521</v>
          </cell>
          <cell r="C914" t="str">
            <v>Hoàng Trung Hiếu</v>
          </cell>
          <cell r="D914" t="str">
            <v>Kỹ sư Phát triển giao thức mạng</v>
          </cell>
          <cell r="E914" t="str">
            <v>Tổng công ty Công nghiệp Công nghệ cao Viettel</v>
          </cell>
          <cell r="F914" t="str">
            <v>Khối 2 - TCT CNC</v>
          </cell>
          <cell r="G914" t="str">
            <v>Trung tâm Nghiên cứu thiết bị vô tuyến băng rộng</v>
          </cell>
        </row>
        <row r="915">
          <cell r="B915" t="str">
            <v>214703</v>
          </cell>
          <cell r="C915" t="str">
            <v>Đặng Hoài Sơn</v>
          </cell>
          <cell r="D915" t="str">
            <v>Kỹ sư Xử lý thông tin và tín hiệu</v>
          </cell>
          <cell r="E915" t="str">
            <v>Tổng công ty Công nghiệp Công nghệ cao Viettel</v>
          </cell>
          <cell r="F915" t="str">
            <v>Khối 2 - TCT CNC</v>
          </cell>
          <cell r="G915" t="str">
            <v>Trung tâm Nghiên cứu thiết bị vô tuyến băng rộng</v>
          </cell>
        </row>
        <row r="916">
          <cell r="B916" t="str">
            <v>217280</v>
          </cell>
          <cell r="C916" t="str">
            <v>Huỳnh Quốc Anh</v>
          </cell>
          <cell r="D916" t="str">
            <v>Kỹ sư Phát triển thuật toán</v>
          </cell>
          <cell r="E916" t="str">
            <v>Tổng công ty Công nghiệp Công nghệ cao Viettel</v>
          </cell>
          <cell r="F916" t="str">
            <v>Khối 2 - TCT CNC</v>
          </cell>
          <cell r="G916" t="str">
            <v>Trung tâm Nghiên cứu thiết bị vô tuyến băng rộng</v>
          </cell>
        </row>
        <row r="917">
          <cell r="B917" t="str">
            <v>217507</v>
          </cell>
          <cell r="C917" t="str">
            <v>Nguyễn Văn Sơn</v>
          </cell>
          <cell r="D917" t="str">
            <v>Kỹ sư Phát triển FPGA</v>
          </cell>
          <cell r="E917" t="str">
            <v>Tổng công ty Công nghiệp Công nghệ cao Viettel</v>
          </cell>
          <cell r="F917" t="str">
            <v>Khối 2 - TCT CNC</v>
          </cell>
          <cell r="G917" t="str">
            <v>Trung tâm Nghiên cứu thiết bị vô tuyến băng rộng</v>
          </cell>
        </row>
        <row r="918">
          <cell r="B918" t="str">
            <v>226529</v>
          </cell>
          <cell r="C918" t="str">
            <v>Nguyễn Hữu Định</v>
          </cell>
          <cell r="D918" t="str">
            <v>Kỹ sư Thiết kế cao tần</v>
          </cell>
          <cell r="E918" t="str">
            <v>Tổng công ty Công nghiệp Công nghệ cao Viettel</v>
          </cell>
          <cell r="F918" t="str">
            <v>Khối 2 - TCT CNC</v>
          </cell>
          <cell r="G918" t="str">
            <v>Trung tâm Nghiên cứu thiết bị vô tuyến băng rộng</v>
          </cell>
        </row>
        <row r="919">
          <cell r="B919" t="str">
            <v>231354</v>
          </cell>
          <cell r="C919" t="str">
            <v>Phạm Khánh Trung</v>
          </cell>
          <cell r="D919" t="str">
            <v>Kỹ sư Xử lý tín hiệu</v>
          </cell>
          <cell r="E919" t="str">
            <v>Tổng công ty Công nghiệp Công nghệ cao Viettel</v>
          </cell>
          <cell r="F919" t="str">
            <v>Khối 2 - TCT CNC</v>
          </cell>
          <cell r="G919" t="str">
            <v>Trung tâm Nghiên cứu thiết bị vô tuyến băng rộng</v>
          </cell>
        </row>
        <row r="920">
          <cell r="B920" t="str">
            <v>232238</v>
          </cell>
          <cell r="C920" t="str">
            <v>Võ Thành Văn</v>
          </cell>
          <cell r="D920" t="str">
            <v>Kỹ sư Phát triển FPGA</v>
          </cell>
          <cell r="E920" t="str">
            <v>Tổng công ty Công nghiệp Công nghệ cao Viettel</v>
          </cell>
          <cell r="F920" t="str">
            <v>Khối 2 - TCT CNC</v>
          </cell>
          <cell r="G920" t="str">
            <v>Trung tâm Nghiên cứu thiết bị vô tuyến băng rộng</v>
          </cell>
        </row>
        <row r="921">
          <cell r="B921" t="str">
            <v>233750</v>
          </cell>
          <cell r="C921" t="str">
            <v>Lê Thu Hương</v>
          </cell>
          <cell r="D921" t="str">
            <v>Kỹ sư Kiểm thử</v>
          </cell>
          <cell r="E921" t="str">
            <v>Tổng công ty Công nghiệp Công nghệ cao Viettel</v>
          </cell>
          <cell r="F921" t="str">
            <v>Khối 2 - TCT CNC</v>
          </cell>
          <cell r="G921" t="str">
            <v>Trung tâm Nghiên cứu thiết bị vô tuyến băng rộng</v>
          </cell>
        </row>
        <row r="922">
          <cell r="B922" t="str">
            <v>235768</v>
          </cell>
          <cell r="C922" t="str">
            <v>Nguyễn Nhật Trường</v>
          </cell>
          <cell r="D922" t="str">
            <v>Kỹ sư Phát triển hệ điều hành</v>
          </cell>
          <cell r="E922" t="str">
            <v>Tổng công ty Công nghiệp Công nghệ cao Viettel</v>
          </cell>
          <cell r="F922" t="str">
            <v>Khối 2 - TCT CNC</v>
          </cell>
          <cell r="G922" t="str">
            <v>Trung tâm Nghiên cứu thiết bị vô tuyến băng rộng</v>
          </cell>
        </row>
        <row r="923">
          <cell r="B923" t="str">
            <v>235955</v>
          </cell>
          <cell r="C923" t="str">
            <v>Phạm Anh Tuấn</v>
          </cell>
          <cell r="D923" t="str">
            <v>Kỹ sư Phát triển thuật toán</v>
          </cell>
          <cell r="E923" t="str">
            <v>Tổng công ty Công nghiệp Công nghệ cao Viettel</v>
          </cell>
          <cell r="F923" t="str">
            <v>Khối 2 - TCT CNC</v>
          </cell>
          <cell r="G923" t="str">
            <v>Trung tâm Nghiên cứu thiết bị vô tuyến băng rộng</v>
          </cell>
        </row>
        <row r="924">
          <cell r="B924" t="str">
            <v>237559</v>
          </cell>
          <cell r="C924" t="str">
            <v>Đậu Hồng Quân</v>
          </cell>
          <cell r="D924" t="str">
            <v>Kỹ sư Phát triển phần mềm hệ thống</v>
          </cell>
          <cell r="E924" t="str">
            <v>Tổng công ty Công nghiệp Công nghệ cao Viettel</v>
          </cell>
          <cell r="F924" t="str">
            <v>Khối 2 - TCT CNC</v>
          </cell>
          <cell r="G924" t="str">
            <v>Trung tâm Nghiên cứu thiết bị vô tuyến băng rộng</v>
          </cell>
        </row>
        <row r="925">
          <cell r="B925" t="str">
            <v>241089</v>
          </cell>
          <cell r="C925" t="str">
            <v>Lê Thúc Minh Tiến</v>
          </cell>
          <cell r="D925" t="str">
            <v>Kỹ sư Phát triển giao thức mạng</v>
          </cell>
          <cell r="E925" t="str">
            <v>Tổng công ty Công nghiệp Công nghệ cao Viettel</v>
          </cell>
          <cell r="F925" t="str">
            <v>Khối 2 - TCT CNC</v>
          </cell>
          <cell r="G925" t="str">
            <v>Trung tâm Nghiên cứu thiết bị vô tuyến băng rộng</v>
          </cell>
        </row>
        <row r="926">
          <cell r="B926" t="str">
            <v>241147</v>
          </cell>
          <cell r="C926" t="str">
            <v>Trần Nam Hải</v>
          </cell>
          <cell r="D926" t="str">
            <v>Kỹ sư Phát triển hệ điều hành</v>
          </cell>
          <cell r="E926" t="str">
            <v>Tổng công ty Công nghiệp Công nghệ cao Viettel</v>
          </cell>
          <cell r="F926" t="str">
            <v>Khối 2 - TCT CNC</v>
          </cell>
          <cell r="G926" t="str">
            <v>Trung tâm Nghiên cứu thiết bị vô tuyến băng rộng</v>
          </cell>
        </row>
        <row r="927">
          <cell r="B927" t="str">
            <v>241356</v>
          </cell>
          <cell r="C927" t="str">
            <v>Võ Tùng Cương</v>
          </cell>
          <cell r="D927" t="str">
            <v>Kỹ sư Xử lý tín hiệu</v>
          </cell>
          <cell r="E927" t="str">
            <v>Tổng công ty Công nghiệp Công nghệ cao Viettel</v>
          </cell>
          <cell r="F927" t="str">
            <v>Khối 2 - TCT CNC</v>
          </cell>
          <cell r="G927" t="str">
            <v>Trung tâm Nghiên cứu thiết bị vô tuyến băng rộng</v>
          </cell>
        </row>
        <row r="928">
          <cell r="B928" t="str">
            <v>242067</v>
          </cell>
          <cell r="C928" t="str">
            <v>Hồ Sỹ Vinh</v>
          </cell>
          <cell r="D928" t="str">
            <v>Kỹ sư thiết kế phần cứng</v>
          </cell>
          <cell r="E928" t="str">
            <v>Tổng công ty Công nghiệp Công nghệ cao Viettel</v>
          </cell>
          <cell r="F928" t="str">
            <v>Khối 2 - TCT CNC</v>
          </cell>
          <cell r="G928" t="str">
            <v>Trung tâm Nghiên cứu thiết bị vô tuyến băng rộng</v>
          </cell>
        </row>
        <row r="929">
          <cell r="B929" t="str">
            <v>243023</v>
          </cell>
          <cell r="C929" t="str">
            <v>Dương Thị Ngọc Huyền</v>
          </cell>
          <cell r="D929" t="str">
            <v>Kỹ sư Kiểm thử Phần mềm</v>
          </cell>
          <cell r="E929" t="str">
            <v>Tổng công ty Công nghiệp Công nghệ cao Viettel</v>
          </cell>
          <cell r="F929" t="str">
            <v>Khối 2 - TCT CNC</v>
          </cell>
          <cell r="G929" t="str">
            <v>Trung tâm Nghiên cứu thiết bị vô tuyến băng rộng</v>
          </cell>
        </row>
        <row r="930">
          <cell r="B930" t="str">
            <v>243024</v>
          </cell>
          <cell r="C930" t="str">
            <v>Phạm Thị Kim Dung</v>
          </cell>
          <cell r="D930" t="str">
            <v>Kỹ sư Kiểm thử Phần mềm</v>
          </cell>
          <cell r="E930" t="str">
            <v>Tổng công ty Công nghiệp Công nghệ cao Viettel</v>
          </cell>
          <cell r="F930" t="str">
            <v>Khối 2 - TCT CNC</v>
          </cell>
          <cell r="G930" t="str">
            <v>Trung tâm Nghiên cứu thiết bị vô tuyến băng rộng</v>
          </cell>
        </row>
        <row r="931">
          <cell r="B931" t="str">
            <v>246390</v>
          </cell>
          <cell r="C931" t="str">
            <v>Đinh Việt Hải</v>
          </cell>
          <cell r="D931" t="str">
            <v>Kỹ sư Phát triển FPGA</v>
          </cell>
          <cell r="E931" t="str">
            <v>Tổng công ty Công nghiệp Công nghệ cao Viettel</v>
          </cell>
          <cell r="F931" t="str">
            <v>Khối 2 - TCT CNC</v>
          </cell>
          <cell r="G931" t="str">
            <v>Trung tâm Nghiên cứu thiết bị vô tuyến băng rộng</v>
          </cell>
        </row>
        <row r="932">
          <cell r="B932" t="str">
            <v>246392</v>
          </cell>
          <cell r="C932" t="str">
            <v>Lý Nguyễn Hoàng Phúc</v>
          </cell>
          <cell r="D932" t="str">
            <v>Kỹ sư Phát triển giao thức mạng</v>
          </cell>
          <cell r="E932" t="str">
            <v>Tổng công ty Công nghiệp Công nghệ cao Viettel</v>
          </cell>
          <cell r="F932" t="str">
            <v>Khối 2 - TCT CNC</v>
          </cell>
          <cell r="G932" t="str">
            <v>Trung tâm Nghiên cứu thiết bị vô tuyến băng rộng</v>
          </cell>
        </row>
        <row r="933">
          <cell r="B933" t="str">
            <v>246403</v>
          </cell>
          <cell r="C933" t="str">
            <v>Nguyễn Hoàng Thủ Khoa</v>
          </cell>
          <cell r="D933" t="str">
            <v>Kỹ sư Phát triển FPGA</v>
          </cell>
          <cell r="E933" t="str">
            <v>Tổng công ty Công nghiệp Công nghệ cao Viettel</v>
          </cell>
          <cell r="F933" t="str">
            <v>Khối 2 - TCT CNC</v>
          </cell>
          <cell r="G933" t="str">
            <v>Trung tâm Nghiên cứu thiết bị vô tuyến băng rộng</v>
          </cell>
        </row>
        <row r="934">
          <cell r="B934" t="str">
            <v>247994</v>
          </cell>
          <cell r="C934" t="str">
            <v>Trần Quang Trung</v>
          </cell>
          <cell r="D934" t="str">
            <v>Kỹ sư Xử lý tín hiệu</v>
          </cell>
          <cell r="E934" t="str">
            <v>Tổng công ty Công nghiệp Công nghệ cao Viettel</v>
          </cell>
          <cell r="F934" t="str">
            <v>Khối 2 - TCT CNC</v>
          </cell>
          <cell r="G934" t="str">
            <v>Trung tâm Nghiên cứu thiết bị vô tuyến băng rộng</v>
          </cell>
        </row>
        <row r="935">
          <cell r="B935" t="str">
            <v>249487</v>
          </cell>
          <cell r="C935" t="str">
            <v>Ngô Thị Hiền</v>
          </cell>
          <cell r="D935" t="str">
            <v>Kỹ sư Kiểm thử Phần mềm</v>
          </cell>
          <cell r="E935" t="str">
            <v>Tổng công ty Công nghiệp Công nghệ cao Viettel</v>
          </cell>
          <cell r="F935" t="str">
            <v>Khối 2 - TCT CNC</v>
          </cell>
          <cell r="G935" t="str">
            <v>Trung tâm Nghiên cứu thiết bị vô tuyến băng rộng</v>
          </cell>
        </row>
        <row r="936">
          <cell r="B936" t="str">
            <v>250230</v>
          </cell>
          <cell r="C936" t="str">
            <v>Nguyễn Hữu Tùng</v>
          </cell>
          <cell r="D936" t="str">
            <v>Kỹ sư Xử lý tín hiệu</v>
          </cell>
          <cell r="E936" t="str">
            <v>Tổng công ty Công nghiệp Công nghệ cao Viettel</v>
          </cell>
          <cell r="F936" t="str">
            <v>Khối 2 - TCT CNC</v>
          </cell>
          <cell r="G936" t="str">
            <v>Trung tâm Nghiên cứu thiết bị vô tuyến băng rộng</v>
          </cell>
        </row>
        <row r="937">
          <cell r="B937" t="str">
            <v>250328</v>
          </cell>
          <cell r="C937" t="str">
            <v>Nguyễn Quang Hưng</v>
          </cell>
          <cell r="D937" t="str">
            <v>Kỹ sư phát triển phần mềm hệ thống</v>
          </cell>
          <cell r="E937" t="str">
            <v>Tổng công ty Công nghiệp Công nghệ cao Viettel</v>
          </cell>
          <cell r="F937" t="str">
            <v>Khối 2 - TCT CNC</v>
          </cell>
          <cell r="G937" t="str">
            <v>Trung tâm Nghiên cứu thiết bị vô tuyến băng rộng</v>
          </cell>
        </row>
        <row r="938">
          <cell r="B938" t="str">
            <v>250330</v>
          </cell>
          <cell r="C938" t="str">
            <v>Trần Minh Hiếu</v>
          </cell>
          <cell r="D938" t="str">
            <v>Kỹ sư Phát triển FPGA</v>
          </cell>
          <cell r="E938" t="str">
            <v>Tổng công ty Công nghiệp Công nghệ cao Viettel</v>
          </cell>
          <cell r="F938" t="str">
            <v>Khối 2 - TCT CNC</v>
          </cell>
          <cell r="G938" t="str">
            <v>Trung tâm Nghiên cứu thiết bị vô tuyến băng rộng</v>
          </cell>
        </row>
        <row r="939">
          <cell r="B939" t="str">
            <v>251016</v>
          </cell>
          <cell r="C939" t="str">
            <v>Trần Xuân Mạnh</v>
          </cell>
          <cell r="D939" t="str">
            <v>Kỹ sư Phát triển FPGA</v>
          </cell>
          <cell r="E939" t="str">
            <v>Tổng công ty Công nghiệp Công nghệ cao Viettel</v>
          </cell>
          <cell r="F939" t="str">
            <v>Khối 2 - TCT CNC</v>
          </cell>
          <cell r="G939" t="str">
            <v>Trung tâm Nghiên cứu thiết bị vô tuyến băng rộng</v>
          </cell>
        </row>
        <row r="940">
          <cell r="B940" t="str">
            <v>251017</v>
          </cell>
          <cell r="C940" t="str">
            <v>Hà Thị Hằng</v>
          </cell>
          <cell r="D940" t="str">
            <v>Kỹ sư Kiểm thử phần mềm</v>
          </cell>
          <cell r="E940" t="str">
            <v>Tổng công ty Công nghiệp Công nghệ cao Viettel</v>
          </cell>
          <cell r="F940" t="str">
            <v>Khối 2 - TCT CNC</v>
          </cell>
          <cell r="G940" t="str">
            <v>Trung tâm Nghiên cứu thiết bị vô tuyến băng rộng</v>
          </cell>
        </row>
        <row r="941">
          <cell r="B941" t="str">
            <v>251018</v>
          </cell>
          <cell r="C941" t="str">
            <v>Phạm Thị Hương</v>
          </cell>
          <cell r="D941" t="str">
            <v>Kỹ sư Kiểm thử phần mềm</v>
          </cell>
          <cell r="E941" t="str">
            <v>Tổng công ty Công nghiệp Công nghệ cao Viettel</v>
          </cell>
          <cell r="F941" t="str">
            <v>Khối 2 - TCT CNC</v>
          </cell>
          <cell r="G941" t="str">
            <v>Trung tâm Nghiên cứu thiết bị vô tuyến băng rộng</v>
          </cell>
        </row>
        <row r="942">
          <cell r="B942" t="str">
            <v>262883</v>
          </cell>
          <cell r="C942" t="str">
            <v>Nguyễn Văn Thành</v>
          </cell>
          <cell r="D942" t="str">
            <v>Kỹ sư Phát triển giao thức mạng</v>
          </cell>
          <cell r="E942" t="str">
            <v>Tổng công ty Công nghiệp Công nghệ cao Viettel</v>
          </cell>
          <cell r="F942" t="str">
            <v>Khối 2 - TCT CNC</v>
          </cell>
          <cell r="G942" t="str">
            <v>Trung tâm Nghiên cứu thiết bị vô tuyến băng rộng</v>
          </cell>
        </row>
        <row r="943">
          <cell r="B943" t="str">
            <v>265015</v>
          </cell>
          <cell r="C943" t="str">
            <v>Phạm Văn Quang</v>
          </cell>
          <cell r="D943" t="str">
            <v>Kỹ sư Phát triển giao thức mạng</v>
          </cell>
          <cell r="E943" t="str">
            <v>Tổng công ty Công nghiệp Công nghệ cao Viettel</v>
          </cell>
          <cell r="F943" t="str">
            <v>Khối 2 - TCT CNC</v>
          </cell>
          <cell r="G943" t="str">
            <v>Trung tâm Nghiên cứu thiết bị vô tuyến băng rộng</v>
          </cell>
        </row>
        <row r="944">
          <cell r="B944" t="str">
            <v>265890</v>
          </cell>
          <cell r="C944" t="str">
            <v>Lê Thị Thùy Trinh</v>
          </cell>
          <cell r="D944" t="str">
            <v>Kỹ sư Phần mềm hệ thống</v>
          </cell>
          <cell r="E944" t="str">
            <v>Tổng công ty Công nghiệp Công nghệ cao Viettel</v>
          </cell>
          <cell r="F944" t="str">
            <v>Khối 2 - TCT CNC</v>
          </cell>
          <cell r="G944" t="str">
            <v>Trung tâm Nghiên cứu thiết bị vô tuyến băng rộng</v>
          </cell>
        </row>
        <row r="945">
          <cell r="B945" t="str">
            <v>266859</v>
          </cell>
          <cell r="C945" t="str">
            <v>Nguyễn Quang Linh</v>
          </cell>
          <cell r="D945" t="str">
            <v>Kỹ sư Phát triển FPGA</v>
          </cell>
          <cell r="E945" t="str">
            <v>Tổng công ty Công nghiệp Công nghệ cao Viettel</v>
          </cell>
          <cell r="F945" t="str">
            <v>Khối 2 - TCT CNC</v>
          </cell>
          <cell r="G945" t="str">
            <v>Trung tâm Nghiên cứu thiết bị vô tuyến băng rộng</v>
          </cell>
        </row>
        <row r="946">
          <cell r="B946" t="str">
            <v>266860</v>
          </cell>
          <cell r="C946" t="str">
            <v>Nguyễn Thị Phương</v>
          </cell>
          <cell r="D946" t="str">
            <v>Kỹ sư Kiểm thử phần mềm</v>
          </cell>
          <cell r="E946" t="str">
            <v>Tổng công ty Công nghiệp Công nghệ cao Viettel</v>
          </cell>
          <cell r="F946" t="str">
            <v>Khối 2 - TCT CNC</v>
          </cell>
          <cell r="G946" t="str">
            <v>Trung tâm Nghiên cứu thiết bị vô tuyến băng rộng</v>
          </cell>
        </row>
        <row r="947">
          <cell r="B947" t="str">
            <v>266861</v>
          </cell>
          <cell r="C947" t="str">
            <v>Hồ Nghĩa Dương</v>
          </cell>
          <cell r="D947" t="str">
            <v>Kỹ sư Phát triển giao thức mạng</v>
          </cell>
          <cell r="E947" t="str">
            <v>Tổng công ty Công nghiệp Công nghệ cao Viettel</v>
          </cell>
          <cell r="F947" t="str">
            <v>Khối 2 - TCT CNC</v>
          </cell>
          <cell r="G947" t="str">
            <v>Trung tâm Nghiên cứu thiết bị vô tuyến băng rộng</v>
          </cell>
        </row>
        <row r="948">
          <cell r="B948" t="str">
            <v>267110</v>
          </cell>
          <cell r="C948" t="str">
            <v>Trương Đức Tài</v>
          </cell>
          <cell r="D948" t="str">
            <v>Kỹ sư Nghiên cứu giao thức mạng</v>
          </cell>
          <cell r="E948" t="str">
            <v>Tổng công ty Công nghiệp Công nghệ cao Viettel</v>
          </cell>
          <cell r="F948" t="str">
            <v>Khối 2 - TCT CNC</v>
          </cell>
          <cell r="G948" t="str">
            <v>Trung tâm Nghiên cứu thiết bị vô tuyến băng rộng</v>
          </cell>
        </row>
        <row r="949">
          <cell r="B949" t="str">
            <v>268083</v>
          </cell>
          <cell r="C949" t="str">
            <v>Phan Đăng Minh</v>
          </cell>
          <cell r="D949" t="str">
            <v>Kỹ sư Xử lý tín hiệu</v>
          </cell>
          <cell r="E949" t="str">
            <v>Tổng công ty Công nghiệp Công nghệ cao Viettel</v>
          </cell>
          <cell r="F949" t="str">
            <v>Khối 2 - TCT CNC</v>
          </cell>
          <cell r="G949" t="str">
            <v>Trung tâm Nghiên cứu thiết bị vô tuyến băng rộng</v>
          </cell>
        </row>
        <row r="950">
          <cell r="B950" t="str">
            <v>272783</v>
          </cell>
          <cell r="C950" t="str">
            <v>Nguyễn Thị Quỳnh</v>
          </cell>
          <cell r="D950" t="str">
            <v>Kỹ sư Phát triển thuật toán FPGA</v>
          </cell>
          <cell r="E950" t="str">
            <v>Tổng công ty Công nghiệp Công nghệ cao Viettel</v>
          </cell>
          <cell r="F950" t="str">
            <v>Khối 2 - TCT CNC</v>
          </cell>
          <cell r="G950" t="str">
            <v>Trung tâm Nghiên cứu thiết bị vô tuyến băng rộng</v>
          </cell>
        </row>
        <row r="951">
          <cell r="B951" t="str">
            <v>274168</v>
          </cell>
          <cell r="C951" t="str">
            <v>Phan Quang Huy</v>
          </cell>
          <cell r="D951" t="str">
            <v>Kỹ sư Xử lý tín hiệu</v>
          </cell>
          <cell r="E951" t="str">
            <v>Tổng công ty Công nghiệp Công nghệ cao Viettel</v>
          </cell>
          <cell r="F951" t="str">
            <v>Khối 2 - TCT CNC</v>
          </cell>
          <cell r="G951" t="str">
            <v>Trung tâm Nghiên cứu thiết bị vô tuyến băng rộng</v>
          </cell>
        </row>
        <row r="952">
          <cell r="B952" t="str">
            <v>276326</v>
          </cell>
          <cell r="C952" t="str">
            <v>Nguyễn Minh Tuấn</v>
          </cell>
          <cell r="D952" t="str">
            <v>Kỹ sư Xử lý tín hiệu</v>
          </cell>
          <cell r="E952" t="str">
            <v>Tổng công ty Công nghiệp Công nghệ cao Viettel</v>
          </cell>
          <cell r="F952" t="str">
            <v>Khối 2 - TCT CNC</v>
          </cell>
          <cell r="G952" t="str">
            <v>Trung tâm Nghiên cứu thiết bị vô tuyến băng rộng</v>
          </cell>
        </row>
        <row r="953">
          <cell r="B953" t="str">
            <v>277728</v>
          </cell>
          <cell r="C953" t="str">
            <v>Nguyễn Thanh Bình</v>
          </cell>
          <cell r="D953" t="str">
            <v>Kỹ sư Phát triển phần mềm hệ thống</v>
          </cell>
          <cell r="E953" t="str">
            <v>Tổng công ty Công nghiệp Công nghệ cao Viettel</v>
          </cell>
          <cell r="F953" t="str">
            <v>Khối 2 - TCT CNC</v>
          </cell>
          <cell r="G953" t="str">
            <v>Trung tâm Nghiên cứu thiết bị vô tuyến băng rộng</v>
          </cell>
        </row>
        <row r="954">
          <cell r="B954" t="str">
            <v>278431</v>
          </cell>
          <cell r="C954" t="str">
            <v>Phạm Thị Phương Linh</v>
          </cell>
          <cell r="D954" t="str">
            <v>Kỹ sư Phát triển giao thức mạng</v>
          </cell>
          <cell r="E954" t="str">
            <v>Tổng công ty Công nghiệp Công nghệ cao Viettel</v>
          </cell>
          <cell r="F954" t="str">
            <v>Khối 2 - TCT CNC</v>
          </cell>
          <cell r="G954" t="str">
            <v>Trung tâm Nghiên cứu thiết bị vô tuyến băng rộng</v>
          </cell>
        </row>
        <row r="955">
          <cell r="B955" t="str">
            <v>278953</v>
          </cell>
          <cell r="C955" t="str">
            <v>Phạm Hoàng Lai</v>
          </cell>
          <cell r="D955" t="str">
            <v>Kỹ sư Phát triển thuật toán</v>
          </cell>
          <cell r="E955" t="str">
            <v>Tổng công ty Công nghiệp Công nghệ cao Viettel</v>
          </cell>
          <cell r="F955" t="str">
            <v>Khối 2 - TCT CNC</v>
          </cell>
          <cell r="G955" t="str">
            <v>Trung tâm Nghiên cứu thiết bị vô tuyến băng rộng</v>
          </cell>
        </row>
        <row r="956">
          <cell r="B956" t="str">
            <v>279732</v>
          </cell>
          <cell r="C956" t="str">
            <v>Trần Quang Nhường</v>
          </cell>
          <cell r="D956" t="str">
            <v>Kỹ sư Cao tần</v>
          </cell>
          <cell r="E956" t="str">
            <v>Tổng công ty Công nghiệp Công nghệ cao Viettel</v>
          </cell>
          <cell r="F956" t="str">
            <v>Khối 2 - TCT CNC</v>
          </cell>
          <cell r="G956" t="str">
            <v>Trung tâm Nghiên cứu thiết bị vô tuyến băng rộng</v>
          </cell>
        </row>
        <row r="957">
          <cell r="B957" t="str">
            <v>282984</v>
          </cell>
          <cell r="C957" t="str">
            <v>Hồ Viết San</v>
          </cell>
          <cell r="D957" t="str">
            <v>Kỹ sư Phát triển giao thức mạng</v>
          </cell>
          <cell r="E957" t="str">
            <v>Tổng công ty Công nghiệp Công nghệ cao Viettel</v>
          </cell>
          <cell r="F957" t="str">
            <v>Khối 2 - TCT CNC</v>
          </cell>
          <cell r="G957" t="str">
            <v>Trung tâm Nghiên cứu thiết bị vô tuyến băng rộng</v>
          </cell>
        </row>
        <row r="958">
          <cell r="B958" t="str">
            <v>290428</v>
          </cell>
          <cell r="C958" t="str">
            <v>Hoàng Đức Trường</v>
          </cell>
          <cell r="D958" t="str">
            <v>Kỹ sư Lập trình nhúng</v>
          </cell>
          <cell r="E958" t="str">
            <v>Tổng công ty Công nghiệp Công nghệ cao Viettel</v>
          </cell>
          <cell r="F958" t="str">
            <v>Khối 2 - TCT CNC</v>
          </cell>
          <cell r="G958" t="str">
            <v>Trung tâm Nghiên cứu thiết bị vô tuyến băng rộng</v>
          </cell>
        </row>
        <row r="959">
          <cell r="B959" t="str">
            <v>291218</v>
          </cell>
          <cell r="C959" t="str">
            <v>Lâm Minh Quân</v>
          </cell>
          <cell r="D959" t="str">
            <v>Kỹ sư Xử lý tín hiệu</v>
          </cell>
          <cell r="E959" t="str">
            <v>Tổng công ty Công nghiệp Công nghệ cao Viettel</v>
          </cell>
          <cell r="F959" t="str">
            <v>Khối 2 - TCT CNC</v>
          </cell>
          <cell r="G959" t="str">
            <v>Trung tâm Nghiên cứu thiết bị vô tuyến băng rộng</v>
          </cell>
        </row>
        <row r="960">
          <cell r="B960" t="str">
            <v>291343</v>
          </cell>
          <cell r="C960" t="str">
            <v>Nguyễn Phú Lâm</v>
          </cell>
          <cell r="D960" t="str">
            <v>Kỹ sư Phát triển FPGA</v>
          </cell>
          <cell r="E960" t="str">
            <v>Tổng công ty Công nghiệp Công nghệ cao Viettel</v>
          </cell>
          <cell r="F960" t="str">
            <v>Khối 2 - TCT CNC</v>
          </cell>
          <cell r="G960" t="str">
            <v>Trung tâm Nghiên cứu thiết bị vô tuyến băng rộng</v>
          </cell>
        </row>
        <row r="961">
          <cell r="B961" t="str">
            <v>292548</v>
          </cell>
          <cell r="C961" t="str">
            <v>Đoàn Như Nhật Anh</v>
          </cell>
          <cell r="D961" t="str">
            <v>Kỹ sư Xử lý tín hiệu</v>
          </cell>
          <cell r="E961" t="str">
            <v>Tổng công ty Công nghiệp Công nghệ cao Viettel</v>
          </cell>
          <cell r="F961" t="str">
            <v>Khối 2 - TCT CNC</v>
          </cell>
          <cell r="G961" t="str">
            <v>Trung tâm Nghiên cứu thiết bị vô tuyến băng rộng</v>
          </cell>
        </row>
        <row r="962">
          <cell r="B962" t="str">
            <v>294128</v>
          </cell>
          <cell r="C962" t="str">
            <v>Huỳnh Viết Thông</v>
          </cell>
          <cell r="D962" t="str">
            <v>Kỹ sư Phát triển giao thức mạng</v>
          </cell>
          <cell r="E962" t="str">
            <v>Tổng công ty Công nghiệp Công nghệ cao Viettel</v>
          </cell>
          <cell r="F962" t="str">
            <v>Khối 2 - TCT CNC</v>
          </cell>
          <cell r="G962" t="str">
            <v>Trung tâm Nghiên cứu thiết bị vô tuyến băng rộng</v>
          </cell>
        </row>
        <row r="963">
          <cell r="B963" t="str">
            <v>294137</v>
          </cell>
          <cell r="C963" t="str">
            <v>Đoàn Tuấn Sơn</v>
          </cell>
          <cell r="D963" t="str">
            <v>Kỹ sư Phát triển phần mềm hệ thống</v>
          </cell>
          <cell r="E963" t="str">
            <v>Tổng công ty Công nghiệp Công nghệ cao Viettel</v>
          </cell>
          <cell r="F963" t="str">
            <v>Khối 2 - TCT CNC</v>
          </cell>
          <cell r="G963" t="str">
            <v>Trung tâm Nghiên cứu thiết bị vô tuyến băng rộng</v>
          </cell>
        </row>
        <row r="964">
          <cell r="B964" t="str">
            <v>429450</v>
          </cell>
          <cell r="C964" t="str">
            <v>Lê Anh Quân</v>
          </cell>
          <cell r="D964" t="str">
            <v>Kỹ sư Phát triển phần mềm hệ thống</v>
          </cell>
          <cell r="E964" t="str">
            <v>Tổng công ty Công nghiệp Công nghệ cao Viettel</v>
          </cell>
          <cell r="F964" t="str">
            <v>Khối 2 - TCT CNC</v>
          </cell>
          <cell r="G964" t="str">
            <v>Trung tâm Nghiên cứu thiết bị vô tuyến băng rộng</v>
          </cell>
        </row>
        <row r="965">
          <cell r="B965" t="str">
            <v>429452</v>
          </cell>
          <cell r="C965" t="str">
            <v>Diệp Từ Hiếu</v>
          </cell>
          <cell r="D965" t="str">
            <v>Kỹ sư Phát triển phần mềm hệ thống</v>
          </cell>
          <cell r="E965" t="str">
            <v>Tổng công ty Công nghiệp Công nghệ cao Viettel</v>
          </cell>
          <cell r="F965" t="str">
            <v>Khối 2 - TCT CNC</v>
          </cell>
          <cell r="G965" t="str">
            <v>Trung tâm Nghiên cứu thiết bị vô tuyến băng rộng</v>
          </cell>
        </row>
        <row r="966">
          <cell r="B966" t="str">
            <v>431499</v>
          </cell>
          <cell r="C966" t="str">
            <v>Tô Thanh Nhã</v>
          </cell>
          <cell r="D966" t="str">
            <v>Kỹ sư Phát triển thuật toán</v>
          </cell>
          <cell r="E966" t="str">
            <v>Tổng công ty Công nghiệp Công nghệ cao Viettel</v>
          </cell>
          <cell r="F966" t="str">
            <v>Khối 2 - TCT CNC</v>
          </cell>
          <cell r="G966" t="str">
            <v>Trung tâm Nghiên cứu thiết bị vô tuyến băng rộng</v>
          </cell>
        </row>
        <row r="967">
          <cell r="B967" t="str">
            <v>433746</v>
          </cell>
          <cell r="C967" t="str">
            <v>Lê Anh Tài</v>
          </cell>
          <cell r="D967" t="str">
            <v>Kỹ sư Thiết kế cao tần</v>
          </cell>
          <cell r="E967" t="str">
            <v>Tổng công ty Công nghiệp Công nghệ cao Viettel</v>
          </cell>
          <cell r="F967" t="str">
            <v>Khối 2 - TCT CNC</v>
          </cell>
          <cell r="G967" t="str">
            <v>Trung tâm Nghiên cứu thiết bị vô tuyến băng rộng</v>
          </cell>
        </row>
        <row r="968">
          <cell r="B968" t="str">
            <v>433748</v>
          </cell>
          <cell r="C968" t="str">
            <v>Lê Anh Tuân</v>
          </cell>
          <cell r="D968" t="str">
            <v>Kỹ sư Thiết kế cao tần</v>
          </cell>
          <cell r="E968" t="str">
            <v>Tổng công ty Công nghiệp Công nghệ cao Viettel</v>
          </cell>
          <cell r="F968" t="str">
            <v>Khối 2 - TCT CNC</v>
          </cell>
          <cell r="G968" t="str">
            <v>Trung tâm Nghiên cứu thiết bị vô tuyến băng rộng</v>
          </cell>
        </row>
        <row r="969">
          <cell r="B969" t="str">
            <v>439487</v>
          </cell>
          <cell r="C969" t="str">
            <v>Đinh Tiến Dương</v>
          </cell>
          <cell r="D969" t="str">
            <v>Kỹ sư Lập trình nhúng</v>
          </cell>
          <cell r="E969" t="str">
            <v>Tổng công ty Công nghiệp Công nghệ cao Viettel</v>
          </cell>
          <cell r="F969" t="str">
            <v>Khối 2 - TCT CNC</v>
          </cell>
          <cell r="G969" t="str">
            <v>Trung tâm Nghiên cứu thiết bị vô tuyến băng rộng</v>
          </cell>
        </row>
        <row r="970">
          <cell r="B970" t="str">
            <v>439494</v>
          </cell>
          <cell r="C970" t="str">
            <v>Nguyễn Ngọc Hoàng</v>
          </cell>
          <cell r="D970" t="str">
            <v>Kỹ sư Phát triển giao thức mạng</v>
          </cell>
          <cell r="E970" t="str">
            <v>Tổng công ty Công nghiệp Công nghệ cao Viettel</v>
          </cell>
          <cell r="F970" t="str">
            <v>Khối 2 - TCT CNC</v>
          </cell>
          <cell r="G970" t="str">
            <v>Trung tâm Nghiên cứu thiết bị vô tuyến băng rộng</v>
          </cell>
        </row>
        <row r="971">
          <cell r="B971" t="str">
            <v>441342</v>
          </cell>
          <cell r="C971" t="str">
            <v>Nguyễn Phi Đắc</v>
          </cell>
          <cell r="D971" t="str">
            <v>Kỹ sư Phát triển FPGA</v>
          </cell>
          <cell r="E971" t="str">
            <v>Tổng công ty Công nghiệp Công nghệ cao Viettel</v>
          </cell>
          <cell r="F971" t="str">
            <v>Khối 2 - TCT CNC</v>
          </cell>
          <cell r="G971" t="str">
            <v>Trung tâm Nghiên cứu thiết bị vô tuyến băng rộng</v>
          </cell>
        </row>
        <row r="972">
          <cell r="B972" t="str">
            <v>441343</v>
          </cell>
          <cell r="C972" t="str">
            <v>Vũ Đức Độ</v>
          </cell>
          <cell r="D972" t="str">
            <v>Kỹ sư Phát triển giao thức mạng</v>
          </cell>
          <cell r="E972" t="str">
            <v>Tổng công ty Công nghiệp Công nghệ cao Viettel</v>
          </cell>
          <cell r="F972" t="str">
            <v>Khối 2 - TCT CNC</v>
          </cell>
          <cell r="G972" t="str">
            <v>Trung tâm Nghiên cứu thiết bị vô tuyến băng rộng</v>
          </cell>
        </row>
        <row r="973">
          <cell r="B973" t="str">
            <v>441599</v>
          </cell>
          <cell r="C973" t="str">
            <v>Hoàng Đăng Ý</v>
          </cell>
          <cell r="D973" t="str">
            <v>Kỹ sư Phát triển thuật toán</v>
          </cell>
          <cell r="E973" t="str">
            <v>Tổng công ty Công nghiệp Công nghệ cao Viettel</v>
          </cell>
          <cell r="F973" t="str">
            <v>Khối 2 - TCT CNC</v>
          </cell>
          <cell r="G973" t="str">
            <v>Trung tâm Nghiên cứu thiết bị vô tuyến băng rộng</v>
          </cell>
        </row>
        <row r="974">
          <cell r="B974" t="str">
            <v>441600</v>
          </cell>
          <cell r="C974" t="str">
            <v>Dương Minh Thắng</v>
          </cell>
          <cell r="D974" t="str">
            <v>Kỹ sư Phát triển FPGA</v>
          </cell>
          <cell r="E974" t="str">
            <v>Tổng công ty Công nghiệp Công nghệ cao Viettel</v>
          </cell>
          <cell r="F974" t="str">
            <v>Khối 2 - TCT CNC</v>
          </cell>
          <cell r="G974" t="str">
            <v>Trung tâm Nghiên cứu thiết bị vô tuyến băng rộng</v>
          </cell>
        </row>
        <row r="975">
          <cell r="B975" t="str">
            <v>447327</v>
          </cell>
          <cell r="C975" t="str">
            <v>Phạm Huy Anh</v>
          </cell>
          <cell r="D975" t="str">
            <v>Kỹ sư Xử lý tín hiệu</v>
          </cell>
          <cell r="E975" t="str">
            <v>Tổng công ty Công nghiệp Công nghệ cao Viettel</v>
          </cell>
          <cell r="F975" t="str">
            <v>Khối 2 - TCT CNC</v>
          </cell>
          <cell r="G975" t="str">
            <v>Trung tâm Nghiên cứu thiết bị vô tuyến băng rộng</v>
          </cell>
        </row>
        <row r="976">
          <cell r="B976" t="str">
            <v>447885</v>
          </cell>
          <cell r="C976" t="str">
            <v>Ngô Minh Khánh</v>
          </cell>
          <cell r="D976" t="str">
            <v>Kỹ sư Lập trình nhúng</v>
          </cell>
          <cell r="E976" t="str">
            <v>Tổng công ty Công nghiệp Công nghệ cao Viettel</v>
          </cell>
          <cell r="F976" t="str">
            <v>Khối 2 - TCT CNC</v>
          </cell>
          <cell r="G976" t="str">
            <v>Trung tâm Nghiên cứu thiết bị vô tuyến băng rộng</v>
          </cell>
        </row>
        <row r="977">
          <cell r="B977" t="str">
            <v>447905</v>
          </cell>
          <cell r="C977" t="str">
            <v>Nguyễn Tùng Sơn</v>
          </cell>
          <cell r="D977" t="str">
            <v>Kỹ sư Lập trình nhúng</v>
          </cell>
          <cell r="E977" t="str">
            <v>Tổng công ty Công nghiệp Công nghệ cao Viettel</v>
          </cell>
          <cell r="F977" t="str">
            <v>Khối 2 - TCT CNC</v>
          </cell>
          <cell r="G977" t="str">
            <v>Trung tâm Nghiên cứu thiết bị vô tuyến băng rộng</v>
          </cell>
        </row>
        <row r="978">
          <cell r="B978" t="str">
            <v>450321</v>
          </cell>
          <cell r="C978" t="str">
            <v>Hoàng Hải Hà Trang</v>
          </cell>
          <cell r="D978" t="str">
            <v>Kỹ sư Phát triển giao thức mạng</v>
          </cell>
          <cell r="E978" t="str">
            <v>Tổng công ty Công nghiệp Công nghệ cao Viettel</v>
          </cell>
          <cell r="F978" t="str">
            <v>Khối 2 - TCT CNC</v>
          </cell>
          <cell r="G978" t="str">
            <v>Trung tâm Nghiên cứu thiết bị vô tuyến băng rộng</v>
          </cell>
        </row>
        <row r="979">
          <cell r="B979" t="str">
            <v>450569</v>
          </cell>
          <cell r="C979" t="str">
            <v>Nguyễn Sỹ Đại</v>
          </cell>
          <cell r="D979" t="str">
            <v>Kỹ sư Xử lý tín hiệu</v>
          </cell>
          <cell r="E979" t="str">
            <v>Tổng công ty Công nghiệp Công nghệ cao Viettel</v>
          </cell>
          <cell r="F979" t="str">
            <v>Khối 2 - TCT CNC</v>
          </cell>
          <cell r="G979" t="str">
            <v>Trung tâm Nghiên cứu thiết bị vô tuyến băng rộng</v>
          </cell>
        </row>
        <row r="980">
          <cell r="B980" t="str">
            <v>453385</v>
          </cell>
          <cell r="C980" t="str">
            <v>Đinh Thị Phương</v>
          </cell>
          <cell r="D980" t="str">
            <v>Kỹ sư Nghiên cứu giao thức mạng</v>
          </cell>
          <cell r="E980" t="str">
            <v>Tổng công ty Công nghiệp Công nghệ cao Viettel</v>
          </cell>
          <cell r="F980" t="str">
            <v>Khối 2 - TCT CNC</v>
          </cell>
          <cell r="G980" t="str">
            <v>Trung tâm Nghiên cứu thiết bị vô tuyến băng rộng</v>
          </cell>
        </row>
        <row r="981">
          <cell r="B981" t="str">
            <v>454489</v>
          </cell>
          <cell r="C981" t="str">
            <v>Ngô Nam Khánh</v>
          </cell>
          <cell r="D981" t="str">
            <v>Kỹ sư Xử lý tín hiệu</v>
          </cell>
          <cell r="E981" t="str">
            <v>Tổng công ty Công nghiệp Công nghệ cao Viettel</v>
          </cell>
          <cell r="F981" t="str">
            <v>Khối 2 - TCT CNC</v>
          </cell>
          <cell r="G981" t="str">
            <v>Trung tâm Nghiên cứu thiết bị vô tuyến băng rộng</v>
          </cell>
        </row>
        <row r="982">
          <cell r="B982" t="str">
            <v>454499</v>
          </cell>
          <cell r="C982" t="str">
            <v>Phạm Đức Thành</v>
          </cell>
          <cell r="D982" t="str">
            <v>Kỹ sư Phát triển giao thức mạng</v>
          </cell>
          <cell r="E982" t="str">
            <v>Tổng công ty Công nghiệp Công nghệ cao Viettel</v>
          </cell>
          <cell r="F982" t="str">
            <v>Khối 2 - TCT CNC</v>
          </cell>
          <cell r="G982" t="str">
            <v>Trung tâm Nghiên cứu thiết bị vô tuyến băng rộng</v>
          </cell>
        </row>
        <row r="983">
          <cell r="B983" t="str">
            <v>458727</v>
          </cell>
          <cell r="C983" t="str">
            <v>Cấn Quang Thịnh</v>
          </cell>
          <cell r="D983" t="str">
            <v>Kỹ sư Phát triển phần mềm hệ thống</v>
          </cell>
          <cell r="E983" t="str">
            <v>Tổng công ty Công nghiệp Công nghệ cao Viettel</v>
          </cell>
          <cell r="F983" t="str">
            <v>Khối 2 - TCT CNC</v>
          </cell>
          <cell r="G983" t="str">
            <v>Trung tâm Nghiên cứu thiết bị vô tuyến băng rộng</v>
          </cell>
        </row>
        <row r="984">
          <cell r="B984" t="str">
            <v>466121</v>
          </cell>
          <cell r="C984" t="str">
            <v>Nguyễn Quốc Cường</v>
          </cell>
          <cell r="D984" t="str">
            <v>Kỹ sư Thiết kế cao tần</v>
          </cell>
          <cell r="E984" t="str">
            <v>Tổng công ty Công nghiệp Công nghệ cao Viettel</v>
          </cell>
          <cell r="F984" t="str">
            <v>Khối 2 - TCT CNC</v>
          </cell>
          <cell r="G984" t="str">
            <v>Trung tâm Nghiên cứu thiết bị vô tuyến băng rộng</v>
          </cell>
        </row>
        <row r="985">
          <cell r="B985" t="str">
            <v>467443</v>
          </cell>
          <cell r="C985" t="str">
            <v>Nguyễn Bá Thanh</v>
          </cell>
          <cell r="D985" t="str">
            <v>Kỹ sư Xử lý tín hiệu</v>
          </cell>
          <cell r="E985" t="str">
            <v>Tổng công ty Công nghiệp Công nghệ cao Viettel</v>
          </cell>
          <cell r="F985" t="str">
            <v>Khối 2 - TCT CNC</v>
          </cell>
          <cell r="G985" t="str">
            <v>Trung tâm Nghiên cứu thiết bị vô tuyến băng rộng</v>
          </cell>
        </row>
        <row r="986">
          <cell r="B986" t="str">
            <v>469057</v>
          </cell>
          <cell r="C986" t="str">
            <v>Phạm Quang Trung</v>
          </cell>
          <cell r="D986" t="str">
            <v>Kỹ sư Phát triển thuật toán</v>
          </cell>
          <cell r="E986" t="str">
            <v>Tổng công ty Công nghiệp Công nghệ cao Viettel</v>
          </cell>
          <cell r="F986" t="str">
            <v>Khối 2 - TCT CNC</v>
          </cell>
          <cell r="G986" t="str">
            <v>Trung tâm Nghiên cứu thiết bị vô tuyến băng rộng</v>
          </cell>
        </row>
        <row r="987">
          <cell r="B987" t="str">
            <v>469139</v>
          </cell>
          <cell r="C987" t="str">
            <v>Phùng Đình Thành</v>
          </cell>
          <cell r="D987" t="str">
            <v>Kỹ sư Xử lý tín hiệu</v>
          </cell>
          <cell r="E987" t="str">
            <v>Tổng công ty Công nghiệp Công nghệ cao Viettel</v>
          </cell>
          <cell r="F987" t="str">
            <v>Khối 2 - TCT CNC</v>
          </cell>
          <cell r="G987" t="str">
            <v>Trung tâm Nghiên cứu thiết bị vô tuyến băng rộng</v>
          </cell>
        </row>
        <row r="988">
          <cell r="B988" t="str">
            <v>470349</v>
          </cell>
          <cell r="C988" t="str">
            <v>Cao Trịnh Minh Hoàng</v>
          </cell>
          <cell r="D988" t="str">
            <v>Kỹ sư Phát triển phần mềm</v>
          </cell>
          <cell r="E988" t="str">
            <v>Tổng công ty Công nghiệp Công nghệ cao Viettel</v>
          </cell>
          <cell r="F988" t="str">
            <v>Khối 2 - TCT CNC</v>
          </cell>
          <cell r="G988" t="str">
            <v>Trung tâm Nghiên cứu thiết bị vô tuyến băng rộng</v>
          </cell>
        </row>
        <row r="989">
          <cell r="B989" t="str">
            <v>472387</v>
          </cell>
          <cell r="C989" t="str">
            <v>Lang Trọng Nghĩa</v>
          </cell>
          <cell r="D989" t="str">
            <v>Kỹ sư Antenna</v>
          </cell>
          <cell r="E989" t="str">
            <v>Tổng công ty Công nghiệp Công nghệ cao Viettel</v>
          </cell>
          <cell r="F989" t="str">
            <v>Khối 2 - TCT CNC</v>
          </cell>
          <cell r="G989" t="str">
            <v>Trung tâm Nghiên cứu thiết bị vô tuyến băng rộng</v>
          </cell>
        </row>
        <row r="990">
          <cell r="B990" t="str">
            <v>472497</v>
          </cell>
          <cell r="C990" t="str">
            <v>Đào Xuân Lộc</v>
          </cell>
          <cell r="D990" t="str">
            <v>Kỹ sư Phát triển FPGA</v>
          </cell>
          <cell r="E990" t="str">
            <v>Tổng công ty Công nghiệp Công nghệ cao Viettel</v>
          </cell>
          <cell r="F990" t="str">
            <v>Khối 2 - TCT CNC</v>
          </cell>
          <cell r="G990" t="str">
            <v>Trung tâm Nghiên cứu thiết bị vô tuyến băng rộng</v>
          </cell>
        </row>
        <row r="991">
          <cell r="B991" t="str">
            <v>476719</v>
          </cell>
          <cell r="C991" t="str">
            <v>Đặng Nhật Quang</v>
          </cell>
          <cell r="D991" t="str">
            <v>Kỹ sư Xử lý tín hiệu</v>
          </cell>
          <cell r="E991" t="str">
            <v>Tổng công ty Công nghiệp Công nghệ cao Viettel</v>
          </cell>
          <cell r="F991" t="str">
            <v>Khối 2 - TCT CNC</v>
          </cell>
          <cell r="G991" t="str">
            <v>Trung tâm Nghiên cứu thiết bị vô tuyến băng rộng</v>
          </cell>
        </row>
        <row r="992">
          <cell r="B992" t="str">
            <v>477475</v>
          </cell>
          <cell r="C992" t="str">
            <v>Nguyễn Văn Tỉnh</v>
          </cell>
          <cell r="D992" t="str">
            <v>Kỹ sư Xử lý tín hiệu</v>
          </cell>
          <cell r="E992" t="str">
            <v>Tổng công ty Công nghiệp Công nghệ cao Viettel</v>
          </cell>
          <cell r="F992" t="str">
            <v>Khối 2 - TCT CNC</v>
          </cell>
          <cell r="G992" t="str">
            <v>Trung tâm Nghiên cứu thiết bị vô tuyến băng rộng</v>
          </cell>
        </row>
        <row r="993">
          <cell r="B993" t="str">
            <v>076402</v>
          </cell>
          <cell r="C993" t="str">
            <v>Trịnh Văn Hùng</v>
          </cell>
          <cell r="D993" t="str">
            <v>Kỹ sư trưởng Công nghệ</v>
          </cell>
          <cell r="E993" t="str">
            <v>Tổng công ty Công nghiệp Công nghệ cao Viettel</v>
          </cell>
          <cell r="F993" t="str">
            <v>Khối 2 - TCT CNC</v>
          </cell>
          <cell r="G993" t="str">
            <v>Trung tâm Phát triển nền tảng thanh toán</v>
          </cell>
        </row>
        <row r="994">
          <cell r="B994" t="str">
            <v>116660</v>
          </cell>
          <cell r="C994" t="str">
            <v>Nguyễn Đức Hải</v>
          </cell>
          <cell r="D994" t="str">
            <v>Giám đốc Trung tâm</v>
          </cell>
          <cell r="E994" t="str">
            <v>Tổng công ty Công nghiệp Công nghệ cao Viettel</v>
          </cell>
          <cell r="F994" t="str">
            <v>Khối 2 - TCT CNC</v>
          </cell>
          <cell r="G994" t="str">
            <v>Trung tâm Phát triển nền tảng thanh toán</v>
          </cell>
        </row>
        <row r="995">
          <cell r="B995" t="str">
            <v>121864</v>
          </cell>
          <cell r="C995" t="str">
            <v>Trần Thị Thu Huyền</v>
          </cell>
          <cell r="D995" t="str">
            <v>Trưởng phòng Kiểm thử</v>
          </cell>
          <cell r="E995" t="str">
            <v>Tổng công ty Công nghiệp Công nghệ cao Viettel</v>
          </cell>
          <cell r="F995" t="str">
            <v>Khối 2 - TCT CNC</v>
          </cell>
          <cell r="G995" t="str">
            <v>Trung tâm Phát triển nền tảng thanh toán</v>
          </cell>
        </row>
        <row r="996">
          <cell r="B996" t="str">
            <v>166923</v>
          </cell>
          <cell r="C996" t="str">
            <v>Trần Văn Thuyết</v>
          </cell>
          <cell r="D996" t="str">
            <v>Phó Giám đốc Trung tâm</v>
          </cell>
          <cell r="E996" t="str">
            <v>Tổng công ty Công nghiệp Công nghệ cao Viettel</v>
          </cell>
          <cell r="F996" t="str">
            <v>Khối 2 - TCT CNC</v>
          </cell>
          <cell r="G996" t="str">
            <v>Trung tâm Phát triển nền tảng thanh toán</v>
          </cell>
        </row>
        <row r="997">
          <cell r="B997" t="str">
            <v>169198</v>
          </cell>
          <cell r="C997" t="str">
            <v>Đoàn Văn Thọ</v>
          </cell>
          <cell r="D997" t="str">
            <v>Kỹ sư Phát triển phần mềm</v>
          </cell>
          <cell r="E997" t="str">
            <v>Tổng công ty Công nghiệp Công nghệ cao Viettel</v>
          </cell>
          <cell r="F997" t="str">
            <v>Khối 2 - TCT CNC</v>
          </cell>
          <cell r="G997" t="str">
            <v>Trung tâm Phát triển nền tảng thanh toán</v>
          </cell>
        </row>
        <row r="998">
          <cell r="B998" t="str">
            <v>171668</v>
          </cell>
          <cell r="C998" t="str">
            <v>Hoàng Thị Quỳnh Hoa</v>
          </cell>
          <cell r="D998" t="str">
            <v>Kỹ sư Phát triển phần mềm</v>
          </cell>
          <cell r="E998" t="str">
            <v>Tổng công ty Công nghiệp Công nghệ cao Viettel</v>
          </cell>
          <cell r="F998" t="str">
            <v>Khối 2 - TCT CNC</v>
          </cell>
          <cell r="G998" t="str">
            <v>Trung tâm Phát triển nền tảng thanh toán</v>
          </cell>
        </row>
        <row r="999">
          <cell r="B999" t="str">
            <v>177559</v>
          </cell>
          <cell r="C999" t="str">
            <v>Nguyễn Thị Hồng</v>
          </cell>
          <cell r="D999" t="str">
            <v>Phó phòng Kiểm thử</v>
          </cell>
          <cell r="E999" t="str">
            <v>Tổng công ty Công nghiệp Công nghệ cao Viettel</v>
          </cell>
          <cell r="F999" t="str">
            <v>Khối 2 - TCT CNC</v>
          </cell>
          <cell r="G999" t="str">
            <v>Trung tâm Phát triển nền tảng thanh toán</v>
          </cell>
        </row>
        <row r="1000">
          <cell r="B1000" t="str">
            <v>182136</v>
          </cell>
          <cell r="C1000" t="str">
            <v>Bùi Hải Sơn</v>
          </cell>
          <cell r="D1000" t="str">
            <v>Kỹ sư Phát triển phần mềm</v>
          </cell>
          <cell r="E1000" t="str">
            <v>Tổng công ty Công nghiệp Công nghệ cao Viettel</v>
          </cell>
          <cell r="F1000" t="str">
            <v>Khối 2 - TCT CNC</v>
          </cell>
          <cell r="G1000" t="str">
            <v>Trung tâm Phát triển nền tảng thanh toán</v>
          </cell>
        </row>
        <row r="1001">
          <cell r="B1001" t="str">
            <v>187093</v>
          </cell>
          <cell r="C1001" t="str">
            <v>Nguyễn Văn Tuấn</v>
          </cell>
          <cell r="D1001" t="str">
            <v>Kỹ sư Phát triển phần mềm</v>
          </cell>
          <cell r="E1001" t="str">
            <v>Tổng công ty Công nghiệp Công nghệ cao Viettel</v>
          </cell>
          <cell r="F1001" t="str">
            <v>Khối 2 - TCT CNC</v>
          </cell>
          <cell r="G1001" t="str">
            <v>Trung tâm Phát triển nền tảng thanh toán</v>
          </cell>
        </row>
        <row r="1002">
          <cell r="B1002" t="str">
            <v>192600</v>
          </cell>
          <cell r="C1002" t="str">
            <v>Nguyễn Quang Thắng</v>
          </cell>
          <cell r="D1002" t="str">
            <v>Kỹ sư trưởng Công nghệ</v>
          </cell>
          <cell r="E1002" t="str">
            <v>Tổng công ty Công nghiệp Công nghệ cao Viettel</v>
          </cell>
          <cell r="F1002" t="str">
            <v>Khối 2 - TCT CNC</v>
          </cell>
          <cell r="G1002" t="str">
            <v>Trung tâm Phát triển nền tảng thanh toán</v>
          </cell>
        </row>
        <row r="1003">
          <cell r="B1003" t="str">
            <v>194853</v>
          </cell>
          <cell r="C1003" t="str">
            <v>Lăng Khắc Thuận</v>
          </cell>
          <cell r="D1003" t="str">
            <v>Kỹ sư hệ thống</v>
          </cell>
          <cell r="E1003" t="str">
            <v>Tổng công ty Công nghiệp Công nghệ cao Viettel</v>
          </cell>
          <cell r="F1003" t="str">
            <v>Khối 2 - TCT CNC</v>
          </cell>
          <cell r="G1003" t="str">
            <v>Trung tâm Phát triển nền tảng thanh toán</v>
          </cell>
        </row>
        <row r="1004">
          <cell r="B1004" t="str">
            <v>194854</v>
          </cell>
          <cell r="C1004" t="str">
            <v>Vũ Quân Huân</v>
          </cell>
          <cell r="D1004" t="str">
            <v>Trưởng phòng Phát triển sản phẩm</v>
          </cell>
          <cell r="E1004" t="str">
            <v>Tổng công ty Công nghiệp Công nghệ cao Viettel</v>
          </cell>
          <cell r="F1004" t="str">
            <v>Khối 2 - TCT CNC</v>
          </cell>
          <cell r="G1004" t="str">
            <v>Trung tâm Phát triển nền tảng thanh toán</v>
          </cell>
        </row>
        <row r="1005">
          <cell r="B1005" t="str">
            <v>196195</v>
          </cell>
          <cell r="C1005" t="str">
            <v>Ngô Thị Hoài</v>
          </cell>
          <cell r="D1005" t="str">
            <v>Kỹ sư Kiểm thử tự động</v>
          </cell>
          <cell r="E1005" t="str">
            <v>Tổng công ty Công nghiệp Công nghệ cao Viettel</v>
          </cell>
          <cell r="F1005" t="str">
            <v>Khối 2 - TCT CNC</v>
          </cell>
          <cell r="G1005" t="str">
            <v>Trung tâm Phát triển nền tảng thanh toán</v>
          </cell>
        </row>
        <row r="1006">
          <cell r="B1006" t="str">
            <v>198503</v>
          </cell>
          <cell r="C1006" t="str">
            <v>Lê Thị Tuyền</v>
          </cell>
          <cell r="D1006" t="str">
            <v>Kỹ sư Kiểm thử</v>
          </cell>
          <cell r="E1006" t="str">
            <v>Tổng công ty Công nghiệp Công nghệ cao Viettel</v>
          </cell>
          <cell r="F1006" t="str">
            <v>Khối 2 - TCT CNC</v>
          </cell>
          <cell r="G1006" t="str">
            <v>Trung tâm Phát triển nền tảng thanh toán</v>
          </cell>
        </row>
        <row r="1007">
          <cell r="B1007" t="str">
            <v>198517</v>
          </cell>
          <cell r="C1007" t="str">
            <v>Nguyễn Thu Hương</v>
          </cell>
          <cell r="D1007" t="str">
            <v>Kỹ sư Kiểm thử</v>
          </cell>
          <cell r="E1007" t="str">
            <v>Tổng công ty Công nghiệp Công nghệ cao Viettel</v>
          </cell>
          <cell r="F1007" t="str">
            <v>Khối 2 - TCT CNC</v>
          </cell>
          <cell r="G1007" t="str">
            <v>Trung tâm Phát triển nền tảng thanh toán</v>
          </cell>
        </row>
        <row r="1008">
          <cell r="B1008" t="str">
            <v>206285</v>
          </cell>
          <cell r="C1008" t="str">
            <v>Lại Ngọc Huyền</v>
          </cell>
          <cell r="D1008" t="str">
            <v>Kỹ sư Phát triển phần mềm</v>
          </cell>
          <cell r="E1008" t="str">
            <v>Tổng công ty Công nghiệp Công nghệ cao Viettel</v>
          </cell>
          <cell r="F1008" t="str">
            <v>Khối 2 - TCT CNC</v>
          </cell>
          <cell r="G1008" t="str">
            <v>Trung tâm Phát triển nền tảng thanh toán</v>
          </cell>
        </row>
        <row r="1009">
          <cell r="B1009" t="str">
            <v>206288</v>
          </cell>
          <cell r="C1009" t="str">
            <v>Nguyễn Văn Dương</v>
          </cell>
          <cell r="D1009" t="str">
            <v>Trưởng phòng Công nghệ Database</v>
          </cell>
          <cell r="E1009" t="str">
            <v>Tổng công ty Công nghiệp Công nghệ cao Viettel</v>
          </cell>
          <cell r="F1009" t="str">
            <v>Khối 2 - TCT CNC</v>
          </cell>
          <cell r="G1009" t="str">
            <v>Trung tâm Phát triển nền tảng thanh toán</v>
          </cell>
        </row>
        <row r="1010">
          <cell r="B1010" t="str">
            <v>209064</v>
          </cell>
          <cell r="C1010" t="str">
            <v>Phan Văn Mạnh</v>
          </cell>
          <cell r="D1010" t="str">
            <v>Kỹ sư Phát triển phần mềm</v>
          </cell>
          <cell r="E1010" t="str">
            <v>Tổng công ty Công nghiệp Công nghệ cao Viettel</v>
          </cell>
          <cell r="F1010" t="str">
            <v>Khối 2 - TCT CNC</v>
          </cell>
          <cell r="G1010" t="str">
            <v>Trung tâm Phát triển nền tảng thanh toán</v>
          </cell>
        </row>
        <row r="1011">
          <cell r="B1011" t="str">
            <v>213367</v>
          </cell>
          <cell r="C1011" t="str">
            <v>Phạm Công Dân</v>
          </cell>
          <cell r="D1011" t="str">
            <v>Kỹ sư Phân tích Dữ liệu</v>
          </cell>
          <cell r="E1011" t="str">
            <v>Tổng công ty Công nghiệp Công nghệ cao Viettel</v>
          </cell>
          <cell r="F1011" t="str">
            <v>Khối 2 - TCT CNC</v>
          </cell>
          <cell r="G1011" t="str">
            <v>Trung tâm Phát triển nền tảng thanh toán</v>
          </cell>
        </row>
        <row r="1012">
          <cell r="B1012" t="str">
            <v>219126</v>
          </cell>
          <cell r="C1012" t="str">
            <v>Bùi Tuấn Anh</v>
          </cell>
          <cell r="D1012" t="str">
            <v>Kỹ sư Phát triển phần mềm</v>
          </cell>
          <cell r="E1012" t="str">
            <v>Tổng công ty Công nghiệp Công nghệ cao Viettel</v>
          </cell>
          <cell r="F1012" t="str">
            <v>Khối 2 - TCT CNC</v>
          </cell>
          <cell r="G1012" t="str">
            <v>Trung tâm Phát triển nền tảng thanh toán</v>
          </cell>
        </row>
        <row r="1013">
          <cell r="B1013" t="str">
            <v>219128</v>
          </cell>
          <cell r="C1013" t="str">
            <v>Nguyễn Đức Anh</v>
          </cell>
          <cell r="D1013" t="str">
            <v>Kỹ sư Phát triển phần mềm</v>
          </cell>
          <cell r="E1013" t="str">
            <v>Tổng công ty Công nghiệp Công nghệ cao Viettel</v>
          </cell>
          <cell r="F1013" t="str">
            <v>Khối 2 - TCT CNC</v>
          </cell>
          <cell r="G1013" t="str">
            <v>Trung tâm Phát triển nền tảng thanh toán</v>
          </cell>
        </row>
        <row r="1014">
          <cell r="B1014" t="str">
            <v>220154</v>
          </cell>
          <cell r="C1014" t="str">
            <v>Lê Trọng Thảo</v>
          </cell>
          <cell r="D1014" t="str">
            <v>Kỹ sư Phát triển phần mềm</v>
          </cell>
          <cell r="E1014" t="str">
            <v>Tổng công ty Công nghiệp Công nghệ cao Viettel</v>
          </cell>
          <cell r="F1014" t="str">
            <v>Khối 2 - TCT CNC</v>
          </cell>
          <cell r="G1014" t="str">
            <v>Trung tâm Phát triển nền tảng thanh toán</v>
          </cell>
        </row>
        <row r="1015">
          <cell r="B1015" t="str">
            <v>233511</v>
          </cell>
          <cell r="C1015" t="str">
            <v>Phạm Thanh Sơn</v>
          </cell>
          <cell r="D1015" t="str">
            <v>Kỹ sư Phát triển phần mềm</v>
          </cell>
          <cell r="E1015" t="str">
            <v>Tổng công ty Công nghiệp Công nghệ cao Viettel</v>
          </cell>
          <cell r="F1015" t="str">
            <v>Khối 2 - TCT CNC</v>
          </cell>
          <cell r="G1015" t="str">
            <v>Trung tâm Phát triển nền tảng thanh toán</v>
          </cell>
        </row>
        <row r="1016">
          <cell r="B1016" t="str">
            <v>240354</v>
          </cell>
          <cell r="C1016" t="str">
            <v>Nguyễn Phi Hùng</v>
          </cell>
          <cell r="D1016" t="str">
            <v>Kỹ sư Phân tích Dữ liệu</v>
          </cell>
          <cell r="E1016" t="str">
            <v>Tổng công ty Công nghiệp Công nghệ cao Viettel</v>
          </cell>
          <cell r="F1016" t="str">
            <v>Khối 2 - TCT CNC</v>
          </cell>
          <cell r="G1016" t="str">
            <v>Trung tâm Phát triển nền tảng thanh toán</v>
          </cell>
        </row>
        <row r="1017">
          <cell r="B1017" t="str">
            <v>240779</v>
          </cell>
          <cell r="C1017" t="str">
            <v>Hoàng Văn Hiệp</v>
          </cell>
          <cell r="D1017" t="str">
            <v>Kỹ sư Phát triển phần mềm</v>
          </cell>
          <cell r="E1017" t="str">
            <v>Tổng công ty Công nghiệp Công nghệ cao Viettel</v>
          </cell>
          <cell r="F1017" t="str">
            <v>Khối 2 - TCT CNC</v>
          </cell>
          <cell r="G1017" t="str">
            <v>Trung tâm Phát triển nền tảng thanh toán</v>
          </cell>
        </row>
        <row r="1018">
          <cell r="B1018" t="str">
            <v>241095</v>
          </cell>
          <cell r="C1018" t="str">
            <v>Nguyễn Xuân Chính</v>
          </cell>
          <cell r="D1018" t="str">
            <v>Kỹ sư Phát triển phần mềm</v>
          </cell>
          <cell r="E1018" t="str">
            <v>Tổng công ty Công nghiệp Công nghệ cao Viettel</v>
          </cell>
          <cell r="F1018" t="str">
            <v>Khối 2 - TCT CNC</v>
          </cell>
          <cell r="G1018" t="str">
            <v>Trung tâm Phát triển nền tảng thanh toán</v>
          </cell>
        </row>
        <row r="1019">
          <cell r="B1019" t="str">
            <v>241516</v>
          </cell>
          <cell r="C1019" t="str">
            <v>Hoàng Đăng Kiên</v>
          </cell>
          <cell r="D1019" t="str">
            <v>Kỹ sư Phát triển phần mềm</v>
          </cell>
          <cell r="E1019" t="str">
            <v>Tổng công ty Công nghiệp Công nghệ cao Viettel</v>
          </cell>
          <cell r="F1019" t="str">
            <v>Khối 2 - TCT CNC</v>
          </cell>
          <cell r="G1019" t="str">
            <v>Trung tâm Phát triển nền tảng thanh toán</v>
          </cell>
        </row>
        <row r="1020">
          <cell r="B1020" t="str">
            <v>243882</v>
          </cell>
          <cell r="C1020" t="str">
            <v>Lê Thị Tú</v>
          </cell>
          <cell r="D1020" t="str">
            <v>Kỹ sư Kiểm thử</v>
          </cell>
          <cell r="E1020" t="str">
            <v>Tổng công ty Công nghiệp Công nghệ cao Viettel</v>
          </cell>
          <cell r="F1020" t="str">
            <v>Khối 2 - TCT CNC</v>
          </cell>
          <cell r="G1020" t="str">
            <v>Trung tâm Phát triển nền tảng thanh toán</v>
          </cell>
        </row>
        <row r="1021">
          <cell r="B1021" t="str">
            <v>244155</v>
          </cell>
          <cell r="C1021" t="str">
            <v>Hoàng Thị Lan Phương</v>
          </cell>
          <cell r="D1021" t="str">
            <v>Kỹ sư Kiểm thử tự động</v>
          </cell>
          <cell r="E1021" t="str">
            <v>Tổng công ty Công nghiệp Công nghệ cao Viettel</v>
          </cell>
          <cell r="F1021" t="str">
            <v>Khối 2 - TCT CNC</v>
          </cell>
          <cell r="G1021" t="str">
            <v>Trung tâm Phát triển nền tảng thanh toán</v>
          </cell>
        </row>
        <row r="1022">
          <cell r="B1022" t="str">
            <v>245466</v>
          </cell>
          <cell r="C1022" t="str">
            <v>Hoàng Thị Hương Giang</v>
          </cell>
          <cell r="D1022" t="str">
            <v>Kỹ sư Kiểm thử tự động</v>
          </cell>
          <cell r="E1022" t="str">
            <v>Tổng công ty Công nghiệp Công nghệ cao Viettel</v>
          </cell>
          <cell r="F1022" t="str">
            <v>Khối 2 - TCT CNC</v>
          </cell>
          <cell r="G1022" t="str">
            <v>Trung tâm Phát triển nền tảng thanh toán</v>
          </cell>
        </row>
        <row r="1023">
          <cell r="B1023" t="str">
            <v>245726</v>
          </cell>
          <cell r="C1023" t="str">
            <v>Nguyễn Thị Hải Yến</v>
          </cell>
          <cell r="D1023" t="str">
            <v>Kỹ sư Kiểm thử</v>
          </cell>
          <cell r="E1023" t="str">
            <v>Tổng công ty Công nghiệp Công nghệ cao Viettel</v>
          </cell>
          <cell r="F1023" t="str">
            <v>Khối 2 - TCT CNC</v>
          </cell>
          <cell r="G1023" t="str">
            <v>Trung tâm Phát triển nền tảng thanh toán</v>
          </cell>
        </row>
        <row r="1024">
          <cell r="B1024" t="str">
            <v>245788</v>
          </cell>
          <cell r="C1024" t="str">
            <v>Bùi Thùy Trang</v>
          </cell>
          <cell r="D1024" t="str">
            <v>Kỹ sư Kiểm thử</v>
          </cell>
          <cell r="E1024" t="str">
            <v>Tổng công ty Công nghiệp Công nghệ cao Viettel</v>
          </cell>
          <cell r="F1024" t="str">
            <v>Khối 2 - TCT CNC</v>
          </cell>
          <cell r="G1024" t="str">
            <v>Trung tâm Phát triển nền tảng thanh toán</v>
          </cell>
        </row>
        <row r="1025">
          <cell r="B1025" t="str">
            <v>246503</v>
          </cell>
          <cell r="C1025" t="str">
            <v>Dương Thị Quỳnh Ly</v>
          </cell>
          <cell r="D1025" t="str">
            <v>Kỹ sư Kiểm thử tự động</v>
          </cell>
          <cell r="E1025" t="str">
            <v>Tổng công ty Công nghiệp Công nghệ cao Viettel</v>
          </cell>
          <cell r="F1025" t="str">
            <v>Khối 2 - TCT CNC</v>
          </cell>
          <cell r="G1025" t="str">
            <v>Trung tâm Phát triển nền tảng thanh toán</v>
          </cell>
        </row>
        <row r="1026">
          <cell r="B1026" t="str">
            <v>251830</v>
          </cell>
          <cell r="C1026" t="str">
            <v>Đỗ Hoàng Phương Thảo</v>
          </cell>
          <cell r="D1026" t="str">
            <v>Kỹ sư Phát triển phần mềm</v>
          </cell>
          <cell r="E1026" t="str">
            <v>Tổng công ty Công nghiệp Công nghệ cao Viettel</v>
          </cell>
          <cell r="F1026" t="str">
            <v>Khối 2 - TCT CNC</v>
          </cell>
          <cell r="G1026" t="str">
            <v>Trung tâm Phát triển nền tảng thanh toán</v>
          </cell>
        </row>
        <row r="1027">
          <cell r="B1027" t="str">
            <v>251832</v>
          </cell>
          <cell r="C1027" t="str">
            <v>Bùi Thanh Tùng</v>
          </cell>
          <cell r="D1027" t="str">
            <v>Kỹ sư Phát triển phần mềm</v>
          </cell>
          <cell r="E1027" t="str">
            <v>Tổng công ty Công nghiệp Công nghệ cao Viettel</v>
          </cell>
          <cell r="F1027" t="str">
            <v>Khối 2 - TCT CNC</v>
          </cell>
          <cell r="G1027" t="str">
            <v>Trung tâm Phát triển nền tảng thanh toán</v>
          </cell>
        </row>
        <row r="1028">
          <cell r="B1028" t="str">
            <v>251833</v>
          </cell>
          <cell r="C1028" t="str">
            <v>Bùi Thị Lụa</v>
          </cell>
          <cell r="D1028" t="str">
            <v>Kỹ sư Phát triển phần mềm</v>
          </cell>
          <cell r="E1028" t="str">
            <v>Tổng công ty Công nghiệp Công nghệ cao Viettel</v>
          </cell>
          <cell r="F1028" t="str">
            <v>Khối 2 - TCT CNC</v>
          </cell>
          <cell r="G1028" t="str">
            <v>Trung tâm Phát triển nền tảng thanh toán</v>
          </cell>
        </row>
        <row r="1029">
          <cell r="B1029" t="str">
            <v>262884</v>
          </cell>
          <cell r="C1029" t="str">
            <v>Nguyễn Thị Phương</v>
          </cell>
          <cell r="D1029" t="str">
            <v>Kỹ sư Kiểm thử tự động</v>
          </cell>
          <cell r="E1029" t="str">
            <v>Tổng công ty Công nghiệp Công nghệ cao Viettel</v>
          </cell>
          <cell r="F1029" t="str">
            <v>Khối 2 - TCT CNC</v>
          </cell>
          <cell r="G1029" t="str">
            <v>Trung tâm Phát triển nền tảng thanh toán</v>
          </cell>
        </row>
        <row r="1030">
          <cell r="B1030" t="str">
            <v>268085</v>
          </cell>
          <cell r="C1030" t="str">
            <v>Cao Đăng Sao</v>
          </cell>
          <cell r="D1030" t="str">
            <v>Kỹ sư Phát triển phần mềm</v>
          </cell>
          <cell r="E1030" t="str">
            <v>Tổng công ty Công nghiệp Công nghệ cao Viettel</v>
          </cell>
          <cell r="F1030" t="str">
            <v>Khối 2 - TCT CNC</v>
          </cell>
          <cell r="G1030" t="str">
            <v>Trung tâm Phát triển nền tảng thanh toán</v>
          </cell>
        </row>
        <row r="1031">
          <cell r="B1031" t="str">
            <v>269140</v>
          </cell>
          <cell r="C1031" t="str">
            <v>Đào Ngọc Lâm</v>
          </cell>
          <cell r="D1031" t="str">
            <v>Kỹ sư Phát triển phần mềm</v>
          </cell>
          <cell r="E1031" t="str">
            <v>Tổng công ty Công nghiệp Công nghệ cao Viettel</v>
          </cell>
          <cell r="F1031" t="str">
            <v>Khối 2 - TCT CNC</v>
          </cell>
          <cell r="G1031" t="str">
            <v>Trung tâm Phát triển nền tảng thanh toán</v>
          </cell>
        </row>
        <row r="1032">
          <cell r="B1032" t="str">
            <v>269724</v>
          </cell>
          <cell r="C1032" t="str">
            <v>Lê Thị Thành</v>
          </cell>
          <cell r="D1032" t="str">
            <v>Kỹ sư Kiểm thử tự động</v>
          </cell>
          <cell r="E1032" t="str">
            <v>Tổng công ty Công nghiệp Công nghệ cao Viettel</v>
          </cell>
          <cell r="F1032" t="str">
            <v>Khối 2 - TCT CNC</v>
          </cell>
          <cell r="G1032" t="str">
            <v>Trung tâm Phát triển nền tảng thanh toán</v>
          </cell>
        </row>
        <row r="1033">
          <cell r="B1033" t="str">
            <v>270525</v>
          </cell>
          <cell r="C1033" t="str">
            <v>Đỗ Thị Thanh Hà</v>
          </cell>
          <cell r="D1033" t="str">
            <v>Kỹ sư Kiểm thử tự động</v>
          </cell>
          <cell r="E1033" t="str">
            <v>Tổng công ty Công nghiệp Công nghệ cao Viettel</v>
          </cell>
          <cell r="F1033" t="str">
            <v>Khối 2 - TCT CNC</v>
          </cell>
          <cell r="G1033" t="str">
            <v>Trung tâm Phát triển nền tảng thanh toán</v>
          </cell>
        </row>
        <row r="1034">
          <cell r="B1034" t="str">
            <v>271304</v>
          </cell>
          <cell r="C1034" t="str">
            <v>Nguyễn Thị Huyền Trang</v>
          </cell>
          <cell r="D1034" t="str">
            <v>Kỹ sư Phát triển phần mềm</v>
          </cell>
          <cell r="E1034" t="str">
            <v>Tổng công ty Công nghiệp Công nghệ cao Viettel</v>
          </cell>
          <cell r="F1034" t="str">
            <v>Khối 2 - TCT CNC</v>
          </cell>
          <cell r="G1034" t="str">
            <v>Trung tâm Phát triển nền tảng thanh toán</v>
          </cell>
        </row>
        <row r="1035">
          <cell r="B1035" t="str">
            <v>271380</v>
          </cell>
          <cell r="C1035" t="str">
            <v>Nguyễn Thị Thúy Hằng</v>
          </cell>
          <cell r="D1035" t="str">
            <v>Kỹ sư Kiểm thử</v>
          </cell>
          <cell r="E1035" t="str">
            <v>Tổng công ty Công nghiệp Công nghệ cao Viettel</v>
          </cell>
          <cell r="F1035" t="str">
            <v>Khối 2 - TCT CNC</v>
          </cell>
          <cell r="G1035" t="str">
            <v>Trung tâm Phát triển nền tảng thanh toán</v>
          </cell>
        </row>
        <row r="1036">
          <cell r="B1036" t="str">
            <v>271407</v>
          </cell>
          <cell r="C1036" t="str">
            <v>Dương Thị Thoa</v>
          </cell>
          <cell r="D1036" t="str">
            <v>Kỹ sư Kiểm thử tự động</v>
          </cell>
          <cell r="E1036" t="str">
            <v>Tổng công ty Công nghiệp Công nghệ cao Viettel</v>
          </cell>
          <cell r="F1036" t="str">
            <v>Khối 2 - TCT CNC</v>
          </cell>
          <cell r="G1036" t="str">
            <v>Trung tâm Phát triển nền tảng thanh toán</v>
          </cell>
        </row>
        <row r="1037">
          <cell r="B1037" t="str">
            <v>272784</v>
          </cell>
          <cell r="C1037" t="str">
            <v>Nguyễn Đình Minh</v>
          </cell>
          <cell r="D1037" t="str">
            <v>Kỹ sư Phát triển phần mềm</v>
          </cell>
          <cell r="E1037" t="str">
            <v>Tổng công ty Công nghiệp Công nghệ cao Viettel</v>
          </cell>
          <cell r="F1037" t="str">
            <v>Khối 2 - TCT CNC</v>
          </cell>
          <cell r="G1037" t="str">
            <v>Trung tâm Phát triển nền tảng thanh toán</v>
          </cell>
        </row>
        <row r="1038">
          <cell r="B1038" t="str">
            <v>272957</v>
          </cell>
          <cell r="C1038" t="str">
            <v>Đào Thị Trang</v>
          </cell>
          <cell r="D1038" t="str">
            <v>Kỹ sư Kiểm thử tự động</v>
          </cell>
          <cell r="E1038" t="str">
            <v>Tổng công ty Công nghiệp Công nghệ cao Viettel</v>
          </cell>
          <cell r="F1038" t="str">
            <v>Khối 2 - TCT CNC</v>
          </cell>
          <cell r="G1038" t="str">
            <v>Trung tâm Phát triển nền tảng thanh toán</v>
          </cell>
        </row>
        <row r="1039">
          <cell r="B1039" t="str">
            <v>275296</v>
          </cell>
          <cell r="C1039" t="str">
            <v>Nguyễn Đình Tâm</v>
          </cell>
          <cell r="D1039" t="str">
            <v>Kỹ sư Phát triển phần mềm</v>
          </cell>
          <cell r="E1039" t="str">
            <v>Tổng công ty Công nghiệp Công nghệ cao Viettel</v>
          </cell>
          <cell r="F1039" t="str">
            <v>Khối 2 - TCT CNC</v>
          </cell>
          <cell r="G1039" t="str">
            <v>Trung tâm Phát triển nền tảng thanh toán</v>
          </cell>
        </row>
        <row r="1040">
          <cell r="B1040" t="str">
            <v>279772</v>
          </cell>
          <cell r="C1040" t="str">
            <v>Phạm Thị Hà</v>
          </cell>
          <cell r="D1040" t="str">
            <v>Kỹ sư Phát triển phần mềm</v>
          </cell>
          <cell r="E1040" t="str">
            <v>Tổng công ty Công nghiệp Công nghệ cao Viettel</v>
          </cell>
          <cell r="F1040" t="str">
            <v>Khối 2 - TCT CNC</v>
          </cell>
          <cell r="G1040" t="str">
            <v>Trung tâm Phát triển nền tảng thanh toán</v>
          </cell>
        </row>
        <row r="1041">
          <cell r="B1041" t="str">
            <v>281998</v>
          </cell>
          <cell r="C1041" t="str">
            <v>Phạm Văn Chính</v>
          </cell>
          <cell r="D1041" t="str">
            <v>Kỹ sư Phát triển phần mềm</v>
          </cell>
          <cell r="E1041" t="str">
            <v>Tổng công ty Công nghiệp Công nghệ cao Viettel</v>
          </cell>
          <cell r="F1041" t="str">
            <v>Khối 2 - TCT CNC</v>
          </cell>
          <cell r="G1041" t="str">
            <v>Trung tâm Phát triển nền tảng thanh toán</v>
          </cell>
        </row>
        <row r="1042">
          <cell r="B1042" t="str">
            <v>288935</v>
          </cell>
          <cell r="C1042" t="str">
            <v>Đinh Ngọc Sơn</v>
          </cell>
          <cell r="D1042" t="str">
            <v>Kỹ sư Phát triển phần mềm</v>
          </cell>
          <cell r="E1042" t="str">
            <v>Tổng công ty Công nghiệp Công nghệ cao Viettel</v>
          </cell>
          <cell r="F1042" t="str">
            <v>Khối 2 - TCT CNC</v>
          </cell>
          <cell r="G1042" t="str">
            <v>Trung tâm Phát triển nền tảng thanh toán</v>
          </cell>
        </row>
        <row r="1043">
          <cell r="B1043" t="str">
            <v>292552</v>
          </cell>
          <cell r="C1043" t="str">
            <v>Cao Ngọc Sơn</v>
          </cell>
          <cell r="D1043" t="str">
            <v>Kỹ sư Phát triển phần mềm</v>
          </cell>
          <cell r="E1043" t="str">
            <v>Tổng công ty Công nghiệp Công nghệ cao Viettel</v>
          </cell>
          <cell r="F1043" t="str">
            <v>Khối 2 - TCT CNC</v>
          </cell>
          <cell r="G1043" t="str">
            <v>Trung tâm Phát triển nền tảng thanh toán</v>
          </cell>
        </row>
        <row r="1044">
          <cell r="B1044" t="str">
            <v>437633</v>
          </cell>
          <cell r="C1044" t="str">
            <v>Nguyễn Ngọc Tiến</v>
          </cell>
          <cell r="D1044" t="str">
            <v>Kỹ sư Phát triển phần mềm</v>
          </cell>
          <cell r="E1044" t="str">
            <v>Tổng công ty Công nghiệp Công nghệ cao Viettel</v>
          </cell>
          <cell r="F1044" t="str">
            <v>Khối 2 - TCT CNC</v>
          </cell>
          <cell r="G1044" t="str">
            <v>Trung tâm Phát triển nền tảng thanh toán</v>
          </cell>
        </row>
        <row r="1045">
          <cell r="B1045" t="str">
            <v>451891</v>
          </cell>
          <cell r="C1045" t="str">
            <v>Bùi Đức Chế</v>
          </cell>
          <cell r="D1045" t="str">
            <v>Kỹ sư Phát triển phần mềm</v>
          </cell>
          <cell r="E1045" t="str">
            <v>Tổng công ty Công nghiệp Công nghệ cao Viettel</v>
          </cell>
          <cell r="F1045" t="str">
            <v>Khối 2 - TCT CNC</v>
          </cell>
          <cell r="G1045" t="str">
            <v>Trung tâm Phát triển nền tảng thanh toán</v>
          </cell>
        </row>
        <row r="1046">
          <cell r="B1046" t="str">
            <v>451897</v>
          </cell>
          <cell r="C1046" t="str">
            <v>Nguyễn Đức Việt</v>
          </cell>
          <cell r="D1046" t="str">
            <v>Kỹ sư Phát triển phần mềm</v>
          </cell>
          <cell r="E1046" t="str">
            <v>Tổng công ty Công nghiệp Công nghệ cao Viettel</v>
          </cell>
          <cell r="F1046" t="str">
            <v>Khối 2 - TCT CNC</v>
          </cell>
          <cell r="G1046" t="str">
            <v>Trung tâm Phát triển nền tảng thanh toán</v>
          </cell>
        </row>
        <row r="1047">
          <cell r="B1047" t="str">
            <v>464155</v>
          </cell>
          <cell r="C1047" t="str">
            <v>Lê Văn Cường</v>
          </cell>
          <cell r="D1047" t="str">
            <v>Kỹ sư Phát triển phần mềm</v>
          </cell>
          <cell r="E1047" t="str">
            <v>Tổng công ty Công nghiệp Công nghệ cao Viettel</v>
          </cell>
          <cell r="F1047" t="str">
            <v>Khối 2 - TCT CNC</v>
          </cell>
          <cell r="G1047" t="str">
            <v>Trung tâm Phát triển nền tảng thanh toán</v>
          </cell>
        </row>
        <row r="1048">
          <cell r="B1048" t="str">
            <v>470797</v>
          </cell>
          <cell r="C1048" t="str">
            <v>Nguyễn Trung Hiếu</v>
          </cell>
          <cell r="D1048" t="str">
            <v>Kỹ sư Phát triển phần mềm</v>
          </cell>
          <cell r="E1048" t="str">
            <v>Tổng công ty Công nghiệp Công nghệ cao Viettel</v>
          </cell>
          <cell r="F1048" t="str">
            <v>Khối 2 - TCT CNC</v>
          </cell>
          <cell r="G1048" t="str">
            <v>Trung tâm Phát triển nền tảng thanh toán</v>
          </cell>
        </row>
        <row r="1049">
          <cell r="B1049" t="str">
            <v>471539</v>
          </cell>
          <cell r="C1049" t="str">
            <v>Tạ Hữu Tiến Thành</v>
          </cell>
          <cell r="D1049" t="str">
            <v>Kỹ sư Phát triển phần mềm</v>
          </cell>
          <cell r="E1049" t="str">
            <v>Tổng công ty Công nghiệp Công nghệ cao Viettel</v>
          </cell>
          <cell r="F1049" t="str">
            <v>Khối 2 - TCT CNC</v>
          </cell>
          <cell r="G1049" t="str">
            <v>Trung tâm Phát triển nền tảng thanh toán</v>
          </cell>
        </row>
        <row r="1050">
          <cell r="B1050" t="str">
            <v>471541</v>
          </cell>
          <cell r="C1050" t="str">
            <v>Đặng Hữu Công Hiếu</v>
          </cell>
          <cell r="D1050" t="str">
            <v>Kỹ sư Phát triển phần mềm</v>
          </cell>
          <cell r="E1050" t="str">
            <v>Tổng công ty Công nghiệp Công nghệ cao Viettel</v>
          </cell>
          <cell r="F1050" t="str">
            <v>Khối 2 - TCT CNC</v>
          </cell>
          <cell r="G1050" t="str">
            <v>Trung tâm Phát triển nền tảng thanh toán</v>
          </cell>
        </row>
        <row r="1051">
          <cell r="B1051" t="str">
            <v>472153</v>
          </cell>
          <cell r="C1051" t="str">
            <v>Trịnh Quang Quân</v>
          </cell>
          <cell r="D1051" t="str">
            <v>Kỹ sư Phát triển phần mềm</v>
          </cell>
          <cell r="E1051" t="str">
            <v>Tổng công ty Công nghiệp Công nghệ cao Viettel</v>
          </cell>
          <cell r="F1051" t="str">
            <v>Khối 2 - TCT CNC</v>
          </cell>
          <cell r="G1051" t="str">
            <v>Trung tâm Phát triển nền tảng thanh toán</v>
          </cell>
        </row>
        <row r="1052">
          <cell r="B1052" t="str">
            <v>472733</v>
          </cell>
          <cell r="C1052" t="str">
            <v>Nguyễn Tiến Quang</v>
          </cell>
          <cell r="D1052" t="str">
            <v>Kỹ sư Phát triển phần mềm</v>
          </cell>
          <cell r="E1052" t="str">
            <v>Tổng công ty Công nghiệp Công nghệ cao Viettel</v>
          </cell>
          <cell r="F1052" t="str">
            <v>Khối 2 - TCT CNC</v>
          </cell>
          <cell r="G1052" t="str">
            <v>Trung tâm Phát triển nền tảng thanh toán</v>
          </cell>
        </row>
        <row r="1053">
          <cell r="B1053" t="str">
            <v>473081</v>
          </cell>
          <cell r="C1053" t="str">
            <v>Lê Văn Đức</v>
          </cell>
          <cell r="D1053" t="str">
            <v>Kỹ sư Phát triển phần mềm</v>
          </cell>
          <cell r="E1053" t="str">
            <v>Tổng công ty Công nghiệp Công nghệ cao Viettel</v>
          </cell>
          <cell r="F1053" t="str">
            <v>Khối 2 - TCT CNC</v>
          </cell>
          <cell r="G1053" t="str">
            <v>Trung tâm Phát triển nền tảng thanh toán</v>
          </cell>
        </row>
        <row r="1054">
          <cell r="B1054" t="str">
            <v>474291</v>
          </cell>
          <cell r="C1054" t="str">
            <v>Nguyễn Thị Thu Phương</v>
          </cell>
          <cell r="D1054" t="str">
            <v>Kỹ sư Phát triển phần mềm</v>
          </cell>
          <cell r="E1054" t="str">
            <v>Tổng công ty Công nghiệp Công nghệ cao Viettel</v>
          </cell>
          <cell r="F1054" t="str">
            <v>Khối 2 - TCT CNC</v>
          </cell>
          <cell r="G1054" t="str">
            <v>Trung tâm Phát triển nền tảng thanh toán</v>
          </cell>
        </row>
        <row r="1055">
          <cell r="B1055" t="str">
            <v>475051</v>
          </cell>
          <cell r="C1055" t="str">
            <v>Công Nghĩa Hiếu</v>
          </cell>
          <cell r="D1055" t="str">
            <v>Kỹ sư Phát triển phần mềm</v>
          </cell>
          <cell r="E1055" t="str">
            <v>Tổng công ty Công nghiệp Công nghệ cao Viettel</v>
          </cell>
          <cell r="F1055" t="str">
            <v>Khối 2 - TCT CNC</v>
          </cell>
          <cell r="G1055" t="str">
            <v>Trung tâm Phát triển nền tảng thanh toán</v>
          </cell>
        </row>
        <row r="1056">
          <cell r="B1056" t="str">
            <v>475623</v>
          </cell>
          <cell r="C1056" t="str">
            <v>Nguyễn Minh Đức</v>
          </cell>
          <cell r="D1056" t="str">
            <v>Kỹ sư Phát triển phần mềm</v>
          </cell>
          <cell r="E1056" t="str">
            <v>Tổng công ty Công nghiệp Công nghệ cao Viettel</v>
          </cell>
          <cell r="F1056" t="str">
            <v>Khối 2 - TCT CNC</v>
          </cell>
          <cell r="G1056" t="str">
            <v>Trung tâm Phát triển nền tảng thanh toán</v>
          </cell>
        </row>
        <row r="1057">
          <cell r="B1057" t="str">
            <v>475713</v>
          </cell>
          <cell r="C1057" t="str">
            <v>Lã Kiều Ngọc Thăng</v>
          </cell>
          <cell r="D1057" t="str">
            <v>Kỹ sư Phát triển phần mềm</v>
          </cell>
          <cell r="E1057" t="str">
            <v>Tổng công ty Công nghiệp Công nghệ cao Viettel</v>
          </cell>
          <cell r="F1057" t="str">
            <v>Khối 2 - TCT CNC</v>
          </cell>
          <cell r="G1057" t="str">
            <v>Trung tâm Phát triển nền tảng thanh toán</v>
          </cell>
        </row>
        <row r="1058">
          <cell r="B1058" t="str">
            <v>476979</v>
          </cell>
          <cell r="C1058" t="str">
            <v>Phạm Ngọc Minh</v>
          </cell>
          <cell r="D1058" t="str">
            <v>Kỹ sư Phát triển phần mềm</v>
          </cell>
          <cell r="E1058" t="str">
            <v>Tổng công ty Công nghiệp Công nghệ cao Viettel</v>
          </cell>
          <cell r="F1058" t="str">
            <v>Khối 2 - TCT CNC</v>
          </cell>
          <cell r="G1058" t="str">
            <v>Trung tâm Phát triển nền tảng thanh toán</v>
          </cell>
        </row>
        <row r="1059">
          <cell r="B1059" t="str">
            <v>004110</v>
          </cell>
          <cell r="C1059" t="str">
            <v>Phùng Hải Nam</v>
          </cell>
          <cell r="D1059" t="str">
            <v>Kỹ sư triển khai dự án</v>
          </cell>
          <cell r="E1059" t="str">
            <v>Tổng công ty Công nghiệp Công nghệ cao Viettel</v>
          </cell>
          <cell r="F1059" t="str">
            <v>Khối 2 - TCT CNC</v>
          </cell>
          <cell r="G1059" t="str">
            <v>Trung tâm dịch vụ sau bán hàng</v>
          </cell>
        </row>
        <row r="1060">
          <cell r="B1060" t="str">
            <v>011220</v>
          </cell>
          <cell r="C1060" t="str">
            <v>Phan Viết Thời</v>
          </cell>
          <cell r="D1060" t="str">
            <v>Kỹ sư Giải pháp nghiệp vụ</v>
          </cell>
          <cell r="E1060" t="str">
            <v>Tổng công ty Công nghiệp Công nghệ cao Viettel</v>
          </cell>
          <cell r="F1060" t="str">
            <v>Khối 2 - TCT CNC</v>
          </cell>
          <cell r="G1060" t="str">
            <v>Trung tâm dịch vụ sau bán hàng</v>
          </cell>
        </row>
        <row r="1061">
          <cell r="B1061" t="str">
            <v>059084</v>
          </cell>
          <cell r="C1061" t="str">
            <v>Mai Đức Hoàng</v>
          </cell>
          <cell r="D1061" t="str">
            <v>Kỹ sư Hỗ trợ kỹ thuật</v>
          </cell>
          <cell r="E1061" t="str">
            <v>Tổng công ty Công nghiệp Công nghệ cao Viettel</v>
          </cell>
          <cell r="F1061" t="str">
            <v>Khối 2 - TCT CNC</v>
          </cell>
          <cell r="G1061" t="str">
            <v>Trung tâm dịch vụ sau bán hàng</v>
          </cell>
        </row>
        <row r="1062">
          <cell r="B1062" t="str">
            <v>067078</v>
          </cell>
          <cell r="C1062" t="str">
            <v>Nguyễn Văn Quang</v>
          </cell>
          <cell r="D1062" t="str">
            <v>Giám đốc Trung tâm</v>
          </cell>
          <cell r="E1062" t="str">
            <v>Tổng công ty Công nghiệp Công nghệ cao Viettel</v>
          </cell>
          <cell r="F1062" t="str">
            <v>Khối 2 - TCT CNC</v>
          </cell>
          <cell r="G1062" t="str">
            <v>Trung tâm dịch vụ sau bán hàng</v>
          </cell>
        </row>
        <row r="1063">
          <cell r="B1063" t="str">
            <v>071850</v>
          </cell>
          <cell r="C1063" t="str">
            <v>Vũ Trường Long</v>
          </cell>
          <cell r="D1063" t="str">
            <v>Kỹ sư triển khai dự án</v>
          </cell>
          <cell r="E1063" t="str">
            <v>Tổng công ty Công nghiệp Công nghệ cao Viettel</v>
          </cell>
          <cell r="F1063" t="str">
            <v>Khối 2 - TCT CNC</v>
          </cell>
          <cell r="G1063" t="str">
            <v>Trung tâm dịch vụ sau bán hàng</v>
          </cell>
        </row>
        <row r="1064">
          <cell r="B1064" t="str">
            <v>080794</v>
          </cell>
          <cell r="C1064" t="str">
            <v>Nguyễn Xuân Thắng</v>
          </cell>
          <cell r="D1064" t="str">
            <v>Trưởng phòng Triển khai sản phẩm truy nhập và đầu cuối</v>
          </cell>
          <cell r="E1064" t="str">
            <v>Tổng công ty Công nghiệp Công nghệ cao Viettel</v>
          </cell>
          <cell r="F1064" t="str">
            <v>Khối 2 - TCT CNC</v>
          </cell>
          <cell r="G1064" t="str">
            <v>Trung tâm dịch vụ sau bán hàng</v>
          </cell>
        </row>
        <row r="1065">
          <cell r="B1065" t="str">
            <v>098698</v>
          </cell>
          <cell r="C1065" t="str">
            <v>Nguyễn Hạc Tú</v>
          </cell>
          <cell r="D1065" t="str">
            <v>Trưởng phòng Triển khai sản phẩm mạng lõi và ứng dụng</v>
          </cell>
          <cell r="E1065" t="str">
            <v>Tổng công ty Công nghiệp Công nghệ cao Viettel</v>
          </cell>
          <cell r="F1065" t="str">
            <v>Khối 2 - TCT CNC</v>
          </cell>
          <cell r="G1065" t="str">
            <v>Trung tâm dịch vụ sau bán hàng</v>
          </cell>
        </row>
        <row r="1066">
          <cell r="B1066" t="str">
            <v>102016</v>
          </cell>
          <cell r="C1066" t="str">
            <v>Hoàng Trung Hiếu</v>
          </cell>
          <cell r="D1066" t="str">
            <v>Kỹ sư Triển khai hạ tầng</v>
          </cell>
          <cell r="E1066" t="str">
            <v>Tổng công ty Công nghiệp Công nghệ cao Viettel</v>
          </cell>
          <cell r="F1066" t="str">
            <v>Khối 2 - TCT CNC</v>
          </cell>
          <cell r="G1066" t="str">
            <v>Trung tâm dịch vụ sau bán hàng</v>
          </cell>
        </row>
        <row r="1067">
          <cell r="B1067" t="str">
            <v>121486</v>
          </cell>
          <cell r="C1067" t="str">
            <v>Phạm Trọng Trường</v>
          </cell>
          <cell r="D1067" t="str">
            <v>Kỹ sư Triển khai hạ tầng</v>
          </cell>
          <cell r="E1067" t="str">
            <v>Tổng công ty Công nghiệp Công nghệ cao Viettel</v>
          </cell>
          <cell r="F1067" t="str">
            <v>Khối 2 - TCT CNC</v>
          </cell>
          <cell r="G1067" t="str">
            <v>Trung tâm dịch vụ sau bán hàng</v>
          </cell>
        </row>
        <row r="1068">
          <cell r="B1068" t="str">
            <v>122226</v>
          </cell>
          <cell r="C1068" t="str">
            <v>Đặng Thanh Bình</v>
          </cell>
          <cell r="D1068" t="str">
            <v>Kỹ sư triển khai dự án</v>
          </cell>
          <cell r="E1068" t="str">
            <v>Tổng công ty Công nghiệp Công nghệ cao Viettel</v>
          </cell>
          <cell r="F1068" t="str">
            <v>Khối 2 - TCT CNC</v>
          </cell>
          <cell r="G1068" t="str">
            <v>Trung tâm dịch vụ sau bán hàng</v>
          </cell>
        </row>
        <row r="1069">
          <cell r="B1069" t="str">
            <v>125172</v>
          </cell>
          <cell r="C1069" t="str">
            <v>Phạm Quang Hiệp</v>
          </cell>
          <cell r="D1069" t="str">
            <v>Kỹ sư triển khai dự án</v>
          </cell>
          <cell r="E1069" t="str">
            <v>Tổng công ty Công nghiệp Công nghệ cao Viettel</v>
          </cell>
          <cell r="F1069" t="str">
            <v>Khối 2 - TCT CNC</v>
          </cell>
          <cell r="G1069" t="str">
            <v>Trung tâm dịch vụ sau bán hàng</v>
          </cell>
        </row>
        <row r="1070">
          <cell r="B1070" t="str">
            <v>177555</v>
          </cell>
          <cell r="C1070" t="str">
            <v>Phạm Thị Phương</v>
          </cell>
          <cell r="D1070" t="str">
            <v>Kỹ sư hỗ trợ kỹ thuật</v>
          </cell>
          <cell r="E1070" t="str">
            <v>Tổng công ty Công nghiệp Công nghệ cao Viettel</v>
          </cell>
          <cell r="F1070" t="str">
            <v>Khối 2 - TCT CNC</v>
          </cell>
          <cell r="G1070" t="str">
            <v>Trung tâm dịch vụ sau bán hàng</v>
          </cell>
        </row>
        <row r="1071">
          <cell r="B1071" t="str">
            <v>177560</v>
          </cell>
          <cell r="C1071" t="str">
            <v>Trần Văn Hùng</v>
          </cell>
          <cell r="D1071" t="str">
            <v>Kỹ sư Triển khai hệ thống</v>
          </cell>
          <cell r="E1071" t="str">
            <v>Tổng công ty Công nghiệp Công nghệ cao Viettel</v>
          </cell>
          <cell r="F1071" t="str">
            <v>Khối 2 - TCT CNC</v>
          </cell>
          <cell r="G1071" t="str">
            <v>Trung tâm dịch vụ sau bán hàng</v>
          </cell>
        </row>
        <row r="1072">
          <cell r="B1072" t="str">
            <v>194627</v>
          </cell>
          <cell r="C1072" t="str">
            <v>Nguyễn Minh Tuấn</v>
          </cell>
          <cell r="D1072" t="str">
            <v>Kỹ sư Triển khai hạ tầng</v>
          </cell>
          <cell r="E1072" t="str">
            <v>Tổng công ty Công nghiệp Công nghệ cao Viettel</v>
          </cell>
          <cell r="F1072" t="str">
            <v>Khối 2 - TCT CNC</v>
          </cell>
          <cell r="G1072" t="str">
            <v>Trung tâm dịch vụ sau bán hàng</v>
          </cell>
        </row>
        <row r="1073">
          <cell r="B1073" t="str">
            <v>196175</v>
          </cell>
          <cell r="C1073" t="str">
            <v>Lê Thị Hà</v>
          </cell>
          <cell r="D1073" t="str">
            <v>Kỹ sư Hỗ trợ kỹ thuật</v>
          </cell>
          <cell r="E1073" t="str">
            <v>Tổng công ty Công nghiệp Công nghệ cao Viettel</v>
          </cell>
          <cell r="F1073" t="str">
            <v>Khối 2 - TCT CNC</v>
          </cell>
          <cell r="G1073" t="str">
            <v>Trung tâm dịch vụ sau bán hàng</v>
          </cell>
        </row>
        <row r="1074">
          <cell r="B1074" t="str">
            <v>199311</v>
          </cell>
          <cell r="C1074" t="str">
            <v>Nguyễn Văn Hân</v>
          </cell>
          <cell r="D1074" t="str">
            <v>Kỹ sư Triển khai hạ tầng</v>
          </cell>
          <cell r="E1074" t="str">
            <v>Tổng công ty Công nghiệp Công nghệ cao Viettel</v>
          </cell>
          <cell r="F1074" t="str">
            <v>Khối 2 - TCT CNC</v>
          </cell>
          <cell r="G1074" t="str">
            <v>Trung tâm dịch vụ sau bán hàng</v>
          </cell>
        </row>
        <row r="1075">
          <cell r="B1075" t="str">
            <v>208987</v>
          </cell>
          <cell r="C1075" t="str">
            <v>Nguyễn Minh Đức</v>
          </cell>
          <cell r="D1075" t="str">
            <v>Kỹ sư Triển khai hệ thống</v>
          </cell>
          <cell r="E1075" t="str">
            <v>Tổng công ty Công nghiệp Công nghệ cao Viettel</v>
          </cell>
          <cell r="F1075" t="str">
            <v>Khối 2 - TCT CNC</v>
          </cell>
          <cell r="G1075" t="str">
            <v>Trung tâm dịch vụ sau bán hàng</v>
          </cell>
        </row>
        <row r="1076">
          <cell r="B1076" t="str">
            <v>458969</v>
          </cell>
          <cell r="C1076" t="str">
            <v>Lê Xuân Đông</v>
          </cell>
          <cell r="D1076" t="str">
            <v>Kỹ sư Triển khai hệ thống</v>
          </cell>
          <cell r="E1076" t="str">
            <v>Tổng công ty Công nghiệp Công nghệ cao Viettel</v>
          </cell>
          <cell r="F1076" t="str">
            <v>Khối 2 - TCT CNC</v>
          </cell>
          <cell r="G1076" t="str">
            <v>Trung tâm dịch vụ sau bán hàng</v>
          </cell>
        </row>
        <row r="1077">
          <cell r="B1077" t="str">
            <v>459763</v>
          </cell>
          <cell r="C1077" t="str">
            <v>Trần Tuấn Anh</v>
          </cell>
          <cell r="D1077" t="str">
            <v>Kỹ sư Triển khai hệ thống</v>
          </cell>
          <cell r="E1077" t="str">
            <v>Tổng công ty Công nghiệp Công nghệ cao Viettel</v>
          </cell>
          <cell r="F1077" t="str">
            <v>Khối 2 - TCT CNC</v>
          </cell>
          <cell r="G1077" t="str">
            <v>Trung tâm dịch vụ sau bán hàng</v>
          </cell>
        </row>
        <row r="1078">
          <cell r="B1078" t="str">
            <v>465721</v>
          </cell>
          <cell r="C1078" t="str">
            <v>Nguyễn Bá Trường</v>
          </cell>
          <cell r="D1078" t="str">
            <v>Kỹ sư Triển khai hệ thống</v>
          </cell>
          <cell r="E1078" t="str">
            <v>Tổng công ty Công nghiệp Công nghệ cao Viettel</v>
          </cell>
          <cell r="F1078" t="str">
            <v>Khối 2 - TCT CNC</v>
          </cell>
          <cell r="G1078" t="str">
            <v>Trung tâm dịch vụ sau bán hàng</v>
          </cell>
        </row>
        <row r="1079">
          <cell r="B1079" t="str">
            <v>467163</v>
          </cell>
          <cell r="C1079" t="str">
            <v>Phan Minh Đức</v>
          </cell>
          <cell r="D1079" t="str">
            <v>Kỹ sư Triển khai hệ thống</v>
          </cell>
          <cell r="E1079" t="str">
            <v>Tổng công ty Công nghiệp Công nghệ cao Viettel</v>
          </cell>
          <cell r="F1079" t="str">
            <v>Khối 2 - TCT CNC</v>
          </cell>
          <cell r="G1079" t="str">
            <v>Trung tâm dịch vụ sau bán hàng</v>
          </cell>
        </row>
        <row r="1080">
          <cell r="B1080" t="str">
            <v>470409</v>
          </cell>
          <cell r="C1080" t="str">
            <v>Hoàng Minh Đức</v>
          </cell>
          <cell r="D1080" t="str">
            <v>Kỹ sư Triển khai hệ thống</v>
          </cell>
          <cell r="E1080" t="str">
            <v>Tổng công ty Công nghiệp Công nghệ cao Viettel</v>
          </cell>
          <cell r="F1080" t="str">
            <v>Khối 2 - TCT CNC</v>
          </cell>
          <cell r="G1080" t="str">
            <v>Trung tâm dịch vụ sau bán hàng</v>
          </cell>
        </row>
        <row r="1081">
          <cell r="B1081" t="str">
            <v>470411</v>
          </cell>
          <cell r="C1081" t="str">
            <v>Nguyễn Thế Vinh</v>
          </cell>
          <cell r="D1081" t="str">
            <v>Kỹ sư Triển khai hạ tầng</v>
          </cell>
          <cell r="E1081" t="str">
            <v>Tổng công ty Công nghiệp Công nghệ cao Viettel</v>
          </cell>
          <cell r="F1081" t="str">
            <v>Khối 2 - TCT CNC</v>
          </cell>
          <cell r="G1081" t="str">
            <v>Trung tâm dịch vụ sau bán hàng</v>
          </cell>
        </row>
        <row r="1082">
          <cell r="B1082" t="str">
            <v>011350</v>
          </cell>
          <cell r="C1082" t="str">
            <v>Nguyễn Hoàng Long</v>
          </cell>
          <cell r="D1082" t="str">
            <v>Phó Giám đốc Khối</v>
          </cell>
          <cell r="E1082" t="str">
            <v>Tổng công ty Công nghiệp Công nghệ cao Viettel</v>
          </cell>
          <cell r="F1082" t="str">
            <v>Khối 3 - TCT CNC</v>
          </cell>
          <cell r="G1082" t="str">
            <v>Ban Giám đốc</v>
          </cell>
        </row>
        <row r="1083">
          <cell r="B1083" t="str">
            <v>007589</v>
          </cell>
          <cell r="C1083" t="str">
            <v>Phạm Minh Nghĩa</v>
          </cell>
          <cell r="D1083" t="str">
            <v>Phó phòng Kinh doanh</v>
          </cell>
          <cell r="E1083" t="str">
            <v>Tổng công ty Công nghiệp Công nghệ cao Viettel</v>
          </cell>
          <cell r="F1083" t="str">
            <v>Khối 3 - TCT CNC</v>
          </cell>
          <cell r="G1083" t="str">
            <v>Phòng Kinh doanh</v>
          </cell>
        </row>
        <row r="1084">
          <cell r="B1084" t="str">
            <v>196336</v>
          </cell>
          <cell r="C1084" t="str">
            <v>Dương Thúy Hằng</v>
          </cell>
          <cell r="D1084" t="str">
            <v>Nhân viên Kinh doanh</v>
          </cell>
          <cell r="E1084" t="str">
            <v>Tổng công ty Công nghiệp Công nghệ cao Viettel</v>
          </cell>
          <cell r="F1084" t="str">
            <v>Khối 3 - TCT CNC</v>
          </cell>
          <cell r="G1084" t="str">
            <v>Phòng Kinh doanh</v>
          </cell>
        </row>
        <row r="1085">
          <cell r="B1085" t="str">
            <v>209509</v>
          </cell>
          <cell r="C1085" t="str">
            <v>Nguyễn Thị Mai Anh</v>
          </cell>
          <cell r="D1085" t="str">
            <v>Chuyên viên Kinh doanh</v>
          </cell>
          <cell r="E1085" t="str">
            <v>Tổng công ty Công nghiệp Công nghệ cao Viettel</v>
          </cell>
          <cell r="F1085" t="str">
            <v>Khối 3 - TCT CNC</v>
          </cell>
          <cell r="G1085" t="str">
            <v>Phòng Kinh doanh</v>
          </cell>
        </row>
        <row r="1086">
          <cell r="B1086" t="str">
            <v>276311</v>
          </cell>
          <cell r="C1086" t="str">
            <v>Trần Quốc Dũng</v>
          </cell>
          <cell r="D1086" t="str">
            <v>Nhân viên Kinh doanh</v>
          </cell>
          <cell r="E1086" t="str">
            <v>Tổng công ty Công nghiệp Công nghệ cao Viettel</v>
          </cell>
          <cell r="F1086" t="str">
            <v>Khối 3 - TCT CNC</v>
          </cell>
          <cell r="G1086" t="str">
            <v>Phòng Kinh doanh</v>
          </cell>
        </row>
        <row r="1087">
          <cell r="B1087" t="str">
            <v>427204</v>
          </cell>
          <cell r="C1087" t="str">
            <v>Nguyễn Thị Phương Anh</v>
          </cell>
          <cell r="D1087" t="str">
            <v>Nhân viên Kinh doanh</v>
          </cell>
          <cell r="E1087" t="str">
            <v>Tổng công ty Công nghiệp Công nghệ cao Viettel</v>
          </cell>
          <cell r="F1087" t="str">
            <v>Khối 3 - TCT CNC</v>
          </cell>
          <cell r="G1087" t="str">
            <v>Phòng Kinh doanh</v>
          </cell>
        </row>
        <row r="1088">
          <cell r="B1088" t="str">
            <v>176573</v>
          </cell>
          <cell r="C1088" t="str">
            <v>Diệp Thị Tư</v>
          </cell>
          <cell r="D1088" t="str">
            <v>Phó phòng Quản lý chất lượng</v>
          </cell>
          <cell r="E1088" t="str">
            <v>Tổng công ty Công nghiệp Công nghệ cao Viettel</v>
          </cell>
          <cell r="F1088" t="str">
            <v>Khối 3 - TCT CNC</v>
          </cell>
          <cell r="G1088" t="str">
            <v>Phòng Quản lý chất lượng</v>
          </cell>
        </row>
        <row r="1089">
          <cell r="B1089" t="str">
            <v>196208</v>
          </cell>
          <cell r="C1089" t="str">
            <v>Phí Thị Thu Giang</v>
          </cell>
          <cell r="D1089" t="str">
            <v>Kỹ sư kiểm định phần mềm</v>
          </cell>
          <cell r="E1089" t="str">
            <v>Tổng công ty Công nghiệp Công nghệ cao Viettel</v>
          </cell>
          <cell r="F1089" t="str">
            <v>Khối 3 - TCT CNC</v>
          </cell>
          <cell r="G1089" t="str">
            <v>Phòng Quản lý chất lượng</v>
          </cell>
        </row>
        <row r="1090">
          <cell r="B1090" t="str">
            <v>232734</v>
          </cell>
          <cell r="C1090" t="str">
            <v>Chu Thị Ánh Hồng</v>
          </cell>
          <cell r="D1090" t="str">
            <v>Kỹ sư Kiểm định phần mềm</v>
          </cell>
          <cell r="E1090" t="str">
            <v>Tổng công ty Công nghiệp Công nghệ cao Viettel</v>
          </cell>
          <cell r="F1090" t="str">
            <v>Khối 3 - TCT CNC</v>
          </cell>
          <cell r="G1090" t="str">
            <v>Phòng Quản lý chất lượng</v>
          </cell>
        </row>
        <row r="1091">
          <cell r="B1091" t="str">
            <v>243025</v>
          </cell>
          <cell r="C1091" t="str">
            <v>Ngô Thị Yến Linh</v>
          </cell>
          <cell r="D1091" t="str">
            <v>Kỹ sư Kiểm định phần mềm</v>
          </cell>
          <cell r="E1091" t="str">
            <v>Tổng công ty Công nghiệp Công nghệ cao Viettel</v>
          </cell>
          <cell r="F1091" t="str">
            <v>Khối 3 - TCT CNC</v>
          </cell>
          <cell r="G1091" t="str">
            <v>Phòng Quản lý chất lượng</v>
          </cell>
        </row>
        <row r="1092">
          <cell r="B1092" t="str">
            <v>271575</v>
          </cell>
          <cell r="C1092" t="str">
            <v>Lê Thị Lan Hương</v>
          </cell>
          <cell r="D1092" t="str">
            <v>Kỹ sư Đảm bảo chất lượng</v>
          </cell>
          <cell r="E1092" t="str">
            <v>Tổng công ty Công nghiệp Công nghệ cao Viettel</v>
          </cell>
          <cell r="F1092" t="str">
            <v>Khối 3 - TCT CNC</v>
          </cell>
          <cell r="G1092" t="str">
            <v>Phòng Quản lý chất lượng</v>
          </cell>
        </row>
        <row r="1093">
          <cell r="B1093" t="str">
            <v>440214</v>
          </cell>
          <cell r="C1093" t="str">
            <v>Nguyễn Thị Lan Anh</v>
          </cell>
          <cell r="D1093" t="str">
            <v>Kỹ sư Kiểm định phần mềm</v>
          </cell>
          <cell r="E1093" t="str">
            <v>Tổng công ty Công nghiệp Công nghệ cao Viettel</v>
          </cell>
          <cell r="F1093" t="str">
            <v>Khối 3 - TCT CNC</v>
          </cell>
          <cell r="G1093" t="str">
            <v>Phòng Quản lý chất lượng</v>
          </cell>
        </row>
        <row r="1094">
          <cell r="B1094" t="str">
            <v>452469</v>
          </cell>
          <cell r="C1094" t="str">
            <v>Nguyễn Thị Thu Hiền</v>
          </cell>
          <cell r="D1094" t="str">
            <v>Kỹ sư Kiểm định phần mềm</v>
          </cell>
          <cell r="E1094" t="str">
            <v>Tổng công ty Công nghiệp Công nghệ cao Viettel</v>
          </cell>
          <cell r="F1094" t="str">
            <v>Khối 3 - TCT CNC</v>
          </cell>
          <cell r="G1094" t="str">
            <v>Phòng Quản lý chất lượng</v>
          </cell>
        </row>
        <row r="1095">
          <cell r="B1095" t="str">
            <v>473667</v>
          </cell>
          <cell r="C1095" t="str">
            <v>Nguyễn Thị Lan</v>
          </cell>
          <cell r="D1095" t="str">
            <v>Kỹ sư Kiểm định phần mềm</v>
          </cell>
          <cell r="E1095" t="str">
            <v>Tổng công ty Công nghiệp Công nghệ cao Viettel</v>
          </cell>
          <cell r="F1095" t="str">
            <v>Khối 3 - TCT CNC</v>
          </cell>
          <cell r="G1095" t="str">
            <v>Phòng Quản lý chất lượng</v>
          </cell>
        </row>
        <row r="1096">
          <cell r="B1096" t="str">
            <v>476951</v>
          </cell>
          <cell r="C1096" t="str">
            <v>Đào Thị Phương Nga</v>
          </cell>
          <cell r="D1096" t="str">
            <v>Kỹ sư Kiểm định phần mềm</v>
          </cell>
          <cell r="E1096" t="str">
            <v>Tổng công ty Công nghiệp Công nghệ cao Viettel</v>
          </cell>
          <cell r="F1096" t="str">
            <v>Khối 3 - TCT CNC</v>
          </cell>
          <cell r="G1096" t="str">
            <v>Phòng Quản lý chất lượng</v>
          </cell>
        </row>
        <row r="1097">
          <cell r="B1097" t="str">
            <v>011034</v>
          </cell>
          <cell r="C1097" t="str">
            <v>Nguyễn Thị Luyện</v>
          </cell>
          <cell r="D1097" t="str">
            <v>Nhân viên Quản lý Dự án</v>
          </cell>
          <cell r="E1097" t="str">
            <v>Tổng công ty Công nghiệp Công nghệ cao Viettel</v>
          </cell>
          <cell r="F1097" t="str">
            <v>Khối 3 - TCT CNC</v>
          </cell>
          <cell r="G1097" t="str">
            <v>Phòng Tổng hợp</v>
          </cell>
        </row>
        <row r="1098">
          <cell r="B1098" t="str">
            <v>026567</v>
          </cell>
          <cell r="C1098" t="str">
            <v>Nông Thị Minh Hiến</v>
          </cell>
          <cell r="D1098" t="str">
            <v>Trợ lý Đề tài</v>
          </cell>
          <cell r="E1098" t="str">
            <v>Tổng công ty Công nghiệp Công nghệ cao Viettel</v>
          </cell>
          <cell r="F1098" t="str">
            <v>Khối 3 - TCT CNC</v>
          </cell>
          <cell r="G1098" t="str">
            <v>Phòng Tổng hợp</v>
          </cell>
        </row>
        <row r="1099">
          <cell r="B1099" t="str">
            <v>047512</v>
          </cell>
          <cell r="C1099" t="str">
            <v>Trần Nguyễn Dũng</v>
          </cell>
          <cell r="D1099" t="str">
            <v>Nhân viên Kế hoạch Tổng hợp</v>
          </cell>
          <cell r="E1099" t="str">
            <v>Tổng công ty Công nghiệp Công nghệ cao Viettel</v>
          </cell>
          <cell r="F1099" t="str">
            <v>Khối 3 - TCT CNC</v>
          </cell>
          <cell r="G1099" t="str">
            <v>Phòng Tổng hợp</v>
          </cell>
        </row>
        <row r="1100">
          <cell r="B1100" t="str">
            <v>087198</v>
          </cell>
          <cell r="C1100" t="str">
            <v>Hoàng Minh Châu</v>
          </cell>
          <cell r="D1100" t="str">
            <v>Trưởng phòng Tổng hợp</v>
          </cell>
          <cell r="E1100" t="str">
            <v>Tổng công ty Công nghiệp Công nghệ cao Viettel</v>
          </cell>
          <cell r="F1100" t="str">
            <v>Khối 3 - TCT CNC</v>
          </cell>
          <cell r="G1100" t="str">
            <v>Phòng Tổng hợp</v>
          </cell>
        </row>
        <row r="1101">
          <cell r="B1101" t="str">
            <v>204328</v>
          </cell>
          <cell r="C1101" t="str">
            <v>Nguyễn Thị Hòa</v>
          </cell>
          <cell r="D1101" t="str">
            <v>Nhân viên Quản lý Dự án</v>
          </cell>
          <cell r="E1101" t="str">
            <v>Tổng công ty Công nghiệp Công nghệ cao Viettel</v>
          </cell>
          <cell r="F1101" t="str">
            <v>Khối 3 - TCT CNC</v>
          </cell>
          <cell r="G1101" t="str">
            <v>Phòng Tổng hợp</v>
          </cell>
        </row>
        <row r="1102">
          <cell r="B1102" t="str">
            <v>047173</v>
          </cell>
          <cell r="C1102" t="str">
            <v>Nguyễn Quang Dũng</v>
          </cell>
          <cell r="D1102" t="str">
            <v>Kỹ sư Quản lý tích hợp và thử nghiệm</v>
          </cell>
          <cell r="E1102" t="str">
            <v>Tổng công ty Công nghiệp Công nghệ cao Viettel</v>
          </cell>
          <cell r="F1102" t="str">
            <v>Khối 3 - TCT CNC</v>
          </cell>
          <cell r="G1102" t="str">
            <v>Trung tâm Camera</v>
          </cell>
        </row>
        <row r="1103">
          <cell r="B1103" t="str">
            <v>056954</v>
          </cell>
          <cell r="C1103" t="str">
            <v>Nguyễn Mạnh Hùng</v>
          </cell>
          <cell r="D1103" t="str">
            <v>Kỹ sư Quản lý tích hợp và thử nghiệm</v>
          </cell>
          <cell r="E1103" t="str">
            <v>Tổng công ty Công nghiệp Công nghệ cao Viettel</v>
          </cell>
          <cell r="F1103" t="str">
            <v>Khối 3 - TCT CNC</v>
          </cell>
          <cell r="G1103" t="str">
            <v>Trung tâm Camera</v>
          </cell>
        </row>
        <row r="1104">
          <cell r="B1104" t="str">
            <v>059037</v>
          </cell>
          <cell r="C1104" t="str">
            <v>Văn Tuấn Cường</v>
          </cell>
          <cell r="D1104" t="str">
            <v>Kỹ sư trưởng Công nghệ</v>
          </cell>
          <cell r="E1104" t="str">
            <v>Tổng công ty Công nghiệp Công nghệ cao Viettel</v>
          </cell>
          <cell r="F1104" t="str">
            <v>Khối 3 - TCT CNC</v>
          </cell>
          <cell r="G1104" t="str">
            <v>Trung tâm Camera</v>
          </cell>
        </row>
        <row r="1105">
          <cell r="B1105" t="str">
            <v>110558</v>
          </cell>
          <cell r="C1105" t="str">
            <v>Nguyễn Tiến Hiến</v>
          </cell>
          <cell r="D1105" t="str">
            <v>Trưởng phòng Phần mềm Ứng dụng</v>
          </cell>
          <cell r="E1105" t="str">
            <v>Tổng công ty Công nghiệp Công nghệ cao Viettel</v>
          </cell>
          <cell r="F1105" t="str">
            <v>Khối 3 - TCT CNC</v>
          </cell>
          <cell r="G1105" t="str">
            <v>Trung tâm Camera</v>
          </cell>
        </row>
        <row r="1106">
          <cell r="B1106" t="str">
            <v>125508</v>
          </cell>
          <cell r="C1106" t="str">
            <v>Vũ Đức Chính</v>
          </cell>
          <cell r="D1106" t="str">
            <v>Phó Giám đốc Trung tâm</v>
          </cell>
          <cell r="E1106" t="str">
            <v>Tổng công ty Công nghiệp Công nghệ cao Viettel</v>
          </cell>
          <cell r="F1106" t="str">
            <v>Khối 3 - TCT CNC</v>
          </cell>
          <cell r="G1106" t="str">
            <v>Trung tâm Camera</v>
          </cell>
        </row>
        <row r="1107">
          <cell r="B1107" t="str">
            <v>131748</v>
          </cell>
          <cell r="C1107" t="str">
            <v>Phạm Trung Kiên</v>
          </cell>
          <cell r="D1107" t="str">
            <v>Kỹ sư trưởng Công nghệ</v>
          </cell>
          <cell r="E1107" t="str">
            <v>Tổng công ty Công nghiệp Công nghệ cao Viettel</v>
          </cell>
          <cell r="F1107" t="str">
            <v>Khối 3 - TCT CNC</v>
          </cell>
          <cell r="G1107" t="str">
            <v>Trung tâm Camera</v>
          </cell>
        </row>
        <row r="1108">
          <cell r="B1108" t="str">
            <v>156893</v>
          </cell>
          <cell r="C1108" t="str">
            <v>Nguyễn Bá Tân</v>
          </cell>
          <cell r="D1108" t="str">
            <v>Kỹ sư trưởng Công nghệ</v>
          </cell>
          <cell r="E1108" t="str">
            <v>Tổng công ty Công nghiệp Công nghệ cao Viettel</v>
          </cell>
          <cell r="F1108" t="str">
            <v>Khối 3 - TCT CNC</v>
          </cell>
          <cell r="G1108" t="str">
            <v>Trung tâm Camera</v>
          </cell>
        </row>
        <row r="1109">
          <cell r="B1109" t="str">
            <v>173314</v>
          </cell>
          <cell r="C1109" t="str">
            <v>Nguyễn Thanh Minh</v>
          </cell>
          <cell r="D1109" t="str">
            <v>Kỹ sư Phát triển phần mềm</v>
          </cell>
          <cell r="E1109" t="str">
            <v>Tổng công ty Công nghiệp Công nghệ cao Viettel</v>
          </cell>
          <cell r="F1109" t="str">
            <v>Khối 3 - TCT CNC</v>
          </cell>
          <cell r="G1109" t="str">
            <v>Trung tâm Camera</v>
          </cell>
        </row>
        <row r="1110">
          <cell r="B1110" t="str">
            <v>193281</v>
          </cell>
          <cell r="C1110" t="str">
            <v>Trương Huy Hoàng</v>
          </cell>
          <cell r="D1110" t="str">
            <v>Kỹ sư Phát triển phần mềm</v>
          </cell>
          <cell r="E1110" t="str">
            <v>Tổng công ty Công nghiệp Công nghệ cao Viettel</v>
          </cell>
          <cell r="F1110" t="str">
            <v>Khối 3 - TCT CNC</v>
          </cell>
          <cell r="G1110" t="str">
            <v>Trung tâm Camera</v>
          </cell>
        </row>
        <row r="1111">
          <cell r="B1111" t="str">
            <v>198507</v>
          </cell>
          <cell r="C1111" t="str">
            <v>Đinh Văn Phong</v>
          </cell>
          <cell r="D1111" t="str">
            <v>Kỹ sư Phát triển phần mềm</v>
          </cell>
          <cell r="E1111" t="str">
            <v>Tổng công ty Công nghiệp Công nghệ cao Viettel</v>
          </cell>
          <cell r="F1111" t="str">
            <v>Khối 3 - TCT CNC</v>
          </cell>
          <cell r="G1111" t="str">
            <v>Trung tâm Camera</v>
          </cell>
        </row>
        <row r="1112">
          <cell r="B1112" t="str">
            <v>199099</v>
          </cell>
          <cell r="C1112" t="str">
            <v>Phạm Thanh Tuấn</v>
          </cell>
          <cell r="D1112" t="str">
            <v>Kỹ sư Quản lý sản xuất</v>
          </cell>
          <cell r="E1112" t="str">
            <v>Tổng công ty Công nghiệp Công nghệ cao Viettel</v>
          </cell>
          <cell r="F1112" t="str">
            <v>Khối 3 - TCT CNC</v>
          </cell>
          <cell r="G1112" t="str">
            <v>Trung tâm Camera</v>
          </cell>
        </row>
        <row r="1113">
          <cell r="B1113" t="str">
            <v>204015</v>
          </cell>
          <cell r="C1113" t="str">
            <v>Nguyễn Duy Phương</v>
          </cell>
          <cell r="D1113" t="str">
            <v>Kỹ sư Phát triển phần mềm</v>
          </cell>
          <cell r="E1113" t="str">
            <v>Tổng công ty Công nghiệp Công nghệ cao Viettel</v>
          </cell>
          <cell r="F1113" t="str">
            <v>Khối 3 - TCT CNC</v>
          </cell>
          <cell r="G1113" t="str">
            <v>Trung tâm Camera</v>
          </cell>
        </row>
        <row r="1114">
          <cell r="B1114" t="str">
            <v>205102</v>
          </cell>
          <cell r="C1114" t="str">
            <v>Bùi Bình Giang</v>
          </cell>
          <cell r="D1114" t="str">
            <v>Kỹ sư trưởng Công nghệ</v>
          </cell>
          <cell r="E1114" t="str">
            <v>Tổng công ty Công nghiệp Công nghệ cao Viettel</v>
          </cell>
          <cell r="F1114" t="str">
            <v>Khối 3 - TCT CNC</v>
          </cell>
          <cell r="G1114" t="str">
            <v>Trung tâm Camera</v>
          </cell>
        </row>
        <row r="1115">
          <cell r="B1115" t="str">
            <v>206376</v>
          </cell>
          <cell r="C1115" t="str">
            <v>Phan Anh Hoàng</v>
          </cell>
          <cell r="D1115" t="str">
            <v>Kỹ sư trưởng Công nghệ</v>
          </cell>
          <cell r="E1115" t="str">
            <v>Tổng công ty Công nghiệp Công nghệ cao Viettel</v>
          </cell>
          <cell r="F1115" t="str">
            <v>Khối 3 - TCT CNC</v>
          </cell>
          <cell r="G1115" t="str">
            <v>Trung tâm Camera</v>
          </cell>
        </row>
        <row r="1116">
          <cell r="B1116" t="str">
            <v>207371</v>
          </cell>
          <cell r="C1116" t="str">
            <v>Nguyễn Văn Công</v>
          </cell>
          <cell r="D1116" t="str">
            <v>Kỹ sư Phát triển phần mềm</v>
          </cell>
          <cell r="E1116" t="str">
            <v>Tổng công ty Công nghiệp Công nghệ cao Viettel</v>
          </cell>
          <cell r="F1116" t="str">
            <v>Khối 3 - TCT CNC</v>
          </cell>
          <cell r="G1116" t="str">
            <v>Trung tâm Camera</v>
          </cell>
        </row>
        <row r="1117">
          <cell r="B1117" t="str">
            <v>208740</v>
          </cell>
          <cell r="C1117" t="str">
            <v>Nguyễn Minh Khánh Ngọc</v>
          </cell>
          <cell r="D1117" t="str">
            <v>Kỹ sư Phát triển phần mềm</v>
          </cell>
          <cell r="E1117" t="str">
            <v>Tổng công ty Công nghiệp Công nghệ cao Viettel</v>
          </cell>
          <cell r="F1117" t="str">
            <v>Khối 3 - TCT CNC</v>
          </cell>
          <cell r="G1117" t="str">
            <v>Trung tâm Camera</v>
          </cell>
        </row>
        <row r="1118">
          <cell r="B1118" t="str">
            <v>208742</v>
          </cell>
          <cell r="C1118" t="str">
            <v>Nguyễn Tuấn Phước</v>
          </cell>
          <cell r="D1118" t="str">
            <v>Kỹ sư trưởng Công nghệ</v>
          </cell>
          <cell r="E1118" t="str">
            <v>Tổng công ty Công nghiệp Công nghệ cao Viettel</v>
          </cell>
          <cell r="F1118" t="str">
            <v>Khối 3 - TCT CNC</v>
          </cell>
          <cell r="G1118" t="str">
            <v>Trung tâm Camera</v>
          </cell>
        </row>
        <row r="1119">
          <cell r="B1119" t="str">
            <v>218373</v>
          </cell>
          <cell r="C1119" t="str">
            <v>Trần Minh Lợi</v>
          </cell>
          <cell r="D1119" t="str">
            <v>Kỹ sư Phát triển phần mềm</v>
          </cell>
          <cell r="E1119" t="str">
            <v>Tổng công ty Công nghiệp Công nghệ cao Viettel</v>
          </cell>
          <cell r="F1119" t="str">
            <v>Khối 3 - TCT CNC</v>
          </cell>
          <cell r="G1119" t="str">
            <v>Trung tâm Camera</v>
          </cell>
        </row>
        <row r="1120">
          <cell r="B1120" t="str">
            <v>227546</v>
          </cell>
          <cell r="C1120" t="str">
            <v>Vũ Duy Nhất</v>
          </cell>
          <cell r="D1120" t="str">
            <v>Kỹ sư Phát triển phần mềm</v>
          </cell>
          <cell r="E1120" t="str">
            <v>Tổng công ty Công nghiệp Công nghệ cao Viettel</v>
          </cell>
          <cell r="F1120" t="str">
            <v>Khối 3 - TCT CNC</v>
          </cell>
          <cell r="G1120" t="str">
            <v>Trung tâm Camera</v>
          </cell>
        </row>
        <row r="1121">
          <cell r="B1121" t="str">
            <v>231164</v>
          </cell>
          <cell r="C1121" t="str">
            <v>Vũ Minh Thu</v>
          </cell>
          <cell r="D1121" t="str">
            <v>Kỹ sư Phân tích nghiệp vụ</v>
          </cell>
          <cell r="E1121" t="str">
            <v>Tổng công ty Công nghiệp Công nghệ cao Viettel</v>
          </cell>
          <cell r="F1121" t="str">
            <v>Khối 3 - TCT CNC</v>
          </cell>
          <cell r="G1121" t="str">
            <v>Trung tâm Camera</v>
          </cell>
        </row>
        <row r="1122">
          <cell r="B1122" t="str">
            <v>233488</v>
          </cell>
          <cell r="C1122" t="str">
            <v>Lữ Mạnh Hùng</v>
          </cell>
          <cell r="D1122" t="str">
            <v>Kỹ sư Trí tuệ Nhân tạo</v>
          </cell>
          <cell r="E1122" t="str">
            <v>Tổng công ty Công nghiệp Công nghệ cao Viettel</v>
          </cell>
          <cell r="F1122" t="str">
            <v>Khối 3 - TCT CNC</v>
          </cell>
          <cell r="G1122" t="str">
            <v>Trung tâm Camera</v>
          </cell>
        </row>
        <row r="1123">
          <cell r="B1123" t="str">
            <v>235951</v>
          </cell>
          <cell r="C1123" t="str">
            <v>Vũ Đức Tuấn</v>
          </cell>
          <cell r="D1123" t="str">
            <v>Kỹ sư Phát triển phần mềm</v>
          </cell>
          <cell r="E1123" t="str">
            <v>Tổng công ty Công nghiệp Công nghệ cao Viettel</v>
          </cell>
          <cell r="F1123" t="str">
            <v>Khối 3 - TCT CNC</v>
          </cell>
          <cell r="G1123" t="str">
            <v>Trung tâm Camera</v>
          </cell>
        </row>
        <row r="1124">
          <cell r="B1124" t="str">
            <v>238618</v>
          </cell>
          <cell r="C1124" t="str">
            <v>Lê Thanh Tùng</v>
          </cell>
          <cell r="D1124" t="str">
            <v>Kỹ sư Trí tuệ Nhân tạo</v>
          </cell>
          <cell r="E1124" t="str">
            <v>Tổng công ty Công nghiệp Công nghệ cao Viettel</v>
          </cell>
          <cell r="F1124" t="str">
            <v>Khối 3 - TCT CNC</v>
          </cell>
          <cell r="G1124" t="str">
            <v>Trung tâm Camera</v>
          </cell>
        </row>
        <row r="1125">
          <cell r="B1125" t="str">
            <v>240799</v>
          </cell>
          <cell r="C1125" t="str">
            <v>Đặng Thanh Tùng</v>
          </cell>
          <cell r="D1125" t="str">
            <v>Kỹ sư Phát triển phần mềm</v>
          </cell>
          <cell r="E1125" t="str">
            <v>Tổng công ty Công nghiệp Công nghệ cao Viettel</v>
          </cell>
          <cell r="F1125" t="str">
            <v>Khối 3 - TCT CNC</v>
          </cell>
          <cell r="G1125" t="str">
            <v>Trung tâm Camera</v>
          </cell>
        </row>
        <row r="1126">
          <cell r="B1126" t="str">
            <v>241353</v>
          </cell>
          <cell r="C1126" t="str">
            <v>Lê Văn Bằng</v>
          </cell>
          <cell r="D1126" t="str">
            <v>Kỹ sư trưởng Công nghệ</v>
          </cell>
          <cell r="E1126" t="str">
            <v>Tổng công ty Công nghiệp Công nghệ cao Viettel</v>
          </cell>
          <cell r="F1126" t="str">
            <v>Khối 3 - TCT CNC</v>
          </cell>
          <cell r="G1126" t="str">
            <v>Trung tâm Camera</v>
          </cell>
        </row>
        <row r="1127">
          <cell r="B1127" t="str">
            <v>245555</v>
          </cell>
          <cell r="C1127" t="str">
            <v>Trần Văn Bằng</v>
          </cell>
          <cell r="D1127" t="str">
            <v>Kỹ sư Phát triển phần mềm</v>
          </cell>
          <cell r="E1127" t="str">
            <v>Tổng công ty Công nghiệp Công nghệ cao Viettel</v>
          </cell>
          <cell r="F1127" t="str">
            <v>Khối 3 - TCT CNC</v>
          </cell>
          <cell r="G1127" t="str">
            <v>Trung tâm Camera</v>
          </cell>
        </row>
        <row r="1128">
          <cell r="B1128" t="str">
            <v>245786</v>
          </cell>
          <cell r="C1128" t="str">
            <v>Nguyễn Văn Sơn</v>
          </cell>
          <cell r="D1128" t="str">
            <v>Kỹ sư Phát triển phần mềm</v>
          </cell>
          <cell r="E1128" t="str">
            <v>Tổng công ty Công nghiệp Công nghệ cao Viettel</v>
          </cell>
          <cell r="F1128" t="str">
            <v>Khối 3 - TCT CNC</v>
          </cell>
          <cell r="G1128" t="str">
            <v>Trung tâm Camera</v>
          </cell>
        </row>
        <row r="1129">
          <cell r="B1129" t="str">
            <v>249117</v>
          </cell>
          <cell r="C1129" t="str">
            <v>Nguyễn Xuân Huy</v>
          </cell>
          <cell r="D1129" t="str">
            <v>Kỹ sư Phân tích nghiệp vụ</v>
          </cell>
          <cell r="E1129" t="str">
            <v>Tổng công ty Công nghiệp Công nghệ cao Viettel</v>
          </cell>
          <cell r="F1129" t="str">
            <v>Khối 3 - TCT CNC</v>
          </cell>
          <cell r="G1129" t="str">
            <v>Trung tâm Camera</v>
          </cell>
        </row>
        <row r="1130">
          <cell r="B1130" t="str">
            <v>262428</v>
          </cell>
          <cell r="C1130" t="str">
            <v>Nguyễn Hoàng Nam</v>
          </cell>
          <cell r="D1130" t="str">
            <v>Kỹ sư Giải pháp</v>
          </cell>
          <cell r="E1130" t="str">
            <v>Tổng công ty Công nghiệp Công nghệ cao Viettel</v>
          </cell>
          <cell r="F1130" t="str">
            <v>Khối 3 - TCT CNC</v>
          </cell>
          <cell r="G1130" t="str">
            <v>Trung tâm Camera</v>
          </cell>
        </row>
        <row r="1131">
          <cell r="B1131" t="str">
            <v>266740</v>
          </cell>
          <cell r="C1131" t="str">
            <v>Đinh Văn Duy</v>
          </cell>
          <cell r="D1131" t="str">
            <v>Kỹ sư Quản lý sản xuất</v>
          </cell>
          <cell r="E1131" t="str">
            <v>Tổng công ty Công nghiệp Công nghệ cao Viettel</v>
          </cell>
          <cell r="F1131" t="str">
            <v>Khối 3 - TCT CNC</v>
          </cell>
          <cell r="G1131" t="str">
            <v>Trung tâm Camera</v>
          </cell>
        </row>
        <row r="1132">
          <cell r="B1132" t="str">
            <v>270529</v>
          </cell>
          <cell r="C1132" t="str">
            <v>Nguyễn Minh Đức</v>
          </cell>
          <cell r="D1132" t="str">
            <v>Kỹ sư Phát triển phần mềm</v>
          </cell>
          <cell r="E1132" t="str">
            <v>Tổng công ty Công nghiệp Công nghệ cao Viettel</v>
          </cell>
          <cell r="F1132" t="str">
            <v>Khối 3 - TCT CNC</v>
          </cell>
          <cell r="G1132" t="str">
            <v>Trung tâm Camera</v>
          </cell>
        </row>
        <row r="1133">
          <cell r="B1133" t="str">
            <v>271236</v>
          </cell>
          <cell r="C1133" t="str">
            <v>Hoàng Văn Hào</v>
          </cell>
          <cell r="D1133" t="str">
            <v>Kỹ sư Phát triển phần mềm</v>
          </cell>
          <cell r="E1133" t="str">
            <v>Tổng công ty Công nghiệp Công nghệ cao Viettel</v>
          </cell>
          <cell r="F1133" t="str">
            <v>Khối 3 - TCT CNC</v>
          </cell>
          <cell r="G1133" t="str">
            <v>Trung tâm Camera</v>
          </cell>
        </row>
        <row r="1134">
          <cell r="B1134" t="str">
            <v>272499</v>
          </cell>
          <cell r="C1134" t="str">
            <v>Thái Thị Quỳnh Trang</v>
          </cell>
          <cell r="D1134" t="str">
            <v>Kỹ sư Phân tích nghiệp vụ</v>
          </cell>
          <cell r="E1134" t="str">
            <v>Tổng công ty Công nghiệp Công nghệ cao Viettel</v>
          </cell>
          <cell r="F1134" t="str">
            <v>Khối 3 - TCT CNC</v>
          </cell>
          <cell r="G1134" t="str">
            <v>Trung tâm Camera</v>
          </cell>
        </row>
        <row r="1135">
          <cell r="B1135" t="str">
            <v>273678</v>
          </cell>
          <cell r="C1135" t="str">
            <v>Hoàng Thị Quỳnh</v>
          </cell>
          <cell r="D1135" t="str">
            <v>Kỹ sư Kiểm thử</v>
          </cell>
          <cell r="E1135" t="str">
            <v>Tổng công ty Công nghiệp Công nghệ cao Viettel</v>
          </cell>
          <cell r="F1135" t="str">
            <v>Khối 3 - TCT CNC</v>
          </cell>
          <cell r="G1135" t="str">
            <v>Trung tâm Camera</v>
          </cell>
        </row>
        <row r="1136">
          <cell r="B1136" t="str">
            <v>280648</v>
          </cell>
          <cell r="C1136" t="str">
            <v>Hoàng Mỹ Linh</v>
          </cell>
          <cell r="D1136" t="str">
            <v>Kỹ sư Phát triển phần mềm</v>
          </cell>
          <cell r="E1136" t="str">
            <v>Tổng công ty Công nghiệp Công nghệ cao Viettel</v>
          </cell>
          <cell r="F1136" t="str">
            <v>Khối 3 - TCT CNC</v>
          </cell>
          <cell r="G1136" t="str">
            <v>Trung tâm Camera</v>
          </cell>
        </row>
        <row r="1137">
          <cell r="B1137" t="str">
            <v>292553</v>
          </cell>
          <cell r="C1137" t="str">
            <v>Phạm Thị Thu Trang</v>
          </cell>
          <cell r="D1137" t="str">
            <v>Kỹ sư Giải pháp</v>
          </cell>
          <cell r="E1137" t="str">
            <v>Tổng công ty Công nghiệp Công nghệ cao Viettel</v>
          </cell>
          <cell r="F1137" t="str">
            <v>Khối 3 - TCT CNC</v>
          </cell>
          <cell r="G1137" t="str">
            <v>Trung tâm Camera</v>
          </cell>
        </row>
        <row r="1138">
          <cell r="B1138" t="str">
            <v>428863</v>
          </cell>
          <cell r="C1138" t="str">
            <v>Nguyễn Thị Thanh Huyền</v>
          </cell>
          <cell r="D1138" t="str">
            <v>Kỹ sư Phân tích nghiệp vụ</v>
          </cell>
          <cell r="E1138" t="str">
            <v>Tổng công ty Công nghiệp Công nghệ cao Viettel</v>
          </cell>
          <cell r="F1138" t="str">
            <v>Khối 3 - TCT CNC</v>
          </cell>
          <cell r="G1138" t="str">
            <v>Trung tâm Camera</v>
          </cell>
        </row>
        <row r="1139">
          <cell r="B1139" t="str">
            <v>431909</v>
          </cell>
          <cell r="C1139" t="str">
            <v>Nguyễn Quang Chung</v>
          </cell>
          <cell r="D1139" t="str">
            <v>Kỹ sư Phát triển phần mềm</v>
          </cell>
          <cell r="E1139" t="str">
            <v>Tổng công ty Công nghiệp Công nghệ cao Viettel</v>
          </cell>
          <cell r="F1139" t="str">
            <v>Khối 3 - TCT CNC</v>
          </cell>
          <cell r="G1139" t="str">
            <v>Trung tâm Camera</v>
          </cell>
        </row>
        <row r="1140">
          <cell r="B1140" t="str">
            <v>432901</v>
          </cell>
          <cell r="C1140" t="str">
            <v>Nguyễn Thị Thùy</v>
          </cell>
          <cell r="D1140" t="str">
            <v>Kỹ sư Phân tích nghiệp vụ</v>
          </cell>
          <cell r="E1140" t="str">
            <v>Tổng công ty Công nghiệp Công nghệ cao Viettel</v>
          </cell>
          <cell r="F1140" t="str">
            <v>Khối 3 - TCT CNC</v>
          </cell>
          <cell r="G1140" t="str">
            <v>Trung tâm Camera</v>
          </cell>
        </row>
        <row r="1141">
          <cell r="B1141" t="str">
            <v>433066</v>
          </cell>
          <cell r="C1141" t="str">
            <v>Phạm Ngọc Thiện</v>
          </cell>
          <cell r="D1141" t="str">
            <v>Kỹ sư Trí tuệ Nhân tạo</v>
          </cell>
          <cell r="E1141" t="str">
            <v>Tổng công ty Công nghiệp Công nghệ cao Viettel</v>
          </cell>
          <cell r="F1141" t="str">
            <v>Khối 3 - TCT CNC</v>
          </cell>
          <cell r="G1141" t="str">
            <v>Trung tâm Camera</v>
          </cell>
        </row>
        <row r="1142">
          <cell r="B1142" t="str">
            <v>439034</v>
          </cell>
          <cell r="C1142" t="str">
            <v>Phùng Mạnh Dũng</v>
          </cell>
          <cell r="D1142" t="str">
            <v>Kỹ sư Phát triển phần mềm</v>
          </cell>
          <cell r="E1142" t="str">
            <v>Tổng công ty Công nghiệp Công nghệ cao Viettel</v>
          </cell>
          <cell r="F1142" t="str">
            <v>Khối 3 - TCT CNC</v>
          </cell>
          <cell r="G1142" t="str">
            <v>Trung tâm Camera</v>
          </cell>
        </row>
        <row r="1143">
          <cell r="B1143" t="str">
            <v>439614</v>
          </cell>
          <cell r="C1143" t="str">
            <v>Nguyễn Huy Đức</v>
          </cell>
          <cell r="D1143" t="str">
            <v>Kỹ sư Phát triển phần mềm</v>
          </cell>
          <cell r="E1143" t="str">
            <v>Tổng công ty Công nghiệp Công nghệ cao Viettel</v>
          </cell>
          <cell r="F1143" t="str">
            <v>Khối 3 - TCT CNC</v>
          </cell>
          <cell r="G1143" t="str">
            <v>Trung tâm Camera</v>
          </cell>
        </row>
        <row r="1144">
          <cell r="B1144" t="str">
            <v>439615</v>
          </cell>
          <cell r="C1144" t="str">
            <v>Trần Duy Đạt</v>
          </cell>
          <cell r="D1144" t="str">
            <v>Kỹ sư Phát triển phần mềm</v>
          </cell>
          <cell r="E1144" t="str">
            <v>Tổng công ty Công nghiệp Công nghệ cao Viettel</v>
          </cell>
          <cell r="F1144" t="str">
            <v>Khối 3 - TCT CNC</v>
          </cell>
          <cell r="G1144" t="str">
            <v>Trung tâm Camera</v>
          </cell>
        </row>
        <row r="1145">
          <cell r="B1145" t="str">
            <v>441296</v>
          </cell>
          <cell r="C1145" t="str">
            <v>Nguyễn Trung Trí</v>
          </cell>
          <cell r="D1145" t="str">
            <v>Kỹ sư Trí tuệ Nhân tạo</v>
          </cell>
          <cell r="E1145" t="str">
            <v>Tổng công ty Công nghiệp Công nghệ cao Viettel</v>
          </cell>
          <cell r="F1145" t="str">
            <v>Khối 3 - TCT CNC</v>
          </cell>
          <cell r="G1145" t="str">
            <v>Trung tâm Camera</v>
          </cell>
        </row>
        <row r="1146">
          <cell r="B1146" t="str">
            <v>441579</v>
          </cell>
          <cell r="C1146" t="str">
            <v>Nguyễn Thị Trang</v>
          </cell>
          <cell r="D1146" t="str">
            <v>Kỹ sư Trí tuệ Nhân tạo</v>
          </cell>
          <cell r="E1146" t="str">
            <v>Tổng công ty Công nghiệp Công nghệ cao Viettel</v>
          </cell>
          <cell r="F1146" t="str">
            <v>Khối 3 - TCT CNC</v>
          </cell>
          <cell r="G1146" t="str">
            <v>Trung tâm Camera</v>
          </cell>
        </row>
        <row r="1147">
          <cell r="B1147" t="str">
            <v>442673</v>
          </cell>
          <cell r="C1147" t="str">
            <v>Hồ Đặng Thanh Hồ</v>
          </cell>
          <cell r="D1147" t="str">
            <v>Kỹ sư Trí tuệ Nhân tạo</v>
          </cell>
          <cell r="E1147" t="str">
            <v>Tổng công ty Công nghiệp Công nghệ cao Viettel</v>
          </cell>
          <cell r="F1147" t="str">
            <v>Khối 3 - TCT CNC</v>
          </cell>
          <cell r="G1147" t="str">
            <v>Trung tâm Camera</v>
          </cell>
        </row>
        <row r="1148">
          <cell r="B1148" t="str">
            <v>443009</v>
          </cell>
          <cell r="C1148" t="str">
            <v>Nguyễn Cao Lương</v>
          </cell>
          <cell r="D1148" t="str">
            <v>Kỹ sư Phát triển phần mềm</v>
          </cell>
          <cell r="E1148" t="str">
            <v>Tổng công ty Công nghiệp Công nghệ cao Viettel</v>
          </cell>
          <cell r="F1148" t="str">
            <v>Khối 3 - TCT CNC</v>
          </cell>
          <cell r="G1148" t="str">
            <v>Trung tâm Camera</v>
          </cell>
        </row>
        <row r="1149">
          <cell r="B1149" t="str">
            <v>443625</v>
          </cell>
          <cell r="C1149" t="str">
            <v>Phạm Duy Giác Nguyên</v>
          </cell>
          <cell r="D1149" t="str">
            <v>Kỹ sư Trí tuệ Nhân tạo</v>
          </cell>
          <cell r="E1149" t="str">
            <v>Tổng công ty Công nghiệp Công nghệ cao Viettel</v>
          </cell>
          <cell r="F1149" t="str">
            <v>Khối 3 - TCT CNC</v>
          </cell>
          <cell r="G1149" t="str">
            <v>Trung tâm Camera</v>
          </cell>
        </row>
        <row r="1150">
          <cell r="B1150" t="str">
            <v>444585</v>
          </cell>
          <cell r="C1150" t="str">
            <v>Nguyễn Trung Phong</v>
          </cell>
          <cell r="D1150" t="str">
            <v>Kỹ sư Phát triển phần mềm</v>
          </cell>
          <cell r="E1150" t="str">
            <v>Tổng công ty Công nghiệp Công nghệ cao Viettel</v>
          </cell>
          <cell r="F1150" t="str">
            <v>Khối 3 - TCT CNC</v>
          </cell>
          <cell r="G1150" t="str">
            <v>Trung tâm Camera</v>
          </cell>
        </row>
        <row r="1151">
          <cell r="B1151" t="str">
            <v>447341</v>
          </cell>
          <cell r="C1151" t="str">
            <v>Nguyễn Nhật Anh</v>
          </cell>
          <cell r="D1151" t="str">
            <v>Kỹ sư Trí tuệ Nhân tạo</v>
          </cell>
          <cell r="E1151" t="str">
            <v>Tổng công ty Công nghiệp Công nghệ cao Viettel</v>
          </cell>
          <cell r="F1151" t="str">
            <v>Khối 3 - TCT CNC</v>
          </cell>
          <cell r="G1151" t="str">
            <v>Trung tâm Camera</v>
          </cell>
        </row>
        <row r="1152">
          <cell r="B1152" t="str">
            <v>451131</v>
          </cell>
          <cell r="C1152" t="str">
            <v>Nguyễn Trung Hiếu</v>
          </cell>
          <cell r="D1152" t="str">
            <v>Kỹ sư Phát triển phần mềm</v>
          </cell>
          <cell r="E1152" t="str">
            <v>Tổng công ty Công nghiệp Công nghệ cao Viettel</v>
          </cell>
          <cell r="F1152" t="str">
            <v>Khối 3 - TCT CNC</v>
          </cell>
          <cell r="G1152" t="str">
            <v>Trung tâm Camera</v>
          </cell>
        </row>
        <row r="1153">
          <cell r="B1153" t="str">
            <v>453063</v>
          </cell>
          <cell r="C1153" t="str">
            <v>Ngô Văn Quang</v>
          </cell>
          <cell r="D1153" t="str">
            <v>Kỹ sư Phát triển phần mềm</v>
          </cell>
          <cell r="E1153" t="str">
            <v>Tổng công ty Công nghiệp Công nghệ cao Viettel</v>
          </cell>
          <cell r="F1153" t="str">
            <v>Khối 3 - TCT CNC</v>
          </cell>
          <cell r="G1153" t="str">
            <v>Trung tâm Camera</v>
          </cell>
        </row>
        <row r="1154">
          <cell r="B1154" t="str">
            <v>454633</v>
          </cell>
          <cell r="C1154" t="str">
            <v>Đặng Hồ Na</v>
          </cell>
          <cell r="D1154" t="str">
            <v>Kỹ sư Phân tích nghiệp vụ</v>
          </cell>
          <cell r="E1154" t="str">
            <v>Tổng công ty Công nghiệp Công nghệ cao Viettel</v>
          </cell>
          <cell r="F1154" t="str">
            <v>Khối 3 - TCT CNC</v>
          </cell>
          <cell r="G1154" t="str">
            <v>Trung tâm Camera</v>
          </cell>
        </row>
        <row r="1155">
          <cell r="B1155" t="str">
            <v>455281</v>
          </cell>
          <cell r="C1155" t="str">
            <v>Bạch Ngọc Minh Châu</v>
          </cell>
          <cell r="D1155" t="str">
            <v>Kỹ sư Phát triển phần mềm</v>
          </cell>
          <cell r="E1155" t="str">
            <v>Tổng công ty Công nghiệp Công nghệ cao Viettel</v>
          </cell>
          <cell r="F1155" t="str">
            <v>Khối 3 - TCT CNC</v>
          </cell>
          <cell r="G1155" t="str">
            <v>Trung tâm Camera</v>
          </cell>
        </row>
        <row r="1156">
          <cell r="B1156" t="str">
            <v>457749</v>
          </cell>
          <cell r="C1156" t="str">
            <v>Ngô Quang Hải</v>
          </cell>
          <cell r="D1156" t="str">
            <v>Kỹ sư Trí tuệ Nhân tạo</v>
          </cell>
          <cell r="E1156" t="str">
            <v>Tổng công ty Công nghiệp Công nghệ cao Viettel</v>
          </cell>
          <cell r="F1156" t="str">
            <v>Khối 3 - TCT CNC</v>
          </cell>
          <cell r="G1156" t="str">
            <v>Trung tâm Camera</v>
          </cell>
        </row>
        <row r="1157">
          <cell r="B1157" t="str">
            <v>457751</v>
          </cell>
          <cell r="C1157" t="str">
            <v>Phạm Hoàng Nam</v>
          </cell>
          <cell r="D1157" t="str">
            <v>Kỹ sư Phát triển phần mềm</v>
          </cell>
          <cell r="E1157" t="str">
            <v>Tổng công ty Công nghiệp Công nghệ cao Viettel</v>
          </cell>
          <cell r="F1157" t="str">
            <v>Khối 3 - TCT CNC</v>
          </cell>
          <cell r="G1157" t="str">
            <v>Trung tâm Camera</v>
          </cell>
        </row>
        <row r="1158">
          <cell r="B1158" t="str">
            <v>460829</v>
          </cell>
          <cell r="C1158" t="str">
            <v>Phạm Thị Thùy</v>
          </cell>
          <cell r="D1158" t="str">
            <v>Kỹ sư Phân tích nghiệp vụ</v>
          </cell>
          <cell r="E1158" t="str">
            <v>Tổng công ty Công nghiệp Công nghệ cao Viettel</v>
          </cell>
          <cell r="F1158" t="str">
            <v>Khối 3 - TCT CNC</v>
          </cell>
          <cell r="G1158" t="str">
            <v>Trung tâm Camera</v>
          </cell>
        </row>
        <row r="1159">
          <cell r="B1159" t="str">
            <v>460833</v>
          </cell>
          <cell r="C1159" t="str">
            <v>Võ Đình Quốc</v>
          </cell>
          <cell r="D1159" t="str">
            <v>Kỹ sư Phát triển phần mềm</v>
          </cell>
          <cell r="E1159" t="str">
            <v>Tổng công ty Công nghiệp Công nghệ cao Viettel</v>
          </cell>
          <cell r="F1159" t="str">
            <v>Khối 3 - TCT CNC</v>
          </cell>
          <cell r="G1159" t="str">
            <v>Trung tâm Camera</v>
          </cell>
        </row>
        <row r="1160">
          <cell r="B1160" t="str">
            <v>464823</v>
          </cell>
          <cell r="C1160" t="str">
            <v>Trịnh Nhật Minh</v>
          </cell>
          <cell r="D1160" t="str">
            <v>Kỹ sư Trí tuệ Nhân tạo</v>
          </cell>
          <cell r="E1160" t="str">
            <v>Tổng công ty Công nghiệp Công nghệ cao Viettel</v>
          </cell>
          <cell r="F1160" t="str">
            <v>Khối 3 - TCT CNC</v>
          </cell>
          <cell r="G1160" t="str">
            <v>Trung tâm Camera</v>
          </cell>
        </row>
        <row r="1161">
          <cell r="B1161" t="str">
            <v>466275</v>
          </cell>
          <cell r="C1161" t="str">
            <v>Nguyễn Hồng Quân</v>
          </cell>
          <cell r="D1161" t="str">
            <v>Kỹ sư Phát triển phần mềm</v>
          </cell>
          <cell r="E1161" t="str">
            <v>Tổng công ty Công nghiệp Công nghệ cao Viettel</v>
          </cell>
          <cell r="F1161" t="str">
            <v>Khối 3 - TCT CNC</v>
          </cell>
          <cell r="G1161" t="str">
            <v>Trung tâm Camera</v>
          </cell>
        </row>
        <row r="1162">
          <cell r="B1162" t="str">
            <v>467971</v>
          </cell>
          <cell r="C1162" t="str">
            <v>Đặng Nhật Huy</v>
          </cell>
          <cell r="D1162" t="str">
            <v>Kỹ sư Phát triển phần mềm</v>
          </cell>
          <cell r="E1162" t="str">
            <v>Tổng công ty Công nghiệp Công nghệ cao Viettel</v>
          </cell>
          <cell r="F1162" t="str">
            <v>Khối 3 - TCT CNC</v>
          </cell>
          <cell r="G1162" t="str">
            <v>Trung tâm Camera</v>
          </cell>
        </row>
        <row r="1163">
          <cell r="B1163" t="str">
            <v>468411</v>
          </cell>
          <cell r="C1163" t="str">
            <v>Nguyễn Hoàng Anh</v>
          </cell>
          <cell r="D1163" t="str">
            <v>Kỹ sư Phát triển phần mềm</v>
          </cell>
          <cell r="E1163" t="str">
            <v>Tổng công ty Công nghiệp Công nghệ cao Viettel</v>
          </cell>
          <cell r="F1163" t="str">
            <v>Khối 3 - TCT CNC</v>
          </cell>
          <cell r="G1163" t="str">
            <v>Trung tâm Camera</v>
          </cell>
        </row>
        <row r="1164">
          <cell r="B1164" t="str">
            <v>469071</v>
          </cell>
          <cell r="C1164" t="str">
            <v>Vũ Văn Mạnh</v>
          </cell>
          <cell r="D1164" t="str">
            <v>Kỹ sư Trí tuệ Nhân tạo</v>
          </cell>
          <cell r="E1164" t="str">
            <v>Tổng công ty Công nghiệp Công nghệ cao Viettel</v>
          </cell>
          <cell r="F1164" t="str">
            <v>Khối 3 - TCT CNC</v>
          </cell>
          <cell r="G1164" t="str">
            <v>Trung tâm Camera</v>
          </cell>
        </row>
        <row r="1165">
          <cell r="B1165" t="str">
            <v>470379</v>
          </cell>
          <cell r="C1165" t="str">
            <v>Nguyễn Đình Phúc</v>
          </cell>
          <cell r="D1165" t="str">
            <v>Kỹ sư Phần mềm nhúng</v>
          </cell>
          <cell r="E1165" t="str">
            <v>Tổng công ty Công nghiệp Công nghệ cao Viettel</v>
          </cell>
          <cell r="F1165" t="str">
            <v>Khối 3 - TCT CNC</v>
          </cell>
          <cell r="G1165" t="str">
            <v>Trung tâm Camera</v>
          </cell>
        </row>
        <row r="1166">
          <cell r="B1166" t="str">
            <v>471255</v>
          </cell>
          <cell r="C1166" t="str">
            <v>Nguyễn Khánh Linh</v>
          </cell>
          <cell r="D1166" t="str">
            <v>Kỹ sư Phân tích nghiệp vụ</v>
          </cell>
          <cell r="E1166" t="str">
            <v>Tổng công ty Công nghiệp Công nghệ cao Viettel</v>
          </cell>
          <cell r="F1166" t="str">
            <v>Khối 3 - TCT CNC</v>
          </cell>
          <cell r="G1166" t="str">
            <v>Trung tâm Camera</v>
          </cell>
        </row>
        <row r="1167">
          <cell r="B1167" t="str">
            <v>471971</v>
          </cell>
          <cell r="C1167" t="str">
            <v>Phù Thị Kim Trang</v>
          </cell>
          <cell r="D1167" t="str">
            <v>Kỹ sư Phát triển phần mềm</v>
          </cell>
          <cell r="E1167" t="str">
            <v>Tổng công ty Công nghiệp Công nghệ cao Viettel</v>
          </cell>
          <cell r="F1167" t="str">
            <v>Khối 3 - TCT CNC</v>
          </cell>
          <cell r="G1167" t="str">
            <v>Trung tâm Camera</v>
          </cell>
        </row>
        <row r="1168">
          <cell r="B1168" t="str">
            <v>471989</v>
          </cell>
          <cell r="C1168" t="str">
            <v>Trần Hải Đăng</v>
          </cell>
          <cell r="D1168" t="str">
            <v>Kỹ sư Giải pháp</v>
          </cell>
          <cell r="E1168" t="str">
            <v>Tổng công ty Công nghiệp Công nghệ cao Viettel</v>
          </cell>
          <cell r="F1168" t="str">
            <v>Khối 3 - TCT CNC</v>
          </cell>
          <cell r="G1168" t="str">
            <v>Trung tâm Camera</v>
          </cell>
        </row>
        <row r="1169">
          <cell r="B1169" t="str">
            <v>472579</v>
          </cell>
          <cell r="C1169" t="str">
            <v>Nguyễn Đình Bảo</v>
          </cell>
          <cell r="D1169" t="str">
            <v>Kỹ sư Trí tuệ Nhân tạo</v>
          </cell>
          <cell r="E1169" t="str">
            <v>Tổng công ty Công nghiệp Công nghệ cao Viettel</v>
          </cell>
          <cell r="F1169" t="str">
            <v>Khối 3 - TCT CNC</v>
          </cell>
          <cell r="G1169" t="str">
            <v>Trung tâm Camera</v>
          </cell>
        </row>
        <row r="1170">
          <cell r="B1170" t="str">
            <v>472753</v>
          </cell>
          <cell r="C1170" t="str">
            <v>Phạm Lê Thu Nguyệt</v>
          </cell>
          <cell r="D1170" t="str">
            <v>Kỹ sư Trí tuệ Nhân tạo</v>
          </cell>
          <cell r="E1170" t="str">
            <v>Tổng công ty Công nghiệp Công nghệ cao Viettel</v>
          </cell>
          <cell r="F1170" t="str">
            <v>Khối 3 - TCT CNC</v>
          </cell>
          <cell r="G1170" t="str">
            <v>Trung tâm Camera</v>
          </cell>
        </row>
        <row r="1171">
          <cell r="B1171" t="str">
            <v>472763</v>
          </cell>
          <cell r="C1171" t="str">
            <v>Lương Quốc Hải</v>
          </cell>
          <cell r="D1171" t="str">
            <v>Kỹ sư Phát triển phần mềm</v>
          </cell>
          <cell r="E1171" t="str">
            <v>Tổng công ty Công nghiệp Công nghệ cao Viettel</v>
          </cell>
          <cell r="F1171" t="str">
            <v>Khối 3 - TCT CNC</v>
          </cell>
          <cell r="G1171" t="str">
            <v>Trung tâm Camera</v>
          </cell>
        </row>
        <row r="1172">
          <cell r="B1172" t="str">
            <v>473179</v>
          </cell>
          <cell r="C1172" t="str">
            <v>Hoàng Bảo Lộc</v>
          </cell>
          <cell r="D1172" t="str">
            <v>Kỹ sư Phát triển phần mềm</v>
          </cell>
          <cell r="E1172" t="str">
            <v>Tổng công ty Công nghiệp Công nghệ cao Viettel</v>
          </cell>
          <cell r="F1172" t="str">
            <v>Khối 3 - TCT CNC</v>
          </cell>
          <cell r="G1172" t="str">
            <v>Trung tâm Camera</v>
          </cell>
        </row>
        <row r="1173">
          <cell r="B1173" t="str">
            <v>473669</v>
          </cell>
          <cell r="C1173" t="str">
            <v>Nguyễn Thị Ngọc Hà</v>
          </cell>
          <cell r="D1173" t="str">
            <v>Kỹ sư Phát triển phần mềm</v>
          </cell>
          <cell r="E1173" t="str">
            <v>Tổng công ty Công nghiệp Công nghệ cao Viettel</v>
          </cell>
          <cell r="F1173" t="str">
            <v>Khối 3 - TCT CNC</v>
          </cell>
          <cell r="G1173" t="str">
            <v>Trung tâm Camera</v>
          </cell>
        </row>
        <row r="1174">
          <cell r="B1174" t="str">
            <v>473897</v>
          </cell>
          <cell r="C1174" t="str">
            <v>Trần Quang Đức</v>
          </cell>
          <cell r="D1174" t="str">
            <v>Kỹ sư Trí tuệ Nhân tạo</v>
          </cell>
          <cell r="E1174" t="str">
            <v>Tổng công ty Công nghiệp Công nghệ cao Viettel</v>
          </cell>
          <cell r="F1174" t="str">
            <v>Khối 3 - TCT CNC</v>
          </cell>
          <cell r="G1174" t="str">
            <v>Trung tâm Camera</v>
          </cell>
        </row>
        <row r="1175">
          <cell r="B1175" t="str">
            <v>474335</v>
          </cell>
          <cell r="C1175" t="str">
            <v>Vũ Hoàng Nam</v>
          </cell>
          <cell r="D1175" t="str">
            <v>Kỹ sư Trí tuệ Nhân tạo</v>
          </cell>
          <cell r="E1175" t="str">
            <v>Tổng công ty Công nghiệp Công nghệ cao Viettel</v>
          </cell>
          <cell r="F1175" t="str">
            <v>Khối 3 - TCT CNC</v>
          </cell>
          <cell r="G1175" t="str">
            <v>Trung tâm Camera</v>
          </cell>
        </row>
        <row r="1176">
          <cell r="B1176" t="str">
            <v>474561</v>
          </cell>
          <cell r="C1176" t="str">
            <v>Nguyễn Hoàng Việt</v>
          </cell>
          <cell r="D1176" t="str">
            <v>Kỹ sư Phát triển phần mềm</v>
          </cell>
          <cell r="E1176" t="str">
            <v>Tổng công ty Công nghiệp Công nghệ cao Viettel</v>
          </cell>
          <cell r="F1176" t="str">
            <v>Khối 3 - TCT CNC</v>
          </cell>
          <cell r="G1176" t="str">
            <v>Trung tâm Camera</v>
          </cell>
        </row>
        <row r="1177">
          <cell r="B1177" t="str">
            <v>475073</v>
          </cell>
          <cell r="C1177" t="str">
            <v>Cấn Quốc Vinh</v>
          </cell>
          <cell r="D1177" t="str">
            <v>Kỹ sư Phát triển phần mềm</v>
          </cell>
          <cell r="E1177" t="str">
            <v>Tổng công ty Công nghiệp Công nghệ cao Viettel</v>
          </cell>
          <cell r="F1177" t="str">
            <v>Khối 3 - TCT CNC</v>
          </cell>
          <cell r="G1177" t="str">
            <v>Trung tâm Camera</v>
          </cell>
        </row>
        <row r="1178">
          <cell r="B1178" t="str">
            <v>475547</v>
          </cell>
          <cell r="C1178" t="str">
            <v>Phạm Thị Nga</v>
          </cell>
          <cell r="D1178" t="str">
            <v>Kỹ sư Trí tuệ Nhân tạo</v>
          </cell>
          <cell r="E1178" t="str">
            <v>Tổng công ty Công nghiệp Công nghệ cao Viettel</v>
          </cell>
          <cell r="F1178" t="str">
            <v>Khối 3 - TCT CNC</v>
          </cell>
          <cell r="G1178" t="str">
            <v>Trung tâm Camera</v>
          </cell>
        </row>
        <row r="1179">
          <cell r="B1179" t="str">
            <v>476075</v>
          </cell>
          <cell r="C1179" t="str">
            <v>Trần Trung Tuấn</v>
          </cell>
          <cell r="D1179" t="str">
            <v>Kỹ sư Phát triển phần mềm</v>
          </cell>
          <cell r="E1179" t="str">
            <v>Tổng công ty Công nghiệp Công nghệ cao Viettel</v>
          </cell>
          <cell r="F1179" t="str">
            <v>Khối 3 - TCT CNC</v>
          </cell>
          <cell r="G1179" t="str">
            <v>Trung tâm Camera</v>
          </cell>
        </row>
        <row r="1180">
          <cell r="B1180" t="str">
            <v>476751</v>
          </cell>
          <cell r="C1180" t="str">
            <v>Nguyễn Thị Phương</v>
          </cell>
          <cell r="D1180" t="str">
            <v>Kỹ sư Phân tích nghiệp vụ</v>
          </cell>
          <cell r="E1180" t="str">
            <v>Tổng công ty Công nghiệp Công nghệ cao Viettel</v>
          </cell>
          <cell r="F1180" t="str">
            <v>Khối 3 - TCT CNC</v>
          </cell>
          <cell r="G1180" t="str">
            <v>Trung tâm Camera</v>
          </cell>
        </row>
        <row r="1181">
          <cell r="B1181" t="str">
            <v>476949</v>
          </cell>
          <cell r="C1181" t="str">
            <v>Lý Gia Huy</v>
          </cell>
          <cell r="D1181" t="str">
            <v>Kỹ sư Phần mềm nhúng</v>
          </cell>
          <cell r="E1181" t="str">
            <v>Tổng công ty Công nghiệp Công nghệ cao Viettel</v>
          </cell>
          <cell r="F1181" t="str">
            <v>Khối 3 - TCT CNC</v>
          </cell>
          <cell r="G1181" t="str">
            <v>Trung tâm Camera</v>
          </cell>
        </row>
        <row r="1182">
          <cell r="B1182" t="str">
            <v>476953</v>
          </cell>
          <cell r="C1182" t="str">
            <v>Cao Phương Nam</v>
          </cell>
          <cell r="D1182" t="str">
            <v>Kỹ sư Phát triển phần mềm</v>
          </cell>
          <cell r="E1182" t="str">
            <v>Tổng công ty Công nghiệp Công nghệ cao Viettel</v>
          </cell>
          <cell r="F1182" t="str">
            <v>Khối 3 - TCT CNC</v>
          </cell>
          <cell r="G1182" t="str">
            <v>Trung tâm Camera</v>
          </cell>
        </row>
        <row r="1183">
          <cell r="B1183" t="str">
            <v>476955</v>
          </cell>
          <cell r="C1183" t="str">
            <v>Bùi Minh Tuấn</v>
          </cell>
          <cell r="D1183" t="str">
            <v>Kỹ sư Phát triển phần mềm</v>
          </cell>
          <cell r="E1183" t="str">
            <v>Tổng công ty Công nghiệp Công nghệ cao Viettel</v>
          </cell>
          <cell r="F1183" t="str">
            <v>Khối 3 - TCT CNC</v>
          </cell>
          <cell r="G1183" t="str">
            <v>Trung tâm Camera</v>
          </cell>
        </row>
        <row r="1184">
          <cell r="B1184" t="str">
            <v>476957</v>
          </cell>
          <cell r="C1184" t="str">
            <v>Nguyễn Ngọc Bản</v>
          </cell>
          <cell r="D1184" t="str">
            <v>Kỹ sư Phân tích nghiệp vụ</v>
          </cell>
          <cell r="E1184" t="str">
            <v>Tổng công ty Công nghiệp Công nghệ cao Viettel</v>
          </cell>
          <cell r="F1184" t="str">
            <v>Khối 3 - TCT CNC</v>
          </cell>
          <cell r="G1184" t="str">
            <v>Trung tâm Camera</v>
          </cell>
        </row>
        <row r="1185">
          <cell r="B1185" t="str">
            <v>477419</v>
          </cell>
          <cell r="C1185" t="str">
            <v>Nguyễn Nhân Hoàng Anh</v>
          </cell>
          <cell r="D1185" t="str">
            <v>Kỹ sư Phát triển phần mềm</v>
          </cell>
          <cell r="E1185" t="str">
            <v>Tổng công ty Công nghiệp Công nghệ cao Viettel</v>
          </cell>
          <cell r="F1185" t="str">
            <v>Khối 3 - TCT CNC</v>
          </cell>
          <cell r="G1185" t="str">
            <v>Trung tâm Camera</v>
          </cell>
        </row>
        <row r="1186">
          <cell r="B1186" t="str">
            <v>477443</v>
          </cell>
          <cell r="C1186" t="str">
            <v>Tạ Minh Quân</v>
          </cell>
          <cell r="D1186" t="str">
            <v>Kỹ sư Phần mềm nhúng</v>
          </cell>
          <cell r="E1186" t="str">
            <v>Tổng công ty Công nghiệp Công nghệ cao Viettel</v>
          </cell>
          <cell r="F1186" t="str">
            <v>Khối 3 - TCT CNC</v>
          </cell>
          <cell r="G1186" t="str">
            <v>Trung tâm Camera</v>
          </cell>
        </row>
        <row r="1187">
          <cell r="B1187" t="str">
            <v>193273</v>
          </cell>
          <cell r="C1187" t="str">
            <v>Vũ Như Thành</v>
          </cell>
          <cell r="D1187" t="str">
            <v>Kỹ sư tích hợp hệ thống</v>
          </cell>
          <cell r="E1187" t="str">
            <v>Tổng công ty Công nghiệp Công nghệ cao Viettel</v>
          </cell>
          <cell r="F1187" t="str">
            <v>Khối 3 - TCT CNC</v>
          </cell>
          <cell r="G1187" t="str">
            <v>Trung tâm Nền tảng IOT</v>
          </cell>
        </row>
        <row r="1188">
          <cell r="B1188" t="str">
            <v>196174</v>
          </cell>
          <cell r="C1188" t="str">
            <v>Lê Ngọc Quý</v>
          </cell>
          <cell r="D1188" t="str">
            <v>Giám đốc Trung tâm</v>
          </cell>
          <cell r="E1188" t="str">
            <v>Tổng công ty Công nghiệp Công nghệ cao Viettel</v>
          </cell>
          <cell r="F1188" t="str">
            <v>Khối 3 - TCT CNC</v>
          </cell>
          <cell r="G1188" t="str">
            <v>Trung tâm Nền tảng IOT</v>
          </cell>
        </row>
        <row r="1189">
          <cell r="B1189" t="str">
            <v>199319</v>
          </cell>
          <cell r="C1189" t="str">
            <v>Nguyễn Quốc Tuấn</v>
          </cell>
          <cell r="D1189" t="str">
            <v>Kỹ sư Giải pháp</v>
          </cell>
          <cell r="E1189" t="str">
            <v>Tổng công ty Công nghiệp Công nghệ cao Viettel</v>
          </cell>
          <cell r="F1189" t="str">
            <v>Khối 3 - TCT CNC</v>
          </cell>
          <cell r="G1189" t="str">
            <v>Trung tâm Nền tảng IOT</v>
          </cell>
        </row>
        <row r="1190">
          <cell r="B1190" t="str">
            <v>204703</v>
          </cell>
          <cell r="C1190" t="str">
            <v>Nguyễn Thị Liêm</v>
          </cell>
          <cell r="D1190" t="str">
            <v>Kỹ sư Phân tích nghiệp vụ</v>
          </cell>
          <cell r="E1190" t="str">
            <v>Tổng công ty Công nghiệp Công nghệ cao Viettel</v>
          </cell>
          <cell r="F1190" t="str">
            <v>Khối 3 - TCT CNC</v>
          </cell>
          <cell r="G1190" t="str">
            <v>Trung tâm Nền tảng IOT</v>
          </cell>
        </row>
        <row r="1191">
          <cell r="B1191" t="str">
            <v>206280</v>
          </cell>
          <cell r="C1191" t="str">
            <v>Đỗ Minh Đức</v>
          </cell>
          <cell r="D1191" t="str">
            <v>Kỹ sư chính Phát triển phần mềm</v>
          </cell>
          <cell r="E1191" t="str">
            <v>Tổng công ty Công nghiệp Công nghệ cao Viettel</v>
          </cell>
          <cell r="F1191" t="str">
            <v>Khối 3 - TCT CNC</v>
          </cell>
          <cell r="G1191" t="str">
            <v>Trung tâm Nền tảng IOT</v>
          </cell>
        </row>
        <row r="1192">
          <cell r="B1192" t="str">
            <v>226732</v>
          </cell>
          <cell r="C1192" t="str">
            <v>Lê Tuấn Anh</v>
          </cell>
          <cell r="D1192" t="str">
            <v>Kỹ sư Phát triển phần mềm</v>
          </cell>
          <cell r="E1192" t="str">
            <v>Tổng công ty Công nghiệp Công nghệ cao Viettel</v>
          </cell>
          <cell r="F1192" t="str">
            <v>Khối 3 - TCT CNC</v>
          </cell>
          <cell r="G1192" t="str">
            <v>Trung tâm Nền tảng IOT</v>
          </cell>
        </row>
        <row r="1193">
          <cell r="B1193" t="str">
            <v>244757</v>
          </cell>
          <cell r="C1193" t="str">
            <v>Đỗ Thị Xuân</v>
          </cell>
          <cell r="D1193" t="str">
            <v>Kỹ sư Phân tích nghiệp vụ</v>
          </cell>
          <cell r="E1193" t="str">
            <v>Tổng công ty Công nghiệp Công nghệ cao Viettel</v>
          </cell>
          <cell r="F1193" t="str">
            <v>Khối 3 - TCT CNC</v>
          </cell>
          <cell r="G1193" t="str">
            <v>Trung tâm Nền tảng IOT</v>
          </cell>
        </row>
        <row r="1194">
          <cell r="B1194" t="str">
            <v>245558</v>
          </cell>
          <cell r="C1194" t="str">
            <v>Lê Văn Cẩn</v>
          </cell>
          <cell r="D1194" t="str">
            <v>Kỹ sư tích hợp hệ thống</v>
          </cell>
          <cell r="E1194" t="str">
            <v>Tổng công ty Công nghiệp Công nghệ cao Viettel</v>
          </cell>
          <cell r="F1194" t="str">
            <v>Khối 3 - TCT CNC</v>
          </cell>
          <cell r="G1194" t="str">
            <v>Trung tâm Nền tảng IOT</v>
          </cell>
        </row>
        <row r="1195">
          <cell r="B1195" t="str">
            <v>263122</v>
          </cell>
          <cell r="C1195" t="str">
            <v>Nguyễn Bảo Quốc</v>
          </cell>
          <cell r="D1195" t="str">
            <v>Trưởng phòng Công nghệ nền tảng</v>
          </cell>
          <cell r="E1195" t="str">
            <v>Tổng công ty Công nghiệp Công nghệ cao Viettel</v>
          </cell>
          <cell r="F1195" t="str">
            <v>Khối 3 - TCT CNC</v>
          </cell>
          <cell r="G1195" t="str">
            <v>Trung tâm Nền tảng IOT</v>
          </cell>
        </row>
        <row r="1196">
          <cell r="B1196" t="str">
            <v>276031</v>
          </cell>
          <cell r="C1196" t="str">
            <v>Đặng Thanh Tùng</v>
          </cell>
          <cell r="D1196" t="str">
            <v>Kỹ sư Giải pháp</v>
          </cell>
          <cell r="E1196" t="str">
            <v>Tổng công ty Công nghiệp Công nghệ cao Viettel</v>
          </cell>
          <cell r="F1196" t="str">
            <v>Khối 3 - TCT CNC</v>
          </cell>
          <cell r="G1196" t="str">
            <v>Trung tâm Nền tảng IOT</v>
          </cell>
        </row>
        <row r="1197">
          <cell r="B1197" t="str">
            <v>282982</v>
          </cell>
          <cell r="C1197" t="str">
            <v>Chu Quang Dần</v>
          </cell>
          <cell r="D1197" t="str">
            <v>Kỹ sư Giải pháp</v>
          </cell>
          <cell r="E1197" t="str">
            <v>Tổng công ty Công nghiệp Công nghệ cao Viettel</v>
          </cell>
          <cell r="F1197" t="str">
            <v>Khối 3 - TCT CNC</v>
          </cell>
          <cell r="G1197" t="str">
            <v>Trung tâm Nền tảng IOT</v>
          </cell>
        </row>
        <row r="1198">
          <cell r="B1198" t="str">
            <v>291571</v>
          </cell>
          <cell r="C1198" t="str">
            <v>Nguyễn Thế Anh</v>
          </cell>
          <cell r="D1198" t="str">
            <v>Kỹ sư tích hợp hệ thống</v>
          </cell>
          <cell r="E1198" t="str">
            <v>Tổng công ty Công nghiệp Công nghệ cao Viettel</v>
          </cell>
          <cell r="F1198" t="str">
            <v>Khối 3 - TCT CNC</v>
          </cell>
          <cell r="G1198" t="str">
            <v>Trung tâm Nền tảng IOT</v>
          </cell>
        </row>
        <row r="1199">
          <cell r="B1199" t="str">
            <v>431864</v>
          </cell>
          <cell r="C1199" t="str">
            <v>Phan Thị Hồng Linh</v>
          </cell>
          <cell r="D1199" t="str">
            <v>Kỹ sư Giải pháp</v>
          </cell>
          <cell r="E1199" t="str">
            <v>Tổng công ty Công nghiệp Công nghệ cao Viettel</v>
          </cell>
          <cell r="F1199" t="str">
            <v>Khối 3 - TCT CNC</v>
          </cell>
          <cell r="G1199" t="str">
            <v>Trung tâm Nền tảng IOT</v>
          </cell>
        </row>
        <row r="1200">
          <cell r="B1200" t="str">
            <v>434846</v>
          </cell>
          <cell r="C1200" t="str">
            <v>Phạm Tiến Đạt</v>
          </cell>
          <cell r="D1200" t="str">
            <v>Kỹ sư Phát triển phần mềm</v>
          </cell>
          <cell r="E1200" t="str">
            <v>Tổng công ty Công nghiệp Công nghệ cao Viettel</v>
          </cell>
          <cell r="F1200" t="str">
            <v>Khối 3 - TCT CNC</v>
          </cell>
          <cell r="G1200" t="str">
            <v>Trung tâm Nền tảng IOT</v>
          </cell>
        </row>
        <row r="1201">
          <cell r="B1201" t="str">
            <v>434850</v>
          </cell>
          <cell r="C1201" t="str">
            <v>Nguyễn Đức Long</v>
          </cell>
          <cell r="D1201" t="str">
            <v>Kỹ sư Lập trình nhúng</v>
          </cell>
          <cell r="E1201" t="str">
            <v>Tổng công ty Công nghiệp Công nghệ cao Viettel</v>
          </cell>
          <cell r="F1201" t="str">
            <v>Khối 3 - TCT CNC</v>
          </cell>
          <cell r="G1201" t="str">
            <v>Trung tâm Nền tảng IOT</v>
          </cell>
        </row>
        <row r="1202">
          <cell r="B1202" t="str">
            <v>437625</v>
          </cell>
          <cell r="C1202" t="str">
            <v>Lê Phương Nam</v>
          </cell>
          <cell r="D1202" t="str">
            <v>Kỹ sư Lập trình nhúng</v>
          </cell>
          <cell r="E1202" t="str">
            <v>Tổng công ty Công nghiệp Công nghệ cao Viettel</v>
          </cell>
          <cell r="F1202" t="str">
            <v>Khối 3 - TCT CNC</v>
          </cell>
          <cell r="G1202" t="str">
            <v>Trung tâm Nền tảng IOT</v>
          </cell>
        </row>
        <row r="1203">
          <cell r="B1203" t="str">
            <v>437630</v>
          </cell>
          <cell r="C1203" t="str">
            <v>Trần Ngọc Khiêm</v>
          </cell>
          <cell r="D1203" t="str">
            <v>Kỹ sư Phát triển phần mềm</v>
          </cell>
          <cell r="E1203" t="str">
            <v>Tổng công ty Công nghiệp Công nghệ cao Viettel</v>
          </cell>
          <cell r="F1203" t="str">
            <v>Khối 3 - TCT CNC</v>
          </cell>
          <cell r="G1203" t="str">
            <v>Trung tâm Nền tảng IOT</v>
          </cell>
        </row>
        <row r="1204">
          <cell r="B1204" t="str">
            <v>441120</v>
          </cell>
          <cell r="C1204" t="str">
            <v>Trần Văn Tiến</v>
          </cell>
          <cell r="D1204" t="str">
            <v>Kỹ sư Lập trình nhúng</v>
          </cell>
          <cell r="E1204" t="str">
            <v>Tổng công ty Công nghiệp Công nghệ cao Viettel</v>
          </cell>
          <cell r="F1204" t="str">
            <v>Khối 3 - TCT CNC</v>
          </cell>
          <cell r="G1204" t="str">
            <v>Trung tâm Nền tảng IOT</v>
          </cell>
        </row>
        <row r="1205">
          <cell r="B1205" t="str">
            <v>447297</v>
          </cell>
          <cell r="C1205" t="str">
            <v>Phạm Anh Quân</v>
          </cell>
          <cell r="D1205" t="str">
            <v>Kỹ sư Phát triển phần mềm</v>
          </cell>
          <cell r="E1205" t="str">
            <v>Tổng công ty Công nghiệp Công nghệ cao Viettel</v>
          </cell>
          <cell r="F1205" t="str">
            <v>Khối 3 - TCT CNC</v>
          </cell>
          <cell r="G1205" t="str">
            <v>Trung tâm Nền tảng IOT</v>
          </cell>
        </row>
        <row r="1206">
          <cell r="B1206" t="str">
            <v>448219</v>
          </cell>
          <cell r="C1206" t="str">
            <v>Lê Hoàng Nguyên</v>
          </cell>
          <cell r="D1206" t="str">
            <v>Kỹ sư Phát triển phần mềm</v>
          </cell>
          <cell r="E1206" t="str">
            <v>Tổng công ty Công nghiệp Công nghệ cao Viettel</v>
          </cell>
          <cell r="F1206" t="str">
            <v>Khối 3 - TCT CNC</v>
          </cell>
          <cell r="G1206" t="str">
            <v>Trung tâm Nền tảng IOT</v>
          </cell>
        </row>
        <row r="1207">
          <cell r="B1207" t="str">
            <v>450533</v>
          </cell>
          <cell r="C1207" t="str">
            <v>Nguyễn Văn Thành</v>
          </cell>
          <cell r="D1207" t="str">
            <v>Kỹ sư tích hợp hệ thống</v>
          </cell>
          <cell r="E1207" t="str">
            <v>Tổng công ty Công nghiệp Công nghệ cao Viettel</v>
          </cell>
          <cell r="F1207" t="str">
            <v>Khối 3 - TCT CNC</v>
          </cell>
          <cell r="G1207" t="str">
            <v>Trung tâm Nền tảng IOT</v>
          </cell>
        </row>
        <row r="1208">
          <cell r="B1208" t="str">
            <v>454505</v>
          </cell>
          <cell r="C1208" t="str">
            <v>Đặng Quang Hưng</v>
          </cell>
          <cell r="D1208" t="str">
            <v>Kỹ sư Trí tuệ Nhân tạo</v>
          </cell>
          <cell r="E1208" t="str">
            <v>Tổng công ty Công nghiệp Công nghệ cao Viettel</v>
          </cell>
          <cell r="F1208" t="str">
            <v>Khối 3 - TCT CNC</v>
          </cell>
          <cell r="G1208" t="str">
            <v>Trung tâm Nền tảng IOT</v>
          </cell>
        </row>
        <row r="1209">
          <cell r="B1209" t="str">
            <v>454507</v>
          </cell>
          <cell r="C1209" t="str">
            <v>Trần Việt Hùng</v>
          </cell>
          <cell r="D1209" t="str">
            <v>Kỹ sư Phát triển phần mềm</v>
          </cell>
          <cell r="E1209" t="str">
            <v>Tổng công ty Công nghiệp Công nghệ cao Viettel</v>
          </cell>
          <cell r="F1209" t="str">
            <v>Khối 3 - TCT CNC</v>
          </cell>
          <cell r="G1209" t="str">
            <v>Trung tâm Nền tảng IOT</v>
          </cell>
        </row>
        <row r="1210">
          <cell r="B1210" t="str">
            <v>454511</v>
          </cell>
          <cell r="C1210" t="str">
            <v>Chử Văn Minh</v>
          </cell>
          <cell r="D1210" t="str">
            <v>Kỹ sư Giải pháp</v>
          </cell>
          <cell r="E1210" t="str">
            <v>Tổng công ty Công nghiệp Công nghệ cao Viettel</v>
          </cell>
          <cell r="F1210" t="str">
            <v>Khối 3 - TCT CNC</v>
          </cell>
          <cell r="G1210" t="str">
            <v>Trung tâm Nền tảng IOT</v>
          </cell>
        </row>
        <row r="1211">
          <cell r="B1211" t="str">
            <v>454513</v>
          </cell>
          <cell r="C1211" t="str">
            <v>Hoa Đỗ Tùng Dương</v>
          </cell>
          <cell r="D1211" t="str">
            <v>Kỹ sư Trí tuệ Nhân tạo</v>
          </cell>
          <cell r="E1211" t="str">
            <v>Tổng công ty Công nghiệp Công nghệ cao Viettel</v>
          </cell>
          <cell r="F1211" t="str">
            <v>Khối 3 - TCT CNC</v>
          </cell>
          <cell r="G1211" t="str">
            <v>Trung tâm Nền tảng IOT</v>
          </cell>
        </row>
        <row r="1212">
          <cell r="B1212" t="str">
            <v>460399</v>
          </cell>
          <cell r="C1212" t="str">
            <v>Bùi Minh Quân</v>
          </cell>
          <cell r="D1212" t="str">
            <v>Kỹ sư Phát triển phần mềm</v>
          </cell>
          <cell r="E1212" t="str">
            <v>Tổng công ty Công nghiệp Công nghệ cao Viettel</v>
          </cell>
          <cell r="F1212" t="str">
            <v>Khối 3 - TCT CNC</v>
          </cell>
          <cell r="G1212" t="str">
            <v>Trung tâm Nền tảng IOT</v>
          </cell>
        </row>
        <row r="1213">
          <cell r="B1213" t="str">
            <v>460547</v>
          </cell>
          <cell r="C1213" t="str">
            <v>Phan Thành Thắng</v>
          </cell>
          <cell r="D1213" t="str">
            <v>Kỹ sư Phát triển phần mềm</v>
          </cell>
          <cell r="E1213" t="str">
            <v>Tổng công ty Công nghiệp Công nghệ cao Viettel</v>
          </cell>
          <cell r="F1213" t="str">
            <v>Khối 3 - TCT CNC</v>
          </cell>
          <cell r="G1213" t="str">
            <v>Trung tâm Nền tảng IOT</v>
          </cell>
        </row>
        <row r="1214">
          <cell r="B1214" t="str">
            <v>462361</v>
          </cell>
          <cell r="C1214" t="str">
            <v>Mai Thanh Minh</v>
          </cell>
          <cell r="D1214" t="str">
            <v>Kỹ sư Phát triển phần mềm</v>
          </cell>
          <cell r="E1214" t="str">
            <v>Tổng công ty Công nghiệp Công nghệ cao Viettel</v>
          </cell>
          <cell r="F1214" t="str">
            <v>Khối 3 - TCT CNC</v>
          </cell>
          <cell r="G1214" t="str">
            <v>Trung tâm Nền tảng IOT</v>
          </cell>
        </row>
        <row r="1215">
          <cell r="B1215" t="str">
            <v>465723</v>
          </cell>
          <cell r="C1215" t="str">
            <v>Nguyễn Thị Hương</v>
          </cell>
          <cell r="D1215" t="str">
            <v>Chuyên viên Giải pháp nghiệp vụ</v>
          </cell>
          <cell r="E1215" t="str">
            <v>Tổng công ty Công nghiệp Công nghệ cao Viettel</v>
          </cell>
          <cell r="F1215" t="str">
            <v>Khối 3 - TCT CNC</v>
          </cell>
          <cell r="G1215" t="str">
            <v>Trung tâm Nền tảng IOT</v>
          </cell>
        </row>
        <row r="1216">
          <cell r="B1216" t="str">
            <v>467455</v>
          </cell>
          <cell r="C1216" t="str">
            <v>Nguyễn Đức Minh</v>
          </cell>
          <cell r="D1216" t="str">
            <v>Kỹ sư Phát triển phần mềm</v>
          </cell>
          <cell r="E1216" t="str">
            <v>Tổng công ty Công nghiệp Công nghệ cao Viettel</v>
          </cell>
          <cell r="F1216" t="str">
            <v>Khối 3 - TCT CNC</v>
          </cell>
          <cell r="G1216" t="str">
            <v>Trung tâm Nền tảng IOT</v>
          </cell>
        </row>
        <row r="1217">
          <cell r="B1217" t="str">
            <v>474433</v>
          </cell>
          <cell r="C1217" t="str">
            <v>Lê Duy Long</v>
          </cell>
          <cell r="D1217" t="str">
            <v>Kỹ sư Phân tích nghiệp vụ</v>
          </cell>
          <cell r="E1217" t="str">
            <v>Tổng công ty Công nghiệp Công nghệ cao Viettel</v>
          </cell>
          <cell r="F1217" t="str">
            <v>Khối 3 - TCT CNC</v>
          </cell>
          <cell r="G1217" t="str">
            <v>Trung tâm Nền tảng IOT</v>
          </cell>
        </row>
        <row r="1218">
          <cell r="B1218" t="str">
            <v>476077</v>
          </cell>
          <cell r="C1218" t="str">
            <v>Lê Việt Hoàng</v>
          </cell>
          <cell r="D1218" t="str">
            <v>Kỹ sư Phát triển phần mềm</v>
          </cell>
          <cell r="E1218" t="str">
            <v>Tổng công ty Công nghiệp Công nghệ cao Viettel</v>
          </cell>
          <cell r="F1218" t="str">
            <v>Khối 3 - TCT CNC</v>
          </cell>
          <cell r="G1218" t="str">
            <v>Trung tâm Nền tảng IOT</v>
          </cell>
        </row>
        <row r="1219">
          <cell r="B1219" t="str">
            <v>042114</v>
          </cell>
          <cell r="C1219" t="str">
            <v>Nguyễn Minh Quang</v>
          </cell>
          <cell r="D1219" t="str">
            <v>Phó Tổng Giám đốc</v>
          </cell>
          <cell r="E1219" t="str">
            <v>Tổng công ty Công nghiệp Công nghệ cao Viettel</v>
          </cell>
          <cell r="F1219" t="str">
            <v>Khối cơ quan - TCT CNC</v>
          </cell>
          <cell r="G1219" t="str">
            <v>Ban Giám đốc</v>
          </cell>
        </row>
        <row r="1220">
          <cell r="B1220" t="str">
            <v>056933</v>
          </cell>
          <cell r="C1220" t="str">
            <v>Vũ Việt Tiến</v>
          </cell>
          <cell r="D1220" t="str">
            <v>Phó Tổng Giám đốc</v>
          </cell>
          <cell r="E1220" t="str">
            <v>Tổng công ty Công nghiệp Công nghệ cao Viettel</v>
          </cell>
          <cell r="F1220" t="str">
            <v>Khối cơ quan - TCT CNC</v>
          </cell>
          <cell r="G1220" t="str">
            <v>Ban Giám đốc</v>
          </cell>
        </row>
        <row r="1221">
          <cell r="B1221" t="str">
            <v>058985</v>
          </cell>
          <cell r="C1221" t="str">
            <v>Lê Triều Dương</v>
          </cell>
          <cell r="D1221" t="str">
            <v>Phó Tổng Giám đốc</v>
          </cell>
          <cell r="E1221" t="str">
            <v>Tổng công ty Công nghiệp Công nghệ cao Viettel</v>
          </cell>
          <cell r="F1221" t="str">
            <v>Khối cơ quan - TCT CNC</v>
          </cell>
          <cell r="G1221" t="str">
            <v>Ban Giám đốc</v>
          </cell>
        </row>
        <row r="1222">
          <cell r="B1222" t="str">
            <v>059034</v>
          </cell>
          <cell r="C1222" t="str">
            <v>Nguyễn Mạnh Linh</v>
          </cell>
          <cell r="D1222" t="str">
            <v>Phó Tổng Giám đốc</v>
          </cell>
          <cell r="E1222" t="str">
            <v>Tổng công ty Công nghiệp Công nghệ cao Viettel</v>
          </cell>
          <cell r="F1222" t="str">
            <v>Khối cơ quan - TCT CNC</v>
          </cell>
          <cell r="G1222" t="str">
            <v>Ban Giám đốc</v>
          </cell>
        </row>
        <row r="1223">
          <cell r="B1223" t="str">
            <v>063766</v>
          </cell>
          <cell r="C1223" t="str">
            <v>Nguyễn Vũ Hà</v>
          </cell>
          <cell r="D1223" t="str">
            <v>Tổng Giám đốc</v>
          </cell>
          <cell r="E1223" t="str">
            <v>Tổng công ty Công nghiệp Công nghệ cao Viettel</v>
          </cell>
          <cell r="F1223" t="str">
            <v>Khối cơ quan - TCT CNC</v>
          </cell>
          <cell r="G1223" t="str">
            <v>Ban Giám đốc</v>
          </cell>
        </row>
        <row r="1224">
          <cell r="B1224" t="str">
            <v>087210</v>
          </cell>
          <cell r="C1224" t="str">
            <v>Đào Vũ Kiên</v>
          </cell>
          <cell r="D1224" t="str">
            <v>Phó Tổng Giám đốc</v>
          </cell>
          <cell r="E1224" t="str">
            <v>Tổng công ty Công nghiệp Công nghệ cao Viettel</v>
          </cell>
          <cell r="F1224" t="str">
            <v>Khối cơ quan - TCT CNC</v>
          </cell>
          <cell r="G1224" t="str">
            <v>Ban Giám đốc</v>
          </cell>
        </row>
        <row r="1225">
          <cell r="B1225" t="str">
            <v>003966</v>
          </cell>
          <cell r="C1225" t="str">
            <v>Nguyễn Gia Vinh</v>
          </cell>
          <cell r="D1225" t="str">
            <v>Trưởng Phòng Chiến lược - Khoa học công nghệ</v>
          </cell>
          <cell r="E1225" t="str">
            <v>Tổng công ty Công nghiệp Công nghệ cao Viettel</v>
          </cell>
          <cell r="F1225" t="str">
            <v>Khối cơ quan - TCT CNC</v>
          </cell>
          <cell r="G1225" t="str">
            <v>Phòng Chiến lược - KHCN</v>
          </cell>
        </row>
        <row r="1226">
          <cell r="B1226" t="str">
            <v>045113</v>
          </cell>
          <cell r="C1226" t="str">
            <v>Nguyễn Khắc Tháp</v>
          </cell>
          <cell r="D1226" t="str">
            <v>Phó Phòng Chiến lược - Khoa học công nghệ</v>
          </cell>
          <cell r="E1226" t="str">
            <v>Tổng công ty Công nghiệp Công nghệ cao Viettel</v>
          </cell>
          <cell r="F1226" t="str">
            <v>Khối cơ quan - TCT CNC</v>
          </cell>
          <cell r="G1226" t="str">
            <v>Phòng Chiến lược - KHCN</v>
          </cell>
        </row>
        <row r="1227">
          <cell r="B1227" t="str">
            <v>047483</v>
          </cell>
          <cell r="C1227" t="str">
            <v>Võ Kim Chi</v>
          </cell>
          <cell r="D1227" t="str">
            <v>Nhân viên Khoa học Công nghệ</v>
          </cell>
          <cell r="E1227" t="str">
            <v>Tổng công ty Công nghiệp Công nghệ cao Viettel</v>
          </cell>
          <cell r="F1227" t="str">
            <v>Khối cơ quan - TCT CNC</v>
          </cell>
          <cell r="G1227" t="str">
            <v>Phòng Chiến lược - KHCN</v>
          </cell>
        </row>
        <row r="1228">
          <cell r="B1228" t="str">
            <v>056955</v>
          </cell>
          <cell r="C1228" t="str">
            <v>Lê Thị Hải Yến</v>
          </cell>
          <cell r="D1228" t="str">
            <v>Chuyên viên Khoa học Công nghệ</v>
          </cell>
          <cell r="E1228" t="str">
            <v>Tổng công ty Công nghiệp Công nghệ cao Viettel</v>
          </cell>
          <cell r="F1228" t="str">
            <v>Khối cơ quan - TCT CNC</v>
          </cell>
          <cell r="G1228" t="str">
            <v>Phòng Chiến lược - KHCN</v>
          </cell>
        </row>
        <row r="1229">
          <cell r="B1229" t="str">
            <v>088317</v>
          </cell>
          <cell r="C1229" t="str">
            <v>Dương Thị Anh Thư</v>
          </cell>
          <cell r="D1229" t="str">
            <v>Chuyên viên Quản lý tri thức và công nghệ</v>
          </cell>
          <cell r="E1229" t="str">
            <v>Tổng công ty Công nghiệp Công nghệ cao Viettel</v>
          </cell>
          <cell r="F1229" t="str">
            <v>Khối cơ quan - TCT CNC</v>
          </cell>
          <cell r="G1229" t="str">
            <v>Phòng Chiến lược - KHCN</v>
          </cell>
        </row>
        <row r="1230">
          <cell r="B1230" t="str">
            <v>091597</v>
          </cell>
          <cell r="C1230" t="str">
            <v>Vũ Việt Hoàng</v>
          </cell>
          <cell r="D1230" t="str">
            <v>Chuyên viên Nghiên cứu Chiến lược</v>
          </cell>
          <cell r="E1230" t="str">
            <v>Tổng công ty Công nghiệp Công nghệ cao Viettel</v>
          </cell>
          <cell r="F1230" t="str">
            <v>Khối cơ quan - TCT CNC</v>
          </cell>
          <cell r="G1230" t="str">
            <v>Phòng Chiến lược - KHCN</v>
          </cell>
        </row>
        <row r="1231">
          <cell r="B1231" t="str">
            <v>205153</v>
          </cell>
          <cell r="C1231" t="str">
            <v>Vũ Thái Hưng</v>
          </cell>
          <cell r="D1231" t="str">
            <v>Chuyên viên Nghiên cứu Chiến lược</v>
          </cell>
          <cell r="E1231" t="str">
            <v>Tổng công ty Công nghiệp Công nghệ cao Viettel</v>
          </cell>
          <cell r="F1231" t="str">
            <v>Khối cơ quan - TCT CNC</v>
          </cell>
          <cell r="G1231" t="str">
            <v>Phòng Chiến lược - KHCN</v>
          </cell>
        </row>
        <row r="1232">
          <cell r="B1232" t="str">
            <v>205225</v>
          </cell>
          <cell r="C1232" t="str">
            <v>Nguyễn Minh Quang</v>
          </cell>
          <cell r="D1232" t="str">
            <v>Nhân viên Khoa học Công nghệ</v>
          </cell>
          <cell r="E1232" t="str">
            <v>Tổng công ty Công nghiệp Công nghệ cao Viettel</v>
          </cell>
          <cell r="F1232" t="str">
            <v>Khối cơ quan - TCT CNC</v>
          </cell>
          <cell r="G1232" t="str">
            <v>Phòng Chiến lược - KHCN</v>
          </cell>
        </row>
        <row r="1233">
          <cell r="B1233" t="str">
            <v>249098</v>
          </cell>
          <cell r="C1233" t="str">
            <v>Đỗ Trường Xuân</v>
          </cell>
          <cell r="D1233" t="str">
            <v>Chuyên viên Khoa học Công nghệ</v>
          </cell>
          <cell r="E1233" t="str">
            <v>Tổng công ty Công nghiệp Công nghệ cao Viettel</v>
          </cell>
          <cell r="F1233" t="str">
            <v>Khối cơ quan - TCT CNC</v>
          </cell>
          <cell r="G1233" t="str">
            <v>Phòng Chiến lược - KHCN</v>
          </cell>
        </row>
        <row r="1234">
          <cell r="B1234" t="str">
            <v>009646</v>
          </cell>
          <cell r="C1234" t="str">
            <v>Phạm Duy Lập</v>
          </cell>
          <cell r="D1234" t="str">
            <v>Trưởng phòng Chính trị</v>
          </cell>
          <cell r="E1234" t="str">
            <v>Tổng công ty Công nghiệp Công nghệ cao Viettel</v>
          </cell>
          <cell r="F1234" t="str">
            <v>Khối cơ quan - TCT CNC</v>
          </cell>
          <cell r="G1234" t="str">
            <v>Phòng Chính trị</v>
          </cell>
        </row>
        <row r="1235">
          <cell r="B1235" t="str">
            <v>055313</v>
          </cell>
          <cell r="C1235" t="str">
            <v>Phạm Văn Tính</v>
          </cell>
          <cell r="D1235" t="str">
            <v>Trợ lý Tổ chức</v>
          </cell>
          <cell r="E1235" t="str">
            <v>Tổng công ty Công nghiệp Công nghệ cao Viettel</v>
          </cell>
          <cell r="F1235" t="str">
            <v>Khối cơ quan - TCT CNC</v>
          </cell>
          <cell r="G1235" t="str">
            <v>Phòng Chính trị</v>
          </cell>
        </row>
        <row r="1236">
          <cell r="B1236" t="str">
            <v>071735</v>
          </cell>
          <cell r="C1236" t="str">
            <v>Trần Văn Khiêm</v>
          </cell>
          <cell r="D1236" t="str">
            <v>Trợ lý Bảo vệ an ninh</v>
          </cell>
          <cell r="E1236" t="str">
            <v>Tổng công ty Công nghiệp Công nghệ cao Viettel</v>
          </cell>
          <cell r="F1236" t="str">
            <v>Khối cơ quan - TCT CNC</v>
          </cell>
          <cell r="G1236" t="str">
            <v>Phòng Chính trị</v>
          </cell>
        </row>
        <row r="1237">
          <cell r="B1237" t="str">
            <v>086369</v>
          </cell>
          <cell r="C1237" t="str">
            <v>Đặng Thị Mai Hương</v>
          </cell>
          <cell r="D1237" t="str">
            <v>Trợ lý Chính sách dân vận</v>
          </cell>
          <cell r="E1237" t="str">
            <v>Tổng công ty Công nghiệp Công nghệ cao Viettel</v>
          </cell>
          <cell r="F1237" t="str">
            <v>Khối cơ quan - TCT CNC</v>
          </cell>
          <cell r="G1237" t="str">
            <v>Phòng Chính trị</v>
          </cell>
        </row>
        <row r="1238">
          <cell r="B1238" t="str">
            <v>091256</v>
          </cell>
          <cell r="C1238" t="str">
            <v>Nguyễn Thị Duyên</v>
          </cell>
          <cell r="D1238" t="str">
            <v>Trợ lý Cán bộ</v>
          </cell>
          <cell r="E1238" t="str">
            <v>Tổng công ty Công nghiệp Công nghệ cao Viettel</v>
          </cell>
          <cell r="F1238" t="str">
            <v>Khối cơ quan - TCT CNC</v>
          </cell>
          <cell r="G1238" t="str">
            <v>Phòng Chính trị</v>
          </cell>
        </row>
        <row r="1239">
          <cell r="B1239" t="str">
            <v>099456</v>
          </cell>
          <cell r="C1239" t="str">
            <v>Phan Thanh Long</v>
          </cell>
          <cell r="D1239" t="str">
            <v>Trợ lý Bảo vệ an ninh</v>
          </cell>
          <cell r="E1239" t="str">
            <v>Tổng công ty Công nghiệp Công nghệ cao Viettel</v>
          </cell>
          <cell r="F1239" t="str">
            <v>Khối cơ quan - TCT CNC</v>
          </cell>
          <cell r="G1239" t="str">
            <v>Phòng Chính trị</v>
          </cell>
        </row>
        <row r="1240">
          <cell r="B1240" t="str">
            <v>196695</v>
          </cell>
          <cell r="C1240" t="str">
            <v>Phạm Thị Phương Thảo</v>
          </cell>
          <cell r="D1240" t="str">
            <v>Trợ lý Tuyên huấn - Quần chúng</v>
          </cell>
          <cell r="E1240" t="str">
            <v>Tổng công ty Công nghiệp Công nghệ cao Viettel</v>
          </cell>
          <cell r="F1240" t="str">
            <v>Khối cơ quan - TCT CNC</v>
          </cell>
          <cell r="G1240" t="str">
            <v>Phòng Chính trị</v>
          </cell>
        </row>
        <row r="1241">
          <cell r="B1241" t="str">
            <v>247043</v>
          </cell>
          <cell r="C1241" t="str">
            <v>Phạm Thị Hương Thu</v>
          </cell>
          <cell r="D1241" t="str">
            <v>Trợ lý chính sách dân vận</v>
          </cell>
          <cell r="E1241" t="str">
            <v>Tổng công ty Công nghiệp Công nghệ cao Viettel</v>
          </cell>
          <cell r="F1241" t="str">
            <v>Khối cơ quan - TCT CNC</v>
          </cell>
          <cell r="G1241" t="str">
            <v>Phòng Chính trị</v>
          </cell>
        </row>
        <row r="1242">
          <cell r="B1242" t="str">
            <v>003994</v>
          </cell>
          <cell r="C1242" t="str">
            <v>Đinh Ngọc Kỳ Sơn</v>
          </cell>
          <cell r="D1242" t="str">
            <v>Kỹ sư ATTT Hệ thống</v>
          </cell>
          <cell r="E1242" t="str">
            <v>Tổng công ty Công nghiệp Công nghệ cao Viettel</v>
          </cell>
          <cell r="F1242" t="str">
            <v>Khối cơ quan - TCT CNC</v>
          </cell>
          <cell r="G1242" t="str">
            <v>Phòng Công nghệ thông tin</v>
          </cell>
        </row>
        <row r="1243">
          <cell r="B1243" t="str">
            <v>016474</v>
          </cell>
          <cell r="C1243" t="str">
            <v>Mai Gia Hà</v>
          </cell>
          <cell r="D1243" t="str">
            <v>Trưởng phòng Công nghệ thông tin</v>
          </cell>
          <cell r="E1243" t="str">
            <v>Tổng công ty Công nghiệp Công nghệ cao Viettel</v>
          </cell>
          <cell r="F1243" t="str">
            <v>Khối cơ quan - TCT CNC</v>
          </cell>
          <cell r="G1243" t="str">
            <v>Phòng Công nghệ thông tin</v>
          </cell>
        </row>
        <row r="1244">
          <cell r="B1244" t="str">
            <v>060605</v>
          </cell>
          <cell r="C1244" t="str">
            <v>Nguyễn Mạnh Trường</v>
          </cell>
          <cell r="D1244" t="str">
            <v>Kỹ sư Giải pháp hạ tầng viễn thông</v>
          </cell>
          <cell r="E1244" t="str">
            <v>Tổng công ty Công nghiệp Công nghệ cao Viettel</v>
          </cell>
          <cell r="F1244" t="str">
            <v>Khối cơ quan - TCT CNC</v>
          </cell>
          <cell r="G1244" t="str">
            <v>Phòng Công nghệ thông tin</v>
          </cell>
        </row>
        <row r="1245">
          <cell r="B1245" t="str">
            <v>071779</v>
          </cell>
          <cell r="C1245" t="str">
            <v>Hà Ngọc Đông</v>
          </cell>
          <cell r="D1245" t="str">
            <v>Kỹ sư Giải pháp hạ tầng viễn thông</v>
          </cell>
          <cell r="E1245" t="str">
            <v>Tổng công ty Công nghiệp Công nghệ cao Viettel</v>
          </cell>
          <cell r="F1245" t="str">
            <v>Khối cơ quan - TCT CNC</v>
          </cell>
          <cell r="G1245" t="str">
            <v>Phòng Công nghệ thông tin</v>
          </cell>
        </row>
        <row r="1246">
          <cell r="B1246" t="str">
            <v>079564</v>
          </cell>
          <cell r="C1246" t="str">
            <v>Mai Văn Sơn</v>
          </cell>
          <cell r="D1246" t="str">
            <v>Kỹ sư ATTT Hệ thống</v>
          </cell>
          <cell r="E1246" t="str">
            <v>Tổng công ty Công nghiệp Công nghệ cao Viettel</v>
          </cell>
          <cell r="F1246" t="str">
            <v>Khối cơ quan - TCT CNC</v>
          </cell>
          <cell r="G1246" t="str">
            <v>Phòng Công nghệ thông tin</v>
          </cell>
        </row>
        <row r="1247">
          <cell r="B1247" t="str">
            <v>171667</v>
          </cell>
          <cell r="C1247" t="str">
            <v>Nguyễn Hữu Tú</v>
          </cell>
          <cell r="D1247" t="str">
            <v>Kỹ sư Giải pháp hạ tầng CNTT</v>
          </cell>
          <cell r="E1247" t="str">
            <v>Tổng công ty Công nghiệp Công nghệ cao Viettel</v>
          </cell>
          <cell r="F1247" t="str">
            <v>Khối cơ quan - TCT CNC</v>
          </cell>
          <cell r="G1247" t="str">
            <v>Phòng Công nghệ thông tin</v>
          </cell>
        </row>
        <row r="1248">
          <cell r="B1248" t="str">
            <v>198496</v>
          </cell>
          <cell r="C1248" t="str">
            <v>Phan Đại Thắng</v>
          </cell>
          <cell r="D1248" t="str">
            <v>Kỹ sư ATTT Hệ thống</v>
          </cell>
          <cell r="E1248" t="str">
            <v>Tổng công ty Công nghiệp Công nghệ cao Viettel</v>
          </cell>
          <cell r="F1248" t="str">
            <v>Khối cơ quan - TCT CNC</v>
          </cell>
          <cell r="G1248" t="str">
            <v>Phòng Công nghệ thông tin</v>
          </cell>
        </row>
        <row r="1249">
          <cell r="B1249" t="str">
            <v>224286</v>
          </cell>
          <cell r="C1249" t="str">
            <v>Bùi Trung Chính</v>
          </cell>
          <cell r="D1249" t="str">
            <v>Kỹ sư ATTT ứng dụng</v>
          </cell>
          <cell r="E1249" t="str">
            <v>Tổng công ty Công nghiệp Công nghệ cao Viettel</v>
          </cell>
          <cell r="F1249" t="str">
            <v>Khối cơ quan - TCT CNC</v>
          </cell>
          <cell r="G1249" t="str">
            <v>Phòng Công nghệ thông tin</v>
          </cell>
        </row>
        <row r="1250">
          <cell r="B1250" t="str">
            <v>240007</v>
          </cell>
          <cell r="C1250" t="str">
            <v>Đỗ Ngọc Hải</v>
          </cell>
          <cell r="D1250" t="str">
            <v>Kỹ sư Phát triển phần mềm</v>
          </cell>
          <cell r="E1250" t="str">
            <v>Tổng công ty Công nghiệp Công nghệ cao Viettel</v>
          </cell>
          <cell r="F1250" t="str">
            <v>Khối cơ quan - TCT CNC</v>
          </cell>
          <cell r="G1250" t="str">
            <v>Phòng Công nghệ thông tin</v>
          </cell>
        </row>
        <row r="1251">
          <cell r="B1251" t="str">
            <v>262670</v>
          </cell>
          <cell r="C1251" t="str">
            <v>Nguyễn Hồng Nhật</v>
          </cell>
          <cell r="D1251" t="str">
            <v>Kỹ sư phát triển phần mềm</v>
          </cell>
          <cell r="E1251" t="str">
            <v>Tổng công ty Công nghiệp Công nghệ cao Viettel</v>
          </cell>
          <cell r="F1251" t="str">
            <v>Khối cơ quan - TCT CNC</v>
          </cell>
          <cell r="G1251" t="str">
            <v>Phòng Công nghệ thông tin</v>
          </cell>
        </row>
        <row r="1252">
          <cell r="B1252" t="str">
            <v>001618</v>
          </cell>
          <cell r="C1252" t="str">
            <v>Nguyễn Thị Hiên</v>
          </cell>
          <cell r="D1252" t="str">
            <v>Trưởng phòng Hành chính</v>
          </cell>
          <cell r="E1252" t="str">
            <v>Tổng công ty Công nghiệp Công nghệ cao Viettel</v>
          </cell>
          <cell r="F1252" t="str">
            <v>Khối cơ quan - TCT CNC</v>
          </cell>
          <cell r="G1252" t="str">
            <v>Phòng Hành chính</v>
          </cell>
        </row>
        <row r="1253">
          <cell r="B1253" t="str">
            <v>006109</v>
          </cell>
          <cell r="C1253" t="str">
            <v>Lê Việt Hùng</v>
          </cell>
          <cell r="D1253" t="str">
            <v>Nhân viên Bảo vệ</v>
          </cell>
          <cell r="E1253" t="str">
            <v>Tổng công ty Công nghiệp Công nghệ cao Viettel</v>
          </cell>
          <cell r="F1253" t="str">
            <v>Khối cơ quan - TCT CNC</v>
          </cell>
          <cell r="G1253" t="str">
            <v>Phòng Hành chính</v>
          </cell>
        </row>
        <row r="1254">
          <cell r="B1254" t="str">
            <v>006675</v>
          </cell>
          <cell r="C1254" t="str">
            <v>Nguyễn Tuấn Thịnh</v>
          </cell>
          <cell r="D1254" t="str">
            <v>Nhân viên Lái xe</v>
          </cell>
          <cell r="E1254" t="str">
            <v>Tổng công ty Công nghiệp Công nghệ cao Viettel</v>
          </cell>
          <cell r="F1254" t="str">
            <v>Khối cơ quan - TCT CNC</v>
          </cell>
          <cell r="G1254" t="str">
            <v>Phòng Hành chính</v>
          </cell>
        </row>
        <row r="1255">
          <cell r="B1255" t="str">
            <v>007265</v>
          </cell>
          <cell r="C1255" t="str">
            <v>Đặng Đình Hiện</v>
          </cell>
          <cell r="D1255" t="str">
            <v>Nhân viên Vệ binh</v>
          </cell>
          <cell r="E1255" t="str">
            <v>Tổng công ty Công nghiệp Công nghệ cao Viettel</v>
          </cell>
          <cell r="F1255" t="str">
            <v>Khối cơ quan - TCT CNC</v>
          </cell>
          <cell r="G1255" t="str">
            <v>Phòng Hành chính</v>
          </cell>
        </row>
        <row r="1256">
          <cell r="B1256" t="str">
            <v>007554</v>
          </cell>
          <cell r="C1256" t="str">
            <v>Nguyễn Mạnh Tuyến</v>
          </cell>
          <cell r="D1256" t="str">
            <v>Trợ lý Hành chính</v>
          </cell>
          <cell r="E1256" t="str">
            <v>Tổng công ty Công nghiệp Công nghệ cao Viettel</v>
          </cell>
          <cell r="F1256" t="str">
            <v>Khối cơ quan - TCT CNC</v>
          </cell>
          <cell r="G1256" t="str">
            <v>Phòng Hành chính</v>
          </cell>
        </row>
        <row r="1257">
          <cell r="B1257" t="str">
            <v>007617</v>
          </cell>
          <cell r="C1257" t="str">
            <v>Nguyễn Hữu Mạnh</v>
          </cell>
          <cell r="D1257" t="str">
            <v>Nhân viên Vệ binh</v>
          </cell>
          <cell r="E1257" t="str">
            <v>Tổng công ty Công nghiệp Công nghệ cao Viettel</v>
          </cell>
          <cell r="F1257" t="str">
            <v>Khối cơ quan - TCT CNC</v>
          </cell>
          <cell r="G1257" t="str">
            <v>Phòng Hành chính</v>
          </cell>
        </row>
        <row r="1258">
          <cell r="B1258" t="str">
            <v>007656</v>
          </cell>
          <cell r="C1258" t="str">
            <v>Nguyễn Viết Giỏi</v>
          </cell>
          <cell r="D1258" t="str">
            <v>Nhân viên Vệ binh</v>
          </cell>
          <cell r="E1258" t="str">
            <v>Tổng công ty Công nghiệp Công nghệ cao Viettel</v>
          </cell>
          <cell r="F1258" t="str">
            <v>Khối cơ quan - TCT CNC</v>
          </cell>
          <cell r="G1258" t="str">
            <v>Phòng Hành chính</v>
          </cell>
        </row>
        <row r="1259">
          <cell r="B1259" t="str">
            <v>008098</v>
          </cell>
          <cell r="C1259" t="str">
            <v>Đặng Văn Hào</v>
          </cell>
          <cell r="D1259" t="str">
            <v>Nhân viên Lái xe</v>
          </cell>
          <cell r="E1259" t="str">
            <v>Tổng công ty Công nghiệp Công nghệ cao Viettel</v>
          </cell>
          <cell r="F1259" t="str">
            <v>Khối cơ quan - TCT CNC</v>
          </cell>
          <cell r="G1259" t="str">
            <v>Phòng Hành chính</v>
          </cell>
        </row>
        <row r="1260">
          <cell r="B1260" t="str">
            <v>008568</v>
          </cell>
          <cell r="C1260" t="str">
            <v>Cao Xuân Thu</v>
          </cell>
          <cell r="D1260" t="str">
            <v>Nhân viên Lái xe</v>
          </cell>
          <cell r="E1260" t="str">
            <v>Tổng công ty Công nghiệp Công nghệ cao Viettel</v>
          </cell>
          <cell r="F1260" t="str">
            <v>Khối cơ quan - TCT CNC</v>
          </cell>
          <cell r="G1260" t="str">
            <v>Phòng Hành chính</v>
          </cell>
        </row>
        <row r="1261">
          <cell r="B1261" t="str">
            <v>008594</v>
          </cell>
          <cell r="C1261" t="str">
            <v>Đỗ Hùng Cường</v>
          </cell>
          <cell r="D1261" t="str">
            <v>Phó phòng Hành chính</v>
          </cell>
          <cell r="E1261" t="str">
            <v>Tổng công ty Công nghiệp Công nghệ cao Viettel</v>
          </cell>
          <cell r="F1261" t="str">
            <v>Khối cơ quan - TCT CNC</v>
          </cell>
          <cell r="G1261" t="str">
            <v>Phòng Hành chính</v>
          </cell>
        </row>
        <row r="1262">
          <cell r="B1262" t="str">
            <v>008670</v>
          </cell>
          <cell r="C1262" t="str">
            <v>Nông Hoài Lâm</v>
          </cell>
          <cell r="D1262" t="str">
            <v>Nhân viên Nấu ăn</v>
          </cell>
          <cell r="E1262" t="str">
            <v>Tổng công ty Công nghiệp Công nghệ cao Viettel</v>
          </cell>
          <cell r="F1262" t="str">
            <v>Khối cơ quan - TCT CNC</v>
          </cell>
          <cell r="G1262" t="str">
            <v>Phòng Hành chính</v>
          </cell>
        </row>
        <row r="1263">
          <cell r="B1263" t="str">
            <v>008828</v>
          </cell>
          <cell r="C1263" t="str">
            <v>Bùi Xuân Anh</v>
          </cell>
          <cell r="D1263" t="str">
            <v>Đội trưởng Đội xe</v>
          </cell>
          <cell r="E1263" t="str">
            <v>Tổng công ty Công nghiệp Công nghệ cao Viettel</v>
          </cell>
          <cell r="F1263" t="str">
            <v>Khối cơ quan - TCT CNC</v>
          </cell>
          <cell r="G1263" t="str">
            <v>Phòng Hành chính</v>
          </cell>
        </row>
        <row r="1264">
          <cell r="B1264" t="str">
            <v>009028</v>
          </cell>
          <cell r="C1264" t="str">
            <v>Nguyễn Văn Tứ</v>
          </cell>
          <cell r="D1264" t="str">
            <v>Nhân viên Lái xe</v>
          </cell>
          <cell r="E1264" t="str">
            <v>Tổng công ty Công nghiệp Công nghệ cao Viettel</v>
          </cell>
          <cell r="F1264" t="str">
            <v>Khối cơ quan - TCT CNC</v>
          </cell>
          <cell r="G1264" t="str">
            <v>Phòng Hành chính</v>
          </cell>
        </row>
        <row r="1265">
          <cell r="B1265" t="str">
            <v>013943</v>
          </cell>
          <cell r="C1265" t="str">
            <v>Phạm Thế Anh</v>
          </cell>
          <cell r="D1265" t="str">
            <v>Nhân viên Lái xe</v>
          </cell>
          <cell r="E1265" t="str">
            <v>Tổng công ty Công nghiệp Công nghệ cao Viettel</v>
          </cell>
          <cell r="F1265" t="str">
            <v>Khối cơ quan - TCT CNC</v>
          </cell>
          <cell r="G1265" t="str">
            <v>Phòng Hành chính</v>
          </cell>
        </row>
        <row r="1266">
          <cell r="B1266" t="str">
            <v>014553</v>
          </cell>
          <cell r="C1266" t="str">
            <v>Hà Minh Đức</v>
          </cell>
          <cell r="D1266" t="str">
            <v>Nhân viên Lái xe</v>
          </cell>
          <cell r="E1266" t="str">
            <v>Tổng công ty Công nghiệp Công nghệ cao Viettel</v>
          </cell>
          <cell r="F1266" t="str">
            <v>Khối cơ quan - TCT CNC</v>
          </cell>
          <cell r="G1266" t="str">
            <v>Phòng Hành chính</v>
          </cell>
        </row>
        <row r="1267">
          <cell r="B1267" t="str">
            <v>015237</v>
          </cell>
          <cell r="C1267" t="str">
            <v>Nguyễn Trần Huy Toàn</v>
          </cell>
          <cell r="D1267" t="str">
            <v>Nhân viên Lái xe</v>
          </cell>
          <cell r="E1267" t="str">
            <v>Tổng công ty Công nghiệp Công nghệ cao Viettel</v>
          </cell>
          <cell r="F1267" t="str">
            <v>Khối cơ quan - TCT CNC</v>
          </cell>
          <cell r="G1267" t="str">
            <v>Phòng Hành chính</v>
          </cell>
        </row>
        <row r="1268">
          <cell r="B1268" t="str">
            <v>034375</v>
          </cell>
          <cell r="C1268" t="str">
            <v>Nguyễn Tất Đạt</v>
          </cell>
          <cell r="D1268" t="str">
            <v>Nhân viên Lái xe</v>
          </cell>
          <cell r="E1268" t="str">
            <v>Tổng công ty Công nghiệp Công nghệ cao Viettel</v>
          </cell>
          <cell r="F1268" t="str">
            <v>Khối cơ quan - TCT CNC</v>
          </cell>
          <cell r="G1268" t="str">
            <v>Phòng Hành chính</v>
          </cell>
        </row>
        <row r="1269">
          <cell r="B1269" t="str">
            <v>042452</v>
          </cell>
          <cell r="C1269" t="str">
            <v>Nguyễn Đình Lợi</v>
          </cell>
          <cell r="D1269" t="str">
            <v>Nhân viên Lái xe</v>
          </cell>
          <cell r="E1269" t="str">
            <v>Tổng công ty Công nghiệp Công nghệ cao Viettel</v>
          </cell>
          <cell r="F1269" t="str">
            <v>Khối cơ quan - TCT CNC</v>
          </cell>
          <cell r="G1269" t="str">
            <v>Phòng Hành chính</v>
          </cell>
        </row>
        <row r="1270">
          <cell r="B1270" t="str">
            <v>055293</v>
          </cell>
          <cell r="C1270" t="str">
            <v>Nguyễn Hữu Khang</v>
          </cell>
          <cell r="D1270" t="str">
            <v>Nhân viên Vệ binh</v>
          </cell>
          <cell r="E1270" t="str">
            <v>Tổng công ty Công nghiệp Công nghệ cao Viettel</v>
          </cell>
          <cell r="F1270" t="str">
            <v>Khối cơ quan - TCT CNC</v>
          </cell>
          <cell r="G1270" t="str">
            <v>Phòng Hành chính</v>
          </cell>
        </row>
        <row r="1271">
          <cell r="B1271" t="str">
            <v>057189</v>
          </cell>
          <cell r="C1271" t="str">
            <v>Trịnh Thị Ngọc Hà</v>
          </cell>
          <cell r="D1271" t="str">
            <v>Nhân viên Nấu ăn</v>
          </cell>
          <cell r="E1271" t="str">
            <v>Tổng công ty Công nghiệp Công nghệ cao Viettel</v>
          </cell>
          <cell r="F1271" t="str">
            <v>Khối cơ quan - TCT CNC</v>
          </cell>
          <cell r="G1271" t="str">
            <v>Phòng Hành chính</v>
          </cell>
        </row>
        <row r="1272">
          <cell r="B1272" t="str">
            <v>057428</v>
          </cell>
          <cell r="C1272" t="str">
            <v>Nguyễn Văn Khuyến</v>
          </cell>
          <cell r="D1272" t="str">
            <v>Nhân viên Lái xe</v>
          </cell>
          <cell r="E1272" t="str">
            <v>Tổng công ty Công nghiệp Công nghệ cao Viettel</v>
          </cell>
          <cell r="F1272" t="str">
            <v>Khối cơ quan - TCT CNC</v>
          </cell>
          <cell r="G1272" t="str">
            <v>Phòng Hành chính</v>
          </cell>
        </row>
        <row r="1273">
          <cell r="B1273" t="str">
            <v>062184</v>
          </cell>
          <cell r="C1273" t="str">
            <v>Phạm Văn Chung</v>
          </cell>
          <cell r="D1273" t="str">
            <v>Nhân viên Lái xe</v>
          </cell>
          <cell r="E1273" t="str">
            <v>Tổng công ty Công nghiệp Công nghệ cao Viettel</v>
          </cell>
          <cell r="F1273" t="str">
            <v>Khối cơ quan - TCT CNC</v>
          </cell>
          <cell r="G1273" t="str">
            <v>Phòng Hành chính</v>
          </cell>
        </row>
        <row r="1274">
          <cell r="B1274" t="str">
            <v>064531</v>
          </cell>
          <cell r="C1274" t="str">
            <v>Nguyễn Thị Thu Huyền</v>
          </cell>
          <cell r="D1274" t="str">
            <v>Nhân viên Nấu ăn</v>
          </cell>
          <cell r="E1274" t="str">
            <v>Tổng công ty Công nghiệp Công nghệ cao Viettel</v>
          </cell>
          <cell r="F1274" t="str">
            <v>Khối cơ quan - TCT CNC</v>
          </cell>
          <cell r="G1274" t="str">
            <v>Phòng Hành chính</v>
          </cell>
        </row>
        <row r="1275">
          <cell r="B1275" t="str">
            <v>065496</v>
          </cell>
          <cell r="C1275" t="str">
            <v>Dương Tuấn Thanh</v>
          </cell>
          <cell r="D1275" t="str">
            <v>Nhân viên Vệ binh</v>
          </cell>
          <cell r="E1275" t="str">
            <v>Tổng công ty Công nghiệp Công nghệ cao Viettel</v>
          </cell>
          <cell r="F1275" t="str">
            <v>Khối cơ quan - TCT CNC</v>
          </cell>
          <cell r="G1275" t="str">
            <v>Phòng Hành chính</v>
          </cell>
        </row>
        <row r="1276">
          <cell r="B1276" t="str">
            <v>066212</v>
          </cell>
          <cell r="C1276" t="str">
            <v>Ngô Văn Duy</v>
          </cell>
          <cell r="D1276" t="str">
            <v>Nhân viên Lái xe</v>
          </cell>
          <cell r="E1276" t="str">
            <v>Tổng công ty Công nghiệp Công nghệ cao Viettel</v>
          </cell>
          <cell r="F1276" t="str">
            <v>Khối cơ quan - TCT CNC</v>
          </cell>
          <cell r="G1276" t="str">
            <v>Phòng Hành chính</v>
          </cell>
        </row>
        <row r="1277">
          <cell r="B1277" t="str">
            <v>068094</v>
          </cell>
          <cell r="C1277" t="str">
            <v>Bùi Văn Vựng</v>
          </cell>
          <cell r="D1277" t="str">
            <v>Nhân viên Vệ binh</v>
          </cell>
          <cell r="E1277" t="str">
            <v>Tổng công ty Công nghiệp Công nghệ cao Viettel</v>
          </cell>
          <cell r="F1277" t="str">
            <v>Khối cơ quan - TCT CNC</v>
          </cell>
          <cell r="G1277" t="str">
            <v>Phòng Hành chính</v>
          </cell>
        </row>
        <row r="1278">
          <cell r="B1278" t="str">
            <v>070549</v>
          </cell>
          <cell r="C1278" t="str">
            <v>Nguyễn Trung Dũng</v>
          </cell>
          <cell r="D1278" t="str">
            <v>Nhân viên Lái xe</v>
          </cell>
          <cell r="E1278" t="str">
            <v>Tổng công ty Công nghiệp Công nghệ cao Viettel</v>
          </cell>
          <cell r="F1278" t="str">
            <v>Khối cơ quan - TCT CNC</v>
          </cell>
          <cell r="G1278" t="str">
            <v>Phòng Hành chính</v>
          </cell>
        </row>
        <row r="1279">
          <cell r="B1279" t="str">
            <v>070824</v>
          </cell>
          <cell r="C1279" t="str">
            <v>Nguyễn Phụ Mạnh</v>
          </cell>
          <cell r="D1279" t="str">
            <v>Nhân viên Lái xe</v>
          </cell>
          <cell r="E1279" t="str">
            <v>Tổng công ty Công nghiệp Công nghệ cao Viettel</v>
          </cell>
          <cell r="F1279" t="str">
            <v>Khối cơ quan - TCT CNC</v>
          </cell>
          <cell r="G1279" t="str">
            <v>Phòng Hành chính</v>
          </cell>
        </row>
        <row r="1280">
          <cell r="B1280" t="str">
            <v>072718</v>
          </cell>
          <cell r="C1280" t="str">
            <v>Tạ Văn Luận</v>
          </cell>
          <cell r="D1280" t="str">
            <v>Nhân viên Lái xe</v>
          </cell>
          <cell r="E1280" t="str">
            <v>Tổng công ty Công nghiệp Công nghệ cao Viettel</v>
          </cell>
          <cell r="F1280" t="str">
            <v>Khối cơ quan - TCT CNC</v>
          </cell>
          <cell r="G1280" t="str">
            <v>Phòng Hành chính</v>
          </cell>
        </row>
        <row r="1281">
          <cell r="B1281" t="str">
            <v>084276</v>
          </cell>
          <cell r="C1281" t="str">
            <v>Đoàn Tất Lưu</v>
          </cell>
          <cell r="D1281" t="str">
            <v>Nhân viên Lái xe</v>
          </cell>
          <cell r="E1281" t="str">
            <v>Tổng công ty Công nghiệp Công nghệ cao Viettel</v>
          </cell>
          <cell r="F1281" t="str">
            <v>Khối cơ quan - TCT CNC</v>
          </cell>
          <cell r="G1281" t="str">
            <v>Phòng Hành chính</v>
          </cell>
        </row>
        <row r="1282">
          <cell r="B1282" t="str">
            <v>085438</v>
          </cell>
          <cell r="C1282" t="str">
            <v>Võ Quốc Thành</v>
          </cell>
          <cell r="D1282" t="str">
            <v>Nhân viên Lái xe</v>
          </cell>
          <cell r="E1282" t="str">
            <v>Tổng công ty Công nghiệp Công nghệ cao Viettel</v>
          </cell>
          <cell r="F1282" t="str">
            <v>Khối cơ quan - TCT CNC</v>
          </cell>
          <cell r="G1282" t="str">
            <v>Phòng Hành chính</v>
          </cell>
        </row>
        <row r="1283">
          <cell r="B1283" t="str">
            <v>086598</v>
          </cell>
          <cell r="C1283" t="str">
            <v>Đinh Xuân Thứ</v>
          </cell>
          <cell r="D1283" t="str">
            <v>Nhân viên Quản lý tòa nhà</v>
          </cell>
          <cell r="E1283" t="str">
            <v>Tổng công ty Công nghiệp Công nghệ cao Viettel</v>
          </cell>
          <cell r="F1283" t="str">
            <v>Khối cơ quan - TCT CNC</v>
          </cell>
          <cell r="G1283" t="str">
            <v>Phòng Hành chính</v>
          </cell>
        </row>
        <row r="1284">
          <cell r="B1284" t="str">
            <v>086639</v>
          </cell>
          <cell r="C1284" t="str">
            <v>Phan Văn Ước</v>
          </cell>
          <cell r="D1284" t="str">
            <v>Nhân viên Vệ binh</v>
          </cell>
          <cell r="E1284" t="str">
            <v>Tổng công ty Công nghiệp Công nghệ cao Viettel</v>
          </cell>
          <cell r="F1284" t="str">
            <v>Khối cơ quan - TCT CNC</v>
          </cell>
          <cell r="G1284" t="str">
            <v>Phòng Hành chính</v>
          </cell>
        </row>
        <row r="1285">
          <cell r="B1285" t="str">
            <v>087016</v>
          </cell>
          <cell r="C1285" t="str">
            <v>Bùi Công Đoàn</v>
          </cell>
          <cell r="D1285" t="str">
            <v>Nhân viên Vệ binh</v>
          </cell>
          <cell r="E1285" t="str">
            <v>Tổng công ty Công nghiệp Công nghệ cao Viettel</v>
          </cell>
          <cell r="F1285" t="str">
            <v>Khối cơ quan - TCT CNC</v>
          </cell>
          <cell r="G1285" t="str">
            <v>Phòng Hành chính</v>
          </cell>
        </row>
        <row r="1286">
          <cell r="B1286" t="str">
            <v>090037</v>
          </cell>
          <cell r="C1286" t="str">
            <v>Phạm Mạnh Tiến</v>
          </cell>
          <cell r="D1286" t="str">
            <v>Nhân viên Lái xe</v>
          </cell>
          <cell r="E1286" t="str">
            <v>Tổng công ty Công nghiệp Công nghệ cao Viettel</v>
          </cell>
          <cell r="F1286" t="str">
            <v>Khối cơ quan - TCT CNC</v>
          </cell>
          <cell r="G1286" t="str">
            <v>Phòng Hành chính</v>
          </cell>
        </row>
        <row r="1287">
          <cell r="B1287" t="str">
            <v>090177</v>
          </cell>
          <cell r="C1287" t="str">
            <v>Đinh Việt Dũng</v>
          </cell>
          <cell r="D1287" t="str">
            <v>Nhân viên Lái xe</v>
          </cell>
          <cell r="E1287" t="str">
            <v>Tổng công ty Công nghiệp Công nghệ cao Viettel</v>
          </cell>
          <cell r="F1287" t="str">
            <v>Khối cơ quan - TCT CNC</v>
          </cell>
          <cell r="G1287" t="str">
            <v>Phòng Hành chính</v>
          </cell>
        </row>
        <row r="1288">
          <cell r="B1288" t="str">
            <v>091356</v>
          </cell>
          <cell r="C1288" t="str">
            <v>Trần Đăng Tường</v>
          </cell>
          <cell r="D1288" t="str">
            <v>Nhân viên Lái xe</v>
          </cell>
          <cell r="E1288" t="str">
            <v>Tổng công ty Công nghiệp Công nghệ cao Viettel</v>
          </cell>
          <cell r="F1288" t="str">
            <v>Khối cơ quan - TCT CNC</v>
          </cell>
          <cell r="G1288" t="str">
            <v>Phòng Hành chính</v>
          </cell>
        </row>
        <row r="1289">
          <cell r="B1289" t="str">
            <v>093576</v>
          </cell>
          <cell r="C1289" t="str">
            <v>Nguyễn Doãn Hóa</v>
          </cell>
          <cell r="D1289" t="str">
            <v>Nhân viên Vệ binh</v>
          </cell>
          <cell r="E1289" t="str">
            <v>Tổng công ty Công nghiệp Công nghệ cao Viettel</v>
          </cell>
          <cell r="F1289" t="str">
            <v>Khối cơ quan - TCT CNC</v>
          </cell>
          <cell r="G1289" t="str">
            <v>Phòng Hành chính</v>
          </cell>
        </row>
        <row r="1290">
          <cell r="B1290" t="str">
            <v>103148</v>
          </cell>
          <cell r="C1290" t="str">
            <v>Nguyễn Thị Thu Hương</v>
          </cell>
          <cell r="D1290" t="str">
            <v>Nhân viên Hành chính</v>
          </cell>
          <cell r="E1290" t="str">
            <v>Tổng công ty Công nghiệp Công nghệ cao Viettel</v>
          </cell>
          <cell r="F1290" t="str">
            <v>Khối cơ quan - TCT CNC</v>
          </cell>
          <cell r="G1290" t="str">
            <v>Phòng Hành chính</v>
          </cell>
        </row>
        <row r="1291">
          <cell r="B1291" t="str">
            <v>108961</v>
          </cell>
          <cell r="C1291" t="str">
            <v>Kiều Văn Diễn</v>
          </cell>
          <cell r="D1291" t="str">
            <v>Nhân viên Lái xe</v>
          </cell>
          <cell r="E1291" t="str">
            <v>Tổng công ty Công nghiệp Công nghệ cao Viettel</v>
          </cell>
          <cell r="F1291" t="str">
            <v>Khối cơ quan - TCT CNC</v>
          </cell>
          <cell r="G1291" t="str">
            <v>Phòng Hành chính</v>
          </cell>
        </row>
        <row r="1292">
          <cell r="B1292" t="str">
            <v>112687</v>
          </cell>
          <cell r="C1292" t="str">
            <v>Lê Đức Khanh</v>
          </cell>
          <cell r="D1292" t="str">
            <v>Nhân viên Lái xe</v>
          </cell>
          <cell r="E1292" t="str">
            <v>Tổng công ty Công nghiệp Công nghệ cao Viettel</v>
          </cell>
          <cell r="F1292" t="str">
            <v>Khối cơ quan - TCT CNC</v>
          </cell>
          <cell r="G1292" t="str">
            <v>Phòng Hành chính</v>
          </cell>
        </row>
        <row r="1293">
          <cell r="B1293" t="str">
            <v>113300</v>
          </cell>
          <cell r="C1293" t="str">
            <v>Nguyễn Văn Hải</v>
          </cell>
          <cell r="D1293" t="str">
            <v>Nhân viên Lái xe</v>
          </cell>
          <cell r="E1293" t="str">
            <v>Tổng công ty Công nghiệp Công nghệ cao Viettel</v>
          </cell>
          <cell r="F1293" t="str">
            <v>Khối cơ quan - TCT CNC</v>
          </cell>
          <cell r="G1293" t="str">
            <v>Phòng Hành chính</v>
          </cell>
        </row>
        <row r="1294">
          <cell r="B1294" t="str">
            <v>119404</v>
          </cell>
          <cell r="C1294" t="str">
            <v>Phan Tiến Trình</v>
          </cell>
          <cell r="D1294" t="str">
            <v>Nhân viên Lái xe</v>
          </cell>
          <cell r="E1294" t="str">
            <v>Tổng công ty Công nghiệp Công nghệ cao Viettel</v>
          </cell>
          <cell r="F1294" t="str">
            <v>Khối cơ quan - TCT CNC</v>
          </cell>
          <cell r="G1294" t="str">
            <v>Phòng Hành chính</v>
          </cell>
        </row>
        <row r="1295">
          <cell r="B1295" t="str">
            <v>119682</v>
          </cell>
          <cell r="C1295" t="str">
            <v>Nguyễn Trường Giang</v>
          </cell>
          <cell r="D1295" t="str">
            <v>Nhân viên Vệ binh</v>
          </cell>
          <cell r="E1295" t="str">
            <v>Tổng công ty Công nghiệp Công nghệ cao Viettel</v>
          </cell>
          <cell r="F1295" t="str">
            <v>Khối cơ quan - TCT CNC</v>
          </cell>
          <cell r="G1295" t="str">
            <v>Phòng Hành chính</v>
          </cell>
        </row>
        <row r="1296">
          <cell r="B1296" t="str">
            <v>119687</v>
          </cell>
          <cell r="C1296" t="str">
            <v>Bùi Như Mạnh</v>
          </cell>
          <cell r="D1296" t="str">
            <v>Nhân viên Vệ binh</v>
          </cell>
          <cell r="E1296" t="str">
            <v>Tổng công ty Công nghiệp Công nghệ cao Viettel</v>
          </cell>
          <cell r="F1296" t="str">
            <v>Khối cơ quan - TCT CNC</v>
          </cell>
          <cell r="G1296" t="str">
            <v>Phòng Hành chính</v>
          </cell>
        </row>
        <row r="1297">
          <cell r="B1297" t="str">
            <v>119693</v>
          </cell>
          <cell r="C1297" t="str">
            <v>Nguyễn Văn Tuấn</v>
          </cell>
          <cell r="D1297" t="str">
            <v>Nhân viên Vệ binh</v>
          </cell>
          <cell r="E1297" t="str">
            <v>Tổng công ty Công nghiệp Công nghệ cao Viettel</v>
          </cell>
          <cell r="F1297" t="str">
            <v>Khối cơ quan - TCT CNC</v>
          </cell>
          <cell r="G1297" t="str">
            <v>Phòng Hành chính</v>
          </cell>
        </row>
        <row r="1298">
          <cell r="B1298" t="str">
            <v>121879</v>
          </cell>
          <cell r="C1298" t="str">
            <v>Lê Văn Hà</v>
          </cell>
          <cell r="D1298" t="str">
            <v>Nhân viên Lái xe</v>
          </cell>
          <cell r="E1298" t="str">
            <v>Tổng công ty Công nghiệp Công nghệ cao Viettel</v>
          </cell>
          <cell r="F1298" t="str">
            <v>Khối cơ quan - TCT CNC</v>
          </cell>
          <cell r="G1298" t="str">
            <v>Phòng Hành chính</v>
          </cell>
        </row>
        <row r="1299">
          <cell r="B1299" t="str">
            <v>122150</v>
          </cell>
          <cell r="C1299" t="str">
            <v>Hoàng Văn Dũng</v>
          </cell>
          <cell r="D1299" t="str">
            <v>Nhân viên Bảo vệ</v>
          </cell>
          <cell r="E1299" t="str">
            <v>Tổng công ty Công nghiệp Công nghệ cao Viettel</v>
          </cell>
          <cell r="F1299" t="str">
            <v>Khối cơ quan - TCT CNC</v>
          </cell>
          <cell r="G1299" t="str">
            <v>Phòng Hành chính</v>
          </cell>
        </row>
        <row r="1300">
          <cell r="B1300" t="str">
            <v>122152</v>
          </cell>
          <cell r="C1300" t="str">
            <v>Nguyễn Quốc Dựng</v>
          </cell>
          <cell r="D1300" t="str">
            <v>Nhân viên Bảo vệ</v>
          </cell>
          <cell r="E1300" t="str">
            <v>Tổng công ty Công nghiệp Công nghệ cao Viettel</v>
          </cell>
          <cell r="F1300" t="str">
            <v>Khối cơ quan - TCT CNC</v>
          </cell>
          <cell r="G1300" t="str">
            <v>Phòng Hành chính</v>
          </cell>
        </row>
        <row r="1301">
          <cell r="B1301" t="str">
            <v>122158</v>
          </cell>
          <cell r="C1301" t="str">
            <v>Lường Văn Thắng</v>
          </cell>
          <cell r="D1301" t="str">
            <v>Nhân viên Bảo vệ</v>
          </cell>
          <cell r="E1301" t="str">
            <v>Tổng công ty Công nghiệp Công nghệ cao Viettel</v>
          </cell>
          <cell r="F1301" t="str">
            <v>Khối cơ quan - TCT CNC</v>
          </cell>
          <cell r="G1301" t="str">
            <v>Phòng Hành chính</v>
          </cell>
        </row>
        <row r="1302">
          <cell r="B1302" t="str">
            <v>122161</v>
          </cell>
          <cell r="C1302" t="str">
            <v>Bùi Văn Thượng</v>
          </cell>
          <cell r="D1302" t="str">
            <v>Nhân viên Bảo vệ</v>
          </cell>
          <cell r="E1302" t="str">
            <v>Tổng công ty Công nghiệp Công nghệ cao Viettel</v>
          </cell>
          <cell r="F1302" t="str">
            <v>Khối cơ quan - TCT CNC</v>
          </cell>
          <cell r="G1302" t="str">
            <v>Phòng Hành chính</v>
          </cell>
        </row>
        <row r="1303">
          <cell r="B1303" t="str">
            <v>122429</v>
          </cell>
          <cell r="C1303" t="str">
            <v>Phạm Thị Ngọc Khanh</v>
          </cell>
          <cell r="D1303" t="str">
            <v>Nhân viên Hành chính</v>
          </cell>
          <cell r="E1303" t="str">
            <v>Tổng công ty Công nghiệp Công nghệ cao Viettel</v>
          </cell>
          <cell r="F1303" t="str">
            <v>Khối cơ quan - TCT CNC</v>
          </cell>
          <cell r="G1303" t="str">
            <v>Phòng Hành chính</v>
          </cell>
        </row>
        <row r="1304">
          <cell r="B1304" t="str">
            <v>123243</v>
          </cell>
          <cell r="C1304" t="str">
            <v>Tạ Nguyên Ngọc</v>
          </cell>
          <cell r="D1304" t="str">
            <v>Nhân viên Lái xe</v>
          </cell>
          <cell r="E1304" t="str">
            <v>Tổng công ty Công nghiệp Công nghệ cao Viettel</v>
          </cell>
          <cell r="F1304" t="str">
            <v>Khối cơ quan - TCT CNC</v>
          </cell>
          <cell r="G1304" t="str">
            <v>Phòng Hành chính</v>
          </cell>
        </row>
        <row r="1305">
          <cell r="B1305" t="str">
            <v>124171</v>
          </cell>
          <cell r="C1305" t="str">
            <v>Mai Hồng Đoán</v>
          </cell>
          <cell r="D1305" t="str">
            <v>Nhân viên Lái xe</v>
          </cell>
          <cell r="E1305" t="str">
            <v>Tổng công ty Công nghiệp Công nghệ cao Viettel</v>
          </cell>
          <cell r="F1305" t="str">
            <v>Khối cơ quan - TCT CNC</v>
          </cell>
          <cell r="G1305" t="str">
            <v>Phòng Hành chính</v>
          </cell>
        </row>
        <row r="1306">
          <cell r="B1306" t="str">
            <v>125748</v>
          </cell>
          <cell r="C1306" t="str">
            <v>Trần Chuyên Tuyên</v>
          </cell>
          <cell r="D1306" t="str">
            <v>Nhân viên Lái xe</v>
          </cell>
          <cell r="E1306" t="str">
            <v>Tổng công ty Công nghiệp Công nghệ cao Viettel</v>
          </cell>
          <cell r="F1306" t="str">
            <v>Khối cơ quan - TCT CNC</v>
          </cell>
          <cell r="G1306" t="str">
            <v>Phòng Hành chính</v>
          </cell>
        </row>
        <row r="1307">
          <cell r="B1307" t="str">
            <v>130168</v>
          </cell>
          <cell r="C1307" t="str">
            <v>Lê Thị Thùy Linh</v>
          </cell>
          <cell r="D1307" t="str">
            <v>Nhân viên Hành chính</v>
          </cell>
          <cell r="E1307" t="str">
            <v>Tổng công ty Công nghiệp Công nghệ cao Viettel</v>
          </cell>
          <cell r="F1307" t="str">
            <v>Khối cơ quan - TCT CNC</v>
          </cell>
          <cell r="G1307" t="str">
            <v>Phòng Hành chính</v>
          </cell>
        </row>
        <row r="1308">
          <cell r="B1308" t="str">
            <v>130375</v>
          </cell>
          <cell r="C1308" t="str">
            <v>Trần Anh Tuấn</v>
          </cell>
          <cell r="D1308" t="str">
            <v>Nhân viên Lái xe</v>
          </cell>
          <cell r="E1308" t="str">
            <v>Tổng công ty Công nghiệp Công nghệ cao Viettel</v>
          </cell>
          <cell r="F1308" t="str">
            <v>Khối cơ quan - TCT CNC</v>
          </cell>
          <cell r="G1308" t="str">
            <v>Phòng Hành chính</v>
          </cell>
        </row>
        <row r="1309">
          <cell r="B1309" t="str">
            <v>134368</v>
          </cell>
          <cell r="C1309" t="str">
            <v>Nguyễn Thành Trung</v>
          </cell>
          <cell r="D1309" t="str">
            <v>Nhân viên Lái xe</v>
          </cell>
          <cell r="E1309" t="str">
            <v>Tổng công ty Công nghiệp Công nghệ cao Viettel</v>
          </cell>
          <cell r="F1309" t="str">
            <v>Khối cơ quan - TCT CNC</v>
          </cell>
          <cell r="G1309" t="str">
            <v>Phòng Hành chính</v>
          </cell>
        </row>
        <row r="1310">
          <cell r="B1310" t="str">
            <v>138931</v>
          </cell>
          <cell r="C1310" t="str">
            <v>Nguyễn Xuân Hoàn</v>
          </cell>
          <cell r="D1310" t="str">
            <v>Đội trưởng Vệ binh</v>
          </cell>
          <cell r="E1310" t="str">
            <v>Tổng công ty Công nghiệp Công nghệ cao Viettel</v>
          </cell>
          <cell r="F1310" t="str">
            <v>Khối cơ quan - TCT CNC</v>
          </cell>
          <cell r="G1310" t="str">
            <v>Phòng Hành chính</v>
          </cell>
        </row>
        <row r="1311">
          <cell r="B1311" t="str">
            <v>142576</v>
          </cell>
          <cell r="C1311" t="str">
            <v>Lê Văn Phú</v>
          </cell>
          <cell r="D1311" t="str">
            <v>Nhân viên Vệ binh</v>
          </cell>
          <cell r="E1311" t="str">
            <v>Tổng công ty Công nghiệp Công nghệ cao Viettel</v>
          </cell>
          <cell r="F1311" t="str">
            <v>Khối cơ quan - TCT CNC</v>
          </cell>
          <cell r="G1311" t="str">
            <v>Phòng Hành chính</v>
          </cell>
        </row>
        <row r="1312">
          <cell r="B1312" t="str">
            <v>142579</v>
          </cell>
          <cell r="C1312" t="str">
            <v>Đoàn Viết Thường</v>
          </cell>
          <cell r="D1312" t="str">
            <v>Nhân viên Quản lý tòa nhà</v>
          </cell>
          <cell r="E1312" t="str">
            <v>Tổng công ty Công nghiệp Công nghệ cao Viettel</v>
          </cell>
          <cell r="F1312" t="str">
            <v>Khối cơ quan - TCT CNC</v>
          </cell>
          <cell r="G1312" t="str">
            <v>Phòng Hành chính</v>
          </cell>
        </row>
        <row r="1313">
          <cell r="B1313" t="str">
            <v>142581</v>
          </cell>
          <cell r="C1313" t="str">
            <v>Phạm Văn Định</v>
          </cell>
          <cell r="D1313" t="str">
            <v>Nhân viên Quản lý tòa nhà</v>
          </cell>
          <cell r="E1313" t="str">
            <v>Tổng công ty Công nghiệp Công nghệ cao Viettel</v>
          </cell>
          <cell r="F1313" t="str">
            <v>Khối cơ quan - TCT CNC</v>
          </cell>
          <cell r="G1313" t="str">
            <v>Phòng Hành chính</v>
          </cell>
        </row>
        <row r="1314">
          <cell r="B1314" t="str">
            <v>145213</v>
          </cell>
          <cell r="C1314" t="str">
            <v>Ngô Thành Sử</v>
          </cell>
          <cell r="D1314" t="str">
            <v>Nhân viên Lái xe</v>
          </cell>
          <cell r="E1314" t="str">
            <v>Tổng công ty Công nghiệp Công nghệ cao Viettel</v>
          </cell>
          <cell r="F1314" t="str">
            <v>Khối cơ quan - TCT CNC</v>
          </cell>
          <cell r="G1314" t="str">
            <v>Phòng Hành chính</v>
          </cell>
        </row>
        <row r="1315">
          <cell r="B1315" t="str">
            <v>149053</v>
          </cell>
          <cell r="C1315" t="str">
            <v>Trịnh Thị Phương Linh</v>
          </cell>
          <cell r="D1315" t="str">
            <v>Nhân viên Hành chính</v>
          </cell>
          <cell r="E1315" t="str">
            <v>Tổng công ty Công nghiệp Công nghệ cao Viettel</v>
          </cell>
          <cell r="F1315" t="str">
            <v>Khối cơ quan - TCT CNC</v>
          </cell>
          <cell r="G1315" t="str">
            <v>Phòng Hành chính</v>
          </cell>
        </row>
        <row r="1316">
          <cell r="B1316" t="str">
            <v>149094</v>
          </cell>
          <cell r="C1316" t="str">
            <v>Nguyễn Thị Lan Anh</v>
          </cell>
          <cell r="D1316" t="str">
            <v>Nhân viên Hành chính</v>
          </cell>
          <cell r="E1316" t="str">
            <v>Tổng công ty Công nghiệp Công nghệ cao Viettel</v>
          </cell>
          <cell r="F1316" t="str">
            <v>Khối cơ quan - TCT CNC</v>
          </cell>
          <cell r="G1316" t="str">
            <v>Phòng Hành chính</v>
          </cell>
        </row>
        <row r="1317">
          <cell r="B1317" t="str">
            <v>151933</v>
          </cell>
          <cell r="C1317" t="str">
            <v>Phan Thế Hùng</v>
          </cell>
          <cell r="D1317" t="str">
            <v>Nhân viên Lái xe</v>
          </cell>
          <cell r="E1317" t="str">
            <v>Tổng công ty Công nghiệp Công nghệ cao Viettel</v>
          </cell>
          <cell r="F1317" t="str">
            <v>Khối cơ quan - TCT CNC</v>
          </cell>
          <cell r="G1317" t="str">
            <v>Phòng Hành chính</v>
          </cell>
        </row>
        <row r="1318">
          <cell r="B1318" t="str">
            <v>161598</v>
          </cell>
          <cell r="C1318" t="str">
            <v>Nguyễn Đức Anh</v>
          </cell>
          <cell r="D1318" t="str">
            <v>Nhân viên Lái xe</v>
          </cell>
          <cell r="E1318" t="str">
            <v>Tổng công ty Công nghiệp Công nghệ cao Viettel</v>
          </cell>
          <cell r="F1318" t="str">
            <v>Khối cơ quan - TCT CNC</v>
          </cell>
          <cell r="G1318" t="str">
            <v>Phòng Hành chính</v>
          </cell>
        </row>
        <row r="1319">
          <cell r="B1319" t="str">
            <v>161616</v>
          </cell>
          <cell r="C1319" t="str">
            <v>Nguyễn Anh Tuấn</v>
          </cell>
          <cell r="D1319" t="str">
            <v>Nhân viên Lái xe</v>
          </cell>
          <cell r="E1319" t="str">
            <v>Tổng công ty Công nghiệp Công nghệ cao Viettel</v>
          </cell>
          <cell r="F1319" t="str">
            <v>Khối cơ quan - TCT CNC</v>
          </cell>
          <cell r="G1319" t="str">
            <v>Phòng Hành chính</v>
          </cell>
        </row>
        <row r="1320">
          <cell r="B1320" t="str">
            <v>161673</v>
          </cell>
          <cell r="C1320" t="str">
            <v>Nguyễn Tuấn Anh</v>
          </cell>
          <cell r="D1320" t="str">
            <v>Nhân viên Lái xe</v>
          </cell>
          <cell r="E1320" t="str">
            <v>Tổng công ty Công nghiệp Công nghệ cao Viettel</v>
          </cell>
          <cell r="F1320" t="str">
            <v>Khối cơ quan - TCT CNC</v>
          </cell>
          <cell r="G1320" t="str">
            <v>Phòng Hành chính</v>
          </cell>
        </row>
        <row r="1321">
          <cell r="B1321" t="str">
            <v>163273</v>
          </cell>
          <cell r="C1321" t="str">
            <v>Cao Việt Hùng</v>
          </cell>
          <cell r="D1321" t="str">
            <v>Nhân viên Vệ binh</v>
          </cell>
          <cell r="E1321" t="str">
            <v>Tổng công ty Công nghiệp Công nghệ cao Viettel</v>
          </cell>
          <cell r="F1321" t="str">
            <v>Khối cơ quan - TCT CNC</v>
          </cell>
          <cell r="G1321" t="str">
            <v>Phòng Hành chính</v>
          </cell>
        </row>
        <row r="1322">
          <cell r="B1322" t="str">
            <v>164333</v>
          </cell>
          <cell r="C1322" t="str">
            <v>Nguyễn Bá Thắng</v>
          </cell>
          <cell r="D1322" t="str">
            <v>Nhân viên Vệ binh</v>
          </cell>
          <cell r="E1322" t="str">
            <v>Tổng công ty Công nghiệp Công nghệ cao Viettel</v>
          </cell>
          <cell r="F1322" t="str">
            <v>Khối cơ quan - TCT CNC</v>
          </cell>
          <cell r="G1322" t="str">
            <v>Phòng Hành chính</v>
          </cell>
        </row>
        <row r="1323">
          <cell r="B1323" t="str">
            <v>170416</v>
          </cell>
          <cell r="C1323" t="str">
            <v>Ngô Thùy Linh</v>
          </cell>
          <cell r="D1323" t="str">
            <v>Trợ lý Hậu cần</v>
          </cell>
          <cell r="E1323" t="str">
            <v>Tổng công ty Công nghiệp Công nghệ cao Viettel</v>
          </cell>
          <cell r="F1323" t="str">
            <v>Khối cơ quan - TCT CNC</v>
          </cell>
          <cell r="G1323" t="str">
            <v>Phòng Hành chính</v>
          </cell>
        </row>
        <row r="1324">
          <cell r="B1324" t="str">
            <v>175913</v>
          </cell>
          <cell r="C1324" t="str">
            <v>Nguyễn Đức Hoàng</v>
          </cell>
          <cell r="D1324" t="str">
            <v>Nhân viên Lái xe</v>
          </cell>
          <cell r="E1324" t="str">
            <v>Tổng công ty Công nghiệp Công nghệ cao Viettel</v>
          </cell>
          <cell r="F1324" t="str">
            <v>Khối cơ quan - TCT CNC</v>
          </cell>
          <cell r="G1324" t="str">
            <v>Phòng Hành chính</v>
          </cell>
        </row>
        <row r="1325">
          <cell r="B1325" t="str">
            <v>182676</v>
          </cell>
          <cell r="C1325" t="str">
            <v>Đỗ Văn Thập</v>
          </cell>
          <cell r="D1325" t="str">
            <v>Nhân viên Lái xe</v>
          </cell>
          <cell r="E1325" t="str">
            <v>Tổng công ty Công nghiệp Công nghệ cao Viettel</v>
          </cell>
          <cell r="F1325" t="str">
            <v>Khối cơ quan - TCT CNC</v>
          </cell>
          <cell r="G1325" t="str">
            <v>Phòng Hành chính</v>
          </cell>
        </row>
        <row r="1326">
          <cell r="B1326" t="str">
            <v>183173</v>
          </cell>
          <cell r="C1326" t="str">
            <v>Lê Ngọc Mai</v>
          </cell>
          <cell r="D1326" t="str">
            <v>Nhân viên Điều dưỡng</v>
          </cell>
          <cell r="E1326" t="str">
            <v>Tổng công ty Công nghiệp Công nghệ cao Viettel</v>
          </cell>
          <cell r="F1326" t="str">
            <v>Khối cơ quan - TCT CNC</v>
          </cell>
          <cell r="G1326" t="str">
            <v>Phòng Hành chính</v>
          </cell>
        </row>
        <row r="1327">
          <cell r="B1327" t="str">
            <v>185482</v>
          </cell>
          <cell r="C1327" t="str">
            <v>Trần Duy Tiến</v>
          </cell>
          <cell r="D1327" t="str">
            <v>Nhân viên Quản lý tòa nhà</v>
          </cell>
          <cell r="E1327" t="str">
            <v>Tổng công ty Công nghiệp Công nghệ cao Viettel</v>
          </cell>
          <cell r="F1327" t="str">
            <v>Khối cơ quan - TCT CNC</v>
          </cell>
          <cell r="G1327" t="str">
            <v>Phòng Hành chính</v>
          </cell>
        </row>
        <row r="1328">
          <cell r="B1328" t="str">
            <v>199774</v>
          </cell>
          <cell r="C1328" t="str">
            <v>Lê Hùng Cường</v>
          </cell>
          <cell r="D1328" t="str">
            <v>Nhân viên Lái xe</v>
          </cell>
          <cell r="E1328" t="str">
            <v>Tổng công ty Công nghiệp Công nghệ cao Viettel</v>
          </cell>
          <cell r="F1328" t="str">
            <v>Khối cơ quan - TCT CNC</v>
          </cell>
          <cell r="G1328" t="str">
            <v>Phòng Hành chính</v>
          </cell>
        </row>
        <row r="1329">
          <cell r="B1329" t="str">
            <v>204331</v>
          </cell>
          <cell r="C1329" t="str">
            <v>Nguyễn Văn Chuyên</v>
          </cell>
          <cell r="D1329" t="str">
            <v>Bếp trưởng</v>
          </cell>
          <cell r="E1329" t="str">
            <v>Tổng công ty Công nghiệp Công nghệ cao Viettel</v>
          </cell>
          <cell r="F1329" t="str">
            <v>Khối cơ quan - TCT CNC</v>
          </cell>
          <cell r="G1329" t="str">
            <v>Phòng Hành chính</v>
          </cell>
        </row>
        <row r="1330">
          <cell r="B1330" t="str">
            <v>205109</v>
          </cell>
          <cell r="C1330" t="str">
            <v>Nguyễn Hữu Tùng</v>
          </cell>
          <cell r="D1330" t="str">
            <v>Nhân viên Vệ binh</v>
          </cell>
          <cell r="E1330" t="str">
            <v>Tổng công ty Công nghiệp Công nghệ cao Viettel</v>
          </cell>
          <cell r="F1330" t="str">
            <v>Khối cơ quan - TCT CNC</v>
          </cell>
          <cell r="G1330" t="str">
            <v>Phòng Hành chính</v>
          </cell>
        </row>
        <row r="1331">
          <cell r="B1331" t="str">
            <v>000375</v>
          </cell>
          <cell r="C1331" t="str">
            <v>Nguyễn Ngọc Hà</v>
          </cell>
          <cell r="D1331" t="str">
            <v>Nhân viên tiền lương</v>
          </cell>
          <cell r="E1331" t="str">
            <v>Tổng công ty Công nghiệp Công nghệ cao Viettel</v>
          </cell>
          <cell r="F1331" t="str">
            <v>Khối cơ quan - TCT CNC</v>
          </cell>
          <cell r="G1331" t="str">
            <v>Phòng Nhân sự</v>
          </cell>
        </row>
        <row r="1332">
          <cell r="B1332" t="str">
            <v>078195</v>
          </cell>
          <cell r="C1332" t="str">
            <v>Lê Thu Hằng</v>
          </cell>
          <cell r="D1332" t="str">
            <v>Chuyên viên Tổ chức biên chế</v>
          </cell>
          <cell r="E1332" t="str">
            <v>Tổng công ty Công nghiệp Công nghệ cao Viettel</v>
          </cell>
          <cell r="F1332" t="str">
            <v>Khối cơ quan - TCT CNC</v>
          </cell>
          <cell r="G1332" t="str">
            <v>Phòng Nhân sự</v>
          </cell>
        </row>
        <row r="1333">
          <cell r="B1333" t="str">
            <v>087345</v>
          </cell>
          <cell r="C1333" t="str">
            <v>Nguyễn Thị Thúy Điệp</v>
          </cell>
          <cell r="D1333" t="str">
            <v>Trưởng phòng Nhân sự</v>
          </cell>
          <cell r="E1333" t="str">
            <v>Tổng công ty Công nghiệp Công nghệ cao Viettel</v>
          </cell>
          <cell r="F1333" t="str">
            <v>Khối cơ quan - TCT CNC</v>
          </cell>
          <cell r="G1333" t="str">
            <v>Phòng Nhân sự</v>
          </cell>
        </row>
        <row r="1334">
          <cell r="B1334" t="str">
            <v>155353</v>
          </cell>
          <cell r="C1334" t="str">
            <v>Lê Thị Bích Phượng</v>
          </cell>
          <cell r="D1334" t="str">
            <v>Nhân viên tổ chức biên chế</v>
          </cell>
          <cell r="E1334" t="str">
            <v>Tổng công ty Công nghiệp Công nghệ cao Viettel</v>
          </cell>
          <cell r="F1334" t="str">
            <v>Khối cơ quan - TCT CNC</v>
          </cell>
          <cell r="G1334" t="str">
            <v>Phòng Nhân sự</v>
          </cell>
        </row>
        <row r="1335">
          <cell r="B1335" t="str">
            <v>176115</v>
          </cell>
          <cell r="C1335" t="str">
            <v>Trần Trà Linh</v>
          </cell>
          <cell r="D1335" t="str">
            <v>Nhân viên tuyển dụng</v>
          </cell>
          <cell r="E1335" t="str">
            <v>Tổng công ty Công nghiệp Công nghệ cao Viettel</v>
          </cell>
          <cell r="F1335" t="str">
            <v>Khối cơ quan - TCT CNC</v>
          </cell>
          <cell r="G1335" t="str">
            <v>Phòng Nhân sự</v>
          </cell>
        </row>
        <row r="1336">
          <cell r="B1336" t="str">
            <v>190442</v>
          </cell>
          <cell r="C1336" t="str">
            <v>Lê Hà Thu</v>
          </cell>
          <cell r="D1336" t="str">
            <v>Nhân viên Đào tạo</v>
          </cell>
          <cell r="E1336" t="str">
            <v>Tổng công ty Công nghiệp Công nghệ cao Viettel</v>
          </cell>
          <cell r="F1336" t="str">
            <v>Khối cơ quan - TCT CNC</v>
          </cell>
          <cell r="G1336" t="str">
            <v>Phòng Nhân sự</v>
          </cell>
        </row>
        <row r="1337">
          <cell r="B1337" t="str">
            <v>202074</v>
          </cell>
          <cell r="C1337" t="str">
            <v>Trần Thị Hoài Thương</v>
          </cell>
          <cell r="D1337" t="str">
            <v>Chuyên viên Tuyển dụng</v>
          </cell>
          <cell r="E1337" t="str">
            <v>Tổng công ty Công nghiệp Công nghệ cao Viettel</v>
          </cell>
          <cell r="F1337" t="str">
            <v>Khối cơ quan - TCT CNC</v>
          </cell>
          <cell r="G1337" t="str">
            <v>Phòng Nhân sự</v>
          </cell>
        </row>
        <row r="1338">
          <cell r="B1338" t="str">
            <v>209502</v>
          </cell>
          <cell r="C1338" t="str">
            <v>Nguyễn Minh Anh</v>
          </cell>
          <cell r="D1338" t="str">
            <v>Nhân viên Đào tạo</v>
          </cell>
          <cell r="E1338" t="str">
            <v>Tổng công ty Công nghiệp Công nghệ cao Viettel</v>
          </cell>
          <cell r="F1338" t="str">
            <v>Khối cơ quan - TCT CNC</v>
          </cell>
          <cell r="G1338" t="str">
            <v>Phòng Nhân sự</v>
          </cell>
        </row>
        <row r="1339">
          <cell r="B1339" t="str">
            <v>228392</v>
          </cell>
          <cell r="C1339" t="str">
            <v>Phương Anh</v>
          </cell>
          <cell r="D1339" t="str">
            <v>Nhân viên tuyển dụng</v>
          </cell>
          <cell r="E1339" t="str">
            <v>Tổng công ty Công nghiệp Công nghệ cao Viettel</v>
          </cell>
          <cell r="F1339" t="str">
            <v>Khối cơ quan - TCT CNC</v>
          </cell>
          <cell r="G1339" t="str">
            <v>Phòng Nhân sự</v>
          </cell>
        </row>
        <row r="1340">
          <cell r="B1340" t="str">
            <v>269244</v>
          </cell>
          <cell r="C1340" t="str">
            <v>Nguyễn Linh Phương</v>
          </cell>
          <cell r="D1340" t="str">
            <v>Chuyên viên Tiền lương</v>
          </cell>
          <cell r="E1340" t="str">
            <v>Tổng công ty Công nghiệp Công nghệ cao Viettel</v>
          </cell>
          <cell r="F1340" t="str">
            <v>Khối cơ quan - TCT CNC</v>
          </cell>
          <cell r="G1340" t="str">
            <v>Phòng Nhân sự</v>
          </cell>
        </row>
        <row r="1341">
          <cell r="B1341" t="str">
            <v>447161</v>
          </cell>
          <cell r="C1341" t="str">
            <v>Hoàng Thị Thu Hương</v>
          </cell>
          <cell r="D1341" t="str">
            <v>Nhân viên tiền lương</v>
          </cell>
          <cell r="E1341" t="str">
            <v>Tổng công ty Công nghiệp Công nghệ cao Viettel</v>
          </cell>
          <cell r="F1341" t="str">
            <v>Khối cơ quan - TCT CNC</v>
          </cell>
          <cell r="G1341" t="str">
            <v>Phòng Nhân sự</v>
          </cell>
        </row>
        <row r="1342">
          <cell r="B1342" t="str">
            <v>005583</v>
          </cell>
          <cell r="C1342" t="str">
            <v>Trần Công Minh</v>
          </cell>
          <cell r="D1342" t="str">
            <v>Chuyên viên Kế toán tổng hợp</v>
          </cell>
          <cell r="E1342" t="str">
            <v>Tổng công ty Công nghiệp Công nghệ cao Viettel</v>
          </cell>
          <cell r="F1342" t="str">
            <v>Khối cơ quan - TCT CNC</v>
          </cell>
          <cell r="G1342" t="str">
            <v>Phòng Tài chính</v>
          </cell>
        </row>
        <row r="1343">
          <cell r="B1343" t="str">
            <v>008023</v>
          </cell>
          <cell r="C1343" t="str">
            <v>Nguyễn Hồng Khánh</v>
          </cell>
          <cell r="D1343" t="str">
            <v>Trưởng phòng Tài chính</v>
          </cell>
          <cell r="E1343" t="str">
            <v>Tổng công ty Công nghiệp Công nghệ cao Viettel</v>
          </cell>
          <cell r="F1343" t="str">
            <v>Khối cơ quan - TCT CNC</v>
          </cell>
          <cell r="G1343" t="str">
            <v>Phòng Tài chính</v>
          </cell>
        </row>
        <row r="1344">
          <cell r="B1344" t="str">
            <v>009870</v>
          </cell>
          <cell r="C1344" t="str">
            <v>Nguyễn Thị Thanh Thủy</v>
          </cell>
          <cell r="D1344" t="str">
            <v>Nhân viên quản lý tài chính dự án</v>
          </cell>
          <cell r="E1344" t="str">
            <v>Tổng công ty Công nghiệp Công nghệ cao Viettel</v>
          </cell>
          <cell r="F1344" t="str">
            <v>Khối cơ quan - TCT CNC</v>
          </cell>
          <cell r="G1344" t="str">
            <v>Phòng Tài chính</v>
          </cell>
        </row>
        <row r="1345">
          <cell r="B1345" t="str">
            <v>009892</v>
          </cell>
          <cell r="C1345" t="str">
            <v>Đinh Thị Hoan</v>
          </cell>
          <cell r="D1345" t="str">
            <v>Nhân viên Kế toán dự án</v>
          </cell>
          <cell r="E1345" t="str">
            <v>Tổng công ty Công nghiệp Công nghệ cao Viettel</v>
          </cell>
          <cell r="F1345" t="str">
            <v>Khối cơ quan - TCT CNC</v>
          </cell>
          <cell r="G1345" t="str">
            <v>Phòng Tài chính</v>
          </cell>
        </row>
        <row r="1346">
          <cell r="B1346" t="str">
            <v>010099</v>
          </cell>
          <cell r="C1346" t="str">
            <v>Tô Lan Phương</v>
          </cell>
          <cell r="D1346" t="str">
            <v>Nhân viên quản lý tài chính dự án</v>
          </cell>
          <cell r="E1346" t="str">
            <v>Tổng công ty Công nghiệp Công nghệ cao Viettel</v>
          </cell>
          <cell r="F1346" t="str">
            <v>Khối cơ quan - TCT CNC</v>
          </cell>
          <cell r="G1346" t="str">
            <v>Phòng Tài chính</v>
          </cell>
        </row>
        <row r="1347">
          <cell r="B1347" t="str">
            <v>022294</v>
          </cell>
          <cell r="C1347" t="str">
            <v>Đỗ Thị Bích Huệ</v>
          </cell>
          <cell r="D1347" t="str">
            <v>Nhân viên quản lý tài chính dự án</v>
          </cell>
          <cell r="E1347" t="str">
            <v>Tổng công ty Công nghiệp Công nghệ cao Viettel</v>
          </cell>
          <cell r="F1347" t="str">
            <v>Khối cơ quan - TCT CNC</v>
          </cell>
          <cell r="G1347" t="str">
            <v>Phòng Tài chính</v>
          </cell>
        </row>
        <row r="1348">
          <cell r="B1348" t="str">
            <v>031526</v>
          </cell>
          <cell r="C1348" t="str">
            <v>Nguyễn Thị Mai Thanh</v>
          </cell>
          <cell r="D1348" t="str">
            <v>Nhân viên Kế toán dự án</v>
          </cell>
          <cell r="E1348" t="str">
            <v>Tổng công ty Công nghiệp Công nghệ cao Viettel</v>
          </cell>
          <cell r="F1348" t="str">
            <v>Khối cơ quan - TCT CNC</v>
          </cell>
          <cell r="G1348" t="str">
            <v>Phòng Tài chính</v>
          </cell>
        </row>
        <row r="1349">
          <cell r="B1349" t="str">
            <v>061204</v>
          </cell>
          <cell r="C1349" t="str">
            <v>Hà Ngọc Tú</v>
          </cell>
          <cell r="D1349" t="str">
            <v>Nhân viên Kế toán tổng hợp</v>
          </cell>
          <cell r="E1349" t="str">
            <v>Tổng công ty Công nghiệp Công nghệ cao Viettel</v>
          </cell>
          <cell r="F1349" t="str">
            <v>Khối cơ quan - TCT CNC</v>
          </cell>
          <cell r="G1349" t="str">
            <v>Phòng Tài chính</v>
          </cell>
        </row>
        <row r="1350">
          <cell r="B1350" t="str">
            <v>067630</v>
          </cell>
          <cell r="C1350" t="str">
            <v>Nguyễn Văn Hùng</v>
          </cell>
          <cell r="D1350" t="str">
            <v>Nhân viên Kế toán tổng hợp</v>
          </cell>
          <cell r="E1350" t="str">
            <v>Tổng công ty Công nghiệp Công nghệ cao Viettel</v>
          </cell>
          <cell r="F1350" t="str">
            <v>Khối cơ quan - TCT CNC</v>
          </cell>
          <cell r="G1350" t="str">
            <v>Phòng Tài chính</v>
          </cell>
        </row>
        <row r="1351">
          <cell r="B1351" t="str">
            <v>078672</v>
          </cell>
          <cell r="C1351" t="str">
            <v>Bùi Ngọc Hoàng</v>
          </cell>
          <cell r="D1351" t="str">
            <v>Phó phòng Tài chính</v>
          </cell>
          <cell r="E1351" t="str">
            <v>Tổng công ty Công nghiệp Công nghệ cao Viettel</v>
          </cell>
          <cell r="F1351" t="str">
            <v>Khối cơ quan - TCT CNC</v>
          </cell>
          <cell r="G1351" t="str">
            <v>Phòng Tài chính</v>
          </cell>
        </row>
        <row r="1352">
          <cell r="B1352" t="str">
            <v>106926</v>
          </cell>
          <cell r="C1352" t="str">
            <v>Nguyễn Phi Trương</v>
          </cell>
          <cell r="D1352" t="str">
            <v>Chuyên viên Kế toán tổng hợp</v>
          </cell>
          <cell r="E1352" t="str">
            <v>Tổng công ty Công nghiệp Công nghệ cao Viettel</v>
          </cell>
          <cell r="F1352" t="str">
            <v>Khối cơ quan - TCT CNC</v>
          </cell>
          <cell r="G1352" t="str">
            <v>Phòng Tài chính</v>
          </cell>
        </row>
        <row r="1353">
          <cell r="B1353" t="str">
            <v>119707</v>
          </cell>
          <cell r="C1353" t="str">
            <v>Trần Văn Khoa</v>
          </cell>
          <cell r="D1353" t="str">
            <v>Nhân viên Kế toán tổng hợp</v>
          </cell>
          <cell r="E1353" t="str">
            <v>Tổng công ty Công nghiệp Công nghệ cao Viettel</v>
          </cell>
          <cell r="F1353" t="str">
            <v>Khối cơ quan - TCT CNC</v>
          </cell>
          <cell r="G1353" t="str">
            <v>Phòng Tài chính</v>
          </cell>
        </row>
        <row r="1354">
          <cell r="B1354" t="str">
            <v>174747</v>
          </cell>
          <cell r="C1354" t="str">
            <v>Phạm Văn Quang</v>
          </cell>
          <cell r="D1354" t="str">
            <v>Nhân viên Kế toán dự án</v>
          </cell>
          <cell r="E1354" t="str">
            <v>Tổng công ty Công nghiệp Công nghệ cao Viettel</v>
          </cell>
          <cell r="F1354" t="str">
            <v>Khối cơ quan - TCT CNC</v>
          </cell>
          <cell r="G1354" t="str">
            <v>Phòng Tài chính</v>
          </cell>
        </row>
        <row r="1355">
          <cell r="B1355" t="str">
            <v>179676</v>
          </cell>
          <cell r="C1355" t="str">
            <v>Vũ Thái Sơn</v>
          </cell>
          <cell r="D1355" t="str">
            <v>Nhân viên Kế toán dự án</v>
          </cell>
          <cell r="E1355" t="str">
            <v>Tổng công ty Công nghiệp Công nghệ cao Viettel</v>
          </cell>
          <cell r="F1355" t="str">
            <v>Khối cơ quan - TCT CNC</v>
          </cell>
          <cell r="G1355" t="str">
            <v>Phòng Tài chính</v>
          </cell>
        </row>
        <row r="1356">
          <cell r="B1356" t="str">
            <v>193132</v>
          </cell>
          <cell r="C1356" t="str">
            <v>Vũ Thị Thương</v>
          </cell>
          <cell r="D1356" t="str">
            <v>Nhân viên Kế toán dự án</v>
          </cell>
          <cell r="E1356" t="str">
            <v>Tổng công ty Công nghiệp Công nghệ cao Viettel</v>
          </cell>
          <cell r="F1356" t="str">
            <v>Khối cơ quan - TCT CNC</v>
          </cell>
          <cell r="G1356" t="str">
            <v>Phòng Tài chính</v>
          </cell>
        </row>
        <row r="1357">
          <cell r="B1357" t="str">
            <v>204327</v>
          </cell>
          <cell r="C1357" t="str">
            <v>Nguyễn Trung Hiếu</v>
          </cell>
          <cell r="D1357" t="str">
            <v>Nhân viên Kế toán dự án</v>
          </cell>
          <cell r="E1357" t="str">
            <v>Tổng công ty Công nghiệp Công nghệ cao Viettel</v>
          </cell>
          <cell r="F1357" t="str">
            <v>Khối cơ quan - TCT CNC</v>
          </cell>
          <cell r="G1357" t="str">
            <v>Phòng Tài chính</v>
          </cell>
        </row>
        <row r="1358">
          <cell r="B1358" t="str">
            <v>225591</v>
          </cell>
          <cell r="C1358" t="str">
            <v>Nguyễn Thị Ngọc Hòa</v>
          </cell>
          <cell r="D1358" t="str">
            <v>Nhân viên Kế toán dự án</v>
          </cell>
          <cell r="E1358" t="str">
            <v>Tổng công ty Công nghiệp Công nghệ cao Viettel</v>
          </cell>
          <cell r="F1358" t="str">
            <v>Khối cơ quan - TCT CNC</v>
          </cell>
          <cell r="G1358" t="str">
            <v>Phòng Tài chính</v>
          </cell>
        </row>
        <row r="1359">
          <cell r="B1359" t="str">
            <v>451497</v>
          </cell>
          <cell r="C1359" t="str">
            <v>Vũ Minh Hiếu</v>
          </cell>
          <cell r="D1359" t="str">
            <v>Nhân viên Kế toán dự án</v>
          </cell>
          <cell r="E1359" t="str">
            <v>Tổng công ty Công nghiệp Công nghệ cao Viettel</v>
          </cell>
          <cell r="F1359" t="str">
            <v>Khối cơ quan - TCT CNC</v>
          </cell>
          <cell r="G1359" t="str">
            <v>Phòng Tài chính</v>
          </cell>
        </row>
        <row r="1360">
          <cell r="B1360" t="str">
            <v>004041</v>
          </cell>
          <cell r="C1360" t="str">
            <v>Trần Danh Sỹ</v>
          </cell>
          <cell r="D1360" t="str">
            <v>Nhân viên Kế hoạch Tổng hợp</v>
          </cell>
          <cell r="E1360" t="str">
            <v>Tổng công ty Công nghiệp Công nghệ cao Viettel</v>
          </cell>
          <cell r="F1360" t="str">
            <v>Khối cơ quan - TCT CNC</v>
          </cell>
          <cell r="G1360" t="str">
            <v>Văn phòng</v>
          </cell>
        </row>
        <row r="1361">
          <cell r="B1361" t="str">
            <v>012486</v>
          </cell>
          <cell r="C1361" t="str">
            <v>Đoàn Hữu Đồng</v>
          </cell>
          <cell r="D1361" t="str">
            <v>Trưởng Đại diện</v>
          </cell>
          <cell r="E1361" t="str">
            <v>Tổng công ty Công nghiệp Công nghệ cao Viettel</v>
          </cell>
          <cell r="F1361" t="str">
            <v>Khối cơ quan - TCT CNC</v>
          </cell>
          <cell r="G1361" t="str">
            <v>Văn phòng</v>
          </cell>
        </row>
        <row r="1362">
          <cell r="B1362" t="str">
            <v>012721</v>
          </cell>
          <cell r="C1362" t="str">
            <v>Hồ Trọng Hiếu</v>
          </cell>
          <cell r="D1362" t="str">
            <v>Chánh Văn phòng</v>
          </cell>
          <cell r="E1362" t="str">
            <v>Tổng công ty Công nghiệp Công nghệ cao Viettel</v>
          </cell>
          <cell r="F1362" t="str">
            <v>Khối cơ quan - TCT CNC</v>
          </cell>
          <cell r="G1362" t="str">
            <v>Văn phòng</v>
          </cell>
        </row>
        <row r="1363">
          <cell r="B1363" t="str">
            <v>059527</v>
          </cell>
          <cell r="C1363" t="str">
            <v>Phạm Đình Hưng</v>
          </cell>
          <cell r="D1363" t="str">
            <v>Phó Chánh Văn phòng</v>
          </cell>
          <cell r="E1363" t="str">
            <v>Tổng công ty Công nghiệp Công nghệ cao Viettel</v>
          </cell>
          <cell r="F1363" t="str">
            <v>Khối cơ quan - TCT CNC</v>
          </cell>
          <cell r="G1363" t="str">
            <v>Văn phòng</v>
          </cell>
        </row>
        <row r="1364">
          <cell r="B1364" t="str">
            <v>059666</v>
          </cell>
          <cell r="C1364" t="str">
            <v>Lê Thị Cẩm Bình</v>
          </cell>
          <cell r="D1364" t="str">
            <v>Nhân viên Văn thư</v>
          </cell>
          <cell r="E1364" t="str">
            <v>Tổng công ty Công nghiệp Công nghệ cao Viettel</v>
          </cell>
          <cell r="F1364" t="str">
            <v>Khối cơ quan - TCT CNC</v>
          </cell>
          <cell r="G1364" t="str">
            <v>Văn phòng</v>
          </cell>
        </row>
        <row r="1365">
          <cell r="B1365" t="str">
            <v>122816</v>
          </cell>
          <cell r="C1365" t="str">
            <v>Ngô Thị Thanh Huyền</v>
          </cell>
          <cell r="D1365" t="str">
            <v>Nhân viên Kế hoạch Tổng hợp</v>
          </cell>
          <cell r="E1365" t="str">
            <v>Tổng công ty Công nghiệp Công nghệ cao Viettel</v>
          </cell>
          <cell r="F1365" t="str">
            <v>Khối cơ quan - TCT CNC</v>
          </cell>
          <cell r="G1365" t="str">
            <v>Văn phòng</v>
          </cell>
        </row>
        <row r="1366">
          <cell r="B1366" t="str">
            <v>128508</v>
          </cell>
          <cell r="C1366" t="str">
            <v>Tống Công Viện</v>
          </cell>
          <cell r="D1366" t="str">
            <v>Trợ lý Tác huấn</v>
          </cell>
          <cell r="E1366" t="str">
            <v>Tổng công ty Công nghiệp Công nghệ cao Viettel</v>
          </cell>
          <cell r="F1366" t="str">
            <v>Khối cơ quan - TCT CNC</v>
          </cell>
          <cell r="G1366" t="str">
            <v>Văn phòng</v>
          </cell>
        </row>
        <row r="1367">
          <cell r="B1367" t="str">
            <v>202113</v>
          </cell>
          <cell r="C1367" t="str">
            <v>Lê Thị Minh Trang</v>
          </cell>
          <cell r="D1367" t="str">
            <v>Nhân viên Đối ngoại</v>
          </cell>
          <cell r="E1367" t="str">
            <v>Tổng công ty Công nghiệp Công nghệ cao Viettel</v>
          </cell>
          <cell r="F1367" t="str">
            <v>Khối cơ quan - TCT CNC</v>
          </cell>
          <cell r="G1367" t="str">
            <v>Văn phòng</v>
          </cell>
        </row>
        <row r="1368">
          <cell r="B1368" t="str">
            <v>269717</v>
          </cell>
          <cell r="C1368" t="str">
            <v>Đàm Thị Minh Thu</v>
          </cell>
          <cell r="D1368" t="str">
            <v>Chuyên viên Pháp lý</v>
          </cell>
          <cell r="E1368" t="str">
            <v>Tổng công ty Công nghiệp Công nghệ cao Viettel</v>
          </cell>
          <cell r="F1368" t="str">
            <v>Khối cơ quan - TCT CNC</v>
          </cell>
          <cell r="G1368" t="str">
            <v>Văn phòng</v>
          </cell>
        </row>
        <row r="1369">
          <cell r="B1369" t="str">
            <v>457411</v>
          </cell>
          <cell r="C1369" t="str">
            <v>Phạm Thùy Dương</v>
          </cell>
          <cell r="D1369" t="str">
            <v>Nhân viên Pháp lý</v>
          </cell>
          <cell r="E1369" t="str">
            <v>Tổng công ty Công nghiệp Công nghệ cao Viettel</v>
          </cell>
          <cell r="F1369" t="str">
            <v>Khối cơ quan - TCT CNC</v>
          </cell>
          <cell r="G1369" t="str">
            <v>Văn phòng</v>
          </cell>
        </row>
        <row r="1370">
          <cell r="B1370" t="str">
            <v>462809</v>
          </cell>
          <cell r="C1370" t="str">
            <v>Đào Vũ Anh</v>
          </cell>
          <cell r="D1370" t="str">
            <v>Nhân viên pháp lý</v>
          </cell>
          <cell r="E1370" t="str">
            <v>Tổng công ty Công nghiệp Công nghệ cao Viettel</v>
          </cell>
          <cell r="F1370" t="str">
            <v>Khối cơ quan - TCT CNC</v>
          </cell>
          <cell r="G1370" t="str">
            <v>Văn phòng</v>
          </cell>
        </row>
        <row r="1371">
          <cell r="B1371" t="str">
            <v>476019</v>
          </cell>
          <cell r="C1371" t="str">
            <v>Dương Hồng Hoàn</v>
          </cell>
          <cell r="D1371" t="str">
            <v>Nhân viên Kế hoạch Tổng hợp</v>
          </cell>
          <cell r="E1371" t="str">
            <v>Tổng công ty Công nghiệp Công nghệ cao Viettel</v>
          </cell>
          <cell r="F1371" t="str">
            <v>Khối cơ quan - TCT CNC</v>
          </cell>
          <cell r="G1371" t="str">
            <v>Văn phòng</v>
          </cell>
        </row>
        <row r="1372">
          <cell r="B1372" t="str">
            <v>004012</v>
          </cell>
          <cell r="C1372" t="str">
            <v>Tống Thanh Sơn</v>
          </cell>
          <cell r="D1372" t="str">
            <v>Giám đốc Trung tâm kinh doanh</v>
          </cell>
          <cell r="E1372" t="str">
            <v>Tổng công ty Công nghiệp Công nghệ cao Viettel</v>
          </cell>
          <cell r="F1372" t="str">
            <v>Trung tâm Kinh doanh - TCT CNC</v>
          </cell>
          <cell r="G1372" t="str">
            <v>Ban Giám đốc</v>
          </cell>
        </row>
        <row r="1373">
          <cell r="B1373" t="str">
            <v>045177</v>
          </cell>
          <cell r="C1373" t="str">
            <v>Nguyễn Văn Tuân</v>
          </cell>
          <cell r="D1373" t="str">
            <v>Phó Giám đốc</v>
          </cell>
          <cell r="E1373" t="str">
            <v>Tổng công ty Công nghiệp Công nghệ cao Viettel</v>
          </cell>
          <cell r="F1373" t="str">
            <v>Trung tâm Kinh doanh - TCT CNC</v>
          </cell>
          <cell r="G1373" t="str">
            <v>Ban Giám đốc</v>
          </cell>
        </row>
        <row r="1374">
          <cell r="B1374" t="str">
            <v>230618</v>
          </cell>
          <cell r="C1374" t="str">
            <v>Nguyễn Tiến Long</v>
          </cell>
          <cell r="D1374" t="str">
            <v>Phó Giám đốc Trung tâm kinh doanh</v>
          </cell>
          <cell r="E1374" t="str">
            <v>Tổng công ty Công nghiệp Công nghệ cao Viettel</v>
          </cell>
          <cell r="F1374" t="str">
            <v>Trung tâm Kinh doanh - TCT CNC</v>
          </cell>
          <cell r="G1374" t="str">
            <v>Ban Giám đốc</v>
          </cell>
        </row>
        <row r="1375">
          <cell r="B1375" t="str">
            <v>017247</v>
          </cell>
          <cell r="C1375" t="str">
            <v>Cao Thị Lệ Thúy</v>
          </cell>
          <cell r="D1375" t="str">
            <v>Nhân viên Kinh doanh</v>
          </cell>
          <cell r="E1375" t="str">
            <v>Tổng công ty Công nghiệp Công nghệ cao Viettel</v>
          </cell>
          <cell r="F1375" t="str">
            <v>Trung tâm Kinh doanh - TCT CNC</v>
          </cell>
          <cell r="G1375" t="str">
            <v>Bộ phận Hỗ trợ nghiệp vụ</v>
          </cell>
        </row>
        <row r="1376">
          <cell r="B1376" t="str">
            <v>059925</v>
          </cell>
          <cell r="C1376" t="str">
            <v>Phi Thu Trang</v>
          </cell>
          <cell r="D1376" t="str">
            <v>Nhân viên Kinh doanh</v>
          </cell>
          <cell r="E1376" t="str">
            <v>Tổng công ty Công nghiệp Công nghệ cao Viettel</v>
          </cell>
          <cell r="F1376" t="str">
            <v>Trung tâm Kinh doanh - TCT CNC</v>
          </cell>
          <cell r="G1376" t="str">
            <v>Bộ phận Hỗ trợ nghiệp vụ</v>
          </cell>
        </row>
        <row r="1377">
          <cell r="B1377" t="str">
            <v>179953</v>
          </cell>
          <cell r="C1377" t="str">
            <v>Phan Duy Nam</v>
          </cell>
          <cell r="D1377" t="str">
            <v>Chuyên viên Kinh doanh</v>
          </cell>
          <cell r="E1377" t="str">
            <v>Tổng công ty Công nghiệp Công nghệ cao Viettel</v>
          </cell>
          <cell r="F1377" t="str">
            <v>Trung tâm Kinh doanh - TCT CNC</v>
          </cell>
          <cell r="G1377" t="str">
            <v>Bộ phận Hỗ trợ nghiệp vụ</v>
          </cell>
        </row>
        <row r="1378">
          <cell r="B1378" t="str">
            <v>249088</v>
          </cell>
          <cell r="C1378" t="str">
            <v>Nguyễn Thị Vân Anh</v>
          </cell>
          <cell r="D1378" t="str">
            <v>Nhân viên Kinh doanh</v>
          </cell>
          <cell r="E1378" t="str">
            <v>Tổng công ty Công nghiệp Công nghệ cao Viettel</v>
          </cell>
          <cell r="F1378" t="str">
            <v>Trung tâm Kinh doanh - TCT CNC</v>
          </cell>
          <cell r="G1378" t="str">
            <v>Bộ phận Hỗ trợ nghiệp vụ</v>
          </cell>
        </row>
        <row r="1379">
          <cell r="B1379" t="str">
            <v>462825</v>
          </cell>
          <cell r="C1379" t="str">
            <v>Lê Hà Thu Uyên</v>
          </cell>
          <cell r="D1379" t="str">
            <v>Nhân viên Marketing</v>
          </cell>
          <cell r="E1379" t="str">
            <v>Tổng công ty Công nghiệp Công nghệ cao Viettel</v>
          </cell>
          <cell r="F1379" t="str">
            <v>Trung tâm Kinh doanh - TCT CNC</v>
          </cell>
          <cell r="G1379" t="str">
            <v>Phòng Marketing</v>
          </cell>
        </row>
        <row r="1380">
          <cell r="B1380" t="str">
            <v>473671</v>
          </cell>
          <cell r="C1380" t="str">
            <v>Nguyễn Thị Ngọc Anh</v>
          </cell>
          <cell r="D1380" t="str">
            <v>Nhân viên Marketing</v>
          </cell>
          <cell r="E1380" t="str">
            <v>Tổng công ty Công nghiệp Công nghệ cao Viettel</v>
          </cell>
          <cell r="F1380" t="str">
            <v>Trung tâm Kinh doanh - TCT CNC</v>
          </cell>
          <cell r="G1380" t="str">
            <v>Phòng Marketing</v>
          </cell>
        </row>
        <row r="1381">
          <cell r="B1381" t="str">
            <v>476435</v>
          </cell>
          <cell r="C1381" t="str">
            <v>Nguyễn Hà Thảo Tiên</v>
          </cell>
          <cell r="D1381" t="str">
            <v>Chuyên viên Marketing</v>
          </cell>
          <cell r="E1381" t="str">
            <v>Tổng công ty Công nghiệp Công nghệ cao Viettel</v>
          </cell>
          <cell r="F1381" t="str">
            <v>Trung tâm Kinh doanh - TCT CNC</v>
          </cell>
          <cell r="G1381" t="str">
            <v>Phòng Marketing</v>
          </cell>
        </row>
        <row r="1382">
          <cell r="B1382" t="str">
            <v>222459</v>
          </cell>
          <cell r="C1382" t="str">
            <v>Hoàng Đức Tâm</v>
          </cell>
          <cell r="D1382" t="str">
            <v>Nhân viên Kinh doanh</v>
          </cell>
          <cell r="E1382" t="str">
            <v>Tổng công ty Công nghiệp Công nghệ cao Viettel</v>
          </cell>
          <cell r="F1382" t="str">
            <v>Trung tâm Kinh doanh - TCT CNC</v>
          </cell>
          <cell r="G1382" t="str">
            <v>Phòng Phát triển thị trường Quốc tế</v>
          </cell>
        </row>
        <row r="1383">
          <cell r="B1383" t="str">
            <v>228393</v>
          </cell>
          <cell r="C1383" t="str">
            <v>Lương Hải Ngọc</v>
          </cell>
          <cell r="D1383" t="str">
            <v>Trưởng phòng</v>
          </cell>
          <cell r="E1383" t="str">
            <v>Tổng công ty Công nghiệp Công nghệ cao Viettel</v>
          </cell>
          <cell r="F1383" t="str">
            <v>Trung tâm Kinh doanh - TCT CNC</v>
          </cell>
          <cell r="G1383" t="str">
            <v>Phòng Phát triển thị trường Quốc tế</v>
          </cell>
        </row>
        <row r="1384">
          <cell r="B1384" t="str">
            <v>447665</v>
          </cell>
          <cell r="C1384" t="str">
            <v>Trần Minh Dũng</v>
          </cell>
          <cell r="D1384" t="str">
            <v>Nhân viên Kinh doanh</v>
          </cell>
          <cell r="E1384" t="str">
            <v>Tổng công ty Công nghiệp Công nghệ cao Viettel</v>
          </cell>
          <cell r="F1384" t="str">
            <v>Trung tâm Kinh doanh - TCT CNC</v>
          </cell>
          <cell r="G1384" t="str">
            <v>Phòng Phát triển thị trường Quốc tế</v>
          </cell>
        </row>
        <row r="1385">
          <cell r="B1385" t="str">
            <v>448235</v>
          </cell>
          <cell r="C1385" t="str">
            <v>Nguyễn Đình Minh</v>
          </cell>
          <cell r="D1385" t="str">
            <v>Nhân viên Kinh doanh</v>
          </cell>
          <cell r="E1385" t="str">
            <v>Tổng công ty Công nghiệp Công nghệ cao Viettel</v>
          </cell>
          <cell r="F1385" t="str">
            <v>Trung tâm Kinh doanh - TCT CNC</v>
          </cell>
          <cell r="G1385" t="str">
            <v>Phòng Phát triển thị trường Quốc tế</v>
          </cell>
        </row>
        <row r="1386">
          <cell r="B1386" t="str">
            <v>460983</v>
          </cell>
          <cell r="C1386" t="str">
            <v>Đàm Đình Hảo</v>
          </cell>
          <cell r="D1386" t="str">
            <v>Chuyên viên Kinh doanh</v>
          </cell>
          <cell r="E1386" t="str">
            <v>Tổng công ty Công nghiệp Công nghệ cao Viettel</v>
          </cell>
          <cell r="F1386" t="str">
            <v>Trung tâm Kinh doanh - TCT CNC</v>
          </cell>
          <cell r="G1386" t="str">
            <v>Phòng Phát triển thị trường Quốc tế</v>
          </cell>
        </row>
        <row r="1387">
          <cell r="B1387" t="str">
            <v>466295</v>
          </cell>
          <cell r="C1387" t="str">
            <v>Hà Nam Trung</v>
          </cell>
          <cell r="D1387" t="str">
            <v>Chuyên viên chính kinh doanh</v>
          </cell>
          <cell r="E1387" t="str">
            <v>Tổng công ty Công nghiệp Công nghệ cao Viettel</v>
          </cell>
          <cell r="F1387" t="str">
            <v>Trung tâm Kinh doanh - TCT CNC</v>
          </cell>
          <cell r="G1387" t="str">
            <v>Phòng Phát triển thị trường Quốc tế</v>
          </cell>
        </row>
        <row r="1388">
          <cell r="B1388" t="str">
            <v>476239</v>
          </cell>
          <cell r="C1388" t="str">
            <v>Nguyễn Học Thành</v>
          </cell>
          <cell r="D1388" t="str">
            <v>Chuyên viên chính kinh doanh</v>
          </cell>
          <cell r="E1388" t="str">
            <v>Tổng công ty Công nghiệp Công nghệ cao Viettel</v>
          </cell>
          <cell r="F1388" t="str">
            <v>Trung tâm Kinh doanh - TCT CNC</v>
          </cell>
          <cell r="G1388" t="str">
            <v>Phòng Phát triển thị trường Quốc tế</v>
          </cell>
        </row>
        <row r="1389">
          <cell r="B1389" t="str">
            <v>211682</v>
          </cell>
          <cell r="C1389" t="str">
            <v>Phạm Lê Minh</v>
          </cell>
          <cell r="D1389" t="str">
            <v>Nhân viên Kinh doanh</v>
          </cell>
          <cell r="E1389" t="str">
            <v>Tổng công ty Công nghiệp Công nghệ cao Viettel</v>
          </cell>
          <cell r="F1389" t="str">
            <v>Trung tâm Kinh doanh - TCT CNC</v>
          </cell>
          <cell r="G1389" t="str">
            <v>Phòng Phát triển thị trường trong nước</v>
          </cell>
        </row>
        <row r="1390">
          <cell r="B1390" t="str">
            <v>444115</v>
          </cell>
          <cell r="C1390" t="str">
            <v>Nguyễn Sơn Tùng</v>
          </cell>
          <cell r="D1390" t="str">
            <v>Chuyên viên Kinh doanh</v>
          </cell>
          <cell r="E1390" t="str">
            <v>Tổng công ty Công nghiệp Công nghệ cao Viettel</v>
          </cell>
          <cell r="F1390" t="str">
            <v>Trung tâm Kinh doanh - TCT CNC</v>
          </cell>
          <cell r="G1390" t="str">
            <v>Phòng Phát triển thị trường trong nước</v>
          </cell>
        </row>
        <row r="1391">
          <cell r="B1391" t="str">
            <v>461477</v>
          </cell>
          <cell r="C1391" t="str">
            <v>Trần Phạm Đình Khuê</v>
          </cell>
          <cell r="D1391" t="str">
            <v>Nhân viên Kinh doanh</v>
          </cell>
          <cell r="E1391" t="str">
            <v>Tổng công ty Công nghiệp Công nghệ cao Viettel</v>
          </cell>
          <cell r="F1391" t="str">
            <v>Trung tâm Kinh doanh - TCT CNC</v>
          </cell>
          <cell r="G1391" t="str">
            <v>Phòng Phát triển thị trường trong nước</v>
          </cell>
        </row>
        <row r="1392">
          <cell r="B1392" t="str">
            <v>011238</v>
          </cell>
          <cell r="C1392" t="str">
            <v>Lê Thúy Mai</v>
          </cell>
          <cell r="D1392" t="str">
            <v>Trưởng phòng Thương hiệu và truyền thông</v>
          </cell>
          <cell r="E1392" t="str">
            <v>Tổng công ty Công nghiệp Công nghệ cao Viettel</v>
          </cell>
          <cell r="F1392" t="str">
            <v>Trung tâm Kinh doanh - TCT CNC</v>
          </cell>
          <cell r="G1392" t="str">
            <v>Phòng Thương hiệu và truyền thông</v>
          </cell>
        </row>
        <row r="1393">
          <cell r="B1393" t="str">
            <v>050099</v>
          </cell>
          <cell r="C1393" t="str">
            <v>Vũ Thị Thu Hiền</v>
          </cell>
          <cell r="D1393" t="str">
            <v>Nhân viên Chăm sóc khách hàng</v>
          </cell>
          <cell r="E1393" t="str">
            <v>Tổng công ty Công nghiệp Công nghệ cao Viettel</v>
          </cell>
          <cell r="F1393" t="str">
            <v>Trung tâm Kinh doanh - TCT CNC</v>
          </cell>
          <cell r="G1393" t="str">
            <v>Phòng Thương hiệu và truyền thông</v>
          </cell>
        </row>
        <row r="1394">
          <cell r="B1394" t="str">
            <v>206026</v>
          </cell>
          <cell r="C1394" t="str">
            <v>Đỗ Thị Thùy Linh</v>
          </cell>
          <cell r="D1394" t="str">
            <v>Phó phòng Thương hiệu và truyền thông</v>
          </cell>
          <cell r="E1394" t="str">
            <v>Tổng công ty Công nghiệp Công nghệ cao Viettel</v>
          </cell>
          <cell r="F1394" t="str">
            <v>Trung tâm Kinh doanh - TCT CNC</v>
          </cell>
          <cell r="G1394" t="str">
            <v>Phòng Thương hiệu và truyền thông</v>
          </cell>
        </row>
        <row r="1395">
          <cell r="B1395" t="str">
            <v>217316</v>
          </cell>
          <cell r="C1395" t="str">
            <v>Đào Thu Thảo</v>
          </cell>
          <cell r="D1395" t="str">
            <v>Nhân viên Truyền thông</v>
          </cell>
          <cell r="E1395" t="str">
            <v>Tổng công ty Công nghiệp Công nghệ cao Viettel</v>
          </cell>
          <cell r="F1395" t="str">
            <v>Trung tâm Kinh doanh - TCT CNC</v>
          </cell>
          <cell r="G1395" t="str">
            <v>Phòng Thương hiệu và truyền thông</v>
          </cell>
        </row>
        <row r="1396">
          <cell r="B1396" t="str">
            <v>251384</v>
          </cell>
          <cell r="C1396" t="str">
            <v>Nguyễn Thị Trâm Anh</v>
          </cell>
          <cell r="D1396" t="str">
            <v>Nhân viên Truyền thông</v>
          </cell>
          <cell r="E1396" t="str">
            <v>Tổng công ty Công nghiệp Công nghệ cao Viettel</v>
          </cell>
          <cell r="F1396" t="str">
            <v>Trung tâm Kinh doanh - TCT CNC</v>
          </cell>
          <cell r="G1396" t="str">
            <v>Phòng Thương hiệu và truyền thông</v>
          </cell>
        </row>
        <row r="1397">
          <cell r="B1397" t="str">
            <v>270953</v>
          </cell>
          <cell r="C1397" t="str">
            <v>Nguyễn Thị Thu Hương</v>
          </cell>
          <cell r="D1397" t="str">
            <v>Nhân viên Truyền thông</v>
          </cell>
          <cell r="E1397" t="str">
            <v>Tổng công ty Công nghiệp Công nghệ cao Viettel</v>
          </cell>
          <cell r="F1397" t="str">
            <v>Trung tâm Kinh doanh - TCT CNC</v>
          </cell>
          <cell r="G1397" t="str">
            <v>Phòng Thương hiệu và truyền thông</v>
          </cell>
        </row>
        <row r="1398">
          <cell r="B1398" t="str">
            <v>291030</v>
          </cell>
          <cell r="C1398" t="str">
            <v>Vũ Trà My</v>
          </cell>
          <cell r="D1398" t="str">
            <v>Nhân viên Truyền thông</v>
          </cell>
          <cell r="E1398" t="str">
            <v>Tổng công ty Công nghiệp Công nghệ cao Viettel</v>
          </cell>
          <cell r="F1398" t="str">
            <v>Trung tâm Kinh doanh - TCT CNC</v>
          </cell>
          <cell r="G1398" t="str">
            <v>Phòng Thương hiệu và truyền thông</v>
          </cell>
        </row>
        <row r="1399">
          <cell r="B1399" t="str">
            <v>456439</v>
          </cell>
          <cell r="C1399" t="str">
            <v>Nguyễn Tùng Văn</v>
          </cell>
          <cell r="D1399" t="str">
            <v>Nhân viên Truyền thông</v>
          </cell>
          <cell r="E1399" t="str">
            <v>Tổng công ty Công nghiệp Công nghệ cao Viettel</v>
          </cell>
          <cell r="F1399" t="str">
            <v>Trung tâm Kinh doanh - TCT CNC</v>
          </cell>
          <cell r="G1399" t="str">
            <v>Phòng Thương hiệu và truyền thông</v>
          </cell>
        </row>
        <row r="1400">
          <cell r="B1400" t="str">
            <v>458811</v>
          </cell>
          <cell r="C1400" t="str">
            <v>Nguyễn Thế Vinh</v>
          </cell>
          <cell r="D1400" t="str">
            <v>Nhân viên Truyền thông</v>
          </cell>
          <cell r="E1400" t="str">
            <v>Tổng công ty Công nghiệp Công nghệ cao Viettel</v>
          </cell>
          <cell r="F1400" t="str">
            <v>Trung tâm Kinh doanh - TCT CNC</v>
          </cell>
          <cell r="G1400" t="str">
            <v>Phòng Thương hiệu và truyền thông</v>
          </cell>
        </row>
        <row r="1401">
          <cell r="B1401" t="str">
            <v>059667</v>
          </cell>
          <cell r="C1401" t="str">
            <v>Vũ Tú Quỳnh</v>
          </cell>
          <cell r="D1401" t="str">
            <v>Phó Giám đốc</v>
          </cell>
          <cell r="E1401" t="str">
            <v>Tổng công ty Công nghiệp Công nghệ cao Viettel</v>
          </cell>
          <cell r="F1401" t="str">
            <v>Trung tâm Mua sắm - TCT CNC</v>
          </cell>
          <cell r="G1401" t="str">
            <v>Ban Giám đốc</v>
          </cell>
        </row>
        <row r="1402">
          <cell r="B1402" t="str">
            <v>078099</v>
          </cell>
          <cell r="C1402" t="str">
            <v>Nguyễn Xuân Phương</v>
          </cell>
          <cell r="D1402" t="str">
            <v>Giám đốc</v>
          </cell>
          <cell r="E1402" t="str">
            <v>Tổng công ty Công nghiệp Công nghệ cao Viettel</v>
          </cell>
          <cell r="F1402" t="str">
            <v>Trung tâm Mua sắm - TCT CNC</v>
          </cell>
          <cell r="G1402" t="str">
            <v>Ban Giám đốc</v>
          </cell>
        </row>
        <row r="1403">
          <cell r="B1403" t="str">
            <v>103516</v>
          </cell>
          <cell r="C1403" t="str">
            <v>Hoàng Thị Thanh Trà</v>
          </cell>
          <cell r="D1403" t="str">
            <v>Phó Giám đốc</v>
          </cell>
          <cell r="E1403" t="str">
            <v>Tổng công ty Công nghiệp Công nghệ cao Viettel</v>
          </cell>
          <cell r="F1403" t="str">
            <v>Trung tâm Mua sắm - TCT CNC</v>
          </cell>
          <cell r="G1403" t="str">
            <v>Ban Giám đốc</v>
          </cell>
        </row>
        <row r="1404">
          <cell r="B1404" t="str">
            <v>056683</v>
          </cell>
          <cell r="C1404" t="str">
            <v>Nguyễn Thị Phương Thảo</v>
          </cell>
          <cell r="D1404" t="str">
            <v>Chuyên viên Dự án</v>
          </cell>
          <cell r="E1404" t="str">
            <v>Tổng công ty Công nghiệp Công nghệ cao Viettel</v>
          </cell>
          <cell r="F1404" t="str">
            <v>Trung tâm Mua sắm - TCT CNC</v>
          </cell>
          <cell r="G1404" t="str">
            <v>Phòng Dự án</v>
          </cell>
        </row>
        <row r="1405">
          <cell r="B1405" t="str">
            <v>066587</v>
          </cell>
          <cell r="C1405" t="str">
            <v>Nguyễn Thị Thu Dung</v>
          </cell>
          <cell r="D1405" t="str">
            <v>Nhân viên Dự án</v>
          </cell>
          <cell r="E1405" t="str">
            <v>Tổng công ty Công nghiệp Công nghệ cao Viettel</v>
          </cell>
          <cell r="F1405" t="str">
            <v>Trung tâm Mua sắm - TCT CNC</v>
          </cell>
          <cell r="G1405" t="str">
            <v>Phòng Dự án</v>
          </cell>
        </row>
        <row r="1406">
          <cell r="B1406" t="str">
            <v>130369</v>
          </cell>
          <cell r="C1406" t="str">
            <v>Trần Thị Diệu Thúy</v>
          </cell>
          <cell r="D1406" t="str">
            <v>Nhân viên Dự án</v>
          </cell>
          <cell r="E1406" t="str">
            <v>Tổng công ty Công nghiệp Công nghệ cao Viettel</v>
          </cell>
          <cell r="F1406" t="str">
            <v>Trung tâm Mua sắm - TCT CNC</v>
          </cell>
          <cell r="G1406" t="str">
            <v>Phòng Dự án</v>
          </cell>
        </row>
        <row r="1407">
          <cell r="B1407" t="str">
            <v>205267</v>
          </cell>
          <cell r="C1407" t="str">
            <v>Nguyễn Anh Dũng</v>
          </cell>
          <cell r="D1407" t="str">
            <v>Nhân viên Dự án</v>
          </cell>
          <cell r="E1407" t="str">
            <v>Tổng công ty Công nghiệp Công nghệ cao Viettel</v>
          </cell>
          <cell r="F1407" t="str">
            <v>Trung tâm Mua sắm - TCT CNC</v>
          </cell>
          <cell r="G1407" t="str">
            <v>Phòng Dự án</v>
          </cell>
        </row>
        <row r="1408">
          <cell r="B1408" t="str">
            <v>014913</v>
          </cell>
          <cell r="C1408" t="str">
            <v>Trần Thị Hồng Nhung</v>
          </cell>
          <cell r="D1408" t="str">
            <v>Nhân viên Hợp đồng</v>
          </cell>
          <cell r="E1408" t="str">
            <v>Tổng công ty Công nghiệp Công nghệ cao Viettel</v>
          </cell>
          <cell r="F1408" t="str">
            <v>Trung tâm Mua sắm - TCT CNC</v>
          </cell>
          <cell r="G1408" t="str">
            <v>Phòng Hợp đồng</v>
          </cell>
        </row>
        <row r="1409">
          <cell r="B1409" t="str">
            <v>071862</v>
          </cell>
          <cell r="C1409" t="str">
            <v>Trần Anh Đức</v>
          </cell>
          <cell r="D1409" t="str">
            <v>Nhân viên Hợp đồng</v>
          </cell>
          <cell r="E1409" t="str">
            <v>Tổng công ty Công nghiệp Công nghệ cao Viettel</v>
          </cell>
          <cell r="F1409" t="str">
            <v>Trung tâm Mua sắm - TCT CNC</v>
          </cell>
          <cell r="G1409" t="str">
            <v>Phòng Hợp đồng</v>
          </cell>
        </row>
        <row r="1410">
          <cell r="B1410" t="str">
            <v>087338</v>
          </cell>
          <cell r="C1410" t="str">
            <v>Nguyễn Thị Thu Hương</v>
          </cell>
          <cell r="D1410" t="str">
            <v>Nhân viên Hợp đồng</v>
          </cell>
          <cell r="E1410" t="str">
            <v>Tổng công ty Công nghiệp Công nghệ cao Viettel</v>
          </cell>
          <cell r="F1410" t="str">
            <v>Trung tâm Mua sắm - TCT CNC</v>
          </cell>
          <cell r="G1410" t="str">
            <v>Phòng Hợp đồng</v>
          </cell>
        </row>
        <row r="1411">
          <cell r="B1411" t="str">
            <v>110838</v>
          </cell>
          <cell r="C1411" t="str">
            <v>Nguyễn Thị Quỳnh Liên</v>
          </cell>
          <cell r="D1411" t="str">
            <v>Trưởng phòng Hợp đồng</v>
          </cell>
          <cell r="E1411" t="str">
            <v>Tổng công ty Công nghiệp Công nghệ cao Viettel</v>
          </cell>
          <cell r="F1411" t="str">
            <v>Trung tâm Mua sắm - TCT CNC</v>
          </cell>
          <cell r="G1411" t="str">
            <v>Phòng Hợp đồng</v>
          </cell>
        </row>
        <row r="1412">
          <cell r="B1412" t="str">
            <v>118927</v>
          </cell>
          <cell r="C1412" t="str">
            <v>Tần Thị Lê Vinh</v>
          </cell>
          <cell r="D1412" t="str">
            <v>Nhân viên Hợp đồng</v>
          </cell>
          <cell r="E1412" t="str">
            <v>Tổng công ty Công nghiệp Công nghệ cao Viettel</v>
          </cell>
          <cell r="F1412" t="str">
            <v>Trung tâm Mua sắm - TCT CNC</v>
          </cell>
          <cell r="G1412" t="str">
            <v>Phòng Hợp đồng</v>
          </cell>
        </row>
        <row r="1413">
          <cell r="B1413" t="str">
            <v>140614</v>
          </cell>
          <cell r="C1413" t="str">
            <v>Nguyễn Tuấn Hùng</v>
          </cell>
          <cell r="D1413" t="str">
            <v>Nhân viên Hợp đồng</v>
          </cell>
          <cell r="E1413" t="str">
            <v>Tổng công ty Công nghiệp Công nghệ cao Viettel</v>
          </cell>
          <cell r="F1413" t="str">
            <v>Trung tâm Mua sắm - TCT CNC</v>
          </cell>
          <cell r="G1413" t="str">
            <v>Phòng Hợp đồng</v>
          </cell>
        </row>
        <row r="1414">
          <cell r="B1414" t="str">
            <v>204894</v>
          </cell>
          <cell r="C1414" t="str">
            <v>Nguyễn Thị Ngọc Anh</v>
          </cell>
          <cell r="D1414" t="str">
            <v>Nhân viên Hợp đồng</v>
          </cell>
          <cell r="E1414" t="str">
            <v>Tổng công ty Công nghiệp Công nghệ cao Viettel</v>
          </cell>
          <cell r="F1414" t="str">
            <v>Trung tâm Mua sắm - TCT CNC</v>
          </cell>
          <cell r="G1414" t="str">
            <v>Phòng Hợp đồng</v>
          </cell>
        </row>
        <row r="1415">
          <cell r="B1415" t="str">
            <v>206029</v>
          </cell>
          <cell r="C1415" t="str">
            <v>Nguyễn Diệu Yến</v>
          </cell>
          <cell r="D1415" t="str">
            <v>Nhân viên Hợp đồng</v>
          </cell>
          <cell r="E1415" t="str">
            <v>Tổng công ty Công nghiệp Công nghệ cao Viettel</v>
          </cell>
          <cell r="F1415" t="str">
            <v>Trung tâm Mua sắm - TCT CNC</v>
          </cell>
          <cell r="G1415" t="str">
            <v>Phòng Hợp đồng</v>
          </cell>
        </row>
        <row r="1416">
          <cell r="B1416" t="str">
            <v>120475</v>
          </cell>
          <cell r="C1416" t="str">
            <v>Nguyễn Tiến Dũng</v>
          </cell>
          <cell r="D1416" t="str">
            <v>Nhân viên KCS</v>
          </cell>
          <cell r="E1416" t="str">
            <v>Tổng công ty Công nghiệp Công nghệ cao Viettel</v>
          </cell>
          <cell r="F1416" t="str">
            <v>Trung tâm Mua sắm - TCT CNC</v>
          </cell>
          <cell r="G1416" t="str">
            <v>Phòng KCS</v>
          </cell>
        </row>
        <row r="1417">
          <cell r="B1417" t="str">
            <v>018257</v>
          </cell>
          <cell r="C1417" t="str">
            <v>Nguyễn Thị Thu Hiền</v>
          </cell>
          <cell r="D1417" t="str">
            <v>Nhân viên Quản lý tài sản</v>
          </cell>
          <cell r="E1417" t="str">
            <v>Tổng công ty Công nghiệp Công nghệ cao Viettel</v>
          </cell>
          <cell r="F1417" t="str">
            <v>Trung tâm Mua sắm - TCT CNC</v>
          </cell>
          <cell r="G1417" t="str">
            <v>Phòng Đảm bảo hàng hóa</v>
          </cell>
        </row>
        <row r="1418">
          <cell r="B1418" t="str">
            <v>051593</v>
          </cell>
          <cell r="C1418" t="str">
            <v>Phan Thị Thanh Tâm</v>
          </cell>
          <cell r="D1418" t="str">
            <v>Nhân viên Quản lý tài sản</v>
          </cell>
          <cell r="E1418" t="str">
            <v>Tổng công ty Công nghiệp Công nghệ cao Viettel</v>
          </cell>
          <cell r="F1418" t="str">
            <v>Trung tâm Mua sắm - TCT CNC</v>
          </cell>
          <cell r="G1418" t="str">
            <v>Phòng Đảm bảo hàng hóa</v>
          </cell>
        </row>
        <row r="1419">
          <cell r="B1419" t="str">
            <v>056934</v>
          </cell>
          <cell r="C1419" t="str">
            <v>Lê Anh Quân</v>
          </cell>
          <cell r="D1419" t="str">
            <v>Nhân viên Quản lý tài sản</v>
          </cell>
          <cell r="E1419" t="str">
            <v>Tổng công ty Công nghiệp Công nghệ cao Viettel</v>
          </cell>
          <cell r="F1419" t="str">
            <v>Trung tâm Mua sắm - TCT CNC</v>
          </cell>
          <cell r="G1419" t="str">
            <v>Phòng Đảm bảo hàng hóa</v>
          </cell>
        </row>
        <row r="1420">
          <cell r="B1420" t="str">
            <v>075875</v>
          </cell>
          <cell r="C1420" t="str">
            <v>Nguyễn Minh Trí</v>
          </cell>
          <cell r="D1420" t="str">
            <v>Chuyên viên Quản lý tài sản</v>
          </cell>
          <cell r="E1420" t="str">
            <v>Tổng công ty Công nghiệp Công nghệ cao Viettel</v>
          </cell>
          <cell r="F1420" t="str">
            <v>Trung tâm Mua sắm - TCT CNC</v>
          </cell>
          <cell r="G1420" t="str">
            <v>Phòng Đảm bảo hàng hóa</v>
          </cell>
        </row>
        <row r="1421">
          <cell r="B1421" t="str">
            <v>087327</v>
          </cell>
          <cell r="C1421" t="str">
            <v>Nguyễn Thanh Tâm</v>
          </cell>
          <cell r="D1421" t="str">
            <v>Nhân viên Quản lý tài sản</v>
          </cell>
          <cell r="E1421" t="str">
            <v>Tổng công ty Công nghiệp Công nghệ cao Viettel</v>
          </cell>
          <cell r="F1421" t="str">
            <v>Trung tâm Mua sắm - TCT CNC</v>
          </cell>
          <cell r="G1421" t="str">
            <v>Phòng Đảm bảo hàng hóa</v>
          </cell>
        </row>
        <row r="1422">
          <cell r="B1422" t="str">
            <v>184815</v>
          </cell>
          <cell r="C1422" t="str">
            <v>Nguyễn Thanh Hải</v>
          </cell>
          <cell r="D1422" t="str">
            <v>Nhân viên Quản lý tài sản</v>
          </cell>
          <cell r="E1422" t="str">
            <v>Tổng công ty Công nghiệp Công nghệ cao Viettel</v>
          </cell>
          <cell r="F1422" t="str">
            <v>Trung tâm Mua sắm - TCT CNC</v>
          </cell>
          <cell r="G1422" t="str">
            <v>Phòng Đảm bảo hàng hóa</v>
          </cell>
        </row>
        <row r="1423">
          <cell r="B1423" t="str">
            <v>196201</v>
          </cell>
          <cell r="C1423" t="str">
            <v>Trần Mạnh Linh</v>
          </cell>
          <cell r="D1423" t="str">
            <v>Nhân viên Quản lý tài sản</v>
          </cell>
          <cell r="E1423" t="str">
            <v>Tổng công ty Công nghiệp Công nghệ cao Viettel</v>
          </cell>
          <cell r="F1423" t="str">
            <v>Trung tâm Mua sắm - TCT CNC</v>
          </cell>
          <cell r="G1423" t="str">
            <v>Phòng Đảm bảo hàng hóa</v>
          </cell>
        </row>
        <row r="1424">
          <cell r="B1424" t="str">
            <v>199225</v>
          </cell>
          <cell r="C1424" t="str">
            <v>Lương Tuấn Anh</v>
          </cell>
          <cell r="D1424" t="str">
            <v>Nhân viên Quản lý tài sản</v>
          </cell>
          <cell r="E1424" t="str">
            <v>Tổng công ty Công nghiệp Công nghệ cao Viettel</v>
          </cell>
          <cell r="F1424" t="str">
            <v>Trung tâm Mua sắm - TCT CNC</v>
          </cell>
          <cell r="G1424" t="str">
            <v>Phòng Đảm bảo hàng hóa</v>
          </cell>
        </row>
        <row r="1425">
          <cell r="B1425" t="str">
            <v>207851</v>
          </cell>
          <cell r="C1425" t="str">
            <v>Đặng Thị Huệ</v>
          </cell>
          <cell r="D1425" t="str">
            <v>Nhân viên Quản lý tài sản</v>
          </cell>
          <cell r="E1425" t="str">
            <v>Tổng công ty Công nghiệp Công nghệ cao Viettel</v>
          </cell>
          <cell r="F1425" t="str">
            <v>Trung tâm Mua sắm - TCT CNC</v>
          </cell>
          <cell r="G1425" t="str">
            <v>Phòng Đảm bảo hàng hóa</v>
          </cell>
        </row>
        <row r="1426">
          <cell r="B1426" t="str">
            <v>027117</v>
          </cell>
          <cell r="C1426" t="str">
            <v>Phạm Hà Chung</v>
          </cell>
          <cell r="D1426" t="str">
            <v>Nhân viên Đấu thầu</v>
          </cell>
          <cell r="E1426" t="str">
            <v>Tổng công ty Công nghiệp Công nghệ cao Viettel</v>
          </cell>
          <cell r="F1426" t="str">
            <v>Trung tâm Mua sắm - TCT CNC</v>
          </cell>
          <cell r="G1426" t="str">
            <v>Phòng Đầu tư</v>
          </cell>
        </row>
        <row r="1427">
          <cell r="B1427" t="str">
            <v>058224</v>
          </cell>
          <cell r="C1427" t="str">
            <v>Nguyễn Dương Duy</v>
          </cell>
          <cell r="D1427" t="str">
            <v>Chuyên viên Đấu thầu</v>
          </cell>
          <cell r="E1427" t="str">
            <v>Tổng công ty Công nghiệp Công nghệ cao Viettel</v>
          </cell>
          <cell r="F1427" t="str">
            <v>Trung tâm Mua sắm - TCT CNC</v>
          </cell>
          <cell r="G1427" t="str">
            <v>Phòng Đầu tư</v>
          </cell>
        </row>
        <row r="1428">
          <cell r="B1428" t="str">
            <v>123644</v>
          </cell>
          <cell r="C1428" t="str">
            <v>Hà Thị Thu Hằng</v>
          </cell>
          <cell r="D1428" t="str">
            <v>Nhân viên Đấu thầu</v>
          </cell>
          <cell r="E1428" t="str">
            <v>Tổng công ty Công nghiệp Công nghệ cao Viettel</v>
          </cell>
          <cell r="F1428" t="str">
            <v>Trung tâm Mua sắm - TCT CNC</v>
          </cell>
          <cell r="G1428" t="str">
            <v>Phòng Đầu tư</v>
          </cell>
        </row>
        <row r="1429">
          <cell r="B1429" t="str">
            <v>144793</v>
          </cell>
          <cell r="C1429" t="str">
            <v>Nguyễn Thị Thanh Hoa</v>
          </cell>
          <cell r="D1429" t="str">
            <v>Nhân viên Đấu thầu</v>
          </cell>
          <cell r="E1429" t="str">
            <v>Tổng công ty Công nghiệp Công nghệ cao Viettel</v>
          </cell>
          <cell r="F1429" t="str">
            <v>Trung tâm Mua sắm - TCT CNC</v>
          </cell>
          <cell r="G1429" t="str">
            <v>Phòng Đầu tư</v>
          </cell>
        </row>
        <row r="1430">
          <cell r="B1430" t="str">
            <v>171404</v>
          </cell>
          <cell r="C1430" t="str">
            <v>Bùi Thu Giang</v>
          </cell>
          <cell r="D1430" t="str">
            <v>Nhân viên Đấu thầu</v>
          </cell>
          <cell r="E1430" t="str">
            <v>Tổng công ty Công nghiệp Công nghệ cao Viettel</v>
          </cell>
          <cell r="F1430" t="str">
            <v>Trung tâm Mua sắm - TCT CNC</v>
          </cell>
          <cell r="G1430" t="str">
            <v>Phòng Đầu tư</v>
          </cell>
        </row>
        <row r="1431">
          <cell r="B1431" t="str">
            <v>190459</v>
          </cell>
          <cell r="C1431" t="str">
            <v>Nguyễn Thu Trang</v>
          </cell>
          <cell r="D1431" t="str">
            <v>Nhân viên Đấu thầu</v>
          </cell>
          <cell r="E1431" t="str">
            <v>Tổng công ty Công nghiệp Công nghệ cao Viettel</v>
          </cell>
          <cell r="F1431" t="str">
            <v>Trung tâm Mua sắm - TCT CNC</v>
          </cell>
          <cell r="G1431" t="str">
            <v>Phòng Đầu tư</v>
          </cell>
        </row>
        <row r="1432">
          <cell r="B1432" t="str">
            <v>198754</v>
          </cell>
          <cell r="C1432" t="str">
            <v>Võ Thị Kim Phụng</v>
          </cell>
          <cell r="D1432" t="str">
            <v>Nhân viên Đấu thầu</v>
          </cell>
          <cell r="E1432" t="str">
            <v>Tổng công ty Công nghiệp Công nghệ cao Viettel</v>
          </cell>
          <cell r="F1432" t="str">
            <v>Trung tâm Mua sắm - TCT CNC</v>
          </cell>
          <cell r="G1432" t="str">
            <v>Phòng Đầu tư</v>
          </cell>
        </row>
        <row r="1433">
          <cell r="B1433" t="str">
            <v>202114</v>
          </cell>
          <cell r="C1433" t="str">
            <v>Mai Văn Thức</v>
          </cell>
          <cell r="D1433" t="str">
            <v>Nhân viên Đấu thầu</v>
          </cell>
          <cell r="E1433" t="str">
            <v>Tổng công ty Công nghiệp Công nghệ cao Viettel</v>
          </cell>
          <cell r="F1433" t="str">
            <v>Trung tâm Mua sắm - TCT CNC</v>
          </cell>
          <cell r="G1433" t="str">
            <v>Phòng Đầu tư</v>
          </cell>
        </row>
        <row r="1434">
          <cell r="B1434" t="str">
            <v>206059</v>
          </cell>
          <cell r="C1434" t="str">
            <v>Nguyễn Thị Thanh Thúy</v>
          </cell>
          <cell r="D1434" t="str">
            <v>Nhân viên Đấu thầu</v>
          </cell>
          <cell r="E1434" t="str">
            <v>Tổng công ty Công nghiệp Công nghệ cao Viettel</v>
          </cell>
          <cell r="F1434" t="str">
            <v>Trung tâm Mua sắm - TCT CNC</v>
          </cell>
          <cell r="G1434" t="str">
            <v>Phòng Đầu tư</v>
          </cell>
        </row>
        <row r="1435">
          <cell r="B1435" t="str">
            <v>063773</v>
          </cell>
          <cell r="C1435" t="str">
            <v>Phạm Phương Chi</v>
          </cell>
          <cell r="D1435" t="str">
            <v>Phó Giám đốc</v>
          </cell>
          <cell r="E1435" t="str">
            <v>Tổng công ty Công nghiệp Công nghệ cao Viettel</v>
          </cell>
          <cell r="F1435" t="str">
            <v>Trung tâm Quản lý chất lượng - TCT CNC</v>
          </cell>
          <cell r="G1435" t="str">
            <v>Ban Giám đốc</v>
          </cell>
        </row>
        <row r="1436">
          <cell r="B1436" t="str">
            <v>123453</v>
          </cell>
          <cell r="C1436" t="str">
            <v>Tạ Hồng Cương</v>
          </cell>
          <cell r="D1436" t="str">
            <v>Giám đốc</v>
          </cell>
          <cell r="E1436" t="str">
            <v>Tổng công ty Công nghiệp Công nghệ cao Viettel</v>
          </cell>
          <cell r="F1436" t="str">
            <v>Trung tâm Quản lý chất lượng - TCT CNC</v>
          </cell>
          <cell r="G1436" t="str">
            <v>Ban Giám đốc</v>
          </cell>
        </row>
        <row r="1437">
          <cell r="B1437" t="str">
            <v>002127</v>
          </cell>
          <cell r="C1437" t="str">
            <v>Đỗ Thu Hằng</v>
          </cell>
          <cell r="D1437" t="str">
            <v>Nhân viên hỗ trợ nghiệp vụ</v>
          </cell>
          <cell r="E1437" t="str">
            <v>Tổng công ty Công nghiệp Công nghệ cao Viettel</v>
          </cell>
          <cell r="F1437" t="str">
            <v>Trung tâm Quản lý chất lượng - TCT CNC</v>
          </cell>
          <cell r="G1437" t="str">
            <v>Hệ thống Lab dùng chung</v>
          </cell>
        </row>
        <row r="1438">
          <cell r="B1438" t="str">
            <v>217178</v>
          </cell>
          <cell r="C1438" t="str">
            <v>Nguyễn Tiến Đạt</v>
          </cell>
          <cell r="D1438" t="str">
            <v>Kỹ sư Đo lường</v>
          </cell>
          <cell r="E1438" t="str">
            <v>Tổng công ty Công nghiệp Công nghệ cao Viettel</v>
          </cell>
          <cell r="F1438" t="str">
            <v>Trung tâm Quản lý chất lượng - TCT CNC</v>
          </cell>
          <cell r="G1438" t="str">
            <v>Hệ thống Lab dùng chung</v>
          </cell>
        </row>
        <row r="1439">
          <cell r="B1439" t="str">
            <v>084439</v>
          </cell>
          <cell r="C1439" t="str">
            <v>Phạm Hoài Nam</v>
          </cell>
          <cell r="D1439" t="str">
            <v>Kỹ sư Quản lý chất lượng</v>
          </cell>
          <cell r="E1439" t="str">
            <v>Tổng công ty Công nghiệp Công nghệ cao Viettel</v>
          </cell>
          <cell r="F1439" t="str">
            <v>Trung tâm Quản lý chất lượng - TCT CNC</v>
          </cell>
          <cell r="G1439" t="str">
            <v>Phòng Quản lý tiêu chuẩn và quy trình</v>
          </cell>
        </row>
        <row r="1440">
          <cell r="B1440" t="str">
            <v>186937</v>
          </cell>
          <cell r="C1440" t="str">
            <v>Nguyễn Thị Huyền Trang</v>
          </cell>
          <cell r="D1440" t="str">
            <v>Nhân viên quản lý chất lượng</v>
          </cell>
          <cell r="E1440" t="str">
            <v>Tổng công ty Công nghiệp Công nghệ cao Viettel</v>
          </cell>
          <cell r="F1440" t="str">
            <v>Trung tâm Quản lý chất lượng - TCT CNC</v>
          </cell>
          <cell r="G1440" t="str">
            <v>Phòng Quản lý tiêu chuẩn và quy trình</v>
          </cell>
        </row>
        <row r="1441">
          <cell r="B1441" t="str">
            <v>200121</v>
          </cell>
          <cell r="C1441" t="str">
            <v>Nguyễn Phương Nam</v>
          </cell>
          <cell r="D1441" t="str">
            <v>Nhân viên quản lý chất lượng</v>
          </cell>
          <cell r="E1441" t="str">
            <v>Tổng công ty Công nghiệp Công nghệ cao Viettel</v>
          </cell>
          <cell r="F1441" t="str">
            <v>Trung tâm Quản lý chất lượng - TCT CNC</v>
          </cell>
          <cell r="G1441" t="str">
            <v>Phòng Quản lý tiêu chuẩn và quy trình</v>
          </cell>
        </row>
        <row r="1442">
          <cell r="B1442" t="str">
            <v>207340</v>
          </cell>
          <cell r="C1442" t="str">
            <v>Trần Tiến Nam</v>
          </cell>
          <cell r="D1442" t="str">
            <v>Nhân viên quản lý chất lượng</v>
          </cell>
          <cell r="E1442" t="str">
            <v>Tổng công ty Công nghiệp Công nghệ cao Viettel</v>
          </cell>
          <cell r="F1442" t="str">
            <v>Trung tâm Quản lý chất lượng - TCT CNC</v>
          </cell>
          <cell r="G1442" t="str">
            <v>Phòng Quản lý tiêu chuẩn và quy trình</v>
          </cell>
        </row>
        <row r="1443">
          <cell r="B1443" t="str">
            <v>220449</v>
          </cell>
          <cell r="C1443" t="str">
            <v>Nguyễn Đức Anh</v>
          </cell>
          <cell r="D1443" t="str">
            <v>Chuyên viên Quản lý chất lượng</v>
          </cell>
          <cell r="E1443" t="str">
            <v>Tổng công ty Công nghiệp Công nghệ cao Viettel</v>
          </cell>
          <cell r="F1443" t="str">
            <v>Trung tâm Quản lý chất lượng - TCT CNC</v>
          </cell>
          <cell r="G1443" t="str">
            <v>Phòng Quản lý tiêu chuẩn và quy trình</v>
          </cell>
        </row>
        <row r="1444">
          <cell r="B1444" t="str">
            <v>015413</v>
          </cell>
          <cell r="C1444" t="str">
            <v>Tạ Diệu Thúy</v>
          </cell>
          <cell r="D1444" t="str">
            <v>Kỹ sư Đảm bảo chất lượng</v>
          </cell>
          <cell r="E1444" t="str">
            <v>Tổng công ty Công nghiệp Công nghệ cao Viettel</v>
          </cell>
          <cell r="F1444" t="str">
            <v>Trung tâm Quản lý chất lượng - TCT CNC</v>
          </cell>
          <cell r="G1444" t="str">
            <v>Phòng Đảm bảo chất lượng</v>
          </cell>
        </row>
        <row r="1445">
          <cell r="B1445" t="str">
            <v>123159</v>
          </cell>
          <cell r="C1445" t="str">
            <v>Nguyễn Vũ Huấn</v>
          </cell>
          <cell r="D1445" t="str">
            <v>Kỹ sư Đảm bảo chất lượng</v>
          </cell>
          <cell r="E1445" t="str">
            <v>Tổng công ty Công nghiệp Công nghệ cao Viettel</v>
          </cell>
          <cell r="F1445" t="str">
            <v>Trung tâm Quản lý chất lượng - TCT CNC</v>
          </cell>
          <cell r="G1445" t="str">
            <v>Phòng Đảm bảo chất lượng</v>
          </cell>
        </row>
        <row r="1446">
          <cell r="B1446" t="str">
            <v>176180</v>
          </cell>
          <cell r="C1446" t="str">
            <v>Lê Xuân Tùng</v>
          </cell>
          <cell r="D1446" t="str">
            <v>Kỹ sư Đảm bảo chất lượng</v>
          </cell>
          <cell r="E1446" t="str">
            <v>Tổng công ty Công nghiệp Công nghệ cao Viettel</v>
          </cell>
          <cell r="F1446" t="str">
            <v>Trung tâm Quản lý chất lượng - TCT CNC</v>
          </cell>
          <cell r="G1446" t="str">
            <v>Phòng Đảm bảo chất lượng</v>
          </cell>
        </row>
        <row r="1447">
          <cell r="B1447" t="str">
            <v>250392</v>
          </cell>
          <cell r="C1447" t="str">
            <v>Nguyễn Duy Quang</v>
          </cell>
          <cell r="D1447" t="str">
            <v>Kỹ sư Đảm bảo chất lượng</v>
          </cell>
          <cell r="E1447" t="str">
            <v>Tổng công ty Công nghiệp Công nghệ cao Viettel</v>
          </cell>
          <cell r="F1447" t="str">
            <v>Trung tâm Quản lý chất lượng - TCT CNC</v>
          </cell>
          <cell r="G1447" t="str">
            <v>Phòng Đảm bảo chất lượng</v>
          </cell>
        </row>
        <row r="2902">
          <cell r="B2902" t="e">
            <v>#N/A</v>
          </cell>
          <cell r="C2902" t="e">
            <v>#N/A</v>
          </cell>
          <cell r="D2902" t="e">
            <v>#N/A</v>
          </cell>
          <cell r="E2902" t="e">
            <v>#N/A</v>
          </cell>
          <cell r="F2902" t="e">
            <v>#N/A</v>
          </cell>
          <cell r="G2902" t="e">
            <v>#N/A</v>
          </cell>
        </row>
      </sheetData>
      <sheetData sheetId="21"/>
      <sheetData sheetId="22" refreshError="1"/>
      <sheetData sheetId="23" refreshError="1"/>
      <sheetData sheetId="24" refreshError="1"/>
      <sheetData sheetId="25" refreshError="1"/>
      <sheetData sheetId="26">
        <row r="1">
          <cell r="F1" t="str">
            <v>Mã nhân viên</v>
          </cell>
        </row>
      </sheetData>
      <sheetData sheetId="27" refreshError="1"/>
      <sheetData sheetId="28" refreshError="1"/>
      <sheetData sheetId="29"/>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row r="18">
          <cell r="C18" t="str">
            <v>001986</v>
          </cell>
          <cell r="D18" t="str">
            <v>Nguyễn Đình Chiến</v>
          </cell>
          <cell r="E18" t="str">
            <v>Khối cơ quan - Viện NCPT</v>
          </cell>
          <cell r="F18" t="str">
            <v>Ban Giám đốc</v>
          </cell>
          <cell r="G18" t="str">
            <v>Thủ trưởng đơn vị</v>
          </cell>
          <cell r="H18" t="str">
            <v>Đại tá</v>
          </cell>
          <cell r="I18" t="str">
            <v>Cán bộ quản lý</v>
          </cell>
          <cell r="J18" t="str">
            <v>Viện Trưởng</v>
          </cell>
        </row>
        <row r="19">
          <cell r="C19" t="str">
            <v>003971</v>
          </cell>
          <cell r="D19" t="str">
            <v>Vũ Tuấn Anh</v>
          </cell>
          <cell r="E19" t="str">
            <v>Khối cơ quan - Viện NCPT</v>
          </cell>
          <cell r="F19" t="str">
            <v>Ban Giám đốc</v>
          </cell>
          <cell r="G19" t="str">
            <v>Thủ trưởng đơn vị</v>
          </cell>
          <cell r="H19" t="str">
            <v>Đại úy CN</v>
          </cell>
          <cell r="I19" t="str">
            <v>Cán bộ quản lý</v>
          </cell>
          <cell r="J19" t="str">
            <v>Phó Viện trưởng</v>
          </cell>
        </row>
        <row r="20">
          <cell r="C20" t="str">
            <v>063766</v>
          </cell>
          <cell r="D20" t="str">
            <v>Nguyễn Vũ Hà</v>
          </cell>
          <cell r="E20" t="str">
            <v>Khối cơ quan - Viện NCPT</v>
          </cell>
          <cell r="F20" t="str">
            <v>Ban Giám đốc</v>
          </cell>
          <cell r="G20" t="str">
            <v>Thủ trưởng đơn vị</v>
          </cell>
          <cell r="H20" t="str">
            <v>Thiếu tá</v>
          </cell>
          <cell r="I20" t="str">
            <v>Cán bộ quản lý</v>
          </cell>
          <cell r="J20" t="str">
            <v>Phó Viện trưởng</v>
          </cell>
        </row>
        <row r="21">
          <cell r="C21" t="str">
            <v>086357</v>
          </cell>
          <cell r="D21" t="str">
            <v>Bùi Hồng Thái</v>
          </cell>
          <cell r="E21" t="str">
            <v>Khối cơ quan - Viện NCPT</v>
          </cell>
          <cell r="F21" t="str">
            <v>Ban Giám đốc</v>
          </cell>
          <cell r="G21" t="str">
            <v>Thủ trưởng đơn vị</v>
          </cell>
          <cell r="H21" t="str">
            <v>Đại tá NLL1</v>
          </cell>
          <cell r="I21" t="str">
            <v>Cán bộ quản lý</v>
          </cell>
          <cell r="J21" t="str">
            <v>Phó Viện trưởng</v>
          </cell>
        </row>
        <row r="22">
          <cell r="D22" t="str">
            <v>Phòng Tổ chức lao động</v>
          </cell>
        </row>
        <row r="23">
          <cell r="D23" t="str">
            <v>Phụ trách phòng</v>
          </cell>
        </row>
        <row r="24">
          <cell r="C24" t="str">
            <v>058985</v>
          </cell>
          <cell r="D24" t="str">
            <v>Lê Triều Dương</v>
          </cell>
          <cell r="E24" t="str">
            <v>Khối cơ quan - Viện NCPT</v>
          </cell>
          <cell r="F24" t="str">
            <v>Phòng Tổ chức lao động</v>
          </cell>
          <cell r="G24" t="str">
            <v>Phụ trách phòng</v>
          </cell>
          <cell r="H24" t="str">
            <v>Thiếu tá</v>
          </cell>
          <cell r="I24" t="str">
            <v>Cán bộ quản lý</v>
          </cell>
          <cell r="J24" t="str">
            <v>Trưởng phòng</v>
          </cell>
        </row>
        <row r="25">
          <cell r="C25" t="str">
            <v>087345</v>
          </cell>
          <cell r="D25" t="str">
            <v>Nguyễn Thị Thúy Điệp</v>
          </cell>
          <cell r="E25" t="str">
            <v>Khối cơ quan - Viện NCPT</v>
          </cell>
          <cell r="F25" t="str">
            <v>Phòng Tổ chức lao động</v>
          </cell>
          <cell r="G25" t="str">
            <v>Phụ trách phòng</v>
          </cell>
          <cell r="H25" t="str">
            <v>Hợp đồng lao động</v>
          </cell>
          <cell r="I25" t="str">
            <v>Quân lực quản lý</v>
          </cell>
          <cell r="J25" t="str">
            <v>Phó trưởng phòng</v>
          </cell>
        </row>
        <row r="26">
          <cell r="D26" t="str">
            <v>Ban Tiền lương - Chính sách</v>
          </cell>
        </row>
        <row r="27">
          <cell r="C27" t="str">
            <v>101396</v>
          </cell>
          <cell r="D27" t="str">
            <v>Hoàng Thị Việt Hà</v>
          </cell>
          <cell r="E27" t="str">
            <v>Khối cơ quan - Viện NCPT</v>
          </cell>
          <cell r="F27" t="str">
            <v>Phòng Tổ chức lao động</v>
          </cell>
          <cell r="G27" t="str">
            <v>Ban Tiền lương - Chính sách</v>
          </cell>
          <cell r="H27" t="str">
            <v>Hợp đồng lao động</v>
          </cell>
          <cell r="I27" t="str">
            <v>Quân lực quản lý</v>
          </cell>
          <cell r="J27" t="str">
            <v>Nhân viên Tiền lương</v>
          </cell>
        </row>
        <row r="28">
          <cell r="C28" t="str">
            <v>120521</v>
          </cell>
          <cell r="D28" t="str">
            <v>Lưu Thu Phương</v>
          </cell>
          <cell r="E28" t="str">
            <v>Khối cơ quan - Viện NCPT</v>
          </cell>
          <cell r="F28" t="str">
            <v>Phòng Tổ chức lao động</v>
          </cell>
          <cell r="G28" t="str">
            <v>Ban Tiền lương - Chính sách</v>
          </cell>
          <cell r="H28" t="str">
            <v>CNVQP</v>
          </cell>
          <cell r="I28" t="str">
            <v>Quân lực quản lý</v>
          </cell>
          <cell r="J28" t="str">
            <v>Nhân viên Chính sách</v>
          </cell>
        </row>
        <row r="29">
          <cell r="D29" t="str">
            <v>Ban Tổ chức biên chế</v>
          </cell>
        </row>
        <row r="30">
          <cell r="C30" t="str">
            <v>106797</v>
          </cell>
          <cell r="D30" t="str">
            <v>Hồ Thủy Linh</v>
          </cell>
          <cell r="E30" t="str">
            <v>Khối cơ quan - Viện NCPT</v>
          </cell>
          <cell r="F30" t="str">
            <v>Phòng Tổ chức lao động</v>
          </cell>
          <cell r="G30" t="str">
            <v>Ban Tổ chức biên chế</v>
          </cell>
          <cell r="H30" t="str">
            <v>Hợp đồng lao động</v>
          </cell>
          <cell r="I30" t="str">
            <v>Quân lực quản lý</v>
          </cell>
          <cell r="J30" t="str">
            <v>Nhân viên  Tuyển dụng</v>
          </cell>
        </row>
        <row r="31">
          <cell r="C31" t="str">
            <v>176115</v>
          </cell>
          <cell r="D31" t="str">
            <v>Trần Trà Linh</v>
          </cell>
          <cell r="E31" t="str">
            <v>Khối cơ quan - Viện NCPT</v>
          </cell>
          <cell r="F31" t="str">
            <v>Phòng Tổ chức lao động</v>
          </cell>
          <cell r="G31" t="str">
            <v>Ban Tổ chức biên chế</v>
          </cell>
          <cell r="H31" t="str">
            <v>Hợp đồng lao động</v>
          </cell>
          <cell r="I31" t="str">
            <v>Quân lực quản lý</v>
          </cell>
          <cell r="J31" t="str">
            <v>Nhân viên  Tuyển dụng</v>
          </cell>
        </row>
        <row r="32">
          <cell r="D32" t="str">
            <v>Ban Đào tạo_Quân số</v>
          </cell>
        </row>
        <row r="33">
          <cell r="C33" t="str">
            <v>091256</v>
          </cell>
          <cell r="D33" t="str">
            <v>Nguyễn Thị Duyên</v>
          </cell>
          <cell r="E33" t="str">
            <v>Khối cơ quan - Viện NCPT</v>
          </cell>
          <cell r="F33" t="str">
            <v>Phòng Tổ chức lao động</v>
          </cell>
          <cell r="G33" t="str">
            <v>Ban Đào tạo_Quân số</v>
          </cell>
          <cell r="H33" t="str">
            <v>Thượng úy</v>
          </cell>
          <cell r="I33" t="str">
            <v>Cán bộ quản lý</v>
          </cell>
          <cell r="J33" t="str">
            <v>Trưởng ban</v>
          </cell>
        </row>
        <row r="34">
          <cell r="C34" t="str">
            <v>087116</v>
          </cell>
          <cell r="D34" t="str">
            <v>Vũ Đức Giang</v>
          </cell>
          <cell r="E34" t="str">
            <v>Khối cơ quan - Viện NCPT</v>
          </cell>
          <cell r="F34" t="str">
            <v>Phòng Tổ chức lao động</v>
          </cell>
          <cell r="G34" t="str">
            <v>Ban Đào tạo_Quân số</v>
          </cell>
          <cell r="H34" t="str">
            <v>Hợp đồng lao động</v>
          </cell>
          <cell r="I34" t="str">
            <v>Quân lực quản lý</v>
          </cell>
          <cell r="J34" t="str">
            <v>Nhân viên  Quân số</v>
          </cell>
        </row>
        <row r="35">
          <cell r="D35" t="str">
            <v>Phòng Chính trị</v>
          </cell>
        </row>
        <row r="36">
          <cell r="D36" t="str">
            <v>Phụ trách phòng</v>
          </cell>
        </row>
        <row r="37">
          <cell r="C37" t="str">
            <v>090016</v>
          </cell>
          <cell r="D37" t="str">
            <v>Dương Đình Hải</v>
          </cell>
          <cell r="E37" t="str">
            <v>Khối cơ quan - Viện NCPT</v>
          </cell>
          <cell r="F37" t="str">
            <v>Phòng Chính trị</v>
          </cell>
          <cell r="G37" t="str">
            <v>Phụ trách phòng</v>
          </cell>
          <cell r="H37" t="str">
            <v>Thiếu tá</v>
          </cell>
          <cell r="I37" t="str">
            <v>Cán bộ quản lý</v>
          </cell>
          <cell r="J37" t="str">
            <v>Trưởng phòng</v>
          </cell>
        </row>
        <row r="38">
          <cell r="D38" t="str">
            <v>Trợ lý nghiệp vụ</v>
          </cell>
        </row>
        <row r="39">
          <cell r="C39" t="str">
            <v>086369</v>
          </cell>
          <cell r="D39" t="str">
            <v>Đặng Thị Mai Hương</v>
          </cell>
          <cell r="E39" t="str">
            <v>Khối cơ quan - Viện NCPT</v>
          </cell>
          <cell r="F39" t="str">
            <v>Phòng Chính trị</v>
          </cell>
          <cell r="G39" t="str">
            <v>Trợ lý nghiệp vụ</v>
          </cell>
          <cell r="H39" t="str">
            <v>Đại úy CN</v>
          </cell>
          <cell r="I39" t="str">
            <v>Quân lực quản lý</v>
          </cell>
          <cell r="J39" t="str">
            <v>Trợ lý tổ chức cán bộ</v>
          </cell>
        </row>
        <row r="40">
          <cell r="C40" t="str">
            <v>087327</v>
          </cell>
          <cell r="D40" t="str">
            <v>Nguyễn Thanh Tâm</v>
          </cell>
          <cell r="E40" t="str">
            <v>Khối cơ quan - Viện NCPT</v>
          </cell>
          <cell r="F40" t="str">
            <v>Phòng Chính trị</v>
          </cell>
          <cell r="G40" t="str">
            <v>Trợ lý nghiệp vụ</v>
          </cell>
          <cell r="H40" t="str">
            <v>Hợp đồng lao động</v>
          </cell>
          <cell r="I40" t="str">
            <v>Quân lực quản lý</v>
          </cell>
          <cell r="J40" t="str">
            <v>Trợ lý bảo vệ an ninh</v>
          </cell>
        </row>
        <row r="41">
          <cell r="C41" t="str">
            <v>099456</v>
          </cell>
          <cell r="D41" t="str">
            <v>Phan Thanh Long</v>
          </cell>
          <cell r="E41" t="str">
            <v>Khối cơ quan - Viện NCPT</v>
          </cell>
          <cell r="F41" t="str">
            <v>Phòng Chính trị</v>
          </cell>
          <cell r="G41" t="str">
            <v>Trợ lý nghiệp vụ</v>
          </cell>
          <cell r="H41" t="str">
            <v>Trung tá</v>
          </cell>
          <cell r="I41" t="str">
            <v>Cán bộ quản lý</v>
          </cell>
          <cell r="J41" t="str">
            <v>Trợ lý bảo vệ an ninh</v>
          </cell>
        </row>
        <row r="42">
          <cell r="C42" t="str">
            <v>102997</v>
          </cell>
          <cell r="D42" t="str">
            <v>Nguyễn Hồng Phúc</v>
          </cell>
          <cell r="E42" t="str">
            <v>Khối cơ quan - Viện NCPT</v>
          </cell>
          <cell r="F42" t="str">
            <v>Phòng Chính trị</v>
          </cell>
          <cell r="G42" t="str">
            <v>Trợ lý nghiệp vụ</v>
          </cell>
          <cell r="H42" t="str">
            <v>Hợp đồng lao động</v>
          </cell>
          <cell r="I42" t="str">
            <v>Quân lực quản lý</v>
          </cell>
          <cell r="J42" t="str">
            <v>Trợ lý Tuyên huấn</v>
          </cell>
        </row>
        <row r="43">
          <cell r="D43" t="str">
            <v xml:space="preserve">Phòng Tài chính </v>
          </cell>
        </row>
        <row r="44">
          <cell r="D44" t="str">
            <v>Phụ trách phòng</v>
          </cell>
        </row>
        <row r="45">
          <cell r="C45" t="str">
            <v>056683</v>
          </cell>
          <cell r="D45" t="str">
            <v>Nguyễn Thị Phương Thảo</v>
          </cell>
          <cell r="E45" t="str">
            <v>Khối cơ quan - Viện NCPT</v>
          </cell>
          <cell r="F45" t="str">
            <v xml:space="preserve">Phòng Tài chính </v>
          </cell>
          <cell r="G45" t="str">
            <v>Phụ trách phòng</v>
          </cell>
          <cell r="H45" t="str">
            <v>Thiếu tá CN</v>
          </cell>
          <cell r="I45" t="str">
            <v>Quân lực quản lý</v>
          </cell>
          <cell r="J45" t="str">
            <v>Trưởng phòng</v>
          </cell>
        </row>
        <row r="46">
          <cell r="C46" t="str">
            <v>013652</v>
          </cell>
          <cell r="D46" t="str">
            <v>Đinh Thị Quỳnh Hoa</v>
          </cell>
          <cell r="E46" t="str">
            <v>Khối cơ quan - Viện NCPT</v>
          </cell>
          <cell r="F46" t="str">
            <v xml:space="preserve">Phòng Tài chính </v>
          </cell>
          <cell r="G46" t="str">
            <v>Phụ trách phòng</v>
          </cell>
          <cell r="H46" t="str">
            <v>CNVQP</v>
          </cell>
          <cell r="I46" t="str">
            <v>Quân lực quản lý</v>
          </cell>
          <cell r="J46" t="str">
            <v>Phó trưởng phòng</v>
          </cell>
        </row>
        <row r="47">
          <cell r="D47" t="str">
            <v>Ban Tổng hợp</v>
          </cell>
        </row>
        <row r="48">
          <cell r="C48" t="str">
            <v>017247</v>
          </cell>
          <cell r="D48" t="str">
            <v>Cao Thị Lệ Thúy</v>
          </cell>
          <cell r="E48" t="str">
            <v>Khối cơ quan - Viện NCPT</v>
          </cell>
          <cell r="F48" t="str">
            <v xml:space="preserve">Phòng Tài chính </v>
          </cell>
          <cell r="G48" t="str">
            <v>Ban Tổng hợp</v>
          </cell>
          <cell r="H48" t="str">
            <v>Hợp đồng lao động</v>
          </cell>
          <cell r="I48" t="str">
            <v>Quân lực quản lý</v>
          </cell>
          <cell r="J48" t="str">
            <v>Kế toán tổng hợp</v>
          </cell>
        </row>
        <row r="49">
          <cell r="C49" t="str">
            <v>066587</v>
          </cell>
          <cell r="D49" t="str">
            <v>Nguyễn Thị Thu Dung</v>
          </cell>
          <cell r="E49" t="str">
            <v>Khối cơ quan - Viện NCPT</v>
          </cell>
          <cell r="F49" t="str">
            <v xml:space="preserve">Phòng Tài chính </v>
          </cell>
          <cell r="G49" t="str">
            <v>Ban Tổng hợp</v>
          </cell>
          <cell r="H49" t="str">
            <v>CNVQP</v>
          </cell>
          <cell r="I49" t="str">
            <v>Quân lực quản lý</v>
          </cell>
          <cell r="J49" t="str">
            <v>Kế toán tổng hợp</v>
          </cell>
        </row>
        <row r="50">
          <cell r="C50" t="str">
            <v>077845</v>
          </cell>
          <cell r="D50" t="str">
            <v>Vũ Thị Ánh Liên</v>
          </cell>
          <cell r="E50" t="str">
            <v>Khối cơ quan - Viện NCPT</v>
          </cell>
          <cell r="F50" t="str">
            <v xml:space="preserve">Phòng Tài chính </v>
          </cell>
          <cell r="G50" t="str">
            <v>Ban Tổng hợp</v>
          </cell>
          <cell r="H50" t="str">
            <v>Hợp đồng lao động</v>
          </cell>
          <cell r="I50" t="str">
            <v>Quân lực quản lý</v>
          </cell>
          <cell r="J50" t="str">
            <v>Kế toán tổng hợp</v>
          </cell>
        </row>
        <row r="51">
          <cell r="C51" t="str">
            <v>130168</v>
          </cell>
          <cell r="D51" t="str">
            <v>Lê Thị Thùy Linh</v>
          </cell>
          <cell r="E51" t="str">
            <v>Khối cơ quan - Viện NCPT</v>
          </cell>
          <cell r="F51" t="str">
            <v xml:space="preserve">Phòng Tài chính </v>
          </cell>
          <cell r="G51" t="str">
            <v>Ban Tổng hợp</v>
          </cell>
          <cell r="H51" t="str">
            <v>Hợp đồng lao động</v>
          </cell>
          <cell r="I51" t="str">
            <v>Quân lực quản lý</v>
          </cell>
          <cell r="J51" t="str">
            <v>Kế toán tổng hợp</v>
          </cell>
        </row>
        <row r="52">
          <cell r="D52" t="str">
            <v>Ban doanh thu, chi phí SXKD</v>
          </cell>
        </row>
        <row r="53">
          <cell r="C53" t="str">
            <v>005583</v>
          </cell>
          <cell r="D53" t="str">
            <v>Trần Công Minh</v>
          </cell>
          <cell r="E53" t="str">
            <v>Khối cơ quan - Viện NCPT</v>
          </cell>
          <cell r="F53" t="str">
            <v xml:space="preserve">Phòng Tài chính </v>
          </cell>
          <cell r="G53" t="str">
            <v>Ban doanh thu, chi phí SXKD</v>
          </cell>
          <cell r="H53" t="str">
            <v>CNVQP</v>
          </cell>
          <cell r="I53" t="str">
            <v>Quân lực quản lý</v>
          </cell>
          <cell r="J53" t="str">
            <v>Trưởng ban</v>
          </cell>
        </row>
        <row r="54">
          <cell r="D54" t="str">
            <v>Ban thanh toán quỹ KHCN, tiền lương, thuế</v>
          </cell>
        </row>
        <row r="55">
          <cell r="C55" t="str">
            <v>087226</v>
          </cell>
          <cell r="D55" t="str">
            <v>Cao Thanh Hoa</v>
          </cell>
          <cell r="E55" t="str">
            <v>Khối cơ quan - Viện NCPT</v>
          </cell>
          <cell r="F55" t="str">
            <v xml:space="preserve">Phòng Tài chính </v>
          </cell>
          <cell r="G55" t="str">
            <v>Ban thanh toán quỹ KHCN, tiền lương, thuế</v>
          </cell>
          <cell r="H55" t="str">
            <v>Hợp đồng lao động</v>
          </cell>
          <cell r="I55" t="str">
            <v>Quân lực quản lý</v>
          </cell>
          <cell r="J55" t="str">
            <v>Trưởng ban</v>
          </cell>
        </row>
        <row r="56">
          <cell r="D56" t="str">
            <v>Phòng Khoa học công nghệ</v>
          </cell>
        </row>
        <row r="57">
          <cell r="D57" t="str">
            <v>Phụ trách phòng</v>
          </cell>
        </row>
        <row r="58">
          <cell r="C58" t="str">
            <v>004011</v>
          </cell>
          <cell r="D58" t="str">
            <v>Phan Thanh Trung</v>
          </cell>
          <cell r="E58" t="str">
            <v>Khối cơ quan - Viện NCPT</v>
          </cell>
          <cell r="F58" t="str">
            <v>Phòng Khoa học công nghệ</v>
          </cell>
          <cell r="G58" t="str">
            <v>Phụ trách phòng</v>
          </cell>
          <cell r="H58" t="str">
            <v>Đại úy CN</v>
          </cell>
          <cell r="I58" t="str">
            <v>Quân lực quản lý</v>
          </cell>
          <cell r="J58" t="str">
            <v>Trưởng phòng</v>
          </cell>
        </row>
        <row r="59">
          <cell r="C59" t="str">
            <v>004010</v>
          </cell>
          <cell r="D59" t="str">
            <v>Nguyễn Ngọc Quang</v>
          </cell>
          <cell r="E59" t="str">
            <v>Khối cơ quan - Viện NCPT</v>
          </cell>
          <cell r="F59" t="str">
            <v>Phòng Khoa học công nghệ</v>
          </cell>
          <cell r="G59" t="str">
            <v>Phụ trách phòng</v>
          </cell>
          <cell r="H59" t="str">
            <v>Hợp đồng lao động</v>
          </cell>
          <cell r="I59" t="str">
            <v>Quân lực quản lý</v>
          </cell>
          <cell r="J59" t="str">
            <v>Phó Trưởng phòng</v>
          </cell>
        </row>
        <row r="60">
          <cell r="D60" t="str">
            <v>Ban Kỹ thuật công nghệ</v>
          </cell>
        </row>
        <row r="61">
          <cell r="C61" t="str">
            <v>088318</v>
          </cell>
          <cell r="D61" t="str">
            <v>Lê Anh Dũng</v>
          </cell>
          <cell r="E61" t="str">
            <v>Khối cơ quan - Viện NCPT</v>
          </cell>
          <cell r="F61" t="str">
            <v>Phòng Khoa học công nghệ</v>
          </cell>
          <cell r="G61" t="str">
            <v>Ban Kỹ thuật công nghệ</v>
          </cell>
          <cell r="H61" t="str">
            <v>Thiếu tá CN</v>
          </cell>
          <cell r="I61" t="str">
            <v>Quân lực quản lý</v>
          </cell>
          <cell r="J61" t="str">
            <v>Trưởng ban</v>
          </cell>
        </row>
        <row r="62">
          <cell r="C62" t="str">
            <v>019690</v>
          </cell>
          <cell r="D62" t="str">
            <v>Kiều Ngọc Ánh</v>
          </cell>
          <cell r="E62" t="str">
            <v>Khối cơ quan - Viện NCPT</v>
          </cell>
          <cell r="F62" t="str">
            <v>Phòng Khoa học công nghệ</v>
          </cell>
          <cell r="G62" t="str">
            <v>Ban Kỹ thuật công nghệ</v>
          </cell>
          <cell r="H62" t="str">
            <v>Hợp đồng lao động</v>
          </cell>
          <cell r="I62" t="str">
            <v>Quân lực quản lý</v>
          </cell>
          <cell r="J62" t="str">
            <v>Chuyên viên kỹ thuật</v>
          </cell>
        </row>
        <row r="63">
          <cell r="C63" t="str">
            <v>122352</v>
          </cell>
          <cell r="D63" t="str">
            <v>Trần Anh Đức</v>
          </cell>
          <cell r="E63" t="str">
            <v>Khối cơ quan - Viện NCPT</v>
          </cell>
          <cell r="F63" t="str">
            <v>Phòng Khoa học công nghệ</v>
          </cell>
          <cell r="G63" t="str">
            <v>Ban Kỹ thuật công nghệ</v>
          </cell>
          <cell r="H63" t="str">
            <v>Hợp đồng lao động</v>
          </cell>
          <cell r="I63" t="str">
            <v>Quân lực quản lý</v>
          </cell>
          <cell r="J63" t="str">
            <v>Chuyên viên kỹ thuật</v>
          </cell>
        </row>
        <row r="64">
          <cell r="D64" t="str">
            <v>Ban Hợp tác Quốc tế và sở hữu trí tuệ</v>
          </cell>
        </row>
        <row r="65">
          <cell r="C65" t="str">
            <v>087320</v>
          </cell>
          <cell r="D65" t="str">
            <v>Trần Thị Thu Hà</v>
          </cell>
          <cell r="E65" t="str">
            <v>Khối cơ quan - Viện NCPT</v>
          </cell>
          <cell r="F65" t="str">
            <v>Phòng Khoa học công nghệ</v>
          </cell>
          <cell r="G65" t="str">
            <v>Ban Hợp tác Quốc tế và sở hữu trí tuệ</v>
          </cell>
          <cell r="H65" t="str">
            <v>Hợp đồng lao động</v>
          </cell>
          <cell r="I65" t="str">
            <v>Quân lực quản lý</v>
          </cell>
          <cell r="J65" t="str">
            <v>Nhân viên Hợp tác quốc tế và Sở hữu trí tuệ</v>
          </cell>
        </row>
        <row r="66">
          <cell r="D66" t="str">
            <v>Ban Tổng hợp, đóng đề tài</v>
          </cell>
        </row>
        <row r="67">
          <cell r="C67" t="str">
            <v>056957</v>
          </cell>
          <cell r="D67" t="str">
            <v>Hoàng Thị Kim Thoa</v>
          </cell>
          <cell r="E67" t="str">
            <v>Khối cơ quan - Viện NCPT</v>
          </cell>
          <cell r="F67" t="str">
            <v>Phòng Khoa học công nghệ</v>
          </cell>
          <cell r="G67" t="str">
            <v>Ban Tổng hợp, đóng đề tài</v>
          </cell>
          <cell r="H67" t="str">
            <v>Hợp đồng lao động</v>
          </cell>
          <cell r="I67" t="str">
            <v>Quân lực quản lý</v>
          </cell>
          <cell r="J67" t="str">
            <v>Chuyên viên hoàn thiện hồ sơ đóng đề tài</v>
          </cell>
        </row>
        <row r="68">
          <cell r="C68" t="str">
            <v>088317</v>
          </cell>
          <cell r="D68" t="str">
            <v>Dương Thị Anh Thư</v>
          </cell>
          <cell r="E68" t="str">
            <v>Khối cơ quan - Viện NCPT</v>
          </cell>
          <cell r="F68" t="str">
            <v>Phòng Khoa học công nghệ</v>
          </cell>
          <cell r="G68" t="str">
            <v>Ban Tổng hợp, đóng đề tài</v>
          </cell>
          <cell r="H68" t="str">
            <v>Hợp đồng lao động</v>
          </cell>
          <cell r="I68" t="str">
            <v>Quân lực quản lý</v>
          </cell>
          <cell r="J68" t="str">
            <v>Chuyên viên SKYT, quản lý hồ sơ</v>
          </cell>
        </row>
        <row r="69">
          <cell r="C69" t="str">
            <v>135908</v>
          </cell>
          <cell r="D69" t="str">
            <v>Nguyễn Việt Đức</v>
          </cell>
          <cell r="E69" t="str">
            <v>Khối cơ quan - Viện NCPT</v>
          </cell>
          <cell r="F69" t="str">
            <v>Phòng Khoa học công nghệ</v>
          </cell>
          <cell r="G69" t="str">
            <v>Ban Tổng hợp, đóng đề tài</v>
          </cell>
          <cell r="H69" t="str">
            <v>Hợp đồng lao động</v>
          </cell>
          <cell r="I69" t="str">
            <v>Quân lực quản lý</v>
          </cell>
          <cell r="J69" t="str">
            <v>Chuyên viên hoàn thiện hồ sơ đóng đề tài</v>
          </cell>
        </row>
        <row r="70">
          <cell r="D70" t="str">
            <v>Ban Quản lý đề tài</v>
          </cell>
        </row>
        <row r="71">
          <cell r="C71" t="str">
            <v>122633</v>
          </cell>
          <cell r="D71" t="str">
            <v>Nguyễn Hải Thanh</v>
          </cell>
          <cell r="E71" t="str">
            <v>Khối cơ quan - Viện NCPT</v>
          </cell>
          <cell r="F71" t="str">
            <v>Phòng Khoa học công nghệ</v>
          </cell>
          <cell r="G71" t="str">
            <v>Ban Quản lý đề tài</v>
          </cell>
          <cell r="H71" t="str">
            <v>Thiếu tá</v>
          </cell>
          <cell r="I71" t="str">
            <v>Cán bộ quản lý</v>
          </cell>
          <cell r="J71" t="str">
            <v>Trưởng ban</v>
          </cell>
        </row>
        <row r="72">
          <cell r="C72" t="str">
            <v>056955</v>
          </cell>
          <cell r="D72" t="str">
            <v>Lê Thị Hải Yến</v>
          </cell>
          <cell r="E72" t="str">
            <v>Khối cơ quan - Viện NCPT</v>
          </cell>
          <cell r="F72" t="str">
            <v>Phòng Khoa học công nghệ</v>
          </cell>
          <cell r="G72" t="str">
            <v>Ban Quản lý đề tài</v>
          </cell>
          <cell r="H72" t="str">
            <v>Hợp đồng lao động</v>
          </cell>
          <cell r="I72" t="str">
            <v>Quân lực quản lý</v>
          </cell>
          <cell r="J72" t="str">
            <v>Nhân viên Quản lý đề tài</v>
          </cell>
        </row>
        <row r="73">
          <cell r="D73" t="str">
            <v>Ban AT ANTT</v>
          </cell>
        </row>
        <row r="74">
          <cell r="C74" t="str">
            <v>011576</v>
          </cell>
          <cell r="D74" t="str">
            <v>Hoàng Anh Tuấn</v>
          </cell>
          <cell r="E74" t="str">
            <v>Khối cơ quan - Viện NCPT</v>
          </cell>
          <cell r="F74" t="str">
            <v>Phòng Khoa học công nghệ</v>
          </cell>
          <cell r="G74" t="str">
            <v>Ban AT ANTT</v>
          </cell>
          <cell r="H74" t="str">
            <v>Hợp đồng lao động</v>
          </cell>
          <cell r="I74" t="str">
            <v>Quân lực quản lý</v>
          </cell>
          <cell r="J74" t="str">
            <v>Nhân viên ANTT</v>
          </cell>
        </row>
        <row r="75">
          <cell r="D75" t="str">
            <v>Phòng Đầu tư</v>
          </cell>
        </row>
        <row r="76">
          <cell r="D76" t="str">
            <v>Phụ trách phòng</v>
          </cell>
        </row>
        <row r="77">
          <cell r="C77" t="str">
            <v>004040</v>
          </cell>
          <cell r="D77" t="str">
            <v>Vũ Thị Dương Hùng Hoàn</v>
          </cell>
          <cell r="E77" t="str">
            <v>Khối cơ quan - Viện NCPT</v>
          </cell>
          <cell r="F77" t="str">
            <v>Phòng Đầu tư</v>
          </cell>
          <cell r="G77" t="str">
            <v>Phụ trách phòng</v>
          </cell>
          <cell r="H77" t="str">
            <v>Đại úy CN</v>
          </cell>
          <cell r="I77" t="str">
            <v>Quân lực quản lý</v>
          </cell>
          <cell r="J77" t="str">
            <v>Trưởng phòng</v>
          </cell>
        </row>
        <row r="78">
          <cell r="D78" t="str">
            <v>Ban Thẩm định</v>
          </cell>
        </row>
        <row r="79">
          <cell r="C79" t="str">
            <v>045197</v>
          </cell>
          <cell r="D79" t="str">
            <v>Nguyễn Hồng Đa Linh</v>
          </cell>
          <cell r="E79" t="str">
            <v>Khối cơ quan - Viện NCPT</v>
          </cell>
          <cell r="F79" t="str">
            <v>Phòng Đầu tư</v>
          </cell>
          <cell r="G79" t="str">
            <v>Ban Thẩm định</v>
          </cell>
          <cell r="H79" t="str">
            <v>Hợp đồng lao động</v>
          </cell>
          <cell r="I79" t="str">
            <v>Quân lực quản lý</v>
          </cell>
          <cell r="J79" t="str">
            <v>Trưởng ban</v>
          </cell>
        </row>
        <row r="80">
          <cell r="C80" t="str">
            <v>014913</v>
          </cell>
          <cell r="D80" t="str">
            <v>Trần Thị Hồng Nhung</v>
          </cell>
          <cell r="E80" t="str">
            <v>Khối cơ quan - Viện NCPT</v>
          </cell>
          <cell r="F80" t="str">
            <v>Phòng Đầu tư</v>
          </cell>
          <cell r="G80" t="str">
            <v>Ban Thẩm định</v>
          </cell>
          <cell r="H80" t="str">
            <v>Đại úy CN</v>
          </cell>
          <cell r="I80" t="str">
            <v>Quân lực quản lý</v>
          </cell>
          <cell r="J80" t="str">
            <v>Nhân viên thẩm định</v>
          </cell>
        </row>
        <row r="81">
          <cell r="C81" t="str">
            <v>047483</v>
          </cell>
          <cell r="D81" t="str">
            <v>Võ Kim Chi</v>
          </cell>
          <cell r="E81" t="str">
            <v>Khối cơ quan - Viện NCPT</v>
          </cell>
          <cell r="F81" t="str">
            <v>Phòng Đầu tư</v>
          </cell>
          <cell r="G81" t="str">
            <v>Ban Thẩm định</v>
          </cell>
          <cell r="H81" t="str">
            <v>Hợp đồng lao động</v>
          </cell>
          <cell r="I81" t="str">
            <v>Quân lực quản lý</v>
          </cell>
          <cell r="J81" t="str">
            <v>Nhân viên thẩm định</v>
          </cell>
        </row>
        <row r="82">
          <cell r="C82" t="str">
            <v>123644</v>
          </cell>
          <cell r="D82" t="str">
            <v>Hà Thị Thu Hằng</v>
          </cell>
          <cell r="E82" t="str">
            <v>Khối cơ quan - Viện NCPT</v>
          </cell>
          <cell r="F82" t="str">
            <v>Phòng Đầu tư</v>
          </cell>
          <cell r="G82" t="str">
            <v>Ban Thẩm định</v>
          </cell>
          <cell r="H82" t="str">
            <v>Hợp đồng lao động</v>
          </cell>
          <cell r="I82" t="str">
            <v>Quân lực quản lý</v>
          </cell>
          <cell r="J82" t="str">
            <v>Nhân viên thẩm định</v>
          </cell>
        </row>
        <row r="83">
          <cell r="D83" t="str">
            <v>Ban Đấu thầu</v>
          </cell>
        </row>
        <row r="84">
          <cell r="C84" t="str">
            <v>130928</v>
          </cell>
          <cell r="D84" t="str">
            <v>Phùng Thành Nam</v>
          </cell>
          <cell r="E84" t="str">
            <v>Khối cơ quan - Viện NCPT</v>
          </cell>
          <cell r="F84" t="str">
            <v>Phòng Đầu tư</v>
          </cell>
          <cell r="G84" t="str">
            <v>Ban Đấu thầu</v>
          </cell>
          <cell r="H84" t="str">
            <v>Hợp đồng lao động</v>
          </cell>
          <cell r="I84" t="str">
            <v>Quân lực quản lý</v>
          </cell>
          <cell r="J84" t="str">
            <v>Nhân viên quản lý đấu thầu</v>
          </cell>
        </row>
        <row r="85">
          <cell r="D85" t="str">
            <v>Phòng Kế hoạch</v>
          </cell>
        </row>
        <row r="86">
          <cell r="D86" t="str">
            <v>Phụ trách phòng</v>
          </cell>
        </row>
        <row r="87">
          <cell r="C87" t="str">
            <v>004012</v>
          </cell>
          <cell r="D87" t="str">
            <v>Tống Thanh Sơn</v>
          </cell>
          <cell r="E87" t="str">
            <v>Khối cơ quan - Viện NCPT</v>
          </cell>
          <cell r="F87" t="str">
            <v>Phòng Kế hoạch</v>
          </cell>
          <cell r="G87" t="str">
            <v>Phụ trách phòng</v>
          </cell>
          <cell r="H87" t="str">
            <v>Đại úy CN</v>
          </cell>
          <cell r="I87" t="str">
            <v>Quân lực quản lý</v>
          </cell>
          <cell r="J87" t="str">
            <v>Trưởng phòng</v>
          </cell>
        </row>
        <row r="88">
          <cell r="C88" t="str">
            <v>119258</v>
          </cell>
          <cell r="D88" t="str">
            <v>Nguyễn Văn Nghĩa</v>
          </cell>
          <cell r="E88" t="str">
            <v>Khối cơ quan - Viện NCPT</v>
          </cell>
          <cell r="F88" t="str">
            <v>Phòng Kế hoạch</v>
          </cell>
          <cell r="G88" t="str">
            <v>Phụ trách phòng</v>
          </cell>
          <cell r="H88" t="str">
            <v>Thượng tá</v>
          </cell>
          <cell r="I88" t="str">
            <v>Cán bộ quản lý</v>
          </cell>
          <cell r="J88" t="str">
            <v>Phó Trưởng phòng</v>
          </cell>
        </row>
        <row r="89">
          <cell r="D89" t="str">
            <v>Ban Kế hoạch tổng hợp</v>
          </cell>
        </row>
        <row r="90">
          <cell r="C90" t="str">
            <v>094059</v>
          </cell>
          <cell r="D90" t="str">
            <v>Trịnh Minh Tuynh Tú</v>
          </cell>
          <cell r="E90" t="str">
            <v>Khối cơ quan - Viện NCPT</v>
          </cell>
          <cell r="F90" t="str">
            <v>Phòng Kế hoạch</v>
          </cell>
          <cell r="G90" t="str">
            <v>Ban Kế hoạch tổng hợp</v>
          </cell>
          <cell r="H90" t="str">
            <v>Hợp đồng lao động</v>
          </cell>
          <cell r="I90" t="str">
            <v>Quân lực quản lý</v>
          </cell>
          <cell r="J90" t="str">
            <v>Trưởng ban</v>
          </cell>
        </row>
        <row r="91">
          <cell r="C91" t="str">
            <v>008878</v>
          </cell>
          <cell r="D91" t="str">
            <v>Hoàng Phương Linh</v>
          </cell>
          <cell r="E91" t="str">
            <v>Khối cơ quan - Viện NCPT</v>
          </cell>
          <cell r="F91" t="str">
            <v>Phòng Kế hoạch</v>
          </cell>
          <cell r="G91" t="str">
            <v>Ban Kế hoạch tổng hợp</v>
          </cell>
          <cell r="H91" t="str">
            <v>Hợp đồng lao động</v>
          </cell>
          <cell r="I91" t="str">
            <v>Quân lực quản lý</v>
          </cell>
          <cell r="J91" t="str">
            <v>Nhân viên kế hoạch</v>
          </cell>
        </row>
        <row r="92">
          <cell r="C92" t="str">
            <v>121979</v>
          </cell>
          <cell r="D92" t="str">
            <v>Vũ Thị Quỳnh Thu</v>
          </cell>
          <cell r="E92" t="str">
            <v>Khối cơ quan - Viện NCPT</v>
          </cell>
          <cell r="F92" t="str">
            <v>Phòng Kế hoạch</v>
          </cell>
          <cell r="G92" t="str">
            <v>Ban Kế hoạch tổng hợp</v>
          </cell>
          <cell r="H92" t="str">
            <v>Hợp đồng lao động</v>
          </cell>
          <cell r="I92" t="str">
            <v>Quân lực quản lý</v>
          </cell>
          <cell r="J92" t="str">
            <v>Nhân viên kế hoạch</v>
          </cell>
        </row>
        <row r="93">
          <cell r="D93" t="str">
            <v>Ban Quản lý sản xuất</v>
          </cell>
        </row>
        <row r="94">
          <cell r="C94" t="str">
            <v>094057</v>
          </cell>
          <cell r="D94" t="str">
            <v>Bùi Quang Trung</v>
          </cell>
          <cell r="E94" t="str">
            <v>Khối cơ quan - Viện NCPT</v>
          </cell>
          <cell r="F94" t="str">
            <v>Phòng Kế hoạch</v>
          </cell>
          <cell r="G94" t="str">
            <v>Ban Quản lý sản xuất</v>
          </cell>
          <cell r="H94" t="str">
            <v>Hợp đồng lao động</v>
          </cell>
          <cell r="I94" t="str">
            <v>Quân lực quản lý</v>
          </cell>
          <cell r="J94" t="str">
            <v>Nhân viên Quản lý sản xuất</v>
          </cell>
        </row>
        <row r="95">
          <cell r="D95" t="str">
            <v>Ban Quản lý tài sản-Kho</v>
          </cell>
        </row>
        <row r="96">
          <cell r="C96" t="str">
            <v>060786</v>
          </cell>
          <cell r="D96" t="str">
            <v>Nguyễn Thị Đoan Trang</v>
          </cell>
          <cell r="E96" t="str">
            <v>Khối cơ quan - Viện NCPT</v>
          </cell>
          <cell r="F96" t="str">
            <v>Phòng Kế hoạch</v>
          </cell>
          <cell r="G96" t="str">
            <v>Ban Quản lý tài sản-Kho</v>
          </cell>
          <cell r="H96" t="str">
            <v>Hợp đồng lao động</v>
          </cell>
          <cell r="I96" t="str">
            <v>Quân lực quản lý</v>
          </cell>
          <cell r="J96" t="str">
            <v>Trưởng ban</v>
          </cell>
        </row>
        <row r="97">
          <cell r="C97" t="str">
            <v>108598</v>
          </cell>
          <cell r="D97" t="str">
            <v>Tống Thị Thùy Linh</v>
          </cell>
          <cell r="E97" t="str">
            <v>Khối cơ quan - Viện NCPT</v>
          </cell>
          <cell r="F97" t="str">
            <v>Phòng Kế hoạch</v>
          </cell>
          <cell r="G97" t="str">
            <v>Ban Quản lý tài sản-Kho</v>
          </cell>
          <cell r="H97" t="str">
            <v>Hợp đồng lao động</v>
          </cell>
          <cell r="I97" t="str">
            <v>Quân lực quản lý</v>
          </cell>
          <cell r="J97" t="str">
            <v>Nhân viên Quản lý tài sản</v>
          </cell>
        </row>
        <row r="98">
          <cell r="C98" t="str">
            <v>118760</v>
          </cell>
          <cell r="D98" t="str">
            <v>Nguyễn Thị Linh</v>
          </cell>
          <cell r="E98" t="str">
            <v>Khối cơ quan - Viện NCPT</v>
          </cell>
          <cell r="F98" t="str">
            <v>Phòng Kế hoạch</v>
          </cell>
          <cell r="G98" t="str">
            <v>Ban Quản lý tài sản-Kho</v>
          </cell>
          <cell r="H98" t="str">
            <v>Hợp đồng lao động</v>
          </cell>
          <cell r="I98" t="str">
            <v>Quân lực quản lý</v>
          </cell>
          <cell r="J98" t="str">
            <v>Nhân viên Quản lý tài sản</v>
          </cell>
        </row>
        <row r="99">
          <cell r="C99" t="str">
            <v>123200</v>
          </cell>
          <cell r="D99" t="str">
            <v>Phạm Thị Hải Hà</v>
          </cell>
          <cell r="E99" t="str">
            <v>Khối cơ quan - Viện NCPT</v>
          </cell>
          <cell r="F99" t="str">
            <v>Phòng Kế hoạch</v>
          </cell>
          <cell r="G99" t="str">
            <v>Ban Quản lý tài sản-Kho</v>
          </cell>
          <cell r="H99" t="str">
            <v>Hợp đồng lao động</v>
          </cell>
          <cell r="I99" t="str">
            <v>Quân lực quản lý</v>
          </cell>
          <cell r="J99" t="str">
            <v>Nhân viên Quản lý tài sản</v>
          </cell>
        </row>
        <row r="100">
          <cell r="D100" t="str">
            <v>Phòng Hành chính</v>
          </cell>
        </row>
        <row r="101">
          <cell r="D101" t="str">
            <v>Phụ trách phòng</v>
          </cell>
        </row>
        <row r="102">
          <cell r="C102" t="str">
            <v>003993</v>
          </cell>
          <cell r="D102" t="str">
            <v>Tăng Trường Sơn</v>
          </cell>
          <cell r="E102" t="str">
            <v>Khối cơ quan - Viện NCPT</v>
          </cell>
          <cell r="F102" t="str">
            <v>Phòng Hành chính</v>
          </cell>
          <cell r="G102" t="str">
            <v>Phụ trách phòng</v>
          </cell>
          <cell r="H102" t="str">
            <v>Đại úy</v>
          </cell>
          <cell r="I102" t="str">
            <v>Cán bộ quản lý</v>
          </cell>
          <cell r="J102" t="str">
            <v>Trưởng phòng</v>
          </cell>
        </row>
        <row r="103">
          <cell r="C103" t="str">
            <v>001618</v>
          </cell>
          <cell r="D103" t="str">
            <v>Nguyễn Thị Hiên</v>
          </cell>
          <cell r="E103" t="str">
            <v>Khối cơ quan - Viện NCPT</v>
          </cell>
          <cell r="F103" t="str">
            <v>Phòng Hành chính</v>
          </cell>
          <cell r="G103" t="str">
            <v>Phụ trách phòng</v>
          </cell>
          <cell r="H103" t="str">
            <v>Đại úy CN</v>
          </cell>
          <cell r="I103" t="str">
            <v>Quân lực quản lý</v>
          </cell>
          <cell r="J103" t="str">
            <v>Phó trưởng phòng</v>
          </cell>
        </row>
        <row r="104">
          <cell r="D104" t="str">
            <v>Ban Hành chính</v>
          </cell>
        </row>
        <row r="105">
          <cell r="C105" t="str">
            <v>064531</v>
          </cell>
          <cell r="D105" t="str">
            <v>Nguyễn Thị Thu Huyền</v>
          </cell>
          <cell r="E105" t="str">
            <v>Khối cơ quan - Viện NCPT</v>
          </cell>
          <cell r="F105" t="str">
            <v>Phòng Hành chính</v>
          </cell>
          <cell r="G105" t="str">
            <v>Ban Hành chính</v>
          </cell>
          <cell r="H105" t="str">
            <v>Hợp đồng lao động</v>
          </cell>
          <cell r="I105" t="str">
            <v>Quân lực quản lý</v>
          </cell>
          <cell r="J105" t="str">
            <v>Nhân viên nấu ăn</v>
          </cell>
        </row>
        <row r="106">
          <cell r="C106" t="str">
            <v>149094</v>
          </cell>
          <cell r="D106" t="str">
            <v>Nguyễn Thị Lan Anh</v>
          </cell>
          <cell r="E106" t="str">
            <v>Khối cơ quan - Viện NCPT</v>
          </cell>
          <cell r="F106" t="str">
            <v>Phòng Hành chính</v>
          </cell>
          <cell r="G106" t="str">
            <v>Ban Hành chính</v>
          </cell>
          <cell r="H106" t="str">
            <v>Hợp đồng lao động</v>
          </cell>
          <cell r="I106" t="str">
            <v>Quân lực quản lý</v>
          </cell>
          <cell r="J106" t="str">
            <v>Nhân viên nấu ăn</v>
          </cell>
        </row>
        <row r="107">
          <cell r="C107" t="str">
            <v>059925</v>
          </cell>
          <cell r="D107" t="str">
            <v>Phi Thu Trang</v>
          </cell>
          <cell r="E107" t="str">
            <v>Khối cơ quan - Viện NCPT</v>
          </cell>
          <cell r="F107" t="str">
            <v>Phòng Hành chính</v>
          </cell>
          <cell r="G107" t="str">
            <v>Ban Hành chính</v>
          </cell>
          <cell r="H107" t="str">
            <v>Hợp đồng lao động</v>
          </cell>
          <cell r="I107" t="str">
            <v>Quân lực quản lý</v>
          </cell>
          <cell r="J107" t="str">
            <v>Trưởng ban</v>
          </cell>
        </row>
        <row r="108">
          <cell r="C108" t="str">
            <v>062524</v>
          </cell>
          <cell r="D108" t="str">
            <v>Trần Hồng Sơn</v>
          </cell>
          <cell r="E108" t="str">
            <v>Khối cơ quan - Viện NCPT</v>
          </cell>
          <cell r="F108" t="str">
            <v>Phòng Hành chính</v>
          </cell>
          <cell r="G108" t="str">
            <v>Ban Hành chính</v>
          </cell>
          <cell r="H108" t="str">
            <v>Trung úy CN</v>
          </cell>
          <cell r="I108" t="str">
            <v>Quân lực quản lý</v>
          </cell>
          <cell r="J108" t="str">
            <v>Nhân viên Quân y</v>
          </cell>
        </row>
        <row r="109">
          <cell r="C109" t="str">
            <v>105236</v>
          </cell>
          <cell r="D109" t="str">
            <v>Nguyễn Thị Thu Hường</v>
          </cell>
          <cell r="E109" t="str">
            <v>Khối cơ quan - Viện NCPT</v>
          </cell>
          <cell r="F109" t="str">
            <v>Phòng Hành chính</v>
          </cell>
          <cell r="G109" t="str">
            <v>Ban Hành chính</v>
          </cell>
          <cell r="H109" t="str">
            <v>Hợp đồng lao động</v>
          </cell>
          <cell r="I109" t="str">
            <v>Quân lực quản lý</v>
          </cell>
          <cell r="J109" t="str">
            <v>Nhân viên Hành chính</v>
          </cell>
        </row>
        <row r="110">
          <cell r="C110" t="str">
            <v>122429</v>
          </cell>
          <cell r="D110" t="str">
            <v>Phạm Thị Ngọc Khanh</v>
          </cell>
          <cell r="E110" t="str">
            <v>Khối cơ quan - Viện NCPT</v>
          </cell>
          <cell r="F110" t="str">
            <v>Phòng Hành chính</v>
          </cell>
          <cell r="G110" t="str">
            <v>Ban Hành chính</v>
          </cell>
          <cell r="H110" t="str">
            <v>Hợp đồng lao động</v>
          </cell>
          <cell r="I110" t="str">
            <v>Quân lực quản lý</v>
          </cell>
          <cell r="J110" t="str">
            <v>Nhân viên Quân y</v>
          </cell>
        </row>
        <row r="111">
          <cell r="C111" t="str">
            <v>186937</v>
          </cell>
          <cell r="D111" t="str">
            <v>Nguyễn Thị Huyền Trang</v>
          </cell>
          <cell r="E111" t="str">
            <v>Khối cơ quan - Viện NCPT</v>
          </cell>
          <cell r="F111" t="str">
            <v>Phòng Hành chính</v>
          </cell>
          <cell r="G111" t="str">
            <v>Ban Hành chính</v>
          </cell>
          <cell r="H111" t="str">
            <v>Hợp đồng lao động</v>
          </cell>
          <cell r="I111" t="str">
            <v>Quân lực quản lý</v>
          </cell>
          <cell r="J111" t="str">
            <v>Nhân viên hành chính</v>
          </cell>
        </row>
        <row r="112">
          <cell r="D112" t="str">
            <v>Ban Văn thư đối ngoại</v>
          </cell>
        </row>
        <row r="113">
          <cell r="C113" t="str">
            <v>059666</v>
          </cell>
          <cell r="D113" t="str">
            <v>Lê Thị Cẩm Bình</v>
          </cell>
          <cell r="E113" t="str">
            <v>Khối cơ quan - Viện NCPT</v>
          </cell>
          <cell r="F113" t="str">
            <v>Phòng Hành chính</v>
          </cell>
          <cell r="G113" t="str">
            <v>Ban Văn thư đối ngoại</v>
          </cell>
          <cell r="H113" t="str">
            <v>Hợp đồng lao động</v>
          </cell>
          <cell r="I113" t="str">
            <v>Quân lực quản lý</v>
          </cell>
          <cell r="J113" t="str">
            <v>Trưởng ban</v>
          </cell>
        </row>
        <row r="114">
          <cell r="C114" t="str">
            <v>001615</v>
          </cell>
          <cell r="D114" t="str">
            <v>Đỗ Đức Ánh</v>
          </cell>
          <cell r="E114" t="str">
            <v>Khối cơ quan - Viện NCPT</v>
          </cell>
          <cell r="F114" t="str">
            <v>Phòng Hành chính</v>
          </cell>
          <cell r="G114" t="str">
            <v>Ban Văn thư đối ngoại</v>
          </cell>
          <cell r="H114" t="str">
            <v>CNVQP</v>
          </cell>
          <cell r="I114" t="str">
            <v>Quân lực quản lý</v>
          </cell>
          <cell r="J114" t="str">
            <v>Nhân viên Đối ngoại</v>
          </cell>
        </row>
        <row r="115">
          <cell r="C115" t="str">
            <v>181034</v>
          </cell>
          <cell r="D115" t="str">
            <v>Thái Thị Trang</v>
          </cell>
          <cell r="E115" t="str">
            <v>Khối cơ quan - Viện NCPT</v>
          </cell>
          <cell r="F115" t="str">
            <v>Phòng Hành chính</v>
          </cell>
          <cell r="G115" t="str">
            <v>Ban Văn thư đối ngoại</v>
          </cell>
          <cell r="H115" t="str">
            <v>Hợp đồng lao động</v>
          </cell>
          <cell r="I115" t="str">
            <v>Quân lực quản lý</v>
          </cell>
          <cell r="J115" t="str">
            <v>Nhân viên Văn thư</v>
          </cell>
        </row>
        <row r="116">
          <cell r="D116" t="str">
            <v>Ban Hạ tầng</v>
          </cell>
        </row>
        <row r="117">
          <cell r="C117" t="str">
            <v>066815</v>
          </cell>
          <cell r="D117" t="str">
            <v>Nguyễn Hoài Hà</v>
          </cell>
          <cell r="E117" t="str">
            <v>Khối cơ quan - Viện NCPT</v>
          </cell>
          <cell r="F117" t="str">
            <v>Phòng Hành chính</v>
          </cell>
          <cell r="G117" t="str">
            <v>Ban Hạ tầng</v>
          </cell>
          <cell r="H117" t="str">
            <v>Hợp đồng lao động</v>
          </cell>
          <cell r="I117" t="str">
            <v>Quân lực quản lý</v>
          </cell>
          <cell r="J117" t="str">
            <v>Kỹ sư xây dựng.</v>
          </cell>
        </row>
        <row r="118">
          <cell r="C118" t="str">
            <v>106416</v>
          </cell>
          <cell r="D118" t="str">
            <v>Lê Thị Phương Lan</v>
          </cell>
          <cell r="E118" t="str">
            <v>Khối cơ quan - Viện NCPT</v>
          </cell>
          <cell r="F118" t="str">
            <v>Phòng Hành chính</v>
          </cell>
          <cell r="G118" t="str">
            <v>Ban Hạ tầng</v>
          </cell>
          <cell r="H118" t="str">
            <v>CNVQP</v>
          </cell>
          <cell r="I118" t="str">
            <v>Quân lực quản lý</v>
          </cell>
          <cell r="J118" t="str">
            <v>Kỹ sư xây dựng.</v>
          </cell>
        </row>
        <row r="119">
          <cell r="C119" t="str">
            <v>171733</v>
          </cell>
          <cell r="D119" t="str">
            <v>Phạm Huy Hoàng</v>
          </cell>
          <cell r="E119" t="str">
            <v>Khối cơ quan - Viện NCPT</v>
          </cell>
          <cell r="F119" t="str">
            <v>Phòng Hành chính</v>
          </cell>
          <cell r="G119" t="str">
            <v>Ban Hạ tầng</v>
          </cell>
          <cell r="H119" t="str">
            <v>Hợp đồng lao động</v>
          </cell>
          <cell r="I119" t="str">
            <v>Quân lực quản lý</v>
          </cell>
          <cell r="J119" t="str">
            <v>Kỹ sư xây dựng.</v>
          </cell>
        </row>
        <row r="120">
          <cell r="D120" t="str">
            <v>Ban Đảm bảo kỹ thuật hạ tầng</v>
          </cell>
        </row>
        <row r="121">
          <cell r="C121" t="str">
            <v>003994</v>
          </cell>
          <cell r="D121" t="str">
            <v>Đinh Ngọc Kỳ Sơn</v>
          </cell>
          <cell r="E121" t="str">
            <v>Khối cơ quan - Viện NCPT</v>
          </cell>
          <cell r="F121" t="str">
            <v>Phòng Hành chính</v>
          </cell>
          <cell r="G121" t="str">
            <v>Ban Đảm bảo kỹ thuật hạ tầng</v>
          </cell>
          <cell r="H121" t="str">
            <v>CNVQP</v>
          </cell>
          <cell r="I121" t="str">
            <v>Quân lực quản lý</v>
          </cell>
          <cell r="J121" t="str">
            <v>Trưởng ban</v>
          </cell>
        </row>
        <row r="122">
          <cell r="C122" t="str">
            <v>087330</v>
          </cell>
          <cell r="D122" t="str">
            <v>Cao Xuân Dũng</v>
          </cell>
          <cell r="E122" t="str">
            <v>Khối cơ quan - Viện NCPT</v>
          </cell>
          <cell r="F122" t="str">
            <v>Phòng Hành chính</v>
          </cell>
          <cell r="G122" t="str">
            <v>Ban Đảm bảo kỹ thuật hạ tầng</v>
          </cell>
          <cell r="H122" t="str">
            <v>Hợp đồng lao động</v>
          </cell>
          <cell r="I122" t="str">
            <v>Quân lực quản lý</v>
          </cell>
          <cell r="J122" t="str">
            <v>Nhân viện Điện, nước</v>
          </cell>
        </row>
        <row r="123">
          <cell r="D123" t="str">
            <v>Đội vệ binh</v>
          </cell>
        </row>
        <row r="124">
          <cell r="C124" t="str">
            <v>006109</v>
          </cell>
          <cell r="D124" t="str">
            <v>Lê Việt Hùng</v>
          </cell>
          <cell r="E124" t="str">
            <v>Khối cơ quan - Viện NCPT</v>
          </cell>
          <cell r="F124" t="str">
            <v>Phòng Hành chính</v>
          </cell>
          <cell r="G124" t="str">
            <v>Đội vệ binh</v>
          </cell>
          <cell r="H124" t="str">
            <v>Hợp đồng lao động</v>
          </cell>
          <cell r="I124" t="str">
            <v>Quân lực quản lý</v>
          </cell>
          <cell r="J124" t="str">
            <v>Nhân viên bảo vệ/ Vệ binh</v>
          </cell>
        </row>
        <row r="125">
          <cell r="C125" t="str">
            <v>007617</v>
          </cell>
          <cell r="D125" t="str">
            <v>Nguyễn Hữu Mạnh</v>
          </cell>
          <cell r="E125" t="str">
            <v>Khối cơ quan - Viện NCPT</v>
          </cell>
          <cell r="F125" t="str">
            <v>Phòng Hành chính</v>
          </cell>
          <cell r="G125" t="str">
            <v>Đội vệ binh</v>
          </cell>
          <cell r="H125" t="str">
            <v>Trung úy CN</v>
          </cell>
          <cell r="I125" t="str">
            <v>Quân lực quản lý</v>
          </cell>
          <cell r="J125" t="str">
            <v>Nhân viên bảo vệ/ Vệ binh</v>
          </cell>
        </row>
        <row r="126">
          <cell r="C126" t="str">
            <v>057063</v>
          </cell>
          <cell r="D126" t="str">
            <v>Mai Xuân Trình</v>
          </cell>
          <cell r="E126" t="str">
            <v>Khối cơ quan - Viện NCPT</v>
          </cell>
          <cell r="F126" t="str">
            <v>Phòng Hành chính</v>
          </cell>
          <cell r="G126" t="str">
            <v>Đội vệ binh</v>
          </cell>
          <cell r="H126" t="str">
            <v>Trung úy CN</v>
          </cell>
          <cell r="I126" t="str">
            <v>Quân lực quản lý</v>
          </cell>
          <cell r="J126" t="str">
            <v>Nhân viên bảo vệ/ Vệ binh</v>
          </cell>
        </row>
        <row r="127">
          <cell r="C127" t="str">
            <v>060562</v>
          </cell>
          <cell r="D127" t="str">
            <v>Phạm Văn Dân</v>
          </cell>
          <cell r="E127" t="str">
            <v>Khối cơ quan - Viện NCPT</v>
          </cell>
          <cell r="F127" t="str">
            <v>Phòng Hành chính</v>
          </cell>
          <cell r="G127" t="str">
            <v>Đội vệ binh</v>
          </cell>
          <cell r="H127" t="str">
            <v>Trung úy CN</v>
          </cell>
          <cell r="I127" t="str">
            <v>Quân lực quản lý</v>
          </cell>
          <cell r="J127" t="str">
            <v>Nhân viên bảo vệ/ Vệ binh</v>
          </cell>
        </row>
        <row r="128">
          <cell r="C128" t="str">
            <v>071249</v>
          </cell>
          <cell r="D128" t="str">
            <v>Nguyễn Quang Thời</v>
          </cell>
          <cell r="E128" t="str">
            <v>Khối cơ quan - Viện NCPT</v>
          </cell>
          <cell r="F128" t="str">
            <v>Phòng Hành chính</v>
          </cell>
          <cell r="G128" t="str">
            <v>Đội vệ binh</v>
          </cell>
          <cell r="H128" t="str">
            <v>Thượng úy CN</v>
          </cell>
          <cell r="I128" t="str">
            <v>Quân lực quản lý</v>
          </cell>
          <cell r="J128" t="str">
            <v>Nhân viên bảo vệ/ Vệ binh</v>
          </cell>
        </row>
        <row r="129">
          <cell r="C129" t="str">
            <v>078231</v>
          </cell>
          <cell r="D129" t="str">
            <v>Lê Thọ Lộc</v>
          </cell>
          <cell r="E129" t="str">
            <v>Khối cơ quan - Viện NCPT</v>
          </cell>
          <cell r="F129" t="str">
            <v>Phòng Hành chính</v>
          </cell>
          <cell r="G129" t="str">
            <v>Đội vệ binh</v>
          </cell>
          <cell r="H129" t="str">
            <v>Thiếu tá</v>
          </cell>
          <cell r="I129" t="str">
            <v>Cán bộ quản lý</v>
          </cell>
          <cell r="J129" t="str">
            <v>Nhân viên bảo vệ/ Vệ binh</v>
          </cell>
        </row>
        <row r="130">
          <cell r="C130" t="str">
            <v>086638</v>
          </cell>
          <cell r="D130" t="str">
            <v>Nguyễn Quang Hưng</v>
          </cell>
          <cell r="E130" t="str">
            <v>Khối cơ quan - Viện NCPT</v>
          </cell>
          <cell r="F130" t="str">
            <v>Phòng Hành chính</v>
          </cell>
          <cell r="G130" t="str">
            <v>Đội vệ binh</v>
          </cell>
          <cell r="H130" t="str">
            <v>Thượng úy CN</v>
          </cell>
          <cell r="I130" t="str">
            <v>Quân lực quản lý</v>
          </cell>
          <cell r="J130" t="str">
            <v>Nhân viên bảo vệ/ Vệ binh</v>
          </cell>
        </row>
        <row r="131">
          <cell r="C131" t="str">
            <v>093576</v>
          </cell>
          <cell r="D131" t="str">
            <v>Nguyễn Doãn Hóa</v>
          </cell>
          <cell r="E131" t="str">
            <v>Khối cơ quan - Viện NCPT</v>
          </cell>
          <cell r="F131" t="str">
            <v>Phòng Hành chính</v>
          </cell>
          <cell r="G131" t="str">
            <v>Đội vệ binh</v>
          </cell>
          <cell r="H131" t="str">
            <v>Trung úy CN</v>
          </cell>
          <cell r="I131" t="str">
            <v>Quân lực quản lý</v>
          </cell>
          <cell r="J131" t="str">
            <v>Nhân viên bảo vệ/ Vệ binh</v>
          </cell>
        </row>
        <row r="132">
          <cell r="C132" t="str">
            <v>119695</v>
          </cell>
          <cell r="D132" t="str">
            <v>Nguyễn Hữu Hùng</v>
          </cell>
          <cell r="E132" t="str">
            <v>Khối cơ quan - Viện NCPT</v>
          </cell>
          <cell r="F132" t="str">
            <v>Phòng Hành chính</v>
          </cell>
          <cell r="G132" t="str">
            <v>Đội vệ binh</v>
          </cell>
          <cell r="H132" t="str">
            <v>Trung úy CN</v>
          </cell>
          <cell r="I132" t="str">
            <v>Quân lực quản lý</v>
          </cell>
          <cell r="J132" t="str">
            <v>Nhân viên bảo vệ/ Vệ binh</v>
          </cell>
        </row>
        <row r="133">
          <cell r="C133" t="str">
            <v>121621</v>
          </cell>
          <cell r="D133" t="str">
            <v>Nguyễn Đình Duy</v>
          </cell>
          <cell r="E133" t="str">
            <v>Khối cơ quan - Viện NCPT</v>
          </cell>
          <cell r="F133" t="str">
            <v>Phòng Hành chính</v>
          </cell>
          <cell r="G133" t="str">
            <v>Đội vệ binh</v>
          </cell>
          <cell r="H133" t="str">
            <v>Hợp đồng lao động</v>
          </cell>
          <cell r="I133" t="str">
            <v>Quân lực quản lý</v>
          </cell>
          <cell r="J133" t="str">
            <v>Nhân viên bảo vệ/ Vệ binh</v>
          </cell>
        </row>
        <row r="134">
          <cell r="C134" t="str">
            <v>122150</v>
          </cell>
          <cell r="D134" t="str">
            <v>Hoàng Văn Dũng</v>
          </cell>
          <cell r="E134" t="str">
            <v>Khối cơ quan - Viện NCPT</v>
          </cell>
          <cell r="F134" t="str">
            <v>Phòng Hành chính</v>
          </cell>
          <cell r="G134" t="str">
            <v>Đội vệ binh</v>
          </cell>
          <cell r="H134" t="str">
            <v>Hợp đồng lao động</v>
          </cell>
          <cell r="I134" t="str">
            <v>Quân lực quản lý</v>
          </cell>
          <cell r="J134" t="str">
            <v>Nhân viên bảo vệ/ Vệ binh</v>
          </cell>
        </row>
        <row r="135">
          <cell r="C135" t="str">
            <v>122152</v>
          </cell>
          <cell r="D135" t="str">
            <v>Nguyễn Quốc Dựng</v>
          </cell>
          <cell r="E135" t="str">
            <v>Khối cơ quan - Viện NCPT</v>
          </cell>
          <cell r="F135" t="str">
            <v>Phòng Hành chính</v>
          </cell>
          <cell r="G135" t="str">
            <v>Đội vệ binh</v>
          </cell>
          <cell r="H135" t="str">
            <v>Hợp đồng lao động</v>
          </cell>
          <cell r="I135" t="str">
            <v>Quân lực quản lý</v>
          </cell>
          <cell r="J135" t="str">
            <v>Nhân viên bảo vệ/ Vệ binh</v>
          </cell>
        </row>
        <row r="136">
          <cell r="C136" t="str">
            <v>122158</v>
          </cell>
          <cell r="D136" t="str">
            <v>Lường Văn Thắng</v>
          </cell>
          <cell r="E136" t="str">
            <v>Khối cơ quan - Viện NCPT</v>
          </cell>
          <cell r="F136" t="str">
            <v>Phòng Hành chính</v>
          </cell>
          <cell r="G136" t="str">
            <v>Đội vệ binh</v>
          </cell>
          <cell r="H136" t="str">
            <v>Hợp đồng lao động</v>
          </cell>
          <cell r="I136" t="str">
            <v>Quân lực quản lý</v>
          </cell>
          <cell r="J136" t="str">
            <v>Nhân viên bảo vệ/ Vệ binh</v>
          </cell>
        </row>
        <row r="137">
          <cell r="C137" t="str">
            <v>128508</v>
          </cell>
          <cell r="D137" t="str">
            <v>Tống Công Viện</v>
          </cell>
          <cell r="E137" t="str">
            <v>Khối cơ quan - Viện NCPT</v>
          </cell>
          <cell r="F137" t="str">
            <v>Phòng Hành chính</v>
          </cell>
          <cell r="G137" t="str">
            <v>Đội vệ binh</v>
          </cell>
          <cell r="H137" t="str">
            <v>Thiếu úy CN</v>
          </cell>
          <cell r="I137" t="str">
            <v>Quân lực quản lý</v>
          </cell>
          <cell r="J137" t="str">
            <v>Nhân viên bảo vệ/ Vệ binh</v>
          </cell>
        </row>
        <row r="138">
          <cell r="C138" t="str">
            <v>138929</v>
          </cell>
          <cell r="D138" t="str">
            <v>Nguyễn Quang Đông</v>
          </cell>
          <cell r="E138" t="str">
            <v>Khối cơ quan - Viện NCPT</v>
          </cell>
          <cell r="F138" t="str">
            <v>Phòng Hành chính</v>
          </cell>
          <cell r="G138" t="str">
            <v>Đội vệ binh</v>
          </cell>
          <cell r="H138" t="str">
            <v>Trung úy CN</v>
          </cell>
          <cell r="I138" t="str">
            <v>Quân lực quản lý</v>
          </cell>
          <cell r="J138" t="str">
            <v>Nhân viên bảo vệ/ Vệ binh</v>
          </cell>
        </row>
        <row r="139">
          <cell r="C139" t="str">
            <v>143653</v>
          </cell>
          <cell r="D139" t="str">
            <v>Bùi Văn Tý</v>
          </cell>
          <cell r="E139" t="str">
            <v>Khối cơ quan - Viện NCPT</v>
          </cell>
          <cell r="F139" t="str">
            <v>Phòng Hành chính</v>
          </cell>
          <cell r="G139" t="str">
            <v>Đội vệ binh</v>
          </cell>
          <cell r="H139" t="str">
            <v>Hợp đồng lao động</v>
          </cell>
          <cell r="I139" t="str">
            <v>Quân lực quản lý</v>
          </cell>
          <cell r="J139" t="str">
            <v>Nhân viên bảo vệ/ Vệ binh</v>
          </cell>
        </row>
        <row r="140">
          <cell r="C140" t="str">
            <v>163293</v>
          </cell>
          <cell r="D140" t="str">
            <v>Nguyễn Văn Bình</v>
          </cell>
          <cell r="E140" t="str">
            <v>Khối cơ quan - Viện NCPT</v>
          </cell>
          <cell r="F140" t="str">
            <v>Phòng Hành chính</v>
          </cell>
          <cell r="G140" t="str">
            <v>Đội vệ binh</v>
          </cell>
          <cell r="H140" t="str">
            <v>Trung úy CN</v>
          </cell>
          <cell r="I140" t="str">
            <v>Quân lực quản lý</v>
          </cell>
          <cell r="J140" t="str">
            <v>Nhân viên bảo vệ/ Vệ binh</v>
          </cell>
        </row>
        <row r="141">
          <cell r="D141" t="str">
            <v>Đội xe</v>
          </cell>
        </row>
        <row r="142">
          <cell r="C142" t="str">
            <v>008886</v>
          </cell>
          <cell r="D142" t="str">
            <v>Phạm Tiến Dũng</v>
          </cell>
          <cell r="E142" t="str">
            <v>Khối cơ quan - Viện NCPT</v>
          </cell>
          <cell r="F142" t="str">
            <v>Phòng Hành chính</v>
          </cell>
          <cell r="G142" t="str">
            <v>Đội xe</v>
          </cell>
          <cell r="H142" t="str">
            <v>Trung úy CN</v>
          </cell>
          <cell r="I142" t="str">
            <v>Quân lực quản lý</v>
          </cell>
          <cell r="J142" t="str">
            <v>Đội trưởng</v>
          </cell>
        </row>
        <row r="143">
          <cell r="C143" t="str">
            <v>008568</v>
          </cell>
          <cell r="D143" t="str">
            <v>Cao Xuân Thu</v>
          </cell>
          <cell r="E143" t="str">
            <v>Khối cơ quan - Viện NCPT</v>
          </cell>
          <cell r="F143" t="str">
            <v>Phòng Hành chính</v>
          </cell>
          <cell r="G143" t="str">
            <v>Đội xe</v>
          </cell>
          <cell r="H143" t="str">
            <v>Thượng úy CN</v>
          </cell>
          <cell r="I143" t="str">
            <v>Quân lực quản lý</v>
          </cell>
          <cell r="J143" t="str">
            <v>Nhân viên lái xe</v>
          </cell>
        </row>
        <row r="144">
          <cell r="C144" t="str">
            <v>008594</v>
          </cell>
          <cell r="D144" t="str">
            <v>Đỗ Hùng Cường</v>
          </cell>
          <cell r="E144" t="str">
            <v>Khối cơ quan - Viện NCPT</v>
          </cell>
          <cell r="F144" t="str">
            <v>Phòng Hành chính</v>
          </cell>
          <cell r="G144" t="str">
            <v>Đội xe</v>
          </cell>
          <cell r="H144" t="str">
            <v>CNVQP</v>
          </cell>
          <cell r="I144" t="str">
            <v>Quân lực quản lý</v>
          </cell>
          <cell r="J144" t="str">
            <v>Nhân viên lái xe</v>
          </cell>
        </row>
        <row r="145">
          <cell r="C145" t="str">
            <v>012688</v>
          </cell>
          <cell r="D145" t="str">
            <v>Mai Văn Sỹ</v>
          </cell>
          <cell r="E145" t="str">
            <v>Khối cơ quan - Viện NCPT</v>
          </cell>
          <cell r="F145" t="str">
            <v>Phòng Hành chính</v>
          </cell>
          <cell r="G145" t="str">
            <v>Đội xe</v>
          </cell>
          <cell r="H145" t="str">
            <v>Trung úy CN</v>
          </cell>
          <cell r="I145" t="str">
            <v>Quân lực quản lý</v>
          </cell>
          <cell r="J145" t="str">
            <v>Nhân viên lái xe</v>
          </cell>
        </row>
        <row r="146">
          <cell r="C146" t="str">
            <v>057428</v>
          </cell>
          <cell r="D146" t="str">
            <v>Nguyễn Văn Khuyến</v>
          </cell>
          <cell r="E146" t="str">
            <v>Khối cơ quan - Viện NCPT</v>
          </cell>
          <cell r="F146" t="str">
            <v>Phòng Hành chính</v>
          </cell>
          <cell r="G146" t="str">
            <v>Đội xe</v>
          </cell>
          <cell r="H146" t="str">
            <v>Hợp đồng lao động</v>
          </cell>
          <cell r="I146" t="str">
            <v>Quân lực quản lý</v>
          </cell>
          <cell r="J146" t="str">
            <v>Nhân viên lái xe</v>
          </cell>
        </row>
        <row r="147">
          <cell r="C147" t="str">
            <v>064867</v>
          </cell>
          <cell r="D147" t="str">
            <v>Trần Văn Mạnh</v>
          </cell>
          <cell r="E147" t="str">
            <v>Khối cơ quan - Viện NCPT</v>
          </cell>
          <cell r="F147" t="str">
            <v>Phòng Hành chính</v>
          </cell>
          <cell r="G147" t="str">
            <v>Đội xe</v>
          </cell>
          <cell r="H147" t="str">
            <v>Hợp đồng lao động</v>
          </cell>
          <cell r="I147" t="str">
            <v>Quân lực quản lý</v>
          </cell>
          <cell r="J147" t="str">
            <v>Nhân viên lái xe</v>
          </cell>
        </row>
        <row r="148">
          <cell r="C148" t="str">
            <v>078170</v>
          </cell>
          <cell r="D148" t="str">
            <v>Phan Hồng Tuấn</v>
          </cell>
          <cell r="E148" t="str">
            <v>Khối cơ quan - Viện NCPT</v>
          </cell>
          <cell r="F148" t="str">
            <v>Phòng Hành chính</v>
          </cell>
          <cell r="G148" t="str">
            <v>Đội xe</v>
          </cell>
          <cell r="H148" t="str">
            <v>Trung úy CN</v>
          </cell>
          <cell r="I148" t="str">
            <v>Quân lực quản lý</v>
          </cell>
          <cell r="J148" t="str">
            <v>Nhân viên lái xe</v>
          </cell>
        </row>
        <row r="149">
          <cell r="C149" t="str">
            <v>084276</v>
          </cell>
          <cell r="D149" t="str">
            <v>Đoàn Tất Lưu</v>
          </cell>
          <cell r="E149" t="str">
            <v>Khối cơ quan - Viện NCPT</v>
          </cell>
          <cell r="F149" t="str">
            <v>Phòng Hành chính</v>
          </cell>
          <cell r="G149" t="str">
            <v>Đội xe</v>
          </cell>
          <cell r="H149" t="str">
            <v>Trung úy CN</v>
          </cell>
          <cell r="I149" t="str">
            <v>Quân lực quản lý</v>
          </cell>
          <cell r="J149" t="str">
            <v>Nhân viên lái xe</v>
          </cell>
        </row>
        <row r="150">
          <cell r="C150" t="str">
            <v>095896</v>
          </cell>
          <cell r="D150" t="str">
            <v>Vũ Văn Vĩnh</v>
          </cell>
          <cell r="E150" t="str">
            <v>Khối cơ quan - Viện NCPT</v>
          </cell>
          <cell r="F150" t="str">
            <v>Phòng Hành chính</v>
          </cell>
          <cell r="G150" t="str">
            <v>Đội xe</v>
          </cell>
          <cell r="H150" t="str">
            <v>Thiếu tá CN</v>
          </cell>
          <cell r="I150" t="str">
            <v>Quân lực quản lý</v>
          </cell>
          <cell r="J150" t="str">
            <v>Nhân viên lái xe</v>
          </cell>
        </row>
        <row r="151">
          <cell r="C151" t="str">
            <v>108961</v>
          </cell>
          <cell r="D151" t="str">
            <v>Kiều Văn Diễn</v>
          </cell>
          <cell r="E151" t="str">
            <v>Khối cơ quan - Viện NCPT</v>
          </cell>
          <cell r="F151" t="str">
            <v>Phòng Hành chính</v>
          </cell>
          <cell r="G151" t="str">
            <v>Đội xe</v>
          </cell>
          <cell r="H151" t="str">
            <v>Đại úy CN</v>
          </cell>
          <cell r="I151" t="str">
            <v>Quân lực quản lý</v>
          </cell>
          <cell r="J151" t="str">
            <v>Nhân viên lái xe</v>
          </cell>
        </row>
        <row r="152">
          <cell r="C152" t="str">
            <v>119404</v>
          </cell>
          <cell r="D152" t="str">
            <v>Phan Tiến Trình</v>
          </cell>
          <cell r="E152" t="str">
            <v>Khối cơ quan - Viện NCPT</v>
          </cell>
          <cell r="F152" t="str">
            <v>Phòng Hành chính</v>
          </cell>
          <cell r="G152" t="str">
            <v>Đội xe</v>
          </cell>
          <cell r="H152" t="str">
            <v>Hợp đồng lao động</v>
          </cell>
          <cell r="I152" t="str">
            <v>Quân lực quản lý</v>
          </cell>
          <cell r="J152" t="str">
            <v>Nhân viên lái xe</v>
          </cell>
        </row>
        <row r="153">
          <cell r="C153" t="str">
            <v>120040</v>
          </cell>
          <cell r="D153" t="str">
            <v>Nguyễn Tuấn Anh</v>
          </cell>
          <cell r="E153" t="str">
            <v>Khối cơ quan - Viện NCPT</v>
          </cell>
          <cell r="F153" t="str">
            <v>Phòng Hành chính</v>
          </cell>
          <cell r="G153" t="str">
            <v>Đội xe</v>
          </cell>
          <cell r="H153" t="str">
            <v>Hợp đồng lao động</v>
          </cell>
          <cell r="I153" t="str">
            <v>Quân lực quản lý</v>
          </cell>
          <cell r="J153" t="str">
            <v>Nhân viên lái xe</v>
          </cell>
        </row>
        <row r="154">
          <cell r="C154" t="str">
            <v>123723</v>
          </cell>
          <cell r="D154" t="str">
            <v>Trần Nam Phương</v>
          </cell>
          <cell r="E154" t="str">
            <v>Khối cơ quan - Viện NCPT</v>
          </cell>
          <cell r="F154" t="str">
            <v>Phòng Hành chính</v>
          </cell>
          <cell r="G154" t="str">
            <v>Đội xe</v>
          </cell>
          <cell r="H154" t="str">
            <v>Thượng úy CN</v>
          </cell>
          <cell r="I154" t="str">
            <v>Quân lực quản lý</v>
          </cell>
          <cell r="J154" t="str">
            <v>Nhân viên lái xe</v>
          </cell>
        </row>
        <row r="155">
          <cell r="C155" t="str">
            <v>130375</v>
          </cell>
          <cell r="D155" t="str">
            <v>Trần Anh Tuấn</v>
          </cell>
          <cell r="E155" t="str">
            <v>Khối cơ quan - Viện NCPT</v>
          </cell>
          <cell r="F155" t="str">
            <v>Phòng Hành chính</v>
          </cell>
          <cell r="G155" t="str">
            <v>Đội xe</v>
          </cell>
          <cell r="H155" t="str">
            <v>Hợp đồng lao động</v>
          </cell>
          <cell r="I155" t="str">
            <v>Quân lực quản lý</v>
          </cell>
          <cell r="J155" t="str">
            <v>Nhân viên lái xe</v>
          </cell>
        </row>
        <row r="156">
          <cell r="C156" t="str">
            <v>134368</v>
          </cell>
          <cell r="D156" t="str">
            <v>Nguyễn Thành Trung</v>
          </cell>
          <cell r="E156" t="str">
            <v>Khối cơ quan - Viện NCPT</v>
          </cell>
          <cell r="F156" t="str">
            <v>Phòng Hành chính</v>
          </cell>
          <cell r="G156" t="str">
            <v>Đội xe</v>
          </cell>
          <cell r="H156" t="str">
            <v>Hợp đồng lao động</v>
          </cell>
          <cell r="I156" t="str">
            <v>Quân lực quản lý</v>
          </cell>
          <cell r="J156" t="str">
            <v>Nhân viên lái xe</v>
          </cell>
        </row>
        <row r="157">
          <cell r="C157" t="str">
            <v>134608</v>
          </cell>
          <cell r="D157" t="str">
            <v>Nguyễn Hữu Đức</v>
          </cell>
          <cell r="E157" t="str">
            <v>Khối cơ quan - Viện NCPT</v>
          </cell>
          <cell r="F157" t="str">
            <v>Phòng Hành chính</v>
          </cell>
          <cell r="G157" t="str">
            <v>Đội xe</v>
          </cell>
          <cell r="H157" t="str">
            <v>Trung úy CN</v>
          </cell>
          <cell r="I157" t="str">
            <v>Quân lực quản lý</v>
          </cell>
          <cell r="J157" t="str">
            <v>Nhân viên lái xe</v>
          </cell>
        </row>
        <row r="158">
          <cell r="C158" t="str">
            <v>141633</v>
          </cell>
          <cell r="D158" t="str">
            <v>Nguyễn Hoàng Giang</v>
          </cell>
          <cell r="E158" t="str">
            <v>Khối cơ quan - Viện NCPT</v>
          </cell>
          <cell r="F158" t="str">
            <v>Phòng Hành chính</v>
          </cell>
          <cell r="G158" t="str">
            <v>Đội xe</v>
          </cell>
          <cell r="H158" t="str">
            <v>Hợp đồng lao động</v>
          </cell>
          <cell r="I158" t="str">
            <v>Quân lực quản lý</v>
          </cell>
          <cell r="J158" t="str">
            <v>Nhân viên lái xe</v>
          </cell>
        </row>
        <row r="159">
          <cell r="C159" t="str">
            <v>182453</v>
          </cell>
          <cell r="D159" t="str">
            <v>Quách Văn Nam</v>
          </cell>
          <cell r="E159" t="str">
            <v>Khối cơ quan - Viện NCPT</v>
          </cell>
          <cell r="F159" t="str">
            <v>Phòng Hành chính</v>
          </cell>
          <cell r="G159" t="str">
            <v>Đội xe</v>
          </cell>
          <cell r="H159" t="str">
            <v>Hợp đồng lao động</v>
          </cell>
          <cell r="I159" t="str">
            <v>Quân lực quản lý</v>
          </cell>
          <cell r="J159" t="str">
            <v>Nhân viên lái xe</v>
          </cell>
        </row>
        <row r="160">
          <cell r="D160" t="str">
            <v>Phòng Kinh doanh</v>
          </cell>
        </row>
        <row r="161">
          <cell r="D161" t="str">
            <v>Phụ trách phòng</v>
          </cell>
        </row>
        <row r="162">
          <cell r="C162" t="str">
            <v>087331</v>
          </cell>
          <cell r="D162" t="str">
            <v>Phạm Thị Hải Bình</v>
          </cell>
          <cell r="E162" t="str">
            <v>Khối cơ quan - Viện NCPT</v>
          </cell>
          <cell r="F162" t="str">
            <v>Phòng Kinh doanh</v>
          </cell>
          <cell r="G162" t="str">
            <v>Phụ trách phòng</v>
          </cell>
          <cell r="H162" t="str">
            <v>Hợp đồng lao động</v>
          </cell>
          <cell r="I162" t="str">
            <v>Quân lực quản lý</v>
          </cell>
          <cell r="J162" t="str">
            <v>Trưởng phòng</v>
          </cell>
        </row>
        <row r="163">
          <cell r="D163" t="str">
            <v>Ban Chiến lược kinh doanh</v>
          </cell>
        </row>
        <row r="164">
          <cell r="C164" t="str">
            <v>136991</v>
          </cell>
          <cell r="D164" t="str">
            <v>Lê Mỹ Hà</v>
          </cell>
          <cell r="E164" t="str">
            <v>Khối cơ quan - Viện NCPT</v>
          </cell>
          <cell r="F164" t="str">
            <v>Phòng Kinh doanh</v>
          </cell>
          <cell r="G164" t="str">
            <v>Ban Chiến lược kinh doanh</v>
          </cell>
          <cell r="H164" t="str">
            <v>Hợp đồng lao động</v>
          </cell>
          <cell r="I164" t="str">
            <v>Quân lực quản lý</v>
          </cell>
          <cell r="J164" t="str">
            <v>Nhân viên kinh doanh</v>
          </cell>
        </row>
        <row r="165">
          <cell r="C165" t="str">
            <v>190153</v>
          </cell>
          <cell r="D165" t="str">
            <v>Lê Lương Anh</v>
          </cell>
          <cell r="E165" t="str">
            <v>Khối cơ quan - Viện NCPT</v>
          </cell>
          <cell r="F165" t="str">
            <v>Phòng Kinh doanh</v>
          </cell>
          <cell r="G165" t="str">
            <v>Ban Chiến lược kinh doanh</v>
          </cell>
          <cell r="H165" t="str">
            <v>Hợp đồng lao động</v>
          </cell>
          <cell r="I165" t="str">
            <v>Quân lực quản lý</v>
          </cell>
          <cell r="J165" t="str">
            <v>Nhân viên kinh doanh</v>
          </cell>
        </row>
        <row r="166">
          <cell r="C166" t="str">
            <v>190173</v>
          </cell>
          <cell r="D166" t="str">
            <v>Trần Lê Trung</v>
          </cell>
          <cell r="E166" t="str">
            <v>Khối cơ quan - Viện NCPT</v>
          </cell>
          <cell r="F166" t="str">
            <v>Phòng Kinh doanh</v>
          </cell>
          <cell r="G166" t="str">
            <v>Ban Chiến lược kinh doanh</v>
          </cell>
          <cell r="H166" t="str">
            <v>Hợp đồng lao động</v>
          </cell>
          <cell r="I166" t="str">
            <v>Quân lực quản lý</v>
          </cell>
          <cell r="J166" t="str">
            <v>Nhân viên kinh doanh</v>
          </cell>
        </row>
        <row r="167">
          <cell r="C167" t="str">
            <v>190442</v>
          </cell>
          <cell r="D167" t="str">
            <v>Lê Hà Thu</v>
          </cell>
          <cell r="E167" t="str">
            <v>Khối cơ quan - Viện NCPT</v>
          </cell>
          <cell r="F167" t="str">
            <v>Phòng Kinh doanh</v>
          </cell>
          <cell r="G167" t="str">
            <v>Ban Chiến lược kinh doanh</v>
          </cell>
          <cell r="H167" t="str">
            <v>Hợp đồng lao động</v>
          </cell>
          <cell r="I167" t="str">
            <v>Quân lực quản lý</v>
          </cell>
          <cell r="J167" t="str">
            <v>Nhân viên kinh doanh</v>
          </cell>
        </row>
        <row r="168">
          <cell r="C168" t="str">
            <v>192353</v>
          </cell>
          <cell r="D168" t="str">
            <v>Nguyễn Hữu Phước Nguyên</v>
          </cell>
          <cell r="E168" t="str">
            <v>Khối cơ quan - Viện NCPT</v>
          </cell>
          <cell r="F168" t="str">
            <v>Phòng Kinh doanh</v>
          </cell>
          <cell r="G168" t="str">
            <v>Ban Chiến lược kinh doanh</v>
          </cell>
          <cell r="H168" t="str">
            <v>Hợp đồng lao động</v>
          </cell>
          <cell r="I168" t="str">
            <v>Quân lực quản lý</v>
          </cell>
          <cell r="J168" t="str">
            <v>Nhân viên kinh doanh</v>
          </cell>
        </row>
        <row r="169">
          <cell r="D169" t="str">
            <v>Phòng Mua sắm</v>
          </cell>
        </row>
        <row r="170">
          <cell r="D170" t="str">
            <v>Phụ trách phòng</v>
          </cell>
        </row>
        <row r="171">
          <cell r="C171" t="str">
            <v>078099</v>
          </cell>
          <cell r="D171" t="str">
            <v>Nguyễn Xuân Phương</v>
          </cell>
          <cell r="E171" t="str">
            <v>Khối cơ quan - Viện NCPT</v>
          </cell>
          <cell r="F171" t="str">
            <v>Phòng Mua sắm</v>
          </cell>
          <cell r="G171" t="str">
            <v>Phụ trách phòng</v>
          </cell>
          <cell r="H171" t="str">
            <v>Thiếu tá CN</v>
          </cell>
          <cell r="I171" t="str">
            <v>Quân lực quản lý</v>
          </cell>
          <cell r="J171" t="str">
            <v>Trưởng phòng</v>
          </cell>
        </row>
        <row r="172">
          <cell r="C172" t="str">
            <v>059667</v>
          </cell>
          <cell r="D172" t="str">
            <v>Vũ Tú Quỳnh</v>
          </cell>
          <cell r="E172" t="str">
            <v>Khối cơ quan - Viện NCPT</v>
          </cell>
          <cell r="F172" t="str">
            <v>Phòng Mua sắm</v>
          </cell>
          <cell r="G172" t="str">
            <v>Phụ trách phòng</v>
          </cell>
          <cell r="H172" t="str">
            <v>Thiếu tá CN</v>
          </cell>
          <cell r="I172" t="str">
            <v>Quân lực quản lý</v>
          </cell>
          <cell r="J172" t="str">
            <v>Phó Phòng</v>
          </cell>
        </row>
        <row r="173">
          <cell r="D173" t="str">
            <v>Ban Đấu thầu</v>
          </cell>
        </row>
        <row r="174">
          <cell r="C174" t="str">
            <v>047313</v>
          </cell>
          <cell r="D174" t="str">
            <v>Lê Đức Nhật</v>
          </cell>
          <cell r="E174" t="str">
            <v>Khối cơ quan - Viện NCPT</v>
          </cell>
          <cell r="F174" t="str">
            <v>Phòng Mua sắm</v>
          </cell>
          <cell r="G174" t="str">
            <v>Ban Đấu thầu</v>
          </cell>
          <cell r="H174" t="str">
            <v>Hợp đồng lao động</v>
          </cell>
          <cell r="I174" t="str">
            <v>Quân lực quản lý</v>
          </cell>
          <cell r="J174" t="str">
            <v>Nhân viên đấu thầu</v>
          </cell>
        </row>
        <row r="175">
          <cell r="C175" t="str">
            <v>140614</v>
          </cell>
          <cell r="D175" t="str">
            <v>Nguyễn Tuấn Hùng</v>
          </cell>
          <cell r="E175" t="str">
            <v>Khối cơ quan - Viện NCPT</v>
          </cell>
          <cell r="F175" t="str">
            <v>Phòng Mua sắm</v>
          </cell>
          <cell r="G175" t="str">
            <v>Ban Đấu thầu</v>
          </cell>
          <cell r="H175" t="str">
            <v>Hợp đồng lao động</v>
          </cell>
          <cell r="I175" t="str">
            <v>Quân lực quản lý</v>
          </cell>
          <cell r="J175" t="str">
            <v>Nhân viên đấu thầu</v>
          </cell>
        </row>
        <row r="176">
          <cell r="D176" t="str">
            <v>Ban Hợp đồng</v>
          </cell>
        </row>
        <row r="177">
          <cell r="C177" t="str">
            <v>110838</v>
          </cell>
          <cell r="D177" t="str">
            <v>Nguyễn Thị Quỳnh Liên</v>
          </cell>
          <cell r="E177" t="str">
            <v>Khối cơ quan - Viện NCPT</v>
          </cell>
          <cell r="F177" t="str">
            <v>Phòng Mua sắm</v>
          </cell>
          <cell r="G177" t="str">
            <v>Ban Hợp đồng</v>
          </cell>
          <cell r="H177" t="str">
            <v>Hợp đồng lao động</v>
          </cell>
          <cell r="I177" t="str">
            <v>Quân lực quản lý</v>
          </cell>
          <cell r="J177" t="str">
            <v>Nhân viên hợp đồng</v>
          </cell>
        </row>
        <row r="178">
          <cell r="C178" t="str">
            <v>119836</v>
          </cell>
          <cell r="D178" t="str">
            <v>Nguyễn Thị Mỹ Hạnh</v>
          </cell>
          <cell r="E178" t="str">
            <v>Khối cơ quan - Viện NCPT</v>
          </cell>
          <cell r="F178" t="str">
            <v>Phòng Mua sắm</v>
          </cell>
          <cell r="G178" t="str">
            <v>Ban Hợp đồng</v>
          </cell>
          <cell r="H178" t="str">
            <v>Hợp đồng lao động</v>
          </cell>
          <cell r="I178" t="str">
            <v>Quân lực quản lý</v>
          </cell>
          <cell r="J178" t="str">
            <v>Nhân viên hợp đồng</v>
          </cell>
        </row>
        <row r="179">
          <cell r="C179" t="str">
            <v>185273</v>
          </cell>
          <cell r="D179" t="str">
            <v>Nguyễn Thị Phương Mai</v>
          </cell>
          <cell r="E179" t="str">
            <v>Khối cơ quan - Viện NCPT</v>
          </cell>
          <cell r="F179" t="str">
            <v>Phòng Mua sắm</v>
          </cell>
          <cell r="G179" t="str">
            <v>Ban Hợp đồng</v>
          </cell>
          <cell r="H179" t="str">
            <v>Hợp đồng lao động</v>
          </cell>
          <cell r="I179" t="str">
            <v>Quân lực quản lý</v>
          </cell>
          <cell r="J179" t="str">
            <v>Nhân viên hợp đồng</v>
          </cell>
        </row>
        <row r="180">
          <cell r="D180" t="str">
            <v>Trung tâm Kiểm nghiệm và đánh giá sản phẩm - Viện NCPT</v>
          </cell>
        </row>
        <row r="181">
          <cell r="D181" t="str">
            <v>Ban Giám đốc</v>
          </cell>
        </row>
        <row r="182">
          <cell r="D182" t="str">
            <v>Thủ trưởng đơn vị</v>
          </cell>
        </row>
        <row r="183">
          <cell r="C183" t="str">
            <v>123453</v>
          </cell>
          <cell r="D183" t="str">
            <v>Tạ Hồng Cương</v>
          </cell>
          <cell r="E183" t="str">
            <v>Trung tâm Kiểm nghiệm và đánh giá sản phẩm - Viện NCPT</v>
          </cell>
          <cell r="F183" t="str">
            <v>Ban Giám đốc</v>
          </cell>
          <cell r="G183" t="str">
            <v>Thủ trưởng đơn vị</v>
          </cell>
          <cell r="H183" t="str">
            <v>Hợp đồng lao động</v>
          </cell>
          <cell r="I183" t="str">
            <v>Quân lực quản lý</v>
          </cell>
          <cell r="J183" t="str">
            <v>Giám đốc</v>
          </cell>
        </row>
        <row r="184">
          <cell r="C184" t="str">
            <v>045111</v>
          </cell>
          <cell r="D184" t="str">
            <v>Phạm Xuân Hải</v>
          </cell>
          <cell r="E184" t="str">
            <v>Trung tâm Kiểm nghiệm và đánh giá sản phẩm - Viện NCPT</v>
          </cell>
          <cell r="F184" t="str">
            <v>Ban Giám đốc</v>
          </cell>
          <cell r="G184" t="str">
            <v>Thủ trưởng đơn vị</v>
          </cell>
          <cell r="H184" t="str">
            <v>Đại úy CN</v>
          </cell>
          <cell r="I184" t="str">
            <v>Quân lực quản lý</v>
          </cell>
          <cell r="J184" t="str">
            <v>Phó Giám đốc</v>
          </cell>
        </row>
        <row r="185">
          <cell r="C185" t="str">
            <v>063773</v>
          </cell>
          <cell r="D185" t="str">
            <v>Phạm Phương Chi</v>
          </cell>
          <cell r="E185" t="str">
            <v>Trung tâm Kiểm nghiệm và đánh giá sản phẩm - Viện NCPT</v>
          </cell>
          <cell r="F185" t="str">
            <v>Ban Giám đốc</v>
          </cell>
          <cell r="G185" t="str">
            <v>Thủ trưởng đơn vị</v>
          </cell>
          <cell r="H185" t="str">
            <v>Thiếu tá CN</v>
          </cell>
          <cell r="I185" t="str">
            <v>Quân lực quản lý</v>
          </cell>
          <cell r="J185" t="str">
            <v>Phó Giám đốc</v>
          </cell>
        </row>
        <row r="186">
          <cell r="D186" t="str">
            <v>Phòng Tổng hợp</v>
          </cell>
        </row>
        <row r="187">
          <cell r="D187" t="str">
            <v>Phụ trách phòng</v>
          </cell>
        </row>
        <row r="188">
          <cell r="C188" t="str">
            <v>015413</v>
          </cell>
          <cell r="D188" t="str">
            <v>Tạ Diệu Thúy</v>
          </cell>
          <cell r="E188" t="str">
            <v>Trung tâm Kiểm nghiệm và đánh giá sản phẩm - Viện NCPT</v>
          </cell>
          <cell r="F188" t="str">
            <v>Phòng Tổng hợp</v>
          </cell>
          <cell r="G188" t="str">
            <v>Phụ trách phòng</v>
          </cell>
          <cell r="H188" t="str">
            <v>Hợp đồng lao động</v>
          </cell>
          <cell r="I188" t="str">
            <v>Quân lực quản lý</v>
          </cell>
          <cell r="J188" t="str">
            <v>Trưởng phòng</v>
          </cell>
        </row>
        <row r="189">
          <cell r="D189" t="str">
            <v>Phòng Thử nghiệm siêu cao tần</v>
          </cell>
        </row>
        <row r="190">
          <cell r="D190" t="str">
            <v>Phụ trách phòng</v>
          </cell>
        </row>
        <row r="191">
          <cell r="C191" t="str">
            <v>107457</v>
          </cell>
          <cell r="D191" t="str">
            <v>Ngô Thị Minh Hiền</v>
          </cell>
          <cell r="E191" t="str">
            <v>Trung tâm Kiểm nghiệm và đánh giá sản phẩm - Viện NCPT</v>
          </cell>
          <cell r="F191" t="str">
            <v>Phòng Thử nghiệm siêu cao tần</v>
          </cell>
          <cell r="G191" t="str">
            <v>Phụ trách phòng</v>
          </cell>
          <cell r="H191" t="str">
            <v>Hợp đồng lao động</v>
          </cell>
          <cell r="I191" t="str">
            <v>Quân lực quản lý</v>
          </cell>
          <cell r="J191" t="str">
            <v>Trưởng phòng</v>
          </cell>
        </row>
        <row r="192">
          <cell r="D192" t="str">
            <v>Trợ lý nghiệp vụ</v>
          </cell>
        </row>
        <row r="193">
          <cell r="C193" t="str">
            <v>087326</v>
          </cell>
          <cell r="D193" t="str">
            <v>Trần Huy Hoàng</v>
          </cell>
          <cell r="E193" t="str">
            <v>Trung tâm Kiểm nghiệm và đánh giá sản phẩm - Viện NCPT</v>
          </cell>
          <cell r="F193" t="str">
            <v>Phòng Thử nghiệm siêu cao tần</v>
          </cell>
          <cell r="G193" t="str">
            <v>Trợ lý nghiệp vụ</v>
          </cell>
          <cell r="H193" t="str">
            <v>Hợp đồng lao động</v>
          </cell>
          <cell r="I193" t="str">
            <v>Quân lực quản lý</v>
          </cell>
          <cell r="J193" t="str">
            <v>Kỹ sư đo kiểm vô tuyến</v>
          </cell>
        </row>
        <row r="194">
          <cell r="C194" t="str">
            <v>186936</v>
          </cell>
          <cell r="D194" t="str">
            <v>Dương Minh Trí</v>
          </cell>
          <cell r="E194" t="str">
            <v>Trung tâm Kiểm nghiệm và đánh giá sản phẩm - Viện NCPT</v>
          </cell>
          <cell r="F194" t="str">
            <v>Phòng Thử nghiệm siêu cao tần</v>
          </cell>
          <cell r="G194" t="str">
            <v>Trợ lý nghiệp vụ</v>
          </cell>
          <cell r="H194" t="str">
            <v>Hợp đồng lao động</v>
          </cell>
          <cell r="I194" t="str">
            <v>Quân lực quản lý</v>
          </cell>
          <cell r="J194" t="str">
            <v>Kỹ sư đo kiểm vô tuyến</v>
          </cell>
        </row>
        <row r="195">
          <cell r="C195" t="str">
            <v>194746</v>
          </cell>
          <cell r="D195" t="str">
            <v>Trịnh Văn Tráng</v>
          </cell>
          <cell r="E195" t="str">
            <v>Trung tâm Kiểm nghiệm và đánh giá sản phẩm - Viện NCPT</v>
          </cell>
          <cell r="F195" t="str">
            <v>Phòng Thử nghiệm siêu cao tần</v>
          </cell>
          <cell r="G195" t="str">
            <v>Trợ lý nghiệp vụ</v>
          </cell>
          <cell r="H195" t="str">
            <v>Hợp đồng lao động</v>
          </cell>
          <cell r="I195" t="str">
            <v>Quân lực quản lý</v>
          </cell>
          <cell r="J195" t="str">
            <v>Kỹ sư đo kiểm vô tuyến</v>
          </cell>
        </row>
        <row r="196">
          <cell r="D196" t="str">
            <v>Phòng Quản lý dự án và Dịch vụ đo kiểm</v>
          </cell>
        </row>
        <row r="197">
          <cell r="D197" t="str">
            <v>Phụ trách phòng</v>
          </cell>
        </row>
        <row r="198">
          <cell r="C198" t="str">
            <v>045099</v>
          </cell>
          <cell r="D198" t="str">
            <v>Phan Ngọc Hoàn</v>
          </cell>
          <cell r="E198" t="str">
            <v>Trung tâm Kiểm nghiệm và đánh giá sản phẩm - Viện NCPT</v>
          </cell>
          <cell r="F198" t="str">
            <v>Phòng Quản lý dự án và Dịch vụ đo kiểm</v>
          </cell>
          <cell r="G198" t="str">
            <v>Phụ trách phòng</v>
          </cell>
          <cell r="H198" t="str">
            <v>CNVQP</v>
          </cell>
          <cell r="I198" t="str">
            <v>Quân lực quản lý</v>
          </cell>
          <cell r="J198" t="str">
            <v>Trưởng phòng</v>
          </cell>
        </row>
        <row r="199">
          <cell r="D199" t="str">
            <v>Trợ lý nghiệp vụ</v>
          </cell>
        </row>
        <row r="200">
          <cell r="C200" t="str">
            <v>087347</v>
          </cell>
          <cell r="D200" t="str">
            <v>Lê Đức Hợp</v>
          </cell>
          <cell r="E200" t="str">
            <v>Trung tâm Kiểm nghiệm và đánh giá sản phẩm - Viện NCPT</v>
          </cell>
          <cell r="F200" t="str">
            <v>Phòng Quản lý dự án và Dịch vụ đo kiểm</v>
          </cell>
          <cell r="G200" t="str">
            <v>Trợ lý nghiệp vụ</v>
          </cell>
          <cell r="H200" t="str">
            <v>Hợp đồng lao động</v>
          </cell>
          <cell r="I200" t="str">
            <v>Quân lực quản lý</v>
          </cell>
          <cell r="J200" t="str">
            <v>Kỹ sư Quản lý chất lượng</v>
          </cell>
        </row>
        <row r="201">
          <cell r="C201" t="str">
            <v>185274</v>
          </cell>
          <cell r="D201" t="str">
            <v>Lương Thị Vân</v>
          </cell>
          <cell r="E201" t="str">
            <v>Trung tâm Kiểm nghiệm và đánh giá sản phẩm - Viện NCPT</v>
          </cell>
          <cell r="F201" t="str">
            <v>Phòng Quản lý dự án và Dịch vụ đo kiểm</v>
          </cell>
          <cell r="G201" t="str">
            <v>Trợ lý nghiệp vụ</v>
          </cell>
          <cell r="H201" t="str">
            <v>Hợp đồng lao động</v>
          </cell>
          <cell r="I201" t="str">
            <v>Quân lực quản lý</v>
          </cell>
          <cell r="J201" t="str">
            <v>Kỹ sư đo kiểm vô tuyến</v>
          </cell>
        </row>
        <row r="202">
          <cell r="D202" t="str">
            <v>Phòng Thử nghiệm tham số điện</v>
          </cell>
        </row>
        <row r="203">
          <cell r="D203" t="str">
            <v>Phụ trách phòng</v>
          </cell>
        </row>
        <row r="204">
          <cell r="C204" t="str">
            <v>047494</v>
          </cell>
          <cell r="D204" t="str">
            <v>Hà Mạnh Thắng</v>
          </cell>
          <cell r="E204" t="str">
            <v>Trung tâm Kiểm nghiệm và đánh giá sản phẩm - Viện NCPT</v>
          </cell>
          <cell r="F204" t="str">
            <v>Phòng Thử nghiệm tham số điện</v>
          </cell>
          <cell r="G204" t="str">
            <v>Phụ trách phòng</v>
          </cell>
          <cell r="H204" t="str">
            <v>Hợp đồng lao động</v>
          </cell>
          <cell r="I204" t="str">
            <v>Quân lực quản lý</v>
          </cell>
          <cell r="J204" t="str">
            <v>Trưởng phòng</v>
          </cell>
        </row>
        <row r="205">
          <cell r="D205" t="str">
            <v>Trợ lý nghiệp vụ</v>
          </cell>
        </row>
        <row r="206">
          <cell r="C206" t="str">
            <v>176180</v>
          </cell>
          <cell r="D206" t="str">
            <v>Lê Xuân Tùng</v>
          </cell>
          <cell r="E206" t="str">
            <v>Trung tâm Kiểm nghiệm và đánh giá sản phẩm - Viện NCPT</v>
          </cell>
          <cell r="F206" t="str">
            <v>Phòng Thử nghiệm tham số điện</v>
          </cell>
          <cell r="G206" t="str">
            <v>Trợ lý nghiệp vụ</v>
          </cell>
          <cell r="H206" t="str">
            <v>Hợp đồng lao động</v>
          </cell>
          <cell r="I206" t="str">
            <v>Quân lực quản lý</v>
          </cell>
          <cell r="J206" t="str">
            <v>Kỹ sư đo kiểm vô tuyến</v>
          </cell>
        </row>
        <row r="207">
          <cell r="D207" t="str">
            <v>Phòng Thử nghiệm cơ khí và môi trường</v>
          </cell>
        </row>
        <row r="208">
          <cell r="D208" t="str">
            <v>Trợ lý nghiệp vụ</v>
          </cell>
        </row>
        <row r="209">
          <cell r="C209" t="str">
            <v>122418</v>
          </cell>
          <cell r="D209" t="str">
            <v>Phạm Đức Hoài</v>
          </cell>
          <cell r="E209" t="str">
            <v>Trung tâm Kiểm nghiệm và đánh giá sản phẩm - Viện NCPT</v>
          </cell>
          <cell r="F209" t="str">
            <v>Phòng Thử nghiệm cơ khí và môi trường</v>
          </cell>
          <cell r="G209" t="str">
            <v>Trợ lý nghiệp vụ</v>
          </cell>
          <cell r="H209" t="str">
            <v>Hợp đồng lao động</v>
          </cell>
          <cell r="I209" t="str">
            <v>Quân lực quản lý</v>
          </cell>
          <cell r="J209" t="str">
            <v>Kỹ sư đo thử cơ khí môi trường lão hóa</v>
          </cell>
        </row>
        <row r="210">
          <cell r="C210" t="str">
            <v>162433</v>
          </cell>
          <cell r="D210" t="str">
            <v>Ngô Việt Dũng</v>
          </cell>
          <cell r="E210" t="str">
            <v>Trung tâm Kiểm nghiệm và đánh giá sản phẩm - Viện NCPT</v>
          </cell>
          <cell r="F210" t="str">
            <v>Phòng Thử nghiệm cơ khí và môi trường</v>
          </cell>
          <cell r="G210" t="str">
            <v>Trợ lý nghiệp vụ</v>
          </cell>
          <cell r="H210" t="str">
            <v>Hợp đồng lao động</v>
          </cell>
          <cell r="I210" t="str">
            <v>Quân lực quản lý</v>
          </cell>
          <cell r="J210" t="str">
            <v>Kỹ sư đo thử cơ khí môi trường lão hóa</v>
          </cell>
        </row>
        <row r="211">
          <cell r="D211" t="str">
            <v>Phòng Kiểm tra chất lượng sản phẩm</v>
          </cell>
        </row>
        <row r="212">
          <cell r="D212" t="str">
            <v>Trợ lý nghiệp vụ</v>
          </cell>
        </row>
        <row r="213">
          <cell r="C213" t="str">
            <v>087229</v>
          </cell>
          <cell r="D213" t="str">
            <v>Nguyễn Thanh Tùng</v>
          </cell>
          <cell r="E213" t="str">
            <v>Trung tâm Kiểm nghiệm và đánh giá sản phẩm - Viện NCPT</v>
          </cell>
          <cell r="F213" t="str">
            <v>Phòng Kiểm tra chất lượng sản phẩm</v>
          </cell>
          <cell r="G213" t="str">
            <v>Trợ lý nghiệp vụ</v>
          </cell>
          <cell r="H213" t="str">
            <v>Hợp đồng lao động</v>
          </cell>
          <cell r="I213" t="str">
            <v>Quân lực quản lý</v>
          </cell>
          <cell r="J213" t="str">
            <v>Kỹ sư kiểm tra chất lượng sản phẩm</v>
          </cell>
        </row>
        <row r="214">
          <cell r="C214" t="str">
            <v>178293</v>
          </cell>
          <cell r="D214" t="str">
            <v>Nguyễn Văn Đại</v>
          </cell>
          <cell r="E214" t="str">
            <v>Trung tâm Kiểm nghiệm và đánh giá sản phẩm - Viện NCPT</v>
          </cell>
          <cell r="F214" t="str">
            <v>Phòng Kiểm tra chất lượng sản phẩm</v>
          </cell>
          <cell r="G214" t="str">
            <v>Trợ lý nghiệp vụ</v>
          </cell>
          <cell r="H214" t="str">
            <v>Hợp đồng lao động</v>
          </cell>
          <cell r="I214" t="str">
            <v>Quân lực quản lý</v>
          </cell>
          <cell r="J214" t="str">
            <v>Kỹ sư kiểm tra chất lượng sản phẩm</v>
          </cell>
        </row>
        <row r="215">
          <cell r="C215" t="str">
            <v>186819</v>
          </cell>
          <cell r="D215" t="str">
            <v>Hà Đình Sơn</v>
          </cell>
          <cell r="E215" t="str">
            <v>Trung tâm Kiểm nghiệm và đánh giá sản phẩm - Viện NCPT</v>
          </cell>
          <cell r="F215" t="str">
            <v>Phòng Kiểm tra chất lượng sản phẩm</v>
          </cell>
          <cell r="G215" t="str">
            <v>Trợ lý nghiệp vụ</v>
          </cell>
          <cell r="H215" t="str">
            <v>Hợp đồng lao động</v>
          </cell>
          <cell r="I215" t="str">
            <v>Quân lực quản lý</v>
          </cell>
          <cell r="J215" t="str">
            <v>Kỹ sư kiểm tra chất lượng sản phẩm</v>
          </cell>
        </row>
        <row r="216">
          <cell r="D216" t="str">
            <v>Trung tâm Hệ thống và tự động hóa - Viện NCPT</v>
          </cell>
        </row>
        <row r="217">
          <cell r="D217" t="str">
            <v>Ban Giám đốc</v>
          </cell>
        </row>
        <row r="218">
          <cell r="D218" t="str">
            <v>Thủ trưởng đơn vị</v>
          </cell>
        </row>
        <row r="219">
          <cell r="C219" t="str">
            <v>003965</v>
          </cell>
          <cell r="D219" t="str">
            <v>Trần Trung Trực</v>
          </cell>
          <cell r="E219" t="str">
            <v>Trung tâm Hệ thống và tự động hóa - Viện NCPT</v>
          </cell>
          <cell r="F219" t="str">
            <v>Ban Giám đốc</v>
          </cell>
          <cell r="G219" t="str">
            <v>Thủ trưởng đơn vị</v>
          </cell>
          <cell r="H219" t="str">
            <v>Đại úy CN</v>
          </cell>
          <cell r="I219" t="str">
            <v>Cán bộ quản lý</v>
          </cell>
          <cell r="J219" t="str">
            <v>Giám đốc</v>
          </cell>
        </row>
        <row r="220">
          <cell r="C220" t="str">
            <v>003966</v>
          </cell>
          <cell r="D220" t="str">
            <v>Nguyễn Gia Vinh</v>
          </cell>
          <cell r="E220" t="str">
            <v>Trung tâm Hệ thống và tự động hóa - Viện NCPT</v>
          </cell>
          <cell r="F220" t="str">
            <v>Ban Giám đốc</v>
          </cell>
          <cell r="G220" t="str">
            <v>Thủ trưởng đơn vị</v>
          </cell>
          <cell r="H220" t="str">
            <v>Đại úy CN</v>
          </cell>
          <cell r="I220" t="str">
            <v>Quân lực quản lý</v>
          </cell>
          <cell r="J220" t="str">
            <v>Phó Giám đốc</v>
          </cell>
        </row>
        <row r="221">
          <cell r="C221" t="str">
            <v>045090</v>
          </cell>
          <cell r="D221" t="str">
            <v>Nguyễn Văn Hải</v>
          </cell>
          <cell r="E221" t="str">
            <v>Trung tâm Hệ thống và tự động hóa - Viện NCPT</v>
          </cell>
          <cell r="F221" t="str">
            <v>Ban Giám đốc</v>
          </cell>
          <cell r="G221" t="str">
            <v>Thủ trưởng đơn vị</v>
          </cell>
          <cell r="H221" t="str">
            <v>Đại úy CN</v>
          </cell>
          <cell r="I221" t="str">
            <v>Quân lực quản lý</v>
          </cell>
          <cell r="J221" t="str">
            <v>Phó Giám đốc</v>
          </cell>
        </row>
        <row r="222">
          <cell r="D222" t="str">
            <v>Phòng Tổng hợp</v>
          </cell>
        </row>
        <row r="223">
          <cell r="D223" t="str">
            <v>Phụ trách phòng</v>
          </cell>
        </row>
        <row r="224">
          <cell r="C224" t="str">
            <v>000375</v>
          </cell>
          <cell r="D224" t="str">
            <v>Nguyễn Ngọc Hà</v>
          </cell>
          <cell r="E224" t="str">
            <v>Trung tâm Hệ thống và tự động hóa - Viện NCPT</v>
          </cell>
          <cell r="F224" t="str">
            <v>Phòng Tổng hợp</v>
          </cell>
          <cell r="G224" t="str">
            <v>Phụ trách phòng</v>
          </cell>
          <cell r="H224" t="str">
            <v>Đại úy CN</v>
          </cell>
          <cell r="I224" t="str">
            <v>Quân lực quản lý</v>
          </cell>
          <cell r="J224" t="str">
            <v>Trưởng phòng</v>
          </cell>
        </row>
        <row r="225">
          <cell r="D225" t="str">
            <v>Trợ lý nghiệp vụ</v>
          </cell>
        </row>
        <row r="226">
          <cell r="C226" t="str">
            <v>009892</v>
          </cell>
          <cell r="D226" t="str">
            <v>Đinh Thị Hoan</v>
          </cell>
          <cell r="E226" t="str">
            <v>Trung tâm Hệ thống và tự động hóa - Viện NCPT</v>
          </cell>
          <cell r="F226" t="str">
            <v>Phòng Tổng hợp</v>
          </cell>
          <cell r="G226" t="str">
            <v>Trợ lý nghiệp vụ</v>
          </cell>
          <cell r="H226" t="str">
            <v>CNVQP</v>
          </cell>
          <cell r="I226" t="str">
            <v>Quân lực quản lý</v>
          </cell>
          <cell r="J226" t="str">
            <v>Kế toán</v>
          </cell>
        </row>
        <row r="227">
          <cell r="C227" t="str">
            <v>056934</v>
          </cell>
          <cell r="D227" t="str">
            <v>Lê Anh Quân</v>
          </cell>
          <cell r="E227" t="str">
            <v>Trung tâm Hệ thống và tự động hóa - Viện NCPT</v>
          </cell>
          <cell r="F227" t="str">
            <v>Phòng Tổng hợp</v>
          </cell>
          <cell r="G227" t="str">
            <v>Trợ lý nghiệp vụ</v>
          </cell>
          <cell r="H227" t="str">
            <v>Hợp đồng lao động</v>
          </cell>
          <cell r="I227" t="str">
            <v>Quân lực quản lý</v>
          </cell>
          <cell r="J227" t="str">
            <v>Nhân viên hành chính tổng hợp</v>
          </cell>
        </row>
        <row r="228">
          <cell r="C228" t="str">
            <v>184815</v>
          </cell>
          <cell r="D228" t="str">
            <v>Nguyễn Thanh Hải</v>
          </cell>
          <cell r="E228" t="str">
            <v>Trung tâm Hệ thống và tự động hóa - Viện NCPT</v>
          </cell>
          <cell r="F228" t="str">
            <v>Phòng Tổng hợp</v>
          </cell>
          <cell r="G228" t="str">
            <v>Trợ lý nghiệp vụ</v>
          </cell>
          <cell r="H228" t="str">
            <v>Hợp đồng lao động</v>
          </cell>
          <cell r="I228" t="str">
            <v>Quân lực quản lý</v>
          </cell>
          <cell r="J228" t="str">
            <v>Nhân viên Tài sản</v>
          </cell>
        </row>
        <row r="229">
          <cell r="D229" t="str">
            <v>Phòng Cơ điện tử</v>
          </cell>
        </row>
        <row r="230">
          <cell r="D230" t="str">
            <v>Phụ trách phòng</v>
          </cell>
        </row>
        <row r="231">
          <cell r="C231" t="str">
            <v>119715</v>
          </cell>
          <cell r="D231" t="str">
            <v>Hoàng Anh Tài</v>
          </cell>
          <cell r="E231" t="str">
            <v>Trung tâm Hệ thống và tự động hóa - Viện NCPT</v>
          </cell>
          <cell r="F231" t="str">
            <v>Phòng Cơ điện tử</v>
          </cell>
          <cell r="G231" t="str">
            <v>Phụ trách phòng</v>
          </cell>
          <cell r="H231" t="str">
            <v>Hợp đồng lao động</v>
          </cell>
          <cell r="I231" t="str">
            <v>Quân lực quản lý</v>
          </cell>
          <cell r="J231" t="str">
            <v>Trưởng phòng</v>
          </cell>
        </row>
        <row r="232">
          <cell r="D232" t="str">
            <v>Nhóm Thiết kế cơ khí</v>
          </cell>
        </row>
        <row r="233">
          <cell r="C233" t="str">
            <v>194747</v>
          </cell>
          <cell r="D233" t="str">
            <v>Hà Minh Thế</v>
          </cell>
          <cell r="E233" t="str">
            <v>Trung tâm Hệ thống và tự động hóa - Viện NCPT</v>
          </cell>
          <cell r="F233" t="str">
            <v>Phòng Cơ điện tử</v>
          </cell>
          <cell r="G233" t="str">
            <v>Nhóm Thiết kế cơ khí</v>
          </cell>
          <cell r="H233" t="str">
            <v>Hợp đồng lao động</v>
          </cell>
          <cell r="I233" t="str">
            <v>Quân lực quản lý</v>
          </cell>
          <cell r="J233" t="str">
            <v>Kỹ sư Cơ khí</v>
          </cell>
        </row>
        <row r="234">
          <cell r="D234" t="str">
            <v>Nhóm chế thử</v>
          </cell>
        </row>
        <row r="235">
          <cell r="C235" t="str">
            <v>171694</v>
          </cell>
          <cell r="D235" t="str">
            <v>Nguyễn Xuân Hòa</v>
          </cell>
          <cell r="E235" t="str">
            <v>Trung tâm Hệ thống và tự động hóa - Viện NCPT</v>
          </cell>
          <cell r="F235" t="str">
            <v>Phòng Cơ điện tử</v>
          </cell>
          <cell r="G235" t="str">
            <v>Nhóm chế thử</v>
          </cell>
          <cell r="H235" t="str">
            <v>Hợp đồng lao động</v>
          </cell>
          <cell r="I235" t="str">
            <v>Quân lực quản lý</v>
          </cell>
          <cell r="J235" t="str">
            <v>Kỹ sư Cơ khí</v>
          </cell>
        </row>
        <row r="236">
          <cell r="D236" t="str">
            <v>Phòng điều khiển và truyền động</v>
          </cell>
        </row>
        <row r="237">
          <cell r="D237" t="str">
            <v>Phụ trách phòng</v>
          </cell>
        </row>
        <row r="238">
          <cell r="C238" t="str">
            <v>087198</v>
          </cell>
          <cell r="D238" t="str">
            <v>Hoàng Minh Châu</v>
          </cell>
          <cell r="E238" t="str">
            <v>Trung tâm Hệ thống và tự động hóa - Viện NCPT</v>
          </cell>
          <cell r="F238" t="str">
            <v>Phòng điều khiển và truyền động</v>
          </cell>
          <cell r="G238" t="str">
            <v>Phụ trách phòng</v>
          </cell>
          <cell r="H238" t="str">
            <v>Hợp đồng lao động</v>
          </cell>
          <cell r="I238" t="str">
            <v>Quân lực quản lý</v>
          </cell>
          <cell r="J238" t="str">
            <v>Trưởng phòng</v>
          </cell>
        </row>
        <row r="239">
          <cell r="D239" t="str">
            <v>Nhóm nghiên cứu thuật toán điều khiển và truyền động</v>
          </cell>
        </row>
        <row r="240">
          <cell r="C240" t="str">
            <v>114099</v>
          </cell>
          <cell r="D240" t="str">
            <v>Nguyễn Ngọc Tuyến</v>
          </cell>
          <cell r="E240" t="str">
            <v>Trung tâm Hệ thống và tự động hóa - Viện NCPT</v>
          </cell>
          <cell r="F240" t="str">
            <v>Phòng điều khiển và truyền động</v>
          </cell>
          <cell r="G240" t="str">
            <v>Nhóm nghiên cứu thuật toán điều khiển và truyền động</v>
          </cell>
          <cell r="H240" t="str">
            <v>Hợp đồng lao động</v>
          </cell>
          <cell r="I240" t="str">
            <v>Quân lực quản lý</v>
          </cell>
          <cell r="J240" t="str">
            <v>Trưởng nhóm</v>
          </cell>
        </row>
        <row r="241">
          <cell r="C241" t="str">
            <v>185494</v>
          </cell>
          <cell r="D241" t="str">
            <v>Đoàn Xuân Thảo</v>
          </cell>
          <cell r="E241" t="str">
            <v>Trung tâm Hệ thống và tự động hóa - Viện NCPT</v>
          </cell>
          <cell r="F241" t="str">
            <v>Phòng điều khiển và truyền động</v>
          </cell>
          <cell r="G241" t="str">
            <v>Nhóm nghiên cứu thuật toán điều khiển và truyền động</v>
          </cell>
          <cell r="H241" t="str">
            <v>Hợp đồng lao động</v>
          </cell>
          <cell r="I241" t="str">
            <v>Quân lực quản lý</v>
          </cell>
          <cell r="J241" t="str">
            <v>Kỹ sư Tự động hóa</v>
          </cell>
        </row>
        <row r="242">
          <cell r="D242" t="str">
            <v>Nhóm lập trình nhúng</v>
          </cell>
        </row>
        <row r="243">
          <cell r="C243" t="str">
            <v>113038</v>
          </cell>
          <cell r="D243" t="str">
            <v>Đinh Cao Sơn</v>
          </cell>
          <cell r="E243" t="str">
            <v>Trung tâm Hệ thống và tự động hóa - Viện NCPT</v>
          </cell>
          <cell r="F243" t="str">
            <v>Phòng điều khiển và truyền động</v>
          </cell>
          <cell r="G243" t="str">
            <v>Nhóm lập trình nhúng</v>
          </cell>
          <cell r="H243" t="str">
            <v>Hợp đồng lao động</v>
          </cell>
          <cell r="I243" t="str">
            <v>Quân lực quản lý</v>
          </cell>
          <cell r="J243" t="str">
            <v>Trưởng nhóm</v>
          </cell>
        </row>
        <row r="244">
          <cell r="C244" t="str">
            <v>158173</v>
          </cell>
          <cell r="D244" t="str">
            <v>Trần Đức Hiếu</v>
          </cell>
          <cell r="E244" t="str">
            <v>Trung tâm Hệ thống và tự động hóa - Viện NCPT</v>
          </cell>
          <cell r="F244" t="str">
            <v>Phòng điều khiển và truyền động</v>
          </cell>
          <cell r="G244" t="str">
            <v>Nhóm lập trình nhúng</v>
          </cell>
          <cell r="H244" t="str">
            <v>Hợp đồng lao động</v>
          </cell>
          <cell r="I244" t="str">
            <v>Quân lực quản lý</v>
          </cell>
          <cell r="J244" t="str">
            <v>Kỹ sư phát triển phần mềm nhúng</v>
          </cell>
        </row>
        <row r="245">
          <cell r="D245" t="str">
            <v>Nhóm thiết kế phần cứng</v>
          </cell>
        </row>
        <row r="246">
          <cell r="C246" t="str">
            <v>148776</v>
          </cell>
          <cell r="D246" t="str">
            <v>Nguyễn Huy Quân</v>
          </cell>
          <cell r="E246" t="str">
            <v>Trung tâm Hệ thống và tự động hóa - Viện NCPT</v>
          </cell>
          <cell r="F246" t="str">
            <v>Phòng điều khiển và truyền động</v>
          </cell>
          <cell r="G246" t="str">
            <v>Nhóm thiết kế phần cứng</v>
          </cell>
          <cell r="H246" t="str">
            <v>Hợp đồng lao động</v>
          </cell>
          <cell r="I246" t="str">
            <v>Quân lực quản lý</v>
          </cell>
          <cell r="J246" t="str">
            <v>Kỹ sư thiết kế phần cứng</v>
          </cell>
        </row>
        <row r="247">
          <cell r="C247" t="str">
            <v>155454</v>
          </cell>
          <cell r="D247" t="str">
            <v>Chu Văn Lại</v>
          </cell>
          <cell r="E247" t="str">
            <v>Trung tâm Hệ thống và tự động hóa - Viện NCPT</v>
          </cell>
          <cell r="F247" t="str">
            <v>Phòng điều khiển và truyền động</v>
          </cell>
          <cell r="G247" t="str">
            <v>Nhóm thiết kế phần cứng</v>
          </cell>
          <cell r="H247" t="str">
            <v>Hợp đồng lao động</v>
          </cell>
          <cell r="I247" t="str">
            <v>Quân lực quản lý</v>
          </cell>
          <cell r="J247" t="str">
            <v>Kỹ sư thiết kế phần cứng</v>
          </cell>
        </row>
        <row r="248">
          <cell r="D248" t="str">
            <v>Phòng xử lý ảnh và lập trình hệ thống</v>
          </cell>
        </row>
        <row r="249">
          <cell r="D249" t="str">
            <v>Phụ trách phòng</v>
          </cell>
        </row>
        <row r="250">
          <cell r="C250" t="str">
            <v>148777</v>
          </cell>
          <cell r="D250" t="str">
            <v>Tạ Hồng Nam</v>
          </cell>
          <cell r="E250" t="str">
            <v>Trung tâm Hệ thống và tự động hóa - Viện NCPT</v>
          </cell>
          <cell r="F250" t="str">
            <v>Phòng xử lý ảnh và lập trình hệ thống</v>
          </cell>
          <cell r="G250" t="str">
            <v>Phụ trách phòng</v>
          </cell>
          <cell r="H250" t="str">
            <v>Hợp đồng lao động</v>
          </cell>
          <cell r="I250" t="str">
            <v>Quân lực quản lý</v>
          </cell>
          <cell r="J250" t="str">
            <v>Phó Trưởng phòng</v>
          </cell>
        </row>
        <row r="251">
          <cell r="D251" t="str">
            <v xml:space="preserve">Nhóm xử lý ảnh  </v>
          </cell>
        </row>
        <row r="252">
          <cell r="C252" t="str">
            <v>193281</v>
          </cell>
          <cell r="D252" t="str">
            <v>Trương Huy Hoàng</v>
          </cell>
          <cell r="E252" t="str">
            <v>Trung tâm Hệ thống và tự động hóa - Viện NCPT</v>
          </cell>
          <cell r="F252" t="str">
            <v>Phòng xử lý ảnh và lập trình hệ thống</v>
          </cell>
          <cell r="G252" t="str">
            <v xml:space="preserve">Nhóm xử lý ảnh  </v>
          </cell>
          <cell r="H252" t="str">
            <v>Hợp đồng lao động</v>
          </cell>
          <cell r="I252" t="str">
            <v>Quân lực quản lý</v>
          </cell>
          <cell r="J252" t="str">
            <v>Kỹ sư phát triển phần mềm nhúng</v>
          </cell>
        </row>
        <row r="253">
          <cell r="C253" t="str">
            <v>194749</v>
          </cell>
          <cell r="D253" t="str">
            <v>Phạm Thu Hường</v>
          </cell>
          <cell r="E253" t="str">
            <v>Trung tâm Hệ thống và tự động hóa - Viện NCPT</v>
          </cell>
          <cell r="F253" t="str">
            <v>Phòng xử lý ảnh và lập trình hệ thống</v>
          </cell>
          <cell r="G253" t="str">
            <v xml:space="preserve">Nhóm xử lý ảnh  </v>
          </cell>
          <cell r="H253" t="str">
            <v>Hợp đồng lao động</v>
          </cell>
          <cell r="I253" t="str">
            <v>Quân lực quản lý</v>
          </cell>
          <cell r="J253" t="str">
            <v>Kỹ sư phát triển phần mềm nhúng</v>
          </cell>
        </row>
        <row r="254">
          <cell r="D254" t="str">
            <v>Nhóm lập trình hệ thống</v>
          </cell>
        </row>
        <row r="255">
          <cell r="C255" t="str">
            <v>137618</v>
          </cell>
          <cell r="D255" t="str">
            <v>Mẫn Đức Thắng</v>
          </cell>
          <cell r="E255" t="str">
            <v>Trung tâm Hệ thống và tự động hóa - Viện NCPT</v>
          </cell>
          <cell r="F255" t="str">
            <v>Phòng xử lý ảnh và lập trình hệ thống</v>
          </cell>
          <cell r="G255" t="str">
            <v>Nhóm lập trình hệ thống</v>
          </cell>
          <cell r="H255" t="str">
            <v>Hợp đồng lao động</v>
          </cell>
          <cell r="I255" t="str">
            <v>Quân lực quản lý</v>
          </cell>
          <cell r="J255" t="str">
            <v>Kỹ sư lập trình</v>
          </cell>
        </row>
        <row r="256">
          <cell r="C256" t="str">
            <v>193277</v>
          </cell>
          <cell r="D256" t="str">
            <v>Phí Đình Sáng</v>
          </cell>
          <cell r="E256" t="str">
            <v>Trung tâm Hệ thống và tự động hóa - Viện NCPT</v>
          </cell>
          <cell r="F256" t="str">
            <v>Phòng xử lý ảnh và lập trình hệ thống</v>
          </cell>
          <cell r="G256" t="str">
            <v>Nhóm lập trình hệ thống</v>
          </cell>
          <cell r="H256" t="str">
            <v>Hợp đồng lao động</v>
          </cell>
          <cell r="I256" t="str">
            <v>Quân lực quản lý</v>
          </cell>
          <cell r="J256" t="str">
            <v>Kỹ sư lập trình</v>
          </cell>
        </row>
        <row r="257">
          <cell r="D257" t="str">
            <v>Phòng Tích hợp hệ thống và Quản lý sản xuất</v>
          </cell>
        </row>
        <row r="258">
          <cell r="D258" t="str">
            <v>Phụ trách phòng</v>
          </cell>
        </row>
        <row r="259">
          <cell r="C259" t="str">
            <v>056921</v>
          </cell>
          <cell r="D259" t="str">
            <v>Ngô Quang Huy</v>
          </cell>
          <cell r="E259" t="str">
            <v>Trung tâm Hệ thống và tự động hóa - Viện NCPT</v>
          </cell>
          <cell r="F259" t="str">
            <v>Phòng Tích hợp hệ thống và Quản lý sản xuất</v>
          </cell>
          <cell r="G259" t="str">
            <v>Phụ trách phòng</v>
          </cell>
          <cell r="H259" t="str">
            <v>Hợp đồng lao động</v>
          </cell>
          <cell r="I259" t="str">
            <v>Quân lực quản lý</v>
          </cell>
          <cell r="J259" t="str">
            <v>Trưởng phòng</v>
          </cell>
        </row>
        <row r="260">
          <cell r="D260" t="str">
            <v>Nhóm thiết kế hệ thống</v>
          </cell>
        </row>
        <row r="261">
          <cell r="C261" t="str">
            <v>100477</v>
          </cell>
          <cell r="D261" t="str">
            <v>Khương Văn Hữu</v>
          </cell>
          <cell r="E261" t="str">
            <v>Trung tâm Hệ thống và tự động hóa - Viện NCPT</v>
          </cell>
          <cell r="F261" t="str">
            <v>Phòng Tích hợp hệ thống và Quản lý sản xuất</v>
          </cell>
          <cell r="G261" t="str">
            <v>Nhóm thiết kế hệ thống</v>
          </cell>
          <cell r="H261" t="str">
            <v>Hợp đồng lao động</v>
          </cell>
          <cell r="I261" t="str">
            <v>Quân lực quản lý</v>
          </cell>
          <cell r="J261" t="str">
            <v>Trưởng nhóm</v>
          </cell>
        </row>
        <row r="262">
          <cell r="C262" t="str">
            <v>153033</v>
          </cell>
          <cell r="D262" t="str">
            <v>Nguyễn Đức Thuần</v>
          </cell>
          <cell r="E262" t="str">
            <v>Trung tâm Hệ thống và tự động hóa - Viện NCPT</v>
          </cell>
          <cell r="F262" t="str">
            <v>Phòng Tích hợp hệ thống và Quản lý sản xuất</v>
          </cell>
          <cell r="G262" t="str">
            <v>Nhóm thiết kế hệ thống</v>
          </cell>
          <cell r="H262" t="str">
            <v>Hợp đồng lao động</v>
          </cell>
          <cell r="I262" t="str">
            <v>Quân lực quản lý</v>
          </cell>
          <cell r="J262" t="str">
            <v>Kỹ sư hệ thống Quang điện tử</v>
          </cell>
        </row>
        <row r="263">
          <cell r="D263" t="str">
            <v>Nhóm tích hợp hệ thống</v>
          </cell>
        </row>
        <row r="264">
          <cell r="C264" t="str">
            <v>148933</v>
          </cell>
          <cell r="D264" t="str">
            <v>Nguyễn Quốc Thịnh</v>
          </cell>
          <cell r="E264" t="str">
            <v>Trung tâm Hệ thống và tự động hóa - Viện NCPT</v>
          </cell>
          <cell r="F264" t="str">
            <v>Phòng Tích hợp hệ thống và Quản lý sản xuất</v>
          </cell>
          <cell r="G264" t="str">
            <v>Nhóm tích hợp hệ thống</v>
          </cell>
          <cell r="H264" t="str">
            <v>Hợp đồng lao động</v>
          </cell>
          <cell r="I264" t="str">
            <v>Quân lực quản lý</v>
          </cell>
          <cell r="J264" t="str">
            <v>Kỹ sư Tích hợp hệ thống</v>
          </cell>
        </row>
        <row r="265">
          <cell r="D265" t="str">
            <v>Nhóm triển khai và đảm bảo</v>
          </cell>
        </row>
        <row r="266">
          <cell r="C266" t="str">
            <v>074176</v>
          </cell>
          <cell r="D266" t="str">
            <v>Nguyễn Đình Thắng</v>
          </cell>
          <cell r="E266" t="str">
            <v>Trung tâm Hệ thống và tự động hóa - Viện NCPT</v>
          </cell>
          <cell r="F266" t="str">
            <v>Phòng Tích hợp hệ thống và Quản lý sản xuất</v>
          </cell>
          <cell r="G266" t="str">
            <v>Nhóm triển khai và đảm bảo</v>
          </cell>
          <cell r="H266" t="str">
            <v>Thiếu tá CN</v>
          </cell>
          <cell r="I266" t="str">
            <v>Cán bộ quản lý</v>
          </cell>
          <cell r="J266" t="str">
            <v>Kỹ sư Tích hợp hệ thống</v>
          </cell>
        </row>
        <row r="267">
          <cell r="D267" t="str">
            <v>Trung tâm Thông tin quân sự - Viện NCPT</v>
          </cell>
        </row>
        <row r="268">
          <cell r="D268" t="str">
            <v>Ban Giám đốc và chuyên gia</v>
          </cell>
        </row>
        <row r="269">
          <cell r="D269" t="str">
            <v>Thủ trưởng đơn vị</v>
          </cell>
        </row>
        <row r="270">
          <cell r="C270" t="str">
            <v>087210</v>
          </cell>
          <cell r="D270" t="str">
            <v>Đào Vũ Kiên</v>
          </cell>
          <cell r="E270" t="str">
            <v>Trung tâm Thông tin quân sự - Viện NCPT</v>
          </cell>
          <cell r="F270" t="str">
            <v>Ban Giám đốc và chuyên gia</v>
          </cell>
          <cell r="G270" t="str">
            <v>Thủ trưởng đơn vị</v>
          </cell>
          <cell r="H270" t="str">
            <v>Đại úy CN</v>
          </cell>
          <cell r="I270" t="str">
            <v>Quân lực quản lý</v>
          </cell>
          <cell r="J270" t="str">
            <v>Giám đốc</v>
          </cell>
        </row>
        <row r="271">
          <cell r="C271" t="str">
            <v>059034</v>
          </cell>
          <cell r="D271" t="str">
            <v>Nguyễn Mạnh Linh</v>
          </cell>
          <cell r="E271" t="str">
            <v>Trung tâm Thông tin quân sự - Viện NCPT</v>
          </cell>
          <cell r="F271" t="str">
            <v>Ban Giám đốc và chuyên gia</v>
          </cell>
          <cell r="G271" t="str">
            <v>Thủ trưởng đơn vị</v>
          </cell>
          <cell r="H271" t="str">
            <v>Hợp đồng lao động</v>
          </cell>
          <cell r="I271" t="str">
            <v>Quân lực quản lý</v>
          </cell>
          <cell r="J271" t="str">
            <v>Phó Giám đốc</v>
          </cell>
        </row>
        <row r="272">
          <cell r="C272" t="str">
            <v>093077</v>
          </cell>
          <cell r="D272" t="str">
            <v>Nguyễn Cương Hoàng</v>
          </cell>
          <cell r="E272" t="str">
            <v>Trung tâm Thông tin quân sự - Viện NCPT</v>
          </cell>
          <cell r="F272" t="str">
            <v>Ban Giám đốc và chuyên gia</v>
          </cell>
          <cell r="G272" t="str">
            <v>Thủ trưởng đơn vị</v>
          </cell>
          <cell r="H272" t="str">
            <v>Thiếu tá CN</v>
          </cell>
          <cell r="I272" t="str">
            <v>Quân lực quản lý</v>
          </cell>
          <cell r="J272" t="str">
            <v>Phó Giám đốc</v>
          </cell>
        </row>
        <row r="273">
          <cell r="D273" t="str">
            <v>Phòng Tổng hợp</v>
          </cell>
        </row>
        <row r="274">
          <cell r="D274" t="str">
            <v>Phụ trách phòng</v>
          </cell>
        </row>
        <row r="275">
          <cell r="C275" t="str">
            <v>045097</v>
          </cell>
          <cell r="D275" t="str">
            <v>Hoàng Thị Nga</v>
          </cell>
          <cell r="E275" t="str">
            <v>Trung tâm Thông tin quân sự - Viện NCPT</v>
          </cell>
          <cell r="F275" t="str">
            <v>Phòng Tổng hợp</v>
          </cell>
          <cell r="G275" t="str">
            <v>Phụ trách phòng</v>
          </cell>
          <cell r="H275" t="str">
            <v>Hợp đồng lao động</v>
          </cell>
          <cell r="I275" t="str">
            <v>Quân lực quản lý</v>
          </cell>
          <cell r="J275" t="str">
            <v>Trưởng phòng</v>
          </cell>
        </row>
        <row r="276">
          <cell r="D276" t="str">
            <v>Trợ lý nghiệp vụ</v>
          </cell>
        </row>
        <row r="277">
          <cell r="C277" t="str">
            <v>009870</v>
          </cell>
          <cell r="D277" t="str">
            <v>Nguyễn Thị Thanh Thủy</v>
          </cell>
          <cell r="E277" t="str">
            <v>Trung tâm Thông tin quân sự - Viện NCPT</v>
          </cell>
          <cell r="F277" t="str">
            <v>Phòng Tổng hợp</v>
          </cell>
          <cell r="G277" t="str">
            <v>Trợ lý nghiệp vụ</v>
          </cell>
          <cell r="H277" t="str">
            <v>Hợp đồng lao động</v>
          </cell>
          <cell r="I277" t="str">
            <v>Quân lực quản lý</v>
          </cell>
          <cell r="J277" t="str">
            <v>Kế toán</v>
          </cell>
        </row>
        <row r="278">
          <cell r="C278" t="str">
            <v>063770</v>
          </cell>
          <cell r="D278" t="str">
            <v>Trương Thị Thùy Dung</v>
          </cell>
          <cell r="E278" t="str">
            <v>Trung tâm Thông tin quân sự - Viện NCPT</v>
          </cell>
          <cell r="F278" t="str">
            <v>Phòng Tổng hợp</v>
          </cell>
          <cell r="G278" t="str">
            <v>Trợ lý nghiệp vụ</v>
          </cell>
          <cell r="H278" t="str">
            <v>Hợp đồng lao động</v>
          </cell>
          <cell r="I278" t="str">
            <v>Quân lực quản lý</v>
          </cell>
          <cell r="J278" t="str">
            <v>Nhân viên hành chính tổng hợp</v>
          </cell>
        </row>
        <row r="279">
          <cell r="D279" t="str">
            <v>Phòng Quản lý sản xuất</v>
          </cell>
        </row>
        <row r="280">
          <cell r="D280" t="str">
            <v>Phụ trách phòng</v>
          </cell>
        </row>
        <row r="281">
          <cell r="C281" t="str">
            <v>120001</v>
          </cell>
          <cell r="D281" t="str">
            <v>Dương Minh Tùng</v>
          </cell>
          <cell r="E281" t="str">
            <v>Trung tâm Thông tin quân sự - Viện NCPT</v>
          </cell>
          <cell r="F281" t="str">
            <v>Phòng Quản lý sản xuất</v>
          </cell>
          <cell r="G281" t="str">
            <v>Phụ trách phòng</v>
          </cell>
          <cell r="H281" t="str">
            <v>Hợp đồng lao động</v>
          </cell>
          <cell r="I281" t="str">
            <v>Quân lực quản lý</v>
          </cell>
          <cell r="J281" t="str">
            <v>Trưởng phòng</v>
          </cell>
        </row>
        <row r="282">
          <cell r="D282" t="str">
            <v>Phòng Xử lý Tín hiệu</v>
          </cell>
        </row>
        <row r="283">
          <cell r="D283" t="str">
            <v>Phụ trách phòng</v>
          </cell>
        </row>
        <row r="284">
          <cell r="C284" t="str">
            <v>087201</v>
          </cell>
          <cell r="D284" t="str">
            <v>Nguyễn Thái Bình</v>
          </cell>
          <cell r="E284" t="str">
            <v>Trung tâm Thông tin quân sự - Viện NCPT</v>
          </cell>
          <cell r="F284" t="str">
            <v>Phòng Xử lý Tín hiệu</v>
          </cell>
          <cell r="G284" t="str">
            <v>Phụ trách phòng</v>
          </cell>
          <cell r="H284" t="str">
            <v>Đại úy CN</v>
          </cell>
          <cell r="I284" t="str">
            <v>Quân lực quản lý</v>
          </cell>
          <cell r="J284" t="str">
            <v>Trưởng phòng</v>
          </cell>
        </row>
        <row r="285">
          <cell r="C285" t="str">
            <v>132131</v>
          </cell>
          <cell r="D285" t="str">
            <v>Đồng Quang Trung</v>
          </cell>
          <cell r="E285" t="str">
            <v>Trung tâm Thông tin quân sự - Viện NCPT</v>
          </cell>
          <cell r="F285" t="str">
            <v>Phòng Xử lý Tín hiệu</v>
          </cell>
          <cell r="G285" t="str">
            <v>Phụ trách phòng</v>
          </cell>
          <cell r="H285" t="str">
            <v>Hợp đồng lao động</v>
          </cell>
          <cell r="I285" t="str">
            <v>Quân lực quản lý</v>
          </cell>
          <cell r="J285" t="str">
            <v>Phó Trưởng phòng</v>
          </cell>
        </row>
        <row r="286">
          <cell r="D286" t="str">
            <v>Bộ phận thiết kế hệ thống xử lý FPGA</v>
          </cell>
        </row>
        <row r="287">
          <cell r="C287" t="str">
            <v>108998</v>
          </cell>
          <cell r="D287" t="str">
            <v>Đàm Thế Hiếu</v>
          </cell>
          <cell r="E287" t="str">
            <v>Trung tâm Thông tin quân sự - Viện NCPT</v>
          </cell>
          <cell r="F287" t="str">
            <v>Phòng Xử lý Tín hiệu</v>
          </cell>
          <cell r="G287" t="str">
            <v>Bộ phận thiết kế hệ thống xử lý FPGA</v>
          </cell>
          <cell r="H287" t="str">
            <v>Hợp đồng lao động</v>
          </cell>
          <cell r="I287" t="str">
            <v>Quân lực quản lý</v>
          </cell>
          <cell r="J287" t="str">
            <v>Kỹ sư Lập trình kiểm thử HDL</v>
          </cell>
        </row>
        <row r="288">
          <cell r="D288" t="str">
            <v>Bộ phận xử lý tín hiệu băng gốc</v>
          </cell>
        </row>
        <row r="289">
          <cell r="C289" t="str">
            <v>123204</v>
          </cell>
          <cell r="D289" t="str">
            <v>Nguyễn Hữu Đức</v>
          </cell>
          <cell r="E289" t="str">
            <v>Trung tâm Thông tin quân sự - Viện NCPT</v>
          </cell>
          <cell r="F289" t="str">
            <v>Phòng Xử lý Tín hiệu</v>
          </cell>
          <cell r="G289" t="str">
            <v>Bộ phận xử lý tín hiệu băng gốc</v>
          </cell>
          <cell r="H289" t="str">
            <v>Hợp đồng lao động</v>
          </cell>
          <cell r="I289" t="str">
            <v>Quân lực quản lý</v>
          </cell>
          <cell r="J289" t="str">
            <v>Trưởng nhóm</v>
          </cell>
        </row>
        <row r="290">
          <cell r="C290" t="str">
            <v>135756</v>
          </cell>
          <cell r="D290" t="str">
            <v>Nguyễn Ngọc Tú</v>
          </cell>
          <cell r="E290" t="str">
            <v>Trung tâm Thông tin quân sự - Viện NCPT</v>
          </cell>
          <cell r="F290" t="str">
            <v>Phòng Xử lý Tín hiệu</v>
          </cell>
          <cell r="G290" t="str">
            <v>Bộ phận xử lý tín hiệu băng gốc</v>
          </cell>
          <cell r="H290" t="str">
            <v>Hợp đồng lao động</v>
          </cell>
          <cell r="I290" t="str">
            <v>Quân lực quản lý</v>
          </cell>
          <cell r="J290" t="str">
            <v>Kỹ sư xử lý tín hiệu</v>
          </cell>
        </row>
        <row r="291">
          <cell r="C291" t="str">
            <v>135757</v>
          </cell>
          <cell r="D291" t="str">
            <v>Bùi Tuấn Anh</v>
          </cell>
          <cell r="E291" t="str">
            <v>Trung tâm Thông tin quân sự - Viện NCPT</v>
          </cell>
          <cell r="F291" t="str">
            <v>Phòng Xử lý Tín hiệu</v>
          </cell>
          <cell r="G291" t="str">
            <v>Bộ phận xử lý tín hiệu băng gốc</v>
          </cell>
          <cell r="H291" t="str">
            <v>Hợp đồng lao động</v>
          </cell>
          <cell r="I291" t="str">
            <v>Quân lực quản lý</v>
          </cell>
          <cell r="J291" t="str">
            <v>Kỹ sư xử lý tín hiệu</v>
          </cell>
        </row>
        <row r="292">
          <cell r="C292" t="str">
            <v>198999</v>
          </cell>
          <cell r="D292" t="str">
            <v>Nguyễn Việt Hoàng</v>
          </cell>
          <cell r="E292" t="str">
            <v>Trung tâm Thông tin quân sự - Viện NCPT</v>
          </cell>
          <cell r="F292" t="str">
            <v>Phòng Xử lý Tín hiệu</v>
          </cell>
          <cell r="G292" t="str">
            <v>Bộ phận xử lý tín hiệu băng gốc</v>
          </cell>
          <cell r="H292" t="str">
            <v>Hợp đồng lao động</v>
          </cell>
          <cell r="I292" t="str">
            <v>Quân lực quản lý</v>
          </cell>
          <cell r="J292" t="str">
            <v>Kỹ sư xử lý tín hiệu</v>
          </cell>
        </row>
        <row r="293">
          <cell r="D293" t="str">
            <v>Bộ phận mã hóa và bảo mật</v>
          </cell>
        </row>
        <row r="294">
          <cell r="C294" t="str">
            <v>155474</v>
          </cell>
          <cell r="D294" t="str">
            <v>Nguyễn Phan Khánh Hà</v>
          </cell>
          <cell r="E294" t="str">
            <v>Trung tâm Thông tin quân sự - Viện NCPT</v>
          </cell>
          <cell r="F294" t="str">
            <v>Phòng Xử lý Tín hiệu</v>
          </cell>
          <cell r="G294" t="str">
            <v>Bộ phận mã hóa và bảo mật</v>
          </cell>
          <cell r="H294" t="str">
            <v>Hợp đồng lao động</v>
          </cell>
          <cell r="I294" t="str">
            <v>Quân lực quản lý</v>
          </cell>
          <cell r="J294" t="str">
            <v>Kỹ sư xử lý tín hiệu</v>
          </cell>
        </row>
        <row r="295">
          <cell r="D295" t="str">
            <v>Bộ phận Kiểm thử và thử nghiệm</v>
          </cell>
        </row>
        <row r="296">
          <cell r="C296" t="str">
            <v>135755</v>
          </cell>
          <cell r="D296" t="str">
            <v>Nguyễn Hồng Huy Thông</v>
          </cell>
          <cell r="E296" t="str">
            <v>Trung tâm Thông tin quân sự - Viện NCPT</v>
          </cell>
          <cell r="F296" t="str">
            <v>Phòng Xử lý Tín hiệu</v>
          </cell>
          <cell r="G296" t="str">
            <v>Bộ phận Kiểm thử và thử nghiệm</v>
          </cell>
          <cell r="H296" t="str">
            <v>Hợp đồng lao động</v>
          </cell>
          <cell r="I296" t="str">
            <v>Quân lực quản lý</v>
          </cell>
          <cell r="J296" t="str">
            <v>Kỹ sư xử lý tín hiệu</v>
          </cell>
        </row>
        <row r="297">
          <cell r="C297" t="str">
            <v>164964</v>
          </cell>
          <cell r="D297" t="str">
            <v>Trần Ngọc Tú</v>
          </cell>
          <cell r="E297" t="str">
            <v>Trung tâm Thông tin quân sự - Viện NCPT</v>
          </cell>
          <cell r="F297" t="str">
            <v>Phòng Xử lý Tín hiệu</v>
          </cell>
          <cell r="G297" t="str">
            <v>Bộ phận Kiểm thử và thử nghiệm</v>
          </cell>
          <cell r="H297" t="str">
            <v>Hợp đồng lao động</v>
          </cell>
          <cell r="I297" t="str">
            <v>Quân lực quản lý</v>
          </cell>
          <cell r="J297" t="str">
            <v>Kỹ sư xử lý tín hiệu</v>
          </cell>
        </row>
        <row r="298">
          <cell r="C298" t="str">
            <v>164969</v>
          </cell>
          <cell r="D298" t="str">
            <v>Hoàng Minh Tú</v>
          </cell>
          <cell r="E298" t="str">
            <v>Trung tâm Thông tin quân sự - Viện NCPT</v>
          </cell>
          <cell r="F298" t="str">
            <v>Phòng Xử lý Tín hiệu</v>
          </cell>
          <cell r="G298" t="str">
            <v>Bộ phận Kiểm thử và thử nghiệm</v>
          </cell>
          <cell r="H298" t="str">
            <v>Hợp đồng lao động</v>
          </cell>
          <cell r="I298" t="str">
            <v>Quân lực quản lý</v>
          </cell>
          <cell r="J298" t="str">
            <v>Kỹ sư xử lý tín hiệu</v>
          </cell>
        </row>
        <row r="299">
          <cell r="D299" t="str">
            <v>Phòng Thiết kế phần cứng</v>
          </cell>
        </row>
        <row r="300">
          <cell r="D300" t="str">
            <v>Phụ trách phòng</v>
          </cell>
        </row>
        <row r="301">
          <cell r="C301" t="str">
            <v>116188</v>
          </cell>
          <cell r="D301" t="str">
            <v>Khương Duy</v>
          </cell>
          <cell r="E301" t="str">
            <v>Trung tâm Thông tin quân sự - Viện NCPT</v>
          </cell>
          <cell r="F301" t="str">
            <v>Phòng Thiết kế phần cứng</v>
          </cell>
          <cell r="G301" t="str">
            <v>Phụ trách phòng</v>
          </cell>
          <cell r="H301" t="str">
            <v>Hợp đồng lao động</v>
          </cell>
          <cell r="I301" t="str">
            <v>Quân lực quản lý</v>
          </cell>
          <cell r="J301" t="str">
            <v>Trưởng phòng</v>
          </cell>
        </row>
        <row r="302">
          <cell r="C302" t="str">
            <v>130448</v>
          </cell>
          <cell r="D302" t="str">
            <v>Ngô Huy Tấn</v>
          </cell>
          <cell r="E302" t="str">
            <v>Trung tâm Thông tin quân sự - Viện NCPT</v>
          </cell>
          <cell r="F302" t="str">
            <v>Phòng Thiết kế phần cứng</v>
          </cell>
          <cell r="G302" t="str">
            <v>Phụ trách phòng</v>
          </cell>
          <cell r="H302" t="str">
            <v>Hợp đồng lao động</v>
          </cell>
          <cell r="I302" t="str">
            <v>Quân lực quản lý</v>
          </cell>
          <cell r="J302" t="str">
            <v>Phó Trưởng phòng</v>
          </cell>
        </row>
        <row r="303">
          <cell r="D303" t="str">
            <v>Bộ phận Thiết kế hệ thống số</v>
          </cell>
        </row>
        <row r="304">
          <cell r="C304" t="str">
            <v>114618</v>
          </cell>
          <cell r="D304" t="str">
            <v>Trần Văn Đăng</v>
          </cell>
          <cell r="E304" t="str">
            <v>Trung tâm Thông tin quân sự - Viện NCPT</v>
          </cell>
          <cell r="F304" t="str">
            <v>Phòng Thiết kế phần cứng</v>
          </cell>
          <cell r="G304" t="str">
            <v>Bộ phận Thiết kế hệ thống số</v>
          </cell>
          <cell r="H304" t="str">
            <v>Hợp đồng lao động</v>
          </cell>
          <cell r="I304" t="str">
            <v>Quân lực quản lý</v>
          </cell>
          <cell r="J304" t="str">
            <v>Kỹ sư thiết kế phần cứng số</v>
          </cell>
        </row>
        <row r="305">
          <cell r="C305" t="str">
            <v>137030</v>
          </cell>
          <cell r="D305" t="str">
            <v>Dương Đức Thanh</v>
          </cell>
          <cell r="E305" t="str">
            <v>Trung tâm Thông tin quân sự - Viện NCPT</v>
          </cell>
          <cell r="F305" t="str">
            <v>Phòng Thiết kế phần cứng</v>
          </cell>
          <cell r="G305" t="str">
            <v>Bộ phận Thiết kế hệ thống số</v>
          </cell>
          <cell r="H305" t="str">
            <v>Hợp đồng lao động</v>
          </cell>
          <cell r="I305" t="str">
            <v>Quân lực quản lý</v>
          </cell>
          <cell r="J305" t="str">
            <v>Kỹ sư thiết kế phần cứng số</v>
          </cell>
        </row>
        <row r="306">
          <cell r="C306" t="str">
            <v>164957</v>
          </cell>
          <cell r="D306" t="str">
            <v>Cấn Văn Lịch</v>
          </cell>
          <cell r="E306" t="str">
            <v>Trung tâm Thông tin quân sự - Viện NCPT</v>
          </cell>
          <cell r="F306" t="str">
            <v>Phòng Thiết kế phần cứng</v>
          </cell>
          <cell r="G306" t="str">
            <v>Bộ phận Thiết kế hệ thống số</v>
          </cell>
          <cell r="H306" t="str">
            <v>Hợp đồng lao động</v>
          </cell>
          <cell r="I306" t="str">
            <v>Quân lực quản lý</v>
          </cell>
          <cell r="J306" t="str">
            <v>Kỹ sư thiết kế phần cứng số</v>
          </cell>
        </row>
        <row r="307">
          <cell r="C307" t="str">
            <v>187217</v>
          </cell>
          <cell r="D307" t="str">
            <v>Nguyễn Hồ Như Ý</v>
          </cell>
          <cell r="E307" t="str">
            <v>Trung tâm Thông tin quân sự - Viện NCPT</v>
          </cell>
          <cell r="F307" t="str">
            <v>Phòng Thiết kế phần cứng</v>
          </cell>
          <cell r="G307" t="str">
            <v>Bộ phận Thiết kế hệ thống số</v>
          </cell>
          <cell r="H307" t="str">
            <v>Hợp đồng lao động</v>
          </cell>
          <cell r="I307" t="str">
            <v>Quân lực quản lý</v>
          </cell>
          <cell r="J307" t="str">
            <v>Kỹ sư thiết kế phần cứng số</v>
          </cell>
        </row>
        <row r="308">
          <cell r="D308" t="str">
            <v>Bộ phận Thiết kế phần cứng cao tần</v>
          </cell>
        </row>
        <row r="309">
          <cell r="C309" t="str">
            <v>137611</v>
          </cell>
          <cell r="D309" t="str">
            <v>Phùng Đức Phú</v>
          </cell>
          <cell r="E309" t="str">
            <v>Trung tâm Thông tin quân sự - Viện NCPT</v>
          </cell>
          <cell r="F309" t="str">
            <v>Phòng Thiết kế phần cứng</v>
          </cell>
          <cell r="G309" t="str">
            <v>Bộ phận Thiết kế phần cứng cao tần</v>
          </cell>
          <cell r="H309" t="str">
            <v>Hợp đồng lao động</v>
          </cell>
          <cell r="I309" t="str">
            <v>Quân lực quản lý</v>
          </cell>
          <cell r="J309" t="str">
            <v>Trưởng nhóm</v>
          </cell>
        </row>
        <row r="310">
          <cell r="C310" t="str">
            <v>194744</v>
          </cell>
          <cell r="D310" t="str">
            <v>Nguyễn Hoàng Linh</v>
          </cell>
          <cell r="E310" t="str">
            <v>Trung tâm Thông tin quân sự - Viện NCPT</v>
          </cell>
          <cell r="F310" t="str">
            <v>Phòng Thiết kế phần cứng</v>
          </cell>
          <cell r="G310" t="str">
            <v>Bộ phận Thiết kế phần cứng cao tần</v>
          </cell>
          <cell r="H310" t="str">
            <v>Hợp đồng lao động</v>
          </cell>
          <cell r="I310" t="str">
            <v>Quân lực quản lý</v>
          </cell>
          <cell r="J310" t="str">
            <v>Kỹ sư thiết kế phần cứng cao tần</v>
          </cell>
        </row>
        <row r="311">
          <cell r="C311" t="str">
            <v>194745</v>
          </cell>
          <cell r="D311" t="str">
            <v>Nguyễn Thị Huyền Trang</v>
          </cell>
          <cell r="E311" t="str">
            <v>Trung tâm Thông tin quân sự - Viện NCPT</v>
          </cell>
          <cell r="F311" t="str">
            <v>Phòng Thiết kế phần cứng</v>
          </cell>
          <cell r="G311" t="str">
            <v>Bộ phận Thiết kế phần cứng cao tần</v>
          </cell>
          <cell r="H311" t="str">
            <v>Hợp đồng lao động</v>
          </cell>
          <cell r="I311" t="str">
            <v>Quân lực quản lý</v>
          </cell>
          <cell r="J311" t="str">
            <v>Kỹ sư thiết kế phần cứng cao tần</v>
          </cell>
        </row>
        <row r="312">
          <cell r="C312" t="str">
            <v>197134</v>
          </cell>
          <cell r="D312" t="str">
            <v>Bùi Minh Vũ</v>
          </cell>
          <cell r="E312" t="str">
            <v>Trung tâm Thông tin quân sự - Viện NCPT</v>
          </cell>
          <cell r="F312" t="str">
            <v>Phòng Thiết kế phần cứng</v>
          </cell>
          <cell r="G312" t="str">
            <v>Bộ phận Thiết kế phần cứng cao tần</v>
          </cell>
          <cell r="H312" t="str">
            <v>Hợp đồng lao động</v>
          </cell>
          <cell r="I312" t="str">
            <v>Quân lực quản lý</v>
          </cell>
          <cell r="J312" t="str">
            <v>Kỹ sư thiết kế phần cứng cao tần</v>
          </cell>
        </row>
        <row r="313">
          <cell r="D313" t="str">
            <v>Phòng Phát triển phần mềm</v>
          </cell>
        </row>
        <row r="314">
          <cell r="D314" t="str">
            <v>Phụ trách phòng</v>
          </cell>
        </row>
        <row r="315">
          <cell r="C315" t="str">
            <v>087199</v>
          </cell>
          <cell r="D315" t="str">
            <v>Đặng Hữu Tùng</v>
          </cell>
          <cell r="E315" t="str">
            <v>Trung tâm Thông tin quân sự - Viện NCPT</v>
          </cell>
          <cell r="F315" t="str">
            <v>Phòng Phát triển phần mềm</v>
          </cell>
          <cell r="G315" t="str">
            <v>Phụ trách phòng</v>
          </cell>
          <cell r="H315" t="str">
            <v>Hợp đồng lao động</v>
          </cell>
          <cell r="I315" t="str">
            <v>Quân lực quản lý</v>
          </cell>
          <cell r="J315" t="str">
            <v>Trưởng phòng</v>
          </cell>
        </row>
        <row r="316">
          <cell r="D316" t="str">
            <v>Bộ phận Phát triển phần mềm nhúng</v>
          </cell>
        </row>
        <row r="317">
          <cell r="C317" t="str">
            <v>133931</v>
          </cell>
          <cell r="D317" t="str">
            <v>Lưu Như Hòa</v>
          </cell>
          <cell r="E317" t="str">
            <v>Trung tâm Thông tin quân sự - Viện NCPT</v>
          </cell>
          <cell r="F317" t="str">
            <v>Phòng Phát triển phần mềm</v>
          </cell>
          <cell r="G317" t="str">
            <v>Bộ phận Phát triển phần mềm nhúng</v>
          </cell>
          <cell r="H317" t="str">
            <v>Hợp đồng lao động</v>
          </cell>
          <cell r="I317" t="str">
            <v>Quân lực quản lý</v>
          </cell>
          <cell r="J317" t="str">
            <v>Trưởng nhóm</v>
          </cell>
        </row>
        <row r="318">
          <cell r="C318" t="str">
            <v>194738</v>
          </cell>
          <cell r="D318" t="str">
            <v>Đỗ Bá Minh</v>
          </cell>
          <cell r="E318" t="str">
            <v>Trung tâm Thông tin quân sự - Viện NCPT</v>
          </cell>
          <cell r="F318" t="str">
            <v>Phòng Phát triển phần mềm</v>
          </cell>
          <cell r="G318" t="str">
            <v>Bộ phận Phát triển phần mềm nhúng</v>
          </cell>
          <cell r="H318" t="str">
            <v>Hợp đồng lao động</v>
          </cell>
          <cell r="I318" t="str">
            <v>Quân lực quản lý</v>
          </cell>
          <cell r="J318" t="str">
            <v>Kỹ sư phát triển phần mềm nhúng</v>
          </cell>
        </row>
        <row r="319">
          <cell r="C319" t="str">
            <v>195193</v>
          </cell>
          <cell r="D319" t="str">
            <v>Nguyễn Viết Thu</v>
          </cell>
          <cell r="E319" t="str">
            <v>Trung tâm Thông tin quân sự - Viện NCPT</v>
          </cell>
          <cell r="F319" t="str">
            <v>Phòng Phát triển phần mềm</v>
          </cell>
          <cell r="G319" t="str">
            <v>Bộ phận Phát triển phần mềm nhúng</v>
          </cell>
          <cell r="H319" t="str">
            <v>Hợp đồng lao động</v>
          </cell>
          <cell r="I319" t="str">
            <v>Quân lực quản lý</v>
          </cell>
          <cell r="J319" t="str">
            <v>Kỹ sư phát triển phần mềm nhúng</v>
          </cell>
        </row>
        <row r="320">
          <cell r="C320" t="str">
            <v>197129</v>
          </cell>
          <cell r="D320" t="str">
            <v>Trần Xuân Trường</v>
          </cell>
          <cell r="E320" t="str">
            <v>Trung tâm Thông tin quân sự - Viện NCPT</v>
          </cell>
          <cell r="F320" t="str">
            <v>Phòng Phát triển phần mềm</v>
          </cell>
          <cell r="G320" t="str">
            <v>Bộ phận Phát triển phần mềm nhúng</v>
          </cell>
          <cell r="H320" t="str">
            <v>Hợp đồng lao động</v>
          </cell>
          <cell r="I320" t="str">
            <v>Quân lực quản lý</v>
          </cell>
          <cell r="J320" t="str">
            <v>Kỹ sư phát triển phần mềm nhúng</v>
          </cell>
        </row>
        <row r="321">
          <cell r="D321" t="str">
            <v>Bộ phận Phát triển phần mềm ứng dụng</v>
          </cell>
        </row>
        <row r="322">
          <cell r="C322" t="str">
            <v>096596</v>
          </cell>
          <cell r="D322" t="str">
            <v>Lê Đăng Hiếu</v>
          </cell>
          <cell r="E322" t="str">
            <v>Trung tâm Thông tin quân sự - Viện NCPT</v>
          </cell>
          <cell r="F322" t="str">
            <v>Phòng Phát triển phần mềm</v>
          </cell>
          <cell r="G322" t="str">
            <v>Bộ phận Phát triển phần mềm ứng dụng</v>
          </cell>
          <cell r="H322" t="str">
            <v>Hợp đồng lao động</v>
          </cell>
          <cell r="I322" t="str">
            <v>Quân lực quản lý</v>
          </cell>
          <cell r="J322" t="str">
            <v>Kỹ sư phát triển phần mềm nhúng</v>
          </cell>
        </row>
        <row r="323">
          <cell r="C323" t="str">
            <v>162555</v>
          </cell>
          <cell r="D323" t="str">
            <v>Nguyễn Đình Liệu</v>
          </cell>
          <cell r="E323" t="str">
            <v>Trung tâm Thông tin quân sự - Viện NCPT</v>
          </cell>
          <cell r="F323" t="str">
            <v>Phòng Phát triển phần mềm</v>
          </cell>
          <cell r="G323" t="str">
            <v>Bộ phận Phát triển phần mềm ứng dụng</v>
          </cell>
          <cell r="H323" t="str">
            <v>Hợp đồng lao động</v>
          </cell>
          <cell r="I323" t="str">
            <v>Quân lực quản lý</v>
          </cell>
          <cell r="J323" t="str">
            <v>Kỹ sư phát triển phần mềm nhúng</v>
          </cell>
        </row>
        <row r="324">
          <cell r="C324" t="str">
            <v>172213</v>
          </cell>
          <cell r="D324" t="str">
            <v>Trần Tiến Đạt</v>
          </cell>
          <cell r="E324" t="str">
            <v>Trung tâm Thông tin quân sự - Viện NCPT</v>
          </cell>
          <cell r="F324" t="str">
            <v>Phòng Phát triển phần mềm</v>
          </cell>
          <cell r="G324" t="str">
            <v>Bộ phận Phát triển phần mềm ứng dụng</v>
          </cell>
          <cell r="H324" t="str">
            <v>Hợp đồng lao động</v>
          </cell>
          <cell r="I324" t="str">
            <v>Quân lực quản lý</v>
          </cell>
          <cell r="J324" t="str">
            <v>Kỹ sư phát triển phần mềm nhúng</v>
          </cell>
        </row>
        <row r="325">
          <cell r="D325" t="str">
            <v>Bộ phận Phát triển giao thức và truyền thông</v>
          </cell>
        </row>
        <row r="326">
          <cell r="C326" t="str">
            <v>148778</v>
          </cell>
          <cell r="D326" t="str">
            <v>Nguyễn Hoàng Anh</v>
          </cell>
          <cell r="E326" t="str">
            <v>Trung tâm Thông tin quân sự - Viện NCPT</v>
          </cell>
          <cell r="F326" t="str">
            <v>Phòng Phát triển phần mềm</v>
          </cell>
          <cell r="G326" t="str">
            <v>Bộ phận Phát triển giao thức và truyền thông</v>
          </cell>
          <cell r="H326" t="str">
            <v>Hợp đồng lao động</v>
          </cell>
          <cell r="I326" t="str">
            <v>Quân lực quản lý</v>
          </cell>
          <cell r="J326" t="str">
            <v>Trưởng nhóm</v>
          </cell>
        </row>
        <row r="327">
          <cell r="C327" t="str">
            <v>137988</v>
          </cell>
          <cell r="D327" t="str">
            <v>Bùi Ngọc Linh</v>
          </cell>
          <cell r="E327" t="str">
            <v>Trung tâm Thông tin quân sự - Viện NCPT</v>
          </cell>
          <cell r="F327" t="str">
            <v>Phòng Phát triển phần mềm</v>
          </cell>
          <cell r="G327" t="str">
            <v>Bộ phận Phát triển giao thức và truyền thông</v>
          </cell>
          <cell r="H327" t="str">
            <v>Hợp đồng lao động</v>
          </cell>
          <cell r="I327" t="str">
            <v>Quân lực quản lý</v>
          </cell>
          <cell r="J327" t="str">
            <v>Kỹ sư lập trình phần mềm nhúng</v>
          </cell>
        </row>
        <row r="328">
          <cell r="C328" t="str">
            <v>158153</v>
          </cell>
          <cell r="D328" t="str">
            <v>Trần Quang Bình</v>
          </cell>
          <cell r="E328" t="str">
            <v>Trung tâm Thông tin quân sự - Viện NCPT</v>
          </cell>
          <cell r="F328" t="str">
            <v>Phòng Phát triển phần mềm</v>
          </cell>
          <cell r="G328" t="str">
            <v>Bộ phận Phát triển giao thức và truyền thông</v>
          </cell>
          <cell r="H328" t="str">
            <v>Hợp đồng lao động</v>
          </cell>
          <cell r="I328" t="str">
            <v>Quân lực quản lý</v>
          </cell>
          <cell r="J328" t="str">
            <v>Kỹ sư lập trình phần mềm nhúng</v>
          </cell>
        </row>
        <row r="329">
          <cell r="C329" t="str">
            <v>164974</v>
          </cell>
          <cell r="D329" t="str">
            <v>Trần Quốc Phương</v>
          </cell>
          <cell r="E329" t="str">
            <v>Trung tâm Thông tin quân sự - Viện NCPT</v>
          </cell>
          <cell r="F329" t="str">
            <v>Phòng Phát triển phần mềm</v>
          </cell>
          <cell r="G329" t="str">
            <v>Bộ phận Phát triển giao thức và truyền thông</v>
          </cell>
          <cell r="H329" t="str">
            <v>Hợp đồng lao động</v>
          </cell>
          <cell r="I329" t="str">
            <v>Quân lực quản lý</v>
          </cell>
          <cell r="J329" t="str">
            <v>Kỹ sư lập trình phần mềm nhúng</v>
          </cell>
        </row>
        <row r="330">
          <cell r="D330" t="str">
            <v>Phòng phát triển công cụ và kiểm soát chất lượng</v>
          </cell>
        </row>
        <row r="331">
          <cell r="D331" t="str">
            <v>Phụ trách phòng</v>
          </cell>
        </row>
        <row r="332">
          <cell r="C332" t="str">
            <v>110139</v>
          </cell>
          <cell r="D332" t="str">
            <v>Vũ Minh Tuấn</v>
          </cell>
          <cell r="E332" t="str">
            <v>Trung tâm Thông tin quân sự - Viện NCPT</v>
          </cell>
          <cell r="F332" t="str">
            <v>Phòng phát triển công cụ và kiểm soát chất lượng</v>
          </cell>
          <cell r="G332" t="str">
            <v>Phụ trách phòng</v>
          </cell>
          <cell r="H332" t="str">
            <v>Hợp đồng lao động</v>
          </cell>
          <cell r="I332" t="str">
            <v>Quân lực quản lý</v>
          </cell>
          <cell r="J332" t="str">
            <v>Trưởng phòng</v>
          </cell>
        </row>
        <row r="333">
          <cell r="D333" t="str">
            <v>Bộ phận Tích hợp hệ thống</v>
          </cell>
        </row>
        <row r="334">
          <cell r="C334" t="str">
            <v>135650</v>
          </cell>
          <cell r="D334" t="str">
            <v>Nguyễn Văn Mạnh</v>
          </cell>
          <cell r="E334" t="str">
            <v>Trung tâm Thông tin quân sự - Viện NCPT</v>
          </cell>
          <cell r="F334" t="str">
            <v>Phòng phát triển công cụ và kiểm soát chất lượng</v>
          </cell>
          <cell r="G334" t="str">
            <v>Bộ phận Tích hợp hệ thống</v>
          </cell>
          <cell r="H334" t="str">
            <v>Hợp đồng lao động</v>
          </cell>
          <cell r="I334" t="str">
            <v>Quân lực quản lý</v>
          </cell>
          <cell r="J334" t="str">
            <v>Kỹ sư phát triển phần cứng</v>
          </cell>
        </row>
        <row r="335">
          <cell r="C335" t="str">
            <v>164978</v>
          </cell>
          <cell r="D335" t="str">
            <v>Đoàn Ngọc Trung</v>
          </cell>
          <cell r="E335" t="str">
            <v>Trung tâm Thông tin quân sự - Viện NCPT</v>
          </cell>
          <cell r="F335" t="str">
            <v>Phòng phát triển công cụ và kiểm soát chất lượng</v>
          </cell>
          <cell r="G335" t="str">
            <v>Bộ phận Tích hợp hệ thống</v>
          </cell>
          <cell r="H335" t="str">
            <v>Hợp đồng lao động</v>
          </cell>
          <cell r="I335" t="str">
            <v>Quân lực quản lý</v>
          </cell>
          <cell r="J335" t="str">
            <v>Kỹ sư phát triển phần mềm nhúng</v>
          </cell>
        </row>
        <row r="336">
          <cell r="C336" t="str">
            <v>171854</v>
          </cell>
          <cell r="D336" t="str">
            <v>Lê Văn Lực</v>
          </cell>
          <cell r="E336" t="str">
            <v>Trung tâm Thông tin quân sự - Viện NCPT</v>
          </cell>
          <cell r="F336" t="str">
            <v>Phòng phát triển công cụ và kiểm soát chất lượng</v>
          </cell>
          <cell r="G336" t="str">
            <v>Bộ phận Tích hợp hệ thống</v>
          </cell>
          <cell r="H336" t="str">
            <v>Hợp đồng lao động</v>
          </cell>
          <cell r="I336" t="str">
            <v>Quân lực quản lý</v>
          </cell>
          <cell r="J336" t="str">
            <v>Kỹ sư Cơ khí</v>
          </cell>
        </row>
        <row r="337">
          <cell r="C337" t="str">
            <v>185513</v>
          </cell>
          <cell r="D337" t="str">
            <v>Nguyễn Tiến Thịnh</v>
          </cell>
          <cell r="E337" t="str">
            <v>Trung tâm Thông tin quân sự - Viện NCPT</v>
          </cell>
          <cell r="F337" t="str">
            <v>Phòng phát triển công cụ và kiểm soát chất lượng</v>
          </cell>
          <cell r="G337" t="str">
            <v>Bộ phận Tích hợp hệ thống</v>
          </cell>
          <cell r="H337" t="str">
            <v>Hợp đồng lao động</v>
          </cell>
          <cell r="I337" t="str">
            <v>Quân lực quản lý</v>
          </cell>
          <cell r="J337" t="str">
            <v>Kỹ sư phát triển phần mềm nhúng</v>
          </cell>
        </row>
        <row r="338">
          <cell r="C338" t="str">
            <v>187015</v>
          </cell>
          <cell r="D338" t="str">
            <v>Vương Công Định</v>
          </cell>
          <cell r="E338" t="str">
            <v>Trung tâm Thông tin quân sự - Viện NCPT</v>
          </cell>
          <cell r="F338" t="str">
            <v>Phòng phát triển công cụ và kiểm soát chất lượng</v>
          </cell>
          <cell r="G338" t="str">
            <v>Bộ phận Tích hợp hệ thống</v>
          </cell>
          <cell r="H338" t="str">
            <v>Hợp đồng lao động</v>
          </cell>
          <cell r="I338" t="str">
            <v>Quân lực quản lý</v>
          </cell>
          <cell r="J338" t="str">
            <v>Kỹ sư phát triển phần cứng</v>
          </cell>
        </row>
        <row r="339">
          <cell r="C339" t="str">
            <v>196133</v>
          </cell>
          <cell r="D339" t="str">
            <v>Nguyễn Hòa Bình</v>
          </cell>
          <cell r="E339" t="str">
            <v>Trung tâm Thông tin quân sự - Viện NCPT</v>
          </cell>
          <cell r="F339" t="str">
            <v>Phòng phát triển công cụ và kiểm soát chất lượng</v>
          </cell>
          <cell r="G339" t="str">
            <v>Bộ phận Tích hợp hệ thống</v>
          </cell>
          <cell r="H339" t="str">
            <v>Hợp đồng lao động</v>
          </cell>
          <cell r="I339" t="str">
            <v>Quân lực quản lý</v>
          </cell>
          <cell r="J339" t="str">
            <v>Kỹ sư Cơ khí</v>
          </cell>
        </row>
        <row r="340">
          <cell r="D340" t="str">
            <v>Bộ phận Phát triển công cụ</v>
          </cell>
        </row>
        <row r="341">
          <cell r="C341" t="str">
            <v>140773</v>
          </cell>
          <cell r="D341" t="str">
            <v>Nguyễn Việt Hùng</v>
          </cell>
          <cell r="E341" t="str">
            <v>Trung tâm Thông tin quân sự - Viện NCPT</v>
          </cell>
          <cell r="F341" t="str">
            <v>Phòng phát triển công cụ và kiểm soát chất lượng</v>
          </cell>
          <cell r="G341" t="str">
            <v>Bộ phận Phát triển công cụ</v>
          </cell>
          <cell r="H341" t="str">
            <v>Hợp đồng lao động</v>
          </cell>
          <cell r="I341" t="str">
            <v>Quân lực quản lý</v>
          </cell>
          <cell r="J341" t="str">
            <v>Trưởng nhóm</v>
          </cell>
        </row>
        <row r="342">
          <cell r="C342" t="str">
            <v>091497</v>
          </cell>
          <cell r="D342" t="str">
            <v>Nguyễn Việt Cường</v>
          </cell>
          <cell r="E342" t="str">
            <v>Trung tâm Thông tin quân sự - Viện NCPT</v>
          </cell>
          <cell r="F342" t="str">
            <v>Phòng phát triển công cụ và kiểm soát chất lượng</v>
          </cell>
          <cell r="G342" t="str">
            <v>Bộ phận Phát triển công cụ</v>
          </cell>
          <cell r="H342" t="str">
            <v>Đại úy CN</v>
          </cell>
          <cell r="I342" t="str">
            <v>Cán bộ quản lý</v>
          </cell>
          <cell r="J342" t="str">
            <v>Kỹ sư phát triển phần cứng</v>
          </cell>
        </row>
        <row r="343">
          <cell r="C343" t="str">
            <v>162517</v>
          </cell>
          <cell r="D343" t="str">
            <v>Chu Quang Khánh</v>
          </cell>
          <cell r="E343" t="str">
            <v>Trung tâm Thông tin quân sự - Viện NCPT</v>
          </cell>
          <cell r="F343" t="str">
            <v>Phòng phát triển công cụ và kiểm soát chất lượng</v>
          </cell>
          <cell r="G343" t="str">
            <v>Bộ phận Phát triển công cụ</v>
          </cell>
          <cell r="H343" t="str">
            <v>Hợp đồng lao động</v>
          </cell>
          <cell r="I343" t="str">
            <v>Quân lực quản lý</v>
          </cell>
          <cell r="J343" t="str">
            <v>Kỹ sư phát triển phần cứng</v>
          </cell>
        </row>
        <row r="344">
          <cell r="C344" t="str">
            <v>162539</v>
          </cell>
          <cell r="D344" t="str">
            <v>Nguyễn Viết Trường</v>
          </cell>
          <cell r="E344" t="str">
            <v>Trung tâm Thông tin quân sự - Viện NCPT</v>
          </cell>
          <cell r="F344" t="str">
            <v>Phòng phát triển công cụ và kiểm soát chất lượng</v>
          </cell>
          <cell r="G344" t="str">
            <v>Bộ phận Phát triển công cụ</v>
          </cell>
          <cell r="H344" t="str">
            <v>Hợp đồng lao động</v>
          </cell>
          <cell r="I344" t="str">
            <v>Quân lực quản lý</v>
          </cell>
          <cell r="J344" t="str">
            <v>Kỹ sư phát triển phần mềm nhúng</v>
          </cell>
        </row>
        <row r="345">
          <cell r="C345" t="str">
            <v>172733</v>
          </cell>
          <cell r="D345" t="str">
            <v>Hoàng Văn Hải</v>
          </cell>
          <cell r="E345" t="str">
            <v>Trung tâm Thông tin quân sự - Viện NCPT</v>
          </cell>
          <cell r="F345" t="str">
            <v>Phòng phát triển công cụ và kiểm soát chất lượng</v>
          </cell>
          <cell r="G345" t="str">
            <v>Bộ phận Phát triển công cụ</v>
          </cell>
          <cell r="H345" t="str">
            <v>Hợp đồng lao động</v>
          </cell>
          <cell r="I345" t="str">
            <v>Quân lực quản lý</v>
          </cell>
          <cell r="J345" t="str">
            <v>Kỹ sư phát triển phần mềm nhúng</v>
          </cell>
        </row>
        <row r="346">
          <cell r="C346" t="str">
            <v>197894</v>
          </cell>
          <cell r="D346" t="str">
            <v>Nguyễn Tuấn Anh</v>
          </cell>
          <cell r="E346" t="str">
            <v>Trung tâm Thông tin quân sự - Viện NCPT</v>
          </cell>
          <cell r="F346" t="str">
            <v>Phòng phát triển công cụ và kiểm soát chất lượng</v>
          </cell>
          <cell r="G346" t="str">
            <v>Bộ phận Phát triển công cụ</v>
          </cell>
          <cell r="H346" t="str">
            <v>HĐ Thử việc</v>
          </cell>
          <cell r="I346" t="str">
            <v>Quân lực quản lý</v>
          </cell>
          <cell r="J346" t="str">
            <v>Kỹ sư phát triển phần mềm nhúng</v>
          </cell>
        </row>
        <row r="347">
          <cell r="D347" t="str">
            <v>Bộ phận Kiểm thử</v>
          </cell>
        </row>
        <row r="348">
          <cell r="C348" t="str">
            <v>165016</v>
          </cell>
          <cell r="D348" t="str">
            <v>Nguyễn Văn Doan</v>
          </cell>
          <cell r="E348" t="str">
            <v>Trung tâm Thông tin quân sự - Viện NCPT</v>
          </cell>
          <cell r="F348" t="str">
            <v>Phòng phát triển công cụ và kiểm soát chất lượng</v>
          </cell>
          <cell r="G348" t="str">
            <v>Bộ phận Kiểm thử</v>
          </cell>
          <cell r="H348" t="str">
            <v>Hợp đồng lao động</v>
          </cell>
          <cell r="I348" t="str">
            <v>Quân lực quản lý</v>
          </cell>
          <cell r="J348" t="str">
            <v>Kỹ sư phát triển phần mềm nhúng</v>
          </cell>
        </row>
        <row r="349">
          <cell r="D349" t="str">
            <v>Bộ phận linh kiện</v>
          </cell>
        </row>
        <row r="350">
          <cell r="C350" t="str">
            <v>063771</v>
          </cell>
          <cell r="D350" t="str">
            <v>Hoàng Thị Phương Nga</v>
          </cell>
          <cell r="E350" t="str">
            <v>Trung tâm Thông tin quân sự - Viện NCPT</v>
          </cell>
          <cell r="F350" t="str">
            <v>Phòng phát triển công cụ và kiểm soát chất lượng</v>
          </cell>
          <cell r="G350" t="str">
            <v>Bộ phận linh kiện</v>
          </cell>
          <cell r="H350" t="str">
            <v>Hợp đồng lao động</v>
          </cell>
          <cell r="I350" t="str">
            <v>Quân lực quản lý</v>
          </cell>
          <cell r="J350" t="str">
            <v>Trưởng nhóm</v>
          </cell>
        </row>
        <row r="351">
          <cell r="C351" t="str">
            <v>123203</v>
          </cell>
          <cell r="D351" t="str">
            <v>Trần Mạnh Dũng</v>
          </cell>
          <cell r="E351" t="str">
            <v>Trung tâm Thông tin quân sự - Viện NCPT</v>
          </cell>
          <cell r="F351" t="str">
            <v>Phòng phát triển công cụ và kiểm soát chất lượng</v>
          </cell>
          <cell r="G351" t="str">
            <v>Bộ phận linh kiện</v>
          </cell>
          <cell r="H351" t="str">
            <v>Hợp đồng lao động</v>
          </cell>
          <cell r="I351" t="str">
            <v>Quân lực quản lý</v>
          </cell>
          <cell r="J351" t="str">
            <v>Kỹ sư linh kiện</v>
          </cell>
        </row>
        <row r="352">
          <cell r="C352" t="str">
            <v>194737</v>
          </cell>
          <cell r="D352" t="str">
            <v>Nguyễn Thị Hương</v>
          </cell>
          <cell r="E352" t="str">
            <v>Trung tâm Thông tin quân sự - Viện NCPT</v>
          </cell>
          <cell r="F352" t="str">
            <v>Phòng phát triển công cụ và kiểm soát chất lượng</v>
          </cell>
          <cell r="G352" t="str">
            <v>Bộ phận linh kiện</v>
          </cell>
          <cell r="H352" t="str">
            <v>Hợp đồng lao động</v>
          </cell>
          <cell r="I352" t="str">
            <v>Quân lực quản lý</v>
          </cell>
          <cell r="J352" t="str">
            <v>Kỹ sư linh kiện</v>
          </cell>
        </row>
        <row r="353">
          <cell r="D353" t="str">
            <v>Phòng Nghiên cứu phát triển hệ thống số</v>
          </cell>
        </row>
        <row r="354">
          <cell r="D354" t="str">
            <v>Phụ trách phòng</v>
          </cell>
        </row>
        <row r="355">
          <cell r="C355" t="str">
            <v>131748</v>
          </cell>
          <cell r="D355" t="str">
            <v>Phạm Trung Kiên</v>
          </cell>
          <cell r="E355" t="str">
            <v>Trung tâm Thông tin quân sự - Viện NCPT</v>
          </cell>
          <cell r="F355" t="str">
            <v>Phòng Nghiên cứu phát triển hệ thống số</v>
          </cell>
          <cell r="G355" t="str">
            <v>Phụ trách phòng</v>
          </cell>
          <cell r="H355" t="str">
            <v>Hợp đồng lao động</v>
          </cell>
          <cell r="I355" t="str">
            <v>Quân lực quản lý</v>
          </cell>
          <cell r="J355" t="str">
            <v>Trưởng phòng</v>
          </cell>
        </row>
        <row r="356">
          <cell r="D356" t="str">
            <v>Bộ phận thiết kế hệ thống phần cứng</v>
          </cell>
        </row>
        <row r="357">
          <cell r="C357" t="str">
            <v>188473</v>
          </cell>
          <cell r="D357" t="str">
            <v>Nguyễn Anh Tuấn</v>
          </cell>
          <cell r="E357" t="str">
            <v>Trung tâm Thông tin quân sự - Viện NCPT</v>
          </cell>
          <cell r="F357" t="str">
            <v>Phòng Nghiên cứu phát triển hệ thống số</v>
          </cell>
          <cell r="G357" t="str">
            <v>Bộ phận thiết kế hệ thống phần cứng</v>
          </cell>
          <cell r="H357" t="str">
            <v>Hợp đồng lao động</v>
          </cell>
          <cell r="I357" t="str">
            <v>Quân lực quản lý</v>
          </cell>
          <cell r="J357" t="str">
            <v>Kỹ sư phát triển phần cứng</v>
          </cell>
        </row>
        <row r="358">
          <cell r="D358" t="str">
            <v>Bộ phận Thiết kế hệ thống FPGA</v>
          </cell>
        </row>
        <row r="359">
          <cell r="C359" t="str">
            <v>095016</v>
          </cell>
          <cell r="D359" t="str">
            <v>Lê Sỹ Đức</v>
          </cell>
          <cell r="E359" t="str">
            <v>Trung tâm Thông tin quân sự - Viện NCPT</v>
          </cell>
          <cell r="F359" t="str">
            <v>Phòng Nghiên cứu phát triển hệ thống số</v>
          </cell>
          <cell r="G359" t="str">
            <v>Bộ phận Thiết kế hệ thống FPGA</v>
          </cell>
          <cell r="H359" t="str">
            <v>Hợp đồng lao động</v>
          </cell>
          <cell r="I359" t="str">
            <v>Quân lực quản lý</v>
          </cell>
          <cell r="J359" t="str">
            <v>Kỹ sư xử lý tín hiệu</v>
          </cell>
        </row>
        <row r="360">
          <cell r="C360" t="str">
            <v>137610</v>
          </cell>
          <cell r="D360" t="str">
            <v>Ngô Thanh Bình</v>
          </cell>
          <cell r="E360" t="str">
            <v>Trung tâm Thông tin quân sự - Viện NCPT</v>
          </cell>
          <cell r="F360" t="str">
            <v>Phòng Nghiên cứu phát triển hệ thống số</v>
          </cell>
          <cell r="G360" t="str">
            <v>Bộ phận Thiết kế hệ thống FPGA</v>
          </cell>
          <cell r="H360" t="str">
            <v>Hợp đồng lao động</v>
          </cell>
          <cell r="I360" t="str">
            <v>Quân lực quản lý</v>
          </cell>
          <cell r="J360" t="str">
            <v>Kỹ sư Lập trình kiểm thử HDL</v>
          </cell>
        </row>
        <row r="361">
          <cell r="C361" t="str">
            <v>164980</v>
          </cell>
          <cell r="D361" t="str">
            <v>Trần Văn Tam</v>
          </cell>
          <cell r="E361" t="str">
            <v>Trung tâm Thông tin quân sự - Viện NCPT</v>
          </cell>
          <cell r="F361" t="str">
            <v>Phòng Nghiên cứu phát triển hệ thống số</v>
          </cell>
          <cell r="G361" t="str">
            <v>Bộ phận Thiết kế hệ thống FPGA</v>
          </cell>
          <cell r="H361" t="str">
            <v>Hợp đồng lao động</v>
          </cell>
          <cell r="I361" t="str">
            <v>Quân lực quản lý</v>
          </cell>
          <cell r="J361" t="str">
            <v>Kỹ sư Lập trình kiểm thử HDL</v>
          </cell>
        </row>
        <row r="362">
          <cell r="C362" t="str">
            <v>184793</v>
          </cell>
          <cell r="D362" t="str">
            <v>Nguyễn Văn Thọ</v>
          </cell>
          <cell r="E362" t="str">
            <v>Trung tâm Thông tin quân sự - Viện NCPT</v>
          </cell>
          <cell r="F362" t="str">
            <v>Phòng Nghiên cứu phát triển hệ thống số</v>
          </cell>
          <cell r="G362" t="str">
            <v>Bộ phận Thiết kế hệ thống FPGA</v>
          </cell>
          <cell r="H362" t="str">
            <v>Hợp đồng lao động</v>
          </cell>
          <cell r="I362" t="str">
            <v>Quân lực quản lý</v>
          </cell>
          <cell r="J362" t="str">
            <v>Kỹ sư Lập trình kiểm thử HDL</v>
          </cell>
        </row>
        <row r="363">
          <cell r="C363" t="str">
            <v>196096</v>
          </cell>
          <cell r="D363" t="str">
            <v>Phạm Ngọc Quốc Anh</v>
          </cell>
          <cell r="E363" t="str">
            <v>Trung tâm Thông tin quân sự - Viện NCPT</v>
          </cell>
          <cell r="F363" t="str">
            <v>Phòng Nghiên cứu phát triển hệ thống số</v>
          </cell>
          <cell r="G363" t="str">
            <v>Bộ phận Thiết kế hệ thống FPGA</v>
          </cell>
          <cell r="H363" t="str">
            <v>Hợp đồng lao động</v>
          </cell>
          <cell r="I363" t="str">
            <v>Quân lực quản lý</v>
          </cell>
          <cell r="J363" t="str">
            <v>Kỹ sư Lập trình kiểm thử HDL</v>
          </cell>
        </row>
        <row r="364">
          <cell r="D364" t="str">
            <v>Bộ phận Tích hợp hệ thống</v>
          </cell>
        </row>
        <row r="365">
          <cell r="C365" t="str">
            <v>165017</v>
          </cell>
          <cell r="D365" t="str">
            <v>Bùi Tiến Mạnh</v>
          </cell>
          <cell r="E365" t="str">
            <v>Trung tâm Thông tin quân sự - Viện NCPT</v>
          </cell>
          <cell r="F365" t="str">
            <v>Phòng Nghiên cứu phát triển hệ thống số</v>
          </cell>
          <cell r="G365" t="str">
            <v>Bộ phận Tích hợp hệ thống</v>
          </cell>
          <cell r="H365" t="str">
            <v>Hợp đồng lao động</v>
          </cell>
          <cell r="I365" t="str">
            <v>Quân lực quản lý</v>
          </cell>
          <cell r="J365" t="str">
            <v>Kỹ sư phát triển phần mềm nhúng</v>
          </cell>
        </row>
        <row r="366">
          <cell r="C366" t="str">
            <v>176854</v>
          </cell>
          <cell r="D366" t="str">
            <v>Phạm Ngọc Thành</v>
          </cell>
          <cell r="E366" t="str">
            <v>Trung tâm Thông tin quân sự - Viện NCPT</v>
          </cell>
          <cell r="F366" t="str">
            <v>Phòng Nghiên cứu phát triển hệ thống số</v>
          </cell>
          <cell r="G366" t="str">
            <v>Bộ phận Tích hợp hệ thống</v>
          </cell>
          <cell r="H366" t="str">
            <v>Hợp đồng lao động</v>
          </cell>
          <cell r="I366" t="str">
            <v>Quân lực quản lý</v>
          </cell>
          <cell r="J366" t="str">
            <v>Kỹ sư phát triển phần mềm nhúng</v>
          </cell>
        </row>
        <row r="367">
          <cell r="D367" t="str">
            <v>Trung tâm Hệ thống chỉ huy và điều khiển - Viện NCPT</v>
          </cell>
        </row>
        <row r="368">
          <cell r="D368" t="str">
            <v>Ban Giám đốc và chuyên gia</v>
          </cell>
        </row>
        <row r="369">
          <cell r="D369" t="str">
            <v>Thủ trưởng đơn vị</v>
          </cell>
        </row>
        <row r="370">
          <cell r="C370" t="str">
            <v>011321</v>
          </cell>
          <cell r="D370" t="str">
            <v>Nguyễn Việt Thắng</v>
          </cell>
          <cell r="E370" t="str">
            <v>Trung tâm Hệ thống chỉ huy và điều khiển - Viện NCPT</v>
          </cell>
          <cell r="F370" t="str">
            <v>Ban Giám đốc và chuyên gia</v>
          </cell>
          <cell r="G370" t="str">
            <v>Thủ trưởng đơn vị</v>
          </cell>
          <cell r="H370" t="str">
            <v>Đại úy CN</v>
          </cell>
          <cell r="I370" t="str">
            <v>Cán bộ quản lý</v>
          </cell>
          <cell r="J370" t="str">
            <v>Giám đốc</v>
          </cell>
        </row>
        <row r="371">
          <cell r="C371" t="str">
            <v>003990</v>
          </cell>
          <cell r="D371" t="str">
            <v>Vũ Ngọc Vinh</v>
          </cell>
          <cell r="E371" t="str">
            <v>Trung tâm Hệ thống chỉ huy và điều khiển - Viện NCPT</v>
          </cell>
          <cell r="F371" t="str">
            <v>Ban Giám đốc và chuyên gia</v>
          </cell>
          <cell r="G371" t="str">
            <v>Thủ trưởng đơn vị</v>
          </cell>
          <cell r="H371" t="str">
            <v>Đại úy CN</v>
          </cell>
          <cell r="I371" t="str">
            <v>Quân lực quản lý</v>
          </cell>
          <cell r="J371" t="str">
            <v>Phó Giám đốc</v>
          </cell>
        </row>
        <row r="372">
          <cell r="C372" t="str">
            <v>054634</v>
          </cell>
          <cell r="D372" t="str">
            <v>Bùi Đức Hùng</v>
          </cell>
          <cell r="E372" t="str">
            <v>Trung tâm Hệ thống chỉ huy và điều khiển - Viện NCPT</v>
          </cell>
          <cell r="F372" t="str">
            <v>Ban Giám đốc và chuyên gia</v>
          </cell>
          <cell r="G372" t="str">
            <v>Thủ trưởng đơn vị</v>
          </cell>
          <cell r="H372" t="str">
            <v>Đại úy CN</v>
          </cell>
          <cell r="I372" t="str">
            <v>Quân lực quản lý</v>
          </cell>
          <cell r="J372" t="str">
            <v>Phó Giám đốc</v>
          </cell>
        </row>
        <row r="373">
          <cell r="C373" t="str">
            <v>121262</v>
          </cell>
          <cell r="D373" t="str">
            <v>Lê Trần Sự</v>
          </cell>
          <cell r="E373" t="str">
            <v>Trung tâm Hệ thống chỉ huy và điều khiển - Viện NCPT</v>
          </cell>
          <cell r="F373" t="str">
            <v>Ban Giám đốc và chuyên gia</v>
          </cell>
          <cell r="G373" t="str">
            <v>Thủ trưởng đơn vị</v>
          </cell>
          <cell r="H373" t="str">
            <v>Hợp đồng lao động</v>
          </cell>
          <cell r="I373" t="str">
            <v>Quân lực quản lý</v>
          </cell>
          <cell r="J373" t="str">
            <v>Phó Giám đốc</v>
          </cell>
        </row>
        <row r="374">
          <cell r="D374" t="str">
            <v>Phòng tổng hợp</v>
          </cell>
        </row>
        <row r="375">
          <cell r="D375" t="str">
            <v>Phụ trách phòng</v>
          </cell>
        </row>
        <row r="376">
          <cell r="C376" t="str">
            <v>087315</v>
          </cell>
          <cell r="D376" t="str">
            <v>Hoàng Thị Thu Huyền</v>
          </cell>
          <cell r="E376" t="str">
            <v>Trung tâm Hệ thống chỉ huy và điều khiển - Viện NCPT</v>
          </cell>
          <cell r="F376" t="str">
            <v>Phòng tổng hợp</v>
          </cell>
          <cell r="G376" t="str">
            <v>Phụ trách phòng</v>
          </cell>
          <cell r="H376" t="str">
            <v>Hợp đồng lao động</v>
          </cell>
          <cell r="I376" t="str">
            <v>Quân lực quản lý</v>
          </cell>
          <cell r="J376" t="str">
            <v>Trưởng phòng</v>
          </cell>
        </row>
        <row r="377">
          <cell r="D377" t="str">
            <v>Trợ lý nghiệp vụ</v>
          </cell>
        </row>
        <row r="378">
          <cell r="C378" t="str">
            <v>123614</v>
          </cell>
          <cell r="D378" t="str">
            <v>Nguyễn Tuyết Nhung</v>
          </cell>
          <cell r="E378" t="str">
            <v>Trung tâm Hệ thống chỉ huy và điều khiển - Viện NCPT</v>
          </cell>
          <cell r="F378" t="str">
            <v>Phòng tổng hợp</v>
          </cell>
          <cell r="G378" t="str">
            <v>Trợ lý nghiệp vụ</v>
          </cell>
          <cell r="H378" t="str">
            <v>Hợp đồng lao động</v>
          </cell>
          <cell r="I378" t="str">
            <v>Quân lực quản lý</v>
          </cell>
          <cell r="J378" t="str">
            <v>Nhân viên Đầu tư</v>
          </cell>
        </row>
        <row r="379">
          <cell r="D379" t="str">
            <v>Phòng Quản lý sản xuất</v>
          </cell>
        </row>
        <row r="380">
          <cell r="D380" t="str">
            <v>Phụ trách phòng</v>
          </cell>
        </row>
        <row r="381">
          <cell r="C381" t="str">
            <v>046744</v>
          </cell>
          <cell r="D381" t="str">
            <v>Nguyễn Đức Thịnh</v>
          </cell>
          <cell r="E381" t="str">
            <v>Trung tâm Hệ thống chỉ huy và điều khiển - Viện NCPT</v>
          </cell>
          <cell r="F381" t="str">
            <v>Phòng Quản lý sản xuất</v>
          </cell>
          <cell r="G381" t="str">
            <v>Phụ trách phòng</v>
          </cell>
          <cell r="H381" t="str">
            <v>Hợp đồng lao động</v>
          </cell>
          <cell r="I381" t="str">
            <v>Quân lực quản lý</v>
          </cell>
          <cell r="J381" t="str">
            <v>Trưởng phòng</v>
          </cell>
        </row>
        <row r="382">
          <cell r="D382" t="str">
            <v>Bộ phận Kế hoạch sản phẩm và nghiệm thu, hoàn công</v>
          </cell>
        </row>
        <row r="383">
          <cell r="C383" t="str">
            <v>103000</v>
          </cell>
          <cell r="D383" t="str">
            <v>Đinh Trung Dương</v>
          </cell>
          <cell r="E383" t="str">
            <v>Trung tâm Hệ thống chỉ huy và điều khiển - Viện NCPT</v>
          </cell>
          <cell r="F383" t="str">
            <v>Phòng Quản lý sản xuất</v>
          </cell>
          <cell r="G383" t="str">
            <v>Bộ phận Kế hoạch sản phẩm và nghiệm thu, hoàn công</v>
          </cell>
          <cell r="H383" t="str">
            <v>Hợp đồng lao động</v>
          </cell>
          <cell r="I383" t="str">
            <v>Quân lực quản lý</v>
          </cell>
          <cell r="J383" t="str">
            <v>Nhân viên Quản lý sản xuất</v>
          </cell>
        </row>
        <row r="384">
          <cell r="D384" t="str">
            <v xml:space="preserve">Phòng Cảnh giới </v>
          </cell>
        </row>
        <row r="385">
          <cell r="D385" t="str">
            <v>Phụ trách phòng</v>
          </cell>
        </row>
        <row r="386">
          <cell r="C386" t="str">
            <v>107437</v>
          </cell>
          <cell r="D386" t="str">
            <v>Nguyễn Duy Hoàng</v>
          </cell>
          <cell r="E386" t="str">
            <v>Trung tâm Hệ thống chỉ huy và điều khiển - Viện NCPT</v>
          </cell>
          <cell r="F386" t="str">
            <v xml:space="preserve">Phòng Cảnh giới </v>
          </cell>
          <cell r="G386" t="str">
            <v>Phụ trách phòng</v>
          </cell>
          <cell r="H386" t="str">
            <v>Hợp đồng lao động</v>
          </cell>
          <cell r="I386" t="str">
            <v>Quân lực quản lý</v>
          </cell>
          <cell r="J386" t="str">
            <v>Trưởng phòng</v>
          </cell>
        </row>
        <row r="387">
          <cell r="C387" t="str">
            <v>125568</v>
          </cell>
          <cell r="D387" t="str">
            <v>Nguyễn Anh Tuấn</v>
          </cell>
          <cell r="E387" t="str">
            <v>Trung tâm Hệ thống chỉ huy và điều khiển - Viện NCPT</v>
          </cell>
          <cell r="F387" t="str">
            <v xml:space="preserve">Phòng Cảnh giới </v>
          </cell>
          <cell r="G387" t="str">
            <v>Phụ trách phòng</v>
          </cell>
          <cell r="H387" t="str">
            <v>Hợp đồng lao động</v>
          </cell>
          <cell r="I387" t="str">
            <v>Quân lực quản lý</v>
          </cell>
          <cell r="J387" t="str">
            <v>Phó Trưởng phòng</v>
          </cell>
        </row>
        <row r="388">
          <cell r="D388" t="str">
            <v>Bộ phận nghiên cứu mô hình chiến thuật bay</v>
          </cell>
        </row>
        <row r="389">
          <cell r="C389" t="str">
            <v>120506</v>
          </cell>
          <cell r="D389" t="str">
            <v>Vũ Đức Khoa</v>
          </cell>
          <cell r="E389" t="str">
            <v>Trung tâm Hệ thống chỉ huy và điều khiển - Viện NCPT</v>
          </cell>
          <cell r="F389" t="str">
            <v xml:space="preserve">Phòng Cảnh giới </v>
          </cell>
          <cell r="G389" t="str">
            <v>Bộ phận nghiên cứu mô hình chiến thuật bay</v>
          </cell>
          <cell r="H389" t="str">
            <v>Hợp đồng lao động</v>
          </cell>
          <cell r="I389" t="str">
            <v>Quân lực quản lý</v>
          </cell>
          <cell r="J389" t="str">
            <v>Kỹ sư nghiên cứu hệ thống chỉ huy và điều khiển</v>
          </cell>
        </row>
        <row r="390">
          <cell r="C390" t="str">
            <v>167333</v>
          </cell>
          <cell r="D390" t="str">
            <v>Vũ Viết Đức</v>
          </cell>
          <cell r="E390" t="str">
            <v>Trung tâm Hệ thống chỉ huy và điều khiển - Viện NCPT</v>
          </cell>
          <cell r="F390" t="str">
            <v xml:space="preserve">Phòng Cảnh giới </v>
          </cell>
          <cell r="G390" t="str">
            <v>Bộ phận nghiên cứu mô hình chiến thuật bay</v>
          </cell>
          <cell r="H390" t="str">
            <v>Hợp đồng lao động</v>
          </cell>
          <cell r="I390" t="str">
            <v>Quân lực quản lý</v>
          </cell>
          <cell r="J390" t="str">
            <v>Kỹ sư nghiên cứu hệ thống chỉ huy và điều khiển</v>
          </cell>
        </row>
        <row r="391">
          <cell r="D391" t="str">
            <v>Bộ phận nghiên cứu mô hình tác chiến điện tử</v>
          </cell>
        </row>
        <row r="392">
          <cell r="C392" t="str">
            <v>156334</v>
          </cell>
          <cell r="D392" t="str">
            <v>Đỗ Ngọc Tuấn</v>
          </cell>
          <cell r="E392" t="str">
            <v>Trung tâm Hệ thống chỉ huy và điều khiển - Viện NCPT</v>
          </cell>
          <cell r="F392" t="str">
            <v xml:space="preserve">Phòng Cảnh giới </v>
          </cell>
          <cell r="G392" t="str">
            <v>Bộ phận nghiên cứu mô hình tác chiến điện tử</v>
          </cell>
          <cell r="H392" t="str">
            <v>Hợp đồng lao động</v>
          </cell>
          <cell r="I392" t="str">
            <v>Quân lực quản lý</v>
          </cell>
          <cell r="J392" t="str">
            <v>Kỹ sư nghiên cứu hệ thống chỉ huy và điều khiển</v>
          </cell>
        </row>
        <row r="393">
          <cell r="D393" t="str">
            <v>Bộ phận Nghiên cứu Mô hình thuật toán</v>
          </cell>
        </row>
        <row r="394">
          <cell r="C394" t="str">
            <v>165013</v>
          </cell>
          <cell r="D394" t="str">
            <v>Đào Thanh Tùng</v>
          </cell>
          <cell r="E394" t="str">
            <v>Trung tâm Hệ thống chỉ huy và điều khiển - Viện NCPT</v>
          </cell>
          <cell r="F394" t="str">
            <v xml:space="preserve">Phòng Cảnh giới </v>
          </cell>
          <cell r="G394" t="str">
            <v>Bộ phận Nghiên cứu Mô hình thuật toán</v>
          </cell>
          <cell r="H394" t="str">
            <v>Hợp đồng lao động</v>
          </cell>
          <cell r="I394" t="str">
            <v>Quân lực quản lý</v>
          </cell>
          <cell r="J394" t="str">
            <v>Kỹ sư nghiên cứu hệ thống chỉ huy và điều khiển</v>
          </cell>
        </row>
        <row r="395">
          <cell r="D395" t="str">
            <v>Bộ phận Nghiên cứu Giải pháp tổng thể</v>
          </cell>
        </row>
        <row r="396">
          <cell r="C396" t="str">
            <v>191013</v>
          </cell>
          <cell r="D396" t="str">
            <v>Hoàng Ngọc Dương</v>
          </cell>
          <cell r="E396" t="str">
            <v>Trung tâm Hệ thống chỉ huy và điều khiển - Viện NCPT</v>
          </cell>
          <cell r="F396" t="str">
            <v xml:space="preserve">Phòng Cảnh giới </v>
          </cell>
          <cell r="G396" t="str">
            <v>Bộ phận Nghiên cứu Giải pháp tổng thể</v>
          </cell>
          <cell r="H396" t="str">
            <v>Đại úy</v>
          </cell>
          <cell r="I396" t="str">
            <v>Cán bộ quản lý</v>
          </cell>
          <cell r="J396" t="str">
            <v>Kỹ sư nghiên cứu hệ thống chỉ huy và điều khiển</v>
          </cell>
        </row>
        <row r="397">
          <cell r="D397" t="str">
            <v>Bộ phận Lập trình hệ thống</v>
          </cell>
        </row>
        <row r="398">
          <cell r="C398" t="str">
            <v>174373</v>
          </cell>
          <cell r="D398" t="str">
            <v>Nguyễn Thạc Đan Thanh</v>
          </cell>
          <cell r="E398" t="str">
            <v>Trung tâm Hệ thống chỉ huy và điều khiển - Viện NCPT</v>
          </cell>
          <cell r="F398" t="str">
            <v xml:space="preserve">Phòng Cảnh giới </v>
          </cell>
          <cell r="G398" t="str">
            <v>Bộ phận Lập trình hệ thống</v>
          </cell>
          <cell r="H398" t="str">
            <v>Hợp đồng lao động</v>
          </cell>
          <cell r="I398" t="str">
            <v>Quân lực quản lý</v>
          </cell>
          <cell r="J398" t="str">
            <v>Kỹ sư nghiên cứu hệ thống chỉ huy và điều khiển</v>
          </cell>
        </row>
        <row r="399">
          <cell r="C399" t="str">
            <v>193276</v>
          </cell>
          <cell r="D399" t="str">
            <v>Nguyễn Tiến Hưởng</v>
          </cell>
          <cell r="E399" t="str">
            <v>Trung tâm Hệ thống chỉ huy và điều khiển - Viện NCPT</v>
          </cell>
          <cell r="F399" t="str">
            <v xml:space="preserve">Phòng Cảnh giới </v>
          </cell>
          <cell r="G399" t="str">
            <v>Bộ phận Lập trình hệ thống</v>
          </cell>
          <cell r="H399" t="str">
            <v>Hợp đồng lao động</v>
          </cell>
          <cell r="I399" t="str">
            <v>Quân lực quản lý</v>
          </cell>
          <cell r="J399" t="str">
            <v>Kỹ sư nghiên cứu hệ thống chỉ huy và điều khiển</v>
          </cell>
        </row>
        <row r="400">
          <cell r="D400" t="str">
            <v>Phòng Hỗ trợ tác chiến</v>
          </cell>
        </row>
        <row r="401">
          <cell r="D401" t="str">
            <v>Phụ trách phòng</v>
          </cell>
        </row>
        <row r="402">
          <cell r="C402" t="str">
            <v>123686</v>
          </cell>
          <cell r="D402" t="str">
            <v>Nguyễn Quang Bằng</v>
          </cell>
          <cell r="E402" t="str">
            <v>Trung tâm Hệ thống chỉ huy và điều khiển - Viện NCPT</v>
          </cell>
          <cell r="F402" t="str">
            <v>Phòng Hỗ trợ tác chiến</v>
          </cell>
          <cell r="G402" t="str">
            <v>Phụ trách phòng</v>
          </cell>
          <cell r="H402" t="str">
            <v>Hợp đồng lao động</v>
          </cell>
          <cell r="I402" t="str">
            <v>Quân lực quản lý</v>
          </cell>
          <cell r="J402" t="str">
            <v>Trưởng phòng</v>
          </cell>
        </row>
        <row r="403">
          <cell r="C403" t="str">
            <v>137428</v>
          </cell>
          <cell r="D403" t="str">
            <v>Uông Huy Quân</v>
          </cell>
          <cell r="E403" t="str">
            <v>Trung tâm Hệ thống chỉ huy và điều khiển - Viện NCPT</v>
          </cell>
          <cell r="F403" t="str">
            <v>Phòng Hỗ trợ tác chiến</v>
          </cell>
          <cell r="G403" t="str">
            <v>Phụ trách phòng</v>
          </cell>
          <cell r="H403" t="str">
            <v>Hợp đồng lao động</v>
          </cell>
          <cell r="I403" t="str">
            <v>Quân lực quản lý</v>
          </cell>
          <cell r="J403" t="str">
            <v>Phó Trưởng phòng</v>
          </cell>
        </row>
        <row r="404">
          <cell r="D404" t="str">
            <v>Bộ phận Đánh giá Hiểm họa</v>
          </cell>
        </row>
        <row r="405">
          <cell r="C405" t="str">
            <v>193274</v>
          </cell>
          <cell r="D405" t="str">
            <v>Vũ Việt Trung</v>
          </cell>
          <cell r="E405" t="str">
            <v>Trung tâm Hệ thống chỉ huy và điều khiển - Viện NCPT</v>
          </cell>
          <cell r="F405" t="str">
            <v>Phòng Hỗ trợ tác chiến</v>
          </cell>
          <cell r="G405" t="str">
            <v>Bộ phận Đánh giá Hiểm họa</v>
          </cell>
          <cell r="H405" t="str">
            <v>Hợp đồng lao động</v>
          </cell>
          <cell r="I405" t="str">
            <v>Quân lực quản lý</v>
          </cell>
          <cell r="J405" t="str">
            <v>Kỹ sư nghiên cứu hệ thống chỉ huy điều khiển</v>
          </cell>
        </row>
        <row r="406">
          <cell r="D406" t="str">
            <v>Bộ phận Chỉ định vũ khí</v>
          </cell>
        </row>
        <row r="407">
          <cell r="C407" t="str">
            <v>139573</v>
          </cell>
          <cell r="D407" t="str">
            <v>Vũ Minh Thành</v>
          </cell>
          <cell r="E407" t="str">
            <v>Trung tâm Hệ thống chỉ huy và điều khiển - Viện NCPT</v>
          </cell>
          <cell r="F407" t="str">
            <v>Phòng Hỗ trợ tác chiến</v>
          </cell>
          <cell r="G407" t="str">
            <v>Bộ phận Chỉ định vũ khí</v>
          </cell>
          <cell r="H407" t="str">
            <v>Hợp đồng lao động</v>
          </cell>
          <cell r="I407" t="str">
            <v>Quân lực quản lý</v>
          </cell>
          <cell r="J407" t="str">
            <v>Trưởng nhóm</v>
          </cell>
        </row>
        <row r="408">
          <cell r="C408" t="str">
            <v>193275</v>
          </cell>
          <cell r="D408" t="str">
            <v>Nguyễn Ngọc Lân</v>
          </cell>
          <cell r="E408" t="str">
            <v>Trung tâm Hệ thống chỉ huy và điều khiển - Viện NCPT</v>
          </cell>
          <cell r="F408" t="str">
            <v>Phòng Hỗ trợ tác chiến</v>
          </cell>
          <cell r="G408" t="str">
            <v>Bộ phận Chỉ định vũ khí</v>
          </cell>
          <cell r="H408" t="str">
            <v>Hợp đồng lao động</v>
          </cell>
          <cell r="I408" t="str">
            <v>Quân lực quản lý</v>
          </cell>
          <cell r="J408" t="str">
            <v>Kỹ sư nghiên cứu hệ thống chỉ huy điều khiển</v>
          </cell>
        </row>
        <row r="409">
          <cell r="D409" t="str">
            <v>Bộ phận Giải thuật</v>
          </cell>
        </row>
        <row r="410">
          <cell r="C410" t="str">
            <v>163633</v>
          </cell>
          <cell r="D410" t="str">
            <v>Trần Minh Đức</v>
          </cell>
          <cell r="E410" t="str">
            <v>Trung tâm Hệ thống chỉ huy và điều khiển - Viện NCPT</v>
          </cell>
          <cell r="F410" t="str">
            <v>Phòng Hỗ trợ tác chiến</v>
          </cell>
          <cell r="G410" t="str">
            <v>Bộ phận Giải thuật</v>
          </cell>
          <cell r="H410" t="str">
            <v>Hợp đồng lao động</v>
          </cell>
          <cell r="I410" t="str">
            <v>Quân lực quản lý</v>
          </cell>
          <cell r="J410" t="str">
            <v>Kỹ sư nghiên cứu hệ thống chỉ huy điều khiển</v>
          </cell>
        </row>
        <row r="411">
          <cell r="D411" t="str">
            <v>Bộ phận Kết nối đơn vị hỏa lực</v>
          </cell>
        </row>
        <row r="412">
          <cell r="C412" t="str">
            <v>130468</v>
          </cell>
          <cell r="D412" t="str">
            <v>Vũ Hoàng Phi</v>
          </cell>
          <cell r="E412" t="str">
            <v>Trung tâm Hệ thống chỉ huy và điều khiển - Viện NCPT</v>
          </cell>
          <cell r="F412" t="str">
            <v>Phòng Hỗ trợ tác chiến</v>
          </cell>
          <cell r="G412" t="str">
            <v>Bộ phận Kết nối đơn vị hỏa lực</v>
          </cell>
          <cell r="H412" t="str">
            <v>Hợp đồng lao động</v>
          </cell>
          <cell r="I412" t="str">
            <v>Quân lực quản lý</v>
          </cell>
          <cell r="J412" t="str">
            <v>Kỹ sư nghiên cứu hệ thống chỉ huy điều khiển</v>
          </cell>
        </row>
        <row r="413">
          <cell r="C413" t="str">
            <v>137528</v>
          </cell>
          <cell r="D413" t="str">
            <v>Vũ Văn Huy</v>
          </cell>
          <cell r="E413" t="str">
            <v>Trung tâm Hệ thống chỉ huy và điều khiển - Viện NCPT</v>
          </cell>
          <cell r="F413" t="str">
            <v>Phòng Hỗ trợ tác chiến</v>
          </cell>
          <cell r="G413" t="str">
            <v>Bộ phận Kết nối đơn vị hỏa lực</v>
          </cell>
          <cell r="H413" t="str">
            <v>Hợp đồng lao động</v>
          </cell>
          <cell r="I413" t="str">
            <v>Quân lực quản lý</v>
          </cell>
          <cell r="J413" t="str">
            <v>Kỹ sư nghiên cứu hệ thống chỉ huy điều khiển</v>
          </cell>
        </row>
        <row r="414">
          <cell r="D414" t="str">
            <v>Bộ phận Quản lý chiến trường</v>
          </cell>
        </row>
        <row r="415">
          <cell r="C415" t="str">
            <v>174074</v>
          </cell>
          <cell r="D415" t="str">
            <v>Trịnh Thế Thành</v>
          </cell>
          <cell r="E415" t="str">
            <v>Trung tâm Hệ thống chỉ huy và điều khiển - Viện NCPT</v>
          </cell>
          <cell r="F415" t="str">
            <v>Phòng Hỗ trợ tác chiến</v>
          </cell>
          <cell r="G415" t="str">
            <v>Bộ phận Quản lý chiến trường</v>
          </cell>
          <cell r="H415" t="str">
            <v>Hợp đồng lao động</v>
          </cell>
          <cell r="I415" t="str">
            <v>Quân lực quản lý</v>
          </cell>
          <cell r="J415" t="str">
            <v>Kỹ sư nghiên cứu hệ thống chỉ huy điều khiển</v>
          </cell>
        </row>
        <row r="416">
          <cell r="D416" t="str">
            <v>Phòng Mô hình mô phỏng</v>
          </cell>
        </row>
        <row r="417">
          <cell r="D417" t="str">
            <v>Phụ trách phòng</v>
          </cell>
        </row>
        <row r="418">
          <cell r="C418" t="str">
            <v>121978</v>
          </cell>
          <cell r="D418" t="str">
            <v>Nguyễn Trọng Nhật Quang</v>
          </cell>
          <cell r="E418" t="str">
            <v>Trung tâm Hệ thống chỉ huy và điều khiển - Viện NCPT</v>
          </cell>
          <cell r="F418" t="str">
            <v>Phòng Mô hình mô phỏng</v>
          </cell>
          <cell r="G418" t="str">
            <v>Phụ trách phòng</v>
          </cell>
          <cell r="H418" t="str">
            <v>Hợp đồng lao động</v>
          </cell>
          <cell r="I418" t="str">
            <v>Quân lực quản lý</v>
          </cell>
          <cell r="J418" t="str">
            <v>Trưởng phòng</v>
          </cell>
        </row>
        <row r="419">
          <cell r="C419" t="str">
            <v>121955</v>
          </cell>
          <cell r="D419" t="str">
            <v>Vũ Đình Long</v>
          </cell>
          <cell r="E419" t="str">
            <v>Trung tâm Hệ thống chỉ huy và điều khiển - Viện NCPT</v>
          </cell>
          <cell r="F419" t="str">
            <v>Phòng Mô hình mô phỏng</v>
          </cell>
          <cell r="G419" t="str">
            <v>Phụ trách phòng</v>
          </cell>
          <cell r="H419" t="str">
            <v>Hợp đồng lao động</v>
          </cell>
          <cell r="I419" t="str">
            <v>Quân lực quản lý</v>
          </cell>
          <cell r="J419" t="str">
            <v>Phó Trưởng phòng</v>
          </cell>
        </row>
        <row r="420">
          <cell r="D420" t="str">
            <v>Bộ phận mô hình và mô phỏng</v>
          </cell>
        </row>
        <row r="421">
          <cell r="C421" t="str">
            <v>163614</v>
          </cell>
          <cell r="D421" t="str">
            <v>Nguyễn Minh Tân</v>
          </cell>
          <cell r="E421" t="str">
            <v>Trung tâm Hệ thống chỉ huy và điều khiển - Viện NCPT</v>
          </cell>
          <cell r="F421" t="str">
            <v>Phòng Mô hình mô phỏng</v>
          </cell>
          <cell r="G421" t="str">
            <v>Bộ phận mô hình và mô phỏng</v>
          </cell>
          <cell r="H421" t="str">
            <v>Hợp đồng lao động</v>
          </cell>
          <cell r="I421" t="str">
            <v>Quân lực quản lý</v>
          </cell>
          <cell r="J421" t="str">
            <v>Kỹ sư nghiên cứu hệ thống chỉ huy và điều khiển</v>
          </cell>
        </row>
        <row r="422">
          <cell r="D422" t="str">
            <v>Bộ phận bản đố số, đồ họa và xử lý ảnh</v>
          </cell>
        </row>
        <row r="423">
          <cell r="C423" t="str">
            <v>123194</v>
          </cell>
          <cell r="D423" t="str">
            <v>Trần Tuấn Việt</v>
          </cell>
          <cell r="E423" t="str">
            <v>Trung tâm Hệ thống chỉ huy và điều khiển - Viện NCPT</v>
          </cell>
          <cell r="F423" t="str">
            <v>Phòng Mô hình mô phỏng</v>
          </cell>
          <cell r="G423" t="str">
            <v>Bộ phận bản đố số, đồ họa và xử lý ảnh</v>
          </cell>
          <cell r="H423" t="str">
            <v>Hợp đồng lao động</v>
          </cell>
          <cell r="I423" t="str">
            <v>Quân lực quản lý</v>
          </cell>
          <cell r="J423" t="str">
            <v>Kỹ sư nghiên cứu hệ thống chỉ huy và điều khiển</v>
          </cell>
        </row>
        <row r="424">
          <cell r="D424" t="str">
            <v>Bộ phận thiết kế điện tử và lập trình nhúng</v>
          </cell>
        </row>
        <row r="425">
          <cell r="C425" t="str">
            <v>139598</v>
          </cell>
          <cell r="D425" t="str">
            <v>Đào Duy Thoại</v>
          </cell>
          <cell r="E425" t="str">
            <v>Trung tâm Hệ thống chỉ huy và điều khiển - Viện NCPT</v>
          </cell>
          <cell r="F425" t="str">
            <v>Phòng Mô hình mô phỏng</v>
          </cell>
          <cell r="G425" t="str">
            <v>Bộ phận thiết kế điện tử và lập trình nhúng</v>
          </cell>
          <cell r="H425" t="str">
            <v>Hợp đồng lao động</v>
          </cell>
          <cell r="I425" t="str">
            <v>Quân lực quản lý</v>
          </cell>
          <cell r="J425" t="str">
            <v>Kỹ sư Thiết kế sơ đồ thiết bị</v>
          </cell>
        </row>
        <row r="426">
          <cell r="C426" t="str">
            <v>178233</v>
          </cell>
          <cell r="D426" t="str">
            <v>Hoàng Anh Sơn</v>
          </cell>
          <cell r="E426" t="str">
            <v>Trung tâm Hệ thống chỉ huy và điều khiển - Viện NCPT</v>
          </cell>
          <cell r="F426" t="str">
            <v>Phòng Mô hình mô phỏng</v>
          </cell>
          <cell r="G426" t="str">
            <v>Bộ phận thiết kế điện tử và lập trình nhúng</v>
          </cell>
          <cell r="H426" t="str">
            <v>Hợp đồng lao động</v>
          </cell>
          <cell r="I426" t="str">
            <v>Quân lực quản lý</v>
          </cell>
          <cell r="J426" t="str">
            <v>Kỹ sư Thiết kế sơ đồ thiết bị</v>
          </cell>
        </row>
        <row r="427">
          <cell r="D427" t="str">
            <v>Bộ phận nghiên cứu phát triển</v>
          </cell>
        </row>
        <row r="428">
          <cell r="C428" t="str">
            <v>087324</v>
          </cell>
          <cell r="D428" t="str">
            <v>Phùng Văn Thắng</v>
          </cell>
          <cell r="E428" t="str">
            <v>Trung tâm Hệ thống chỉ huy và điều khiển - Viện NCPT</v>
          </cell>
          <cell r="F428" t="str">
            <v>Phòng Mô hình mô phỏng</v>
          </cell>
          <cell r="G428" t="str">
            <v>Bộ phận nghiên cứu phát triển</v>
          </cell>
          <cell r="H428" t="str">
            <v>Hợp đồng lao động</v>
          </cell>
          <cell r="I428" t="str">
            <v>Quân lực quản lý</v>
          </cell>
          <cell r="J428" t="str">
            <v>Trưởng nhóm</v>
          </cell>
        </row>
        <row r="429">
          <cell r="C429" t="str">
            <v>178253</v>
          </cell>
          <cell r="D429" t="str">
            <v>Nguyễn Việt Hùng</v>
          </cell>
          <cell r="E429" t="str">
            <v>Trung tâm Hệ thống chỉ huy và điều khiển - Viện NCPT</v>
          </cell>
          <cell r="F429" t="str">
            <v>Phòng Mô hình mô phỏng</v>
          </cell>
          <cell r="G429" t="str">
            <v>Bộ phận nghiên cứu phát triển</v>
          </cell>
          <cell r="H429" t="str">
            <v>Hợp đồng lao động</v>
          </cell>
          <cell r="I429" t="str">
            <v>Quân lực quản lý</v>
          </cell>
          <cell r="J429" t="str">
            <v>Kỹ sư Nghiên cứu hệ thống mạng</v>
          </cell>
        </row>
        <row r="430">
          <cell r="D430" t="str">
            <v>Bộ phận phát triển ứng dụng core</v>
          </cell>
        </row>
        <row r="431">
          <cell r="C431" t="str">
            <v>122124</v>
          </cell>
          <cell r="D431" t="str">
            <v>Nguyễn Xuân Nam</v>
          </cell>
          <cell r="E431" t="str">
            <v>Trung tâm Hệ thống chỉ huy và điều khiển - Viện NCPT</v>
          </cell>
          <cell r="F431" t="str">
            <v>Phòng Mô hình mô phỏng</v>
          </cell>
          <cell r="G431" t="str">
            <v>Bộ phận phát triển ứng dụng core</v>
          </cell>
          <cell r="H431" t="str">
            <v>Hợp đồng lao động</v>
          </cell>
          <cell r="I431" t="str">
            <v>Quân lực quản lý</v>
          </cell>
          <cell r="J431" t="str">
            <v>Trưởng nhóm</v>
          </cell>
        </row>
        <row r="432">
          <cell r="C432" t="str">
            <v>187016</v>
          </cell>
          <cell r="D432" t="str">
            <v>Đinh Duy Anh</v>
          </cell>
          <cell r="E432" t="str">
            <v>Trung tâm Hệ thống chỉ huy và điều khiển - Viện NCPT</v>
          </cell>
          <cell r="F432" t="str">
            <v>Phòng Mô hình mô phỏng</v>
          </cell>
          <cell r="G432" t="str">
            <v>Bộ phận phát triển ứng dụng core</v>
          </cell>
          <cell r="H432" t="str">
            <v>Hợp đồng lao động</v>
          </cell>
          <cell r="I432" t="str">
            <v>Quân lực quản lý</v>
          </cell>
          <cell r="J432" t="str">
            <v>Kỹ sư Thiết kế giải thuật</v>
          </cell>
        </row>
        <row r="433">
          <cell r="D433" t="str">
            <v>Bộ phận giải pháp xử lý tín hiệu và truyền thông</v>
          </cell>
        </row>
        <row r="434">
          <cell r="C434" t="str">
            <v>141954</v>
          </cell>
          <cell r="D434" t="str">
            <v>Nguyễn Xuân Quyền</v>
          </cell>
          <cell r="E434" t="str">
            <v>Trung tâm Hệ thống chỉ huy và điều khiển - Viện NCPT</v>
          </cell>
          <cell r="F434" t="str">
            <v>Phòng Mô hình mô phỏng</v>
          </cell>
          <cell r="G434" t="str">
            <v>Bộ phận giải pháp xử lý tín hiệu và truyền thông</v>
          </cell>
          <cell r="H434" t="str">
            <v>Hợp đồng lao động</v>
          </cell>
          <cell r="I434" t="str">
            <v>Quân lực quản lý</v>
          </cell>
          <cell r="J434" t="str">
            <v>Kỹ sư Phát triển thiết bị</v>
          </cell>
        </row>
        <row r="435">
          <cell r="C435" t="str">
            <v>193273</v>
          </cell>
          <cell r="D435" t="str">
            <v>Vũ Như Thành</v>
          </cell>
          <cell r="E435" t="str">
            <v>Trung tâm Hệ thống chỉ huy và điều khiển - Viện NCPT</v>
          </cell>
          <cell r="F435" t="str">
            <v>Phòng Mô hình mô phỏng</v>
          </cell>
          <cell r="G435" t="str">
            <v>Bộ phận giải pháp xử lý tín hiệu và truyền thông</v>
          </cell>
          <cell r="H435" t="str">
            <v>Hợp đồng lao động</v>
          </cell>
          <cell r="I435" t="str">
            <v>Quân lực quản lý</v>
          </cell>
          <cell r="J435" t="str">
            <v>Kỹ sư Phát triển thiết bị</v>
          </cell>
        </row>
        <row r="436">
          <cell r="C436" t="str">
            <v>203153</v>
          </cell>
          <cell r="D436" t="str">
            <v>Lê Quốc Hưng</v>
          </cell>
          <cell r="E436" t="str">
            <v>Trung tâm Hệ thống chỉ huy và điều khiển - Viện NCPT</v>
          </cell>
          <cell r="F436" t="str">
            <v>Phòng Mô hình mô phỏng</v>
          </cell>
          <cell r="G436" t="str">
            <v>Bộ phận giải pháp xử lý tín hiệu và truyền thông</v>
          </cell>
          <cell r="H436" t="str">
            <v>HĐ Thử việc</v>
          </cell>
          <cell r="I436" t="str">
            <v>Quân lực quản lý</v>
          </cell>
          <cell r="J436" t="str">
            <v>Kỹ sư Phát triển thiết bị</v>
          </cell>
        </row>
        <row r="437">
          <cell r="D437" t="str">
            <v>Phòng Giao diện người máy</v>
          </cell>
        </row>
        <row r="438">
          <cell r="D438" t="str">
            <v>Phụ trách phòng</v>
          </cell>
        </row>
        <row r="439">
          <cell r="C439" t="str">
            <v>093857</v>
          </cell>
          <cell r="D439" t="str">
            <v>Vũ Huy Hùng</v>
          </cell>
          <cell r="E439" t="str">
            <v>Trung tâm Hệ thống chỉ huy và điều khiển - Viện NCPT</v>
          </cell>
          <cell r="F439" t="str">
            <v>Phòng Giao diện người máy</v>
          </cell>
          <cell r="G439" t="str">
            <v>Phụ trách phòng</v>
          </cell>
          <cell r="H439" t="str">
            <v>Hợp đồng lao động</v>
          </cell>
          <cell r="I439" t="str">
            <v>Quân lực quản lý</v>
          </cell>
          <cell r="J439" t="str">
            <v>Trưởng phòng</v>
          </cell>
        </row>
        <row r="440">
          <cell r="D440" t="str">
            <v>Bộ phận Lập trình hệ thống</v>
          </cell>
        </row>
        <row r="441">
          <cell r="C441" t="str">
            <v>121956</v>
          </cell>
          <cell r="D441" t="str">
            <v>Trần Thắng</v>
          </cell>
          <cell r="E441" t="str">
            <v>Trung tâm Hệ thống chỉ huy và điều khiển - Viện NCPT</v>
          </cell>
          <cell r="F441" t="str">
            <v>Phòng Giao diện người máy</v>
          </cell>
          <cell r="G441" t="str">
            <v>Bộ phận Lập trình hệ thống</v>
          </cell>
          <cell r="H441" t="str">
            <v>Hợp đồng lao động</v>
          </cell>
          <cell r="I441" t="str">
            <v>Quân lực quản lý</v>
          </cell>
          <cell r="J441" t="str">
            <v>Trưởng nhóm</v>
          </cell>
        </row>
        <row r="442">
          <cell r="C442" t="str">
            <v>194533</v>
          </cell>
          <cell r="D442" t="str">
            <v>Nguyễn Văn Cương</v>
          </cell>
          <cell r="E442" t="str">
            <v>Trung tâm Hệ thống chỉ huy và điều khiển - Viện NCPT</v>
          </cell>
          <cell r="F442" t="str">
            <v>Phòng Giao diện người máy</v>
          </cell>
          <cell r="G442" t="str">
            <v>Bộ phận Lập trình hệ thống</v>
          </cell>
          <cell r="H442" t="str">
            <v>Hợp đồng lao động</v>
          </cell>
          <cell r="I442" t="str">
            <v>Quân lực quản lý</v>
          </cell>
          <cell r="J442" t="str">
            <v>Kỹ sư lập trình hệ thống</v>
          </cell>
        </row>
        <row r="443">
          <cell r="D443" t="str">
            <v>Bộ phận Giải pháp nghiệp vụ</v>
          </cell>
        </row>
        <row r="444">
          <cell r="C444" t="str">
            <v>194534</v>
          </cell>
          <cell r="D444" t="str">
            <v>Nguyễn Minh Thông</v>
          </cell>
          <cell r="E444" t="str">
            <v>Trung tâm Hệ thống chỉ huy và điều khiển - Viện NCPT</v>
          </cell>
          <cell r="F444" t="str">
            <v>Phòng Giao diện người máy</v>
          </cell>
          <cell r="G444" t="str">
            <v>Bộ phận Giải pháp nghiệp vụ</v>
          </cell>
          <cell r="H444" t="str">
            <v>Hợp đồng lao động</v>
          </cell>
          <cell r="I444" t="str">
            <v>Quân lực quản lý</v>
          </cell>
          <cell r="J444" t="str">
            <v>Kỹ sư nghiên cứu hệ thống chỉ huy điều khiển</v>
          </cell>
        </row>
        <row r="445">
          <cell r="D445" t="str">
            <v>Phòng Quản lý chất lượng</v>
          </cell>
        </row>
        <row r="446">
          <cell r="D446" t="str">
            <v>Phụ trách phòng</v>
          </cell>
        </row>
        <row r="447">
          <cell r="C447" t="str">
            <v>048318</v>
          </cell>
          <cell r="D447" t="str">
            <v>Nguyễn Linh Giang</v>
          </cell>
          <cell r="E447" t="str">
            <v>Trung tâm Hệ thống chỉ huy và điều khiển - Viện NCPT</v>
          </cell>
          <cell r="F447" t="str">
            <v>Phòng Quản lý chất lượng</v>
          </cell>
          <cell r="G447" t="str">
            <v>Phụ trách phòng</v>
          </cell>
          <cell r="H447" t="str">
            <v>Hợp đồng lao động</v>
          </cell>
          <cell r="I447" t="str">
            <v>Quân lực quản lý</v>
          </cell>
          <cell r="J447" t="str">
            <v>Trưởng phòng</v>
          </cell>
        </row>
        <row r="448">
          <cell r="C448" t="str">
            <v>087316</v>
          </cell>
          <cell r="D448" t="str">
            <v>Nguyễn Thị Thùy Linh</v>
          </cell>
          <cell r="E448" t="str">
            <v>Trung tâm Hệ thống chỉ huy và điều khiển - Viện NCPT</v>
          </cell>
          <cell r="F448" t="str">
            <v>Phòng Quản lý chất lượng</v>
          </cell>
          <cell r="G448" t="str">
            <v>Phụ trách phòng</v>
          </cell>
          <cell r="H448" t="str">
            <v>Hợp đồng lao động</v>
          </cell>
          <cell r="I448" t="str">
            <v>Quân lực quản lý</v>
          </cell>
          <cell r="J448" t="str">
            <v>Phó Trưởng phòng</v>
          </cell>
        </row>
        <row r="449">
          <cell r="D449" t="str">
            <v>Bộ phận PTNV &amp; QLCL Tác chiến</v>
          </cell>
        </row>
        <row r="450">
          <cell r="C450" t="str">
            <v>176233</v>
          </cell>
          <cell r="D450" t="str">
            <v>Nguyễn Lan Anh</v>
          </cell>
          <cell r="E450" t="str">
            <v>Trung tâm Hệ thống chỉ huy và điều khiển - Viện NCPT</v>
          </cell>
          <cell r="F450" t="str">
            <v>Phòng Quản lý chất lượng</v>
          </cell>
          <cell r="G450" t="str">
            <v>Bộ phận PTNV &amp; QLCL Tác chiến</v>
          </cell>
          <cell r="H450" t="str">
            <v>Hợp đồng lao động</v>
          </cell>
          <cell r="I450" t="str">
            <v>Quân lực quản lý</v>
          </cell>
          <cell r="J450" t="str">
            <v>Kỹ sư kiểm soát phần mềm</v>
          </cell>
        </row>
        <row r="451">
          <cell r="D451" t="str">
            <v>Bộ phận PTNV &amp; QLCL Cảnh giới</v>
          </cell>
        </row>
        <row r="452">
          <cell r="C452" t="str">
            <v>045593</v>
          </cell>
          <cell r="D452" t="str">
            <v>Lê Thị Thanh Nhàn</v>
          </cell>
          <cell r="E452" t="str">
            <v>Trung tâm Hệ thống chỉ huy và điều khiển - Viện NCPT</v>
          </cell>
          <cell r="F452" t="str">
            <v>Phòng Quản lý chất lượng</v>
          </cell>
          <cell r="G452" t="str">
            <v>Bộ phận PTNV &amp; QLCL Cảnh giới</v>
          </cell>
          <cell r="H452" t="str">
            <v>Hợp đồng lao động</v>
          </cell>
          <cell r="I452" t="str">
            <v>Quân lực quản lý</v>
          </cell>
          <cell r="J452" t="str">
            <v>Trưởng nhóm</v>
          </cell>
        </row>
        <row r="453">
          <cell r="C453" t="str">
            <v>037193</v>
          </cell>
          <cell r="D453" t="str">
            <v>Trần Thị Việt Nga</v>
          </cell>
          <cell r="E453" t="str">
            <v>Trung tâm Hệ thống chỉ huy và điều khiển - Viện NCPT</v>
          </cell>
          <cell r="F453" t="str">
            <v>Phòng Quản lý chất lượng</v>
          </cell>
          <cell r="G453" t="str">
            <v>Bộ phận PTNV &amp; QLCL Cảnh giới</v>
          </cell>
          <cell r="H453" t="str">
            <v>Hợp đồng lao động</v>
          </cell>
          <cell r="I453" t="str">
            <v>Quân lực quản lý</v>
          </cell>
          <cell r="J453" t="str">
            <v>Kỹ sư kiểm soát phần mềm</v>
          </cell>
        </row>
        <row r="454">
          <cell r="D454" t="str">
            <v>Bộ phận PTNV &amp; QLCL Dẫn đường không quân</v>
          </cell>
        </row>
        <row r="455">
          <cell r="C455" t="str">
            <v>102996</v>
          </cell>
          <cell r="D455" t="str">
            <v>Phạm Thị Vân An</v>
          </cell>
          <cell r="E455" t="str">
            <v>Trung tâm Hệ thống chỉ huy và điều khiển - Viện NCPT</v>
          </cell>
          <cell r="F455" t="str">
            <v>Phòng Quản lý chất lượng</v>
          </cell>
          <cell r="G455" t="str">
            <v>Bộ phận PTNV &amp; QLCL Dẫn đường không quân</v>
          </cell>
          <cell r="H455" t="str">
            <v>Hợp đồng lao động</v>
          </cell>
          <cell r="I455" t="str">
            <v>Quân lực quản lý</v>
          </cell>
          <cell r="J455" t="str">
            <v>Trưởng nhóm</v>
          </cell>
        </row>
        <row r="456">
          <cell r="C456" t="str">
            <v>108597</v>
          </cell>
          <cell r="D456" t="str">
            <v>Trần Thu Hiền</v>
          </cell>
          <cell r="E456" t="str">
            <v>Trung tâm Hệ thống chỉ huy và điều khiển - Viện NCPT</v>
          </cell>
          <cell r="F456" t="str">
            <v>Phòng Quản lý chất lượng</v>
          </cell>
          <cell r="G456" t="str">
            <v>Bộ phận PTNV &amp; QLCL Dẫn đường không quân</v>
          </cell>
          <cell r="H456" t="str">
            <v>Hợp đồng lao động</v>
          </cell>
          <cell r="I456" t="str">
            <v>Quân lực quản lý</v>
          </cell>
          <cell r="J456" t="str">
            <v>Kỹ sư kiểm soát phần mềm</v>
          </cell>
        </row>
        <row r="457">
          <cell r="D457" t="str">
            <v>Phòng Nghiên cứu hệ thống dẫn đường bay</v>
          </cell>
        </row>
        <row r="458">
          <cell r="D458" t="str">
            <v>Phụ trách phòng</v>
          </cell>
        </row>
        <row r="459">
          <cell r="C459" t="str">
            <v>120505</v>
          </cell>
          <cell r="D459" t="str">
            <v>Bùi Việt Hưng</v>
          </cell>
          <cell r="E459" t="str">
            <v>Trung tâm Hệ thống chỉ huy và điều khiển - Viện NCPT</v>
          </cell>
          <cell r="F459" t="str">
            <v>Phòng Nghiên cứu hệ thống dẫn đường bay</v>
          </cell>
          <cell r="G459" t="str">
            <v>Phụ trách phòng</v>
          </cell>
          <cell r="H459" t="str">
            <v>Hợp đồng lao động</v>
          </cell>
          <cell r="I459" t="str">
            <v>Quân lực quản lý</v>
          </cell>
          <cell r="J459" t="str">
            <v>Trưởng phòng</v>
          </cell>
        </row>
        <row r="460">
          <cell r="D460" t="str">
            <v>Bộ phận Nghiên cứu giải pháp và phân tích thiết kế hệ thống</v>
          </cell>
        </row>
        <row r="461">
          <cell r="C461" t="str">
            <v>193279</v>
          </cell>
          <cell r="D461" t="str">
            <v>Nguyễn Tuấn Anh</v>
          </cell>
          <cell r="E461" t="str">
            <v>Trung tâm Hệ thống chỉ huy và điều khiển - Viện NCPT</v>
          </cell>
          <cell r="F461" t="str">
            <v>Phòng Nghiên cứu hệ thống dẫn đường bay</v>
          </cell>
          <cell r="G461" t="str">
            <v>Bộ phận Nghiên cứu giải pháp và phân tích thiết kế hệ thống</v>
          </cell>
          <cell r="H461" t="str">
            <v>Hợp đồng lao động</v>
          </cell>
          <cell r="I461" t="str">
            <v>Quân lực quản lý</v>
          </cell>
          <cell r="J461" t="str">
            <v>Kỹ sư nghiên cứu hệ thống chỉ huy điều khiển</v>
          </cell>
        </row>
        <row r="462">
          <cell r="C462" t="str">
            <v>194748</v>
          </cell>
          <cell r="D462" t="str">
            <v>Lê Văn Khuyến</v>
          </cell>
          <cell r="E462" t="str">
            <v>Trung tâm Hệ thống chỉ huy và điều khiển - Viện NCPT</v>
          </cell>
          <cell r="F462" t="str">
            <v>Phòng Nghiên cứu hệ thống dẫn đường bay</v>
          </cell>
          <cell r="G462" t="str">
            <v>Bộ phận Nghiên cứu giải pháp và phân tích thiết kế hệ thống</v>
          </cell>
          <cell r="H462" t="str">
            <v>Hợp đồng lao động</v>
          </cell>
          <cell r="I462" t="str">
            <v>Quân lực quản lý</v>
          </cell>
          <cell r="J462" t="str">
            <v>Kỹ sư nghiên cứu hệ thống chỉ huy điều khiển</v>
          </cell>
        </row>
        <row r="463">
          <cell r="D463" t="str">
            <v>Bộ phận Nghiên cứu hệ thống thông tin địa lý GIS</v>
          </cell>
        </row>
        <row r="464">
          <cell r="C464" t="str">
            <v>122635</v>
          </cell>
          <cell r="D464" t="str">
            <v>Phạm Anh Tuấn</v>
          </cell>
          <cell r="E464" t="str">
            <v>Trung tâm Hệ thống chỉ huy và điều khiển - Viện NCPT</v>
          </cell>
          <cell r="F464" t="str">
            <v>Phòng Nghiên cứu hệ thống dẫn đường bay</v>
          </cell>
          <cell r="G464" t="str">
            <v>Bộ phận Nghiên cứu hệ thống thông tin địa lý GIS</v>
          </cell>
          <cell r="H464" t="str">
            <v>Hợp đồng lao động</v>
          </cell>
          <cell r="I464" t="str">
            <v>Quân lực quản lý</v>
          </cell>
          <cell r="J464" t="str">
            <v>Trưởng nhóm</v>
          </cell>
        </row>
        <row r="465">
          <cell r="C465" t="str">
            <v>186378</v>
          </cell>
          <cell r="D465" t="str">
            <v>Nguyễn Quốc Khánh</v>
          </cell>
          <cell r="E465" t="str">
            <v>Trung tâm Hệ thống chỉ huy và điều khiển - Viện NCPT</v>
          </cell>
          <cell r="F465" t="str">
            <v>Phòng Nghiên cứu hệ thống dẫn đường bay</v>
          </cell>
          <cell r="G465" t="str">
            <v>Bộ phận Nghiên cứu hệ thống thông tin địa lý GIS</v>
          </cell>
          <cell r="H465" t="str">
            <v>Hợp đồng lao động</v>
          </cell>
          <cell r="I465" t="str">
            <v>Quân lực quản lý</v>
          </cell>
          <cell r="J465" t="str">
            <v>Kỹ sư nghiên cứu hệ thống chỉ huy điều khiển</v>
          </cell>
        </row>
        <row r="466">
          <cell r="C466" t="str">
            <v>193278</v>
          </cell>
          <cell r="D466" t="str">
            <v>Nguyễn Văn Hồng</v>
          </cell>
          <cell r="E466" t="str">
            <v>Trung tâm Hệ thống chỉ huy và điều khiển - Viện NCPT</v>
          </cell>
          <cell r="F466" t="str">
            <v>Phòng Nghiên cứu hệ thống dẫn đường bay</v>
          </cell>
          <cell r="G466" t="str">
            <v>Bộ phận Nghiên cứu hệ thống thông tin địa lý GIS</v>
          </cell>
          <cell r="H466" t="str">
            <v>Hợp đồng lao động</v>
          </cell>
          <cell r="I466" t="str">
            <v>Quân lực quản lý</v>
          </cell>
          <cell r="J466" t="str">
            <v>Kỹ sư nghiên cứu hệ thống chỉ huy điều khiển</v>
          </cell>
        </row>
        <row r="467">
          <cell r="D467" t="str">
            <v>Bộ phận Lập trình</v>
          </cell>
        </row>
        <row r="468">
          <cell r="C468" t="str">
            <v>097158</v>
          </cell>
          <cell r="D468" t="str">
            <v>Phạm Ngọc Thắng</v>
          </cell>
          <cell r="E468" t="str">
            <v>Trung tâm Hệ thống chỉ huy và điều khiển - Viện NCPT</v>
          </cell>
          <cell r="F468" t="str">
            <v>Phòng Nghiên cứu hệ thống dẫn đường bay</v>
          </cell>
          <cell r="G468" t="str">
            <v>Bộ phận Lập trình</v>
          </cell>
          <cell r="H468" t="str">
            <v>Hợp đồng lao động</v>
          </cell>
          <cell r="I468" t="str">
            <v>Quân lực quản lý</v>
          </cell>
          <cell r="J468" t="str">
            <v>Kỹ sư nghiên cứu hệ thống chỉ huy điều khiển</v>
          </cell>
        </row>
        <row r="469">
          <cell r="C469" t="str">
            <v>178273</v>
          </cell>
          <cell r="D469" t="str">
            <v>Nguyễn Văn Kiệm</v>
          </cell>
          <cell r="E469" t="str">
            <v>Trung tâm Hệ thống chỉ huy và điều khiển - Viện NCPT</v>
          </cell>
          <cell r="F469" t="str">
            <v>Phòng Nghiên cứu hệ thống dẫn đường bay</v>
          </cell>
          <cell r="G469" t="str">
            <v>Bộ phận Lập trình</v>
          </cell>
          <cell r="H469" t="str">
            <v>Hợp đồng lao động</v>
          </cell>
          <cell r="I469" t="str">
            <v>Quân lực quản lý</v>
          </cell>
          <cell r="J469" t="str">
            <v>Kỹ sư nghiên cứu hệ thống chỉ huy điều khiển</v>
          </cell>
        </row>
        <row r="470">
          <cell r="D470" t="str">
            <v>Phòng Triển khai giải pháp</v>
          </cell>
        </row>
        <row r="471">
          <cell r="D471" t="str">
            <v>Phụ trách phòng</v>
          </cell>
        </row>
        <row r="472">
          <cell r="C472" t="str">
            <v>121263</v>
          </cell>
          <cell r="D472" t="str">
            <v>Nguyễn Đình Việt</v>
          </cell>
          <cell r="E472" t="str">
            <v>Trung tâm Hệ thống chỉ huy và điều khiển - Viện NCPT</v>
          </cell>
          <cell r="F472" t="str">
            <v>Phòng Triển khai giải pháp</v>
          </cell>
          <cell r="G472" t="str">
            <v>Phụ trách phòng</v>
          </cell>
          <cell r="H472" t="str">
            <v>Hợp đồng lao động</v>
          </cell>
          <cell r="I472" t="str">
            <v>Quân lực quản lý</v>
          </cell>
          <cell r="J472" t="str">
            <v>Phó Trưởng Phòng</v>
          </cell>
        </row>
        <row r="473">
          <cell r="D473" t="str">
            <v xml:space="preserve">Bộ phận Nghiên cứu công nghệ </v>
          </cell>
        </row>
        <row r="474">
          <cell r="C474" t="str">
            <v>141184</v>
          </cell>
          <cell r="D474" t="str">
            <v>Nguyễn Văn Việt</v>
          </cell>
          <cell r="E474" t="str">
            <v>Trung tâm Hệ thống chỉ huy và điều khiển - Viện NCPT</v>
          </cell>
          <cell r="F474" t="str">
            <v>Phòng Triển khai giải pháp</v>
          </cell>
          <cell r="G474" t="str">
            <v xml:space="preserve">Bộ phận Nghiên cứu công nghệ </v>
          </cell>
          <cell r="H474" t="str">
            <v>Hợp đồng lao động</v>
          </cell>
          <cell r="I474" t="str">
            <v>Quân lực quản lý</v>
          </cell>
          <cell r="J474" t="str">
            <v>Trưởng nhóm</v>
          </cell>
        </row>
        <row r="475">
          <cell r="C475" t="str">
            <v>192435</v>
          </cell>
          <cell r="D475" t="str">
            <v>Lại Xuân Thành</v>
          </cell>
          <cell r="E475" t="str">
            <v>Trung tâm Hệ thống chỉ huy và điều khiển - Viện NCPT</v>
          </cell>
          <cell r="F475" t="str">
            <v>Phòng Triển khai giải pháp</v>
          </cell>
          <cell r="G475" t="str">
            <v xml:space="preserve">Bộ phận Nghiên cứu công nghệ </v>
          </cell>
          <cell r="H475" t="str">
            <v>Hợp đồng lao động</v>
          </cell>
          <cell r="I475" t="str">
            <v>Quân lực quản lý</v>
          </cell>
          <cell r="J475" t="str">
            <v>Kỹ sư quản trị cơ sở dữ liệu</v>
          </cell>
        </row>
        <row r="476">
          <cell r="D476" t="str">
            <v>Bộ phận Giải pháp tích hợp</v>
          </cell>
        </row>
        <row r="477">
          <cell r="C477" t="str">
            <v>121641</v>
          </cell>
          <cell r="D477" t="str">
            <v>Trần Ngọc Sơn</v>
          </cell>
          <cell r="E477" t="str">
            <v>Trung tâm Hệ thống chỉ huy và điều khiển - Viện NCPT</v>
          </cell>
          <cell r="F477" t="str">
            <v>Phòng Triển khai giải pháp</v>
          </cell>
          <cell r="G477" t="str">
            <v>Bộ phận Giải pháp tích hợp</v>
          </cell>
          <cell r="H477" t="str">
            <v>Hợp đồng lao động</v>
          </cell>
          <cell r="I477" t="str">
            <v>Quân lực quản lý</v>
          </cell>
          <cell r="J477" t="str">
            <v>Kỹ sư nghiên cứu Chỉ huy điều khiển</v>
          </cell>
        </row>
        <row r="478">
          <cell r="C478" t="str">
            <v>139854</v>
          </cell>
          <cell r="D478" t="str">
            <v>Hoàng Quốc Đạt</v>
          </cell>
          <cell r="E478" t="str">
            <v>Trung tâm Hệ thống chỉ huy và điều khiển - Viện NCPT</v>
          </cell>
          <cell r="F478" t="str">
            <v>Phòng Triển khai giải pháp</v>
          </cell>
          <cell r="G478" t="str">
            <v>Bộ phận Giải pháp tích hợp</v>
          </cell>
          <cell r="H478" t="str">
            <v>Hợp đồng lao động</v>
          </cell>
          <cell r="I478" t="str">
            <v>Quân lực quản lý</v>
          </cell>
          <cell r="J478" t="str">
            <v>Kỹ sư nghiên cứu Chỉ huy điều khiển</v>
          </cell>
        </row>
        <row r="479">
          <cell r="C479" t="str">
            <v>198833</v>
          </cell>
          <cell r="D479" t="str">
            <v>Nguyễn Việt Anh</v>
          </cell>
          <cell r="E479" t="str">
            <v>Trung tâm Hệ thống chỉ huy và điều khiển - Viện NCPT</v>
          </cell>
          <cell r="F479" t="str">
            <v>Phòng Triển khai giải pháp</v>
          </cell>
          <cell r="G479" t="str">
            <v>Bộ phận Giải pháp tích hợp</v>
          </cell>
          <cell r="H479" t="str">
            <v>Hợp đồng lao động</v>
          </cell>
          <cell r="I479" t="str">
            <v>Quân lực quản lý</v>
          </cell>
          <cell r="J479" t="str">
            <v>Kỹ sư nghiên cứu Chỉ huy điều khiển</v>
          </cell>
        </row>
        <row r="480">
          <cell r="D480" t="str">
            <v>Bộ phận quản lý An ninh thông tin</v>
          </cell>
        </row>
        <row r="481">
          <cell r="C481" t="str">
            <v>087213</v>
          </cell>
          <cell r="D481" t="str">
            <v>Nguyễn Thị Thanh Huyền</v>
          </cell>
          <cell r="E481" t="str">
            <v>Trung tâm Hệ thống chỉ huy và điều khiển - Viện NCPT</v>
          </cell>
          <cell r="F481" t="str">
            <v>Phòng Triển khai giải pháp</v>
          </cell>
          <cell r="G481" t="str">
            <v>Bộ phận quản lý An ninh thông tin</v>
          </cell>
          <cell r="H481" t="str">
            <v>Hợp đồng lao động</v>
          </cell>
          <cell r="I481" t="str">
            <v>Quân lực quản lý</v>
          </cell>
          <cell r="J481" t="str">
            <v>Kỹ sư quản lý ATTT</v>
          </cell>
        </row>
        <row r="482">
          <cell r="C482" t="str">
            <v>139133</v>
          </cell>
          <cell r="D482" t="str">
            <v>Lê Ngọc Hồ</v>
          </cell>
          <cell r="E482" t="str">
            <v>Trung tâm Hệ thống chỉ huy và điều khiển - Viện NCPT</v>
          </cell>
          <cell r="F482" t="str">
            <v>Phòng Triển khai giải pháp</v>
          </cell>
          <cell r="G482" t="str">
            <v>Bộ phận quản lý An ninh thông tin</v>
          </cell>
          <cell r="H482" t="str">
            <v>Hợp đồng lao động</v>
          </cell>
          <cell r="I482" t="str">
            <v>Quân lực quản lý</v>
          </cell>
          <cell r="J482" t="str">
            <v>Kỹ sư quản lý ATTT</v>
          </cell>
        </row>
        <row r="483">
          <cell r="D483" t="str">
            <v>Trung tâm Công nghệ tính toán mới - Viện NCPT</v>
          </cell>
        </row>
        <row r="484">
          <cell r="D484" t="str">
            <v>Ban Giám đốc</v>
          </cell>
        </row>
        <row r="485">
          <cell r="D485" t="str">
            <v>Thủ trưởng đơn vị</v>
          </cell>
        </row>
        <row r="486">
          <cell r="C486" t="str">
            <v>120507</v>
          </cell>
          <cell r="D486" t="str">
            <v>Lê Nhật Minh</v>
          </cell>
          <cell r="E486" t="str">
            <v>Trung tâm Công nghệ tính toán mới - Viện NCPT</v>
          </cell>
          <cell r="F486" t="str">
            <v>Ban Giám đốc</v>
          </cell>
          <cell r="G486" t="str">
            <v>Thủ trưởng đơn vị</v>
          </cell>
          <cell r="H486" t="str">
            <v>Hợp đồng lao động</v>
          </cell>
          <cell r="I486" t="str">
            <v>Quân lực quản lý</v>
          </cell>
          <cell r="J486" t="str">
            <v>Giám đốc</v>
          </cell>
        </row>
        <row r="487">
          <cell r="C487" t="str">
            <v>060969</v>
          </cell>
          <cell r="D487" t="str">
            <v>Bùi Huy Tùng</v>
          </cell>
          <cell r="E487" t="str">
            <v>Trung tâm Công nghệ tính toán mới - Viện NCPT</v>
          </cell>
          <cell r="F487" t="str">
            <v>Ban Giám đốc</v>
          </cell>
          <cell r="G487" t="str">
            <v>Thủ trưởng đơn vị</v>
          </cell>
          <cell r="H487" t="str">
            <v>Hợp đồng lao động</v>
          </cell>
          <cell r="I487" t="str">
            <v>Quân lực quản lý</v>
          </cell>
          <cell r="J487" t="str">
            <v>Phó Giám đốc</v>
          </cell>
        </row>
        <row r="488">
          <cell r="C488" t="str">
            <v>087233</v>
          </cell>
          <cell r="D488" t="str">
            <v>Dương Anh Trà</v>
          </cell>
          <cell r="E488" t="str">
            <v>Trung tâm Công nghệ tính toán mới - Viện NCPT</v>
          </cell>
          <cell r="F488" t="str">
            <v>Ban Giám đốc</v>
          </cell>
          <cell r="G488" t="str">
            <v>Thủ trưởng đơn vị</v>
          </cell>
          <cell r="H488" t="str">
            <v>Hợp đồng lao động</v>
          </cell>
          <cell r="I488" t="str">
            <v>Quân lực quản lý</v>
          </cell>
          <cell r="J488" t="str">
            <v>Phó Giám đốc</v>
          </cell>
        </row>
        <row r="489">
          <cell r="D489" t="str">
            <v>Phòng Tổng hợp</v>
          </cell>
        </row>
        <row r="490">
          <cell r="D490" t="str">
            <v>Trợ lý nghiệp vụ</v>
          </cell>
        </row>
        <row r="491">
          <cell r="C491" t="str">
            <v>010099</v>
          </cell>
          <cell r="D491" t="str">
            <v>Tô Lan Phương</v>
          </cell>
          <cell r="E491" t="str">
            <v>Trung tâm Công nghệ tính toán mới - Viện NCPT</v>
          </cell>
          <cell r="F491" t="str">
            <v>Phòng Tổng hợp</v>
          </cell>
          <cell r="G491" t="str">
            <v>Trợ lý nghiệp vụ</v>
          </cell>
          <cell r="H491" t="str">
            <v>Hợp đồng lao động</v>
          </cell>
          <cell r="I491" t="str">
            <v>Quân lực quản lý</v>
          </cell>
          <cell r="J491" t="str">
            <v>Kế toán</v>
          </cell>
        </row>
        <row r="492">
          <cell r="C492" t="str">
            <v>118927</v>
          </cell>
          <cell r="D492" t="str">
            <v>Tần Thị Lê Vinh</v>
          </cell>
          <cell r="E492" t="str">
            <v>Trung tâm Công nghệ tính toán mới - Viện NCPT</v>
          </cell>
          <cell r="F492" t="str">
            <v>Phòng Tổng hợp</v>
          </cell>
          <cell r="G492" t="str">
            <v>Trợ lý nghiệp vụ</v>
          </cell>
          <cell r="H492" t="str">
            <v>Hợp đồng lao động</v>
          </cell>
          <cell r="I492" t="str">
            <v>Quân lực quản lý</v>
          </cell>
          <cell r="J492" t="str">
            <v>Nhân viên kế hoạch</v>
          </cell>
        </row>
        <row r="493">
          <cell r="C493" t="str">
            <v>185613</v>
          </cell>
          <cell r="D493" t="str">
            <v>Nguyễn Thị Phương Anh</v>
          </cell>
          <cell r="E493" t="str">
            <v>Trung tâm Công nghệ tính toán mới - Viện NCPT</v>
          </cell>
          <cell r="F493" t="str">
            <v>Phòng Tổng hợp</v>
          </cell>
          <cell r="G493" t="str">
            <v>Trợ lý nghiệp vụ</v>
          </cell>
          <cell r="H493" t="str">
            <v>Hợp đồng lao động</v>
          </cell>
          <cell r="I493" t="str">
            <v>Quân lực quản lý</v>
          </cell>
          <cell r="J493" t="str">
            <v>Nhân viên hành chính tổng hợp</v>
          </cell>
        </row>
        <row r="494">
          <cell r="D494" t="str">
            <v>Phòng Nghiên cứu Hệ điều hành</v>
          </cell>
        </row>
        <row r="495">
          <cell r="D495" t="str">
            <v>Nhóm Nghiên cứu nhân</v>
          </cell>
        </row>
        <row r="496">
          <cell r="C496" t="str">
            <v>107438</v>
          </cell>
          <cell r="D496" t="str">
            <v>Nguyễn Thanh Xuân</v>
          </cell>
          <cell r="E496" t="str">
            <v>Trung tâm Công nghệ tính toán mới - Viện NCPT</v>
          </cell>
          <cell r="F496" t="str">
            <v>Phòng Nghiên cứu Hệ điều hành</v>
          </cell>
          <cell r="G496" t="str">
            <v>Nhóm Nghiên cứu nhân</v>
          </cell>
          <cell r="H496" t="str">
            <v>Hợp đồng lao động</v>
          </cell>
          <cell r="I496" t="str">
            <v>Quân lực quản lý</v>
          </cell>
          <cell r="J496" t="str">
            <v>Trưởng nhóm</v>
          </cell>
        </row>
        <row r="497">
          <cell r="C497" t="str">
            <v>176856</v>
          </cell>
          <cell r="D497" t="str">
            <v>Nguyễn Đức Thành</v>
          </cell>
          <cell r="E497" t="str">
            <v>Trung tâm Công nghệ tính toán mới - Viện NCPT</v>
          </cell>
          <cell r="F497" t="str">
            <v>Phòng Nghiên cứu Hệ điều hành</v>
          </cell>
          <cell r="G497" t="str">
            <v>Nhóm Nghiên cứu nhân</v>
          </cell>
          <cell r="H497" t="str">
            <v>Hợp đồng lao động</v>
          </cell>
          <cell r="I497" t="str">
            <v>Quân lực quản lý</v>
          </cell>
          <cell r="J497" t="str">
            <v>Kỹ sư phát triển hệ điều hành</v>
          </cell>
        </row>
        <row r="498">
          <cell r="C498" t="str">
            <v>196134</v>
          </cell>
          <cell r="D498" t="str">
            <v>Nguyễn Hải Đăng</v>
          </cell>
          <cell r="E498" t="str">
            <v>Trung tâm Công nghệ tính toán mới - Viện NCPT</v>
          </cell>
          <cell r="F498" t="str">
            <v>Phòng Nghiên cứu Hệ điều hành</v>
          </cell>
          <cell r="G498" t="str">
            <v>Nhóm Nghiên cứu nhân</v>
          </cell>
          <cell r="H498" t="str">
            <v>Hợp đồng lao động</v>
          </cell>
          <cell r="I498" t="str">
            <v>Quân lực quản lý</v>
          </cell>
          <cell r="J498" t="str">
            <v>Kỹ sư phát triển hệ điều hành</v>
          </cell>
        </row>
        <row r="499">
          <cell r="D499" t="str">
            <v>Nhóm Dịch vụ hệ thống</v>
          </cell>
        </row>
        <row r="500">
          <cell r="C500" t="str">
            <v>179974</v>
          </cell>
          <cell r="D500" t="str">
            <v>Nguyễn Thanh Hào</v>
          </cell>
          <cell r="E500" t="str">
            <v>Trung tâm Công nghệ tính toán mới - Viện NCPT</v>
          </cell>
          <cell r="F500" t="str">
            <v>Phòng Nghiên cứu Hệ điều hành</v>
          </cell>
          <cell r="G500" t="str">
            <v>Nhóm Dịch vụ hệ thống</v>
          </cell>
          <cell r="H500" t="str">
            <v>Hợp đồng lao động</v>
          </cell>
          <cell r="I500" t="str">
            <v>Quân lực quản lý</v>
          </cell>
          <cell r="J500" t="str">
            <v>Kỹ sư phát triển hệ điều hành</v>
          </cell>
        </row>
        <row r="501">
          <cell r="C501" t="str">
            <v>194753</v>
          </cell>
          <cell r="D501" t="str">
            <v>Nguyễn Trung Quân</v>
          </cell>
          <cell r="E501" t="str">
            <v>Trung tâm Công nghệ tính toán mới - Viện NCPT</v>
          </cell>
          <cell r="F501" t="str">
            <v>Phòng Nghiên cứu Hệ điều hành</v>
          </cell>
          <cell r="G501" t="str">
            <v>Nhóm Dịch vụ hệ thống</v>
          </cell>
          <cell r="H501" t="str">
            <v>Hợp đồng lao động</v>
          </cell>
          <cell r="I501" t="str">
            <v>Quân lực quản lý</v>
          </cell>
          <cell r="J501" t="str">
            <v>Kỹ sư phát triển hệ điều hành</v>
          </cell>
        </row>
        <row r="502">
          <cell r="D502" t="str">
            <v>Nhóm Hệ điều hành thời gian thực</v>
          </cell>
        </row>
        <row r="503">
          <cell r="C503" t="str">
            <v>135608</v>
          </cell>
          <cell r="D503" t="str">
            <v>Nguyễn Hải Dương</v>
          </cell>
          <cell r="E503" t="str">
            <v>Trung tâm Công nghệ tính toán mới - Viện NCPT</v>
          </cell>
          <cell r="F503" t="str">
            <v>Phòng Nghiên cứu Hệ điều hành</v>
          </cell>
          <cell r="G503" t="str">
            <v>Nhóm Hệ điều hành thời gian thực</v>
          </cell>
          <cell r="H503" t="str">
            <v>Hợp đồng lao động</v>
          </cell>
          <cell r="I503" t="str">
            <v>Quân lực quản lý</v>
          </cell>
          <cell r="J503" t="str">
            <v>Kỹ sư phát triển hệ điều hành</v>
          </cell>
        </row>
        <row r="504">
          <cell r="D504" t="str">
            <v>Nhóm Hệ điều hành nhúng</v>
          </cell>
        </row>
        <row r="505">
          <cell r="C505" t="str">
            <v>178294</v>
          </cell>
          <cell r="D505" t="str">
            <v>Vũ Thành Công</v>
          </cell>
          <cell r="E505" t="str">
            <v>Trung tâm Công nghệ tính toán mới - Viện NCPT</v>
          </cell>
          <cell r="F505" t="str">
            <v>Phòng Nghiên cứu Hệ điều hành</v>
          </cell>
          <cell r="G505" t="str">
            <v>Nhóm Hệ điều hành nhúng</v>
          </cell>
          <cell r="H505" t="str">
            <v>Hợp đồng lao động</v>
          </cell>
          <cell r="I505" t="str">
            <v>Quân lực quản lý</v>
          </cell>
          <cell r="J505" t="str">
            <v>Kỹ sư phát triển hệ điều hành</v>
          </cell>
        </row>
        <row r="506">
          <cell r="D506" t="str">
            <v>Nhóm Hệ điều hành di động</v>
          </cell>
        </row>
        <row r="507">
          <cell r="C507" t="str">
            <v>122579</v>
          </cell>
          <cell r="D507" t="str">
            <v>Nguyễn Công Tuyến</v>
          </cell>
          <cell r="E507" t="str">
            <v>Trung tâm Công nghệ tính toán mới - Viện NCPT</v>
          </cell>
          <cell r="F507" t="str">
            <v>Phòng Nghiên cứu Hệ điều hành</v>
          </cell>
          <cell r="G507" t="str">
            <v>Nhóm Hệ điều hành di động</v>
          </cell>
          <cell r="H507" t="str">
            <v>Hợp đồng lao động</v>
          </cell>
          <cell r="I507" t="str">
            <v>Quân lực quản lý</v>
          </cell>
          <cell r="J507" t="str">
            <v>Kỹ sư phát triển hệ điều hành di động</v>
          </cell>
        </row>
        <row r="508">
          <cell r="D508" t="str">
            <v>Nhóm Ứng dụng</v>
          </cell>
        </row>
        <row r="509">
          <cell r="C509" t="str">
            <v>202601</v>
          </cell>
          <cell r="D509" t="str">
            <v>Lưu Hồng Sơn</v>
          </cell>
          <cell r="E509" t="str">
            <v>Trung tâm Công nghệ tính toán mới - Viện NCPT</v>
          </cell>
          <cell r="F509" t="str">
            <v>Phòng Nghiên cứu Hệ điều hành</v>
          </cell>
          <cell r="G509" t="str">
            <v>Nhóm Ứng dụng</v>
          </cell>
          <cell r="H509" t="str">
            <v>HĐ Thử việc</v>
          </cell>
          <cell r="I509" t="str">
            <v>Quân lực quản lý</v>
          </cell>
          <cell r="J509" t="str">
            <v>Kỹ sư lập trình hệ thống</v>
          </cell>
        </row>
        <row r="510">
          <cell r="D510" t="str">
            <v>Phòng Platform</v>
          </cell>
        </row>
        <row r="511">
          <cell r="D511" t="str">
            <v>Phụ trách phòng</v>
          </cell>
        </row>
        <row r="512">
          <cell r="C512" t="str">
            <v>056938</v>
          </cell>
          <cell r="D512" t="str">
            <v>Nguyễn Văn Nội</v>
          </cell>
          <cell r="E512" t="str">
            <v>Trung tâm Công nghệ tính toán mới - Viện NCPT</v>
          </cell>
          <cell r="F512" t="str">
            <v>Phòng Platform</v>
          </cell>
          <cell r="G512" t="str">
            <v>Phụ trách phòng</v>
          </cell>
          <cell r="H512" t="str">
            <v>Hợp đồng lao động</v>
          </cell>
          <cell r="I512" t="str">
            <v>Quân lực quản lý</v>
          </cell>
          <cell r="J512" t="str">
            <v>Phó Trưởng phòng</v>
          </cell>
        </row>
        <row r="513">
          <cell r="D513" t="str">
            <v>Nhóm Cluster</v>
          </cell>
        </row>
        <row r="514">
          <cell r="C514" t="str">
            <v>122580</v>
          </cell>
          <cell r="D514" t="str">
            <v>Nguyễn Tuấn Hưng</v>
          </cell>
          <cell r="E514" t="str">
            <v>Trung tâm Công nghệ tính toán mới - Viện NCPT</v>
          </cell>
          <cell r="F514" t="str">
            <v>Phòng Platform</v>
          </cell>
          <cell r="G514" t="str">
            <v>Nhóm Cluster</v>
          </cell>
          <cell r="H514" t="str">
            <v>Hợp đồng lao động</v>
          </cell>
          <cell r="I514" t="str">
            <v>Quân lực quản lý</v>
          </cell>
          <cell r="J514" t="str">
            <v>Trưởng nhóm</v>
          </cell>
        </row>
        <row r="515">
          <cell r="C515" t="str">
            <v>130929</v>
          </cell>
          <cell r="D515" t="str">
            <v>Phạm Quang Định</v>
          </cell>
          <cell r="E515" t="str">
            <v>Trung tâm Công nghệ tính toán mới - Viện NCPT</v>
          </cell>
          <cell r="F515" t="str">
            <v>Phòng Platform</v>
          </cell>
          <cell r="G515" t="str">
            <v>Nhóm Cluster</v>
          </cell>
          <cell r="H515" t="str">
            <v>Hợp đồng lao động</v>
          </cell>
          <cell r="I515" t="str">
            <v>Quân lực quản lý</v>
          </cell>
          <cell r="J515" t="str">
            <v>Kỹ sư lập trình hệ thống</v>
          </cell>
        </row>
        <row r="516">
          <cell r="D516" t="str">
            <v>Nhóm chất lượng dịch vụ</v>
          </cell>
        </row>
        <row r="517">
          <cell r="C517" t="str">
            <v>166813</v>
          </cell>
          <cell r="D517" t="str">
            <v>Tô Trần Tiến</v>
          </cell>
          <cell r="E517" t="str">
            <v>Trung tâm Công nghệ tính toán mới - Viện NCPT</v>
          </cell>
          <cell r="F517" t="str">
            <v>Phòng Platform</v>
          </cell>
          <cell r="G517" t="str">
            <v>Nhóm chất lượng dịch vụ</v>
          </cell>
          <cell r="H517" t="str">
            <v>Hợp đồng lao động</v>
          </cell>
          <cell r="I517" t="str">
            <v>Quân lực quản lý</v>
          </cell>
          <cell r="J517" t="str">
            <v>Kỹ sư lập trình hệ thống</v>
          </cell>
        </row>
        <row r="518">
          <cell r="D518" t="str">
            <v>Nhóm giám sát và vận hành hệ thống</v>
          </cell>
        </row>
        <row r="519">
          <cell r="C519" t="str">
            <v>137448</v>
          </cell>
          <cell r="D519" t="str">
            <v>Nguyễn Đình Chương</v>
          </cell>
          <cell r="E519" t="str">
            <v>Trung tâm Công nghệ tính toán mới - Viện NCPT</v>
          </cell>
          <cell r="F519" t="str">
            <v>Phòng Platform</v>
          </cell>
          <cell r="G519" t="str">
            <v>Nhóm giám sát và vận hành hệ thống</v>
          </cell>
          <cell r="H519" t="str">
            <v>Hợp đồng lao động</v>
          </cell>
          <cell r="I519" t="str">
            <v>Quân lực quản lý</v>
          </cell>
          <cell r="J519" t="str">
            <v>Kỹ sư lập trình hệ thống</v>
          </cell>
        </row>
        <row r="520">
          <cell r="C520" t="str">
            <v>186376</v>
          </cell>
          <cell r="D520" t="str">
            <v>Nguyễn Hữu Tùng</v>
          </cell>
          <cell r="E520" t="str">
            <v>Trung tâm Công nghệ tính toán mới - Viện NCPT</v>
          </cell>
          <cell r="F520" t="str">
            <v>Phòng Platform</v>
          </cell>
          <cell r="G520" t="str">
            <v>Nhóm giám sát và vận hành hệ thống</v>
          </cell>
          <cell r="H520" t="str">
            <v>Hợp đồng lao động</v>
          </cell>
          <cell r="I520" t="str">
            <v>Quân lực quản lý</v>
          </cell>
          <cell r="J520" t="str">
            <v>Kỹ sư lập trình hệ thống</v>
          </cell>
        </row>
        <row r="521">
          <cell r="D521" t="str">
            <v>Nhóm Framework</v>
          </cell>
        </row>
        <row r="522">
          <cell r="C522" t="str">
            <v>163693</v>
          </cell>
          <cell r="D522" t="str">
            <v>Nguyễn Duy Bình</v>
          </cell>
          <cell r="E522" t="str">
            <v>Trung tâm Công nghệ tính toán mới - Viện NCPT</v>
          </cell>
          <cell r="F522" t="str">
            <v>Phòng Platform</v>
          </cell>
          <cell r="G522" t="str">
            <v>Nhóm Framework</v>
          </cell>
          <cell r="H522" t="str">
            <v>Hợp đồng lao động</v>
          </cell>
          <cell r="I522" t="str">
            <v>Quân lực quản lý</v>
          </cell>
          <cell r="J522" t="str">
            <v>Kỹ sư lập trình hệ thống</v>
          </cell>
        </row>
        <row r="523">
          <cell r="C523" t="str">
            <v>169153</v>
          </cell>
          <cell r="D523" t="str">
            <v>Nguyễn Mạnh Toàn</v>
          </cell>
          <cell r="E523" t="str">
            <v>Trung tâm Công nghệ tính toán mới - Viện NCPT</v>
          </cell>
          <cell r="F523" t="str">
            <v>Phòng Platform</v>
          </cell>
          <cell r="G523" t="str">
            <v>Nhóm Framework</v>
          </cell>
          <cell r="H523" t="str">
            <v>Hợp đồng lao động</v>
          </cell>
          <cell r="I523" t="str">
            <v>Quân lực quản lý</v>
          </cell>
          <cell r="J523" t="str">
            <v>Kỹ sư lập trình hệ thống</v>
          </cell>
        </row>
        <row r="524">
          <cell r="D524" t="str">
            <v>Nhóm lập trình mạng</v>
          </cell>
        </row>
        <row r="525">
          <cell r="C525" t="str">
            <v>140543</v>
          </cell>
          <cell r="D525" t="str">
            <v>Phạm Anh Tuấn</v>
          </cell>
          <cell r="E525" t="str">
            <v>Trung tâm Công nghệ tính toán mới - Viện NCPT</v>
          </cell>
          <cell r="F525" t="str">
            <v>Phòng Platform</v>
          </cell>
          <cell r="G525" t="str">
            <v>Nhóm lập trình mạng</v>
          </cell>
          <cell r="H525" t="str">
            <v>Hợp đồng lao động</v>
          </cell>
          <cell r="I525" t="str">
            <v>Quân lực quản lý</v>
          </cell>
          <cell r="J525" t="str">
            <v>Kỹ sư lập trình hệ thống</v>
          </cell>
        </row>
        <row r="526">
          <cell r="C526" t="str">
            <v>148773</v>
          </cell>
          <cell r="D526" t="str">
            <v>Nguyễn Văn Sơn</v>
          </cell>
          <cell r="E526" t="str">
            <v>Trung tâm Công nghệ tính toán mới - Viện NCPT</v>
          </cell>
          <cell r="F526" t="str">
            <v>Phòng Platform</v>
          </cell>
          <cell r="G526" t="str">
            <v>Nhóm lập trình mạng</v>
          </cell>
          <cell r="H526" t="str">
            <v>Hợp đồng lao động</v>
          </cell>
          <cell r="I526" t="str">
            <v>Quân lực quản lý</v>
          </cell>
          <cell r="J526" t="str">
            <v>Kỹ sư lập trình hệ thống</v>
          </cell>
        </row>
        <row r="527">
          <cell r="D527" t="str">
            <v>Phòng Xử lý thông tin</v>
          </cell>
        </row>
        <row r="528">
          <cell r="D528" t="str">
            <v>Phụ trách phòng</v>
          </cell>
        </row>
        <row r="529">
          <cell r="C529" t="str">
            <v>122390</v>
          </cell>
          <cell r="D529" t="str">
            <v>Nguyễn Văn Thuật</v>
          </cell>
          <cell r="E529" t="str">
            <v>Trung tâm Công nghệ tính toán mới - Viện NCPT</v>
          </cell>
          <cell r="F529" t="str">
            <v>Phòng Xử lý thông tin</v>
          </cell>
          <cell r="G529" t="str">
            <v>Phụ trách phòng</v>
          </cell>
          <cell r="H529" t="str">
            <v>Hợp đồng lao động</v>
          </cell>
          <cell r="I529" t="str">
            <v>Quân lực quản lý</v>
          </cell>
          <cell r="J529" t="str">
            <v>Phó Trưởng phòng</v>
          </cell>
        </row>
        <row r="530">
          <cell r="D530" t="str">
            <v>Nhóm Xử lý tín hiệu số</v>
          </cell>
        </row>
        <row r="531">
          <cell r="C531" t="str">
            <v>137616</v>
          </cell>
          <cell r="D531" t="str">
            <v>Lê Thái Linh</v>
          </cell>
          <cell r="E531" t="str">
            <v>Trung tâm Công nghệ tính toán mới - Viện NCPT</v>
          </cell>
          <cell r="F531" t="str">
            <v>Phòng Xử lý thông tin</v>
          </cell>
          <cell r="G531" t="str">
            <v>Nhóm Xử lý tín hiệu số</v>
          </cell>
          <cell r="H531" t="str">
            <v>Hợp đồng lao động</v>
          </cell>
          <cell r="I531" t="str">
            <v>Quân lực quản lý</v>
          </cell>
          <cell r="J531" t="str">
            <v>Kỹ sư xử lý tín hiệu số</v>
          </cell>
        </row>
        <row r="532">
          <cell r="C532" t="str">
            <v>149033</v>
          </cell>
          <cell r="D532" t="str">
            <v>Trần Quốc Huy</v>
          </cell>
          <cell r="E532" t="str">
            <v>Trung tâm Công nghệ tính toán mới - Viện NCPT</v>
          </cell>
          <cell r="F532" t="str">
            <v>Phòng Xử lý thông tin</v>
          </cell>
          <cell r="G532" t="str">
            <v>Nhóm Xử lý tín hiệu số</v>
          </cell>
          <cell r="H532" t="str">
            <v>Hợp đồng lao động</v>
          </cell>
          <cell r="I532" t="str">
            <v>Quân lực quản lý</v>
          </cell>
          <cell r="J532" t="str">
            <v>Kỹ sư xử lý tín hiệu số</v>
          </cell>
        </row>
        <row r="533">
          <cell r="C533" t="str">
            <v>193280</v>
          </cell>
          <cell r="D533" t="str">
            <v>Nguyễn Văn Hoàng</v>
          </cell>
          <cell r="E533" t="str">
            <v>Trung tâm Công nghệ tính toán mới - Viện NCPT</v>
          </cell>
          <cell r="F533" t="str">
            <v>Phòng Xử lý thông tin</v>
          </cell>
          <cell r="G533" t="str">
            <v>Nhóm Xử lý tín hiệu số</v>
          </cell>
          <cell r="H533" t="str">
            <v>Hợp đồng lao động</v>
          </cell>
          <cell r="I533" t="str">
            <v>Quân lực quản lý</v>
          </cell>
          <cell r="J533" t="str">
            <v>Kỹ sư xử lý tín hiệu số</v>
          </cell>
        </row>
        <row r="534">
          <cell r="C534" t="str">
            <v>137011</v>
          </cell>
          <cell r="D534" t="str">
            <v>Lê Quang Hiếu</v>
          </cell>
          <cell r="E534" t="str">
            <v>Trung tâm Công nghệ tính toán mới - Viện NCPT</v>
          </cell>
          <cell r="F534" t="str">
            <v>Phòng Xử lý thông tin</v>
          </cell>
          <cell r="G534" t="str">
            <v>Nhóm Xử lý tín hiệu số</v>
          </cell>
          <cell r="H534" t="str">
            <v>Hợp đồng lao động</v>
          </cell>
          <cell r="I534" t="str">
            <v>Quân lực quản lý</v>
          </cell>
          <cell r="J534" t="str">
            <v>Trưởng nhóm</v>
          </cell>
        </row>
        <row r="535">
          <cell r="D535" t="str">
            <v>Nhóm Truyền dẫn thông tin</v>
          </cell>
        </row>
        <row r="536">
          <cell r="C536" t="str">
            <v>190454</v>
          </cell>
          <cell r="D536" t="str">
            <v>Nguyễn Trọng Hiếu</v>
          </cell>
          <cell r="E536" t="str">
            <v>Trung tâm Công nghệ tính toán mới - Viện NCPT</v>
          </cell>
          <cell r="F536" t="str">
            <v>Phòng Xử lý thông tin</v>
          </cell>
          <cell r="G536" t="str">
            <v>Nhóm Truyền dẫn thông tin</v>
          </cell>
          <cell r="H536" t="str">
            <v>Hợp đồng lao động</v>
          </cell>
          <cell r="I536" t="str">
            <v>Quân lực quản lý</v>
          </cell>
          <cell r="J536" t="str">
            <v>Kỹ sư lập trình hệ thống</v>
          </cell>
        </row>
        <row r="537">
          <cell r="C537" t="str">
            <v>191813</v>
          </cell>
          <cell r="D537" t="str">
            <v>Nguyễn Vũ Dũng</v>
          </cell>
          <cell r="E537" t="str">
            <v>Trung tâm Công nghệ tính toán mới - Viện NCPT</v>
          </cell>
          <cell r="F537" t="str">
            <v>Phòng Xử lý thông tin</v>
          </cell>
          <cell r="G537" t="str">
            <v>Nhóm Truyền dẫn thông tin</v>
          </cell>
          <cell r="H537" t="str">
            <v>Hợp đồng lao động</v>
          </cell>
          <cell r="I537" t="str">
            <v>Quân lực quản lý</v>
          </cell>
          <cell r="J537" t="str">
            <v>Kỹ sư lập trình hệ thống</v>
          </cell>
        </row>
        <row r="538">
          <cell r="D538" t="str">
            <v>Nhóm Thiết bị ngoại vi</v>
          </cell>
        </row>
        <row r="539">
          <cell r="C539" t="str">
            <v>139599</v>
          </cell>
          <cell r="D539" t="str">
            <v>Phạm Nguyên Bình</v>
          </cell>
          <cell r="E539" t="str">
            <v>Trung tâm Công nghệ tính toán mới - Viện NCPT</v>
          </cell>
          <cell r="F539" t="str">
            <v>Phòng Xử lý thông tin</v>
          </cell>
          <cell r="G539" t="str">
            <v>Nhóm Thiết bị ngoại vi</v>
          </cell>
          <cell r="H539" t="str">
            <v>Hợp đồng lao động</v>
          </cell>
          <cell r="I539" t="str">
            <v>Quân lực quản lý</v>
          </cell>
          <cell r="J539" t="str">
            <v>Trưởng nhóm</v>
          </cell>
        </row>
        <row r="540">
          <cell r="C540" t="str">
            <v>194750</v>
          </cell>
          <cell r="D540" t="str">
            <v>Hà Quang Dương</v>
          </cell>
          <cell r="E540" t="str">
            <v>Trung tâm Công nghệ tính toán mới - Viện NCPT</v>
          </cell>
          <cell r="F540" t="str">
            <v>Phòng Xử lý thông tin</v>
          </cell>
          <cell r="G540" t="str">
            <v>Nhóm Thiết bị ngoại vi</v>
          </cell>
          <cell r="H540" t="str">
            <v>Hợp đồng lao động</v>
          </cell>
          <cell r="I540" t="str">
            <v>Quân lực quản lý</v>
          </cell>
          <cell r="J540" t="str">
            <v>Kỹ sư lập trình hệ thống</v>
          </cell>
        </row>
        <row r="541">
          <cell r="D541" t="str">
            <v>Nhóm Tương tác người máy</v>
          </cell>
        </row>
        <row r="542">
          <cell r="C542" t="str">
            <v>166814</v>
          </cell>
          <cell r="D542" t="str">
            <v>Nguyễn Đắc Thành</v>
          </cell>
          <cell r="E542" t="str">
            <v>Trung tâm Công nghệ tính toán mới - Viện NCPT</v>
          </cell>
          <cell r="F542" t="str">
            <v>Phòng Xử lý thông tin</v>
          </cell>
          <cell r="G542" t="str">
            <v>Nhóm Tương tác người máy</v>
          </cell>
          <cell r="H542" t="str">
            <v>Hợp đồng lao động</v>
          </cell>
          <cell r="I542" t="str">
            <v>Quân lực quản lý</v>
          </cell>
          <cell r="J542" t="str">
            <v>Kỹ sư lập trình hệ thống</v>
          </cell>
        </row>
        <row r="543">
          <cell r="D543" t="str">
            <v>Nhóm Nghiên cứu thuật toán</v>
          </cell>
        </row>
        <row r="544">
          <cell r="C544" t="str">
            <v>164995</v>
          </cell>
          <cell r="D544" t="str">
            <v>Phạm Đức Long</v>
          </cell>
          <cell r="E544" t="str">
            <v>Trung tâm Công nghệ tính toán mới - Viện NCPT</v>
          </cell>
          <cell r="F544" t="str">
            <v>Phòng Xử lý thông tin</v>
          </cell>
          <cell r="G544" t="str">
            <v>Nhóm Nghiên cứu thuật toán</v>
          </cell>
          <cell r="H544" t="str">
            <v>Hợp đồng lao động</v>
          </cell>
          <cell r="I544" t="str">
            <v>Quân lực quản lý</v>
          </cell>
          <cell r="J544" t="str">
            <v>Kỹ sư thiết kế giải thuật</v>
          </cell>
        </row>
        <row r="545">
          <cell r="C545" t="str">
            <v>194752</v>
          </cell>
          <cell r="D545" t="str">
            <v>Đoàn Thế Vinh</v>
          </cell>
          <cell r="E545" t="str">
            <v>Trung tâm Công nghệ tính toán mới - Viện NCPT</v>
          </cell>
          <cell r="F545" t="str">
            <v>Phòng Xử lý thông tin</v>
          </cell>
          <cell r="G545" t="str">
            <v>Nhóm Nghiên cứu thuật toán</v>
          </cell>
          <cell r="H545" t="str">
            <v>Hợp đồng lao động</v>
          </cell>
          <cell r="I545" t="str">
            <v>Quân lực quản lý</v>
          </cell>
          <cell r="J545" t="str">
            <v>Kỹ sư thiết kế giải thuật</v>
          </cell>
        </row>
        <row r="546">
          <cell r="D546" t="str">
            <v>Phòng An toàn thông tin</v>
          </cell>
        </row>
        <row r="547">
          <cell r="D547" t="str">
            <v>Phụ trách phòng</v>
          </cell>
        </row>
        <row r="548">
          <cell r="C548" t="str">
            <v>122636</v>
          </cell>
          <cell r="D548" t="str">
            <v>Cao Xuân Sáng</v>
          </cell>
          <cell r="E548" t="str">
            <v>Trung tâm Công nghệ tính toán mới - Viện NCPT</v>
          </cell>
          <cell r="F548" t="str">
            <v>Phòng An toàn thông tin</v>
          </cell>
          <cell r="G548" t="str">
            <v>Phụ trách phòng</v>
          </cell>
          <cell r="H548" t="str">
            <v>Hợp đồng lao động</v>
          </cell>
          <cell r="I548" t="str">
            <v>Quân lực quản lý</v>
          </cell>
          <cell r="J548" t="str">
            <v>Phó Trưởng Phòng</v>
          </cell>
        </row>
        <row r="549">
          <cell r="D549" t="str">
            <v>Nhóm An ninh phần cứng</v>
          </cell>
        </row>
        <row r="550">
          <cell r="C550" t="str">
            <v>195475</v>
          </cell>
          <cell r="D550" t="str">
            <v>Đặng Xuân Thảo</v>
          </cell>
          <cell r="E550" t="str">
            <v>Trung tâm Công nghệ tính toán mới - Viện NCPT</v>
          </cell>
          <cell r="F550" t="str">
            <v>Phòng An toàn thông tin</v>
          </cell>
          <cell r="G550" t="str">
            <v>Nhóm An ninh phần cứng</v>
          </cell>
          <cell r="H550" t="str">
            <v>Hợp đồng lao động</v>
          </cell>
          <cell r="I550" t="str">
            <v>Quân lực quản lý</v>
          </cell>
          <cell r="J550" t="str">
            <v>Kỹ sư lập trình nhúng</v>
          </cell>
        </row>
        <row r="551">
          <cell r="C551" t="str">
            <v>195484</v>
          </cell>
          <cell r="D551" t="str">
            <v>Nguyễn Anh Tuấn</v>
          </cell>
          <cell r="E551" t="str">
            <v>Trung tâm Công nghệ tính toán mới - Viện NCPT</v>
          </cell>
          <cell r="F551" t="str">
            <v>Phòng An toàn thông tin</v>
          </cell>
          <cell r="G551" t="str">
            <v>Nhóm An ninh phần cứng</v>
          </cell>
          <cell r="H551" t="str">
            <v>Hợp đồng lao động</v>
          </cell>
          <cell r="I551" t="str">
            <v>Quân lực quản lý</v>
          </cell>
          <cell r="J551" t="str">
            <v>Kỹ sư lập trình nhúng</v>
          </cell>
        </row>
        <row r="552">
          <cell r="C552" t="str">
            <v>200633</v>
          </cell>
          <cell r="D552" t="str">
            <v>Nguyễn Quang Tuấn Anh</v>
          </cell>
          <cell r="E552" t="str">
            <v>Trung tâm Công nghệ tính toán mới - Viện NCPT</v>
          </cell>
          <cell r="F552" t="str">
            <v>Phòng An toàn thông tin</v>
          </cell>
          <cell r="G552" t="str">
            <v>Nhóm An ninh phần cứng</v>
          </cell>
          <cell r="H552" t="str">
            <v>Hợp đồng lao động</v>
          </cell>
          <cell r="I552" t="str">
            <v>Quân lực quản lý</v>
          </cell>
          <cell r="J552" t="str">
            <v>Kỹ sư nghiên cứu ATTT phần cứng</v>
          </cell>
        </row>
        <row r="553">
          <cell r="C553" t="str">
            <v>200933</v>
          </cell>
          <cell r="D553" t="str">
            <v>Tạ Duy Tùng</v>
          </cell>
          <cell r="E553" t="str">
            <v>Trung tâm Công nghệ tính toán mới - Viện NCPT</v>
          </cell>
          <cell r="F553" t="str">
            <v>Phòng An toàn thông tin</v>
          </cell>
          <cell r="G553" t="str">
            <v>Nhóm An ninh phần cứng</v>
          </cell>
          <cell r="H553" t="str">
            <v>Hợp đồng lao động</v>
          </cell>
          <cell r="I553" t="str">
            <v>Quân lực quản lý</v>
          </cell>
          <cell r="J553" t="str">
            <v>Kỹ sư nghiên cứu ATTT phần cứng</v>
          </cell>
        </row>
        <row r="554">
          <cell r="D554" t="str">
            <v>Nhóm An ninh ứng dụng</v>
          </cell>
        </row>
        <row r="555">
          <cell r="C555" t="str">
            <v>175669</v>
          </cell>
          <cell r="D555" t="str">
            <v>Nguyễn Quốc Minh</v>
          </cell>
          <cell r="E555" t="str">
            <v>Trung tâm Công nghệ tính toán mới - Viện NCPT</v>
          </cell>
          <cell r="F555" t="str">
            <v>Phòng An toàn thông tin</v>
          </cell>
          <cell r="G555" t="str">
            <v>Nhóm An ninh ứng dụng</v>
          </cell>
          <cell r="H555" t="str">
            <v>Hợp đồng lao động</v>
          </cell>
          <cell r="I555" t="str">
            <v>Quân lực quản lý</v>
          </cell>
          <cell r="J555" t="str">
            <v>Kỹ sư nghiên cứu lỗ hổng phần mềm desktop</v>
          </cell>
        </row>
        <row r="556">
          <cell r="D556" t="str">
            <v>Nhóm Tác chiến Điện tử</v>
          </cell>
        </row>
        <row r="557">
          <cell r="C557" t="str">
            <v>194742</v>
          </cell>
          <cell r="D557" t="str">
            <v>Bùi Văn Hùng</v>
          </cell>
          <cell r="E557" t="str">
            <v>Trung tâm Công nghệ tính toán mới - Viện NCPT</v>
          </cell>
          <cell r="F557" t="str">
            <v>Phòng An toàn thông tin</v>
          </cell>
          <cell r="G557" t="str">
            <v>Nhóm Tác chiến Điện tử</v>
          </cell>
          <cell r="H557" t="str">
            <v>Hợp đồng lao động</v>
          </cell>
          <cell r="I557" t="str">
            <v>Quân lực quản lý</v>
          </cell>
          <cell r="J557" t="str">
            <v>Kỹ sư thiết kế phần cứng cao tần</v>
          </cell>
        </row>
        <row r="558">
          <cell r="D558" t="str">
            <v>Phân viện Radar - Viện NCPT</v>
          </cell>
        </row>
        <row r="559">
          <cell r="D559" t="str">
            <v>Ban Giám đốc và chuyên gia</v>
          </cell>
        </row>
        <row r="560">
          <cell r="D560" t="str">
            <v>Thủ trưởng đơn vị</v>
          </cell>
        </row>
        <row r="561">
          <cell r="C561" t="str">
            <v>004036</v>
          </cell>
          <cell r="D561" t="str">
            <v>Nguyễn Đình Công</v>
          </cell>
          <cell r="E561" t="str">
            <v>Phân viện Radar - Viện NCPT</v>
          </cell>
          <cell r="F561" t="str">
            <v>Ban Giám đốc và chuyên gia</v>
          </cell>
          <cell r="G561" t="str">
            <v>Thủ trưởng đơn vị</v>
          </cell>
          <cell r="H561" t="str">
            <v>Thượng tá</v>
          </cell>
          <cell r="I561" t="str">
            <v>Cán bộ quản lý</v>
          </cell>
          <cell r="J561" t="str">
            <v>Giám đốc</v>
          </cell>
        </row>
        <row r="562">
          <cell r="C562" t="str">
            <v>046788</v>
          </cell>
          <cell r="D562" t="str">
            <v>Phạm Huy Tường</v>
          </cell>
          <cell r="E562" t="str">
            <v>Phân viện Radar - Viện NCPT</v>
          </cell>
          <cell r="F562" t="str">
            <v>Ban Giám đốc và chuyên gia</v>
          </cell>
          <cell r="G562" t="str">
            <v>Thủ trưởng đơn vị</v>
          </cell>
          <cell r="H562" t="str">
            <v>Thiếu tá CN</v>
          </cell>
          <cell r="I562" t="str">
            <v>Quân lực quản lý</v>
          </cell>
          <cell r="J562" t="str">
            <v>Phó Giám đốc</v>
          </cell>
        </row>
        <row r="563">
          <cell r="C563" t="str">
            <v>056933</v>
          </cell>
          <cell r="D563" t="str">
            <v>Vũ Việt Tiến</v>
          </cell>
          <cell r="E563" t="str">
            <v>Phân viện Radar - Viện NCPT</v>
          </cell>
          <cell r="F563" t="str">
            <v>Ban Giám đốc và chuyên gia</v>
          </cell>
          <cell r="G563" t="str">
            <v>Thủ trưởng đơn vị</v>
          </cell>
          <cell r="H563" t="str">
            <v>Hợp đồng lao động</v>
          </cell>
          <cell r="I563" t="str">
            <v>Quân lực quản lý</v>
          </cell>
          <cell r="J563" t="str">
            <v>Phó Giám đốc</v>
          </cell>
        </row>
        <row r="564">
          <cell r="C564" t="str">
            <v>095496</v>
          </cell>
          <cell r="D564" t="str">
            <v>Lê Hữu Trưởng</v>
          </cell>
          <cell r="E564" t="str">
            <v>Phân viện Radar - Viện NCPT</v>
          </cell>
          <cell r="F564" t="str">
            <v>Ban Giám đốc và chuyên gia</v>
          </cell>
          <cell r="G564" t="str">
            <v>Thủ trưởng đơn vị</v>
          </cell>
          <cell r="H564" t="str">
            <v>Hợp đồng lao động</v>
          </cell>
          <cell r="I564" t="str">
            <v>Quân lực quản lý</v>
          </cell>
          <cell r="J564" t="str">
            <v>Phó Giám đốc</v>
          </cell>
        </row>
        <row r="565">
          <cell r="D565" t="str">
            <v>Phòng Tổng hợp</v>
          </cell>
        </row>
        <row r="566">
          <cell r="D566" t="str">
            <v>Phụ trách phòng</v>
          </cell>
        </row>
        <row r="567">
          <cell r="C567" t="str">
            <v>072154</v>
          </cell>
          <cell r="D567" t="str">
            <v>Nguyễn Thị Mai</v>
          </cell>
          <cell r="E567" t="str">
            <v>Phân viện Radar - Viện NCPT</v>
          </cell>
          <cell r="F567" t="str">
            <v>Phòng Tổng hợp</v>
          </cell>
          <cell r="G567" t="str">
            <v>Phụ trách phòng</v>
          </cell>
          <cell r="H567" t="str">
            <v>Hợp đồng lao động</v>
          </cell>
          <cell r="I567" t="str">
            <v>Quân lực quản lý</v>
          </cell>
          <cell r="J567" t="str">
            <v>Trưởng phòng</v>
          </cell>
        </row>
        <row r="568">
          <cell r="D568" t="str">
            <v>Trợ lý nghiệp vụ</v>
          </cell>
        </row>
        <row r="569">
          <cell r="C569" t="str">
            <v>034637</v>
          </cell>
          <cell r="D569" t="str">
            <v>Trần Hoài Nam</v>
          </cell>
          <cell r="E569" t="str">
            <v>Phân viện Radar - Viện NCPT</v>
          </cell>
          <cell r="F569" t="str">
            <v>Phòng Tổng hợp</v>
          </cell>
          <cell r="G569" t="str">
            <v>Trợ lý nghiệp vụ</v>
          </cell>
          <cell r="H569" t="str">
            <v>Hợp đồng lao động</v>
          </cell>
          <cell r="I569" t="str">
            <v>Quân lực quản lý</v>
          </cell>
          <cell r="J569" t="str">
            <v>Kế toán</v>
          </cell>
        </row>
        <row r="570">
          <cell r="C570" t="str">
            <v>110839</v>
          </cell>
          <cell r="D570" t="str">
            <v>Vũ Đình Bình</v>
          </cell>
          <cell r="E570" t="str">
            <v>Phân viện Radar - Viện NCPT</v>
          </cell>
          <cell r="F570" t="str">
            <v>Phòng Tổng hợp</v>
          </cell>
          <cell r="G570" t="str">
            <v>Trợ lý nghiệp vụ</v>
          </cell>
          <cell r="H570" t="str">
            <v>Hợp đồng lao động</v>
          </cell>
          <cell r="I570" t="str">
            <v>Quân lực quản lý</v>
          </cell>
          <cell r="J570" t="str">
            <v>Nhân viên Đầu tư</v>
          </cell>
        </row>
        <row r="571">
          <cell r="C571" t="str">
            <v>126109</v>
          </cell>
          <cell r="D571" t="str">
            <v>Vũ Thị Phương</v>
          </cell>
          <cell r="E571" t="str">
            <v>Phân viện Radar - Viện NCPT</v>
          </cell>
          <cell r="F571" t="str">
            <v>Phòng Tổng hợp</v>
          </cell>
          <cell r="G571" t="str">
            <v>Trợ lý nghiệp vụ</v>
          </cell>
          <cell r="H571" t="str">
            <v>Hợp đồng lao động</v>
          </cell>
          <cell r="I571" t="str">
            <v>Quân lực quản lý</v>
          </cell>
          <cell r="J571" t="str">
            <v>Nhân viên Đầu tư</v>
          </cell>
        </row>
        <row r="572">
          <cell r="C572" t="str">
            <v>137168</v>
          </cell>
          <cell r="D572" t="str">
            <v>Nguyễn Hương Giang</v>
          </cell>
          <cell r="E572" t="str">
            <v>Phân viện Radar - Viện NCPT</v>
          </cell>
          <cell r="F572" t="str">
            <v>Phòng Tổng hợp</v>
          </cell>
          <cell r="G572" t="str">
            <v>Trợ lý nghiệp vụ</v>
          </cell>
          <cell r="H572" t="str">
            <v>Hợp đồng lao động</v>
          </cell>
          <cell r="I572" t="str">
            <v>Quân lực quản lý</v>
          </cell>
          <cell r="J572" t="str">
            <v>Nhân viên hành chính tổng hợp</v>
          </cell>
        </row>
        <row r="573">
          <cell r="C573" t="str">
            <v>171404</v>
          </cell>
          <cell r="D573" t="str">
            <v>Bùi Thu Giang</v>
          </cell>
          <cell r="E573" t="str">
            <v>Phân viện Radar - Viện NCPT</v>
          </cell>
          <cell r="F573" t="str">
            <v>Phòng Tổng hợp</v>
          </cell>
          <cell r="G573" t="str">
            <v>Trợ lý nghiệp vụ</v>
          </cell>
          <cell r="H573" t="str">
            <v>Hợp đồng lao động</v>
          </cell>
          <cell r="I573" t="str">
            <v>Quân lực quản lý</v>
          </cell>
          <cell r="J573" t="str">
            <v>Nhân viên Đầu tư</v>
          </cell>
        </row>
        <row r="574">
          <cell r="C574" t="str">
            <v>175666</v>
          </cell>
          <cell r="D574" t="str">
            <v>Khúc Đình Thịnh</v>
          </cell>
          <cell r="E574" t="str">
            <v>Phân viện Radar - Viện NCPT</v>
          </cell>
          <cell r="F574" t="str">
            <v>Phòng Tổng hợp</v>
          </cell>
          <cell r="G574" t="str">
            <v>Trợ lý nghiệp vụ</v>
          </cell>
          <cell r="H574" t="str">
            <v>Hợp đồng lao động</v>
          </cell>
          <cell r="I574" t="str">
            <v>Quân lực quản lý</v>
          </cell>
          <cell r="J574" t="str">
            <v>Nhân viên kế hoạch</v>
          </cell>
        </row>
        <row r="575">
          <cell r="C575" t="str">
            <v>189995</v>
          </cell>
          <cell r="D575" t="str">
            <v>Đặng Thanh Hoàng</v>
          </cell>
          <cell r="E575" t="str">
            <v>Phân viện Radar - Viện NCPT</v>
          </cell>
          <cell r="F575" t="str">
            <v>Phòng Tổng hợp</v>
          </cell>
          <cell r="G575" t="str">
            <v>Trợ lý nghiệp vụ</v>
          </cell>
          <cell r="H575" t="str">
            <v>Hợp đồng lao động</v>
          </cell>
          <cell r="I575" t="str">
            <v>Quân lực quản lý</v>
          </cell>
          <cell r="J575" t="str">
            <v>Nhân viên Tài sản</v>
          </cell>
        </row>
        <row r="576">
          <cell r="D576" t="str">
            <v>Trung tâm Sản xuất</v>
          </cell>
        </row>
        <row r="577">
          <cell r="D577" t="str">
            <v>Ban Giám đốc</v>
          </cell>
        </row>
        <row r="578">
          <cell r="C578" t="str">
            <v>086857</v>
          </cell>
          <cell r="D578" t="str">
            <v>Vũ Thế Dũng</v>
          </cell>
          <cell r="E578" t="str">
            <v>Phân viện Radar - Viện NCPT</v>
          </cell>
          <cell r="F578" t="str">
            <v>Trung tâm Sản xuất</v>
          </cell>
          <cell r="G578" t="str">
            <v>Ban Giám đốc</v>
          </cell>
          <cell r="H578" t="str">
            <v>Hợp đồng lao động</v>
          </cell>
          <cell r="I578" t="str">
            <v>Quân lực quản lý</v>
          </cell>
          <cell r="J578" t="str">
            <v>Giám đốc</v>
          </cell>
        </row>
        <row r="579">
          <cell r="C579" t="str">
            <v>123201</v>
          </cell>
          <cell r="D579" t="str">
            <v>Hoàng Nam</v>
          </cell>
          <cell r="E579" t="str">
            <v>Phân viện Radar - Viện NCPT</v>
          </cell>
          <cell r="F579" t="str">
            <v>Trung tâm Sản xuất</v>
          </cell>
          <cell r="G579" t="str">
            <v>Ban Giám đốc</v>
          </cell>
          <cell r="H579" t="str">
            <v>Hợp đồng lao động</v>
          </cell>
          <cell r="I579" t="str">
            <v>Quân lực quản lý</v>
          </cell>
          <cell r="J579" t="str">
            <v>Phó Giám đốc</v>
          </cell>
        </row>
        <row r="580">
          <cell r="C580" t="str">
            <v>151873</v>
          </cell>
          <cell r="D580" t="str">
            <v>Lê Mạnh Linh</v>
          </cell>
          <cell r="E580" t="str">
            <v>Phân viện Radar - Viện NCPT</v>
          </cell>
          <cell r="F580" t="str">
            <v>Trung tâm Sản xuất</v>
          </cell>
          <cell r="G580" t="str">
            <v>Ban Giám đốc</v>
          </cell>
          <cell r="H580" t="str">
            <v>Hợp đồng lao động</v>
          </cell>
          <cell r="I580" t="str">
            <v>Quân lực quản lý</v>
          </cell>
          <cell r="J580" t="str">
            <v>Phó Giám đốc</v>
          </cell>
        </row>
        <row r="581">
          <cell r="D581" t="str">
            <v>Phòng kiểm soát tiến độ sản xuất</v>
          </cell>
        </row>
        <row r="582">
          <cell r="C582" t="str">
            <v>165033</v>
          </cell>
          <cell r="D582" t="str">
            <v>Nguyễn Hoàng Linh</v>
          </cell>
          <cell r="E582" t="str">
            <v>Phân viện Radar - Viện NCPT</v>
          </cell>
          <cell r="F582" t="str">
            <v>Trung tâm Sản xuất</v>
          </cell>
          <cell r="G582" t="str">
            <v>Phòng kiểm soát tiến độ sản xuất</v>
          </cell>
          <cell r="H582" t="str">
            <v>Hợp đồng lao động</v>
          </cell>
          <cell r="I582" t="str">
            <v>Quân lực quản lý</v>
          </cell>
          <cell r="J582" t="str">
            <v>Trưởng phòng</v>
          </cell>
        </row>
        <row r="583">
          <cell r="C583" t="str">
            <v>113838</v>
          </cell>
          <cell r="D583" t="str">
            <v>Ngô Văn Thiện</v>
          </cell>
          <cell r="E583" t="str">
            <v>Phân viện Radar - Viện NCPT</v>
          </cell>
          <cell r="F583" t="str">
            <v>Trung tâm Sản xuất</v>
          </cell>
          <cell r="G583" t="str">
            <v>Phòng kiểm soát tiến độ sản xuất</v>
          </cell>
          <cell r="H583" t="str">
            <v>Hợp đồng lao động</v>
          </cell>
          <cell r="I583" t="str">
            <v>Quân lực quản lý</v>
          </cell>
          <cell r="J583" t="str">
            <v>Kỹ sư kiểm soát tiến độ sản xuất điện tử, siêu cao tần, anten</v>
          </cell>
        </row>
        <row r="584">
          <cell r="C584" t="str">
            <v>140755</v>
          </cell>
          <cell r="D584" t="str">
            <v>Lương Đức Long</v>
          </cell>
          <cell r="E584" t="str">
            <v>Phân viện Radar - Viện NCPT</v>
          </cell>
          <cell r="F584" t="str">
            <v>Trung tâm Sản xuất</v>
          </cell>
          <cell r="G584" t="str">
            <v>Phòng kiểm soát tiến độ sản xuất</v>
          </cell>
          <cell r="H584" t="str">
            <v>Hợp đồng lao động</v>
          </cell>
          <cell r="I584" t="str">
            <v>Quân lực quản lý</v>
          </cell>
          <cell r="J584" t="str">
            <v>Kỹ sư kiểm soát tiến độ sản xuất cơ khí, ô tô</v>
          </cell>
        </row>
        <row r="585">
          <cell r="C585" t="str">
            <v>185253</v>
          </cell>
          <cell r="D585" t="str">
            <v>Lê Xuân Thành</v>
          </cell>
          <cell r="E585" t="str">
            <v>Phân viện Radar - Viện NCPT</v>
          </cell>
          <cell r="F585" t="str">
            <v>Trung tâm Sản xuất</v>
          </cell>
          <cell r="G585" t="str">
            <v>Phòng kiểm soát tiến độ sản xuất</v>
          </cell>
          <cell r="H585" t="str">
            <v>Trung úy</v>
          </cell>
          <cell r="I585" t="str">
            <v>Cán bộ quản lý</v>
          </cell>
          <cell r="J585" t="str">
            <v>Kỹ sư kiểm soát tiến độ sản xuất cơ khí, ô tô</v>
          </cell>
        </row>
        <row r="586">
          <cell r="C586" t="str">
            <v>185256</v>
          </cell>
          <cell r="D586" t="str">
            <v>Nguyễn Trọng Thanh</v>
          </cell>
          <cell r="E586" t="str">
            <v>Phân viện Radar - Viện NCPT</v>
          </cell>
          <cell r="F586" t="str">
            <v>Trung tâm Sản xuất</v>
          </cell>
          <cell r="G586" t="str">
            <v>Phòng kiểm soát tiến độ sản xuất</v>
          </cell>
          <cell r="H586" t="str">
            <v>Trung úy</v>
          </cell>
          <cell r="I586" t="str">
            <v>Cán bộ quản lý</v>
          </cell>
          <cell r="J586" t="str">
            <v>Kỹ sư kiểm soát tiến độ sản xuất cơ khí, ô tô</v>
          </cell>
        </row>
        <row r="587">
          <cell r="C587" t="str">
            <v>187153</v>
          </cell>
          <cell r="D587" t="str">
            <v>Ngô Đức Anh</v>
          </cell>
          <cell r="E587" t="str">
            <v>Phân viện Radar - Viện NCPT</v>
          </cell>
          <cell r="F587" t="str">
            <v>Trung tâm Sản xuất</v>
          </cell>
          <cell r="G587" t="str">
            <v>Phòng kiểm soát tiến độ sản xuất</v>
          </cell>
          <cell r="H587" t="str">
            <v>Hợp đồng lao động</v>
          </cell>
          <cell r="I587" t="str">
            <v>Quân lực quản lý</v>
          </cell>
          <cell r="J587" t="str">
            <v>Kỹ sư kiểm soát tiến độ sản xuất điện tử, siêu cao tần, anten</v>
          </cell>
        </row>
        <row r="588">
          <cell r="C588" t="str">
            <v>188375</v>
          </cell>
          <cell r="D588" t="str">
            <v>Trương Đức Anh</v>
          </cell>
          <cell r="E588" t="str">
            <v>Phân viện Radar - Viện NCPT</v>
          </cell>
          <cell r="F588" t="str">
            <v>Trung tâm Sản xuất</v>
          </cell>
          <cell r="G588" t="str">
            <v>Phòng kiểm soát tiến độ sản xuất</v>
          </cell>
          <cell r="H588" t="str">
            <v>Hợp đồng lao động</v>
          </cell>
          <cell r="I588" t="str">
            <v>Quân lực quản lý</v>
          </cell>
          <cell r="J588" t="str">
            <v>Kỹ sư kiểm soát tiến độ sản xuất điện tử, siêu cao tần, anten</v>
          </cell>
        </row>
        <row r="589">
          <cell r="D589" t="str">
            <v>Phòng tài liệu và quy trình Công nghệ</v>
          </cell>
        </row>
        <row r="590">
          <cell r="C590" t="str">
            <v>091257</v>
          </cell>
          <cell r="D590" t="str">
            <v>Tạ Quang Trung</v>
          </cell>
          <cell r="E590" t="str">
            <v>Phân viện Radar - Viện NCPT</v>
          </cell>
          <cell r="F590" t="str">
            <v>Trung tâm Sản xuất</v>
          </cell>
          <cell r="G590" t="str">
            <v>Phòng tài liệu và quy trình Công nghệ</v>
          </cell>
          <cell r="H590" t="str">
            <v>Thiếu tá CN</v>
          </cell>
          <cell r="I590" t="str">
            <v>Cán bộ quản lý</v>
          </cell>
          <cell r="J590" t="str">
            <v>Trưởng phòng</v>
          </cell>
        </row>
        <row r="591">
          <cell r="C591" t="str">
            <v>121095</v>
          </cell>
          <cell r="D591" t="str">
            <v>Nguyễn Văn Thịnh</v>
          </cell>
          <cell r="E591" t="str">
            <v>Phân viện Radar - Viện NCPT</v>
          </cell>
          <cell r="F591" t="str">
            <v>Trung tâm Sản xuất</v>
          </cell>
          <cell r="G591" t="str">
            <v>Phòng tài liệu và quy trình Công nghệ</v>
          </cell>
          <cell r="H591" t="str">
            <v>Hợp đồng lao động</v>
          </cell>
          <cell r="I591" t="str">
            <v>Quân lực quản lý</v>
          </cell>
          <cell r="J591" t="str">
            <v>Kỹ sư tài liệu công nghệ</v>
          </cell>
        </row>
        <row r="592">
          <cell r="C592" t="str">
            <v>123639</v>
          </cell>
          <cell r="D592" t="str">
            <v>Nguyễn Xuân Hùng</v>
          </cell>
          <cell r="E592" t="str">
            <v>Phân viện Radar - Viện NCPT</v>
          </cell>
          <cell r="F592" t="str">
            <v>Trung tâm Sản xuất</v>
          </cell>
          <cell r="G592" t="str">
            <v>Phòng tài liệu và quy trình Công nghệ</v>
          </cell>
          <cell r="H592" t="str">
            <v>Hợp đồng lao động</v>
          </cell>
          <cell r="I592" t="str">
            <v>Quân lực quản lý</v>
          </cell>
          <cell r="J592" t="str">
            <v>Kỹ sư tài liệu công nghệ</v>
          </cell>
        </row>
        <row r="593">
          <cell r="D593" t="str">
            <v>Phòng Tích hợp và thử nghiệm</v>
          </cell>
        </row>
        <row r="594">
          <cell r="C594" t="str">
            <v>092259</v>
          </cell>
          <cell r="D594" t="str">
            <v>Nguyễn Trần Nam</v>
          </cell>
          <cell r="E594" t="str">
            <v>Phân viện Radar - Viện NCPT</v>
          </cell>
          <cell r="F594" t="str">
            <v>Trung tâm Sản xuất</v>
          </cell>
          <cell r="G594" t="str">
            <v>Phòng Tích hợp và thử nghiệm</v>
          </cell>
          <cell r="H594" t="str">
            <v>Hợp đồng lao động</v>
          </cell>
          <cell r="I594" t="str">
            <v>Quân lực quản lý</v>
          </cell>
          <cell r="J594" t="str">
            <v>Trưởng phòng</v>
          </cell>
        </row>
        <row r="595">
          <cell r="C595" t="str">
            <v>139601</v>
          </cell>
          <cell r="D595" t="str">
            <v>Phan Xuân Tuấn</v>
          </cell>
          <cell r="E595" t="str">
            <v>Phân viện Radar - Viện NCPT</v>
          </cell>
          <cell r="F595" t="str">
            <v>Trung tâm Sản xuất</v>
          </cell>
          <cell r="G595" t="str">
            <v>Phòng Tích hợp và thử nghiệm</v>
          </cell>
          <cell r="H595" t="str">
            <v>Hợp đồng lao động</v>
          </cell>
          <cell r="I595" t="str">
            <v>Quân lực quản lý</v>
          </cell>
          <cell r="J595" t="str">
            <v>Kỹ sư tích hợp</v>
          </cell>
        </row>
        <row r="596">
          <cell r="C596" t="str">
            <v>154954</v>
          </cell>
          <cell r="D596" t="str">
            <v>Bùi Hữu Hoàng</v>
          </cell>
          <cell r="E596" t="str">
            <v>Phân viện Radar - Viện NCPT</v>
          </cell>
          <cell r="F596" t="str">
            <v>Trung tâm Sản xuất</v>
          </cell>
          <cell r="G596" t="str">
            <v>Phòng Tích hợp và thử nghiệm</v>
          </cell>
          <cell r="H596" t="str">
            <v>Hợp đồng lao động</v>
          </cell>
          <cell r="I596" t="str">
            <v>Quân lực quản lý</v>
          </cell>
          <cell r="J596" t="str">
            <v>Kỹ sư tích hợp</v>
          </cell>
        </row>
        <row r="597">
          <cell r="C597" t="str">
            <v>185175</v>
          </cell>
          <cell r="D597" t="str">
            <v>Bùi Xuân Thắng</v>
          </cell>
          <cell r="E597" t="str">
            <v>Phân viện Radar - Viện NCPT</v>
          </cell>
          <cell r="F597" t="str">
            <v>Trung tâm Sản xuất</v>
          </cell>
          <cell r="G597" t="str">
            <v>Phòng Tích hợp và thử nghiệm</v>
          </cell>
          <cell r="H597" t="str">
            <v>Trung úy CN</v>
          </cell>
          <cell r="I597" t="str">
            <v>Quân lực quản lý</v>
          </cell>
          <cell r="J597" t="str">
            <v>Kỹ sư thử nghiệm</v>
          </cell>
        </row>
        <row r="598">
          <cell r="C598" t="str">
            <v>189993</v>
          </cell>
          <cell r="D598" t="str">
            <v>Phạm Văn Trinh</v>
          </cell>
          <cell r="E598" t="str">
            <v>Phân viện Radar - Viện NCPT</v>
          </cell>
          <cell r="F598" t="str">
            <v>Trung tâm Sản xuất</v>
          </cell>
          <cell r="G598" t="str">
            <v>Phòng Tích hợp và thử nghiệm</v>
          </cell>
          <cell r="H598" t="str">
            <v>Hợp đồng lao động</v>
          </cell>
          <cell r="I598" t="str">
            <v>Quân lực quản lý</v>
          </cell>
          <cell r="J598" t="str">
            <v>Kỹ sư tích hợp</v>
          </cell>
        </row>
        <row r="599">
          <cell r="D599" t="str">
            <v>Phòng Quản lý kho và nhà xưởng</v>
          </cell>
        </row>
        <row r="600">
          <cell r="C600" t="str">
            <v>154613</v>
          </cell>
          <cell r="D600" t="str">
            <v>Phương Văn Hiệp</v>
          </cell>
          <cell r="E600" t="str">
            <v>Phân viện Radar - Viện NCPT</v>
          </cell>
          <cell r="F600" t="str">
            <v>Trung tâm Sản xuất</v>
          </cell>
          <cell r="G600" t="str">
            <v>Phòng Quản lý kho và nhà xưởng</v>
          </cell>
          <cell r="H600" t="str">
            <v>Hợp đồng lao động</v>
          </cell>
          <cell r="I600" t="str">
            <v>Quân lực quản lý</v>
          </cell>
          <cell r="J600" t="str">
            <v>Xưởng trưởng</v>
          </cell>
        </row>
        <row r="601">
          <cell r="C601" t="str">
            <v>154953</v>
          </cell>
          <cell r="D601" t="str">
            <v>Bùi Văn Thọ</v>
          </cell>
          <cell r="E601" t="str">
            <v>Phân viện Radar - Viện NCPT</v>
          </cell>
          <cell r="F601" t="str">
            <v>Trung tâm Sản xuất</v>
          </cell>
          <cell r="G601" t="str">
            <v>Phòng Quản lý kho và nhà xưởng</v>
          </cell>
          <cell r="H601" t="str">
            <v>Hợp đồng lao động</v>
          </cell>
          <cell r="I601" t="str">
            <v>Quân lực quản lý</v>
          </cell>
          <cell r="J601" t="str">
            <v>Trưởng phòng</v>
          </cell>
        </row>
        <row r="602">
          <cell r="C602" t="str">
            <v>123196</v>
          </cell>
          <cell r="D602" t="str">
            <v>Hồ Quang Huyên</v>
          </cell>
          <cell r="E602" t="str">
            <v>Phân viện Radar - Viện NCPT</v>
          </cell>
          <cell r="F602" t="str">
            <v>Trung tâm Sản xuất</v>
          </cell>
          <cell r="G602" t="str">
            <v>Phòng Quản lý kho và nhà xưởng</v>
          </cell>
          <cell r="H602" t="str">
            <v>Hợp đồng lao động</v>
          </cell>
          <cell r="I602" t="str">
            <v>Quân lực quản lý</v>
          </cell>
          <cell r="J602" t="str">
            <v>Phó Trưởng phòng</v>
          </cell>
        </row>
        <row r="603">
          <cell r="D603" t="str">
            <v>Trung tâm nghiên cứu</v>
          </cell>
        </row>
        <row r="604">
          <cell r="D604" t="str">
            <v>Ban Giám đốc</v>
          </cell>
        </row>
        <row r="605">
          <cell r="C605" t="str">
            <v>059526</v>
          </cell>
          <cell r="D605" t="str">
            <v>Trần Vũ Hợp</v>
          </cell>
          <cell r="E605" t="str">
            <v>Phân viện Radar - Viện NCPT</v>
          </cell>
          <cell r="F605" t="str">
            <v>Trung tâm nghiên cứu</v>
          </cell>
          <cell r="G605" t="str">
            <v>Ban Giám đốc</v>
          </cell>
          <cell r="H605" t="str">
            <v>Đại úy CN</v>
          </cell>
          <cell r="I605" t="str">
            <v>Quân lực quản lý</v>
          </cell>
          <cell r="J605" t="str">
            <v>Giám đốc</v>
          </cell>
        </row>
        <row r="606">
          <cell r="C606" t="str">
            <v>059037</v>
          </cell>
          <cell r="D606" t="str">
            <v>Văn Tuấn Cường</v>
          </cell>
          <cell r="E606" t="str">
            <v>Phân viện Radar - Viện NCPT</v>
          </cell>
          <cell r="F606" t="str">
            <v>Trung tâm nghiên cứu</v>
          </cell>
          <cell r="G606" t="str">
            <v>Ban Giám đốc</v>
          </cell>
          <cell r="H606" t="str">
            <v>Đại úy CN</v>
          </cell>
          <cell r="I606" t="str">
            <v>Quân lực quản lý</v>
          </cell>
          <cell r="J606" t="str">
            <v>Phó Giám đốc</v>
          </cell>
        </row>
        <row r="607">
          <cell r="C607" t="str">
            <v>059527</v>
          </cell>
          <cell r="D607" t="str">
            <v>Phạm Đình Hưng</v>
          </cell>
          <cell r="E607" t="str">
            <v>Phân viện Radar - Viện NCPT</v>
          </cell>
          <cell r="F607" t="str">
            <v>Trung tâm nghiên cứu</v>
          </cell>
          <cell r="G607" t="str">
            <v>Ban Giám đốc</v>
          </cell>
          <cell r="H607" t="str">
            <v>Hợp đồng lao động</v>
          </cell>
          <cell r="I607" t="str">
            <v>Quân lực quản lý</v>
          </cell>
          <cell r="J607" t="str">
            <v>Phó Giám đốc</v>
          </cell>
        </row>
        <row r="608">
          <cell r="D608" t="str">
            <v>Phòng Thiết kế hệ thống</v>
          </cell>
        </row>
        <row r="609">
          <cell r="C609" t="str">
            <v>095099</v>
          </cell>
          <cell r="D609" t="str">
            <v>Đặng Lưu Hạnh</v>
          </cell>
          <cell r="E609" t="str">
            <v>Phân viện Radar - Viện NCPT</v>
          </cell>
          <cell r="F609" t="str">
            <v>Trung tâm nghiên cứu</v>
          </cell>
          <cell r="G609" t="str">
            <v>Phòng Thiết kế hệ thống</v>
          </cell>
          <cell r="H609" t="str">
            <v>Hợp đồng lao động</v>
          </cell>
          <cell r="I609" t="str">
            <v>Quân lực quản lý</v>
          </cell>
          <cell r="J609" t="str">
            <v>Phó Trưởng phòng</v>
          </cell>
        </row>
        <row r="610">
          <cell r="C610" t="str">
            <v>085596</v>
          </cell>
          <cell r="D610" t="str">
            <v>Nguyễn Việt Anh</v>
          </cell>
          <cell r="E610" t="str">
            <v>Phân viện Radar - Viện NCPT</v>
          </cell>
          <cell r="F610" t="str">
            <v>Trung tâm nghiên cứu</v>
          </cell>
          <cell r="G610" t="str">
            <v>Phòng Thiết kế hệ thống</v>
          </cell>
          <cell r="H610" t="str">
            <v>Hợp đồng lao động</v>
          </cell>
          <cell r="I610" t="str">
            <v>Quân lực quản lý</v>
          </cell>
          <cell r="J610" t="str">
            <v>Trưởng nhóm</v>
          </cell>
        </row>
        <row r="611">
          <cell r="C611" t="str">
            <v>121096</v>
          </cell>
          <cell r="D611" t="str">
            <v>Đào Thị Hồng Huệ</v>
          </cell>
          <cell r="E611" t="str">
            <v>Phân viện Radar - Viện NCPT</v>
          </cell>
          <cell r="F611" t="str">
            <v>Trung tâm nghiên cứu</v>
          </cell>
          <cell r="G611" t="str">
            <v>Phòng Thiết kế hệ thống</v>
          </cell>
          <cell r="H611" t="str">
            <v>Hợp đồng lao động</v>
          </cell>
          <cell r="I611" t="str">
            <v>Quân lực quản lý</v>
          </cell>
          <cell r="J611" t="str">
            <v>Chuyên viên thiết kế đồ họa tương tác</v>
          </cell>
        </row>
        <row r="612">
          <cell r="C612" t="str">
            <v>139600</v>
          </cell>
          <cell r="D612" t="str">
            <v>Thân Hồng Phi</v>
          </cell>
          <cell r="E612" t="str">
            <v>Phân viện Radar - Viện NCPT</v>
          </cell>
          <cell r="F612" t="str">
            <v>Trung tâm nghiên cứu</v>
          </cell>
          <cell r="G612" t="str">
            <v>Phòng Thiết kế hệ thống</v>
          </cell>
          <cell r="H612" t="str">
            <v>Hợp đồng lao động</v>
          </cell>
          <cell r="I612" t="str">
            <v>Quân lực quản lý</v>
          </cell>
          <cell r="J612" t="str">
            <v>Chuyên viên thiết kế đồ họa tương tác</v>
          </cell>
        </row>
        <row r="613">
          <cell r="C613" t="str">
            <v>171853</v>
          </cell>
          <cell r="D613" t="str">
            <v>Phạm Minh Hằng</v>
          </cell>
          <cell r="E613" t="str">
            <v>Phân viện Radar - Viện NCPT</v>
          </cell>
          <cell r="F613" t="str">
            <v>Trung tâm nghiên cứu</v>
          </cell>
          <cell r="G613" t="str">
            <v>Phòng Thiết kế hệ thống</v>
          </cell>
          <cell r="H613" t="str">
            <v>Hợp đồng lao động</v>
          </cell>
          <cell r="I613" t="str">
            <v>Quân lực quản lý</v>
          </cell>
          <cell r="J613" t="str">
            <v>Chuyên viên thiết kế đồ họa tương tác</v>
          </cell>
        </row>
        <row r="614">
          <cell r="D614" t="str">
            <v>Phòng siêu cao tần</v>
          </cell>
        </row>
        <row r="615">
          <cell r="C615" t="str">
            <v>137012</v>
          </cell>
          <cell r="D615" t="str">
            <v>Trần Anh Dũng</v>
          </cell>
          <cell r="E615" t="str">
            <v>Phân viện Radar - Viện NCPT</v>
          </cell>
          <cell r="F615" t="str">
            <v>Trung tâm nghiên cứu</v>
          </cell>
          <cell r="G615" t="str">
            <v>Phòng siêu cao tần</v>
          </cell>
          <cell r="H615" t="str">
            <v>Hợp đồng lao động</v>
          </cell>
          <cell r="I615" t="str">
            <v>Quân lực quản lý</v>
          </cell>
          <cell r="J615" t="str">
            <v>Trưởng phòng</v>
          </cell>
        </row>
        <row r="616">
          <cell r="C616" t="str">
            <v>121960</v>
          </cell>
          <cell r="D616" t="str">
            <v>Nguyễn Ngọc Thủy</v>
          </cell>
          <cell r="E616" t="str">
            <v>Phân viện Radar - Viện NCPT</v>
          </cell>
          <cell r="F616" t="str">
            <v>Trung tâm nghiên cứu</v>
          </cell>
          <cell r="G616" t="str">
            <v>Phòng siêu cao tần</v>
          </cell>
          <cell r="H616" t="str">
            <v>Hợp đồng lao động</v>
          </cell>
          <cell r="I616" t="str">
            <v>Quân lực quản lý</v>
          </cell>
          <cell r="J616" t="str">
            <v>Kỹ sư thiết kế phần cứng cao tần</v>
          </cell>
        </row>
        <row r="617">
          <cell r="C617" t="str">
            <v>122661</v>
          </cell>
          <cell r="D617" t="str">
            <v>Phạm Minh Thuận</v>
          </cell>
          <cell r="E617" t="str">
            <v>Phân viện Radar - Viện NCPT</v>
          </cell>
          <cell r="F617" t="str">
            <v>Trung tâm nghiên cứu</v>
          </cell>
          <cell r="G617" t="str">
            <v>Phòng siêu cao tần</v>
          </cell>
          <cell r="H617" t="str">
            <v>Thượng úy</v>
          </cell>
          <cell r="I617" t="str">
            <v>Cán bộ quản lý</v>
          </cell>
          <cell r="J617" t="str">
            <v>Kỹ sư thiết kế phần cứng cao tần</v>
          </cell>
        </row>
        <row r="618">
          <cell r="C618" t="str">
            <v>140833</v>
          </cell>
          <cell r="D618" t="str">
            <v>Đỗ Huy Tùng</v>
          </cell>
          <cell r="E618" t="str">
            <v>Phân viện Radar - Viện NCPT</v>
          </cell>
          <cell r="F618" t="str">
            <v>Trung tâm nghiên cứu</v>
          </cell>
          <cell r="G618" t="str">
            <v>Phòng siêu cao tần</v>
          </cell>
          <cell r="H618" t="str">
            <v>Hợp đồng lao động</v>
          </cell>
          <cell r="I618" t="str">
            <v>Quân lực quản lý</v>
          </cell>
          <cell r="J618" t="str">
            <v>Kỹ sư thiết kế phần cứng cao tần</v>
          </cell>
        </row>
        <row r="619">
          <cell r="C619" t="str">
            <v>175668</v>
          </cell>
          <cell r="D619" t="str">
            <v>Kim Thị Phương</v>
          </cell>
          <cell r="E619" t="str">
            <v>Phân viện Radar - Viện NCPT</v>
          </cell>
          <cell r="F619" t="str">
            <v>Trung tâm nghiên cứu</v>
          </cell>
          <cell r="G619" t="str">
            <v>Phòng siêu cao tần</v>
          </cell>
          <cell r="H619" t="str">
            <v>Hợp đồng lao động</v>
          </cell>
          <cell r="I619" t="str">
            <v>Quân lực quản lý</v>
          </cell>
          <cell r="J619" t="str">
            <v>Kỹ sư thiết kế phần cứng cao tần</v>
          </cell>
        </row>
        <row r="620">
          <cell r="C620" t="str">
            <v>185257</v>
          </cell>
          <cell r="D620" t="str">
            <v>Nguyễn Văn Nghĩa</v>
          </cell>
          <cell r="E620" t="str">
            <v>Phân viện Radar - Viện NCPT</v>
          </cell>
          <cell r="F620" t="str">
            <v>Trung tâm nghiên cứu</v>
          </cell>
          <cell r="G620" t="str">
            <v>Phòng siêu cao tần</v>
          </cell>
          <cell r="H620" t="str">
            <v>Trung úy</v>
          </cell>
          <cell r="I620" t="str">
            <v>Cán bộ quản lý</v>
          </cell>
          <cell r="J620" t="str">
            <v>Kỹ sư thiết kế phần cứng cao tần</v>
          </cell>
        </row>
        <row r="621">
          <cell r="C621" t="str">
            <v>185258</v>
          </cell>
          <cell r="D621" t="str">
            <v>Trịnh Văn Du</v>
          </cell>
          <cell r="E621" t="str">
            <v>Phân viện Radar - Viện NCPT</v>
          </cell>
          <cell r="F621" t="str">
            <v>Trung tâm nghiên cứu</v>
          </cell>
          <cell r="G621" t="str">
            <v>Phòng siêu cao tần</v>
          </cell>
          <cell r="H621" t="str">
            <v>Thiếu úy</v>
          </cell>
          <cell r="I621" t="str">
            <v>Cán bộ quản lý</v>
          </cell>
          <cell r="J621" t="str">
            <v>Kỹ sư thiết kế phần cứng cao tần</v>
          </cell>
        </row>
        <row r="622">
          <cell r="C622" t="str">
            <v>190174</v>
          </cell>
          <cell r="D622" t="str">
            <v>Nguyễn Hoàng Dương</v>
          </cell>
          <cell r="E622" t="str">
            <v>Phân viện Radar - Viện NCPT</v>
          </cell>
          <cell r="F622" t="str">
            <v>Trung tâm nghiên cứu</v>
          </cell>
          <cell r="G622" t="str">
            <v>Phòng siêu cao tần</v>
          </cell>
          <cell r="H622" t="str">
            <v>Hợp đồng lao động</v>
          </cell>
          <cell r="I622" t="str">
            <v>Quân lực quản lý</v>
          </cell>
          <cell r="J622" t="str">
            <v>Kỹ sư thiết kế phần cứng cao tần</v>
          </cell>
        </row>
        <row r="623">
          <cell r="D623" t="str">
            <v>Phòng xử lý tín hiệu</v>
          </cell>
        </row>
        <row r="624">
          <cell r="C624" t="str">
            <v>004032</v>
          </cell>
          <cell r="D624" t="str">
            <v>Nguyễn Đức Nam</v>
          </cell>
          <cell r="E624" t="str">
            <v>Phân viện Radar - Viện NCPT</v>
          </cell>
          <cell r="F624" t="str">
            <v>Trung tâm nghiên cứu</v>
          </cell>
          <cell r="G624" t="str">
            <v>Phòng xử lý tín hiệu</v>
          </cell>
          <cell r="H624" t="str">
            <v>Hợp đồng lao động</v>
          </cell>
          <cell r="I624" t="str">
            <v>Quân lực quản lý</v>
          </cell>
          <cell r="J624" t="str">
            <v>Phó Trưởng phòng</v>
          </cell>
        </row>
        <row r="625">
          <cell r="C625" t="str">
            <v>121961</v>
          </cell>
          <cell r="D625" t="str">
            <v>Lưu Hoài Nam</v>
          </cell>
          <cell r="E625" t="str">
            <v>Phân viện Radar - Viện NCPT</v>
          </cell>
          <cell r="F625" t="str">
            <v>Trung tâm nghiên cứu</v>
          </cell>
          <cell r="G625" t="str">
            <v>Phòng xử lý tín hiệu</v>
          </cell>
          <cell r="H625" t="str">
            <v>Hợp đồng lao động</v>
          </cell>
          <cell r="I625" t="str">
            <v>Quân lực quản lý</v>
          </cell>
          <cell r="J625" t="str">
            <v>Trưởng nhóm</v>
          </cell>
        </row>
        <row r="626">
          <cell r="C626" t="str">
            <v>122657</v>
          </cell>
          <cell r="D626" t="str">
            <v>Lê Đình Tiến</v>
          </cell>
          <cell r="E626" t="str">
            <v>Phân viện Radar - Viện NCPT</v>
          </cell>
          <cell r="F626" t="str">
            <v>Trung tâm nghiên cứu</v>
          </cell>
          <cell r="G626" t="str">
            <v>Phòng xử lý tín hiệu</v>
          </cell>
          <cell r="H626" t="str">
            <v>Thượng úy</v>
          </cell>
          <cell r="I626" t="str">
            <v>Cán bộ quản lý</v>
          </cell>
          <cell r="J626" t="str">
            <v>Kỹ sư Xử lý tín hiệu</v>
          </cell>
        </row>
        <row r="627">
          <cell r="C627" t="str">
            <v>137028</v>
          </cell>
          <cell r="D627" t="str">
            <v>Nguyễn Như Thành</v>
          </cell>
          <cell r="E627" t="str">
            <v>Phân viện Radar - Viện NCPT</v>
          </cell>
          <cell r="F627" t="str">
            <v>Trung tâm nghiên cứu</v>
          </cell>
          <cell r="G627" t="str">
            <v>Phòng xử lý tín hiệu</v>
          </cell>
          <cell r="H627" t="str">
            <v>Hợp đồng lao động</v>
          </cell>
          <cell r="I627" t="str">
            <v>Quân lực quản lý</v>
          </cell>
          <cell r="J627" t="str">
            <v>Kỹ sư Xử lý tín hiệu</v>
          </cell>
        </row>
        <row r="628">
          <cell r="C628" t="str">
            <v>139597</v>
          </cell>
          <cell r="D628" t="str">
            <v>Trần Văn Trường</v>
          </cell>
          <cell r="E628" t="str">
            <v>Phân viện Radar - Viện NCPT</v>
          </cell>
          <cell r="F628" t="str">
            <v>Trung tâm nghiên cứu</v>
          </cell>
          <cell r="G628" t="str">
            <v>Phòng xử lý tín hiệu</v>
          </cell>
          <cell r="H628" t="str">
            <v>Hợp đồng lao động</v>
          </cell>
          <cell r="I628" t="str">
            <v>Quân lực quản lý</v>
          </cell>
          <cell r="J628" t="str">
            <v>Kỹ sư thiết kế bo mạch</v>
          </cell>
        </row>
        <row r="629">
          <cell r="C629" t="str">
            <v>141953</v>
          </cell>
          <cell r="D629" t="str">
            <v>Phạm Vũ Hoàng</v>
          </cell>
          <cell r="E629" t="str">
            <v>Phân viện Radar - Viện NCPT</v>
          </cell>
          <cell r="F629" t="str">
            <v>Trung tâm nghiên cứu</v>
          </cell>
          <cell r="G629" t="str">
            <v>Phòng xử lý tín hiệu</v>
          </cell>
          <cell r="H629" t="str">
            <v>Hợp đồng lao động</v>
          </cell>
          <cell r="I629" t="str">
            <v>Quân lực quản lý</v>
          </cell>
          <cell r="J629" t="str">
            <v>Kỹ sư thiết kế bo mạch</v>
          </cell>
        </row>
        <row r="630">
          <cell r="C630" t="str">
            <v>152993</v>
          </cell>
          <cell r="D630" t="str">
            <v>Lê Trung Đức</v>
          </cell>
          <cell r="E630" t="str">
            <v>Phân viện Radar - Viện NCPT</v>
          </cell>
          <cell r="F630" t="str">
            <v>Trung tâm nghiên cứu</v>
          </cell>
          <cell r="G630" t="str">
            <v>Phòng xử lý tín hiệu</v>
          </cell>
          <cell r="H630" t="str">
            <v>Hợp đồng lao động</v>
          </cell>
          <cell r="I630" t="str">
            <v>Quân lực quản lý</v>
          </cell>
          <cell r="J630" t="str">
            <v>Kỹ sư Xử lý tín hiệu</v>
          </cell>
        </row>
        <row r="631">
          <cell r="C631" t="str">
            <v>175665</v>
          </cell>
          <cell r="D631" t="str">
            <v>Đồng Xuân Hoàng</v>
          </cell>
          <cell r="E631" t="str">
            <v>Phân viện Radar - Viện NCPT</v>
          </cell>
          <cell r="F631" t="str">
            <v>Trung tâm nghiên cứu</v>
          </cell>
          <cell r="G631" t="str">
            <v>Phòng xử lý tín hiệu</v>
          </cell>
          <cell r="H631" t="str">
            <v>Hợp đồng lao động</v>
          </cell>
          <cell r="I631" t="str">
            <v>Quân lực quản lý</v>
          </cell>
          <cell r="J631" t="str">
            <v>Kỹ sư Lập trình kiểm thử HDL</v>
          </cell>
        </row>
        <row r="632">
          <cell r="C632" t="str">
            <v>185254</v>
          </cell>
          <cell r="D632" t="str">
            <v>Nguyễn Mạnh Thắng</v>
          </cell>
          <cell r="E632" t="str">
            <v>Phân viện Radar - Viện NCPT</v>
          </cell>
          <cell r="F632" t="str">
            <v>Trung tâm nghiên cứu</v>
          </cell>
          <cell r="G632" t="str">
            <v>Phòng xử lý tín hiệu</v>
          </cell>
          <cell r="H632" t="str">
            <v>Trung úy</v>
          </cell>
          <cell r="I632" t="str">
            <v>Cán bộ quản lý</v>
          </cell>
          <cell r="J632" t="str">
            <v>Kỹ sư Xử lý tín hiệu</v>
          </cell>
        </row>
        <row r="633">
          <cell r="C633" t="str">
            <v>185255</v>
          </cell>
          <cell r="D633" t="str">
            <v>Nguyễn Mạnh Tuấn</v>
          </cell>
          <cell r="E633" t="str">
            <v>Phân viện Radar - Viện NCPT</v>
          </cell>
          <cell r="F633" t="str">
            <v>Trung tâm nghiên cứu</v>
          </cell>
          <cell r="G633" t="str">
            <v>Phòng xử lý tín hiệu</v>
          </cell>
          <cell r="H633" t="str">
            <v>Trung úy</v>
          </cell>
          <cell r="I633" t="str">
            <v>Cán bộ quản lý</v>
          </cell>
          <cell r="J633" t="str">
            <v>Kỹ sư Lập trình kiểm thử HDL</v>
          </cell>
        </row>
        <row r="634">
          <cell r="D634" t="str">
            <v>Phòng xử lý thông tin</v>
          </cell>
        </row>
        <row r="635">
          <cell r="C635" t="str">
            <v>140756</v>
          </cell>
          <cell r="D635" t="str">
            <v>Trần Trung Kiên</v>
          </cell>
          <cell r="E635" t="str">
            <v>Phân viện Radar - Viện NCPT</v>
          </cell>
          <cell r="F635" t="str">
            <v>Trung tâm nghiên cứu</v>
          </cell>
          <cell r="G635" t="str">
            <v>Phòng xử lý thông tin</v>
          </cell>
          <cell r="H635" t="str">
            <v>Hợp đồng lao động</v>
          </cell>
          <cell r="I635" t="str">
            <v>Quân lực quản lý</v>
          </cell>
          <cell r="J635" t="str">
            <v>Trưởng phòng</v>
          </cell>
        </row>
        <row r="636">
          <cell r="C636" t="str">
            <v>121962</v>
          </cell>
          <cell r="D636" t="str">
            <v>Nguyễn Bảo Trung</v>
          </cell>
          <cell r="E636" t="str">
            <v>Phân viện Radar - Viện NCPT</v>
          </cell>
          <cell r="F636" t="str">
            <v>Trung tâm nghiên cứu</v>
          </cell>
          <cell r="G636" t="str">
            <v>Phòng xử lý thông tin</v>
          </cell>
          <cell r="H636" t="str">
            <v>Hợp đồng lao động</v>
          </cell>
          <cell r="I636" t="str">
            <v>Quân lực quản lý</v>
          </cell>
          <cell r="J636" t="str">
            <v>Trưởng nhóm</v>
          </cell>
        </row>
        <row r="637">
          <cell r="C637" t="str">
            <v>122582</v>
          </cell>
          <cell r="D637" t="str">
            <v>Đào Việt Phương</v>
          </cell>
          <cell r="E637" t="str">
            <v>Phân viện Radar - Viện NCPT</v>
          </cell>
          <cell r="F637" t="str">
            <v>Trung tâm nghiên cứu</v>
          </cell>
          <cell r="G637" t="str">
            <v>Phòng xử lý thông tin</v>
          </cell>
          <cell r="H637" t="str">
            <v>Hợp đồng lao động</v>
          </cell>
          <cell r="I637" t="str">
            <v>Quân lực quản lý</v>
          </cell>
          <cell r="J637" t="str">
            <v>Kỹ sư lập trình</v>
          </cell>
        </row>
        <row r="638">
          <cell r="C638" t="str">
            <v>185197</v>
          </cell>
          <cell r="D638" t="str">
            <v>Đinh Duy Mạnh</v>
          </cell>
          <cell r="E638" t="str">
            <v>Phân viện Radar - Viện NCPT</v>
          </cell>
          <cell r="F638" t="str">
            <v>Trung tâm nghiên cứu</v>
          </cell>
          <cell r="G638" t="str">
            <v>Phòng xử lý thông tin</v>
          </cell>
          <cell r="H638" t="str">
            <v>Trung úy</v>
          </cell>
          <cell r="I638" t="str">
            <v>Cán bộ quản lý</v>
          </cell>
          <cell r="J638" t="str">
            <v>Kỹ sư xử lý tín hiệu</v>
          </cell>
        </row>
        <row r="639">
          <cell r="C639" t="str">
            <v>185499</v>
          </cell>
          <cell r="D639" t="str">
            <v>Trác Văn Kỳ</v>
          </cell>
          <cell r="E639" t="str">
            <v>Phân viện Radar - Viện NCPT</v>
          </cell>
          <cell r="F639" t="str">
            <v>Trung tâm nghiên cứu</v>
          </cell>
          <cell r="G639" t="str">
            <v>Phòng xử lý thông tin</v>
          </cell>
          <cell r="H639" t="str">
            <v>Hợp đồng lao động</v>
          </cell>
          <cell r="I639" t="str">
            <v>Quân lực quản lý</v>
          </cell>
          <cell r="J639" t="str">
            <v>Kỹ sư lập trình</v>
          </cell>
        </row>
        <row r="640">
          <cell r="C640" t="str">
            <v>198340</v>
          </cell>
          <cell r="D640" t="str">
            <v>Phạm Văn Tập</v>
          </cell>
          <cell r="E640" t="str">
            <v>Phân viện Radar - Viện NCPT</v>
          </cell>
          <cell r="F640" t="str">
            <v>Trung tâm nghiên cứu</v>
          </cell>
          <cell r="G640" t="str">
            <v>Phòng xử lý thông tin</v>
          </cell>
          <cell r="H640" t="str">
            <v>Hợp đồng lao động</v>
          </cell>
          <cell r="I640" t="str">
            <v>Quân lực quản lý</v>
          </cell>
          <cell r="J640" t="str">
            <v>Kỹ sư lập trình</v>
          </cell>
        </row>
        <row r="641">
          <cell r="D641" t="str">
            <v>Phòng ô tô và cơ khí Ra đa</v>
          </cell>
        </row>
        <row r="642">
          <cell r="C642" t="str">
            <v>134048</v>
          </cell>
          <cell r="D642" t="str">
            <v>Lê Đức Dũng</v>
          </cell>
          <cell r="E642" t="str">
            <v>Phân viện Radar - Viện NCPT</v>
          </cell>
          <cell r="F642" t="str">
            <v>Trung tâm nghiên cứu</v>
          </cell>
          <cell r="G642" t="str">
            <v>Phòng ô tô và cơ khí Ra đa</v>
          </cell>
          <cell r="H642" t="str">
            <v>Hợp đồng lao động</v>
          </cell>
          <cell r="I642" t="str">
            <v>Quân lực quản lý</v>
          </cell>
          <cell r="J642" t="str">
            <v>Trưởng phòng</v>
          </cell>
        </row>
        <row r="643">
          <cell r="C643" t="str">
            <v>170333</v>
          </cell>
          <cell r="D643" t="str">
            <v>Lê Duy Hùng</v>
          </cell>
          <cell r="E643" t="str">
            <v>Phân viện Radar - Viện NCPT</v>
          </cell>
          <cell r="F643" t="str">
            <v>Trung tâm nghiên cứu</v>
          </cell>
          <cell r="G643" t="str">
            <v>Phòng ô tô và cơ khí Ra đa</v>
          </cell>
          <cell r="H643" t="str">
            <v>Hợp đồng lao động</v>
          </cell>
          <cell r="I643" t="str">
            <v>Quân lực quản lý</v>
          </cell>
          <cell r="J643" t="str">
            <v>Kỹ sư cơ khí</v>
          </cell>
        </row>
        <row r="644">
          <cell r="C644" t="str">
            <v>179954</v>
          </cell>
          <cell r="D644" t="str">
            <v>Trịnh Xuân Trường</v>
          </cell>
          <cell r="E644" t="str">
            <v>Phân viện Radar - Viện NCPT</v>
          </cell>
          <cell r="F644" t="str">
            <v>Trung tâm nghiên cứu</v>
          </cell>
          <cell r="G644" t="str">
            <v>Phòng ô tô và cơ khí Ra đa</v>
          </cell>
          <cell r="H644" t="str">
            <v>Hợp đồng lao động</v>
          </cell>
          <cell r="I644" t="str">
            <v>Quân lực quản lý</v>
          </cell>
          <cell r="J644" t="str">
            <v>Kỹ sư cơ khí</v>
          </cell>
        </row>
        <row r="645">
          <cell r="C645" t="str">
            <v>184814</v>
          </cell>
          <cell r="D645" t="str">
            <v>Đinh Trọng Tình</v>
          </cell>
          <cell r="E645" t="str">
            <v>Phân viện Radar - Viện NCPT</v>
          </cell>
          <cell r="F645" t="str">
            <v>Trung tâm nghiên cứu</v>
          </cell>
          <cell r="G645" t="str">
            <v>Phòng ô tô và cơ khí Ra đa</v>
          </cell>
          <cell r="H645" t="str">
            <v>Hợp đồng lao động</v>
          </cell>
          <cell r="I645" t="str">
            <v>Quân lực quản lý</v>
          </cell>
          <cell r="J645" t="str">
            <v>Kỹ sư cơ khí</v>
          </cell>
        </row>
        <row r="646">
          <cell r="C646" t="str">
            <v>188453</v>
          </cell>
          <cell r="D646" t="str">
            <v>Nguyễn Hữu Hảo</v>
          </cell>
          <cell r="E646" t="str">
            <v>Phân viện Radar - Viện NCPT</v>
          </cell>
          <cell r="F646" t="str">
            <v>Trung tâm nghiên cứu</v>
          </cell>
          <cell r="G646" t="str">
            <v>Phòng ô tô và cơ khí Ra đa</v>
          </cell>
          <cell r="H646" t="str">
            <v>Hợp đồng lao động</v>
          </cell>
          <cell r="I646" t="str">
            <v>Quân lực quản lý</v>
          </cell>
          <cell r="J646" t="str">
            <v>Kỹ sư cơ khí</v>
          </cell>
        </row>
        <row r="647">
          <cell r="D647" t="str">
            <v>Phòng Điện và Tự động hóa</v>
          </cell>
        </row>
        <row r="648">
          <cell r="C648" t="str">
            <v>123195</v>
          </cell>
          <cell r="D648" t="str">
            <v>Nguyễn Quí Chinh</v>
          </cell>
          <cell r="E648" t="str">
            <v>Phân viện Radar - Viện NCPT</v>
          </cell>
          <cell r="F648" t="str">
            <v>Trung tâm nghiên cứu</v>
          </cell>
          <cell r="G648" t="str">
            <v>Phòng Điện và Tự động hóa</v>
          </cell>
          <cell r="H648" t="str">
            <v>Hợp đồng lao động</v>
          </cell>
          <cell r="I648" t="str">
            <v>Quân lực quản lý</v>
          </cell>
          <cell r="J648" t="str">
            <v>Trưởng phòng</v>
          </cell>
        </row>
        <row r="649">
          <cell r="C649" t="str">
            <v>139596</v>
          </cell>
          <cell r="D649" t="str">
            <v>Trần Tuấn Hải</v>
          </cell>
          <cell r="E649" t="str">
            <v>Phân viện Radar - Viện NCPT</v>
          </cell>
          <cell r="F649" t="str">
            <v>Trung tâm nghiên cứu</v>
          </cell>
          <cell r="G649" t="str">
            <v>Phòng Điện và Tự động hóa</v>
          </cell>
          <cell r="H649" t="str">
            <v>Hợp đồng lao động</v>
          </cell>
          <cell r="I649" t="str">
            <v>Quân lực quản lý</v>
          </cell>
          <cell r="J649" t="str">
            <v>Kỹ sư điện, động lực</v>
          </cell>
        </row>
        <row r="650">
          <cell r="C650" t="str">
            <v>148774</v>
          </cell>
          <cell r="D650" t="str">
            <v>Nguyễn Tiến Sơn</v>
          </cell>
          <cell r="E650" t="str">
            <v>Phân viện Radar - Viện NCPT</v>
          </cell>
          <cell r="F650" t="str">
            <v>Trung tâm nghiên cứu</v>
          </cell>
          <cell r="G650" t="str">
            <v>Phòng Điện và Tự động hóa</v>
          </cell>
          <cell r="H650" t="str">
            <v>Hợp đồng lao động</v>
          </cell>
          <cell r="I650" t="str">
            <v>Quân lực quản lý</v>
          </cell>
          <cell r="J650" t="str">
            <v>Kỹ sư điện, động lực</v>
          </cell>
        </row>
        <row r="651">
          <cell r="C651" t="str">
            <v>185515</v>
          </cell>
          <cell r="D651" t="str">
            <v>Nguyễn Thị Toàn</v>
          </cell>
          <cell r="E651" t="str">
            <v>Phân viện Radar - Viện NCPT</v>
          </cell>
          <cell r="F651" t="str">
            <v>Trung tâm nghiên cứu</v>
          </cell>
          <cell r="G651" t="str">
            <v>Phòng Điện và Tự động hóa</v>
          </cell>
          <cell r="H651" t="str">
            <v>Hợp đồng lao động</v>
          </cell>
          <cell r="I651" t="str">
            <v>Quân lực quản lý</v>
          </cell>
          <cell r="J651" t="str">
            <v>Kỹ sư điện, động lực</v>
          </cell>
        </row>
        <row r="652">
          <cell r="C652" t="str">
            <v>186955</v>
          </cell>
          <cell r="D652" t="str">
            <v>Nguyễn Huy Hùng</v>
          </cell>
          <cell r="E652" t="str">
            <v>Phân viện Radar - Viện NCPT</v>
          </cell>
          <cell r="F652" t="str">
            <v>Trung tâm nghiên cứu</v>
          </cell>
          <cell r="G652" t="str">
            <v>Phòng Điện và Tự động hóa</v>
          </cell>
          <cell r="H652" t="str">
            <v>Hợp đồng lao động</v>
          </cell>
          <cell r="I652" t="str">
            <v>Quân lực quản lý</v>
          </cell>
          <cell r="J652" t="str">
            <v>Kỹ sư tự động hóa</v>
          </cell>
        </row>
        <row r="653">
          <cell r="D653" t="str">
            <v>Trung tâm Anten</v>
          </cell>
        </row>
        <row r="654">
          <cell r="D654" t="str">
            <v>Ban Giám đốc</v>
          </cell>
        </row>
        <row r="655">
          <cell r="C655" t="str">
            <v>087322</v>
          </cell>
          <cell r="D655" t="str">
            <v>Nguyễn Thế Anh</v>
          </cell>
          <cell r="E655" t="str">
            <v>Phân viện Radar - Viện NCPT</v>
          </cell>
          <cell r="F655" t="str">
            <v>Trung tâm Anten</v>
          </cell>
          <cell r="G655" t="str">
            <v>Ban Giám đốc</v>
          </cell>
          <cell r="H655" t="str">
            <v>Hợp đồng lao động</v>
          </cell>
          <cell r="I655" t="str">
            <v>Quân lực quản lý</v>
          </cell>
          <cell r="J655" t="str">
            <v>Giám đốc</v>
          </cell>
        </row>
        <row r="656">
          <cell r="C656" t="str">
            <v>059525</v>
          </cell>
          <cell r="D656" t="str">
            <v>Lê Thị Hằng</v>
          </cell>
          <cell r="E656" t="str">
            <v>Phân viện Radar - Viện NCPT</v>
          </cell>
          <cell r="F656" t="str">
            <v>Trung tâm Anten</v>
          </cell>
          <cell r="G656" t="str">
            <v>Ban Giám đốc</v>
          </cell>
          <cell r="H656" t="str">
            <v>Hợp đồng lao động</v>
          </cell>
          <cell r="I656" t="str">
            <v>Quân lực quản lý</v>
          </cell>
          <cell r="J656" t="str">
            <v>Phó Giám đốc</v>
          </cell>
        </row>
        <row r="657">
          <cell r="D657" t="str">
            <v>Phòng thiết kế anten</v>
          </cell>
        </row>
        <row r="658">
          <cell r="C658" t="str">
            <v>099036</v>
          </cell>
          <cell r="D658" t="str">
            <v>Trần Hoàng Việt</v>
          </cell>
          <cell r="E658" t="str">
            <v>Phân viện Radar - Viện NCPT</v>
          </cell>
          <cell r="F658" t="str">
            <v>Trung tâm Anten</v>
          </cell>
          <cell r="G658" t="str">
            <v>Phòng thiết kế anten</v>
          </cell>
          <cell r="H658" t="str">
            <v>CNVQP</v>
          </cell>
          <cell r="I658" t="str">
            <v>Quân lực quản lý</v>
          </cell>
          <cell r="J658" t="str">
            <v>Trưởng phòng</v>
          </cell>
        </row>
        <row r="659">
          <cell r="C659" t="str">
            <v>087317</v>
          </cell>
          <cell r="D659" t="str">
            <v>Đinh Ngọc Việt Tùng</v>
          </cell>
          <cell r="E659" t="str">
            <v>Phân viện Radar - Viện NCPT</v>
          </cell>
          <cell r="F659" t="str">
            <v>Trung tâm Anten</v>
          </cell>
          <cell r="G659" t="str">
            <v>Phòng thiết kế anten</v>
          </cell>
          <cell r="H659" t="str">
            <v>Hợp đồng lao động</v>
          </cell>
          <cell r="I659" t="str">
            <v>Quân lực quản lý</v>
          </cell>
          <cell r="J659" t="str">
            <v>Kỹ sư thiết kế Anten</v>
          </cell>
        </row>
        <row r="660">
          <cell r="C660" t="str">
            <v>186818</v>
          </cell>
          <cell r="D660" t="str">
            <v>Nguyễn Mạnh Quyết</v>
          </cell>
          <cell r="E660" t="str">
            <v>Phân viện Radar - Viện NCPT</v>
          </cell>
          <cell r="F660" t="str">
            <v>Trung tâm Anten</v>
          </cell>
          <cell r="G660" t="str">
            <v>Phòng thiết kế anten</v>
          </cell>
          <cell r="H660" t="str">
            <v>Hợp đồng lao động</v>
          </cell>
          <cell r="I660" t="str">
            <v>Quân lực quản lý</v>
          </cell>
          <cell r="J660" t="str">
            <v>Kỹ sư thiết kế Anten</v>
          </cell>
        </row>
        <row r="661">
          <cell r="C661" t="str">
            <v>196094</v>
          </cell>
          <cell r="D661" t="str">
            <v>Nguyễn Nam Khánh</v>
          </cell>
          <cell r="E661" t="str">
            <v>Phân viện Radar - Viện NCPT</v>
          </cell>
          <cell r="F661" t="str">
            <v>Trung tâm Anten</v>
          </cell>
          <cell r="G661" t="str">
            <v>Phòng thiết kế anten</v>
          </cell>
          <cell r="H661" t="str">
            <v>Hợp đồng lao động</v>
          </cell>
          <cell r="I661" t="str">
            <v>Quân lực quản lý</v>
          </cell>
          <cell r="J661" t="str">
            <v>Kỹ sư thiết kế Anten</v>
          </cell>
        </row>
        <row r="662">
          <cell r="C662" t="str">
            <v>196095</v>
          </cell>
          <cell r="D662" t="str">
            <v>Nguyễn Đức Duy</v>
          </cell>
          <cell r="E662" t="str">
            <v>Phân viện Radar - Viện NCPT</v>
          </cell>
          <cell r="F662" t="str">
            <v>Trung tâm Anten</v>
          </cell>
          <cell r="G662" t="str">
            <v>Phòng thiết kế anten</v>
          </cell>
          <cell r="H662" t="str">
            <v>Hợp đồng lao động</v>
          </cell>
          <cell r="I662" t="str">
            <v>Quân lực quản lý</v>
          </cell>
          <cell r="J662" t="str">
            <v>Kỹ sư thiết kế Anten</v>
          </cell>
        </row>
        <row r="663">
          <cell r="C663" t="str">
            <v>197127</v>
          </cell>
          <cell r="D663" t="str">
            <v>Phạm Đình Toại</v>
          </cell>
          <cell r="E663" t="str">
            <v>Phân viện Radar - Viện NCPT</v>
          </cell>
          <cell r="F663" t="str">
            <v>Trung tâm Anten</v>
          </cell>
          <cell r="G663" t="str">
            <v>Phòng thiết kế anten</v>
          </cell>
          <cell r="H663" t="str">
            <v>Hợp đồng lao động</v>
          </cell>
          <cell r="I663" t="str">
            <v>Quân lực quản lý</v>
          </cell>
          <cell r="J663" t="str">
            <v>Kỹ sư thiết kế Anten</v>
          </cell>
        </row>
        <row r="664">
          <cell r="C664" t="str">
            <v>200453</v>
          </cell>
          <cell r="D664" t="str">
            <v>Tạ Đình Đức</v>
          </cell>
          <cell r="E664" t="str">
            <v>Phân viện Radar - Viện NCPT</v>
          </cell>
          <cell r="F664" t="str">
            <v>Trung tâm Anten</v>
          </cell>
          <cell r="G664" t="str">
            <v>Phòng thiết kế anten</v>
          </cell>
          <cell r="H664" t="str">
            <v>Hợp đồng lao động</v>
          </cell>
          <cell r="I664" t="str">
            <v>Quân lực quản lý</v>
          </cell>
          <cell r="J664" t="str">
            <v>Kỹ sư thiết kế Anten</v>
          </cell>
        </row>
        <row r="665">
          <cell r="C665" t="str">
            <v>204325</v>
          </cell>
          <cell r="D665" t="str">
            <v>Nguyễn Tất Thắng</v>
          </cell>
          <cell r="E665" t="str">
            <v>Phân viện Radar - Viện NCPT</v>
          </cell>
          <cell r="F665" t="str">
            <v>Trung tâm Anten</v>
          </cell>
          <cell r="G665" t="str">
            <v>Phòng thiết kế anten</v>
          </cell>
          <cell r="H665" t="str">
            <v>HĐ Thử việc</v>
          </cell>
          <cell r="I665" t="str">
            <v>Quân lực quản lý</v>
          </cell>
          <cell r="J665" t="str">
            <v>Kỹ sư thiết kế Anten</v>
          </cell>
        </row>
        <row r="666">
          <cell r="C666" t="str">
            <v>204428</v>
          </cell>
          <cell r="D666" t="str">
            <v>Dương Thanh Tuyền</v>
          </cell>
          <cell r="E666" t="str">
            <v>Phân viện Radar - Viện NCPT</v>
          </cell>
          <cell r="F666" t="str">
            <v>Trung tâm Anten</v>
          </cell>
          <cell r="G666" t="str">
            <v>Phòng thiết kế anten</v>
          </cell>
          <cell r="H666" t="str">
            <v>HĐ Thử việc</v>
          </cell>
          <cell r="I666" t="str">
            <v>Quân lực quản lý</v>
          </cell>
          <cell r="J666" t="str">
            <v>Kỹ sư thiết kế Anten</v>
          </cell>
        </row>
        <row r="667">
          <cell r="D667" t="str">
            <v>Phòng chế tạo và thử nghiệm anten</v>
          </cell>
        </row>
        <row r="668">
          <cell r="C668" t="str">
            <v>144353</v>
          </cell>
          <cell r="D668" t="str">
            <v>Hoàng Văn Sơn</v>
          </cell>
          <cell r="E668" t="str">
            <v>Phân viện Radar - Viện NCPT</v>
          </cell>
          <cell r="F668" t="str">
            <v>Trung tâm Anten</v>
          </cell>
          <cell r="G668" t="str">
            <v>Phòng chế tạo và thử nghiệm anten</v>
          </cell>
          <cell r="H668" t="str">
            <v>Hợp đồng lao động</v>
          </cell>
          <cell r="I668" t="str">
            <v>Quân lực quản lý</v>
          </cell>
          <cell r="J668" t="str">
            <v>Trưởng phòng</v>
          </cell>
        </row>
        <row r="669">
          <cell r="C669" t="str">
            <v>173333</v>
          </cell>
          <cell r="D669" t="str">
            <v>Nguyễn Văn Hải</v>
          </cell>
          <cell r="E669" t="str">
            <v>Phân viện Radar - Viện NCPT</v>
          </cell>
          <cell r="F669" t="str">
            <v>Trung tâm Anten</v>
          </cell>
          <cell r="G669" t="str">
            <v>Phòng chế tạo và thử nghiệm anten</v>
          </cell>
          <cell r="H669" t="str">
            <v>Hợp đồng lao động</v>
          </cell>
          <cell r="I669" t="str">
            <v>Quân lực quản lý</v>
          </cell>
          <cell r="J669" t="str">
            <v>Kỹ sư chế tạo Anten</v>
          </cell>
        </row>
        <row r="670">
          <cell r="D670" t="str">
            <v>Phòng đo kiểm anten</v>
          </cell>
        </row>
        <row r="671">
          <cell r="C671" t="str">
            <v>105757</v>
          </cell>
          <cell r="D671" t="str">
            <v>Nguyễn Hoài Sơn</v>
          </cell>
          <cell r="E671" t="str">
            <v>Phân viện Radar - Viện NCPT</v>
          </cell>
          <cell r="F671" t="str">
            <v>Trung tâm Anten</v>
          </cell>
          <cell r="G671" t="str">
            <v>Phòng đo kiểm anten</v>
          </cell>
          <cell r="H671" t="str">
            <v>Hợp đồng lao động</v>
          </cell>
          <cell r="I671" t="str">
            <v>Quân lực quản lý</v>
          </cell>
          <cell r="J671" t="str">
            <v>Kỹ sư đo kiểm anten</v>
          </cell>
        </row>
        <row r="672">
          <cell r="C672" t="str">
            <v>123199</v>
          </cell>
          <cell r="D672" t="str">
            <v>Bùi Tân Mẫn</v>
          </cell>
          <cell r="E672" t="str">
            <v>Phân viện Radar - Viện NCPT</v>
          </cell>
          <cell r="F672" t="str">
            <v>Trung tâm Anten</v>
          </cell>
          <cell r="G672" t="str">
            <v>Phòng đo kiểm anten</v>
          </cell>
          <cell r="H672" t="str">
            <v>Hợp đồng lao động</v>
          </cell>
          <cell r="I672" t="str">
            <v>Quân lực quản lý</v>
          </cell>
          <cell r="J672" t="str">
            <v>Kỹ sư đo kiểm anten</v>
          </cell>
        </row>
        <row r="673">
          <cell r="D673" t="str">
            <v>Phân viện Khí cụ bay - Viện NCPT</v>
          </cell>
        </row>
        <row r="674">
          <cell r="D674" t="str">
            <v>Ban Giám đốc</v>
          </cell>
        </row>
        <row r="675">
          <cell r="D675" t="str">
            <v>Thủ trưởng đơn vị</v>
          </cell>
        </row>
        <row r="676">
          <cell r="C676" t="str">
            <v>121348</v>
          </cell>
          <cell r="D676" t="str">
            <v>Nguyễn Tuấn Minh</v>
          </cell>
          <cell r="E676" t="str">
            <v>Phân viện Khí cụ bay - Viện NCPT</v>
          </cell>
          <cell r="F676" t="str">
            <v>Ban Giám đốc</v>
          </cell>
          <cell r="G676" t="str">
            <v>Thủ trưởng đơn vị</v>
          </cell>
          <cell r="H676" t="str">
            <v>Thượng tá</v>
          </cell>
          <cell r="I676" t="str">
            <v>Cán bộ quản lý</v>
          </cell>
          <cell r="J676" t="str">
            <v>Phó Giám đốc</v>
          </cell>
        </row>
        <row r="677">
          <cell r="D677" t="str">
            <v>Phòng Tổng hợp</v>
          </cell>
        </row>
        <row r="678">
          <cell r="D678" t="str">
            <v>Trợ lý nghiệp vụ</v>
          </cell>
        </row>
        <row r="679">
          <cell r="C679" t="str">
            <v>008887</v>
          </cell>
          <cell r="D679" t="str">
            <v>Nguyễn Quỳnh Nga</v>
          </cell>
          <cell r="E679" t="str">
            <v>Phân viện Khí cụ bay - Viện NCPT</v>
          </cell>
          <cell r="F679" t="str">
            <v>Phòng Tổng hợp</v>
          </cell>
          <cell r="G679" t="str">
            <v>Trợ lý nghiệp vụ</v>
          </cell>
          <cell r="H679" t="str">
            <v>Hợp đồng lao động</v>
          </cell>
          <cell r="I679" t="str">
            <v>Quân lực quản lý</v>
          </cell>
          <cell r="J679" t="str">
            <v>Nhân viên Đầu tư</v>
          </cell>
        </row>
        <row r="680">
          <cell r="C680" t="str">
            <v>045096</v>
          </cell>
          <cell r="D680" t="str">
            <v>Nguyễn Thị Thúy Hà</v>
          </cell>
          <cell r="E680" t="str">
            <v>Phân viện Khí cụ bay - Viện NCPT</v>
          </cell>
          <cell r="F680" t="str">
            <v>Phòng Tổng hợp</v>
          </cell>
          <cell r="G680" t="str">
            <v>Trợ lý nghiệp vụ</v>
          </cell>
          <cell r="H680" t="str">
            <v>Thiếu tá CN</v>
          </cell>
          <cell r="I680" t="str">
            <v>Quân lực quản lý</v>
          </cell>
          <cell r="J680" t="str">
            <v>Kế toán</v>
          </cell>
        </row>
        <row r="681">
          <cell r="C681" t="str">
            <v>056953</v>
          </cell>
          <cell r="D681" t="str">
            <v>Trần Thị Bích Hồng</v>
          </cell>
          <cell r="E681" t="str">
            <v>Phân viện Khí cụ bay - Viện NCPT</v>
          </cell>
          <cell r="F681" t="str">
            <v>Phòng Tổng hợp</v>
          </cell>
          <cell r="G681" t="str">
            <v>Trợ lý nghiệp vụ</v>
          </cell>
          <cell r="H681" t="str">
            <v>Hợp đồng lao động</v>
          </cell>
          <cell r="I681" t="str">
            <v>Quân lực quản lý</v>
          </cell>
          <cell r="J681" t="str">
            <v>Nhân viên kế hoạch</v>
          </cell>
        </row>
        <row r="682">
          <cell r="C682" t="str">
            <v>199779</v>
          </cell>
          <cell r="D682" t="str">
            <v>Nguyễn Vĩnh Thành</v>
          </cell>
          <cell r="E682" t="str">
            <v>Phân viện Khí cụ bay - Viện NCPT</v>
          </cell>
          <cell r="F682" t="str">
            <v>Phòng Tổng hợp</v>
          </cell>
          <cell r="G682" t="str">
            <v>Trợ lý nghiệp vụ</v>
          </cell>
          <cell r="H682" t="str">
            <v>Hợp đồng lao động</v>
          </cell>
          <cell r="I682" t="str">
            <v>Quân lực quản lý</v>
          </cell>
          <cell r="J682" t="str">
            <v>Nhân viên hành chính tổng hợp</v>
          </cell>
        </row>
        <row r="683">
          <cell r="D683" t="str">
            <v>Trung tâm UAV</v>
          </cell>
        </row>
        <row r="684">
          <cell r="D684" t="str">
            <v>Ban Giám đốc</v>
          </cell>
        </row>
        <row r="685">
          <cell r="C685" t="str">
            <v>099596</v>
          </cell>
          <cell r="D685" t="str">
            <v>Đỗ Văn Lập</v>
          </cell>
          <cell r="E685" t="str">
            <v>Phân viện Khí cụ bay - Viện NCPT</v>
          </cell>
          <cell r="F685" t="str">
            <v>Trung tâm UAV</v>
          </cell>
          <cell r="G685" t="str">
            <v>Ban Giám đốc</v>
          </cell>
          <cell r="H685" t="str">
            <v>Đại tá NLL1</v>
          </cell>
          <cell r="I685" t="str">
            <v>Cán bộ quản lý</v>
          </cell>
          <cell r="J685" t="str">
            <v>Giám đốc</v>
          </cell>
        </row>
        <row r="686">
          <cell r="C686" t="str">
            <v>123139</v>
          </cell>
          <cell r="D686" t="str">
            <v>Nguyễn Lê Minh</v>
          </cell>
          <cell r="E686" t="str">
            <v>Phân viện Khí cụ bay - Viện NCPT</v>
          </cell>
          <cell r="F686" t="str">
            <v>Trung tâm UAV</v>
          </cell>
          <cell r="G686" t="str">
            <v>Ban Giám đốc</v>
          </cell>
          <cell r="H686" t="str">
            <v>Hợp đồng lao động</v>
          </cell>
          <cell r="I686" t="str">
            <v>Quân lực quản lý</v>
          </cell>
          <cell r="J686" t="str">
            <v>Giám đốc</v>
          </cell>
        </row>
        <row r="687">
          <cell r="C687" t="str">
            <v>123710</v>
          </cell>
          <cell r="D687" t="str">
            <v>Phạm Đức Toàn</v>
          </cell>
          <cell r="E687" t="str">
            <v>Phân viện Khí cụ bay - Viện NCPT</v>
          </cell>
          <cell r="F687" t="str">
            <v>Trung tâm UAV</v>
          </cell>
          <cell r="G687" t="str">
            <v>Ban Giám đốc</v>
          </cell>
          <cell r="H687" t="str">
            <v>Hợp đồng lao động</v>
          </cell>
          <cell r="I687" t="str">
            <v>Quân lực quản lý</v>
          </cell>
          <cell r="J687" t="str">
            <v>Phó Giám đốc</v>
          </cell>
        </row>
        <row r="688">
          <cell r="D688" t="str">
            <v>Phòng Thiết kế Khí động và Động lực</v>
          </cell>
        </row>
        <row r="689">
          <cell r="C689" t="str">
            <v>122589</v>
          </cell>
          <cell r="D689" t="str">
            <v>Phan Xuân Tùng</v>
          </cell>
          <cell r="E689" t="str">
            <v>Phân viện Khí cụ bay - Viện NCPT</v>
          </cell>
          <cell r="F689" t="str">
            <v>Trung tâm UAV</v>
          </cell>
          <cell r="G689" t="str">
            <v>Phòng Thiết kế Khí động và Động lực</v>
          </cell>
          <cell r="H689" t="str">
            <v>Hợp đồng lao động</v>
          </cell>
          <cell r="I689" t="str">
            <v>Quân lực quản lý</v>
          </cell>
          <cell r="J689" t="str">
            <v>Trưởng phòng</v>
          </cell>
        </row>
        <row r="690">
          <cell r="C690" t="str">
            <v>163573</v>
          </cell>
          <cell r="D690" t="str">
            <v>Bùi Vinh Bình</v>
          </cell>
          <cell r="E690" t="str">
            <v>Phân viện Khí cụ bay - Viện NCPT</v>
          </cell>
          <cell r="F690" t="str">
            <v>Trung tâm UAV</v>
          </cell>
          <cell r="G690" t="str">
            <v>Phòng Thiết kế Khí động và Động lực</v>
          </cell>
          <cell r="H690" t="str">
            <v>Hợp đồng lao động</v>
          </cell>
          <cell r="I690" t="str">
            <v>Quân lực quản lý</v>
          </cell>
          <cell r="J690" t="str">
            <v>Kỹ sư Kỹ thuật hàng không</v>
          </cell>
        </row>
        <row r="691">
          <cell r="C691" t="str">
            <v>163593</v>
          </cell>
          <cell r="D691" t="str">
            <v>Hoàng Đức Minh</v>
          </cell>
          <cell r="E691" t="str">
            <v>Phân viện Khí cụ bay - Viện NCPT</v>
          </cell>
          <cell r="F691" t="str">
            <v>Trung tâm UAV</v>
          </cell>
          <cell r="G691" t="str">
            <v>Phòng Thiết kế Khí động và Động lực</v>
          </cell>
          <cell r="H691" t="str">
            <v>Hợp đồng lao động</v>
          </cell>
          <cell r="I691" t="str">
            <v>Quân lực quản lý</v>
          </cell>
          <cell r="J691" t="str">
            <v>Kỹ sư Kỹ thuật hàng không</v>
          </cell>
        </row>
        <row r="692">
          <cell r="C692" t="str">
            <v>164994</v>
          </cell>
          <cell r="D692" t="str">
            <v>Nguyễn Thiên Bách</v>
          </cell>
          <cell r="E692" t="str">
            <v>Phân viện Khí cụ bay - Viện NCPT</v>
          </cell>
          <cell r="F692" t="str">
            <v>Trung tâm UAV</v>
          </cell>
          <cell r="G692" t="str">
            <v>Phòng Thiết kế Khí động và Động lực</v>
          </cell>
          <cell r="H692" t="str">
            <v>Hợp đồng lao động</v>
          </cell>
          <cell r="I692" t="str">
            <v>Quân lực quản lý</v>
          </cell>
          <cell r="J692" t="str">
            <v>Kỹ sư cơ khí</v>
          </cell>
        </row>
        <row r="693">
          <cell r="C693" t="str">
            <v>187734</v>
          </cell>
          <cell r="D693" t="str">
            <v>Trần Đình Thắng</v>
          </cell>
          <cell r="E693" t="str">
            <v>Phân viện Khí cụ bay - Viện NCPT</v>
          </cell>
          <cell r="F693" t="str">
            <v>Trung tâm UAV</v>
          </cell>
          <cell r="G693" t="str">
            <v>Phòng Thiết kế Khí động và Động lực</v>
          </cell>
          <cell r="H693" t="str">
            <v>Thượng úy</v>
          </cell>
          <cell r="I693" t="str">
            <v>Cán bộ quản lý</v>
          </cell>
          <cell r="J693" t="str">
            <v>Kỹ sư Kỹ thuật hàng không</v>
          </cell>
        </row>
        <row r="694">
          <cell r="C694" t="str">
            <v>196093</v>
          </cell>
          <cell r="D694" t="str">
            <v>Tạ Đình Giáp</v>
          </cell>
          <cell r="E694" t="str">
            <v>Phân viện Khí cụ bay - Viện NCPT</v>
          </cell>
          <cell r="F694" t="str">
            <v>Trung tâm UAV</v>
          </cell>
          <cell r="G694" t="str">
            <v>Phòng Thiết kế Khí động và Động lực</v>
          </cell>
          <cell r="H694" t="str">
            <v>Hợp đồng lao động</v>
          </cell>
          <cell r="I694" t="str">
            <v>Quân lực quản lý</v>
          </cell>
          <cell r="J694" t="str">
            <v>Kỹ sư cơ khí</v>
          </cell>
        </row>
        <row r="695">
          <cell r="C695" t="str">
            <v>196903</v>
          </cell>
          <cell r="D695" t="str">
            <v>Lưu Quốc Khánh</v>
          </cell>
          <cell r="E695" t="str">
            <v>Phân viện Khí cụ bay - Viện NCPT</v>
          </cell>
          <cell r="F695" t="str">
            <v>Trung tâm UAV</v>
          </cell>
          <cell r="G695" t="str">
            <v>Phòng Thiết kế Khí động và Động lực</v>
          </cell>
          <cell r="H695" t="str">
            <v>Hợp đồng lao động</v>
          </cell>
          <cell r="I695" t="str">
            <v>Quân lực quản lý</v>
          </cell>
          <cell r="J695" t="str">
            <v>Kỹ sư cơ khí</v>
          </cell>
        </row>
        <row r="696">
          <cell r="D696" t="str">
            <v xml:space="preserve">Phòng Kết cấu và Công nghệ  Vật Liệu </v>
          </cell>
        </row>
        <row r="697">
          <cell r="C697" t="str">
            <v>123123</v>
          </cell>
          <cell r="D697" t="str">
            <v>Trần Anh Tuấn</v>
          </cell>
          <cell r="E697" t="str">
            <v>Phân viện Khí cụ bay - Viện NCPT</v>
          </cell>
          <cell r="F697" t="str">
            <v>Trung tâm UAV</v>
          </cell>
          <cell r="G697" t="str">
            <v xml:space="preserve">Phòng Kết cấu và Công nghệ  Vật Liệu </v>
          </cell>
          <cell r="H697" t="str">
            <v>Hợp đồng lao động</v>
          </cell>
          <cell r="I697" t="str">
            <v>Quân lực quản lý</v>
          </cell>
          <cell r="J697" t="str">
            <v>Trưởng phòng</v>
          </cell>
        </row>
        <row r="698">
          <cell r="C698" t="str">
            <v>139593</v>
          </cell>
          <cell r="D698" t="str">
            <v>Trần Quyết Thắng</v>
          </cell>
          <cell r="E698" t="str">
            <v>Phân viện Khí cụ bay - Viện NCPT</v>
          </cell>
          <cell r="F698" t="str">
            <v>Trung tâm UAV</v>
          </cell>
          <cell r="G698" t="str">
            <v xml:space="preserve">Phòng Kết cấu và Công nghệ  Vật Liệu </v>
          </cell>
          <cell r="H698" t="str">
            <v>Hợp đồng lao động</v>
          </cell>
          <cell r="I698" t="str">
            <v>Quân lực quản lý</v>
          </cell>
          <cell r="J698" t="str">
            <v>Kỹ sư vật liệu</v>
          </cell>
        </row>
        <row r="699">
          <cell r="C699" t="str">
            <v>164993</v>
          </cell>
          <cell r="D699" t="str">
            <v>Nguyễn Quyết</v>
          </cell>
          <cell r="E699" t="str">
            <v>Phân viện Khí cụ bay - Viện NCPT</v>
          </cell>
          <cell r="F699" t="str">
            <v>Trung tâm UAV</v>
          </cell>
          <cell r="G699" t="str">
            <v xml:space="preserve">Phòng Kết cấu và Công nghệ  Vật Liệu </v>
          </cell>
          <cell r="H699" t="str">
            <v>Hợp đồng lao động</v>
          </cell>
          <cell r="I699" t="str">
            <v>Quân lực quản lý</v>
          </cell>
          <cell r="J699" t="str">
            <v>Kỹ sư cơ khí</v>
          </cell>
        </row>
        <row r="700">
          <cell r="C700" t="str">
            <v>187714</v>
          </cell>
          <cell r="D700" t="str">
            <v>Đỗ Văn Phương</v>
          </cell>
          <cell r="E700" t="str">
            <v>Phân viện Khí cụ bay - Viện NCPT</v>
          </cell>
          <cell r="F700" t="str">
            <v>Trung tâm UAV</v>
          </cell>
          <cell r="G700" t="str">
            <v xml:space="preserve">Phòng Kết cấu và Công nghệ  Vật Liệu </v>
          </cell>
          <cell r="H700" t="str">
            <v>Thượng úy</v>
          </cell>
          <cell r="I700" t="str">
            <v>Cán bộ quản lý</v>
          </cell>
          <cell r="J700" t="str">
            <v>Kỹ sư kết cấu</v>
          </cell>
        </row>
        <row r="701">
          <cell r="C701" t="str">
            <v>188374</v>
          </cell>
          <cell r="D701" t="str">
            <v>Phạm Thị Huyền</v>
          </cell>
          <cell r="E701" t="str">
            <v>Phân viện Khí cụ bay - Viện NCPT</v>
          </cell>
          <cell r="F701" t="str">
            <v>Trung tâm UAV</v>
          </cell>
          <cell r="G701" t="str">
            <v xml:space="preserve">Phòng Kết cấu và Công nghệ  Vật Liệu </v>
          </cell>
          <cell r="H701" t="str">
            <v>Hợp đồng lao động</v>
          </cell>
          <cell r="I701" t="str">
            <v>Quân lực quản lý</v>
          </cell>
          <cell r="J701" t="str">
            <v>Kỹ sư vật liệu</v>
          </cell>
        </row>
        <row r="702">
          <cell r="D702" t="str">
            <v>Phòng Phát triển phần mềm bay</v>
          </cell>
        </row>
        <row r="703">
          <cell r="C703" t="str">
            <v>053372</v>
          </cell>
          <cell r="D703" t="str">
            <v>Đỗ Lý Thanh Tùng</v>
          </cell>
          <cell r="E703" t="str">
            <v>Phân viện Khí cụ bay - Viện NCPT</v>
          </cell>
          <cell r="F703" t="str">
            <v>Trung tâm UAV</v>
          </cell>
          <cell r="G703" t="str">
            <v>Phòng Phát triển phần mềm bay</v>
          </cell>
          <cell r="H703" t="str">
            <v>Hợp đồng lao động</v>
          </cell>
          <cell r="I703" t="str">
            <v>Quân lực quản lý</v>
          </cell>
          <cell r="J703" t="str">
            <v>Trưởng phòng</v>
          </cell>
        </row>
        <row r="704">
          <cell r="C704" t="str">
            <v>137608</v>
          </cell>
          <cell r="D704" t="str">
            <v>Nguyễn Hữu Hải</v>
          </cell>
          <cell r="E704" t="str">
            <v>Phân viện Khí cụ bay - Viện NCPT</v>
          </cell>
          <cell r="F704" t="str">
            <v>Trung tâm UAV</v>
          </cell>
          <cell r="G704" t="str">
            <v>Phòng Phát triển phần mềm bay</v>
          </cell>
          <cell r="H704" t="str">
            <v>Hợp đồng lao động</v>
          </cell>
          <cell r="I704" t="str">
            <v>Quân lực quản lý</v>
          </cell>
          <cell r="J704" t="str">
            <v>Trưởng nhóm</v>
          </cell>
        </row>
        <row r="705">
          <cell r="C705" t="str">
            <v>057755</v>
          </cell>
          <cell r="D705" t="str">
            <v>Đinh Khánh Hà</v>
          </cell>
          <cell r="E705" t="str">
            <v>Phân viện Khí cụ bay - Viện NCPT</v>
          </cell>
          <cell r="F705" t="str">
            <v>Trung tâm UAV</v>
          </cell>
          <cell r="G705" t="str">
            <v>Phòng Phát triển phần mềm bay</v>
          </cell>
          <cell r="H705" t="str">
            <v>Hợp đồng lao động</v>
          </cell>
          <cell r="I705" t="str">
            <v>Quân lực quản lý</v>
          </cell>
          <cell r="J705" t="str">
            <v>Kỹ sư thiết kế phần mềm</v>
          </cell>
        </row>
        <row r="706">
          <cell r="C706" t="str">
            <v>137612</v>
          </cell>
          <cell r="D706" t="str">
            <v>Nguyễn Quốc Huy</v>
          </cell>
          <cell r="E706" t="str">
            <v>Phân viện Khí cụ bay - Viện NCPT</v>
          </cell>
          <cell r="F706" t="str">
            <v>Trung tâm UAV</v>
          </cell>
          <cell r="G706" t="str">
            <v>Phòng Phát triển phần mềm bay</v>
          </cell>
          <cell r="H706" t="str">
            <v>Hợp đồng lao động</v>
          </cell>
          <cell r="I706" t="str">
            <v>Quân lực quản lý</v>
          </cell>
          <cell r="J706" t="str">
            <v>Kỹ sư Kỹ thuật điều khiển</v>
          </cell>
        </row>
        <row r="707">
          <cell r="C707" t="str">
            <v>164982</v>
          </cell>
          <cell r="D707" t="str">
            <v>Nguyễn Văn Tuấn</v>
          </cell>
          <cell r="E707" t="str">
            <v>Phân viện Khí cụ bay - Viện NCPT</v>
          </cell>
          <cell r="F707" t="str">
            <v>Trung tâm UAV</v>
          </cell>
          <cell r="G707" t="str">
            <v>Phòng Phát triển phần mềm bay</v>
          </cell>
          <cell r="H707" t="str">
            <v>Hợp đồng lao động</v>
          </cell>
          <cell r="I707" t="str">
            <v>Quân lực quản lý</v>
          </cell>
          <cell r="J707" t="str">
            <v>Kỹ sư Kỹ thuật điều khiển</v>
          </cell>
        </row>
        <row r="708">
          <cell r="C708" t="str">
            <v>194751</v>
          </cell>
          <cell r="D708" t="str">
            <v>Chu Đức Anh</v>
          </cell>
          <cell r="E708" t="str">
            <v>Phân viện Khí cụ bay - Viện NCPT</v>
          </cell>
          <cell r="F708" t="str">
            <v>Trung tâm UAV</v>
          </cell>
          <cell r="G708" t="str">
            <v>Phòng Phát triển phần mềm bay</v>
          </cell>
          <cell r="H708" t="str">
            <v>Hợp đồng lao động</v>
          </cell>
          <cell r="I708" t="str">
            <v>Quân lực quản lý</v>
          </cell>
          <cell r="J708" t="str">
            <v>Kỹ sư Kỹ thuật điều khiển</v>
          </cell>
        </row>
        <row r="709">
          <cell r="D709" t="str">
            <v>Phòng Phát triển phần mềm ứng dụng</v>
          </cell>
        </row>
        <row r="710">
          <cell r="C710" t="str">
            <v>130932</v>
          </cell>
          <cell r="D710" t="str">
            <v>Trương Tuấn Mạnh</v>
          </cell>
          <cell r="E710" t="str">
            <v>Phân viện Khí cụ bay - Viện NCPT</v>
          </cell>
          <cell r="F710" t="str">
            <v>Trung tâm UAV</v>
          </cell>
          <cell r="G710" t="str">
            <v>Phòng Phát triển phần mềm ứng dụng</v>
          </cell>
          <cell r="H710" t="str">
            <v>Hợp đồng lao động</v>
          </cell>
          <cell r="I710" t="str">
            <v>Quân lực quản lý</v>
          </cell>
          <cell r="J710" t="str">
            <v>Trưởng nhóm</v>
          </cell>
        </row>
        <row r="711">
          <cell r="C711" t="str">
            <v>122222</v>
          </cell>
          <cell r="D711" t="str">
            <v>Nguyễn Thanh Đông</v>
          </cell>
          <cell r="E711" t="str">
            <v>Phân viện Khí cụ bay - Viện NCPT</v>
          </cell>
          <cell r="F711" t="str">
            <v>Trung tâm UAV</v>
          </cell>
          <cell r="G711" t="str">
            <v>Phòng Phát triển phần mềm ứng dụng</v>
          </cell>
          <cell r="H711" t="str">
            <v>Hợp đồng lao động</v>
          </cell>
          <cell r="I711" t="str">
            <v>Quân lực quản lý</v>
          </cell>
          <cell r="J711" t="str">
            <v>Kỹ sư lập trình</v>
          </cell>
        </row>
        <row r="712">
          <cell r="C712" t="str">
            <v>191793</v>
          </cell>
          <cell r="D712" t="str">
            <v>Bùi Trung Hiếu</v>
          </cell>
          <cell r="E712" t="str">
            <v>Phân viện Khí cụ bay - Viện NCPT</v>
          </cell>
          <cell r="F712" t="str">
            <v>Trung tâm UAV</v>
          </cell>
          <cell r="G712" t="str">
            <v>Phòng Phát triển phần mềm ứng dụng</v>
          </cell>
          <cell r="H712" t="str">
            <v>Hợp đồng lao động</v>
          </cell>
          <cell r="I712" t="str">
            <v>Quân lực quản lý</v>
          </cell>
          <cell r="J712" t="str">
            <v>Kỹ sư lập trình</v>
          </cell>
        </row>
        <row r="713">
          <cell r="D713" t="str">
            <v>Phòng Thiết kế phần cứng</v>
          </cell>
        </row>
        <row r="714">
          <cell r="C714" t="str">
            <v>116282</v>
          </cell>
          <cell r="D714" t="str">
            <v>Trần Bá Quỳnh</v>
          </cell>
          <cell r="E714" t="str">
            <v>Phân viện Khí cụ bay - Viện NCPT</v>
          </cell>
          <cell r="F714" t="str">
            <v>Trung tâm UAV</v>
          </cell>
          <cell r="G714" t="str">
            <v>Phòng Thiết kế phần cứng</v>
          </cell>
          <cell r="H714" t="str">
            <v>Hợp đồng lao động</v>
          </cell>
          <cell r="I714" t="str">
            <v>Quân lực quản lý</v>
          </cell>
          <cell r="J714" t="str">
            <v>Trưởng phòng</v>
          </cell>
        </row>
        <row r="715">
          <cell r="C715" t="str">
            <v>109842</v>
          </cell>
          <cell r="D715" t="str">
            <v>Nguyễn Văn Trường</v>
          </cell>
          <cell r="E715" t="str">
            <v>Phân viện Khí cụ bay - Viện NCPT</v>
          </cell>
          <cell r="F715" t="str">
            <v>Trung tâm UAV</v>
          </cell>
          <cell r="G715" t="str">
            <v>Phòng Thiết kế phần cứng</v>
          </cell>
          <cell r="H715" t="str">
            <v>Hợp đồng lao động</v>
          </cell>
          <cell r="I715" t="str">
            <v>Quân lực quản lý</v>
          </cell>
          <cell r="J715" t="str">
            <v>Phó Trưởng phòng</v>
          </cell>
        </row>
        <row r="716">
          <cell r="C716" t="str">
            <v>121860</v>
          </cell>
          <cell r="D716" t="str">
            <v>Nguyễn Tiến Trường</v>
          </cell>
          <cell r="E716" t="str">
            <v>Phân viện Khí cụ bay - Viện NCPT</v>
          </cell>
          <cell r="F716" t="str">
            <v>Trung tâm UAV</v>
          </cell>
          <cell r="G716" t="str">
            <v>Phòng Thiết kế phần cứng</v>
          </cell>
          <cell r="H716" t="str">
            <v>Hợp đồng lao động</v>
          </cell>
          <cell r="I716" t="str">
            <v>Quân lực quản lý</v>
          </cell>
          <cell r="J716" t="str">
            <v>Kỹ sư thiết kế phần cứng</v>
          </cell>
        </row>
        <row r="717">
          <cell r="C717" t="str">
            <v>165015</v>
          </cell>
          <cell r="D717" t="str">
            <v>Ngô Lê Nhật Minh</v>
          </cell>
          <cell r="E717" t="str">
            <v>Phân viện Khí cụ bay - Viện NCPT</v>
          </cell>
          <cell r="F717" t="str">
            <v>Trung tâm UAV</v>
          </cell>
          <cell r="G717" t="str">
            <v>Phòng Thiết kế phần cứng</v>
          </cell>
          <cell r="H717" t="str">
            <v>Hợp đồng lao động</v>
          </cell>
          <cell r="I717" t="str">
            <v>Quân lực quản lý</v>
          </cell>
          <cell r="J717" t="str">
            <v>Kỹ sư thiết kế FPGA</v>
          </cell>
        </row>
        <row r="718">
          <cell r="C718" t="str">
            <v>165018</v>
          </cell>
          <cell r="D718" t="str">
            <v>Đàm Mạnh Cường</v>
          </cell>
          <cell r="E718" t="str">
            <v>Phân viện Khí cụ bay - Viện NCPT</v>
          </cell>
          <cell r="F718" t="str">
            <v>Trung tâm UAV</v>
          </cell>
          <cell r="G718" t="str">
            <v>Phòng Thiết kế phần cứng</v>
          </cell>
          <cell r="H718" t="str">
            <v>Hợp đồng lao động</v>
          </cell>
          <cell r="I718" t="str">
            <v>Quân lực quản lý</v>
          </cell>
          <cell r="J718" t="str">
            <v>Kỹ sư thiết kế phần cứng</v>
          </cell>
        </row>
        <row r="719">
          <cell r="D719" t="str">
            <v>Phòng Kỹ thuật vô tuyến và bảo mật</v>
          </cell>
        </row>
        <row r="720">
          <cell r="C720" t="str">
            <v>109338</v>
          </cell>
          <cell r="D720" t="str">
            <v>Vũ Anh Hải</v>
          </cell>
          <cell r="E720" t="str">
            <v>Phân viện Khí cụ bay - Viện NCPT</v>
          </cell>
          <cell r="F720" t="str">
            <v>Trung tâm UAV</v>
          </cell>
          <cell r="G720" t="str">
            <v>Phòng Kỹ thuật vô tuyến và bảo mật</v>
          </cell>
          <cell r="H720" t="str">
            <v>Hợp đồng lao động</v>
          </cell>
          <cell r="I720" t="str">
            <v>Quân lực quản lý</v>
          </cell>
          <cell r="J720" t="str">
            <v>Trưởng nhóm</v>
          </cell>
        </row>
        <row r="721">
          <cell r="C721" t="str">
            <v>107117</v>
          </cell>
          <cell r="D721" t="str">
            <v>Nguyễn Như Khánh</v>
          </cell>
          <cell r="E721" t="str">
            <v>Phân viện Khí cụ bay - Viện NCPT</v>
          </cell>
          <cell r="F721" t="str">
            <v>Trung tâm UAV</v>
          </cell>
          <cell r="G721" t="str">
            <v>Phòng Kỹ thuật vô tuyến và bảo mật</v>
          </cell>
          <cell r="H721" t="str">
            <v>Hợp đồng lao động</v>
          </cell>
          <cell r="I721" t="str">
            <v>Quân lực quản lý</v>
          </cell>
          <cell r="J721" t="str">
            <v>Kỹ sư thiết kế phần cứng cao tần</v>
          </cell>
        </row>
        <row r="722">
          <cell r="C722" t="str">
            <v>132790</v>
          </cell>
          <cell r="D722" t="str">
            <v>Nguyễn Thành Vũ</v>
          </cell>
          <cell r="E722" t="str">
            <v>Phân viện Khí cụ bay - Viện NCPT</v>
          </cell>
          <cell r="F722" t="str">
            <v>Trung tâm UAV</v>
          </cell>
          <cell r="G722" t="str">
            <v>Phòng Kỹ thuật vô tuyến và bảo mật</v>
          </cell>
          <cell r="H722" t="str">
            <v>Hợp đồng lao động</v>
          </cell>
          <cell r="I722" t="str">
            <v>Quân lực quản lý</v>
          </cell>
          <cell r="J722" t="str">
            <v>Kỹ sư thiết kế phần cứng cao tần</v>
          </cell>
        </row>
        <row r="723">
          <cell r="D723" t="str">
            <v xml:space="preserve">Phòng tích hợp và bay thử </v>
          </cell>
        </row>
        <row r="724">
          <cell r="C724" t="str">
            <v>114498</v>
          </cell>
          <cell r="D724" t="str">
            <v>Chu Bá Lâm</v>
          </cell>
          <cell r="E724" t="str">
            <v>Phân viện Khí cụ bay - Viện NCPT</v>
          </cell>
          <cell r="F724" t="str">
            <v>Trung tâm UAV</v>
          </cell>
          <cell r="G724" t="str">
            <v xml:space="preserve">Phòng tích hợp và bay thử </v>
          </cell>
          <cell r="H724" t="str">
            <v>Hợp đồng lao động</v>
          </cell>
          <cell r="I724" t="str">
            <v>Quân lực quản lý</v>
          </cell>
          <cell r="J724" t="str">
            <v>Trưởng nhóm</v>
          </cell>
        </row>
        <row r="725">
          <cell r="C725" t="str">
            <v>087321</v>
          </cell>
          <cell r="D725" t="str">
            <v>Phạm Thế Thính</v>
          </cell>
          <cell r="E725" t="str">
            <v>Phân viện Khí cụ bay - Viện NCPT</v>
          </cell>
          <cell r="F725" t="str">
            <v>Trung tâm UAV</v>
          </cell>
          <cell r="G725" t="str">
            <v xml:space="preserve">Phòng tích hợp và bay thử </v>
          </cell>
          <cell r="H725" t="str">
            <v>Hợp đồng lao động</v>
          </cell>
          <cell r="I725" t="str">
            <v>Quân lực quản lý</v>
          </cell>
          <cell r="J725" t="str">
            <v>Kỹ sư Điện tử viễn thông</v>
          </cell>
        </row>
        <row r="726">
          <cell r="C726" t="str">
            <v>100598</v>
          </cell>
          <cell r="D726" t="str">
            <v>Hà Hùng Việt</v>
          </cell>
          <cell r="E726" t="str">
            <v>Phân viện Khí cụ bay - Viện NCPT</v>
          </cell>
          <cell r="F726" t="str">
            <v>Trung tâm UAV</v>
          </cell>
          <cell r="G726" t="str">
            <v xml:space="preserve">Phòng tích hợp và bay thử </v>
          </cell>
          <cell r="H726" t="str">
            <v>Hợp đồng lao động</v>
          </cell>
          <cell r="I726" t="str">
            <v>Quân lực quản lý</v>
          </cell>
          <cell r="J726" t="str">
            <v>Kỹ sư Thiết bị điện - điện tử</v>
          </cell>
        </row>
        <row r="727">
          <cell r="C727" t="str">
            <v>102605</v>
          </cell>
          <cell r="D727" t="str">
            <v>Trần Đức Long</v>
          </cell>
          <cell r="E727" t="str">
            <v>Phân viện Khí cụ bay - Viện NCPT</v>
          </cell>
          <cell r="F727" t="str">
            <v>Trung tâm UAV</v>
          </cell>
          <cell r="G727" t="str">
            <v xml:space="preserve">Phòng tích hợp và bay thử </v>
          </cell>
          <cell r="H727" t="str">
            <v>Hợp đồng lao động</v>
          </cell>
          <cell r="I727" t="str">
            <v>Quân lực quản lý</v>
          </cell>
          <cell r="J727" t="str">
            <v>Kỹ sư Điện tử viễn thông</v>
          </cell>
        </row>
        <row r="728">
          <cell r="C728" t="str">
            <v>102876</v>
          </cell>
          <cell r="D728" t="str">
            <v>Bùi Minh Hải</v>
          </cell>
          <cell r="E728" t="str">
            <v>Phân viện Khí cụ bay - Viện NCPT</v>
          </cell>
          <cell r="F728" t="str">
            <v>Trung tâm UAV</v>
          </cell>
          <cell r="G728" t="str">
            <v xml:space="preserve">Phòng tích hợp và bay thử </v>
          </cell>
          <cell r="H728" t="str">
            <v>Hợp đồng lao động</v>
          </cell>
          <cell r="I728" t="str">
            <v>Quân lực quản lý</v>
          </cell>
          <cell r="J728" t="str">
            <v>Kỹ sư Điện tử viễn thông</v>
          </cell>
        </row>
        <row r="729">
          <cell r="C729" t="str">
            <v>137613</v>
          </cell>
          <cell r="D729" t="str">
            <v>Đoàn Anh Đức</v>
          </cell>
          <cell r="E729" t="str">
            <v>Phân viện Khí cụ bay - Viện NCPT</v>
          </cell>
          <cell r="F729" t="str">
            <v>Trung tâm UAV</v>
          </cell>
          <cell r="G729" t="str">
            <v xml:space="preserve">Phòng tích hợp và bay thử </v>
          </cell>
          <cell r="H729" t="str">
            <v>Hợp đồng lao động</v>
          </cell>
          <cell r="I729" t="str">
            <v>Quân lực quản lý</v>
          </cell>
          <cell r="J729" t="str">
            <v>Kỹ sư linh kiện</v>
          </cell>
        </row>
        <row r="730">
          <cell r="C730" t="str">
            <v>191194</v>
          </cell>
          <cell r="D730" t="str">
            <v>Phạm Xuân Trường</v>
          </cell>
          <cell r="E730" t="str">
            <v>Phân viện Khí cụ bay - Viện NCPT</v>
          </cell>
          <cell r="F730" t="str">
            <v>Trung tâm UAV</v>
          </cell>
          <cell r="G730" t="str">
            <v xml:space="preserve">Phòng tích hợp và bay thử </v>
          </cell>
          <cell r="H730" t="str">
            <v>Đại úy</v>
          </cell>
          <cell r="I730" t="str">
            <v>Cán bộ quản lý</v>
          </cell>
          <cell r="J730" t="str">
            <v>Kỹ sư Thiết bị điện - điện tử</v>
          </cell>
        </row>
        <row r="731">
          <cell r="C731" t="str">
            <v>196908</v>
          </cell>
          <cell r="D731" t="str">
            <v>Vi Văn Trường</v>
          </cell>
          <cell r="E731" t="str">
            <v>Phân viện Khí cụ bay - Viện NCPT</v>
          </cell>
          <cell r="F731" t="str">
            <v>Trung tâm UAV</v>
          </cell>
          <cell r="G731" t="str">
            <v xml:space="preserve">Phòng tích hợp và bay thử </v>
          </cell>
          <cell r="H731" t="str">
            <v>Hợp đồng lao động</v>
          </cell>
          <cell r="I731" t="str">
            <v>Quân lực quản lý</v>
          </cell>
          <cell r="J731" t="str">
            <v>Phi công</v>
          </cell>
        </row>
        <row r="732">
          <cell r="D732" t="str">
            <v>Trung tâm A1</v>
          </cell>
        </row>
        <row r="733">
          <cell r="D733" t="str">
            <v>Ban Giám đốc và chuyên gia</v>
          </cell>
        </row>
        <row r="734">
          <cell r="C734" t="str">
            <v>176113</v>
          </cell>
          <cell r="D734" t="str">
            <v>Đặng Đình Thi</v>
          </cell>
          <cell r="E734" t="str">
            <v>Phân viện Khí cụ bay - Viện NCPT</v>
          </cell>
          <cell r="F734" t="str">
            <v>Trung tâm A1</v>
          </cell>
          <cell r="G734" t="str">
            <v>Ban Giám đốc và chuyên gia</v>
          </cell>
          <cell r="H734" t="str">
            <v>Hợp đồng lao động</v>
          </cell>
          <cell r="I734" t="str">
            <v>Quân lực quản lý</v>
          </cell>
          <cell r="J734" t="str">
            <v>Chuyên gia thiết kế hệ thống</v>
          </cell>
        </row>
        <row r="735">
          <cell r="C735" t="str">
            <v>059026</v>
          </cell>
          <cell r="D735" t="str">
            <v>Nguyễn Thị Thu Dung</v>
          </cell>
          <cell r="E735" t="str">
            <v>Phân viện Khí cụ bay - Viện NCPT</v>
          </cell>
          <cell r="F735" t="str">
            <v>Trung tâm A1</v>
          </cell>
          <cell r="G735" t="str">
            <v>Ban Giám đốc và chuyên gia</v>
          </cell>
          <cell r="H735" t="str">
            <v>Hợp đồng lao động</v>
          </cell>
          <cell r="I735" t="str">
            <v>Quân lực quản lý</v>
          </cell>
          <cell r="J735" t="str">
            <v>Nhân viên hành chính tổng hợp</v>
          </cell>
        </row>
        <row r="736">
          <cell r="C736" t="str">
            <v>148779</v>
          </cell>
          <cell r="D736" t="str">
            <v>Nghiêm Thị Tuyết Nhung</v>
          </cell>
          <cell r="E736" t="str">
            <v>Phân viện Khí cụ bay - Viện NCPT</v>
          </cell>
          <cell r="F736" t="str">
            <v>Trung tâm A1</v>
          </cell>
          <cell r="G736" t="str">
            <v>Ban Giám đốc và chuyên gia</v>
          </cell>
          <cell r="H736" t="str">
            <v>Hợp đồng lao động</v>
          </cell>
          <cell r="I736" t="str">
            <v>Quân lực quản lý</v>
          </cell>
          <cell r="J736" t="str">
            <v>Nhân viên hành chính tổng hợp</v>
          </cell>
        </row>
        <row r="737">
          <cell r="D737" t="str">
            <v xml:space="preserve">Phòng thiết kế hệ thống </v>
          </cell>
        </row>
        <row r="738">
          <cell r="C738" t="str">
            <v>187713</v>
          </cell>
          <cell r="D738" t="str">
            <v>Lê Quốc Định</v>
          </cell>
          <cell r="E738" t="str">
            <v>Phân viện Khí cụ bay - Viện NCPT</v>
          </cell>
          <cell r="F738" t="str">
            <v>Trung tâm A1</v>
          </cell>
          <cell r="G738" t="str">
            <v xml:space="preserve">Phòng thiết kế hệ thống </v>
          </cell>
          <cell r="H738" t="str">
            <v>Đại úy</v>
          </cell>
          <cell r="I738" t="str">
            <v>Cán bộ quản lý</v>
          </cell>
          <cell r="J738" t="str">
            <v>Kỹ sư hàng không</v>
          </cell>
        </row>
        <row r="739">
          <cell r="C739" t="str">
            <v>198253</v>
          </cell>
          <cell r="D739" t="str">
            <v>Nguyễn Như Trung</v>
          </cell>
          <cell r="E739" t="str">
            <v>Phân viện Khí cụ bay - Viện NCPT</v>
          </cell>
          <cell r="F739" t="str">
            <v>Trung tâm A1</v>
          </cell>
          <cell r="G739" t="str">
            <v xml:space="preserve">Phòng thiết kế hệ thống </v>
          </cell>
          <cell r="H739" t="str">
            <v>Hợp đồng lao động</v>
          </cell>
          <cell r="I739" t="str">
            <v>Quân lực quản lý</v>
          </cell>
          <cell r="J739" t="str">
            <v>Kỹ sư hàng không</v>
          </cell>
        </row>
        <row r="740">
          <cell r="C740" t="str">
            <v>199833</v>
          </cell>
          <cell r="D740" t="str">
            <v>Nguyễn Xuân Đồng</v>
          </cell>
          <cell r="E740" t="str">
            <v>Phân viện Khí cụ bay - Viện NCPT</v>
          </cell>
          <cell r="F740" t="str">
            <v>Trung tâm A1</v>
          </cell>
          <cell r="G740" t="str">
            <v xml:space="preserve">Phòng thiết kế hệ thống </v>
          </cell>
          <cell r="H740" t="str">
            <v>Đại úy</v>
          </cell>
          <cell r="I740" t="str">
            <v>Cán bộ quản lý</v>
          </cell>
          <cell r="J740" t="str">
            <v>Kỹ sư động cơ</v>
          </cell>
        </row>
        <row r="741">
          <cell r="C741" t="str">
            <v>204322</v>
          </cell>
          <cell r="D741" t="str">
            <v>Nguyễn Bá Dũng</v>
          </cell>
          <cell r="E741" t="str">
            <v>Phân viện Khí cụ bay - Viện NCPT</v>
          </cell>
          <cell r="F741" t="str">
            <v>Trung tâm A1</v>
          </cell>
          <cell r="G741" t="str">
            <v xml:space="preserve">Phòng thiết kế hệ thống </v>
          </cell>
          <cell r="H741" t="str">
            <v>HĐ Thử việc</v>
          </cell>
          <cell r="I741" t="str">
            <v>Quân lực quản lý</v>
          </cell>
          <cell r="J741" t="str">
            <v>Kỹ sư hàng không</v>
          </cell>
        </row>
        <row r="742">
          <cell r="C742" t="str">
            <v>204633</v>
          </cell>
          <cell r="D742" t="str">
            <v>Đinh Văn Hoan</v>
          </cell>
          <cell r="E742" t="str">
            <v>Phân viện Khí cụ bay - Viện NCPT</v>
          </cell>
          <cell r="F742" t="str">
            <v>Trung tâm A1</v>
          </cell>
          <cell r="G742" t="str">
            <v xml:space="preserve">Phòng thiết kế hệ thống </v>
          </cell>
          <cell r="H742" t="str">
            <v>Đại úy</v>
          </cell>
          <cell r="I742" t="str">
            <v>Cán bộ quản lý</v>
          </cell>
          <cell r="J742" t="str">
            <v>Kỹ sư đầu tự dẫn</v>
          </cell>
        </row>
        <row r="743">
          <cell r="C743" t="str">
            <v>204765</v>
          </cell>
          <cell r="D743" t="str">
            <v>Nhữ Văn Sử</v>
          </cell>
          <cell r="E743" t="str">
            <v>Phân viện Khí cụ bay - Viện NCPT</v>
          </cell>
          <cell r="F743" t="str">
            <v>Trung tâm A1</v>
          </cell>
          <cell r="G743" t="str">
            <v xml:space="preserve">Phòng thiết kế hệ thống </v>
          </cell>
          <cell r="H743" t="str">
            <v>Trung úy</v>
          </cell>
          <cell r="I743" t="str">
            <v>Cán bộ quản lý</v>
          </cell>
          <cell r="J743" t="str">
            <v>Kỹ sư động cơ</v>
          </cell>
        </row>
        <row r="744">
          <cell r="C744" t="str">
            <v>204767</v>
          </cell>
          <cell r="D744" t="str">
            <v>Vũ Huy Mừng</v>
          </cell>
          <cell r="E744" t="str">
            <v>Phân viện Khí cụ bay - Viện NCPT</v>
          </cell>
          <cell r="F744" t="str">
            <v>Trung tâm A1</v>
          </cell>
          <cell r="G744" t="str">
            <v xml:space="preserve">Phòng thiết kế hệ thống </v>
          </cell>
          <cell r="H744" t="str">
            <v>Đại úy</v>
          </cell>
          <cell r="I744" t="str">
            <v>Cán bộ quản lý</v>
          </cell>
          <cell r="J744" t="str">
            <v>Kỹ sư động cơ</v>
          </cell>
        </row>
        <row r="745">
          <cell r="C745" t="str">
            <v>204923</v>
          </cell>
          <cell r="D745" t="str">
            <v>Lã Hải Dũng</v>
          </cell>
          <cell r="E745" t="str">
            <v>Phân viện Khí cụ bay - Viện NCPT</v>
          </cell>
          <cell r="F745" t="str">
            <v>Trung tâm A1</v>
          </cell>
          <cell r="G745" t="str">
            <v xml:space="preserve">Phòng thiết kế hệ thống </v>
          </cell>
          <cell r="H745" t="str">
            <v>Đại tá</v>
          </cell>
          <cell r="I745" t="str">
            <v>Cán bộ quản lý</v>
          </cell>
          <cell r="J745" t="str">
            <v>Kỹ sư hàng không</v>
          </cell>
        </row>
        <row r="746">
          <cell r="D746" t="str">
            <v>Phòng thân cánh</v>
          </cell>
        </row>
        <row r="747">
          <cell r="C747" t="str">
            <v>123636</v>
          </cell>
          <cell r="D747" t="str">
            <v>Cao Văn Bình</v>
          </cell>
          <cell r="E747" t="str">
            <v>Phân viện Khí cụ bay - Viện NCPT</v>
          </cell>
          <cell r="F747" t="str">
            <v>Trung tâm A1</v>
          </cell>
          <cell r="G747" t="str">
            <v>Phòng thân cánh</v>
          </cell>
          <cell r="H747" t="str">
            <v>Hợp đồng lao động</v>
          </cell>
          <cell r="I747" t="str">
            <v>Quân lực quản lý</v>
          </cell>
          <cell r="J747" t="str">
            <v>Kỹ sư kĩ thuật hàng không</v>
          </cell>
        </row>
        <row r="748">
          <cell r="C748" t="str">
            <v>187715</v>
          </cell>
          <cell r="D748" t="str">
            <v>Ngô Sỹ Hoàng</v>
          </cell>
          <cell r="E748" t="str">
            <v>Phân viện Khí cụ bay - Viện NCPT</v>
          </cell>
          <cell r="F748" t="str">
            <v>Trung tâm A1</v>
          </cell>
          <cell r="G748" t="str">
            <v>Phòng thân cánh</v>
          </cell>
          <cell r="H748" t="str">
            <v>Thượng úy</v>
          </cell>
          <cell r="I748" t="str">
            <v>Cán bộ quản lý</v>
          </cell>
          <cell r="J748" t="str">
            <v>Kỹ sư kĩ thuật hàng không</v>
          </cell>
        </row>
        <row r="749">
          <cell r="C749" t="str">
            <v>187733</v>
          </cell>
          <cell r="D749" t="str">
            <v>Trần Hùng Cường</v>
          </cell>
          <cell r="E749" t="str">
            <v>Phân viện Khí cụ bay - Viện NCPT</v>
          </cell>
          <cell r="F749" t="str">
            <v>Trung tâm A1</v>
          </cell>
          <cell r="G749" t="str">
            <v>Phòng thân cánh</v>
          </cell>
          <cell r="H749" t="str">
            <v>Thượng úy</v>
          </cell>
          <cell r="I749" t="str">
            <v>Cán bộ quản lý</v>
          </cell>
          <cell r="J749" t="str">
            <v>Kỹ sư kĩ thuật hàng không</v>
          </cell>
        </row>
        <row r="750">
          <cell r="C750" t="str">
            <v>199794</v>
          </cell>
          <cell r="D750" t="str">
            <v>Chu Duy Lành</v>
          </cell>
          <cell r="E750" t="str">
            <v>Phân viện Khí cụ bay - Viện NCPT</v>
          </cell>
          <cell r="F750" t="str">
            <v>Trung tâm A1</v>
          </cell>
          <cell r="G750" t="str">
            <v>Phòng thân cánh</v>
          </cell>
          <cell r="H750" t="str">
            <v>Đại úy</v>
          </cell>
          <cell r="I750" t="str">
            <v>Cán bộ quản lý</v>
          </cell>
          <cell r="J750" t="str">
            <v>Kỹ sư kĩ thuật hàng không</v>
          </cell>
        </row>
        <row r="751">
          <cell r="D751" t="str">
            <v>Phòng điều khiển</v>
          </cell>
        </row>
        <row r="752">
          <cell r="C752" t="str">
            <v>123140</v>
          </cell>
          <cell r="D752" t="str">
            <v>Nguyễn Thanh Hùng</v>
          </cell>
          <cell r="E752" t="str">
            <v>Phân viện Khí cụ bay - Viện NCPT</v>
          </cell>
          <cell r="F752" t="str">
            <v>Trung tâm A1</v>
          </cell>
          <cell r="G752" t="str">
            <v>Phòng điều khiển</v>
          </cell>
          <cell r="H752" t="str">
            <v>Hợp đồng lao động</v>
          </cell>
          <cell r="I752" t="str">
            <v>Quân lực quản lý</v>
          </cell>
          <cell r="J752" t="str">
            <v>Kỹ sư thiết kế phần phần mềm</v>
          </cell>
        </row>
        <row r="753">
          <cell r="C753" t="str">
            <v>187013</v>
          </cell>
          <cell r="D753" t="str">
            <v>Nguyễn Đức Anh</v>
          </cell>
          <cell r="E753" t="str">
            <v>Phân viện Khí cụ bay - Viện NCPT</v>
          </cell>
          <cell r="F753" t="str">
            <v>Trung tâm A1</v>
          </cell>
          <cell r="G753" t="str">
            <v>Phòng điều khiển</v>
          </cell>
          <cell r="H753" t="str">
            <v>Hợp đồng lao động</v>
          </cell>
          <cell r="I753" t="str">
            <v>Quân lực quản lý</v>
          </cell>
          <cell r="J753" t="str">
            <v>Kỹ sư thiết kế phần cứng</v>
          </cell>
        </row>
        <row r="754">
          <cell r="C754" t="str">
            <v>199603</v>
          </cell>
          <cell r="D754" t="str">
            <v>Nguyễn Kiêm Chiến</v>
          </cell>
          <cell r="E754" t="str">
            <v>Phân viện Khí cụ bay - Viện NCPT</v>
          </cell>
          <cell r="F754" t="str">
            <v>Trung tâm A1</v>
          </cell>
          <cell r="G754" t="str">
            <v>Phòng điều khiển</v>
          </cell>
          <cell r="H754" t="str">
            <v>Đại úy</v>
          </cell>
          <cell r="I754" t="str">
            <v>Cán bộ quản lý</v>
          </cell>
          <cell r="J754" t="str">
            <v>Kỹ sư thiết kế phần cứng</v>
          </cell>
        </row>
        <row r="755">
          <cell r="C755" t="str">
            <v>200793</v>
          </cell>
          <cell r="D755" t="str">
            <v>Đỗ Văn Hòe</v>
          </cell>
          <cell r="E755" t="str">
            <v>Phân viện Khí cụ bay - Viện NCPT</v>
          </cell>
          <cell r="F755" t="str">
            <v>Trung tâm A1</v>
          </cell>
          <cell r="G755" t="str">
            <v>Phòng điều khiển</v>
          </cell>
          <cell r="H755" t="str">
            <v>Đại úy</v>
          </cell>
          <cell r="I755" t="str">
            <v>Cán bộ quản lý</v>
          </cell>
          <cell r="J755" t="str">
            <v>Kỹ sư thiết kế phần cứng</v>
          </cell>
        </row>
        <row r="756">
          <cell r="C756" t="str">
            <v>200934</v>
          </cell>
          <cell r="D756" t="str">
            <v>Hoàng Đức Long</v>
          </cell>
          <cell r="E756" t="str">
            <v>Phân viện Khí cụ bay - Viện NCPT</v>
          </cell>
          <cell r="F756" t="str">
            <v>Trung tâm A1</v>
          </cell>
          <cell r="G756" t="str">
            <v>Phòng điều khiển</v>
          </cell>
          <cell r="H756" t="str">
            <v>Hợp đồng lao động</v>
          </cell>
          <cell r="I756" t="str">
            <v>Quân lực quản lý</v>
          </cell>
          <cell r="J756" t="str">
            <v>Kỹ sư thiết kế phần cứng</v>
          </cell>
        </row>
        <row r="757">
          <cell r="C757" t="str">
            <v>204766</v>
          </cell>
          <cell r="D757" t="str">
            <v>Nguyễn Hoàng Minh</v>
          </cell>
          <cell r="E757" t="str">
            <v>Phân viện Khí cụ bay - Viện NCPT</v>
          </cell>
          <cell r="F757" t="str">
            <v>Trung tâm A1</v>
          </cell>
          <cell r="G757" t="str">
            <v>Phòng điều khiển</v>
          </cell>
          <cell r="H757" t="str">
            <v>Thượng úy</v>
          </cell>
          <cell r="I757" t="str">
            <v>Cán bộ quản lý</v>
          </cell>
          <cell r="J757" t="str">
            <v>Kỹ sư thiết kế phần phần mềm</v>
          </cell>
        </row>
        <row r="758">
          <cell r="C758" t="str">
            <v>204771</v>
          </cell>
          <cell r="D758" t="str">
            <v>Hoàng Trọng Biên</v>
          </cell>
          <cell r="E758" t="str">
            <v>Phân viện Khí cụ bay - Viện NCPT</v>
          </cell>
          <cell r="F758" t="str">
            <v>Trung tâm A1</v>
          </cell>
          <cell r="G758" t="str">
            <v>Phòng điều khiển</v>
          </cell>
          <cell r="H758" t="str">
            <v>HĐ Thử việc</v>
          </cell>
          <cell r="I758" t="str">
            <v>Quân lực quản lý</v>
          </cell>
          <cell r="J758" t="str">
            <v>Kỹ sư thiết kế phần cứng</v>
          </cell>
        </row>
        <row r="759">
          <cell r="D759" t="str">
            <v>Phòng Rada</v>
          </cell>
        </row>
        <row r="760">
          <cell r="C760" t="str">
            <v>087203</v>
          </cell>
          <cell r="D760" t="str">
            <v>Đoàn Duy Hưng</v>
          </cell>
          <cell r="E760" t="str">
            <v>Phân viện Khí cụ bay - Viện NCPT</v>
          </cell>
          <cell r="F760" t="str">
            <v>Trung tâm A1</v>
          </cell>
          <cell r="G760" t="str">
            <v>Phòng Rada</v>
          </cell>
          <cell r="H760" t="str">
            <v>Hợp đồng lao động</v>
          </cell>
          <cell r="I760" t="str">
            <v>Quân lực quản lý</v>
          </cell>
          <cell r="J760" t="str">
            <v>Kỹ sư điều khiển</v>
          </cell>
        </row>
        <row r="761">
          <cell r="C761" t="str">
            <v>087214</v>
          </cell>
          <cell r="D761" t="str">
            <v>Nguyễn Cảnh Dương</v>
          </cell>
          <cell r="E761" t="str">
            <v>Phân viện Khí cụ bay - Viện NCPT</v>
          </cell>
          <cell r="F761" t="str">
            <v>Trung tâm A1</v>
          </cell>
          <cell r="G761" t="str">
            <v>Phòng Rada</v>
          </cell>
          <cell r="H761" t="str">
            <v>Hợp đồng lao động</v>
          </cell>
          <cell r="I761" t="str">
            <v>Quân lực quản lý</v>
          </cell>
          <cell r="J761" t="str">
            <v>Kỹ sư điều khiển</v>
          </cell>
        </row>
        <row r="762">
          <cell r="C762" t="str">
            <v>141934</v>
          </cell>
          <cell r="D762" t="str">
            <v>Võ Như Dẫn</v>
          </cell>
          <cell r="E762" t="str">
            <v>Phân viện Khí cụ bay - Viện NCPT</v>
          </cell>
          <cell r="F762" t="str">
            <v>Trung tâm A1</v>
          </cell>
          <cell r="G762" t="str">
            <v>Phòng Rada</v>
          </cell>
          <cell r="H762" t="str">
            <v>Hợp đồng lao động</v>
          </cell>
          <cell r="I762" t="str">
            <v>Quân lực quản lý</v>
          </cell>
          <cell r="J762" t="str">
            <v>Kỹ sư kỹ thuật Rada</v>
          </cell>
        </row>
        <row r="763">
          <cell r="C763" t="str">
            <v>165019</v>
          </cell>
          <cell r="D763" t="str">
            <v>Lê Anh Tuấn</v>
          </cell>
          <cell r="E763" t="str">
            <v>Phân viện Khí cụ bay - Viện NCPT</v>
          </cell>
          <cell r="F763" t="str">
            <v>Trung tâm A1</v>
          </cell>
          <cell r="G763" t="str">
            <v>Phòng Rada</v>
          </cell>
          <cell r="H763" t="str">
            <v>Hợp đồng lao động</v>
          </cell>
          <cell r="I763" t="str">
            <v>Quân lực quản lý</v>
          </cell>
          <cell r="J763" t="str">
            <v>Kỹ sư điều khiển</v>
          </cell>
        </row>
        <row r="764">
          <cell r="D764" t="str">
            <v xml:space="preserve">Phòng thông tin và bảo mật </v>
          </cell>
        </row>
        <row r="765">
          <cell r="C765" t="str">
            <v>131370</v>
          </cell>
          <cell r="D765" t="str">
            <v>Trịnh Văn Thành</v>
          </cell>
          <cell r="E765" t="str">
            <v>Phân viện Khí cụ bay - Viện NCPT</v>
          </cell>
          <cell r="F765" t="str">
            <v>Trung tâm A1</v>
          </cell>
          <cell r="G765" t="str">
            <v xml:space="preserve">Phòng thông tin và bảo mật </v>
          </cell>
          <cell r="H765" t="str">
            <v>Hợp đồng lao động</v>
          </cell>
          <cell r="I765" t="str">
            <v>Quân lực quản lý</v>
          </cell>
          <cell r="J765" t="str">
            <v>Kỹ sư xử lý tín hiệu</v>
          </cell>
        </row>
        <row r="766">
          <cell r="C766" t="str">
            <v>153014</v>
          </cell>
          <cell r="D766" t="str">
            <v>Nguyễn Nhất Hải</v>
          </cell>
          <cell r="E766" t="str">
            <v>Phân viện Khí cụ bay - Viện NCPT</v>
          </cell>
          <cell r="F766" t="str">
            <v>Trung tâm A1</v>
          </cell>
          <cell r="G766" t="str">
            <v xml:space="preserve">Phòng thông tin và bảo mật </v>
          </cell>
          <cell r="H766" t="str">
            <v>Hợp đồng lao động</v>
          </cell>
          <cell r="I766" t="str">
            <v>Quân lực quản lý</v>
          </cell>
          <cell r="J766" t="str">
            <v>Kỹ sư Điện tử viễn thông</v>
          </cell>
        </row>
        <row r="767">
          <cell r="C767" t="str">
            <v>155473</v>
          </cell>
          <cell r="D767" t="str">
            <v>Nguyễn Khánh Huy</v>
          </cell>
          <cell r="E767" t="str">
            <v>Phân viện Khí cụ bay - Viện NCPT</v>
          </cell>
          <cell r="F767" t="str">
            <v>Trung tâm A1</v>
          </cell>
          <cell r="G767" t="str">
            <v xml:space="preserve">Phòng thông tin và bảo mật </v>
          </cell>
          <cell r="H767" t="str">
            <v>Hợp đồng lao động</v>
          </cell>
          <cell r="I767" t="str">
            <v>Quân lực quản lý</v>
          </cell>
          <cell r="J767" t="str">
            <v>Kỹ sư xử lý tín hiệu</v>
          </cell>
        </row>
        <row r="768">
          <cell r="C768" t="str">
            <v>200813</v>
          </cell>
          <cell r="D768" t="str">
            <v>Lục Đình Đông</v>
          </cell>
          <cell r="E768" t="str">
            <v>Phân viện Khí cụ bay - Viện NCPT</v>
          </cell>
          <cell r="F768" t="str">
            <v>Trung tâm A1</v>
          </cell>
          <cell r="G768" t="str">
            <v xml:space="preserve">Phòng thông tin và bảo mật </v>
          </cell>
          <cell r="H768" t="str">
            <v>Thượng úy</v>
          </cell>
          <cell r="I768" t="str">
            <v>Cán bộ quản lý</v>
          </cell>
          <cell r="J768" t="str">
            <v>Kỹ sư Điện tử viễn thông</v>
          </cell>
        </row>
        <row r="769">
          <cell r="D769" t="str">
            <v xml:space="preserve">Phòng Chỉ huy điều khiển </v>
          </cell>
        </row>
        <row r="770">
          <cell r="C770" t="str">
            <v>112139</v>
          </cell>
          <cell r="D770" t="str">
            <v>Kiều Hữu Thu</v>
          </cell>
          <cell r="E770" t="str">
            <v>Phân viện Khí cụ bay - Viện NCPT</v>
          </cell>
          <cell r="F770" t="str">
            <v>Trung tâm A1</v>
          </cell>
          <cell r="G770" t="str">
            <v xml:space="preserve">Phòng Chỉ huy điều khiển </v>
          </cell>
          <cell r="H770" t="str">
            <v>Hợp đồng lao động</v>
          </cell>
          <cell r="I770" t="str">
            <v>Quân lực quản lý</v>
          </cell>
          <cell r="J770" t="str">
            <v>Kỹ sư công nghệ thông tin</v>
          </cell>
        </row>
        <row r="771">
          <cell r="C771" t="str">
            <v>170193</v>
          </cell>
          <cell r="D771" t="str">
            <v>Phạm Việt Đức</v>
          </cell>
          <cell r="E771" t="str">
            <v>Phân viện Khí cụ bay - Viện NCPT</v>
          </cell>
          <cell r="F771" t="str">
            <v>Trung tâm A1</v>
          </cell>
          <cell r="G771" t="str">
            <v xml:space="preserve">Phòng Chỉ huy điều khiển </v>
          </cell>
          <cell r="H771" t="str">
            <v>Hợp đồng lao động</v>
          </cell>
          <cell r="I771" t="str">
            <v>Quân lực quản lý</v>
          </cell>
          <cell r="J771" t="str">
            <v>Kỹ sư công nghệ thông tin</v>
          </cell>
        </row>
        <row r="772">
          <cell r="D772" t="str">
            <v xml:space="preserve">Phòng động cơ </v>
          </cell>
        </row>
        <row r="773">
          <cell r="C773" t="str">
            <v>182454</v>
          </cell>
          <cell r="D773" t="str">
            <v>Đinh Tiến Dũng</v>
          </cell>
          <cell r="E773" t="str">
            <v>Phân viện Khí cụ bay - Viện NCPT</v>
          </cell>
          <cell r="F773" t="str">
            <v>Trung tâm A1</v>
          </cell>
          <cell r="G773" t="str">
            <v xml:space="preserve">Phòng động cơ </v>
          </cell>
          <cell r="H773" t="str">
            <v>Hợp đồng lao động</v>
          </cell>
          <cell r="I773" t="str">
            <v>Quân lực quản lý</v>
          </cell>
          <cell r="J773" t="str">
            <v>Kỹ sư động cơ</v>
          </cell>
        </row>
        <row r="774">
          <cell r="D774" t="str">
            <v xml:space="preserve">Phòng cơ khí </v>
          </cell>
        </row>
        <row r="775">
          <cell r="C775" t="str">
            <v>121094</v>
          </cell>
          <cell r="D775" t="str">
            <v>Nguyễn Văn Hoan</v>
          </cell>
          <cell r="E775" t="str">
            <v>Phân viện Khí cụ bay - Viện NCPT</v>
          </cell>
          <cell r="F775" t="str">
            <v>Trung tâm A1</v>
          </cell>
          <cell r="G775" t="str">
            <v xml:space="preserve">Phòng cơ khí </v>
          </cell>
          <cell r="H775" t="str">
            <v>Hợp đồng lao động</v>
          </cell>
          <cell r="I775" t="str">
            <v>Quân lực quản lý</v>
          </cell>
          <cell r="J775" t="str">
            <v>Kỹ sư cơ khí</v>
          </cell>
        </row>
        <row r="776">
          <cell r="C776" t="str">
            <v>123638</v>
          </cell>
          <cell r="D776" t="str">
            <v>Trần Quốc Hoàng</v>
          </cell>
          <cell r="E776" t="str">
            <v>Phân viện Khí cụ bay - Viện NCPT</v>
          </cell>
          <cell r="F776" t="str">
            <v>Trung tâm A1</v>
          </cell>
          <cell r="G776" t="str">
            <v xml:space="preserve">Phòng cơ khí </v>
          </cell>
          <cell r="H776" t="str">
            <v>Hợp đồng lao động</v>
          </cell>
          <cell r="I776" t="str">
            <v>Quân lực quản lý</v>
          </cell>
          <cell r="J776" t="str">
            <v>Kỹ sư cơ khí</v>
          </cell>
        </row>
        <row r="777">
          <cell r="C777" t="str">
            <v>197810</v>
          </cell>
          <cell r="D777" t="str">
            <v>Vũ Trọng Đại</v>
          </cell>
          <cell r="E777" t="str">
            <v>Phân viện Khí cụ bay - Viện NCPT</v>
          </cell>
          <cell r="F777" t="str">
            <v>Trung tâm A1</v>
          </cell>
          <cell r="G777" t="str">
            <v xml:space="preserve">Phòng cơ khí </v>
          </cell>
          <cell r="H777" t="str">
            <v>Hợp đồng lao động</v>
          </cell>
          <cell r="I777" t="str">
            <v>Quân lực quản lý</v>
          </cell>
          <cell r="J777" t="str">
            <v>Kỹ sư cơ khí</v>
          </cell>
        </row>
        <row r="778">
          <cell r="C778" t="str">
            <v>199791</v>
          </cell>
          <cell r="D778" t="str">
            <v>Đặng Lê Thắng</v>
          </cell>
          <cell r="E778" t="str">
            <v>Phân viện Khí cụ bay - Viện NCPT</v>
          </cell>
          <cell r="F778" t="str">
            <v>Trung tâm A1</v>
          </cell>
          <cell r="G778" t="str">
            <v xml:space="preserve">Phòng cơ khí </v>
          </cell>
          <cell r="H778" t="str">
            <v>Hợp đồng lao động</v>
          </cell>
          <cell r="I778" t="str">
            <v>Quân lực quản lý</v>
          </cell>
          <cell r="J778" t="str">
            <v>Kỹ sư cơ khí</v>
          </cell>
        </row>
        <row r="779">
          <cell r="C779" t="str">
            <v>201060</v>
          </cell>
          <cell r="D779" t="str">
            <v>Cao Anh Tuấn</v>
          </cell>
          <cell r="E779" t="str">
            <v>Phân viện Khí cụ bay - Viện NCPT</v>
          </cell>
          <cell r="F779" t="str">
            <v>Trung tâm A1</v>
          </cell>
          <cell r="G779" t="str">
            <v xml:space="preserve">Phòng cơ khí </v>
          </cell>
          <cell r="H779" t="str">
            <v>Trung úy</v>
          </cell>
          <cell r="I779" t="str">
            <v>Cán bộ quản lý</v>
          </cell>
          <cell r="J779" t="str">
            <v>Kỹ sư cơ khí</v>
          </cell>
        </row>
        <row r="780">
          <cell r="C780" t="str">
            <v>204764</v>
          </cell>
          <cell r="D780" t="str">
            <v>Lê Kim Bảo</v>
          </cell>
          <cell r="E780" t="str">
            <v>Phân viện Khí cụ bay - Viện NCPT</v>
          </cell>
          <cell r="F780" t="str">
            <v>Trung tâm A1</v>
          </cell>
          <cell r="G780" t="str">
            <v xml:space="preserve">Phòng cơ khí </v>
          </cell>
          <cell r="H780" t="str">
            <v>Trung úy</v>
          </cell>
          <cell r="I780" t="str">
            <v>Cán bộ quản lý</v>
          </cell>
          <cell r="J780" t="str">
            <v>Kỹ sư cơ khí</v>
          </cell>
        </row>
        <row r="781">
          <cell r="D781" t="str">
            <v xml:space="preserve">Phòng hệ thống điện </v>
          </cell>
        </row>
        <row r="782">
          <cell r="C782" t="str">
            <v>199734</v>
          </cell>
          <cell r="D782" t="str">
            <v>Nguyễn Công Trường</v>
          </cell>
          <cell r="E782" t="str">
            <v>Phân viện Khí cụ bay - Viện NCPT</v>
          </cell>
          <cell r="F782" t="str">
            <v>Trung tâm A1</v>
          </cell>
          <cell r="G782" t="str">
            <v xml:space="preserve">Phòng hệ thống điện </v>
          </cell>
          <cell r="H782" t="str">
            <v>Thiếu tá</v>
          </cell>
          <cell r="I782" t="str">
            <v>Cán bộ quản lý</v>
          </cell>
          <cell r="J782" t="str">
            <v>Kỹ sư Hệ thống điện</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BANG CONG T6"/>
      <sheetName val="2.BTH cham cong"/>
      <sheetName val="2.1.Bang cham cong_KHCN"/>
      <sheetName val="2.2.Bang cham cong_SXKD"/>
      <sheetName val="3.DS Nhan su"/>
      <sheetName val="KHCN-CV"/>
      <sheetName val="DataPAKD"/>
      <sheetName val="DataKHCN"/>
      <sheetName val="list"/>
    </sheetNames>
    <sheetDataSet>
      <sheetData sheetId="0"/>
      <sheetData sheetId="1">
        <row r="39">
          <cell r="C39" t="str">
            <v>Kiểm thử</v>
          </cell>
        </row>
        <row r="40">
          <cell r="C40" t="str">
            <v>Nghiên cứu giải pháp</v>
          </cell>
        </row>
        <row r="41">
          <cell r="C41" t="str">
            <v>Thiết kế cơ khí</v>
          </cell>
        </row>
      </sheetData>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luong T6"/>
      <sheetName val="Bang phan bo"/>
      <sheetName val="Sheet2"/>
      <sheetName val="Tong hop"/>
      <sheetName val="Check"/>
      <sheetName val="Quy luong"/>
      <sheetName val="PivotBangLuongKHCN"/>
      <sheetName val="06.2025 KHCN"/>
      <sheetName val="KHCN_CV"/>
      <sheetName val="KHCN_DV"/>
      <sheetName val="PivotThanhPhan"/>
      <sheetName val="PivotBangLuong"/>
      <sheetName val="06.2025 PAKD"/>
      <sheetName val="PAKD"/>
      <sheetName val="DatTen"/>
      <sheetName val="Mail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
          <cell r="A2" t="str">
            <v>Hệ thống cảnh giới và bảo vệ vùng trời quốc gia VQ2 giai đoạn 2</v>
          </cell>
          <cell r="B2" t="str">
            <v>PO-92024</v>
          </cell>
        </row>
        <row r="3">
          <cell r="A3" t="str">
            <v xml:space="preserve">Sản xuất, triển khai hệ thống tự động hóa chỉ huy cho Quân chủng hải quân giai đoạn II </v>
          </cell>
          <cell r="B3" t="str">
            <v>PO-92030</v>
          </cell>
        </row>
        <row r="4">
          <cell r="A4" t="str">
            <v>Sản xuất Hệ thống cảnh giới và bảo vệ vùng trời quốc gia VQ2 giai đoạn 3</v>
          </cell>
          <cell r="B4" t="str">
            <v>PO-92157</v>
          </cell>
        </row>
        <row r="5">
          <cell r="A5" t="str">
            <v>Sản xuất 01 Hệ thống tự động hóa chỉ huy cấp Bộ Quốc phòng</v>
          </cell>
          <cell r="B5" t="str">
            <v>PO-92166</v>
          </cell>
        </row>
        <row r="6">
          <cell r="A6" t="str">
            <v>Sản xuất 21 Hệ thống MP huấn luyện kíp xe tăng T54B/T55</v>
          </cell>
          <cell r="B6" t="str">
            <v>PO-92023</v>
          </cell>
        </row>
        <row r="7">
          <cell r="A7" t="str">
            <v>Sản xuất 01 hệ thống mô phỏng huấn luyện kíp chỉ huy bay và 02 hệ thống mô phỏng huấn luyện phi công SU-30MK2</v>
          </cell>
          <cell r="B7" t="str">
            <v>PO-92056</v>
          </cell>
        </row>
        <row r="8">
          <cell r="A8" t="str">
            <v>Sản xuất 01 hệ thống mô phỏng huấn luyện kíp chỉ huy bay và 02 hệ thống mô phỏng huấn luyện phi công SU-30MK2 (01 hệ thống mô phỏng huấn luyện kíp chỉ huy bay )</v>
          </cell>
          <cell r="B8" t="str">
            <v>PO-92056</v>
          </cell>
        </row>
        <row r="9">
          <cell r="A9" t="str">
            <v>Sản xuất 01 hệ thống mô phỏng huấn luyện kíp chỉ huy bay và 02 hệ thống mô phỏng huấn luyện phi công SU-30MK2 (02 hệ thống mô phỏng huấn luyện phi công SU-30MK2)</v>
          </cell>
          <cell r="B9" t="str">
            <v>PO-92056</v>
          </cell>
        </row>
        <row r="10">
          <cell r="A10" t="str">
            <v>Sản xuất 800 Hệ thống mô phỏng đào tạo lái xe ô tô</v>
          </cell>
          <cell r="B10" t="str">
            <v>PO-92058</v>
          </cell>
        </row>
        <row r="11">
          <cell r="A11" t="str">
            <v>Sản xuất thử nghiệm 01 bộ Edu kit phục vụ trưng bày, giới thiệu SP</v>
          </cell>
        </row>
        <row r="12">
          <cell r="A12" t="str">
            <v>Sản xuất 01 bộ mẫu HT mô phỏng HL bắn súng di động, phục vụ trưng bày, giới thiệu SP cho các đoàn khách thuộc BQP</v>
          </cell>
          <cell r="B12" t="str">
            <v>PO-92204</v>
          </cell>
        </row>
        <row r="13">
          <cell r="A13" t="str">
            <v xml:space="preserve">Sản xuất 09 hệ thống mô phỏng huấn luyện kỹ-chiến thuật </v>
          </cell>
          <cell r="B13" t="str">
            <v>PO-92206</v>
          </cell>
        </row>
        <row r="14">
          <cell r="A14" t="str">
            <v>Sản xuất và cung cấp 03 hệ thống mô phỏng bắn súng cho Philippines</v>
          </cell>
          <cell r="B14" t="str">
            <v>PO-93023</v>
          </cell>
        </row>
        <row r="15">
          <cell r="A15" t="str">
            <v>Cung cấp 04 hệ thống Sa bàn hỗ trợ công tác chỉ huy tham mưu, tác chiến cho Cục Nhà trường/Bộ Tổng tham mưu</v>
          </cell>
          <cell r="B15" t="str">
            <v>PO-92210</v>
          </cell>
        </row>
        <row r="16">
          <cell r="A16" t="str">
            <v>Sản xuất và cung cấp 10 hệ thống mô phỏng bắn súng cho Philippines</v>
          </cell>
          <cell r="B16" t="str">
            <v>Thiếu mã 20</v>
          </cell>
        </row>
        <row r="17">
          <cell r="A17" t="str">
            <v>Dịch vụ xây dựng trải nghiệm thực tế tăng cường cho khách hàng SUN Group</v>
          </cell>
          <cell r="B17" t="str">
            <v>PO-93032</v>
          </cell>
        </row>
        <row r="18">
          <cell r="A18" t="str">
            <v>SX 11 bộ đài Quang điện tử tầm xa VEE-LRA và 13 ZIP năm 2021</v>
          </cell>
          <cell r="B18" t="str">
            <v>PO-92029</v>
          </cell>
        </row>
        <row r="19">
          <cell r="A19" t="str">
            <v>SX 11 bộ đài Quang điện tử tầm xa VEE-LRA và 13 ZIP năm 2021(11 Bộ đài quang điện tử)</v>
          </cell>
          <cell r="B19" t="str">
            <v>PO-92029</v>
          </cell>
        </row>
        <row r="20">
          <cell r="A20" t="str">
            <v>SX 11 bộ đài Quang điện tử tầm xa VEE-LRA và 13 ZIP năm 2021(13 bộ Zip)</v>
          </cell>
          <cell r="B20" t="str">
            <v>PO-92029</v>
          </cell>
        </row>
        <row r="21">
          <cell r="A21" t="str">
            <v>Sản xuất 26 Đài quang điện tử tầm xa VEE-LRA năm 2021</v>
          </cell>
          <cell r="B21" t="str">
            <v>PO-92021</v>
          </cell>
        </row>
        <row r="22">
          <cell r="A22" t="str">
            <v>Sản xuất 31 đài quang điện tử VEE - LRA và gói vật tư dự phòng</v>
          </cell>
          <cell r="B22" t="str">
            <v>PO-92203</v>
          </cell>
        </row>
        <row r="23">
          <cell r="A23" t="str">
            <v>Sản xuất 31 đài quang điện tử VEE - LRA và gói vật tư dự phòng (Đài quang điện tử VEE-LRA)</v>
          </cell>
          <cell r="B23" t="str">
            <v>PO-92203</v>
          </cell>
        </row>
        <row r="24">
          <cell r="A24" t="str">
            <v>Sản xuất 31 đài quang điện tử VEE - LRA và gói vật tư dự phòng (Bộ ZIP VEE-LRA)</v>
          </cell>
          <cell r="B24" t="str">
            <v>PO-92203</v>
          </cell>
        </row>
        <row r="25">
          <cell r="A25" t="str">
            <v>Cung cấp 500 bộ Kính ngắm ảnh nhiệt VEE-W01 cho Bộ Quốc phòng</v>
          </cell>
          <cell r="B25" t="str">
            <v>PO-92207</v>
          </cell>
        </row>
        <row r="26">
          <cell r="A26" t="str">
            <v>Sản xuất 600 Thiết bị Trinh sát ảnh nhiệt tầm gần VQT-TSG, đồng bộ phụ kiện và vật tư dự phòng</v>
          </cell>
          <cell r="B26" t="str">
            <v xml:space="preserve">PO-93057 </v>
          </cell>
        </row>
        <row r="27">
          <cell r="A27" t="str">
            <v>Sản xuất 600 Thiết bị Trinh sát ảnh nhiệt tầm gần VQT-TSG, đồng bộ phụ kiện và vật tư dự phòng (600 Thiết bị TSAN)</v>
          </cell>
          <cell r="B27" t="str">
            <v xml:space="preserve">PO-93057 </v>
          </cell>
        </row>
        <row r="28">
          <cell r="A28" t="str">
            <v>Sản xuất 600 Thiết bị Trinh sát ảnh nhiệt tầm gần VQT-TSG, đồng bộ phụ kiện và vật tư dự phòng (06 bộ vật tư dự phòng)</v>
          </cell>
          <cell r="B28" t="str">
            <v xml:space="preserve">PO-93057 </v>
          </cell>
        </row>
        <row r="29">
          <cell r="A29" t="str">
            <v>Sản xuất 100 Thiết bị Kính nhìn đêm đa kênh gắn mũ KNĐ-M2T, đồng bộ phụ kiện và vật tư dự phòng</v>
          </cell>
          <cell r="B29" t="str">
            <v xml:space="preserve">PO-93059 </v>
          </cell>
        </row>
        <row r="30">
          <cell r="A30" t="str">
            <v>Sản xuất 100 Thiết bị Kính nhìn đêm đa kênh gắn mũ KNĐ-M2T, đồng bộ phụ kiện và vật tư dự phòng (100 Thiết bị kính nhìn đêm)</v>
          </cell>
          <cell r="B30" t="str">
            <v xml:space="preserve">PO-93059 </v>
          </cell>
        </row>
        <row r="31">
          <cell r="A31" t="str">
            <v>Sản xuất 100 Thiết bị Kính nhìn đêm đa kênh gắn mũ KNĐ-M2T, đồng bộ phụ kiện và vật tư dự phòng (Bộ vật tư dự phòng)</v>
          </cell>
          <cell r="B31" t="str">
            <v xml:space="preserve">PO-93059 </v>
          </cell>
        </row>
        <row r="32">
          <cell r="A32" t="str">
            <v>SX 40 bộ thiết bị nhận dạng và 16 bộ zip</v>
          </cell>
          <cell r="B32" t="str">
            <v>PO-92031</v>
          </cell>
        </row>
        <row r="33">
          <cell r="A33" t="str">
            <v>SX 40 bộ thiết bị nhận dạng và 16 bộ zip (16 bộ Zip thiết bị nhận dạng)</v>
          </cell>
          <cell r="B33" t="str">
            <v>PO-92031</v>
          </cell>
        </row>
        <row r="34">
          <cell r="A34" t="str">
            <v>SX 40 bộ thiết bị nhận dạng và 16 bộ zip (40 bộ thiết bị nhân dạng)</v>
          </cell>
          <cell r="B34" t="str">
            <v>PO-92031</v>
          </cell>
        </row>
        <row r="35">
          <cell r="A35" t="str">
            <v>SX 40 bộ thiết bị nhận dạng và 16 bộ zip (Thiết bị cơ yếu cho IFF hệ Parol)</v>
          </cell>
          <cell r="B35" t="str">
            <v>PO-92031</v>
          </cell>
        </row>
        <row r="36">
          <cell r="A36" t="str">
            <v>SX 14 đài Ra đa VRS-SRS và 10 bộ zip</v>
          </cell>
          <cell r="B36" t="str">
            <v>PO-92032</v>
          </cell>
        </row>
        <row r="37">
          <cell r="A37" t="str">
            <v>SX 14 đài Ra đa VRS-SRS và 10 bộ zip (14 đài ra đa VRS-SRS)</v>
          </cell>
          <cell r="B37" t="str">
            <v>PO-92032</v>
          </cell>
        </row>
        <row r="38">
          <cell r="A38" t="str">
            <v>SX 14 đài Ra đa VRS-SRS và 10 bộ zip (10 bộ zip dự phòng)</v>
          </cell>
          <cell r="B38" t="str">
            <v>PO-92032</v>
          </cell>
        </row>
        <row r="39">
          <cell r="A39" t="str">
            <v>SX 14 đài Ra đa VRS-SRS và 10 bộ zip (14 đài ra da VRS-SRS)</v>
          </cell>
          <cell r="B39" t="str">
            <v>PO-92032</v>
          </cell>
        </row>
        <row r="40">
          <cell r="A40" t="str">
            <v>Sản xuất 04 đài Ra đa 3D cảnh giới tầm trung băng S VRS-MRS và 01 gói vật tư dự phòng</v>
          </cell>
          <cell r="B40" t="str">
            <v>PO-92057</v>
          </cell>
        </row>
        <row r="41">
          <cell r="A41" t="str">
            <v>Sản xuất 04 đài Ra đa 3D cảnh giới tầm trung băng S VRS-MRS và 01 gói vật tư dự phòng (04 đài Ra đa 3D cảnh giới tầm trung băng S VRS-MRS)</v>
          </cell>
          <cell r="B41" t="str">
            <v>PO-92057</v>
          </cell>
        </row>
        <row r="42">
          <cell r="A42" t="str">
            <v>Sản xuất 04 đài Ra đa 3D cảnh giới tầm trung băng S VRS-MRS và 01 gói vật tư dự phòng (01 bộ vật tư Zip cho đài Ra đa VRS-MRS)</v>
          </cell>
          <cell r="B42" t="str">
            <v>PO-92057</v>
          </cell>
        </row>
        <row r="43">
          <cell r="A43" t="str">
            <v>Chế tạo 28 đài RDr cảnh giới biển tầm trung VRS-CSX</v>
          </cell>
        </row>
        <row r="44">
          <cell r="A44" t="str">
            <v>Chế tạo 28 đài RDr cảnh giới biển tầm trung VRS-CSX (01 bộ vật tư Zip cho đài ra đa cảnh giới bờ VRS-CSX)</v>
          </cell>
        </row>
        <row r="45">
          <cell r="A45" t="str">
            <v>Chế tạo 28 đài RDr cảnh giới biển tầm trung VRS-CSX (Thiết bị đồng bộ  cho đài ra đa cảnh giới bờ VRS- CSX)</v>
          </cell>
        </row>
        <row r="46">
          <cell r="A46" t="str">
            <v>Sản xuất 03 đài Ra đa cảnh giới tầm trung sóng mét VRS-M2D, 03 gói vật tư dự phòng, 01 bộ vật tư dự phòng bổ sung và 01 gói bảo dưỡng lớn</v>
          </cell>
          <cell r="B46" t="str">
            <v>PO-93016</v>
          </cell>
        </row>
        <row r="47">
          <cell r="A47" t="str">
            <v>Sản xuất 03 đài Ra đa cảnh giới tầm trung sóng mét VRS-M2D, 03 gói vật tư dự phòng, 01 bộ vật tư dự phòng bổ sung và 01 gói bảo dưỡng lớn (Đài ra đa VRS-M2D)</v>
          </cell>
          <cell r="B47" t="str">
            <v>PO-93016</v>
          </cell>
        </row>
        <row r="48">
          <cell r="A48" t="str">
            <v>Sản xuất 03 đài Ra đa cảnh giới tầm trung sóng mét VRS-M2D, 03 gói vật tư dự phòng, 01 bộ vật tư dự phòng bổ sung và 01 gói bảo dưỡng lớn (Vật tư dự phòng và hệ thống chống sét)</v>
          </cell>
          <cell r="B48" t="str">
            <v>PO-93016</v>
          </cell>
        </row>
        <row r="49">
          <cell r="A49" t="str">
            <v>Sản xuất 03 đài Ra đa cảnh giới tầm trung sóng mét VRS-M2D, 03 gói vật tư dự phòng, 01 bộ vật tư dự phòng bổ sung và 01 gói bảo dưỡng lớn (Vật tư dự phòng cho các đài RD VRS M2D năm 2017)</v>
          </cell>
          <cell r="B49" t="str">
            <v>PO-93016</v>
          </cell>
        </row>
        <row r="50">
          <cell r="A50" t="str">
            <v>01 đài ra đa chỉ thị mục tiêu VRS-MCX cho tổ hợp tên lửa bờ VCM-B</v>
          </cell>
          <cell r="B50" t="str">
            <v>PO-92979</v>
          </cell>
        </row>
        <row r="51">
          <cell r="A51" t="str">
            <v>Sản xuất 28 đài ra đa VRS -SRS, 28 bộ nhận dạng IFF, gói vật tư dự phòng và gói triển khai hạ tầng.</v>
          </cell>
          <cell r="B51" t="str">
            <v>PO-92202</v>
          </cell>
        </row>
        <row r="52">
          <cell r="A52" t="str">
            <v>Sản xuất 28 đài ra đa VRS-SRS, 28 bộ thiết bị nhận dạng IFF, 
gói vật tư dự phòng và gói triển khai hạ tầng (Đài ra đa VRS-SRS)</v>
          </cell>
          <cell r="B52" t="str">
            <v>PO-92202</v>
          </cell>
        </row>
        <row r="53">
          <cell r="A53" t="str">
            <v>Sản xuất 28 đài ra đa VRS-SRS, 28 bộ thiết bị nhận dạng IFF, 
gói vật tư dự phòng và gói triển khai hạ tầng (Bộ Zip cho đài RD VRS SRS)</v>
          </cell>
          <cell r="B53" t="str">
            <v>PO-92202</v>
          </cell>
        </row>
        <row r="54">
          <cell r="A54" t="str">
            <v>Sản xuất 28 đài ra đa VRS-SRS, 28 bộ thiết bị nhận dạng IFF, 
gói vật tư dự phòng và gói triển khai hạ tầng (Bộ thiết bị nhận dạng IFF)</v>
          </cell>
          <cell r="B54" t="str">
            <v>PO-92202</v>
          </cell>
        </row>
        <row r="55">
          <cell r="A55" t="str">
            <v>Sản xuất 28 đài ra đa VRS-SRS, 28 bộ thiết bị nhận dạng IFF, 
gói vật tư dự phòng và gói triển khai hạ tầng (Bộ Zip thiết bị nhận dạng IFF)</v>
          </cell>
          <cell r="B55" t="str">
            <v>PO-92202</v>
          </cell>
        </row>
        <row r="56">
          <cell r="A56" t="str">
            <v>Sản xuất 28 đài ra đa VRS-SRS, 28 bộ thiết bị nhận dạng IFF, 
gói vật tư dự phòng và gói triển khai hạ tầng (Triển khai hạ tầng và dịch vụ kèm theo)</v>
          </cell>
          <cell r="B56" t="str">
            <v>PO-92202</v>
          </cell>
        </row>
        <row r="57">
          <cell r="A57" t="str">
            <v>Sản xuất 28 đài ra đa VRS-SRS, 28 bộ thiết bị nhận dạng IFF, 
gói vật tư dự phòng và gói triển khai hạ tầng</v>
          </cell>
          <cell r="B57" t="str">
            <v>PO-92202</v>
          </cell>
        </row>
        <row r="58">
          <cell r="A58" t="str">
            <v>Sản xuất 02 xe ra đa chỉ thị mục tiêu VRS-MCX, 05 đài ra đa cảnh giới biển tầm trung cơ động VRS-MSX và gói vật tư dự phòng</v>
          </cell>
          <cell r="B58" t="str">
            <v>PO-92139</v>
          </cell>
        </row>
        <row r="59">
          <cell r="A59" t="str">
            <v>Sản xuất 02 xe ra đa chỉ thị mục tiêu VRS-MCX, 05 đài ra đa cảnh giới biển tầm trung cơ động VRS-MSX và gói vật tư dự phòng (Đài ra đa VRS-MSX)</v>
          </cell>
          <cell r="B59" t="str">
            <v>PO-92139</v>
          </cell>
        </row>
        <row r="60">
          <cell r="A60" t="str">
            <v>Sản xuất 02 xe ra đa chỉ thị mục tiêu VRS-MCX, 05 đài ra đa cảnh giới biển tầm trung cơ động VRS-MSX và gói vật tư dự phòng (Xe ra đa VRS-MCX)</v>
          </cell>
          <cell r="B60" t="str">
            <v>PO-92139</v>
          </cell>
        </row>
        <row r="61">
          <cell r="A61" t="str">
            <v>Sản xuất 02 xe ra đa chỉ thị mục tiêu VRS-MCX, 05 đài ra đa cảnh giới biển tầm trung cơ động VRS-MSX và gói vật tư dự phòng (Zip Đài ra đa VRS-MSX)</v>
          </cell>
          <cell r="B61" t="str">
            <v>PO-92139</v>
          </cell>
        </row>
        <row r="62">
          <cell r="A62" t="str">
            <v>Sản xuất 02 xe ra đa chỉ thị mục tiêu VRS-MCX, 05 đài ra đa cảnh giới biển tầm trung cơ động VRS-MSX và gói vật tư dự phòng (Gói dịch vụ)</v>
          </cell>
          <cell r="B62" t="str">
            <v>PO-92139</v>
          </cell>
        </row>
        <row r="63">
          <cell r="A63" t="str">
            <v>Sản xuất 03 đài Ra đa 3D cảnh giới tầm trung băng S VRS-MRS, gói vật tư dự phòng và gói triển khai hạ tầng</v>
          </cell>
          <cell r="B63" t="str">
            <v>PO-93052</v>
          </cell>
        </row>
        <row r="64">
          <cell r="A64" t="str">
            <v>Sản xuất 03 đài Ra đa 3D cảnh giới tầm trung băng S VRS-MRS, gói vật tư dự phòng và gói triển khai hạ tầng (3 đài Ra đa VRS-MRS)</v>
          </cell>
          <cell r="B64" t="str">
            <v>PO-93052</v>
          </cell>
        </row>
        <row r="65">
          <cell r="A65" t="str">
            <v>Sản xuất 03 đài Ra đa 3D cảnh giới tầm trung băng S VRS-MRS, gói vật tư dự phòng và gói triển khai hạ tầng(01 bộ Zip cho đài VRS-MRS)</v>
          </cell>
          <cell r="B65" t="str">
            <v>PO-93052</v>
          </cell>
        </row>
        <row r="66">
          <cell r="A66" t="str">
            <v>Sản xuất 03 đài Ra đa 3D cảnh giới tầm trung băng S VRS-MRS, gói vật tư dự phòng và gói triển khai hạ tầng (Gói triển khai hạ tầng)</v>
          </cell>
          <cell r="B66" t="str">
            <v>PO-93052</v>
          </cell>
        </row>
        <row r="67">
          <cell r="A67" t="str">
            <v>Sản xuất 02 xe ra đa chỉ thị mục tiêu VRS-MCX</v>
          </cell>
          <cell r="B67" t="str">
            <v>PO-93051</v>
          </cell>
        </row>
        <row r="68">
          <cell r="A68" t="str">
            <v>Sản xuất 10 tổ hợp ra đa - quang điện tử cảnh giới biển tầm gần VRQ-CBG và gói vật tư dự phòng</v>
          </cell>
          <cell r="B68" t="str">
            <v>PO-93056</v>
          </cell>
        </row>
        <row r="69">
          <cell r="A69" t="str">
            <v>Sản xuất 10 tổ hợp ra đa - quang điện tử cảnh giới biển tầm gần VRQ-CBG và gói vật tư dự phòng (Tổ hợp VRQ-CBG)</v>
          </cell>
          <cell r="B69" t="str">
            <v>PO-93056</v>
          </cell>
        </row>
        <row r="70">
          <cell r="A70" t="str">
            <v>Sản xuất 10 tổ hợp ra đa - quang điện tử cảnh giới biển tầm gần VRQ-CBG và gói vật tư dự phòng (Bộ ZIP cho Tổ hợp VRQ-CBG)</v>
          </cell>
          <cell r="B70" t="str">
            <v>PO-93056</v>
          </cell>
        </row>
        <row r="71">
          <cell r="A71" t="str">
            <v>Sản xuất 10 tổ hợp ra đa - quang điện tử cảnh giới biển tầm gần VRQ-CBG và gói vật tư dự phòng (Dịch vụ triển khai)</v>
          </cell>
          <cell r="B71" t="str">
            <v>PO-93056</v>
          </cell>
        </row>
        <row r="72">
          <cell r="A72" t="str">
            <v>Khảo sát các vị trí dk triển khai lắp đặt Tổ hợp VRQ-CBG tại các đơn vị thuộc quần đảo Trường Sa (TTr CTP số số 47489/TTr-CTP ngày 21/2/2025)</v>
          </cell>
        </row>
        <row r="73">
          <cell r="A73" t="str">
            <v>Sản xuất 05 hệ thống trinh sát điện tử thông minh V-ELINT18 năm 2021</v>
          </cell>
          <cell r="B73" t="str">
            <v>PO-92027</v>
          </cell>
        </row>
        <row r="74">
          <cell r="A74" t="str">
            <v>Sản xuất 05 hệ thống trinh sát điện tử thông minh V-ELINT18 năm 2021 (Hệ thống trinh sát điện tử thông minh V-ELINT18)</v>
          </cell>
          <cell r="B74" t="str">
            <v>PO-92027</v>
          </cell>
        </row>
        <row r="75">
          <cell r="A75" t="str">
            <v>Sản xuất 05 hệ thống trinh sát điện tử thông minh V-ELINT18 năm 2021 (Zip V-ELINT18 năm 2021)</v>
          </cell>
          <cell r="B75" t="str">
            <v>PO-92027</v>
          </cell>
        </row>
        <row r="76">
          <cell r="A76" t="str">
            <v>Sản xuất 190 bộ trang bị thu-trinh sát vô tuyến điện dải rộng cấp chiến dịch, chiến lược kèm vật tư dự phòng</v>
          </cell>
          <cell r="B76" t="str">
            <v>PO-92123</v>
          </cell>
        </row>
        <row r="77">
          <cell r="A77" t="str">
            <v>Sản xuất 190 bộ trang bị thu-trinh sát vô tuyến điện dải rộng cấp chiến dịch, chiến lược kèm vật tư dự phòng (Thiết bị thu - trinh sát vô tuyến điện dải rộng VSM3)</v>
          </cell>
          <cell r="B77" t="str">
            <v>PO-92123</v>
          </cell>
        </row>
        <row r="78">
          <cell r="A78" t="str">
            <v>Sản xuất 190 bộ trang bị thu-trinh sát vô tuyến điện dải rộng cấp chiến dịch, chiến lược kèm vật tư dự phòng (Bộ ZIP Thiết bị thu - trinh sát vô tuyến điện dải rộng VSM3)</v>
          </cell>
          <cell r="B78" t="str">
            <v>PO-92123</v>
          </cell>
        </row>
        <row r="79">
          <cell r="A79" t="str">
            <v>Sản xuất 06 tổ hợp trinh sát, gây nhiễu chống phương tiện bay không người lái cấp chiến thuật BV5 và bộ ZIP vật tư dự phòng năm 2024</v>
          </cell>
          <cell r="B79" t="str">
            <v>PO-92143</v>
          </cell>
        </row>
        <row r="80">
          <cell r="A80" t="str">
            <v>Sản xuất 06 tổ hợp trinh sát, gây nhiễu chống phương tiện bay không người lái cấp chiến thuật BV5 và bộ ZIP vật tư dự phòng năm 2024 (Tổ hợp BV5 chống UAV)</v>
          </cell>
          <cell r="B80" t="str">
            <v>PO-92143</v>
          </cell>
        </row>
        <row r="81">
          <cell r="A81" t="str">
            <v>Sản xuất 06 tổ hợp trinh sát, gây nhiễu chống phương tiện bay không người lái cấp chiến thuật BV5 và bộ ZIP vật tư dự phòng năm 2024 (Zip BV5 chống UAV)</v>
          </cell>
          <cell r="B81" t="str">
            <v>PO-92143</v>
          </cell>
        </row>
        <row r="82">
          <cell r="A82" t="str">
            <v>Sản xuất 20 Hệ thống trinh sát vô tuyến điện kỹ thuật số băng rộng từ 1,5 MHz đến 6 GHz và 4 bộ ZIP vật tư dự phòng kèm theo</v>
          </cell>
          <cell r="B82" t="str">
            <v>PO-92155</v>
          </cell>
        </row>
        <row r="83">
          <cell r="A83" t="str">
            <v>Sản xuất 20 Hệ thống trinh sát vô tuyến điện kỹ thuật số băng rộng từ 1,5 MHz đến 6 GHz và 4 bộ ZIP vật tư dự phòng kèm theo (Hệ thống trinh sát vô tuyến điện kỹ thuật số băng rộng)</v>
          </cell>
          <cell r="B83" t="str">
            <v>PO-92155</v>
          </cell>
        </row>
        <row r="84">
          <cell r="A84" t="str">
            <v>Sản xuất 20 Hệ thống trinh sát vô tuyến điện kỹ thuật số băng rộng từ 1,5 MHz đến 6 GHz và 4 bộ ZIP vật tư dự phòng kèm theo (Bộ ZIP vật tư dự phòng)</v>
          </cell>
          <cell r="B84" t="str">
            <v>PO-92155</v>
          </cell>
        </row>
        <row r="85">
          <cell r="A85" t="str">
            <v xml:space="preserve">Nhiệm vụ chế tạo 02 hệ thống mẫu Trinh sát định hướng vô
 tuyến và chế áp mang xách cấp chiến thuật 
</v>
          </cell>
          <cell r="B85" t="str">
            <v>PO-92109</v>
          </cell>
        </row>
        <row r="86">
          <cell r="A86" t="str">
            <v>Sản xuất và cung cấp 1200 máy thu phát vô tuyến điện VRH911 và đồng bộ phụ kiện năm 2024</v>
          </cell>
          <cell r="B86" t="str">
            <v>PO-92346</v>
          </cell>
        </row>
        <row r="87">
          <cell r="A87" t="str">
            <v>Sản xuất và cung cấp 1200 máy thu phát vô tuyến điện VRH911 và đồng bộ phụ kiện năm 2024 (Máy thu phát vô tuyến điện VRH911)</v>
          </cell>
          <cell r="B87" t="str">
            <v>PO-92346</v>
          </cell>
        </row>
        <row r="88">
          <cell r="A88" t="str">
            <v>Sản xuất và cung cấp 1200 máy thu phát vô tuyến điện VRH911 và đồng bộ phụ kiện năm 2024 (ZIP VRH911)</v>
          </cell>
          <cell r="B88" t="str">
            <v>PO-92346</v>
          </cell>
        </row>
        <row r="89">
          <cell r="A89" t="str">
            <v>Sản xuất và cung cấp 3050 máy thu phát vô tuyến điện VRH911/S1, đồng bộ phụ kiện và vật tư dự phòng năm 2024</v>
          </cell>
          <cell r="B89" t="str">
            <v>PO-92348</v>
          </cell>
        </row>
        <row r="90">
          <cell r="A90" t="str">
            <v>Sản xuất và cung cấp 3050 máy thu phát vô tuyến điện VRH911/S1, đồng bộ phụ kiện và vật tư dự phòng năm 2024 (Máy thu phát vô tuyến điện VRH911/S1)</v>
          </cell>
          <cell r="B90" t="str">
            <v>PO-92348</v>
          </cell>
        </row>
        <row r="91">
          <cell r="A91" t="str">
            <v>Sản xuất và cung cấp 3050 máy thu phát vô tuyến điện VRH911/S1, đồng bộ phụ kiện và vật tư dự phòng năm 2024 (ZIP Máy thu phát vô tuyến điện VRH911/S1)</v>
          </cell>
          <cell r="B91" t="str">
            <v>PO-92348</v>
          </cell>
        </row>
        <row r="92">
          <cell r="A92" t="str">
            <v>Sản xuất 2000 hệ thống thông tin (bao gồm máy VRU812/S 50W và VIS) kèm vật tư dự phòng và Lắp đặt trên xe tăng thiết giáp, xe đặc chủng năm 2024</v>
          </cell>
          <cell r="B92" t="str">
            <v>PO-92140</v>
          </cell>
        </row>
        <row r="93">
          <cell r="A93" t="str">
            <v>Sản xuất 2000 hệ thống thông tin (bao gồm máy VRU812/S 50W và VIS) kèm vật tư dự phòng và Lắp đặt trên xe tăng thiết giáp, xe đặc chủng năm 2024 (Máy thông tin vô tuyến điện VRU812/S – 50W)</v>
          </cell>
          <cell r="B93" t="str">
            <v>PO-92140</v>
          </cell>
        </row>
        <row r="94">
          <cell r="A94"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B94" t="str">
            <v>PO-92140</v>
          </cell>
        </row>
        <row r="95">
          <cell r="A95" t="str">
            <v>Sản xuất 2000 hệ thống thông tin (bao gồm máy VRU812/S 50W và VIS) kèm vật tư dự phòng và Lắp đặt trên xe tăng thiết giáp, xe đặc chủng năm 2024 (Bộ thông thoại số VIS)</v>
          </cell>
          <cell r="B95" t="str">
            <v>PO-92140</v>
          </cell>
        </row>
        <row r="96">
          <cell r="A96" t="str">
            <v>Sản xuất 2000 hệ thống thông tin (bao gồm máy VRU812/S 50W và VIS) kèm vật tư dự phòng và Lắp đặt trên xe tăng thiết giáp, xe đặc chủng năm 2024 (Bộ vật tư dự phòng Bộ thông thoại số VIS phiên bản 2024)</v>
          </cell>
          <cell r="B96" t="str">
            <v>PO-92140</v>
          </cell>
        </row>
        <row r="97">
          <cell r="A97" t="str">
            <v>Sản xuất 2000 hệ thống thông tin (bao gồm máy VRU812/S 50W và VIS) kèm vật tư dự phòng và Lắp đặt trên xe tăng thiết giáp, xe đặc chủng năm 2024 (Bộ vật tư dự phòng Bộ thông thoại số VIS phiên bản 2024 )</v>
          </cell>
          <cell r="B97" t="str">
            <v>PO-92140</v>
          </cell>
        </row>
        <row r="98">
          <cell r="A98" t="str">
            <v>Sản xuất 2000 hệ thống thông tin (bao gồm máy VRU812/S 50W và VIS) kèm vật tư dự phòng và Lắp đặt trên xe tăng thiết giáp, xe đặc chủng năm 2024 (Lắp đặt tích hợp trên xe)</v>
          </cell>
          <cell r="B98" t="str">
            <v>PO-92140</v>
          </cell>
        </row>
        <row r="99">
          <cell r="A99" t="str">
            <v>Sản xuất 2000 hệ thống thông tin (bao gồm máy VRU812/S 50W và VIS) kèm vật tư dự phòng và Lắp đặt trên xe tăng thiết giáp, xe đặc chủng năm 2024 (Máy thông tin vô tuyến điện VRU812/S – 50W_Lô 1600)</v>
          </cell>
          <cell r="B99" t="str">
            <v>PO-92140</v>
          </cell>
        </row>
        <row r="100">
          <cell r="A100" t="str">
            <v>Sản xuất 2000 hệ thống thông tin (bao gồm máy VRU812/S 50W và VIS) kèm vật tư dự phòng và Lắp đặt trên xe tăng thiết giáp, xe đặc chủng năm 2024 (Máy thông tin vô tuyến điện VRU812/S – 50W_Lô 400)</v>
          </cell>
          <cell r="B100" t="str">
            <v>PO-92140</v>
          </cell>
        </row>
        <row r="101">
          <cell r="A101" t="str">
            <v>Sản xuất 2000 hệ thống thông tin (bao gồm máy VRU812/S 50W và VIS) kèm vật tư dự phòng và Lắp đặt trên xe tăng thiết giáp, xe đặc chủng năm 2024 (Bộ thông thoại số VIS_Lô 1600)</v>
          </cell>
          <cell r="B101" t="str">
            <v>PO-92140</v>
          </cell>
        </row>
        <row r="102">
          <cell r="A102" t="str">
            <v>Sản xuất 2000 hệ thống thông tin (bao gồm máy VRU812/S 50W và VIS) kèm vật tư dự phòng và Lắp đặt trên xe tăng thiết giáp, xe đặc chủng năm 2024 (Bộ thông thoại số VIS_Lô 400)</v>
          </cell>
          <cell r="B102" t="str">
            <v>PO-92140</v>
          </cell>
        </row>
        <row r="103">
          <cell r="A103" t="str">
            <v>Sản xuất và cung cấp 160 máy thông tin đa băng cấp chiến dịch VRP712/S, đồng bộ phụ kiện và zip năm 2024</v>
          </cell>
          <cell r="B103" t="str">
            <v>PO-92347</v>
          </cell>
        </row>
        <row r="104">
          <cell r="A104" t="str">
            <v>Sản xuất và cung cấp 160 máy thông tin đa băng cấp chiến dịch VRP712/S, đồng bộ phụ kiện và zip năm 2024 (Máy thông tin đa băng cấp chiến dịch VRP712/S)</v>
          </cell>
          <cell r="B104" t="str">
            <v>PO-92347</v>
          </cell>
        </row>
        <row r="105">
          <cell r="A105" t="str">
            <v>Sản xuất và cung cấp 160 máy thông tin đa băng cấp chiến dịch VRP712/S, đồng bộ phụ kiện và zip năm 2024 (ZIP Máy thông tin đa băng cấp chiến dịch VRP712/S)</v>
          </cell>
          <cell r="B105" t="str">
            <v>PO-92347</v>
          </cell>
        </row>
        <row r="106">
          <cell r="A106" t="str">
            <v>Cung cấp 55 xe chỉ huy tham mưu đa năng năm 2024</v>
          </cell>
          <cell r="B106" t="str">
            <v>PO-92146</v>
          </cell>
        </row>
        <row r="107">
          <cell r="A107" t="str">
            <v>Sản xuất 635 máy thu phát vô tuyến điện sóng cực ngắn nhảy tần VRH811/S (Phiên bản VRH811/S1), đồng bộ phụ kiện và vật tư dự phòng năm 2025</v>
          </cell>
          <cell r="B107" t="str">
            <v>PO-92811</v>
          </cell>
        </row>
        <row r="108">
          <cell r="A108" t="str">
            <v>Sản xuất 635 máy thu phát vô tuyến điện sóng cực ngắn nhảy tần VRH811/S (Phiên bản VRH811/S1), đồng bộ phụ kiện và vật tư dự phòng năm 2025 (Máy VRH811/S1)</v>
          </cell>
          <cell r="B108" t="str">
            <v>PO-92811</v>
          </cell>
        </row>
        <row r="109">
          <cell r="A109" t="str">
            <v>Sản xuất 635 máy thu phát vô tuyến điện sóng cực ngắn nhảy tần VRH811/S (Phiên bản VRH811/S1), đồng bộ phụ kiện và vật tư dự phòng năm 2025 (Dự phòng Máy VRH811/S1)</v>
          </cell>
          <cell r="B109" t="str">
            <v>PO-92811</v>
          </cell>
        </row>
        <row r="110">
          <cell r="A110" t="str">
            <v>Sản xuất và cung cấp 03 tổ hợp máy bay không người lái UAV 1.6</v>
          </cell>
          <cell r="B110" t="str">
            <v>RD-92016</v>
          </cell>
        </row>
        <row r="111">
          <cell r="A111" t="str">
            <v>Sản xuất và cung cấp 06 tổ hợp UAV2-2 và ZIP kèm theo</v>
          </cell>
          <cell r="B111" t="str">
            <v>PO-92222</v>
          </cell>
        </row>
        <row r="112">
          <cell r="A112" t="str">
            <v>Lắp đặt tích hợp trang bị truyền dẫn số chuyển tiếp nhảy tần VHCR/10G</v>
          </cell>
          <cell r="B112" t="str">
            <v>PO-92349</v>
          </cell>
        </row>
        <row r="113">
          <cell r="A113" t="str">
            <v>Lắp đặt tích hợp trang bị truyền dẫn số chuyển tiếp nhảy tần VHCR/10G (Triển khai lắp đặt cho tuyến cố định)</v>
          </cell>
          <cell r="B113" t="str">
            <v>PO-92349</v>
          </cell>
        </row>
        <row r="114">
          <cell r="A114" t="str">
            <v>Lắp đặt tích hợp trang bị truyền dẫn số chuyển tiếp nhảy tần VHCR/10G (Triển khai lắp đặt, cung cấp trang bị bổ sung cho nhiệm vụ cơ động)</v>
          </cell>
          <cell r="B114" t="str">
            <v>PO-92349</v>
          </cell>
        </row>
        <row r="115">
          <cell r="A115" t="str">
            <v>Cung cấp dịch vụ kỹ thuật phân hệ xử lý tin nhắn SMSC cho Trung tâm Không gian mạng Viettel (A2P)</v>
          </cell>
          <cell r="B115" t="str">
            <v>PO-92199</v>
          </cell>
        </row>
        <row r="116">
          <cell r="A116" t="str">
            <v>Cung cấp dịch vụ kỹ thuật phân hệ xử lý tin nhắn SMSC cho Trung tâm Không gian mạng Viettel (A2P)-2025</v>
          </cell>
          <cell r="B116" t="str">
            <v>PO-92170</v>
          </cell>
        </row>
        <row r="117">
          <cell r="A117" t="str">
            <v>Phương án kinh doanh 466.000 thiết bị ONT và 600.000 thiết bị Homewifi</v>
          </cell>
          <cell r="B117" t="str">
            <v>PO-92236</v>
          </cell>
        </row>
        <row r="118">
          <cell r="A118" t="str">
            <v>Phương án kinh doanh 466.000 thiết bị ONT và 600.000 thiết bị Homewifi (600k AP)</v>
          </cell>
          <cell r="B118" t="str">
            <v>PO-92236</v>
          </cell>
        </row>
        <row r="119">
          <cell r="A119" t="str">
            <v>Phương án kinh doanh 466.000 thiết bị ONT và 600.000 thiết bị Homewifi (466K ONT)</v>
          </cell>
          <cell r="B119" t="str">
            <v>PO-92236</v>
          </cell>
        </row>
        <row r="120">
          <cell r="A120" t="str">
            <v>PAKD cung cấp tính năng mới hệ thống quản lý giám sát thiết bị ONT cho Công ty Thương mại và Xuất nhập khẩu Viettel</v>
          </cell>
          <cell r="B120" t="str">
            <v>PO-92700</v>
          </cell>
        </row>
        <row r="121">
          <cell r="A121" t="str">
            <v>Cung cấp dịch vụ giám sát hành trình Stracking</v>
          </cell>
          <cell r="B121" t="str">
            <v>Check lại mã 2</v>
          </cell>
        </row>
        <row r="122">
          <cell r="A122" t="str">
            <v>Triển khai phần mềm hệ thống tổng đài tin nhắn SMSC cho Công ty Viettel Cambodia</v>
          </cell>
          <cell r="B122" t="str">
            <v>PO-92235</v>
          </cell>
        </row>
        <row r="123">
          <cell r="A123" t="str">
            <v>Dự án triển khai OCS 1M VTB</v>
          </cell>
          <cell r="B123" t="str">
            <v>PO-92239</v>
          </cell>
        </row>
        <row r="124">
          <cell r="A124" t="str">
            <v>PAKD Dịch vụ HTKT cho các Hệ thống đã kinh doanh tại các thị trường năm 2024</v>
          </cell>
          <cell r="B124" t="str">
            <v>PO-92180</v>
          </cell>
        </row>
        <row r="125">
          <cell r="A125" t="str">
            <v>PAKD Dịch vụ HTKT cho các Hệ thống đã kinh doanh tại các thị trường năm 2024 (VTNet_Sản phẩm OCS/OCS DR)</v>
          </cell>
          <cell r="B125" t="str">
            <v>PO-92180</v>
          </cell>
        </row>
        <row r="126">
          <cell r="A126" t="str">
            <v>PAKD Dịch vụ HTKT cho các Hệ thống đã kinh doanh tại các thị trường năm 2024  (VTNet_Sản phẩm CRBT)</v>
          </cell>
          <cell r="B126" t="str">
            <v>PO-92180</v>
          </cell>
        </row>
        <row r="127">
          <cell r="A127" t="str">
            <v>PAKD Dịch vụ HTKT cho các Hệ thống đã kinh doanh tại các thị trường năm 2024  (VTNet_Sản phẩm SMSC)</v>
          </cell>
          <cell r="B127" t="str">
            <v>PO-92180</v>
          </cell>
        </row>
        <row r="128">
          <cell r="A128" t="str">
            <v>PAKD Dịch vụ HTKT cho các Hệ thống đã kinh doanh tại các thị trường năm 2024  (VTNet_Sản phẩm MSC)</v>
          </cell>
          <cell r="B128" t="str">
            <v>PO-92180</v>
          </cell>
        </row>
        <row r="129">
          <cell r="A129" t="str">
            <v>PAKD Dịch vụ HTKT cho các Hệ thống đã kinh doanh tại các thị trường năm 2024  (VTNet_Sản phẩm EPC)</v>
          </cell>
          <cell r="B129" t="str">
            <v>PO-92180</v>
          </cell>
        </row>
        <row r="130">
          <cell r="A130" t="str">
            <v>PAKD Dịch vụ HTKT cho các Hệ thống đã kinh doanh tại các thị trường năm 2024  (VTNet_Sản phẩm IMS)</v>
          </cell>
          <cell r="B130" t="str">
            <v>PO-92180</v>
          </cell>
        </row>
        <row r="131">
          <cell r="A131" t="str">
            <v>PAKD Dịch vụ HTKT cho các Hệ thống đã kinh doanh tại các thị trường năm 2024 (VTNet_Sản phẩm dùng chung)</v>
          </cell>
          <cell r="B131" t="str">
            <v>PO-92180</v>
          </cell>
        </row>
        <row r="132">
          <cell r="A132" t="str">
            <v>PAKD Dịch vụ HTKT cho các Hệ thống đã kinh doanh tại các thị trường năm 2024 (Mytel_Sản phẩm OCS/OCS DR)</v>
          </cell>
          <cell r="B132" t="str">
            <v>PO-92180</v>
          </cell>
        </row>
        <row r="133">
          <cell r="A133" t="str">
            <v>PAKD Dịch vụ HTKT cho các Hệ thống đã kinh doanh tại các thị trường năm 2024  (Mytel_Sản phẩm CRBT)</v>
          </cell>
          <cell r="B133" t="str">
            <v>PO-92180</v>
          </cell>
        </row>
        <row r="134">
          <cell r="A134" t="str">
            <v>PAKD Dịch vụ HTKT cho các Hệ thống đã kinh doanh tại các thị trường năm 2024  (Mytel_Sản phẩm SMSC)</v>
          </cell>
          <cell r="B134" t="str">
            <v>PO-92180</v>
          </cell>
        </row>
        <row r="135">
          <cell r="A135" t="str">
            <v>PAKD Dịch vụ HTKT cho các Hệ thống đã kinh doanh tại các thị trường năm 2024 (Mytel_Sản phẩm dùng chung)</v>
          </cell>
          <cell r="B135" t="str">
            <v>PO-92180</v>
          </cell>
        </row>
        <row r="136">
          <cell r="A136" t="str">
            <v>PAKD Dịch vụ HTKT cho các Hệ thống đã kinh doanh tại các thị trường năm 2024 (VDTC_Sản phẩm OCS)</v>
          </cell>
          <cell r="B136" t="str">
            <v>PO-92180</v>
          </cell>
        </row>
        <row r="137">
          <cell r="A137" t="str">
            <v>PAKD Dịch vụ HTKT cho các Hệ thống đã kinh doanh tại các thị trường năm 2024 (VDTC_ Sản phẩm dùng chung)</v>
          </cell>
          <cell r="B137" t="str">
            <v>PO-92180</v>
          </cell>
        </row>
        <row r="138">
          <cell r="A138" t="str">
            <v>PAKD Dịch vụ HTKT cho các Hệ thống đã kinh doanh tại các thị trường năm 2024 (Metfone_Sản phẩm OCS)</v>
          </cell>
          <cell r="B138" t="str">
            <v>PO-92180</v>
          </cell>
        </row>
        <row r="139">
          <cell r="A139" t="str">
            <v>PAKD Dịch vụ HTKT cho các Hệ thống đã kinh doanh tại các thị trường năm 2024 (Metfone_Sản phẩm SMSC)</v>
          </cell>
          <cell r="B139" t="str">
            <v>PO-92180</v>
          </cell>
        </row>
        <row r="140">
          <cell r="A140" t="str">
            <v>PAKD Dịch vụ HTKT cho các Hệ thống đã kinh doanh tại các thị trường năm 2024 (Metfone_Sản phẩm dùng chung)</v>
          </cell>
          <cell r="B140" t="str">
            <v>PO-92180</v>
          </cell>
        </row>
        <row r="141">
          <cell r="A141" t="str">
            <v>PAKD Dịch vụ HTKT cho các Hệ thống đã kinh doanh tại các thị trường năm 2024 (Natcom_Sản phẩm vOCS 3.0)</v>
          </cell>
          <cell r="B141" t="str">
            <v>PO-92180</v>
          </cell>
        </row>
        <row r="142">
          <cell r="A142" t="str">
            <v>PAKD Dịch vụ HTKT cho các Hệ thống đã kinh doanh tại các thị trường năm 2024 (Natcom_Sản phẩm IMS/SMSC)</v>
          </cell>
          <cell r="B142" t="str">
            <v>PO-92180</v>
          </cell>
        </row>
        <row r="143">
          <cell r="A143" t="str">
            <v>PAKD Dịch vụ HTKT cho các Hệ thống đã kinh doanh tại các thị trường năm 2024 (Natcom_Sản phẩm dùng chung)</v>
          </cell>
          <cell r="B143" t="str">
            <v>PO-92180</v>
          </cell>
        </row>
        <row r="144">
          <cell r="A144" t="str">
            <v>PAKD Dịch vụ HTKT cho các Hệ thống đã kinh doanh tại các thị trường năm 2024 (Bitel_Sản phẩm OCS)</v>
          </cell>
          <cell r="B144" t="str">
            <v>PO-92180</v>
          </cell>
        </row>
        <row r="145">
          <cell r="A145" t="str">
            <v>PAKD Dịch vụ HTKT cho các Hệ thống đã kinh doanh tại các thị trường năm 2024 (Bitel_Sản phẩm dùng chung)</v>
          </cell>
          <cell r="B145" t="str">
            <v>PO-92180</v>
          </cell>
        </row>
        <row r="146">
          <cell r="A146" t="str">
            <v>PAKD Dịch vụ HTKT cho các Hệ thống đã kinh doanh tại các thị trường năm 2024 (StarTelecom_Sản phẩm OCS)</v>
          </cell>
          <cell r="B146" t="str">
            <v>PO-92180</v>
          </cell>
        </row>
        <row r="147">
          <cell r="A147" t="str">
            <v>PAKD Dịch vụ HTKT cho các Hệ thống đã kinh doanh tại các thị trường năm 2024 (StarTelecom_Sản phẩm CRBT)</v>
          </cell>
          <cell r="B147" t="str">
            <v>PO-92180</v>
          </cell>
        </row>
        <row r="148">
          <cell r="A148" t="str">
            <v>PAKD Dịch vụ HTKT cho các Hệ thống đã kinh doanh tại các thị trường năm 2024 (StarTelecom_Sản phẩm SMSC)</v>
          </cell>
          <cell r="B148" t="str">
            <v>PO-92180</v>
          </cell>
        </row>
        <row r="149">
          <cell r="A149" t="str">
            <v>PAKD Dịch vụ HTKT cho các Hệ thống đã kinh doanh tại các thị trường năm 2024 (StarTelecom_Sản phẩm dùng chung)</v>
          </cell>
          <cell r="B149" t="str">
            <v>PO-92180</v>
          </cell>
        </row>
        <row r="150">
          <cell r="A150" t="str">
            <v>PAKD Dịch vụ HTKT cho các Hệ thống đã kinh doanh tại các thị trường năm 2024 (Lumitel_Sản phẩm OCS)</v>
          </cell>
          <cell r="B150" t="str">
            <v>PO-92180</v>
          </cell>
        </row>
        <row r="151">
          <cell r="A151" t="str">
            <v>PAKD Dịch vụ HTKT cho các Hệ thống đã kinh doanh tại các thị trường năm 2024 (Lumitel_Sản phẩm dùng chung)</v>
          </cell>
          <cell r="B151" t="str">
            <v>PO-92180</v>
          </cell>
        </row>
        <row r="152">
          <cell r="A152" t="str">
            <v>PAKD Dịch vụ HTKT cho các Hệ thống đã kinh doanh tại các thị trường năm 2024 (Timor_Sản phẩm CRBT)</v>
          </cell>
          <cell r="B152" t="str">
            <v>PO-92180</v>
          </cell>
        </row>
        <row r="153">
          <cell r="A153" t="str">
            <v>PAKD Dịch vụ HTKT cho các Hệ thống đã kinh doanh tại các thị trường năm 2024 (Timor_Sản phẩm OCS)</v>
          </cell>
          <cell r="B153" t="str">
            <v>PO-92180</v>
          </cell>
        </row>
        <row r="154">
          <cell r="A154" t="str">
            <v>PAKD Dịch vụ HTKT cho các Hệ thống đã kinh doanh tại các thị trường năm 2024 (Timor_Sản phẩm SMSC)</v>
          </cell>
          <cell r="B154" t="str">
            <v>PO-92180</v>
          </cell>
        </row>
        <row r="155">
          <cell r="A155" t="str">
            <v>PAKD Dịch vụ HTKT cho các Hệ thống đã kinh doanh tại các thị trường năm 2024(SMSC SLA Timor)</v>
          </cell>
          <cell r="B155" t="str">
            <v>PO-92180</v>
          </cell>
        </row>
        <row r="156">
          <cell r="A156" t="str">
            <v>PAKD Dịch vụ HTKT cho các Hệ thống đã kinh doanh tại các thị trường năm 2024 (Timor_Sản phẩm dùng chung)</v>
          </cell>
          <cell r="B156" t="str">
            <v>PO-92180</v>
          </cell>
        </row>
        <row r="157">
          <cell r="A157" t="str">
            <v>PAKD Dịch vụ HTKT cho các Hệ thống đã kinh doanh tại các thị trường năm 2025_VTNET</v>
          </cell>
          <cell r="B157" t="str">
            <v>PO-92194</v>
          </cell>
        </row>
        <row r="158">
          <cell r="A158" t="str">
            <v>PAKD Dịch vụ HTKT cho các Hệ thống đã kinh doanh tại các thị trường năm 2025_VTNET (Hỗ trợ kỹ thuật)</v>
          </cell>
          <cell r="B158" t="str">
            <v>PO-92194</v>
          </cell>
        </row>
        <row r="159">
          <cell r="A159" t="str">
            <v>PAKD Dịch vụ HTKT cho các Hệ thống đã kinh doanh tại các thị trường năm 2025_VTNET (Hỗ trợ kỹ thuật)</v>
          </cell>
          <cell r="B159" t="str">
            <v>PO-92194</v>
          </cell>
        </row>
        <row r="160">
          <cell r="A160" t="str">
            <v>PAKD Dịch vụ HTKT cho các Hệ thống đã kinh doanh tại các thị trường năm 2025_VTNET (Hỗ trợ kỹ thuật)</v>
          </cell>
          <cell r="B160" t="str">
            <v>PO-92194</v>
          </cell>
        </row>
        <row r="161">
          <cell r="A161" t="str">
            <v>PAKD Dịch vụ HTKT cho các Hệ thống đã kinh doanh tại các thị trường năm 2025_VTNET (Hỗ trợ kỹ thuật)</v>
          </cell>
          <cell r="B161" t="str">
            <v>PO-92194</v>
          </cell>
        </row>
        <row r="162">
          <cell r="A162" t="str">
            <v>PAKD Dịch vụ HTKT cho các Hệ thống đã kinh doanh tại các thị trường năm 2025_VTNET (Xây dựng nghiệp vụ kinh doanh)</v>
          </cell>
          <cell r="B162" t="str">
            <v>PO-92194</v>
          </cell>
        </row>
        <row r="163">
          <cell r="A163" t="str">
            <v>PAKD Dịch vụ HTKT cho các Hệ thống đã kinh doanh tại các thị trường năm 2025_VTNET (Xây dựng nghiệp vụ kinh doanh)</v>
          </cell>
          <cell r="B163" t="str">
            <v>PO-92194</v>
          </cell>
        </row>
        <row r="164">
          <cell r="A164" t="str">
            <v>PAKD Dịch vụ HTKT cho các Hệ thống đã kinh doanh tại các thị trường năm 2025_VTNET (Xây dựng nghiệp vụ kinh doanh)</v>
          </cell>
          <cell r="B164" t="str">
            <v>PO-92194</v>
          </cell>
        </row>
        <row r="165">
          <cell r="A165" t="str">
            <v>PAKD Dịch vụ HTKT cho các Hệ thống đã kinh doanh tại các thị trường năm 2025_VTNET (Xây dựng nghiệp vụ kinh doanh)</v>
          </cell>
          <cell r="B165" t="str">
            <v>PO-92194</v>
          </cell>
        </row>
        <row r="166">
          <cell r="A166" t="str">
            <v>PAKD Dịch vụ HTKT cho các Hệ thống đã kinh doanh tại các thị trường năm 2025_VDTC</v>
          </cell>
          <cell r="B166" t="str">
            <v>PO-92888</v>
          </cell>
        </row>
        <row r="167">
          <cell r="A167" t="str">
            <v>PAKD Dịch vụ HTKT cho các Hệ thống đã kinh doanh tại các thị trường năm 2025_VDTC (Hỗ trợ kỹ thuật)</v>
          </cell>
          <cell r="B167" t="str">
            <v>PO-92888</v>
          </cell>
        </row>
        <row r="168">
          <cell r="A168" t="str">
            <v>PAKD Dịch vụ HTKT cho các Hệ thống đã kinh doanh tại các thị trường năm 2025_VDTC (Hỗ trợ kỹ thuật)</v>
          </cell>
          <cell r="B168" t="str">
            <v>PO-92888</v>
          </cell>
        </row>
        <row r="169">
          <cell r="A169" t="str">
            <v>PAKD Dịch vụ HTKT cho các Hệ thống đã kinh doanh tại các thị trường năm 2025_VDTC (Xây dựng nghiệp vụ kinh doanh)</v>
          </cell>
          <cell r="B169" t="str">
            <v>PO-92888</v>
          </cell>
        </row>
        <row r="170">
          <cell r="A170" t="str">
            <v>PAKD Dịch vụ HTKT cho các Hệ thống đã kinh doanh tại các thị trường năm 2025_VDTC (Xây dựng nghiệp vụ kinh doanh)</v>
          </cell>
          <cell r="B170" t="str">
            <v>PO-92888</v>
          </cell>
        </row>
        <row r="171">
          <cell r="A171" t="str">
            <v>PAKD Dịch vụ HTKT cho các Hệ thống đã kinh doanh tại các thị trường năm 2025_Metfone</v>
          </cell>
          <cell r="B171" t="str">
            <v>PO-92889</v>
          </cell>
        </row>
        <row r="172">
          <cell r="A172" t="str">
            <v>PAKD Dịch vụ HTKT cho các Hệ thống đã kinh doanh tại các thị trường năm 2025_Metfone (Hỗ trợ kỹ thuật)</v>
          </cell>
          <cell r="B172" t="str">
            <v>PO-92889</v>
          </cell>
        </row>
        <row r="173">
          <cell r="A173" t="str">
            <v>PAKD Dịch vụ HTKT cho các Hệ thống đã kinh doanh tại các thị trường năm 2025_Metfone (Hỗ trợ kỹ thuật)</v>
          </cell>
          <cell r="B173" t="str">
            <v>PO-92889</v>
          </cell>
        </row>
        <row r="174">
          <cell r="A174" t="str">
            <v>PAKD Dịch vụ HTKT cho các Hệ thống đã kinh doanh tại các thị trường năm 2025_Metfone (Hỗ trợ kỹ thuật)</v>
          </cell>
          <cell r="B174" t="str">
            <v>PO-92889</v>
          </cell>
        </row>
        <row r="175">
          <cell r="A175" t="str">
            <v>PAKD Dịch vụ HTKT cho các Hệ thống đã kinh doanh tại các thị trường năm 2025_Metfone (Xây dựng nghiệp vụ kinh doanh)</v>
          </cell>
          <cell r="B175" t="str">
            <v>PO-92889</v>
          </cell>
        </row>
        <row r="176">
          <cell r="A176" t="str">
            <v>PAKD Dịch vụ HTKT cho các Hệ thống đã kinh doanh tại các thị trường năm 2025_Metfone (Xây dựng nghiệp vụ kinh doanh)</v>
          </cell>
          <cell r="B176" t="str">
            <v>PO-92889</v>
          </cell>
        </row>
        <row r="177">
          <cell r="A177" t="str">
            <v>PAKD Dịch vụ HTKT cho các Hệ thống đã kinh doanh tại các thị trường năm 2025_Natcom</v>
          </cell>
          <cell r="B177" t="str">
            <v>PO-92900</v>
          </cell>
        </row>
        <row r="178">
          <cell r="A178" t="str">
            <v>PAKD Dịch vụ HTKT cho các Hệ thống đã kinh doanh tại các thị trường năm 2025_Natcom (Hỗ trợ kỹ thuật)</v>
          </cell>
          <cell r="B178" t="str">
            <v>PO-92900</v>
          </cell>
        </row>
        <row r="179">
          <cell r="A179" t="str">
            <v>PAKD Dịch vụ HTKT cho các Hệ thống đã kinh doanh tại các thị trường năm 2025_Natcom (Hỗ trợ kỹ thuật)</v>
          </cell>
          <cell r="B179" t="str">
            <v>PO-92900</v>
          </cell>
        </row>
        <row r="180">
          <cell r="A180" t="str">
            <v>PAKD Dịch vụ HTKT cho các Hệ thống đã kinh doanh tại các thị trường năm 2025_Natcom (Hỗ trợ kỹ thuật)</v>
          </cell>
          <cell r="B180" t="str">
            <v>PO-92900</v>
          </cell>
        </row>
        <row r="181">
          <cell r="A181" t="str">
            <v>PAKD Dịch vụ HTKT cho các Hệ thống đã kinh doanh tại các thị trường năm 2025_Natcom (Xây dựng nghiệp vụ kinh doanh)</v>
          </cell>
          <cell r="B181" t="str">
            <v>PO-92900</v>
          </cell>
        </row>
        <row r="182">
          <cell r="A182" t="str">
            <v>PAKD Dịch vụ HTKT cho các Hệ thống đã kinh doanh tại các thị trường năm 2025_Natcom (Xây dựng nghiệp vụ kinh doanh)</v>
          </cell>
          <cell r="B182" t="str">
            <v>PO-92900</v>
          </cell>
        </row>
        <row r="183">
          <cell r="A183" t="str">
            <v>PAKD Dịch vụ HTKT cho các Hệ thống đã kinh doanh tại các thị trường năm 2025_Natcom (Xây dựng nghiệp vụ kinh doanh)</v>
          </cell>
          <cell r="B183" t="str">
            <v>PO-92900</v>
          </cell>
        </row>
        <row r="184">
          <cell r="A184" t="str">
            <v>PAKD Dịch vụ HTKT cho các Hệ thống đã kinh doanh tại các thị trường năm 2025_Bitel</v>
          </cell>
          <cell r="B184" t="str">
            <v>PO-92901</v>
          </cell>
        </row>
        <row r="185">
          <cell r="A185" t="str">
            <v>PAKD Dịch vụ HTKT cho các Hệ thống đã kinh doanh tại các thị trường năm 2025_Bitel (Hỗ trợ kỹ thuật)</v>
          </cell>
          <cell r="B185" t="str">
            <v>PO-92901</v>
          </cell>
        </row>
        <row r="186">
          <cell r="A186" t="str">
            <v>PAKD Dịch vụ HTKT cho các Hệ thống đã kinh doanh tại các thị trường năm 2025_Bitel (Hỗ trợ kỹ thuật)</v>
          </cell>
          <cell r="B186" t="str">
            <v>PO-92901</v>
          </cell>
        </row>
        <row r="187">
          <cell r="A187" t="str">
            <v>PAKD Dịch vụ HTKT cho các Hệ thống đã kinh doanh tại các thị trường năm 2025_Bitel (Xây dựng nghiệp vụ kinh doanh)</v>
          </cell>
          <cell r="B187" t="str">
            <v>PO-92901</v>
          </cell>
        </row>
        <row r="188">
          <cell r="A188" t="str">
            <v>PAKD Dịch vụ HTKT cho các Hệ thống đã kinh doanh tại các thị trường năm 2025_Bitel (Xây dựng nghiệp vụ kinh doanh)</v>
          </cell>
          <cell r="B188" t="str">
            <v>PO-92901</v>
          </cell>
        </row>
        <row r="189">
          <cell r="A189" t="str">
            <v>PAKD Dịch vụ HTKT cho các Hệ thống đã kinh doanh tại các thị trường năm 2025_StarTelecom</v>
          </cell>
          <cell r="B189" t="str">
            <v>PO-92902</v>
          </cell>
        </row>
        <row r="190">
          <cell r="A190" t="str">
            <v>PAKD Dịch vụ HTKT cho các Hệ thống đã kinh doanh tại các thị trường năm 2025_StarTelecom (Hỗ trợ kỹ thuật)</v>
          </cell>
          <cell r="B190" t="str">
            <v>PO-92902</v>
          </cell>
        </row>
        <row r="191">
          <cell r="A191" t="str">
            <v>PAKD Dịch vụ HTKT cho các Hệ thống đã kinh doanh tại các thị trường năm 2025_StarTelecom (Hỗ trợ kỹ thuật)</v>
          </cell>
          <cell r="B191" t="str">
            <v>PO-92902</v>
          </cell>
        </row>
        <row r="192">
          <cell r="A192" t="str">
            <v>PAKD Dịch vụ HTKT cho các Hệ thống đã kinh doanh tại các thị trường năm 2025_StarTelecom (Hỗ trợ kỹ thuật)</v>
          </cell>
          <cell r="B192" t="str">
            <v>PO-92902</v>
          </cell>
        </row>
        <row r="193">
          <cell r="A193" t="str">
            <v>PAKD Dịch vụ HTKT cho các Hệ thống đã kinh doanh tại các thị trường năm 2025_StarTelecom (Xây dựng nghiệp vụ kinh doanh)</v>
          </cell>
          <cell r="B193" t="str">
            <v>PO-92902</v>
          </cell>
        </row>
        <row r="194">
          <cell r="A194" t="str">
            <v>PAKD Dịch vụ HTKT cho các Hệ thống đã kinh doanh tại các thị trường năm 2025_StarTelecom (Xây dựng nghiệp vụ kinh doanh)</v>
          </cell>
          <cell r="B194" t="str">
            <v>PO-92902</v>
          </cell>
        </row>
        <row r="195">
          <cell r="A195" t="str">
            <v>PAKD Dịch vụ HTKT cho các Hệ thống đã kinh doanh tại các thị trường năm 2025_Lumitel</v>
          </cell>
          <cell r="B195" t="str">
            <v>PO-92903</v>
          </cell>
        </row>
        <row r="196">
          <cell r="A196" t="str">
            <v>PAKD Dịch vụ HTKT cho các Hệ thống đã kinh doanh tại các thị trường năm 2025_Lumitel (Hỗ trợ kỹ thuật)</v>
          </cell>
          <cell r="B196" t="str">
            <v>PO-92903</v>
          </cell>
        </row>
        <row r="197">
          <cell r="A197" t="str">
            <v>PAKD Dịch vụ HTKT cho các Hệ thống đã kinh doanh tại các thị trường năm 2025_Lumitel (Hỗ trợ kỹ thuật)</v>
          </cell>
          <cell r="B197" t="str">
            <v>PO-92903</v>
          </cell>
        </row>
        <row r="198">
          <cell r="A198" t="str">
            <v>PAKD Dịch vụ HTKT cho các Hệ thống đã kinh doanh tại các thị trường năm 2025_Lumitel (Xây dựng nghiệp vụ kinh doanh)</v>
          </cell>
          <cell r="B198" t="str">
            <v>PO-92903</v>
          </cell>
        </row>
        <row r="199">
          <cell r="A199" t="str">
            <v>PAKD Dịch vụ HTKT cho các Hệ thống đã kinh doanh tại các thị trường năm 2025_Lumitel (Xây dựng nghiệp vụ kinh doanh)</v>
          </cell>
          <cell r="B199" t="str">
            <v>PO-92903</v>
          </cell>
        </row>
        <row r="200">
          <cell r="A200" t="str">
            <v>PAKD Dịch vụ HTKT cho các Hệ thống đã kinh doanh tại các thị trường năm 2025_Timor</v>
          </cell>
          <cell r="B200" t="str">
            <v>PO-92904</v>
          </cell>
        </row>
        <row r="201">
          <cell r="A201" t="str">
            <v>PAKD Dịch vụ HTKT cho các Hệ thống đã kinh doanh tại các thị trường năm 2025_Timor (Hỗ trợ kỹ thuật)</v>
          </cell>
          <cell r="B201" t="str">
            <v>PO-92904</v>
          </cell>
        </row>
        <row r="202">
          <cell r="A202" t="str">
            <v>PAKD Dịch vụ HTKT cho các Hệ thống đã kinh doanh tại các thị trường năm 2025_Timor (Hỗ trợ kỹ thuật)</v>
          </cell>
          <cell r="B202" t="str">
            <v>PO-92904</v>
          </cell>
        </row>
        <row r="203">
          <cell r="A203" t="str">
            <v>PAKD Dịch vụ HTKT cho các Hệ thống đã kinh doanh tại các thị trường năm 2025_Timor (Hỗ trợ kỹ thuật)</v>
          </cell>
          <cell r="B203" t="str">
            <v>PO-92904</v>
          </cell>
        </row>
        <row r="204">
          <cell r="A204" t="str">
            <v>PAKD Dịch vụ HTKT cho các Hệ thống đã kinh doanh tại các thị trường năm 2025_Timor (Xây dựng nghiệp vụ kinh doanh)</v>
          </cell>
          <cell r="B204" t="str">
            <v>PO-92904</v>
          </cell>
        </row>
        <row r="205">
          <cell r="A205" t="str">
            <v>PAKD Dịch vụ HTKT cho các Hệ thống đã kinh doanh tại các thị trường năm 2025_Timor (Xây dựng nghiệp vụ kinh doanh)</v>
          </cell>
          <cell r="B205" t="str">
            <v>PO-92904</v>
          </cell>
        </row>
        <row r="206">
          <cell r="A206" t="str">
            <v>PAKD Dịch vụ HTKT cho các Hệ thống đã kinh doanh tại các thị trường năm 2025 (StarTelecom_Sản phẩm OCS/CRBT)</v>
          </cell>
          <cell r="B206" t="str">
            <v>PO-92194</v>
          </cell>
        </row>
        <row r="207">
          <cell r="A207" t="str">
            <v>PAKD Dịch vụ HTKT cho các Hệ thống đã kinh doanh tại các thị trường năm 2025 (StarTelecom_Sản phẩm SMSC)</v>
          </cell>
          <cell r="B207" t="str">
            <v>PO-92194</v>
          </cell>
        </row>
        <row r="208">
          <cell r="A208" t="str">
            <v>PAKD Dịch vụ HTKT cho các Hệ thống đã kinh doanh tại các thị trường năm 2025 (StarTelecom_Sản phẩm dùng chung)</v>
          </cell>
          <cell r="B208" t="str">
            <v>PO-92194</v>
          </cell>
        </row>
        <row r="209">
          <cell r="A209" t="str">
            <v>PAKD Dịch vụ HTKT cho các Hệ thống đã kinh doanh tại các thị trường năm 2025 (StarTelecom_Xây dựng nghiệp vụ kinh doanh)</v>
          </cell>
          <cell r="B209" t="str">
            <v>PO-92194</v>
          </cell>
        </row>
        <row r="210">
          <cell r="A210" t="str">
            <v>PAKD Dịch vụ HTKT cho các Hệ thống đã kinh doanh tại các thị trường năm 2025 (Lumitel_Sản phẩm OCS/CRBT)</v>
          </cell>
          <cell r="B210" t="str">
            <v>PO-92194</v>
          </cell>
        </row>
        <row r="211">
          <cell r="A211" t="str">
            <v>PAKD Dịch vụ HTKT cho các Hệ thống đã kinh doanh tại các thị trường năm 2025 (Lumitel_Sản phẩm dùng chung)</v>
          </cell>
          <cell r="B211" t="str">
            <v>PO-92194</v>
          </cell>
        </row>
        <row r="212">
          <cell r="A212" t="str">
            <v>PAKD Dịch vụ HTKT cho các Hệ thống đã kinh doanh tại các thị trường năm 2025 (Lumitel_Xây dựng nghiệp vụ kinh doanh)</v>
          </cell>
          <cell r="B212" t="str">
            <v>PO-92194</v>
          </cell>
        </row>
        <row r="213">
          <cell r="A213" t="str">
            <v>PAKD Dịch vụ HTKT cho các Hệ thống đã kinh doanh tại các thị trường năm 2025 (Timor_Sản phẩm OCS/CRBT)</v>
          </cell>
          <cell r="B213" t="str">
            <v>PO-92194</v>
          </cell>
        </row>
        <row r="214">
          <cell r="A214" t="str">
            <v>PAKD Dịch vụ HTKT cho các Hệ thống đã kinh doanh tại các thị trường năm 2025 (Timor Leste_Sản phẩm OCS)</v>
          </cell>
          <cell r="B214" t="str">
            <v>PO-92194</v>
          </cell>
        </row>
        <row r="215">
          <cell r="A215" t="str">
            <v>PAKD Dịch vụ HTKT cho các Hệ thống đã kinh doanh tại các thị trường năm 2025 (Timor_Sản phẩm SMSC)</v>
          </cell>
          <cell r="B215" t="str">
            <v>PO-92194</v>
          </cell>
        </row>
        <row r="216">
          <cell r="A216" t="str">
            <v>PAKD Dịch vụ HTKT cho các Hệ thống đã kinh doanh tại các thị trường năm 2025 (Timor Leste_Sản phẩm SMSC)</v>
          </cell>
          <cell r="B216" t="str">
            <v>PO-92194</v>
          </cell>
        </row>
        <row r="217">
          <cell r="A217" t="str">
            <v>PAKD Dịch vụ HTKT cho các Hệ thống đã kinh doanh tại các thị trường năm 2025 (Timor_Sản phẩm dùng chung)</v>
          </cell>
          <cell r="B217" t="str">
            <v>PO-92194</v>
          </cell>
        </row>
        <row r="218">
          <cell r="A218" t="str">
            <v>PAKD Dịch vụ HTKT cho các Hệ thống đã kinh doanh tại các thị trường năm 2025 (Timor_Xây dựng nghiệp vụ kinh doanh)</v>
          </cell>
          <cell r="B218" t="str">
            <v>PO-92194</v>
          </cell>
        </row>
        <row r="219">
          <cell r="A219" t="str">
            <v>PAKD mở rộng phần mềm hệ thống vSMSC cho Công ty Burundi Business Telecom 2024</v>
          </cell>
        </row>
        <row r="220">
          <cell r="A220" t="str">
            <v>PAKD mở rộng phần mềm hệ thống vSMSC cho Công ty Burundi Business Telecom</v>
          </cell>
        </row>
        <row r="221">
          <cell r="A221" t="str">
            <v>Dự án sản xuất 580K thiết bị WIFI AP</v>
          </cell>
          <cell r="B221" t="str">
            <v>PO-92147</v>
          </cell>
        </row>
        <row r="222">
          <cell r="A222" t="str">
            <v>Sản xuất và cung cấp 105K thiết bị AP WIFI</v>
          </cell>
          <cell r="B222" t="str">
            <v>PO-92976</v>
          </cell>
        </row>
        <row r="223">
          <cell r="A223" t="str">
            <v>VTTEK_PAKD_0011: 1000 điện thoại Smartphone 4G bảo mật (VIPPHONE)</v>
          </cell>
          <cell r="B223" t="str">
            <v>PO-92074</v>
          </cell>
        </row>
        <row r="224">
          <cell r="A224" t="str">
            <v>Cung cấp thiết bị và dịch vụ phục vụ xây dựng mạng 5G PRIVATE tại công ty TNHH LG INNOTEK</v>
          </cell>
          <cell r="B224" t="str">
            <v>5G PRIVATE</v>
          </cell>
        </row>
        <row r="225">
          <cell r="A225" t="str">
            <v>Dự án nâng cấp hệ thống tính cước (OCS3.0 lên 4.0) năm 2023 (OCS 100M)</v>
          </cell>
          <cell r="B225" t="str">
            <v>PO-93024</v>
          </cell>
        </row>
        <row r="226">
          <cell r="A226" t="str">
            <v>Sản xuất và triển khai 700K thiết bị ONT dualband</v>
          </cell>
          <cell r="B226" t="str">
            <v>PO-92145</v>
          </cell>
        </row>
        <row r="227">
          <cell r="A227" t="str">
            <v>Sản xuất và cung cấp 500K thiết bị ONT 02 băng tần</v>
          </cell>
          <cell r="B227" t="str">
            <v>PO-92093</v>
          </cell>
        </row>
        <row r="228">
          <cell r="A228" t="str">
            <v>Triển khai sản xuất và cung cấp  134.000 thiết bị ONT 02 băng tần</v>
          </cell>
          <cell r="B228" t="str">
            <v>PO-92233</v>
          </cell>
        </row>
        <row r="229">
          <cell r="A229" t="str">
            <v>Dự án đầu tư Nền tảng quản lý kết nối CMP (Connectivity Management Platform)</v>
          </cell>
          <cell r="B229" t="str">
            <v>FB-04410-01-01</v>
          </cell>
        </row>
        <row r="230">
          <cell r="A230" t="str">
            <v>Cung cấp Giải pháp AI Camera cho doanh nghiệp</v>
          </cell>
          <cell r="B230" t="str">
            <v>PO-92133</v>
          </cell>
        </row>
        <row r="231">
          <cell r="A231" t="str">
            <v>Cung cấp Giải pháp AI Camera cho doanh nghiệp (Giải pháp tổng thể)</v>
          </cell>
          <cell r="B231" t="str">
            <v>PO-92133</v>
          </cell>
        </row>
        <row r="232">
          <cell r="A232" t="str">
            <v>Cung cấp Giải pháp AI Camera cho doanh nghiệp (Giải pháp phần mềm)</v>
          </cell>
          <cell r="B232" t="str">
            <v>PO-92133</v>
          </cell>
        </row>
        <row r="233">
          <cell r="A233" t="str">
            <v>Dự án đầu tư phát triển nền tảng ngôi nhà thông minh (Smarthome Platform)</v>
          </cell>
          <cell r="B233" t="str">
            <v>FB-04406-01-01</v>
          </cell>
        </row>
        <row r="234">
          <cell r="A234" t="str">
            <v>PAKD Cung cấp 01 Hệ thống quản lý nhà thông minh (SMARTHOME) cho Tổng công ty Viễn thông VIETTEL</v>
          </cell>
          <cell r="B234" t="str">
            <v>PO-92151</v>
          </cell>
        </row>
        <row r="235">
          <cell r="A235" t="str">
            <v>Phương án kinh doanh cung cấp 01 Giải pháp phần mềm quản lý, giám sát VMS và 04 Giải pháp phần mềm nhận diện khuôn mặt cho Viettel Thái Nguyên</v>
          </cell>
          <cell r="B235" t="str">
            <v>PO-92152</v>
          </cell>
        </row>
        <row r="236">
          <cell r="A236" t="str">
            <v>PAKD cung cấp 01 Giải pháp phần mềm quản lý, giám sát nâng cao VMS Advanced và 04 Giải pháp phần mềm nhận diện khuôn mặt cho Viettel Thái Nguyên (01 GPPM VMS Advanced)</v>
          </cell>
          <cell r="B236" t="str">
            <v>PO-92152</v>
          </cell>
        </row>
        <row r="237">
          <cell r="A237" t="str">
            <v>PAKD cung cấp 01 Giải pháp phần mềm quản lý, giám sát nâng cao VMS Advanced và 04 Giải pháp phần mềm nhận diện khuôn mặt cho Viettel Thái Nguyên (04 GPPM nhận diện khuôn mặt)</v>
          </cell>
          <cell r="B237" t="str">
            <v>PO-92152</v>
          </cell>
        </row>
        <row r="238">
          <cell r="A238" t="str">
            <v>Phương án kinh doanh cung cấp 07 Giải pháp tổng thể Camera AI và 01 phần mềm điều khiển cửa cho Công ty Cổ phần ZME</v>
          </cell>
          <cell r="B238" t="str">
            <v>PO-92159</v>
          </cell>
        </row>
        <row r="239">
          <cell r="A239" t="str">
            <v>PAKD cung cấp 01 “Giải pháp phần mềm xử phạt” cho Viettel Bình Định</v>
          </cell>
          <cell r="B239" t="str">
            <v>PO-92149</v>
          </cell>
        </row>
        <row r="240">
          <cell r="A240" t="str">
            <v>Cung cấp hệ thống giám sát hành trình xe vTracking 2.0</v>
          </cell>
          <cell r="B240" t="str">
            <v>PO-92127</v>
          </cell>
        </row>
        <row r="241">
          <cell r="A241" t="str">
            <v>Thiết bị định vị thông minh Personal Tracking</v>
          </cell>
          <cell r="B241" t="str">
            <v>PO-92042</v>
          </cell>
        </row>
        <row r="242">
          <cell r="A242" t="str">
            <v>Phương án kinh doanh cung cấp 2000 thiết bị giám sát hành trình tàu thuyền S-Tracking cho Công ty SDVICO</v>
          </cell>
          <cell r="B242" t="str">
            <v>PO-92153</v>
          </cell>
        </row>
        <row r="243">
          <cell r="A243" t="str">
            <v xml:space="preserve">PAKD cung cấp DV HTKT hệ thống giám sát hành trình tàu thuyền S-Tracking từ 2025-2030 cho TCT Viễn thông Viettel </v>
          </cell>
          <cell r="B243" t="str">
            <v>PO-92156</v>
          </cell>
        </row>
        <row r="244">
          <cell r="A244" t="str">
            <v>Phương án kinh doanh cung cấp phần mềm tích hợp chia sẻ dữ liệu chuyên ngành thuộc Đề án xây dựng thành phố thông minh cho cho Viettel Đà Nẵng</v>
          </cell>
          <cell r="B244" t="str">
            <v>Thiếu mã 14</v>
          </cell>
        </row>
        <row r="245">
          <cell r="A245" t="str">
            <v>Cung cấp 1350 license giải pháp phần mềm và 100 gói dịch vụ triển khai</v>
          </cell>
          <cell r="B245" t="str">
            <v>PO-92163</v>
          </cell>
        </row>
        <row r="246">
          <cell r="A246" t="str">
            <v>Phương án kinh doanh cung cấp 1350 license giải pháp phần mềm và 100 gói dịch vụ triển khai</v>
          </cell>
          <cell r="B246" t="str">
            <v>PO-92163</v>
          </cell>
        </row>
        <row r="247">
          <cell r="A247" t="str">
            <v>Cung cấp dịch vụ thuê 01 Nền tảng quản lý kết nối CMP cho Tổng Công ty Viễn thông Viettel</v>
          </cell>
          <cell r="B247" t="str">
            <v>PO-92160</v>
          </cell>
        </row>
        <row r="248">
          <cell r="A248" t="str">
            <v>Nghiên cứu, xây dựng nền tảng tự động hóa chỉ huy điều hành tác chiến chiến lược VCHĐH-TQ</v>
          </cell>
          <cell r="B248" t="str">
            <v>011-24-TĐ-RDP-QS</v>
          </cell>
        </row>
        <row r="249">
          <cell r="A249" t="str">
            <v>Nghiên cứu, thiết kế nền tảng mô phỏng tàu chiến và chế tạo hệ thống mô phỏng huấn luyện tàu chiến 12418</v>
          </cell>
          <cell r="B249" t="str">
            <v>005-23-TĐ-RDP-QS</v>
          </cell>
        </row>
        <row r="250">
          <cell r="A250" t="str">
            <v>Nghiên cứu xây dựng công nghệ bản đồ không gian và định vị trực quan cho nền tảng thực tế tăng cường</v>
          </cell>
          <cell r="B250" t="str">
            <v>003-24-VHT-RDP-DS</v>
          </cell>
        </row>
        <row r="251">
          <cell r="A251" t="str">
            <v>Nghiên cứu, thiết kế, chế tạo hệ thống quan sát, chỉ thị mục tiêu và hệ thống điều khiển hỏa lực cho tăng T-54B/T-55</v>
          </cell>
          <cell r="B251" t="str">
            <v>001-22-TĐ-RDP-QS</v>
          </cell>
        </row>
        <row r="252">
          <cell r="A252" t="str">
            <v>Nghiên cứu công nghệ và chế tạo thiết bị kính nhìn đêm gắn mũ</v>
          </cell>
          <cell r="B252" t="str">
            <v xml:space="preserve"> 006-23-VHT-RDP-QS</v>
          </cell>
        </row>
        <row r="253">
          <cell r="A253" t="str">
            <v>Nghiên cứu nền tảng vũ khí laser năng lượng cao</v>
          </cell>
        </row>
        <row r="254">
          <cell r="A254" t="str">
            <v>Nghiên cứu thiết kế chế tạo đài ra-đa 3D băng Ku công nghệ FMCW</v>
          </cell>
          <cell r="B254" t="str">
            <v>002-23-VHT-RDP-QS</v>
          </cell>
        </row>
        <row r="255">
          <cell r="A255" t="str">
            <v>Nghiên cứu, hiện đại hóa đại đội pháo phòng không 57mm có khí tài</v>
          </cell>
          <cell r="B255" t="str">
            <v>002-23-TĐ-RDP-QS</v>
          </cell>
        </row>
        <row r="256">
          <cell r="A256" t="str">
            <v>Nghiên cứu, thiết kế, chế tạo tổ hợp ra-đa – quang điện tử cảnh giới biển tầm gần phục vụ tác chiến trên đảo và nhà giàn</v>
          </cell>
          <cell r="B256" t="str">
            <v>007-23-VHT-RDP-QS</v>
          </cell>
        </row>
        <row r="257">
          <cell r="A257" t="str">
            <v>Nghiên cứu, thiết kế, chế tạo đài ra-đa đa chức năng trên tàu chiến</v>
          </cell>
          <cell r="B257" t="str">
            <v>006-25-TĐ-RDP-QS</v>
          </cell>
        </row>
        <row r="258">
          <cell r="A258" t="str">
            <v>Nghiên cứu, phát triển nền tảng xử lý và truyền dẫn vô tuyến cho phương tiện bay không người lái</v>
          </cell>
          <cell r="B258" t="str">
            <v>010-22-TĐ-RDP-QS</v>
          </cell>
        </row>
        <row r="259">
          <cell r="A259" t="str">
            <v>Nghiên cứu công nghệ và chế tạo hệ thống trinh sát, chế áp phương tiện bay không người lái hạng nhẹ</v>
          </cell>
          <cell r="B259" t="str">
            <v>008-21-VHT-RDP-QS</v>
          </cell>
        </row>
        <row r="260">
          <cell r="A260" t="str">
            <v>Nghiên cứu công nghệ, thiết kế và chế tạo hệ thống ăng ten mảng công suất siêu lớn (2MW)</v>
          </cell>
          <cell r="B260" t="str">
            <v>005-23-VHT-RDP-QS</v>
          </cell>
        </row>
        <row r="261">
          <cell r="A261" t="str">
            <v>Nghiên cứu nền tảng công nghệ, phát triển sản phẩm dẫn xuất truyền dẫn tán xạ tầng đối lưu</v>
          </cell>
          <cell r="B261" t="str">
            <v>013-23-TĐ-RDP-QS</v>
          </cell>
        </row>
        <row r="262">
          <cell r="A262" t="str">
            <v>Nghiên cứu thiết kế, chế tạo nền tảng TCĐT siêu rộng dải tần đến băng ka, dẫn xuất tổ hợp trinh sát chế áp chống PTBKNL tầm trung, ra đa và đầu dẫn vô tuyến</v>
          </cell>
        </row>
        <row r="263">
          <cell r="A263" t="str">
            <v>Nghiên cứu, chế tạo máy thông tin cầm tay đa băng tần V-UHF ứng dụng công nghệ vô tuyến thích nghi - VRH811/S1</v>
          </cell>
          <cell r="B263" t="str">
            <v>001-24-VHT-RDP-QS</v>
          </cell>
        </row>
        <row r="264">
          <cell r="A264" t="str">
            <v>Nghiên cứu, thiết kế, chế tạo khối khuếch đại công suất 50W đa băng VHF/UHF dải rộng cho hệ thống thông tin thế hệ mới</v>
          </cell>
          <cell r="B264" t="str">
            <v>002-24-VHT-RDP-QS</v>
          </cell>
        </row>
        <row r="265">
          <cell r="A265" t="str">
            <v>Nghiên cứu, xây dựng nền tảng khung thân vỏ, hệ thống động lực nhiên liệu và hệ thống điện cho UAV đa năng tầm xa</v>
          </cell>
          <cell r="B265" t="str">
            <v>010-24-TĐ-RDP-QS</v>
          </cell>
        </row>
        <row r="266">
          <cell r="A266" t="str">
            <v>Nghiên cứu, thiết kế, chế tạo máy bay cảm tử tấn công mang đầu nổ xuyên lõm UAV2-1.0</v>
          </cell>
        </row>
        <row r="267">
          <cell r="A267" t="str">
            <v>Nghiên cứu, thiết kế nâng cấp hệ thống động lực và tích hợp các thành phần hiện đại hóa trên xe tăng T-54B</v>
          </cell>
          <cell r="B267" t="str">
            <v>001-23-VHT-RDP-QS</v>
          </cell>
        </row>
        <row r="268">
          <cell r="A268" t="str">
            <v>Nghiên cứu Nền tảng hệ thống vũ khí điều khiển từ xa hạng nhẹ và chế tạo sản phẩm dẫn xuất cho súng máy 12,7mm</v>
          </cell>
          <cell r="B268" t="str">
            <v>004-25-TĐ-RDP-QS</v>
          </cell>
        </row>
        <row r="269">
          <cell r="A269" t="str">
            <v>Nghiên cứu, thiết kế và chế tạo thiết bị XGSPON ONT</v>
          </cell>
          <cell r="B269" t="str">
            <v>002-24-VHT-RDP--DS</v>
          </cell>
        </row>
        <row r="270">
          <cell r="A270" t="str">
            <v>Nghiên cứu phát triển nền tảng quản lý chức năng mạng ảo hóa NFV-MANO 2.0</v>
          </cell>
          <cell r="B270" t="str">
            <v>001-24-VHT-RDP-DS</v>
          </cell>
        </row>
        <row r="271">
          <cell r="A271" t="str">
            <v>Nghiên cứu, phát triển nền tảng khối xử lý băng gốc cho trạm 5G Massive MIMO</v>
          </cell>
          <cell r="B271" t="str">
            <v>008-24-TĐ-RDP-DS</v>
          </cell>
        </row>
        <row r="272">
          <cell r="A272" t="str">
            <v>Nghiên cứu, thiết kế, chế tạo khối vô tuyến RRU 5G Macrocell ORAN hỗ trợ lên tới 64 thu phát</v>
          </cell>
          <cell r="B272" t="str">
            <v>004-22-TD-RDP-DS</v>
          </cell>
        </row>
        <row r="273">
          <cell r="A273" t="str">
            <v>Sản xuất và thử nghiệm 500 trạm gNodeB 32T32R</v>
          </cell>
          <cell r="B273" t="str">
            <v>009-24-TĐ-RDP-DS</v>
          </cell>
        </row>
        <row r="274">
          <cell r="A274" t="str">
            <v>BBNT số 0225BBNT/GP-VHT/QLCL/2025</v>
          </cell>
          <cell r="B274" t="str">
            <v>QLCL0225</v>
          </cell>
        </row>
        <row r="275">
          <cell r="A275" t="str">
            <v>Hợp đồng số 170202/2025/HĐDV/VTK-VHT</v>
          </cell>
          <cell r="B275" t="str">
            <v>QLCL170202</v>
          </cell>
        </row>
        <row r="276">
          <cell r="A276" t="str">
            <v>Hợp đồng số 170201/2025/HĐDV/VTK-VHT và BBNT dịch vụ đợt 1 số 01/BBNT/170201/2025/HĐDV/VTK-VHT</v>
          </cell>
          <cell r="B276" t="str">
            <v>QLCL170201</v>
          </cell>
        </row>
        <row r="278">
          <cell r="A278" t="str">
            <v>PAKD cung cấp 16.000 máy tính để bàn chuyên dụng phục vụ nhiệm vụ Quân sự - Quốc phòng năm 2024-2025</v>
          </cell>
          <cell r="B278" t="str">
            <v>PO-00008</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luong T5"/>
      <sheetName val="Sheet2"/>
      <sheetName val="Pivot"/>
      <sheetName val="Bang luong T6"/>
      <sheetName val="Bang phan bo2"/>
      <sheetName val="Sheet2 (2)"/>
      <sheetName val="Tong hop2"/>
      <sheetName val="Check (2)"/>
      <sheetName val="Bang phan bo"/>
      <sheetName val="Tong hop"/>
      <sheetName val="Quy luong"/>
      <sheetName val="PivotBangLuongKHCN"/>
      <sheetName val="05.2025 KHCN"/>
      <sheetName val="KHCN_CV"/>
      <sheetName val="KHCN_DV"/>
      <sheetName val="PivotThanhPhan"/>
      <sheetName val="PivotBangLuong"/>
      <sheetName val="05.2025 PAKD"/>
      <sheetName val="PAKD"/>
      <sheetName val="DatTen"/>
      <sheetName val="Mail list"/>
      <sheetName val="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Nghiên cứu xây dựng công nghệ bản đồ không gian và định vị trực quan cho nền tảng thực tế tăng cường</v>
          </cell>
        </row>
        <row r="2">
          <cell r="B2" t="str">
            <v>003-24-VHT-RDP-DS</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BAOCAO"/>
      <sheetName val="2.DATABASE"/>
      <sheetName val="Pending"/>
      <sheetName val="3.HOANCONG"/>
      <sheetName val="4.CTV"/>
      <sheetName val="5.CPQL"/>
      <sheetName val="OS_TH"/>
      <sheetName val="OS_K3"/>
      <sheetName val="Quy luong 2025"/>
      <sheetName val="TH"/>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H:\P.%20TCL&#272;\CP%20NHAN%20CONG\PHAN%20BO%20NHAN%20CONG\Bang%20cham%20cong\PBNC%20THANG%2006.2025.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ulh" refreshedDate="45847.443829398151" createdVersion="5" refreshedVersion="5" minRefreshableVersion="3" recordCount="612" xr:uid="{00000000-000A-0000-FFFF-FFFF3A010000}">
  <cacheSource type="worksheet">
    <worksheetSource ref="A1:AX613" sheet="DataPAKD" r:id="rId2"/>
  </cacheSource>
  <cacheFields count="50">
    <cacheField name="TT" numFmtId="0">
      <sharedItems containsBlank="1" containsMixedTypes="1" containsNumber="1" containsInteger="1" minValue="1" maxValue="80"/>
    </cacheField>
    <cacheField name="KHỐI" numFmtId="0">
      <sharedItems count="4">
        <s v="Khối 1"/>
        <s v="Khối 2"/>
        <s v="Khối 3"/>
        <s v="TTKD"/>
      </sharedItems>
    </cacheField>
    <cacheField name="ĐV Chủ trì" numFmtId="0">
      <sharedItems count="16">
        <s v="CHĐK"/>
        <s v="MHMP"/>
        <s v="QĐT"/>
        <s v="RD"/>
        <s v="TCĐT"/>
        <s v="TTQS"/>
        <s v="KCB"/>
        <s v="DVSBH"/>
        <s v="CNCM"/>
        <s v="QLSX"/>
        <s v="KTCN"/>
        <s v="SBH K2"/>
        <s v="TTKD"/>
        <s v="NTTT"/>
        <s v="IOT"/>
        <s v="CAM"/>
      </sharedItems>
    </cacheField>
    <cacheField name="ĐV Phân bổ" numFmtId="0">
      <sharedItems containsBlank="1"/>
    </cacheField>
    <cacheField name="TÊN ĐỀ TÀI/DỰ ÁN" numFmtId="0">
      <sharedItems containsBlank="1" count="213">
        <s v="Hệ thống cảnh giới và bảo vệ vùng trời quốc gia VQ2 giai đoạn 2"/>
        <s v="Sản xuất, triển khai hệ thống tự động hóa chỉ huy cho Quân chủng hải quân giai đoạn II "/>
        <s v="Sản xuất Hệ thống cảnh giới và bảo vệ vùng trời quốc gia VQ2 giai đoạn 3"/>
        <s v="Sản xuất 01 Hệ thống tự động hóa chỉ huy cấp Bộ Quốc phòng"/>
        <s v="Sản xuất 21 Hệ thống MP huấn luyện kíp xe tăng T54B/T55"/>
        <s v="Sản xuất 01 hệ thống mô phỏng huấn luyện kíp chỉ huy bay và 02 hệ thống mô phỏng huấn luyện phi công SU-30MK2"/>
        <s v="Sản xuất 01 hệ thống mô phỏng huấn luyện kíp chỉ huy bay và 02 hệ thống mô phỏng huấn luyện phi công SU-30MK2 (01 hệ thống mô phỏng huấn luyện kíp chỉ huy bay )"/>
        <s v="Sản xuất 01 hệ thống mô phỏng huấn luyện kíp chỉ huy bay và 02 hệ thống mô phỏng huấn luyện phi công SU-30MK2 (02 hệ thống mô phỏng huấn luyện phi công SU-30MK2)"/>
        <s v="Sản xuất 800 Hệ thống mô phỏng đào tạo lái xe ô tô"/>
        <s v="Sản xuất thử nghiệm 01 bộ Edu kit phục vụ trưng bày, giới thiệu SP"/>
        <s v="Sản xuất 01 bộ mẫu HT mô phỏng HL bắn súng di động, phục vụ trưng bày, giới thiệu SP cho các đoàn khách thuộc BQP"/>
        <s v="Sản xuất 09 hệ thống mô phỏng huấn luyện kỹ-chiến thuật "/>
        <s v="Sản xuất và cung cấp 03 hệ thống mô phỏng bắn súng cho Philippines"/>
        <s v="Cung cấp 04 hệ thống Sa bàn hỗ trợ công tác chỉ huy tham mưu, tác chiến cho Cục Nhà trường/Bộ Tổng tham mưu"/>
        <s v="Sản xuất và cung cấp 10 hệ thống mô phỏng bắn súng cho Philippines"/>
        <s v="Dịch vụ xây dựng trải nghiệm thực tế tăng cường cho khách hàng SUN Group"/>
        <s v="SX 11 bộ đài Quang điện tử tầm xa VEE-LRA và 13 ZIP năm 2021"/>
        <s v="SX 11 bộ đài Quang điện tử tầm xa VEE-LRA và 13 ZIP năm 2021(11 Bộ đài quang điện tử)"/>
        <s v="SX 11 bộ đài Quang điện tử tầm xa VEE-LRA và 13 ZIP năm 2021(13 bộ Zip)"/>
        <s v="Sản xuất 26 Đài quang điện tử tầm xa VEE-LRA năm 2021"/>
        <s v="Sản xuất 31 đài quang điện tử VEE - LRA và gói vật tư dự phòng"/>
        <s v="Sản xuất 31 đài quang điện tử VEE - LRA và gói vật tư dự phòng (Đài quang điện tử VEE-LRA)"/>
        <s v="Sản xuất 31 đài quang điện tử VEE - LRA và gói vật tư dự phòng (Bộ ZIP VEE-LRA)"/>
        <s v="Cung cấp 500 bộ Kính ngắm ảnh nhiệt VEE-W01 cho Bộ Quốc phòng"/>
        <s v="Sản xuất 600 Thiết bị Trinh sát ảnh nhiệt tầm gần VQT-TSG, đồng bộ phụ kiện và vật tư dự phòng"/>
        <s v="Sản xuất 600 Thiết bị Trinh sát ảnh nhiệt tầm gần VQT-TSG, đồng bộ phụ kiện và vật tư dự phòng (600 Thiết bị TSAN)"/>
        <s v="Sản xuất 600 Thiết bị Trinh sát ảnh nhiệt tầm gần VQT-TSG, đồng bộ phụ kiện và vật tư dự phòng (06 bộ vật tư dự phòng)"/>
        <s v="Sản xuất 100 Thiết bị Kính nhìn đêm đa kênh gắn mũ KNĐ-M2T, đồng bộ phụ kiện và vật tư dự phòng"/>
        <s v="Sản xuất 100 Thiết bị Kính nhìn đêm đa kênh gắn mũ KNĐ-M2T, đồng bộ phụ kiện và vật tư dự phòng (100 Thiết bị kính nhìn đêm)"/>
        <s v="Sản xuất 100 Thiết bị Kính nhìn đêm đa kênh gắn mũ KNĐ-M2T, đồng bộ phụ kiện và vật tư dự phòng (Bộ vật tư dự phòng)"/>
        <s v="SX 40 bộ thiết bị nhận dạng và 16 bộ zip"/>
        <s v="SX 40 bộ thiết bị nhận dạng và 16 bộ zip (16 bộ Zip thiết bị nhận dạng)"/>
        <s v="SX 40 bộ thiết bị nhận dạng và 16 bộ zip (40 bộ thiết bị nhân dạng)"/>
        <s v="SX 40 bộ thiết bị nhận dạng và 16 bộ zip (Thiết bị cơ yếu cho IFF hệ Parol)"/>
        <s v="SX 14 đài Ra đa VRS-SRS và 10 bộ zip"/>
        <s v="SX 14 đài Ra đa VRS-SRS và 10 bộ zip (14 đài ra đa VRS-SRS)"/>
        <s v="SX 14 đài Ra đa VRS-SRS và 10 bộ zip (10 bộ zip dự phòng)"/>
        <s v="SX 14 đài Ra đa VRS-SRS và 10 bộ zip (14 đài ra da VRS-SRS)"/>
        <s v="Sản xuất 04 đài Ra đa 3D cảnh giới tầm trung băng S VRS-MRS và 01 gói vật tư dự phòng"/>
        <s v="Sản xuất 04 đài Ra đa 3D cảnh giới tầm trung băng S VRS-MRS và 01 gói vật tư dự phòng (04 đài Ra đa 3D cảnh giới tầm trung băng S VRS-MRS)"/>
        <s v="Sản xuất 04 đài Ra đa 3D cảnh giới tầm trung băng S VRS-MRS và 01 gói vật tư dự phòng (01 bộ vật tư Zip cho đài Ra đa VRS-MRS)"/>
        <s v="Chế tạo 28 đài radar cảnh giới biển tầm trung VRS-CSX"/>
        <s v="Chế tạo 28 đài radar cảnh giới biển tầm trung VRS-CSX (01 bộ vật tư Zip cho đài ra đa cảnh giới bờ VRS-CSX)"/>
        <s v="Chế tạo 28 đài radar cảnh giới biển tầm trung VRS-CSX (Thiết bị đồng bộ  cho đài ra đa cảnh giới bờ VRS- CSX)"/>
        <s v="Sản xuất 03 đài Ra đa cảnh giới tầm trung sóng mét VRS-M2D, 03 gói vật tư dự phòng, 01 bộ vật tư dự phòng bổ sung và 01 gói bảo dưỡng lớn"/>
        <s v="Sản xuất 03 đài Ra đa cảnh giới tầm trung sóng mét VRS-M2D, 03 gói vật tư dự phòng, 01 bộ vật tư dự phòng bổ sung và 01 gói bảo dưỡng lớn (Đài ra đa VRS-M2D)"/>
        <s v="Sản xuất 03 đài Ra đa cảnh giới tầm trung sóng mét VRS-M2D, 03 gói vật tư dự phòng, 01 bộ vật tư dự phòng bổ sung và 01 gói bảo dưỡng lớn (Vật tư dự phòng và hệ thống chống sét)"/>
        <s v="Sản xuất 03 đài Ra đa cảnh giới tầm trung sóng mét VRS-M2D, 03 gói vật tư dự phòng, 01 bộ vật tư dự phòng bổ sung và 01 gói bảo dưỡng lớn (Vật tư dự phòng cho các đài RD VRS M2D năm 2017)"/>
        <s v="01 đài ra đa chỉ thị mục tiêu VRS-MCX cho tổ hợp tên lửa bờ VCM-B"/>
        <s v="Sản xuất 28 đài ra đa VRS -SRS, 28 bộ nhận dạng IFF, gói vật tư dự phòng và gói triển khai hạ tầng."/>
        <s v="Sản xuất 28 đài ra đa VRS-SRS, 28 bộ thiết bị nhận dạng IFF, _x000a_gói vật tư dự phòng và gói triển khai hạ tầng (Đài ra đa VRS-SRS)"/>
        <s v="Sản xuất 28 đài ra đa VRS-SRS, 28 bộ thiết bị nhận dạng IFF, _x000a_gói vật tư dự phòng và gói triển khai hạ tầng (Bộ Zip cho đài RD VRS SRS)"/>
        <s v="Sản xuất 28 đài ra đa VRS-SRS, 28 bộ thiết bị nhận dạng IFF, _x000a_gói vật tư dự phòng và gói triển khai hạ tầng (Bộ thiết bị nhận dạng IFF)"/>
        <s v="Sản xuất 28 đài ra đa VRS-SRS, 28 bộ thiết bị nhận dạng IFF, _x000a_gói vật tư dự phòng và gói triển khai hạ tầng (Bộ Zip thiết bị nhận dạng IFF)"/>
        <s v="Sản xuất 28 đài ra đa VRS-SRS, 28 bộ thiết bị nhận dạng IFF, _x000a_gói vật tư dự phòng và gói triển khai hạ tầng (Triển khai hạ tầng và dịch vụ kèm theo)"/>
        <s v="Sản xuất 28 đài ra đa VRS-SRS, 28 bộ thiết bị nhận dạng IFF, _x000a_gói vật tư dự phòng và gói triển khai hạ tầng"/>
        <s v="Sản xuất 02 xe ra đa chỉ thị mục tiêu VRS-MCX, 05 đài ra đa cảnh giới biển tầm trung cơ động VRS-MSX và gói vật tư dự phòng"/>
        <s v="Sản xuất 02 xe ra đa chỉ thị mục tiêu VRS-MCX, 05 đài ra đa cảnh giới biển tầm trung cơ động VRS-MSX và gói vật tư dự phòng (Đài ra đa VRS-MSX)"/>
        <s v="Sản xuất 02 xe ra đa chỉ thị mục tiêu VRS-MCX, 05 đài ra đa cảnh giới biển tầm trung cơ động VRS-MSX và gói vật tư dự phòng (Xe ra đa VRS-MCX)"/>
        <s v="Sản xuất 02 xe ra đa chỉ thị mục tiêu VRS-MCX, 05 đài ra đa cảnh giới biển tầm trung cơ động VRS-MSX và gói vật tư dự phòng (Zip Đài ra đa VRS-MSX)"/>
        <s v="Sản xuất 02 xe ra đa chỉ thị mục tiêu VRS-MCX, 05 đài ra đa cảnh giới biển tầm trung cơ động VRS-MSX và gói vật tư dự phòng (Gói dịch vụ)"/>
        <s v="Sản xuất 03 đài Ra đa 3D cảnh giới tầm trung băng S VRS-MRS, gói vật tư dự phòng và gói triển khai hạ tầng"/>
        <s v="Sản xuất 03 đài Ra đa 3D cảnh giới tầm trung băng S VRS-MRS, gói vật tư dự phòng và gói triển khai hạ tầng (3 đài Ra đa VRS-MRS)"/>
        <s v="Sản xuất 03 đài Ra đa 3D cảnh giới tầm trung băng S VRS-MRS, gói vật tư dự phòng và gói triển khai hạ tầng(01 bộ Zip cho đài VRS-MRS)"/>
        <s v="Sản xuất 03 đài Ra đa 3D cảnh giới tầm trung băng S VRS-MRS, gói vật tư dự phòng và gói triển khai hạ tầng (Gói triển khai hạ tầng)"/>
        <s v="Sản xuất 02 xe ra đa chỉ thị mục tiêu VRS-MCX"/>
        <s v="Sản xuất 10 tổ hợp ra đa - quang điện tử cảnh giới biển tầm gần VRQ-CBG và gói vật tư dự phòng"/>
        <s v="Sản xuất 10 tổ hợp ra đa - quang điện tử cảnh giới biển tầm gần VRQ-CBG và gói vật tư dự phòng (Tổ hợp VRQ-CBG)"/>
        <s v="Sản xuất 10 tổ hợp ra đa - quang điện tử cảnh giới biển tầm gần VRQ-CBG và gói vật tư dự phòng (Bộ ZIP cho Tổ hợp VRQ-CBG)"/>
        <s v="Sản xuất 10 tổ hợp ra đa - quang điện tử cảnh giới biển tầm gần VRQ-CBG và gói vật tư dự phòng (Dịch vụ triển khai)"/>
        <s v="Sản xuất 05 hệ thống trinh sát điện tử thông minh V-ELINT18 năm 2021"/>
        <s v="Sản xuất 05 hệ thống trinh sát điện tử thông minh V-ELINT18 năm 2021 (Hệ thống trinh sát điện tử thông minh V-ELINT18)"/>
        <s v="Sản xuất 05 hệ thống trinh sát điện tử thông minh V-ELINT18 năm 2021 (Zip V-ELINT18 năm 2021)"/>
        <s v="Sản xuất 190 bộ trang bị thu-trinh sát vô tuyến điện dải rộng cấp chiến dịch, chiến lược kèm vật tư dự phòng"/>
        <s v="Sản xuất 190 bộ trang bị thu-trinh sát vô tuyến điện dải rộng cấp chiến dịch, chiến lược kèm vật tư dự phòng (Thiết bị thu - trinh sát vô tuyến điện dải rộng VSM3)"/>
        <s v="Sản xuất 190 bộ trang bị thu-trinh sát vô tuyến điện dải rộng cấp chiến dịch, chiến lược kèm vật tư dự phòng (Bộ ZIP Thiết bị thu - trinh sát vô tuyến điện dải rộng VSM3)"/>
        <s v="Sản xuất 06 tổ hợp trinh sát, gây nhiễu chống phương tiện bay không người lái cấp chiến thuật BV5 và bộ ZIP vật tư dự phòng năm 2024"/>
        <s v="Sản xuất 06 tổ hợp trinh sát, gây nhiễu chống phương tiện bay không người lái cấp chiến thuật BV5 và bộ ZIP vật tư dự phòng năm 2024 (Tổ hợp BV5 chống UAV)"/>
        <s v="Sản xuất 06 tổ hợp trinh sát, gây nhiễu chống phương tiện bay không người lái cấp chiến thuật BV5 và bộ ZIP vật tư dự phòng năm 2024 (Zip BV5 chống UAV)"/>
        <s v="Sản xuất 20 Hệ thống trinh sát vô tuyến điện kỹ thuật số băng rộng từ 1,5 MHz đến 6 GHz và 4 bộ ZIP vật tư dự phòng kèm theo"/>
        <s v="Sản xuất 20 Hệ thống trinh sát vô tuyến điện kỹ thuật số băng rộng từ 1,5 MHz đến 6 GHz và 4 bộ ZIP vật tư dự phòng kèm theo (Hệ thống trinh sát vô tuyến điện kỹ thuật số băng rộng)"/>
        <s v="Sản xuất 20 Hệ thống trinh sát vô tuyến điện kỹ thuật số băng rộng từ 1,5 MHz đến 6 GHz và 4 bộ ZIP vật tư dự phòng kèm theo (Bộ ZIP vật tư dự phòng)"/>
        <s v="Nhiệm vụ chế tạo 02 hệ thống mẫu Trinh sát định hướng vô_x000a_ tuyến và chế áp mang xách cấp chiến thuật _x000a_"/>
        <s v="Sản xuất và cung cấp 1200 máy thu phát vô tuyến điện VRH911 và đồng bộ phụ kiện năm 2024"/>
        <s v="Sản xuất và cung cấp 1200 máy thu phát vô tuyến điện VRH911 và đồng bộ phụ kiện năm 2024 (Máy thu phát vô tuyến điện VRH911)"/>
        <s v="Sản xuất và cung cấp 1200 máy thu phát vô tuyến điện VRH911 và đồng bộ phụ kiện năm 2024 (ZIP VRH911)"/>
        <s v="Sản xuất và cung cấp 3050 máy thu phát vô tuyến điện VRH911/S1, đồng bộ phụ kiện và vật tư dự phòng năm 2024"/>
        <s v="Sản xuất và cung cấp 3050 máy thu phát vô tuyến điện VRH911/S1, đồng bộ phụ kiện và vật tư dự phòng năm 2024 (Máy thu phát vô tuyến điện VRH911/S1)"/>
        <s v="Sản xuất và cung cấp 3050 máy thu phát vô tuyến điện VRH911/S1, đồng bộ phụ kiện và vật tư dự phòng năm 2024 (ZIP Máy thu phát vô tuyến điện VRH911/S1)"/>
        <s v="Sản xuất 2000 hệ thống thông tin (bao gồm máy VRU812/S 50W và VIS) kèm vật tư dự phòng và Lắp đặt trên xe tăng thiết giáp, xe đặc chủng năm 2024"/>
        <s v="Sản xuất 2000 hệ thống thông tin (bao gồm máy VRU812/S 50W và VIS) kèm vật tư dự phòng và Lắp đặt trên xe tăng thiết giáp, xe đặc chủng năm 2024 (Máy thông tin vô tuyến điện VRU812/S – 50W)"/>
        <s v="Sản xuất 2000 hệ thống thông tin (bao gồm máy VRU812/S 50W và VIS) kèm vật tư dự phòng và Lắp đặt trên xe tăng thiết giáp, xe đặc chủng năm 2024 (Bộ vật tư dự phòng máy thông tin vô tuyến điện VRU812/S – 50W phiên bản 2024)"/>
        <s v="Sản xuất 2000 hệ thống thông tin (bao gồm máy VRU812/S 50W và VIS) kèm vật tư dự phòng và Lắp đặt trên xe tăng thiết giáp, xe đặc chủng năm 2024 (Bộ thông thoại số VIS)"/>
        <s v="Sản xuất 2000 hệ thống thông tin (bao gồm máy VRU812/S 50W và VIS) kèm vật tư dự phòng và Lắp đặt trên xe tăng thiết giáp, xe đặc chủng năm 2024 (Bộ vật tư dự phòng Bộ thông thoại số VIS phiên bản 2024)"/>
        <s v="Sản xuất 2000 hệ thống thông tin (bao gồm máy VRU812/S 50W và VIS) kèm vật tư dự phòng và Lắp đặt trên xe tăng thiết giáp, xe đặc chủng năm 2024 (Lắp đặt tích hợp trên xe)"/>
        <s v="Sản xuất và cung cấp 160 máy thông tin đa băng cấp chiến dịch VRP712/S, đồng bộ phụ kiện và zip năm 2024"/>
        <s v="Sản xuất và cung cấp 160 máy thông tin đa băng cấp chiến dịch VRP712/S, đồng bộ phụ kiện và zip năm 2024 (Máy thông tin đa băng cấp chiến dịch VRP712/S)"/>
        <s v="Sản xuất và cung cấp 160 máy thông tin đa băng cấp chiến dịch VRP712/S, đồng bộ phụ kiện và zip năm 2024 (ZIP Máy thông tin đa băng cấp chiến dịch VRP712/S)"/>
        <s v="Cung cấp 55 xe chỉ huy tham mưu đa năng năm 2024"/>
        <s v="Sản xuất 635 máy thu phát vô tuyến điện sóng cực ngắn nhảy tần VRH811/S (Phiên bản VRH811/S1), đồng bộ phụ kiện và vật tư dự phòng năm 2025"/>
        <s v="Sản xuất 635 máy thu phát vô tuyến điện sóng cực ngắn nhảy tần VRH811/S (Phiên bản VRH811/S1), đồng bộ phụ kiện và vật tư dự phòng năm 2025 (Máy thu phát VTĐ VRH811/S1)"/>
        <s v="Sản xuất 635 máy thu phát vô tuyến điện sóng cực ngắn nhảy tần VRH811/S (Phiên bản VRH811/S1), đồng bộ phụ kiện và vật tư dự phòng năm 2025 (Dự phòng Máy thu phát VTĐ VRH811/S1)"/>
        <m/>
        <s v="Sản xuất và cung cấp 03 tổ hợp máy bay không người lái UAV 1.6"/>
        <s v="Sản xuất và cung cấp 06 tổ hợp UAV2-2 và ZIP kèm theo"/>
        <s v="Lắp đặt tích hợp trang bị truyền dẫn số chuyển tiếp nhảy tần VHCR/10G"/>
        <s v="Lắp đặt tích hợp trang bị truyền dẫn số chuyển tiếp nhảy tần VHCR/10G (Triển khai lắp đặt cho tuyến cố định)"/>
        <s v="Lắp đặt tích hợp trang bị truyền dẫn số chuyển tiếp nhảy tần VHCR/10G (Triển khai lắp đặt, cung cấp trang bị bổ sung cho nhiệm vụ cơ động)"/>
        <s v="Cung cấp dịch vụ kỹ thuật phân hệ xử lý tin nhắn SMSC cho Trung tâm Không gian mạng Viettel (A2P)"/>
        <s v="Cung cấp dịch vụ kỹ thuật phân hệ xử lý tin nhắn SMSC cho Trung tâm Không gian mạng Viettel (A2P)-2025"/>
        <s v="Phương án kinh doanh 466.000 thiết bị ONT và 600.000 thiết bị Homewifi"/>
        <s v="Phương án kinh doanh 466.000 thiết bị ONT và 600.000 thiết bị Homewifi (600k AP)"/>
        <s v="Phương án kinh doanh 466.000 thiết bị ONT và 600.000 thiết bị Homewifi (466K ONT)"/>
        <s v="PAKD cung cấp tính năng mới hệ thống quản lý giám sát thiết bị ONT cho Công ty Thương mại và Xuất nhập khẩu Viettel"/>
        <s v="Cung cấp dịch vụ giám sát hành trình Stracking"/>
        <s v="Triển khai phần mềm hệ thống tổng đài tin nhắn SMSC cho Công ty Viettel Cambodia"/>
        <s v="Dự án triển khai OCS 1M VTB"/>
        <s v="PAKD Dịch vụ HTKT cho các Hệ thống đã kinh doanh tại các thị trường năm 2024"/>
        <s v="PAKD Dịch vụ HTKT cho các Hệ thống đã kinh doanh tại các thị trường năm 2024 (VTNet_Sản phẩm OCS/OCS DR)"/>
        <s v="PAKD Dịch vụ HTKT cho các Hệ thống đã kinh doanh tại các thị trường năm 2024  (VTNet_Sản phẩm CRBT)"/>
        <s v="PAKD Dịch vụ HTKT cho các Hệ thống đã kinh doanh tại các thị trường năm 2024  (VTNet_Sản phẩm SMSC)"/>
        <s v="PAKD Dịch vụ HTKT cho các Hệ thống đã kinh doanh tại các thị trường năm 2024  (VTNet_Sản phẩm MSC)"/>
        <s v="PAKD Dịch vụ HTKT cho các Hệ thống đã kinh doanh tại các thị trường năm 2024  (VTNet_Sản phẩm EPC)"/>
        <s v="PAKD Dịch vụ HTKT cho các Hệ thống đã kinh doanh tại các thị trường năm 2024  (VTNet_Sản phẩm IMS)"/>
        <s v="PAKD Dịch vụ HTKT cho các Hệ thống đã kinh doanh tại các thị trường năm 2024 (VTNet_Sản phẩm dùng chung)"/>
        <s v="PAKD Dịch vụ HTKT cho các Hệ thống đã kinh doanh tại các thị trường năm 2024 (Mytel_Sản phẩm OCS/OCS DR)"/>
        <s v="PAKD Dịch vụ HTKT cho các Hệ thống đã kinh doanh tại các thị trường năm 2024  (Mytel_Sản phẩm CRBT)"/>
        <s v="PAKD Dịch vụ HTKT cho các Hệ thống đã kinh doanh tại các thị trường năm 2024  (Mytel_Sản phẩm SMSC)"/>
        <s v="PAKD Dịch vụ HTKT cho các Hệ thống đã kinh doanh tại các thị trường năm 2024 (Mytel_Sản phẩm dùng chung)"/>
        <s v="PAKD Dịch vụ HTKT cho các Hệ thống đã kinh doanh tại các thị trường năm 2024 (VDTC_Sản phẩm OCS)"/>
        <s v="PAKD Dịch vụ HTKT cho các Hệ thống đã kinh doanh tại các thị trường năm 2024 (VDTC_ Sản phẩm dùng chung)"/>
        <s v="PAKD Dịch vụ HTKT cho các Hệ thống đã kinh doanh tại các thị trường năm 2024 (Metfone_Sản phẩm OCS)"/>
        <s v="PAKD Dịch vụ HTKT cho các Hệ thống đã kinh doanh tại các thị trường năm 2024 (Metfone_Sản phẩm SMSC)"/>
        <s v="PAKD Dịch vụ HTKT cho các Hệ thống đã kinh doanh tại các thị trường năm 2024 (Metfone_Sản phẩm dùng chung)"/>
        <s v="PAKD Dịch vụ HTKT cho các Hệ thống đã kinh doanh tại các thị trường năm 2024 (Natcom_Sản phẩm vOCS 3.0)"/>
        <s v="PAKD Dịch vụ HTKT cho các Hệ thống đã kinh doanh tại các thị trường năm 2024 (Natcom_Sản phẩm IMS/SMSC)"/>
        <s v="PAKD Dịch vụ HTKT cho các Hệ thống đã kinh doanh tại các thị trường năm 2024 (Natcom_Sản phẩm dùng chung)"/>
        <s v="PAKD Dịch vụ HTKT cho các Hệ thống đã kinh doanh tại các thị trường năm 2024 (Bitel_Sản phẩm OCS)"/>
        <s v="PAKD Dịch vụ HTKT cho các Hệ thống đã kinh doanh tại các thị trường năm 2024 (Bitel_Sản phẩm dùng chung)"/>
        <s v="PAKD Dịch vụ HTKT cho các Hệ thống đã kinh doanh tại các thị trường năm 2024 (StarTelecom_Sản phẩm OCS)"/>
        <s v="PAKD Dịch vụ HTKT cho các Hệ thống đã kinh doanh tại các thị trường năm 2024 (StarTelecom_Sản phẩm CRBT)"/>
        <s v="PAKD Dịch vụ HTKT cho các Hệ thống đã kinh doanh tại các thị trường năm 2024 (StarTelecom_Sản phẩm SMSC)"/>
        <s v="PAKD Dịch vụ HTKT cho các Hệ thống đã kinh doanh tại các thị trường năm 2024 (StarTelecom_Sản phẩm dùng chung)"/>
        <s v="PAKD Dịch vụ HTKT cho các Hệ thống đã kinh doanh tại các thị trường năm 2024 (Lumitel_Sản phẩm OCS)"/>
        <s v="PAKD Dịch vụ HTKT cho các Hệ thống đã kinh doanh tại các thị trường năm 2024 (Lumitel_Sản phẩm dùng chung)"/>
        <s v="PAKD Dịch vụ HTKT cho các Hệ thống đã kinh doanh tại các thị trường năm 2024 (Timor_Sản phẩm CRBT)"/>
        <s v="PAKD Dịch vụ HTKT cho các Hệ thống đã kinh doanh tại các thị trường năm 2024 (Timor_Sản phẩm OCS)"/>
        <s v="PAKD Dịch vụ HTKT cho các Hệ thống đã kinh doanh tại các thị trường năm 2024 (Timor_Sản phẩm SMSC)"/>
        <s v="PAKD Dịch vụ HTKT cho các Hệ thống đã kinh doanh tại các thị trường năm 2024(SMSC SLA Timor)"/>
        <s v="PAKD Dịch vụ HTKT cho các Hệ thống đã kinh doanh tại các thị trường năm 2024 (Timor_Sản phẩm dùng chung)"/>
        <s v="PAKD Dịch vụ HTKT cho các Hệ thống đã kinh doanh tại các thị trường năm 2025"/>
        <s v="PAKD Dịch vụ HTKT cho các Hệ thống đã kinh doanh tại các thị trường năm 2025 (VTNet_Sản phẩm OCS/CRBT)"/>
        <s v="PAKD Dịch vụ HTKT cho các Hệ thống đã kinh doanh tại các thị trường năm 2025 (VTNet_Sản phẩm MSC/EPC)"/>
        <s v="PAKD Dịch vụ HTKT cho các Hệ thống đã kinh doanh tại các thị trường năm 2025 (VTNet_Sản phẩm IMS/SMSC)"/>
        <s v="PAKD Dịch vụ HTKT cho các Hệ thống đã kinh doanh tại các thị trường năm 2025 (VTNet_Sản phẩm dùng chung)"/>
        <s v="PAKD Dịch vụ HTKT cho các Hệ thống đã kinh doanh tại các thị trường năm 2025 (VTNet_Xây dựng nghiệp vụ kinh doanh)"/>
        <s v="PAKD Dịch vụ HTKT cho các Hệ thống đã kinh doanh tại các thị trường năm 2025 (VDTC_Sản phẩm OCS)"/>
        <s v="PAKD Dịch vụ HTKT cho các Hệ thống đã kinh doanh tại các thị trường năm 2025 (VDTC_Xây dựng nghiệp vụ kinh doanh)"/>
        <s v="PAKD Dịch vụ HTKT cho các Hệ thống đã kinh doanh tại các thị trường năm 2025 (Metfone_Sản phẩm OCS)"/>
        <s v="PAKD Dịch vụ HTKT cho các Hệ thống đã kinh doanh tại các thị trường năm 2025 (Metfone_Sản phẩm SMSC)"/>
        <s v="PAKD Dịch vụ HTKT cho các Hệ thống đã kinh doanh tại các thị trường năm 2025 (Metfone_Sản phẩm dùng chung)"/>
        <s v="PAKD Dịch vụ HTKT cho các Hệ thống đã kinh doanh tại các thị trường năm 2025 (Metfone_Xây dựng nghiệp vụ kinh doanh)"/>
        <s v="PAKD Dịch vụ HTKT cho các Hệ thống đã kinh doanh tại các thị trường năm 2025 (Natcom_Sản phẩm OCS)"/>
        <s v="PAKD Dịch vụ HTKT cho các Hệ thống đã kinh doanh tại các thị trường năm 2025 (Natcom_Sản phẩm IMS/SMSC)"/>
        <s v="PAKD Dịch vụ HTKT cho các Hệ thống đã kinh doanh tại các thị trường năm 2025 (Natcom_Sản phẩm dùng chung)"/>
        <s v="PAKD Dịch vụ HTKT cho các Hệ thống đã kinh doanh tại các thị trường năm 2025 (Natcom_Xây dựng nghiệp vụ kinh doanh)"/>
        <s v="PAKD Dịch vụ HTKT cho các Hệ thống đã kinh doanh tại các thị trường năm 2025 (Bitel_Sản phẩm OCS)"/>
        <s v="PAKD Dịch vụ HTKT cho các Hệ thống đã kinh doanh tại các thị trường năm 2025 (Bitel_Sản phẩm dùng chung)"/>
        <s v="PAKD Dịch vụ HTKT cho các Hệ thống đã kinh doanh tại các thị trường năm 2025 (Bitel_Xây dựng nghiệp vụ kinh doanh)"/>
        <s v="PAKD Dịch vụ HTKT cho các Hệ thống đã kinh doanh tại các thị trường năm 2025 (StarTelecom_Sản phẩm OCS/CRBT)"/>
        <s v="PAKD Dịch vụ HTKT cho các Hệ thống đã kinh doanh tại các thị trường năm 2025 (StarTelecom_Sản phẩm SMSC)"/>
        <s v="PAKD Dịch vụ HTKT cho các Hệ thống đã kinh doanh tại các thị trường năm 2025 (StarTelecom_Sản phẩm dùng chung)"/>
        <s v="PAKD Dịch vụ HTKT cho các Hệ thống đã kinh doanh tại các thị trường năm 2025 (StarTelecom_Xây dựng nghiệp vụ kinh doanh)"/>
        <s v="PAKD Dịch vụ HTKT cho các Hệ thống đã kinh doanh tại các thị trường năm 2025 (Lumitel_Sản phẩm OCS/CRBT)"/>
        <s v="PAKD Dịch vụ HTKT cho các Hệ thống đã kinh doanh tại các thị trường năm 2025 (Lumitel_Sản phẩm dùng chung)"/>
        <s v="PAKD Dịch vụ HTKT cho các Hệ thống đã kinh doanh tại các thị trường năm 2025 (Lumitel_Xây dựng nghiệp vụ kinh doanh)"/>
        <s v="PAKD Dịch vụ HTKT cho các Hệ thống đã kinh doanh tại các thị trường năm 2025 (Timor_Sản phẩm OCS/CRBT)"/>
        <s v="PAKD Dịch vụ HTKT cho các Hệ thống đã kinh doanh tại các thị trường năm 2025 (Timor Leste_Sản phẩm OCS)"/>
        <s v="PAKD Dịch vụ HTKT cho các Hệ thống đã kinh doanh tại các thị trường năm 2025 (Timor_Sản phẩm SMSC)"/>
        <s v="PAKD Dịch vụ HTKT cho các Hệ thống đã kinh doanh tại các thị trường năm 2025 (Timor Leste_Sản phẩm SMSC)"/>
        <s v="PAKD Dịch vụ HTKT cho các Hệ thống đã kinh doanh tại các thị trường năm 2025 (Timor_Sản phẩm dùng chung)"/>
        <s v="PAKD Dịch vụ HTKT cho các Hệ thống đã kinh doanh tại các thị trường năm 2025 (Timor_Xây dựng nghiệp vụ kinh doanh)"/>
        <s v="PAKD mở rộng phần mềm hệ thống vSMSC cho Công ty Burundi Business Telecom 2024"/>
        <s v="PAKD mở rộng phần mềm hệ thống vSMSC cho Công ty Burundi Business Telecom"/>
        <s v="Dự án sản xuất 580K thiết bị WIFI AP"/>
        <s v="Sản xuất và cung cấp 105K thiết bị AP WIFI"/>
        <s v="VTTEK_PAKD_0011: 1000 điện thoại Smartphone 4G bảo mật (VIPPHONE)"/>
        <s v="Cung cấp thiết bị và dịch vụ phục vụ xây dựng mạng 5G PRIVATE tại công ty TNHH LG INNOTEK"/>
        <s v="Dự án nâng cấp hệ thống tính cước (OCS3.0 lên 4.0) năm 2023 (OCS 100M)"/>
        <s v="Sản xuất và triển khai 700K thiết bị ONT dualband"/>
        <s v="Sản xuất và cung cấp 500K thiết bị ONT 02 băng tần"/>
        <s v="Triển khai sản xuất và cung cấp  134.000 thiết bị ONT 02 băng tần"/>
        <s v="Dự án đầu tư Nền tảng quản lý kết nối CMP (Connectivity Management Platform)"/>
        <s v="Cung cấp Giải pháp AI Camera cho doanh nghiệp"/>
        <s v="Cung cấp Giải pháp AI Camera cho doanh nghiệp (Giải pháp tổng thể)"/>
        <s v="Cung cấp Giải pháp AI Camera cho doanh nghiệp (Giải pháp phần mềm)"/>
        <s v="Dự án đầu tư phát triển nền tảng ngôi nhà thông minh (Smarthome Platform)"/>
        <s v="PAKD Cung cấp 01 Hệ thống quản lý nhà thông minh (SMARTHOME) cho Tổng công ty Viễn thông VIETTEL"/>
        <s v="Phương án kinh doanh cung cấp 01 Giải pháp phần mềm quản lý, giám sát VMS và 04 Giải pháp phần mềm nhận diện khuôn mặt cho Viettel Thái Nguyên"/>
        <s v="PAKD cung cấp 01 Giải pháp phần mềm quản lý, giám sát nâng cao VMS Advanced và 04 Giải pháp phần mềm nhận diện khuôn mặt cho Viettel Thái Nguyên (01 GPPM VMS Advanced)"/>
        <s v="PAKD cung cấp 01 Giải pháp phần mềm quản lý, giám sát nâng cao VMS Advanced và 04 Giải pháp phần mềm nhận diện khuôn mặt cho Viettel Thái Nguyên (04 GPPM nhận diện khuôn mặt)"/>
        <s v="Phương án kinh doanh cung cấp 07 Giải pháp tổng thể Camera AI và 01 phần mềm điều khiển cửa cho Công ty Cổ phần ZME"/>
        <s v="PAKD cung cấp 01 “Giải pháp phần mềm xử phạt” cho Viettel Bình Định"/>
        <s v="Cung cấp hệ thống giám sát hành trình xe vTracking 2.0"/>
        <s v="Thiết bị định vị thông minh Personal Tracking"/>
        <s v="Phương án kinh doanh cung cấp 2000 thiết bị giám sát hành trình tàu thuyền S-Tracking cho Công ty SDVICO"/>
        <s v="PAKD cung cấp DV HTKT hệ thống giám sát hành trình tàu thuyền S-Tracking từ 2025-2030 cho TCT Viễn thông Viettel "/>
        <s v="Phương án kinh doanh cung cấp phần mềm tích hợp chia sẻ dữ liệu chuyên ngành thuộc Đề án xây dựng thành phố thông minh cho cho Viettel Đà Nẵng"/>
        <s v="Cung cấp 1350 license giải pháp phần mềm và 100 gói dịch vụ triển khai"/>
        <s v="Phương án kinh doanh cung cấp 1350 license giải pháp phần mềm và 100 gói dịch vụ triển khai"/>
        <s v="Cung cấp dịch vụ thuê 01 Nền tảng quản lý kết nối CMP cho Tổng Công ty Viễn thông Viettel"/>
        <s v="PAKD cung cấp 16.000 máy tính để bàn chuyên dụng phục vụ nhiệm vụ Quân sự - Quốc phòng năm 2024-2025"/>
        <s v="Sản xuất 2000 hệ thống thông tin (bao gồm máy VRU812/S 50W và VIS) kèm vật tư dự phòng và Lắp đặt trên xe tăng thiết giáp, xe đặc chủng năm 2024 (Bộ vật tư dự phòng Bộ thông thoại số VIS phiên bản 2024 )" u="1"/>
      </sharedItems>
    </cacheField>
    <cacheField name="VIET TAT" numFmtId="0">
      <sharedItems containsBlank="1"/>
    </cacheField>
    <cacheField name="NGUỒN" numFmtId="0">
      <sharedItems containsBlank="1" count="5">
        <s v="SXKD"/>
        <s v="Bán hàng"/>
        <s v="Bảo hành"/>
        <m/>
        <s v="ĐTPT"/>
      </sharedItems>
    </cacheField>
    <cacheField name="PHÂN LOẠI" numFmtId="0">
      <sharedItems count="2">
        <s v="Chính"/>
        <s v="Thành phần"/>
      </sharedItems>
    </cacheField>
    <cacheField name="TÌNH TRẠNG PHÂN BỔ" numFmtId="0">
      <sharedItems count="3">
        <s v="Đang phân bổ"/>
        <s v="Đã hết hạn"/>
        <s v="Đang trình phê duyệt"/>
      </sharedItems>
    </cacheField>
    <cacheField name="TỔNG DỰ TOÁN" numFmtId="0">
      <sharedItems containsString="0" containsBlank="1" containsNumber="1" minValue="28171715" maxValue="1392895040060"/>
    </cacheField>
    <cacheField name="CP NHÂN CÔNG THEO DỰ TOÁN" numFmtId="0">
      <sharedItems containsString="0" containsBlank="1" containsNumber="1" minValue="0" maxValue="91646622449"/>
    </cacheField>
    <cacheField name="BẮT ĐẦU" numFmtId="0">
      <sharedItems containsDate="1" containsBlank="1" containsMixedTypes="1" minDate="2020-07-01T00:00:00" maxDate="2027-03-02T00:00:00"/>
    </cacheField>
    <cacheField name="KẾT THÚC" numFmtId="0">
      <sharedItems containsDate="1" containsBlank="1" containsMixedTypes="1" minDate="2022-12-01T00:00:00" maxDate="2030-04-02T00:00:00"/>
    </cacheField>
    <cacheField name="PM" numFmtId="0">
      <sharedItems containsBlank="1"/>
    </cacheField>
    <cacheField name="PA" numFmtId="0">
      <sharedItems containsBlank="1"/>
    </cacheField>
    <cacheField name="MÃ SAP DỰ ÁN" numFmtId="0">
      <sharedItems containsBlank="1"/>
    </cacheField>
    <cacheField name="Chi phí còn lại chưa phân bổ " numFmtId="167">
      <sharedItems containsString="0" containsBlank="1" containsNumber="1" minValue="-17998876167" maxValue="81582261056"/>
    </cacheField>
    <cacheField name="Lũy kế 2025 đã phân bổ" numFmtId="167">
      <sharedItems containsString="0" containsBlank="1" containsNumber="1" minValue="0" maxValue="59859747266"/>
    </cacheField>
    <cacheField name="Lũy kế 2024 đã phân bổ " numFmtId="167">
      <sharedItems containsBlank="1" containsMixedTypes="1" containsNumber="1" minValue="0" maxValue="59673270852"/>
    </cacheField>
    <cacheField name="Tháng 1/2025" numFmtId="0">
      <sharedItems containsString="0" containsBlank="1" containsNumber="1" containsInteger="1" minValue="0" maxValue="1964866691"/>
    </cacheField>
    <cacheField name="Tháng 2/2025" numFmtId="0">
      <sharedItems containsString="0" containsBlank="1" containsNumber="1" containsInteger="1" minValue="0" maxValue="1757198048"/>
    </cacheField>
    <cacheField name="03/2025" numFmtId="0">
      <sharedItems containsString="0" containsBlank="1" containsNumber="1" containsInteger="1" minValue="0" maxValue="1751365904"/>
    </cacheField>
    <cacheField name="04/2025" numFmtId="167">
      <sharedItems containsSemiMixedTypes="0" containsString="0" containsNumber="1" containsInteger="1" minValue="0" maxValue="1773388435"/>
    </cacheField>
    <cacheField name="05/2025" numFmtId="167">
      <sharedItems containsString="0" containsBlank="1" containsNumber="1" containsInteger="1" minValue="877507" maxValue="1224345200"/>
    </cacheField>
    <cacheField name="06/2025" numFmtId="167">
      <sharedItems containsString="0" containsBlank="1" containsNumber="1" containsInteger="1" minValue="877507" maxValue="1224345200"/>
    </cacheField>
    <cacheField name="07/2025" numFmtId="167">
      <sharedItems containsString="0" containsBlank="1" containsNumber="1" containsInteger="1" minValue="877507" maxValue="1224345200"/>
    </cacheField>
    <cacheField name="08/2025" numFmtId="167">
      <sharedItems containsString="0" containsBlank="1" containsNumber="1" containsInteger="1" minValue="877507" maxValue="1224345200"/>
    </cacheField>
    <cacheField name="09/2025" numFmtId="167">
      <sharedItems containsString="0" containsBlank="1" containsNumber="1" containsInteger="1" minValue="877507" maxValue="1224345200"/>
    </cacheField>
    <cacheField name="10/2025" numFmtId="167">
      <sharedItems containsString="0" containsBlank="1" containsNumber="1" containsInteger="1" minValue="877507" maxValue="1224345200"/>
    </cacheField>
    <cacheField name="11/2025" numFmtId="167">
      <sharedItems containsString="0" containsBlank="1" containsNumber="1" containsInteger="1" minValue="877507" maxValue="1224345200"/>
    </cacheField>
    <cacheField name="12/2025" numFmtId="167">
      <sharedItems containsString="0" containsBlank="1" containsNumber="1" containsInteger="1" minValue="877507" maxValue="1224345200"/>
    </cacheField>
    <cacheField name="Tháng 01/2024" numFmtId="167">
      <sharedItems containsString="0" containsBlank="1" containsNumber="1" containsInteger="1" minValue="0" maxValue="1679310552"/>
    </cacheField>
    <cacheField name="Tháng 02/2024" numFmtId="167">
      <sharedItems containsString="0" containsBlank="1" containsNumber="1" containsInteger="1" minValue="0" maxValue="1679065591"/>
    </cacheField>
    <cacheField name="Tháng 3/2024" numFmtId="167">
      <sharedItems containsString="0" containsBlank="1" containsNumber="1" containsInteger="1" minValue="0" maxValue="1896706160"/>
    </cacheField>
    <cacheField name="Tháng 4/2024" numFmtId="167">
      <sharedItems containsString="0" containsBlank="1" containsNumber="1" containsInteger="1" minValue="0" maxValue="1739735850"/>
    </cacheField>
    <cacheField name="Tháng 5/2024" numFmtId="167">
      <sharedItems containsString="0" containsBlank="1" containsNumber="1" containsInteger="1" minValue="0" maxValue="1706422521"/>
    </cacheField>
    <cacheField name="Tháng 6/2024" numFmtId="167">
      <sharedItems containsString="0" containsBlank="1" containsNumber="1" containsInteger="1" minValue="0" maxValue="1776679629"/>
    </cacheField>
    <cacheField name="Tháng 7/2024" numFmtId="167">
      <sharedItems containsString="0" containsBlank="1" containsNumber="1" containsInteger="1" minValue="0" maxValue="2175981982"/>
    </cacheField>
    <cacheField name="6 Tháng" numFmtId="167">
      <sharedItems containsString="0" containsBlank="1" containsNumber="1" minValue="0" maxValue="1440621527"/>
    </cacheField>
    <cacheField name="Tháng 8/2024" numFmtId="167">
      <sharedItems containsString="0" containsBlank="1" containsNumber="1" containsInteger="1" minValue="0" maxValue="2262934741"/>
    </cacheField>
    <cacheField name="Tháng 9/2024" numFmtId="167">
      <sharedItems containsString="0" containsBlank="1" containsNumber="1" containsInteger="1" minValue="0" maxValue="1402963284"/>
    </cacheField>
    <cacheField name="Tháng 10/2024" numFmtId="167">
      <sharedItems containsString="0" containsBlank="1" containsNumber="1" containsInteger="1" minValue="0" maxValue="1260432106"/>
    </cacheField>
    <cacheField name="Tháng 11/2024" numFmtId="167">
      <sharedItems containsString="0" containsBlank="1" containsNumber="1" containsInteger="1" minValue="0" maxValue="1274163538"/>
    </cacheField>
    <cacheField name="Tháng 12/2024" numFmtId="167">
      <sharedItems containsString="0" containsBlank="1" containsNumber="1" containsInteger="1" minValue="0" maxValue="2114843555"/>
    </cacheField>
    <cacheField name="Lương SXKD Năm 2024" numFmtId="0">
      <sharedItems containsString="0" containsBlank="1" containsNumber="1" containsInteger="1" minValue="0" maxValue="1208394970"/>
    </cacheField>
    <cacheField name="Lương SXKD BS Năm 2024" numFmtId="0">
      <sharedItems containsString="0" containsBlank="1" containsNumber="1" containsInteger="1" minValue="0" maxValue="5581867837"/>
    </cacheField>
    <cacheField name="Lũy kế 2023" numFmtId="0">
      <sharedItems containsString="0" containsBlank="1" containsNumber="1" containsInteger="1" minValue="0" maxValue="39878594098"/>
    </cacheField>
    <cacheField name="CHECK" numFmtId="167">
      <sharedItems containsString="0" containsBlank="1" containsNumber="1" containsInteger="1" minValue="0" maxValue="0"/>
    </cacheField>
    <cacheField name="Tạm tính lương 6T" numFmtId="0">
      <sharedItems containsString="0" containsBlank="1" containsNumber="1" minValue="0" maxValue="864680088.83333337"/>
    </cacheField>
    <cacheField name="Tạm tính lương Năm + Năm BS 2025" numFmtId="0">
      <sharedItems containsString="0" containsBlank="1" containsNumber="1" minValue="0" maxValue="5112099492.041666"/>
    </cacheField>
  </cacheFields>
  <extLst>
    <ext xmlns:x14="http://schemas.microsoft.com/office/spreadsheetml/2009/9/main" uri="{725AE2AE-9491-48be-B2B4-4EB974FC3084}">
      <x14:pivotCacheDefinition pivotCacheId="9"/>
    </ext>
  </extLst>
</pivotCacheDefinition>
</file>

<file path=xl/pivotCache/pivotCacheRecords1.xml><?xml version="1.0" encoding="utf-8"?>
<pivotCacheRecords xmlns="http://schemas.openxmlformats.org/spreadsheetml/2006/main" xmlns:r="http://schemas.openxmlformats.org/officeDocument/2006/relationships" count="612">
  <r>
    <n v="1"/>
    <x v="0"/>
    <x v="0"/>
    <s v="CHĐK"/>
    <x v="0"/>
    <s v="VQ2M2"/>
    <x v="0"/>
    <x v="0"/>
    <x v="0"/>
    <n v="462027852000"/>
    <n v="6790796793"/>
    <s v="04/2021"/>
    <d v="2025-05-01T00:00:00"/>
    <s v="vietnd4@viettel.com.vn"/>
    <s v="halt73@viettel.com.vn"/>
    <s v="PO-92024"/>
    <n v="-2424636090"/>
    <n v="9215432883"/>
    <n v="8811820593"/>
    <n v="99610255"/>
    <n v="96606072"/>
    <n v="88154981"/>
    <n v="119240982"/>
    <m/>
    <m/>
    <m/>
    <m/>
    <m/>
    <m/>
    <m/>
    <m/>
    <n v="0"/>
    <n v="0"/>
    <n v="0"/>
    <n v="0"/>
    <n v="0"/>
    <n v="0"/>
    <n v="0"/>
    <n v="0"/>
    <n v="0"/>
    <n v="0"/>
    <n v="0"/>
    <n v="0"/>
    <n v="0"/>
    <n v="0"/>
    <n v="0"/>
    <n v="6615990898"/>
    <n v="0"/>
    <m/>
    <m/>
  </r>
  <r>
    <s v=""/>
    <x v="0"/>
    <x v="0"/>
    <s v="CHĐK"/>
    <x v="0"/>
    <s v="VQ2M2"/>
    <x v="0"/>
    <x v="1"/>
    <x v="1"/>
    <m/>
    <m/>
    <s v="04/2021"/>
    <d v="2022-12-01T00:00:00"/>
    <m/>
    <m/>
    <s v="PO-92024"/>
    <m/>
    <n v="2792206426"/>
    <n v="2792206426"/>
    <m/>
    <m/>
    <n v="0"/>
    <n v="0"/>
    <m/>
    <m/>
    <m/>
    <m/>
    <m/>
    <m/>
    <m/>
    <m/>
    <m/>
    <m/>
    <m/>
    <m/>
    <m/>
    <m/>
    <m/>
    <m/>
    <m/>
    <m/>
    <m/>
    <m/>
    <m/>
    <m/>
    <m/>
    <n v="2792206426"/>
    <n v="0"/>
    <m/>
    <m/>
  </r>
  <r>
    <s v=""/>
    <x v="0"/>
    <x v="0"/>
    <s v="TTSX"/>
    <x v="0"/>
    <s v="VQ2M2"/>
    <x v="0"/>
    <x v="1"/>
    <x v="1"/>
    <m/>
    <m/>
    <s v="04/2021"/>
    <d v="2022-12-01T00:00:00"/>
    <m/>
    <m/>
    <s v="PO-92024"/>
    <m/>
    <n v="1593227657"/>
    <n v="1593227657"/>
    <m/>
    <m/>
    <n v="0"/>
    <n v="0"/>
    <m/>
    <m/>
    <m/>
    <m/>
    <m/>
    <m/>
    <m/>
    <m/>
    <m/>
    <m/>
    <m/>
    <m/>
    <m/>
    <m/>
    <m/>
    <m/>
    <m/>
    <m/>
    <m/>
    <m/>
    <m/>
    <m/>
    <m/>
    <n v="1593227657"/>
    <n v="0"/>
    <m/>
    <m/>
  </r>
  <r>
    <s v=""/>
    <x v="0"/>
    <x v="0"/>
    <s v="DVSBH"/>
    <x v="0"/>
    <s v="VQ2M2"/>
    <x v="0"/>
    <x v="1"/>
    <x v="1"/>
    <m/>
    <m/>
    <s v="04/2021"/>
    <d v="2022-12-01T00:00:00"/>
    <m/>
    <m/>
    <s v="PO-92024"/>
    <m/>
    <n v="2230556815"/>
    <n v="2230556815"/>
    <m/>
    <m/>
    <n v="0"/>
    <n v="0"/>
    <m/>
    <m/>
    <m/>
    <m/>
    <m/>
    <m/>
    <m/>
    <m/>
    <m/>
    <m/>
    <m/>
    <m/>
    <m/>
    <m/>
    <m/>
    <m/>
    <m/>
    <m/>
    <m/>
    <m/>
    <m/>
    <m/>
    <m/>
    <n v="2230556815"/>
    <n v="0"/>
    <m/>
    <m/>
  </r>
  <r>
    <s v=""/>
    <x v="0"/>
    <x v="0"/>
    <s v="TTSX"/>
    <x v="0"/>
    <s v="VQ2M2"/>
    <x v="1"/>
    <x v="1"/>
    <x v="1"/>
    <m/>
    <m/>
    <s v="04/2021"/>
    <d v="2023-05-01T00:00:00"/>
    <m/>
    <m/>
    <s v="PO-92024"/>
    <m/>
    <n v="23238041"/>
    <n v="23238041"/>
    <m/>
    <m/>
    <n v="0"/>
    <n v="0"/>
    <m/>
    <m/>
    <m/>
    <m/>
    <m/>
    <m/>
    <m/>
    <m/>
    <m/>
    <m/>
    <m/>
    <m/>
    <m/>
    <m/>
    <m/>
    <m/>
    <m/>
    <m/>
    <m/>
    <m/>
    <m/>
    <m/>
    <m/>
    <n v="23238041"/>
    <n v="0"/>
    <m/>
    <m/>
  </r>
  <r>
    <s v=""/>
    <x v="0"/>
    <x v="0"/>
    <s v="CHĐK"/>
    <x v="0"/>
    <s v="VQ2M2"/>
    <x v="2"/>
    <x v="1"/>
    <x v="0"/>
    <m/>
    <m/>
    <d v="2023-05-01T00:00:00"/>
    <d v="2025-05-01T00:00:00"/>
    <m/>
    <m/>
    <s v="PO-92024"/>
    <m/>
    <n v="203988899"/>
    <n v="203988899"/>
    <m/>
    <m/>
    <n v="0"/>
    <n v="0"/>
    <m/>
    <m/>
    <m/>
    <m/>
    <m/>
    <m/>
    <m/>
    <m/>
    <n v="21724344"/>
    <n v="16321344"/>
    <n v="16747425"/>
    <n v="16747425"/>
    <m/>
    <m/>
    <n v="10499945"/>
    <m/>
    <m/>
    <m/>
    <m/>
    <m/>
    <m/>
    <n v="5131008"/>
    <n v="23053116"/>
    <n v="93764292"/>
    <n v="0"/>
    <n v="0"/>
    <n v="0"/>
  </r>
  <r>
    <s v=""/>
    <x v="0"/>
    <x v="0"/>
    <s v="TTSX"/>
    <x v="0"/>
    <s v="VQ2M2"/>
    <x v="2"/>
    <x v="1"/>
    <x v="0"/>
    <m/>
    <m/>
    <d v="2023-05-01T00:00:00"/>
    <d v="2025-05-01T00:00:00"/>
    <m/>
    <m/>
    <s v="PO-92024"/>
    <m/>
    <n v="56851158"/>
    <n v="56851158"/>
    <m/>
    <m/>
    <n v="0"/>
    <n v="0"/>
    <m/>
    <m/>
    <m/>
    <m/>
    <m/>
    <m/>
    <m/>
    <m/>
    <m/>
    <m/>
    <m/>
    <n v="7213199"/>
    <m/>
    <m/>
    <n v="1011574"/>
    <m/>
    <m/>
    <m/>
    <m/>
    <m/>
    <m/>
    <n v="500936"/>
    <n v="2273289"/>
    <n v="45852160"/>
    <n v="0"/>
    <n v="0"/>
    <n v="0"/>
  </r>
  <r>
    <s v=""/>
    <x v="0"/>
    <x v="0"/>
    <s v="DVSBH"/>
    <x v="0"/>
    <s v="VQ2M2"/>
    <x v="2"/>
    <x v="1"/>
    <x v="0"/>
    <m/>
    <m/>
    <d v="2023-05-01T00:00:00"/>
    <d v="2025-05-01T00:00:00"/>
    <m/>
    <m/>
    <s v="PO-92024"/>
    <m/>
    <n v="2315363887"/>
    <n v="1911751597"/>
    <n v="99610255"/>
    <n v="96606072"/>
    <n v="88154981"/>
    <n v="119240982"/>
    <n v="119240982"/>
    <m/>
    <m/>
    <m/>
    <m/>
    <m/>
    <m/>
    <m/>
    <m/>
    <m/>
    <n v="235000224"/>
    <n v="174518642"/>
    <n v="114579480"/>
    <n v="149621094"/>
    <n v="94092880"/>
    <n v="93126345"/>
    <n v="69330453"/>
    <n v="83515153"/>
    <n v="104608694"/>
    <n v="79613748"/>
    <n v="131455401"/>
    <n v="102957169"/>
    <n v="479332314"/>
    <m/>
    <n v="0"/>
    <n v="87142212"/>
    <n v="239641083"/>
  </r>
  <r>
    <n v="2"/>
    <x v="0"/>
    <x v="0"/>
    <s v="CHĐK"/>
    <x v="1"/>
    <s v="HQ2 GD2"/>
    <x v="0"/>
    <x v="0"/>
    <x v="0"/>
    <n v="358806051173.38574"/>
    <n v="27241434316"/>
    <s v="05/2021"/>
    <d v="2026-06-01T00:00:00"/>
    <s v="duongdt2@viettel.com.vn"/>
    <s v="halt73@viettel.com.vn"/>
    <s v="PO-92030"/>
    <n v="-3209537274"/>
    <n v="30450971590"/>
    <n v="29881531889"/>
    <n v="171632689"/>
    <n v="119870172"/>
    <n v="151019021"/>
    <n v="126917819"/>
    <m/>
    <m/>
    <m/>
    <m/>
    <m/>
    <m/>
    <m/>
    <m/>
    <m/>
    <m/>
    <m/>
    <m/>
    <m/>
    <m/>
    <m/>
    <m/>
    <m/>
    <m/>
    <m/>
    <m/>
    <m/>
    <m/>
    <m/>
    <n v="27110006821"/>
    <n v="0"/>
    <m/>
    <m/>
  </r>
  <r>
    <s v=""/>
    <x v="0"/>
    <x v="0"/>
    <s v="CHĐK"/>
    <x v="1"/>
    <s v="HQ2 GD2"/>
    <x v="0"/>
    <x v="1"/>
    <x v="1"/>
    <m/>
    <m/>
    <s v="05/2021"/>
    <d v="2023-12-01T00:00:00"/>
    <m/>
    <m/>
    <s v="PO-92030"/>
    <m/>
    <n v="19139848046"/>
    <n v="19139848046"/>
    <m/>
    <m/>
    <n v="0"/>
    <n v="0"/>
    <m/>
    <m/>
    <m/>
    <m/>
    <m/>
    <m/>
    <m/>
    <m/>
    <m/>
    <m/>
    <m/>
    <m/>
    <m/>
    <m/>
    <m/>
    <m/>
    <m/>
    <m/>
    <m/>
    <m/>
    <m/>
    <m/>
    <m/>
    <n v="19139848046"/>
    <n v="0"/>
    <m/>
    <m/>
  </r>
  <r>
    <s v=""/>
    <x v="0"/>
    <x v="0"/>
    <s v="TTSX"/>
    <x v="1"/>
    <s v="HQ2 GD2"/>
    <x v="0"/>
    <x v="1"/>
    <x v="1"/>
    <m/>
    <m/>
    <s v="05/2021"/>
    <d v="2023-12-01T00:00:00"/>
    <m/>
    <m/>
    <s v="PO-92030"/>
    <m/>
    <n v="2554690258"/>
    <n v="2554690258"/>
    <m/>
    <m/>
    <n v="0"/>
    <n v="0"/>
    <m/>
    <m/>
    <m/>
    <m/>
    <m/>
    <m/>
    <m/>
    <m/>
    <m/>
    <m/>
    <m/>
    <m/>
    <m/>
    <m/>
    <m/>
    <m/>
    <m/>
    <m/>
    <m/>
    <m/>
    <m/>
    <m/>
    <m/>
    <n v="2554690258"/>
    <n v="0"/>
    <m/>
    <m/>
  </r>
  <r>
    <s v=""/>
    <x v="0"/>
    <x v="0"/>
    <s v="DVSBH"/>
    <x v="1"/>
    <s v="HQ2 GD2"/>
    <x v="0"/>
    <x v="1"/>
    <x v="1"/>
    <m/>
    <m/>
    <s v="05/2021"/>
    <d v="2023-12-01T00:00:00"/>
    <m/>
    <m/>
    <s v="PO-92030"/>
    <m/>
    <n v="5415468517"/>
    <n v="5415468517"/>
    <m/>
    <m/>
    <n v="0"/>
    <n v="0"/>
    <m/>
    <m/>
    <m/>
    <m/>
    <m/>
    <m/>
    <m/>
    <m/>
    <m/>
    <m/>
    <m/>
    <m/>
    <m/>
    <m/>
    <m/>
    <m/>
    <m/>
    <m/>
    <m/>
    <m/>
    <m/>
    <m/>
    <m/>
    <n v="5415468517"/>
    <n v="0"/>
    <m/>
    <m/>
  </r>
  <r>
    <s v=""/>
    <x v="0"/>
    <x v="0"/>
    <s v="CHĐK"/>
    <x v="1"/>
    <s v="HQ2 GD2"/>
    <x v="1"/>
    <x v="1"/>
    <x v="1"/>
    <n v="12585300000"/>
    <m/>
    <s v="05/2021"/>
    <d v="2023-12-01T00:00:00"/>
    <m/>
    <m/>
    <s v="PO-92030"/>
    <m/>
    <n v="183646964"/>
    <n v="183646964"/>
    <m/>
    <m/>
    <n v="0"/>
    <n v="0"/>
    <m/>
    <m/>
    <m/>
    <m/>
    <m/>
    <m/>
    <m/>
    <m/>
    <n v="37184538"/>
    <n v="34883876"/>
    <n v="35608638"/>
    <n v="12449698"/>
    <m/>
    <m/>
    <m/>
    <n v="17108675"/>
    <m/>
    <m/>
    <m/>
    <m/>
    <m/>
    <n v="8512338"/>
    <n v="37899201"/>
    <n v="0"/>
    <n v="0"/>
    <m/>
    <m/>
  </r>
  <r>
    <s v=""/>
    <x v="0"/>
    <x v="0"/>
    <s v="DVSBH"/>
    <x v="1"/>
    <s v="HQ2 GD2"/>
    <x v="1"/>
    <x v="1"/>
    <x v="1"/>
    <m/>
    <m/>
    <s v="05/2021"/>
    <d v="2023-12-01T00:00:00"/>
    <m/>
    <m/>
    <s v="PO-92030"/>
    <m/>
    <n v="749177407"/>
    <n v="749177407"/>
    <m/>
    <m/>
    <n v="0"/>
    <n v="0"/>
    <m/>
    <m/>
    <m/>
    <m/>
    <m/>
    <m/>
    <m/>
    <m/>
    <n v="114204880"/>
    <n v="116418294"/>
    <m/>
    <n v="163396758"/>
    <n v="137900669"/>
    <m/>
    <m/>
    <n v="57701648"/>
    <m/>
    <m/>
    <m/>
    <m/>
    <m/>
    <n v="28021829"/>
    <n v="131533329"/>
    <n v="0"/>
    <n v="0"/>
    <m/>
    <m/>
  </r>
  <r>
    <s v=""/>
    <x v="0"/>
    <x v="0"/>
    <s v="TTSX"/>
    <x v="1"/>
    <s v="HQ2 GD2"/>
    <x v="1"/>
    <x v="1"/>
    <x v="1"/>
    <m/>
    <m/>
    <s v="05/2021"/>
    <d v="2023-12-01T00:00:00"/>
    <m/>
    <m/>
    <s v="PO-92030"/>
    <m/>
    <n v="184192934"/>
    <n v="184192934"/>
    <m/>
    <m/>
    <n v="0"/>
    <n v="0"/>
    <m/>
    <m/>
    <m/>
    <m/>
    <m/>
    <m/>
    <m/>
    <m/>
    <m/>
    <m/>
    <m/>
    <m/>
    <n v="58415784"/>
    <m/>
    <m/>
    <n v="9257998"/>
    <n v="47227374"/>
    <m/>
    <m/>
    <m/>
    <m/>
    <n v="12511880"/>
    <n v="56779898"/>
    <n v="0"/>
    <n v="0"/>
    <m/>
    <m/>
  </r>
  <r>
    <s v=""/>
    <x v="0"/>
    <x v="0"/>
    <s v="ĐBCL"/>
    <x v="1"/>
    <s v="HQ2 GD2"/>
    <x v="2"/>
    <x v="1"/>
    <x v="0"/>
    <n v="18110234529"/>
    <m/>
    <d v="2024-06-01T00:00:00"/>
    <d v="2026-06-01T00:00:00"/>
    <m/>
    <m/>
    <s v="PO-92030"/>
    <m/>
    <n v="375745607"/>
    <n v="228142526"/>
    <n v="33944636"/>
    <n v="29851313"/>
    <n v="38116364"/>
    <n v="45690768"/>
    <n v="45690768"/>
    <n v="45690768"/>
    <n v="45690768"/>
    <n v="45690768"/>
    <n v="45690768"/>
    <n v="45690768"/>
    <n v="45690768"/>
    <n v="45690768"/>
    <m/>
    <m/>
    <m/>
    <m/>
    <m/>
    <m/>
    <m/>
    <m/>
    <n v="30820517"/>
    <n v="27914348"/>
    <n v="31477236"/>
    <n v="25727435"/>
    <n v="49608055"/>
    <n v="11302643"/>
    <n v="51292292"/>
    <m/>
    <n v="0"/>
    <n v="39830769.5"/>
    <n v="235184228.125"/>
  </r>
  <r>
    <s v=""/>
    <x v="0"/>
    <x v="0"/>
    <s v="DVSBH"/>
    <x v="1"/>
    <s v="HQ2 GD2"/>
    <x v="2"/>
    <x v="1"/>
    <x v="0"/>
    <m/>
    <m/>
    <d v="2024-06-01T00:00:00"/>
    <d v="2026-06-01T00:00:00"/>
    <m/>
    <m/>
    <s v="PO-92030"/>
    <m/>
    <n v="1848201857"/>
    <n v="1426365237"/>
    <n v="137688053"/>
    <n v="90018859"/>
    <n v="112902657"/>
    <n v="81227051"/>
    <n v="81227051"/>
    <n v="81227051"/>
    <n v="81227051"/>
    <n v="81227051"/>
    <n v="81227051"/>
    <n v="81227051"/>
    <n v="81227051"/>
    <n v="81227051"/>
    <m/>
    <m/>
    <m/>
    <m/>
    <m/>
    <n v="38300861"/>
    <n v="196569935"/>
    <n v="27181845"/>
    <n v="102877744"/>
    <n v="156242906"/>
    <n v="178247792"/>
    <n v="105592807"/>
    <n v="179550191"/>
    <n v="78691724"/>
    <n v="363109432"/>
    <n v="0"/>
    <n v="0"/>
    <n v="97381787"/>
    <n v="491174304.5"/>
  </r>
  <r>
    <n v="3"/>
    <x v="0"/>
    <x v="0"/>
    <s v="CHĐK"/>
    <x v="2"/>
    <s v="VQ2M3"/>
    <x v="0"/>
    <x v="0"/>
    <x v="0"/>
    <n v="727586173000"/>
    <n v="24197986000"/>
    <d v="2025-03-17T00:00:00"/>
    <d v="2028-12-01T00:00:00"/>
    <s v="vietnd4@viettel.com.vn"/>
    <s v="maint84@viettel.com.vn"/>
    <s v="PO-92157"/>
    <n v="23172099510"/>
    <n v="1025886490"/>
    <m/>
    <m/>
    <m/>
    <n v="395746239"/>
    <n v="630140251"/>
    <m/>
    <m/>
    <m/>
    <m/>
    <m/>
    <m/>
    <m/>
    <m/>
    <m/>
    <m/>
    <m/>
    <m/>
    <m/>
    <m/>
    <m/>
    <m/>
    <m/>
    <m/>
    <m/>
    <m/>
    <m/>
    <m/>
    <m/>
    <m/>
    <n v="0"/>
    <m/>
    <m/>
  </r>
  <r>
    <s v=""/>
    <x v="0"/>
    <x v="0"/>
    <s v="CHĐK"/>
    <x v="2"/>
    <s v="VQ2M3"/>
    <x v="0"/>
    <x v="1"/>
    <x v="0"/>
    <m/>
    <n v="23485261000"/>
    <d v="2025-03-17T00:00:00"/>
    <d v="2026-12-01T00:00:00"/>
    <m/>
    <m/>
    <s v="PO-92157"/>
    <n v="22459374510"/>
    <n v="812742468"/>
    <m/>
    <m/>
    <m/>
    <n v="349901468"/>
    <n v="462841000"/>
    <n v="462841000"/>
    <n v="462841000"/>
    <n v="462841000"/>
    <n v="462841000"/>
    <n v="462841000"/>
    <n v="462841000"/>
    <n v="462841000"/>
    <n v="462841000"/>
    <m/>
    <m/>
    <m/>
    <m/>
    <m/>
    <m/>
    <m/>
    <m/>
    <m/>
    <m/>
    <m/>
    <m/>
    <m/>
    <m/>
    <m/>
    <m/>
    <n v="0"/>
    <n v="289737411.33333331"/>
    <n v="2069590631.1666667"/>
  </r>
  <r>
    <s v=""/>
    <x v="0"/>
    <x v="0"/>
    <s v="ĐBCL"/>
    <x v="2"/>
    <s v="VQ2M3"/>
    <x v="0"/>
    <x v="1"/>
    <x v="0"/>
    <m/>
    <m/>
    <d v="2025-03-17T00:00:00"/>
    <d v="2026-12-01T00:00:00"/>
    <m/>
    <m/>
    <s v="PO-92157"/>
    <m/>
    <n v="87703040"/>
    <m/>
    <m/>
    <m/>
    <n v="45844771"/>
    <n v="41858269"/>
    <n v="41858269"/>
    <n v="41858269"/>
    <n v="41858269"/>
    <n v="41858269"/>
    <n v="41858269"/>
    <n v="41858269"/>
    <n v="41858269"/>
    <n v="41858269"/>
    <m/>
    <m/>
    <m/>
    <m/>
    <m/>
    <m/>
    <m/>
    <m/>
    <m/>
    <m/>
    <m/>
    <m/>
    <m/>
    <m/>
    <m/>
    <m/>
    <n v="0"/>
    <n v="28569929.666666668"/>
    <n v="193677546.33333334"/>
  </r>
  <r>
    <s v=""/>
    <x v="0"/>
    <x v="0"/>
    <s v="DVSBH"/>
    <x v="2"/>
    <s v="VQ2M3"/>
    <x v="0"/>
    <x v="1"/>
    <x v="0"/>
    <m/>
    <m/>
    <d v="2025-03-17T00:00:00"/>
    <d v="2026-12-01T00:00:00"/>
    <m/>
    <m/>
    <s v="PO-92157"/>
    <m/>
    <n v="125440982"/>
    <m/>
    <m/>
    <m/>
    <m/>
    <n v="125440982"/>
    <n v="125440982"/>
    <n v="125440982"/>
    <n v="125440982"/>
    <n v="125440982"/>
    <n v="125440982"/>
    <n v="125440982"/>
    <n v="125440982"/>
    <n v="125440982"/>
    <m/>
    <m/>
    <m/>
    <m/>
    <m/>
    <m/>
    <m/>
    <m/>
    <m/>
    <m/>
    <m/>
    <m/>
    <m/>
    <m/>
    <m/>
    <m/>
    <n v="0"/>
    <n v="62720491"/>
    <n v="517444050.75"/>
  </r>
  <r>
    <s v=""/>
    <x v="0"/>
    <x v="0"/>
    <s v="CHĐK"/>
    <x v="2"/>
    <s v="VQ2M3"/>
    <x v="1"/>
    <x v="1"/>
    <x v="0"/>
    <m/>
    <n v="712725000"/>
    <d v="2025-03-17T00:00:00"/>
    <d v="2028-12-01T00:00:00"/>
    <m/>
    <m/>
    <s v="PO-92157"/>
    <n v="712725000"/>
    <n v="0"/>
    <m/>
    <m/>
    <m/>
    <n v="0"/>
    <n v="0"/>
    <m/>
    <m/>
    <m/>
    <m/>
    <m/>
    <m/>
    <m/>
    <m/>
    <m/>
    <m/>
    <m/>
    <m/>
    <m/>
    <m/>
    <m/>
    <m/>
    <m/>
    <m/>
    <m/>
    <m/>
    <m/>
    <m/>
    <m/>
    <m/>
    <n v="0"/>
    <n v="0"/>
    <n v="0"/>
  </r>
  <r>
    <s v=""/>
    <x v="0"/>
    <x v="0"/>
    <s v="CHĐK"/>
    <x v="2"/>
    <s v="VQ2M3"/>
    <x v="2"/>
    <x v="1"/>
    <x v="0"/>
    <m/>
    <m/>
    <d v="2026-12-01T00:00:00"/>
    <d v="2028-12-01T00:00:00"/>
    <m/>
    <m/>
    <s v="PO-92157"/>
    <m/>
    <n v="0"/>
    <m/>
    <m/>
    <m/>
    <n v="0"/>
    <n v="0"/>
    <m/>
    <m/>
    <m/>
    <m/>
    <m/>
    <m/>
    <m/>
    <m/>
    <m/>
    <m/>
    <m/>
    <m/>
    <m/>
    <m/>
    <m/>
    <m/>
    <m/>
    <m/>
    <m/>
    <m/>
    <m/>
    <m/>
    <m/>
    <m/>
    <n v="0"/>
    <n v="0"/>
    <n v="0"/>
  </r>
  <r>
    <n v="4"/>
    <x v="0"/>
    <x v="0"/>
    <s v="CHĐK"/>
    <x v="3"/>
    <s v="01 VCHTQ"/>
    <x v="0"/>
    <x v="0"/>
    <x v="0"/>
    <n v="269732596503"/>
    <n v="12145857200"/>
    <d v="2025-04-08T00:00:00"/>
    <d v="2026-12-01T00:00:00"/>
    <s v="tiemnm@viettel.com.vn"/>
    <s v="halt73@viettel.com.vn"/>
    <s v="PO-92166"/>
    <n v="11871132950"/>
    <n v="274724250"/>
    <m/>
    <m/>
    <n v="0"/>
    <n v="0"/>
    <n v="274724250"/>
    <m/>
    <m/>
    <m/>
    <m/>
    <m/>
    <m/>
    <m/>
    <m/>
    <m/>
    <m/>
    <m/>
    <m/>
    <m/>
    <m/>
    <m/>
    <m/>
    <m/>
    <m/>
    <m/>
    <m/>
    <m/>
    <m/>
    <m/>
    <m/>
    <n v="0"/>
    <m/>
    <m/>
  </r>
  <r>
    <s v=""/>
    <x v="0"/>
    <x v="0"/>
    <s v="CHĐK"/>
    <x v="3"/>
    <s v="01 VCHTQ"/>
    <x v="0"/>
    <x v="1"/>
    <x v="0"/>
    <m/>
    <n v="11578669200"/>
    <d v="2025-04-08T00:00:00"/>
    <d v="2027-12-01T00:00:00"/>
    <m/>
    <m/>
    <s v="PO-92166"/>
    <n v="11303944950"/>
    <n v="274724250"/>
    <m/>
    <m/>
    <m/>
    <n v="0"/>
    <n v="274724250"/>
    <n v="274724250"/>
    <n v="274724250"/>
    <n v="274724250"/>
    <n v="274724250"/>
    <n v="274724250"/>
    <n v="274724250"/>
    <n v="274724250"/>
    <n v="274724250"/>
    <m/>
    <m/>
    <m/>
    <m/>
    <m/>
    <m/>
    <m/>
    <m/>
    <m/>
    <m/>
    <m/>
    <m/>
    <m/>
    <m/>
    <m/>
    <m/>
    <n v="0"/>
    <n v="137362125"/>
    <n v="1133237531.25"/>
  </r>
  <r>
    <s v=""/>
    <x v="0"/>
    <x v="0"/>
    <s v="CHĐK"/>
    <x v="3"/>
    <s v="01 VCHTQ"/>
    <x v="1"/>
    <x v="1"/>
    <x v="0"/>
    <m/>
    <n v="567188000"/>
    <d v="2025-04-08T00:00:00"/>
    <d v="2027-12-01T00:00:00"/>
    <m/>
    <m/>
    <s v="PO-92166"/>
    <n v="567188000"/>
    <n v="0"/>
    <m/>
    <m/>
    <m/>
    <n v="0"/>
    <n v="0"/>
    <m/>
    <m/>
    <m/>
    <m/>
    <m/>
    <m/>
    <m/>
    <m/>
    <m/>
    <m/>
    <m/>
    <m/>
    <m/>
    <m/>
    <m/>
    <m/>
    <m/>
    <m/>
    <m/>
    <m/>
    <m/>
    <m/>
    <m/>
    <m/>
    <n v="0"/>
    <n v="0"/>
    <n v="0"/>
  </r>
  <r>
    <s v=""/>
    <x v="0"/>
    <x v="0"/>
    <s v="CHĐK"/>
    <x v="3"/>
    <s v="01 VCHTQ"/>
    <x v="2"/>
    <x v="1"/>
    <x v="0"/>
    <m/>
    <m/>
    <d v="2025-04-08T00:00:00"/>
    <d v="2028-12-01T00:00:00"/>
    <m/>
    <m/>
    <s v="PO-92166"/>
    <m/>
    <n v="0"/>
    <m/>
    <m/>
    <m/>
    <n v="0"/>
    <n v="0"/>
    <m/>
    <m/>
    <m/>
    <m/>
    <m/>
    <m/>
    <m/>
    <m/>
    <m/>
    <m/>
    <m/>
    <m/>
    <m/>
    <m/>
    <m/>
    <m/>
    <m/>
    <m/>
    <m/>
    <m/>
    <m/>
    <m/>
    <m/>
    <m/>
    <n v="0"/>
    <n v="0"/>
    <n v="0"/>
  </r>
  <r>
    <n v="5"/>
    <x v="0"/>
    <x v="1"/>
    <s v="MHMP"/>
    <x v="4"/>
    <s v="21 HT MPHL XE TANG "/>
    <x v="0"/>
    <x v="0"/>
    <x v="0"/>
    <n v="160784122283"/>
    <n v="4187657388"/>
    <d v="2021-03-01T00:00:00"/>
    <d v="2026-02-01T00:00:00"/>
    <s v="huongdv15@viettel.com.vn"/>
    <s v="anhntp4@viettel.com.vn"/>
    <s v="PO-92023"/>
    <n v="1664330831"/>
    <n v="2523326557"/>
    <n v="2523326557"/>
    <m/>
    <m/>
    <n v="0"/>
    <n v="0"/>
    <m/>
    <m/>
    <m/>
    <m/>
    <m/>
    <m/>
    <m/>
    <m/>
    <n v="0"/>
    <n v="0"/>
    <n v="0"/>
    <n v="0"/>
    <n v="0"/>
    <n v="0"/>
    <n v="0"/>
    <n v="0"/>
    <n v="0"/>
    <n v="0"/>
    <n v="0"/>
    <n v="0"/>
    <n v="0"/>
    <n v="0"/>
    <n v="0"/>
    <n v="1326361244"/>
    <n v="0"/>
    <m/>
    <m/>
  </r>
  <r>
    <s v=""/>
    <x v="0"/>
    <x v="1"/>
    <s v="MHMP"/>
    <x v="4"/>
    <s v="21 HT MPHL XE TANG "/>
    <x v="0"/>
    <x v="1"/>
    <x v="1"/>
    <m/>
    <n v="1343048000"/>
    <d v="2021-03-01T00:00:00"/>
    <d v="2023-12-01T00:00:00"/>
    <m/>
    <m/>
    <s v="PO-92023"/>
    <m/>
    <n v="1170936147"/>
    <n v="1170936147"/>
    <m/>
    <m/>
    <n v="0"/>
    <n v="0"/>
    <m/>
    <m/>
    <m/>
    <m/>
    <m/>
    <m/>
    <m/>
    <m/>
    <m/>
    <m/>
    <m/>
    <m/>
    <m/>
    <m/>
    <m/>
    <m/>
    <m/>
    <m/>
    <m/>
    <m/>
    <m/>
    <m/>
    <m/>
    <n v="1170936147"/>
    <n v="0"/>
    <n v="0"/>
    <n v="0"/>
  </r>
  <r>
    <s v=""/>
    <x v="0"/>
    <x v="1"/>
    <s v="TTSX"/>
    <x v="4"/>
    <s v="21 HT MPHL XE TANG "/>
    <x v="0"/>
    <x v="1"/>
    <x v="1"/>
    <m/>
    <m/>
    <d v="2021-03-01T00:00:00"/>
    <d v="2023-12-01T00:00:00"/>
    <m/>
    <m/>
    <s v="PO-92023"/>
    <m/>
    <n v="155425097"/>
    <n v="155425097"/>
    <m/>
    <m/>
    <n v="0"/>
    <n v="0"/>
    <m/>
    <m/>
    <m/>
    <m/>
    <m/>
    <m/>
    <m/>
    <m/>
    <m/>
    <m/>
    <m/>
    <m/>
    <m/>
    <m/>
    <m/>
    <m/>
    <m/>
    <m/>
    <m/>
    <m/>
    <m/>
    <m/>
    <m/>
    <n v="155425097"/>
    <n v="0"/>
    <n v="0"/>
    <n v="0"/>
  </r>
  <r>
    <s v=""/>
    <x v="0"/>
    <x v="1"/>
    <s v="DVSBH"/>
    <x v="4"/>
    <s v="21 HT MPHL XE TANG "/>
    <x v="1"/>
    <x v="1"/>
    <x v="0"/>
    <m/>
    <n v="2844609388"/>
    <d v="2021-03-01T00:00:00"/>
    <d v="2026-02-01T00:00:00"/>
    <m/>
    <m/>
    <s v="PO-92023"/>
    <n v="1917068332"/>
    <n v="927541056"/>
    <n v="927541056"/>
    <m/>
    <m/>
    <n v="0"/>
    <n v="0"/>
    <m/>
    <m/>
    <m/>
    <m/>
    <m/>
    <m/>
    <m/>
    <m/>
    <n v="64726617"/>
    <n v="64726617"/>
    <n v="70664004"/>
    <m/>
    <n v="46881940"/>
    <n v="44367118"/>
    <n v="56150272"/>
    <n v="44367118"/>
    <m/>
    <m/>
    <m/>
    <m/>
    <m/>
    <n v="25489547"/>
    <n v="116888565"/>
    <n v="393279258"/>
    <n v="0"/>
    <n v="0"/>
    <n v="0"/>
  </r>
  <r>
    <s v=""/>
    <x v="0"/>
    <x v="1"/>
    <s v="DVSBH"/>
    <x v="4"/>
    <s v="21 HT MPHL XE TANG "/>
    <x v="2"/>
    <x v="1"/>
    <x v="0"/>
    <m/>
    <m/>
    <d v="2024-02-01T00:00:00"/>
    <d v="2026-02-01T00:00:00"/>
    <m/>
    <m/>
    <s v="PO-92023"/>
    <m/>
    <n v="269424257"/>
    <n v="269424257"/>
    <m/>
    <m/>
    <n v="0"/>
    <n v="0"/>
    <m/>
    <m/>
    <m/>
    <m/>
    <m/>
    <m/>
    <m/>
    <m/>
    <m/>
    <m/>
    <m/>
    <m/>
    <m/>
    <m/>
    <m/>
    <m/>
    <m/>
    <n v="15364203"/>
    <n v="62873720"/>
    <n v="115446207"/>
    <m/>
    <n v="13320277"/>
    <n v="62419850"/>
    <n v="0"/>
    <n v="0"/>
    <n v="0"/>
    <n v="0"/>
  </r>
  <r>
    <n v="6"/>
    <x v="0"/>
    <x v="1"/>
    <s v="MHMP"/>
    <x v="5"/>
    <s v="01 HT MPHL KIP CHI HUY VA 02 HT MPHL PHI CONG SU30"/>
    <x v="0"/>
    <x v="0"/>
    <x v="0"/>
    <n v="119465178139"/>
    <n v="5011018275"/>
    <s v="03/2022"/>
    <d v="2027-01-01T00:00:00"/>
    <s v="duongnh9@viettel.com.vn"/>
    <s v="anhntp4@viettel.com.vn"/>
    <s v="PO-92056"/>
    <n v="386028402"/>
    <n v="4624989873"/>
    <n v="4436655133"/>
    <n v="55288947"/>
    <n v="53113570"/>
    <n v="53867793"/>
    <n v="26064430"/>
    <m/>
    <m/>
    <m/>
    <m/>
    <m/>
    <m/>
    <m/>
    <m/>
    <n v="5558323"/>
    <n v="6087688"/>
    <n v="12112079"/>
    <n v="33405070"/>
    <n v="112061169"/>
    <n v="135428658"/>
    <n v="111398620"/>
    <n v="43760287"/>
    <n v="81672987"/>
    <n v="112004405"/>
    <n v="24942240"/>
    <n v="3967432"/>
    <n v="3787096"/>
    <n v="44889590"/>
    <n v="209146794"/>
    <n v="3496432695"/>
    <n v="0"/>
    <m/>
    <m/>
  </r>
  <r>
    <s v=""/>
    <x v="0"/>
    <x v="1"/>
    <s v="MHMP"/>
    <x v="6"/>
    <s v="01 HT MPHL KIP CHI HUY VA 02 HT MPHL PHI CONG SU30 (01 HT)"/>
    <x v="0"/>
    <x v="1"/>
    <x v="1"/>
    <m/>
    <n v="4756346373"/>
    <s v="03/2022"/>
    <s v="12/2024"/>
    <m/>
    <m/>
    <s v="PO-92056"/>
    <m/>
    <n v="1373152265"/>
    <n v="1373152265"/>
    <m/>
    <m/>
    <n v="0"/>
    <n v="0"/>
    <m/>
    <m/>
    <m/>
    <m/>
    <m/>
    <m/>
    <m/>
    <m/>
    <m/>
    <m/>
    <n v="6182251"/>
    <n v="6182251"/>
    <n v="5409471"/>
    <n v="6491363"/>
    <m/>
    <n v="5053085"/>
    <n v="5801118"/>
    <n v="6077360"/>
    <n v="5548894"/>
    <n v="1983716"/>
    <n v="1893548"/>
    <n v="2987455"/>
    <n v="15592791"/>
    <n v="1303948962"/>
    <n v="0"/>
    <n v="0"/>
    <n v="0"/>
  </r>
  <r>
    <s v=""/>
    <x v="0"/>
    <x v="1"/>
    <s v="MHMP"/>
    <x v="7"/>
    <s v="01 HT MPHL KIP CHI HUY VA 02 HT MPHL PHI CONG SU30"/>
    <x v="0"/>
    <x v="1"/>
    <x v="1"/>
    <m/>
    <m/>
    <s v="03/2022"/>
    <s v="12/2024"/>
    <m/>
    <m/>
    <s v="PO-92056"/>
    <m/>
    <n v="2243441003"/>
    <n v="2243441003"/>
    <m/>
    <m/>
    <n v="0"/>
    <n v="0"/>
    <m/>
    <m/>
    <m/>
    <m/>
    <m/>
    <m/>
    <m/>
    <m/>
    <m/>
    <m/>
    <n v="5929828"/>
    <n v="5929828"/>
    <n v="5188603"/>
    <n v="6226321"/>
    <m/>
    <n v="3503238"/>
    <n v="1893548"/>
    <n v="1983716"/>
    <n v="1811220"/>
    <n v="1983716"/>
    <n v="1893548"/>
    <n v="2118081"/>
    <n v="12495623"/>
    <n v="2192483733"/>
    <n v="0"/>
    <n v="0"/>
    <n v="0"/>
  </r>
  <r>
    <s v=""/>
    <x v="0"/>
    <x v="1"/>
    <s v="DVSBH"/>
    <x v="6"/>
    <s v="01 HT MPHL KIP CHI HUY VA 02 HT MPHL PHI CONG SU30 (01 HT)"/>
    <x v="0"/>
    <x v="1"/>
    <x v="1"/>
    <m/>
    <m/>
    <s v="03/2022"/>
    <s v="12/2024"/>
    <m/>
    <m/>
    <s v="PO-92056"/>
    <m/>
    <n v="726448156"/>
    <n v="726448156"/>
    <m/>
    <m/>
    <n v="0"/>
    <n v="0"/>
    <m/>
    <m/>
    <m/>
    <m/>
    <m/>
    <m/>
    <m/>
    <m/>
    <m/>
    <m/>
    <m/>
    <n v="9936730"/>
    <n v="101463095"/>
    <n v="122710974"/>
    <n v="111398620"/>
    <n v="33651947"/>
    <n v="48533219"/>
    <n v="103943329"/>
    <m/>
    <m/>
    <m/>
    <n v="35144731"/>
    <n v="159665511"/>
    <n v="0"/>
    <n v="0"/>
    <n v="0"/>
    <n v="0"/>
  </r>
  <r>
    <s v=""/>
    <x v="0"/>
    <x v="1"/>
    <s v="DVSBH"/>
    <x v="7"/>
    <s v="01 HT MPHL KIP CHI HUY VA 02 HT MPHL PHI CONG SU30"/>
    <x v="0"/>
    <x v="1"/>
    <x v="1"/>
    <m/>
    <m/>
    <s v="03/2022"/>
    <s v="12/2024"/>
    <m/>
    <m/>
    <s v="PO-92056"/>
    <m/>
    <n v="17126797"/>
    <n v="17126797"/>
    <m/>
    <m/>
    <n v="0"/>
    <n v="0"/>
    <m/>
    <m/>
    <m/>
    <m/>
    <m/>
    <m/>
    <m/>
    <m/>
    <m/>
    <m/>
    <m/>
    <n v="11356261"/>
    <m/>
    <m/>
    <m/>
    <n v="1552017"/>
    <m/>
    <m/>
    <m/>
    <m/>
    <m/>
    <n v="761730"/>
    <n v="3456789"/>
    <n v="0"/>
    <n v="0"/>
    <n v="0"/>
    <n v="0"/>
  </r>
  <r>
    <s v=""/>
    <x v="0"/>
    <x v="1"/>
    <s v="ĐBCL"/>
    <x v="6"/>
    <s v="01 HT MPHL KIP CHI HUY VA 02 HT MPHL PHI CONG SU30 (01 HT)"/>
    <x v="0"/>
    <x v="1"/>
    <x v="1"/>
    <m/>
    <m/>
    <s v="03/2022"/>
    <s v="12/2024"/>
    <m/>
    <m/>
    <s v="PO-92056"/>
    <m/>
    <n v="60116300"/>
    <n v="60116300"/>
    <m/>
    <m/>
    <n v="0"/>
    <n v="0"/>
    <m/>
    <m/>
    <m/>
    <m/>
    <m/>
    <m/>
    <m/>
    <m/>
    <m/>
    <m/>
    <m/>
    <m/>
    <m/>
    <m/>
    <m/>
    <m/>
    <n v="25445102"/>
    <m/>
    <n v="17582126"/>
    <m/>
    <m/>
    <n v="3085739"/>
    <n v="14003333"/>
    <n v="0"/>
    <n v="0"/>
    <n v="0"/>
    <n v="0"/>
  </r>
  <r>
    <s v=""/>
    <x v="0"/>
    <x v="1"/>
    <s v="MHMP"/>
    <x v="6"/>
    <s v="01 HT MPHL KIP CHI HUY VA 02 HT MPHL PHI CONG SU30 (01 HT)"/>
    <x v="1"/>
    <x v="1"/>
    <x v="0"/>
    <n v="3824015706"/>
    <n v="254671902"/>
    <d v="2022-03-01T00:00:00"/>
    <d v="2027-01-01T00:00:00"/>
    <m/>
    <m/>
    <s v="PO-92056"/>
    <n v="238301290"/>
    <n v="16370612"/>
    <n v="16370612"/>
    <m/>
    <m/>
    <n v="0"/>
    <n v="0"/>
    <m/>
    <m/>
    <m/>
    <m/>
    <m/>
    <m/>
    <m/>
    <m/>
    <n v="5558323"/>
    <n v="6087688"/>
    <m/>
    <m/>
    <m/>
    <m/>
    <m/>
    <m/>
    <m/>
    <m/>
    <m/>
    <m/>
    <m/>
    <n v="791854"/>
    <n v="3932747"/>
    <n v="0"/>
    <n v="0"/>
    <n v="0"/>
    <n v="0"/>
  </r>
  <r>
    <s v=""/>
    <x v="0"/>
    <x v="1"/>
    <s v="MHMP"/>
    <x v="7"/>
    <s v="01 HT MPHL KIP CHI HUY VA 02 HT MPHL PHI CONG SU30"/>
    <x v="2"/>
    <x v="1"/>
    <x v="0"/>
    <m/>
    <m/>
    <d v="2025-01-01T00:00:00"/>
    <d v="2027-01-01T00:00:00"/>
    <m/>
    <m/>
    <s v="PO-92056"/>
    <m/>
    <n v="108402517"/>
    <n v="0"/>
    <n v="55288947"/>
    <n v="53113570"/>
    <n v="0"/>
    <n v="0"/>
    <m/>
    <m/>
    <m/>
    <m/>
    <m/>
    <m/>
    <m/>
    <m/>
    <m/>
    <m/>
    <m/>
    <m/>
    <m/>
    <m/>
    <m/>
    <m/>
    <m/>
    <m/>
    <m/>
    <m/>
    <m/>
    <m/>
    <m/>
    <n v="0"/>
    <n v="0"/>
    <n v="18067086.166666668"/>
    <n v="49684486.958333336"/>
  </r>
  <r>
    <s v=""/>
    <x v="0"/>
    <x v="1"/>
    <s v="DVSBH"/>
    <x v="7"/>
    <s v="01 HT MPHL KIP CHI HUY VA 02 HT MPHL PHI CONG SU30"/>
    <x v="2"/>
    <x v="1"/>
    <x v="0"/>
    <m/>
    <m/>
    <d v="2025-01-01T00:00:00"/>
    <d v="2027-01-01T00:00:00"/>
    <m/>
    <m/>
    <s v="PO-92056"/>
    <m/>
    <n v="79932223"/>
    <n v="0"/>
    <m/>
    <m/>
    <n v="53867793"/>
    <n v="26064430"/>
    <n v="26064430"/>
    <n v="26064430"/>
    <n v="26064430"/>
    <n v="26064430"/>
    <n v="26064430"/>
    <n v="26064430"/>
    <n v="26064430"/>
    <n v="26064430"/>
    <m/>
    <m/>
    <m/>
    <m/>
    <m/>
    <m/>
    <m/>
    <m/>
    <m/>
    <m/>
    <m/>
    <m/>
    <m/>
    <m/>
    <m/>
    <n v="0"/>
    <n v="0"/>
    <n v="22010180.5"/>
    <n v="132205178.875"/>
  </r>
  <r>
    <n v="7"/>
    <x v="0"/>
    <x v="1"/>
    <s v="MHMP"/>
    <x v="8"/>
    <s v="800 HT MP LAI XE OTO"/>
    <x v="0"/>
    <x v="0"/>
    <x v="0"/>
    <n v="180215061661.112"/>
    <n v="2261152527.5"/>
    <s v="9/2022"/>
    <s v="12/2025"/>
    <s v="thangdm7@viettel.com.vn"/>
    <s v="anhntp4@viettel.com.vn"/>
    <s v="PO-92058"/>
    <n v="1032397236.5"/>
    <n v="1228755291"/>
    <n v="1228755291"/>
    <m/>
    <m/>
    <n v="0"/>
    <n v="0"/>
    <m/>
    <m/>
    <m/>
    <m/>
    <m/>
    <m/>
    <m/>
    <m/>
    <n v="0"/>
    <n v="0"/>
    <n v="0"/>
    <n v="0"/>
    <n v="0"/>
    <n v="0"/>
    <n v="0"/>
    <n v="0"/>
    <n v="0"/>
    <n v="0"/>
    <n v="0"/>
    <n v="0"/>
    <n v="0"/>
    <n v="1953396"/>
    <n v="9751134"/>
    <n v="1185918820"/>
    <n v="0"/>
    <m/>
    <m/>
  </r>
  <r>
    <s v=""/>
    <x v="0"/>
    <x v="1"/>
    <s v="MHMP"/>
    <x v="8"/>
    <s v="800 HT MP LAI XE OTO"/>
    <x v="0"/>
    <x v="1"/>
    <x v="1"/>
    <m/>
    <n v="1121213000"/>
    <s v="9/2022"/>
    <s v="11/2023"/>
    <m/>
    <m/>
    <s v="PO-92058"/>
    <m/>
    <n v="822106866"/>
    <n v="822106866"/>
    <m/>
    <m/>
    <n v="0"/>
    <n v="0"/>
    <m/>
    <m/>
    <m/>
    <m/>
    <m/>
    <m/>
    <m/>
    <m/>
    <m/>
    <m/>
    <m/>
    <m/>
    <m/>
    <m/>
    <m/>
    <m/>
    <m/>
    <m/>
    <m/>
    <m/>
    <m/>
    <m/>
    <m/>
    <n v="822106866"/>
    <n v="0"/>
    <n v="0"/>
    <n v="0"/>
  </r>
  <r>
    <s v=""/>
    <x v="0"/>
    <x v="1"/>
    <s v="MHMP"/>
    <x v="8"/>
    <s v="800 HT MP LAI XE OTO"/>
    <x v="1"/>
    <x v="1"/>
    <x v="0"/>
    <m/>
    <n v="1139939527.5"/>
    <d v="2023-05-01T00:00:00"/>
    <d v="2025-12-01T00:00:00"/>
    <m/>
    <m/>
    <s v="PO-92058"/>
    <n v="733291102.5"/>
    <n v="406648425"/>
    <n v="406648425"/>
    <m/>
    <m/>
    <n v="0"/>
    <n v="0"/>
    <m/>
    <m/>
    <m/>
    <m/>
    <m/>
    <m/>
    <m/>
    <m/>
    <n v="4140938"/>
    <n v="4535315"/>
    <n v="4709419"/>
    <n v="4709419"/>
    <n v="4210213"/>
    <n v="5052254"/>
    <m/>
    <n v="3774383"/>
    <m/>
    <m/>
    <m/>
    <m/>
    <m/>
    <n v="1953396"/>
    <n v="9751134"/>
    <n v="363811954"/>
    <n v="0"/>
    <n v="0"/>
    <n v="0"/>
  </r>
  <r>
    <n v="8"/>
    <x v="0"/>
    <x v="1"/>
    <s v="MHMP"/>
    <x v="9"/>
    <m/>
    <x v="0"/>
    <x v="0"/>
    <x v="1"/>
    <n v="25854423949.625"/>
    <n v="332851575.5"/>
    <s v="4/2024"/>
    <s v="6/2024"/>
    <e v="#N/A"/>
    <e v="#N/A"/>
    <m/>
    <n v="129402535.5"/>
    <n v="203449040"/>
    <n v="203449040"/>
    <m/>
    <m/>
    <n v="0"/>
    <n v="0"/>
    <m/>
    <m/>
    <m/>
    <m/>
    <m/>
    <m/>
    <m/>
    <m/>
    <n v="0"/>
    <n v="0"/>
    <n v="0"/>
    <n v="26955844"/>
    <n v="51624050"/>
    <n v="55228801"/>
    <n v="0"/>
    <n v="19101545"/>
    <n v="0"/>
    <n v="0"/>
    <n v="0"/>
    <n v="0"/>
    <n v="0"/>
    <n v="9114324"/>
    <n v="41424476"/>
    <n v="0"/>
    <n v="0"/>
    <n v="0"/>
    <n v="0"/>
  </r>
  <r>
    <s v=""/>
    <x v="0"/>
    <x v="1"/>
    <s v="MHMP"/>
    <x v="9"/>
    <m/>
    <x v="0"/>
    <x v="1"/>
    <x v="1"/>
    <m/>
    <m/>
    <s v="4/2024"/>
    <s v="6/2024"/>
    <m/>
    <m/>
    <m/>
    <m/>
    <n v="203449040"/>
    <n v="203449040"/>
    <m/>
    <m/>
    <n v="0"/>
    <n v="0"/>
    <m/>
    <m/>
    <m/>
    <m/>
    <m/>
    <m/>
    <m/>
    <m/>
    <m/>
    <m/>
    <m/>
    <n v="26955844"/>
    <n v="51624050"/>
    <n v="55228801"/>
    <m/>
    <n v="19101545"/>
    <m/>
    <m/>
    <m/>
    <m/>
    <m/>
    <n v="9114324"/>
    <n v="41424476"/>
    <n v="0"/>
    <n v="0"/>
    <n v="0"/>
    <n v="0"/>
  </r>
  <r>
    <n v="9"/>
    <x v="0"/>
    <x v="1"/>
    <s v="MHMP"/>
    <x v="10"/>
    <m/>
    <x v="0"/>
    <x v="0"/>
    <x v="1"/>
    <n v="1976441508"/>
    <n v="192634898"/>
    <s v="4/2024"/>
    <s v="12/2024"/>
    <s v="chungpn1@viettel.com.vn"/>
    <s v="anhntp4@viettel.com.vn"/>
    <s v="PO-92204"/>
    <n v="-43835424"/>
    <n v="236470322"/>
    <n v="236470322"/>
    <m/>
    <m/>
    <n v="0"/>
    <n v="0"/>
    <m/>
    <m/>
    <m/>
    <m/>
    <m/>
    <m/>
    <m/>
    <m/>
    <n v="0"/>
    <n v="0"/>
    <n v="0"/>
    <n v="20116807"/>
    <n v="58674026"/>
    <n v="70408832"/>
    <n v="1053883"/>
    <n v="21526392"/>
    <n v="1101787"/>
    <n v="1154254"/>
    <n v="1053883"/>
    <n v="1154254"/>
    <n v="1101787"/>
    <n v="10266555"/>
    <n v="48857862"/>
    <n v="0"/>
    <n v="0"/>
    <n v="0"/>
    <n v="0"/>
  </r>
  <r>
    <s v=""/>
    <x v="0"/>
    <x v="1"/>
    <s v="MHMP"/>
    <x v="10"/>
    <m/>
    <x v="0"/>
    <x v="1"/>
    <x v="1"/>
    <m/>
    <m/>
    <s v="4/2024"/>
    <s v="12/2024"/>
    <m/>
    <m/>
    <s v="PO-92204"/>
    <m/>
    <n v="236470322"/>
    <n v="236470322"/>
    <m/>
    <m/>
    <n v="0"/>
    <n v="0"/>
    <m/>
    <m/>
    <m/>
    <m/>
    <m/>
    <m/>
    <m/>
    <m/>
    <m/>
    <m/>
    <m/>
    <n v="20116807"/>
    <n v="58674026"/>
    <n v="70408832"/>
    <n v="1053883"/>
    <n v="21526392"/>
    <n v="1101787"/>
    <n v="1154254"/>
    <n v="1053883"/>
    <n v="1154254"/>
    <n v="1101787"/>
    <n v="10266555"/>
    <n v="48857862"/>
    <n v="0"/>
    <n v="0"/>
    <n v="0"/>
    <n v="0"/>
  </r>
  <r>
    <n v="10"/>
    <x v="0"/>
    <x v="1"/>
    <s v="MHMP"/>
    <x v="11"/>
    <m/>
    <x v="0"/>
    <x v="0"/>
    <x v="1"/>
    <n v="74111059573.498199"/>
    <n v="1492193130.5"/>
    <s v="4/2024"/>
    <s v="12/2024"/>
    <s v="huongdv15@viettel.com.vn"/>
    <s v="anhntp4@viettel.com.vn"/>
    <s v="PO-92206"/>
    <n v="613208242.5"/>
    <n v="878984888"/>
    <n v="878984888"/>
    <m/>
    <m/>
    <n v="0"/>
    <n v="0"/>
    <m/>
    <m/>
    <m/>
    <m/>
    <m/>
    <m/>
    <m/>
    <m/>
    <n v="0"/>
    <n v="0"/>
    <n v="0"/>
    <n v="37916793"/>
    <n v="77498682"/>
    <n v="85415060"/>
    <n v="79502512"/>
    <n v="29291233"/>
    <n v="164986251"/>
    <n v="149022257"/>
    <n v="1654714"/>
    <n v="1812306"/>
    <n v="1729929"/>
    <n v="39927655"/>
    <n v="210227496"/>
    <n v="0"/>
    <n v="0"/>
    <n v="0"/>
    <n v="0"/>
  </r>
  <r>
    <s v=""/>
    <x v="0"/>
    <x v="1"/>
    <s v="MHMP"/>
    <x v="11"/>
    <m/>
    <x v="0"/>
    <x v="1"/>
    <x v="1"/>
    <m/>
    <m/>
    <s v="4/2024"/>
    <s v="12/2024"/>
    <m/>
    <m/>
    <s v="PO-92206"/>
    <m/>
    <n v="865893736"/>
    <n v="865893736"/>
    <m/>
    <m/>
    <n v="0"/>
    <n v="0"/>
    <m/>
    <m/>
    <m/>
    <m/>
    <m/>
    <m/>
    <m/>
    <m/>
    <m/>
    <m/>
    <m/>
    <n v="37916793"/>
    <n v="77498682"/>
    <n v="85415060"/>
    <n v="79502512"/>
    <n v="29291233"/>
    <n v="155541820"/>
    <n v="149022257"/>
    <n v="1654714"/>
    <n v="1812306"/>
    <n v="1729929"/>
    <n v="39269174"/>
    <n v="207239256"/>
    <n v="0"/>
    <n v="0"/>
    <n v="0"/>
    <n v="0"/>
  </r>
  <r>
    <s v=""/>
    <x v="0"/>
    <x v="1"/>
    <s v="DVSBH"/>
    <x v="11"/>
    <m/>
    <x v="0"/>
    <x v="1"/>
    <x v="1"/>
    <m/>
    <m/>
    <s v="4/2024"/>
    <s v="12/2024"/>
    <m/>
    <m/>
    <s v="PO-92206"/>
    <m/>
    <n v="13091152"/>
    <n v="13091152"/>
    <m/>
    <m/>
    <n v="0"/>
    <n v="0"/>
    <m/>
    <m/>
    <m/>
    <m/>
    <m/>
    <m/>
    <m/>
    <m/>
    <m/>
    <m/>
    <m/>
    <m/>
    <m/>
    <m/>
    <m/>
    <m/>
    <n v="9444431"/>
    <m/>
    <m/>
    <m/>
    <m/>
    <n v="658481"/>
    <n v="2988240"/>
    <n v="0"/>
    <n v="0"/>
    <n v="0"/>
    <n v="0"/>
  </r>
  <r>
    <n v="11"/>
    <x v="0"/>
    <x v="1"/>
    <s v="MHMP"/>
    <x v="12"/>
    <s v="03 HT MP BAN SUNG PHILIPPINES"/>
    <x v="0"/>
    <x v="0"/>
    <x v="1"/>
    <n v="7603420793"/>
    <n v="729211380"/>
    <s v="6/2024"/>
    <s v="1/2025"/>
    <s v="chungpn1@viettel.com.vn"/>
    <s v="anhntp4@viettel.com.vn"/>
    <s v="PO-93023"/>
    <n v="368818365"/>
    <n v="360393015"/>
    <n v="360393015"/>
    <m/>
    <m/>
    <n v="0"/>
    <n v="0"/>
    <m/>
    <m/>
    <m/>
    <m/>
    <m/>
    <m/>
    <m/>
    <m/>
    <n v="0"/>
    <n v="0"/>
    <n v="0"/>
    <n v="0"/>
    <n v="0"/>
    <n v="38759291"/>
    <n v="33857265"/>
    <n v="5074362"/>
    <n v="85637050"/>
    <n v="92043777"/>
    <n v="1918464"/>
    <n v="2101174"/>
    <n v="2005666"/>
    <n v="16810496"/>
    <n v="82185470"/>
    <n v="0"/>
    <n v="0"/>
    <n v="0"/>
    <n v="0"/>
  </r>
  <r>
    <s v=""/>
    <x v="0"/>
    <x v="1"/>
    <s v="MHMP"/>
    <x v="12"/>
    <s v="03 HT MP BAN SUNG PHILIPPINES"/>
    <x v="0"/>
    <x v="1"/>
    <x v="1"/>
    <m/>
    <m/>
    <s v="6/2024"/>
    <s v="1/2025"/>
    <m/>
    <m/>
    <s v="PO-93023"/>
    <m/>
    <n v="360393015"/>
    <n v="360393015"/>
    <m/>
    <m/>
    <n v="0"/>
    <n v="0"/>
    <m/>
    <m/>
    <m/>
    <m/>
    <m/>
    <m/>
    <m/>
    <m/>
    <m/>
    <m/>
    <m/>
    <m/>
    <m/>
    <n v="38759291"/>
    <n v="33857265"/>
    <n v="5074362"/>
    <n v="85637050"/>
    <n v="92043777"/>
    <n v="1918464"/>
    <n v="2101174"/>
    <n v="2005666"/>
    <n v="16810496"/>
    <n v="82185470"/>
    <n v="0"/>
    <n v="0"/>
    <n v="0"/>
    <n v="0"/>
  </r>
  <r>
    <n v="12"/>
    <x v="0"/>
    <x v="1"/>
    <s v="MHMP"/>
    <x v="13"/>
    <s v="04 SA BAN"/>
    <x v="0"/>
    <x v="0"/>
    <x v="0"/>
    <n v="13482446828.235294"/>
    <n v="701419760"/>
    <s v="8/2024"/>
    <s v="12/2025"/>
    <s v="vietnnq@viettel.com.vn"/>
    <s v="anhntp4@viettel.com.vn"/>
    <s v="PO-92210"/>
    <n v="450619742"/>
    <n v="250800018"/>
    <n v="250800018"/>
    <m/>
    <m/>
    <n v="0"/>
    <n v="0"/>
    <m/>
    <m/>
    <m/>
    <m/>
    <m/>
    <m/>
    <m/>
    <m/>
    <n v="0"/>
    <n v="0"/>
    <n v="0"/>
    <n v="0"/>
    <n v="0"/>
    <n v="0"/>
    <n v="0"/>
    <n v="0"/>
    <n v="82943712"/>
    <n v="87001688"/>
    <n v="1926456"/>
    <n v="2109927"/>
    <n v="2187779"/>
    <n v="12011087"/>
    <n v="62619369"/>
    <n v="0"/>
    <n v="0"/>
    <m/>
    <m/>
  </r>
  <r>
    <s v=""/>
    <x v="0"/>
    <x v="1"/>
    <s v="MHMP"/>
    <x v="13"/>
    <s v="04 SA BAN"/>
    <x v="0"/>
    <x v="1"/>
    <x v="0"/>
    <m/>
    <n v="701419760"/>
    <s v="8/2024"/>
    <s v="12/2025"/>
    <m/>
    <m/>
    <s v="PO-92210"/>
    <n v="450619742"/>
    <n v="250800018"/>
    <n v="250800018"/>
    <m/>
    <m/>
    <n v="0"/>
    <n v="0"/>
    <m/>
    <m/>
    <m/>
    <m/>
    <m/>
    <m/>
    <m/>
    <m/>
    <m/>
    <m/>
    <m/>
    <m/>
    <m/>
    <m/>
    <m/>
    <m/>
    <n v="82943712"/>
    <n v="87001688"/>
    <n v="1926456"/>
    <n v="2109927"/>
    <n v="2187779"/>
    <n v="12011087"/>
    <n v="62619369"/>
    <n v="0"/>
    <n v="0"/>
    <n v="0"/>
    <n v="0"/>
  </r>
  <r>
    <n v="13"/>
    <x v="0"/>
    <x v="1"/>
    <s v="MHMP"/>
    <x v="14"/>
    <s v="10 HT MP BAN SUNG PHILIPPINES"/>
    <x v="0"/>
    <x v="0"/>
    <x v="2"/>
    <n v="22110029148"/>
    <n v="2430825236"/>
    <s v="??"/>
    <d v="2025-12-01T00:00:00"/>
    <s v="chungpn1@viettel.com.vn"/>
    <s v="anhntp4@viettel.com.vn"/>
    <s v="Thiếu mã 20"/>
    <n v="2430825236"/>
    <n v="0"/>
    <m/>
    <m/>
    <m/>
    <n v="0"/>
    <n v="0"/>
    <m/>
    <m/>
    <m/>
    <m/>
    <m/>
    <m/>
    <m/>
    <m/>
    <m/>
    <m/>
    <m/>
    <m/>
    <m/>
    <m/>
    <m/>
    <m/>
    <m/>
    <m/>
    <m/>
    <m/>
    <m/>
    <m/>
    <m/>
    <m/>
    <n v="0"/>
    <n v="0"/>
    <n v="0"/>
  </r>
  <r>
    <s v=""/>
    <x v="0"/>
    <x v="1"/>
    <s v="MHMP"/>
    <x v="14"/>
    <s v="10 HT MP BAN SUNG PHILIPPINES"/>
    <x v="0"/>
    <x v="1"/>
    <x v="2"/>
    <m/>
    <m/>
    <s v="??"/>
    <d v="2025-12-01T00:00:00"/>
    <m/>
    <m/>
    <s v="Thiếu mã 20"/>
    <m/>
    <n v="0"/>
    <m/>
    <m/>
    <m/>
    <n v="0"/>
    <n v="0"/>
    <m/>
    <m/>
    <m/>
    <m/>
    <m/>
    <m/>
    <m/>
    <m/>
    <m/>
    <m/>
    <m/>
    <m/>
    <m/>
    <m/>
    <m/>
    <m/>
    <m/>
    <m/>
    <m/>
    <m/>
    <m/>
    <m/>
    <m/>
    <m/>
    <n v="0"/>
    <n v="0"/>
    <n v="0"/>
  </r>
  <r>
    <n v="14"/>
    <x v="0"/>
    <x v="1"/>
    <s v="MHMP"/>
    <x v="15"/>
    <s v="AR SUNGROUP"/>
    <x v="0"/>
    <x v="0"/>
    <x v="0"/>
    <n v="645478580.30274987"/>
    <n v="56752159"/>
    <d v="2025-04-11T00:00:00"/>
    <d v="2025-07-01T00:00:00"/>
    <s v="thanhnd24@viettel.com.vn"/>
    <s v="anhntp4@viettel.com.vn"/>
    <s v="PO-93032"/>
    <n v="51665685"/>
    <n v="5086474"/>
    <m/>
    <m/>
    <m/>
    <n v="0"/>
    <n v="5086474"/>
    <m/>
    <m/>
    <m/>
    <m/>
    <m/>
    <m/>
    <m/>
    <m/>
    <m/>
    <m/>
    <m/>
    <m/>
    <m/>
    <m/>
    <m/>
    <m/>
    <m/>
    <m/>
    <m/>
    <m/>
    <m/>
    <m/>
    <m/>
    <m/>
    <n v="0"/>
    <m/>
    <m/>
  </r>
  <r>
    <s v=""/>
    <x v="0"/>
    <x v="1"/>
    <s v="MHMP"/>
    <x v="15"/>
    <s v="AR SUNGROUP"/>
    <x v="0"/>
    <x v="1"/>
    <x v="0"/>
    <m/>
    <n v="56752159"/>
    <d v="2025-04-11T00:00:00"/>
    <d v="2025-12-01T00:00:00"/>
    <m/>
    <m/>
    <s v="PO-93032"/>
    <n v="51665685"/>
    <n v="5086474"/>
    <m/>
    <m/>
    <m/>
    <n v="0"/>
    <n v="5086474"/>
    <n v="5086474"/>
    <n v="5086474"/>
    <n v="5086474"/>
    <n v="5086474"/>
    <n v="5086474"/>
    <n v="5086474"/>
    <n v="5086474"/>
    <n v="5086474"/>
    <m/>
    <m/>
    <m/>
    <m/>
    <m/>
    <m/>
    <m/>
    <m/>
    <m/>
    <m/>
    <m/>
    <m/>
    <m/>
    <m/>
    <m/>
    <m/>
    <n v="0"/>
    <n v="2543237"/>
    <n v="20981705.25"/>
  </r>
  <r>
    <n v="15"/>
    <x v="0"/>
    <x v="2"/>
    <s v="QĐT"/>
    <x v="16"/>
    <s v="11 DAI QDT VEE-LRA VA 13 ZIP 2021"/>
    <x v="0"/>
    <x v="0"/>
    <x v="0"/>
    <n v="106244921398.77116"/>
    <n v="3589200000"/>
    <s v="6/2021"/>
    <d v="2025-05-01T00:00:00"/>
    <s v="namth14@viettel.com.vn"/>
    <s v="phuongvt5@viettel.com.vn"/>
    <s v="PO-92029"/>
    <n v="-878227906"/>
    <n v="4467427906"/>
    <n v="4252710646"/>
    <n v="72985607"/>
    <n v="67827777"/>
    <n v="43636936"/>
    <n v="30266940"/>
    <m/>
    <m/>
    <m/>
    <m/>
    <m/>
    <m/>
    <m/>
    <m/>
    <n v="0"/>
    <n v="0"/>
    <n v="0"/>
    <n v="0"/>
    <n v="0"/>
    <n v="0"/>
    <n v="0"/>
    <n v="0"/>
    <n v="0"/>
    <n v="0"/>
    <n v="0"/>
    <n v="0"/>
    <n v="0"/>
    <n v="0"/>
    <n v="0"/>
    <n v="3294473845"/>
    <n v="0"/>
    <m/>
    <m/>
  </r>
  <r>
    <s v=""/>
    <x v="0"/>
    <x v="2"/>
    <s v="QĐT"/>
    <x v="17"/>
    <m/>
    <x v="0"/>
    <x v="1"/>
    <x v="1"/>
    <m/>
    <n v="1647900000"/>
    <s v="6/2021"/>
    <s v="7/2022"/>
    <m/>
    <m/>
    <s v="PO-92029"/>
    <m/>
    <n v="2383764718"/>
    <n v="2383764718"/>
    <m/>
    <m/>
    <n v="0"/>
    <n v="0"/>
    <m/>
    <m/>
    <m/>
    <m/>
    <m/>
    <m/>
    <m/>
    <m/>
    <m/>
    <m/>
    <m/>
    <m/>
    <m/>
    <m/>
    <m/>
    <m/>
    <m/>
    <m/>
    <m/>
    <m/>
    <m/>
    <m/>
    <m/>
    <n v="2383764718"/>
    <n v="0"/>
    <n v="0"/>
    <n v="0"/>
  </r>
  <r>
    <m/>
    <x v="0"/>
    <x v="2"/>
    <s v="QĐT"/>
    <x v="18"/>
    <m/>
    <x v="0"/>
    <x v="1"/>
    <x v="1"/>
    <m/>
    <n v="1941300000"/>
    <s v="6/2021"/>
    <s v="7/2022"/>
    <m/>
    <m/>
    <s v="PO-92029"/>
    <m/>
    <n v="486258438"/>
    <n v="486258438"/>
    <m/>
    <m/>
    <n v="0"/>
    <n v="0"/>
    <m/>
    <m/>
    <m/>
    <m/>
    <m/>
    <m/>
    <m/>
    <m/>
    <m/>
    <m/>
    <m/>
    <m/>
    <m/>
    <m/>
    <m/>
    <m/>
    <m/>
    <m/>
    <m/>
    <m/>
    <m/>
    <m/>
    <m/>
    <n v="486258438"/>
    <n v="0"/>
    <n v="0"/>
    <n v="0"/>
  </r>
  <r>
    <s v=""/>
    <x v="0"/>
    <x v="2"/>
    <s v="TTSX"/>
    <x v="17"/>
    <m/>
    <x v="0"/>
    <x v="1"/>
    <x v="1"/>
    <m/>
    <m/>
    <s v="6/2021"/>
    <s v="7/2022"/>
    <m/>
    <m/>
    <s v="PO-92029"/>
    <m/>
    <n v="346893516"/>
    <n v="346893516"/>
    <m/>
    <m/>
    <n v="0"/>
    <n v="0"/>
    <m/>
    <m/>
    <m/>
    <m/>
    <m/>
    <m/>
    <m/>
    <m/>
    <m/>
    <m/>
    <m/>
    <m/>
    <m/>
    <m/>
    <m/>
    <m/>
    <m/>
    <m/>
    <m/>
    <m/>
    <m/>
    <m/>
    <m/>
    <n v="346893516"/>
    <n v="0"/>
    <n v="0"/>
    <n v="0"/>
  </r>
  <r>
    <m/>
    <x v="0"/>
    <x v="2"/>
    <s v="TTSX"/>
    <x v="18"/>
    <m/>
    <x v="0"/>
    <x v="1"/>
    <x v="1"/>
    <m/>
    <m/>
    <s v="6/2021"/>
    <s v="7/2022"/>
    <m/>
    <m/>
    <s v="PO-92029"/>
    <m/>
    <n v="66411306"/>
    <n v="66411306"/>
    <m/>
    <m/>
    <n v="0"/>
    <n v="0"/>
    <m/>
    <m/>
    <m/>
    <m/>
    <m/>
    <m/>
    <m/>
    <m/>
    <m/>
    <m/>
    <m/>
    <m/>
    <m/>
    <m/>
    <m/>
    <m/>
    <m/>
    <m/>
    <m/>
    <m/>
    <m/>
    <m/>
    <m/>
    <n v="66411306"/>
    <n v="0"/>
    <n v="0"/>
    <n v="0"/>
  </r>
  <r>
    <s v=""/>
    <x v="0"/>
    <x v="2"/>
    <s v="DVSBH"/>
    <x v="16"/>
    <s v="11 DAI QDT VEE-LRA VA 13 ZIP 2021"/>
    <x v="0"/>
    <x v="1"/>
    <x v="1"/>
    <m/>
    <m/>
    <s v="6/2021"/>
    <s v="7/2022"/>
    <m/>
    <m/>
    <s v="PO-92029"/>
    <m/>
    <n v="11145867"/>
    <n v="11145867"/>
    <m/>
    <m/>
    <n v="0"/>
    <n v="0"/>
    <m/>
    <m/>
    <m/>
    <m/>
    <m/>
    <m/>
    <m/>
    <m/>
    <m/>
    <m/>
    <m/>
    <m/>
    <m/>
    <m/>
    <m/>
    <m/>
    <m/>
    <m/>
    <m/>
    <m/>
    <m/>
    <m/>
    <m/>
    <n v="11145867"/>
    <n v="0"/>
    <n v="0"/>
    <n v="0"/>
  </r>
  <r>
    <s v=""/>
    <x v="0"/>
    <x v="2"/>
    <s v="DVSBH"/>
    <x v="16"/>
    <s v="11 DAI QDT VEE-LRA VA 13 ZIP 2021"/>
    <x v="1"/>
    <x v="1"/>
    <x v="1"/>
    <m/>
    <m/>
    <s v="6/2021"/>
    <d v="2023-05-01T00:00:00"/>
    <m/>
    <m/>
    <s v="PO-92029"/>
    <m/>
    <n v="285813827"/>
    <n v="285813827"/>
    <m/>
    <m/>
    <n v="0"/>
    <n v="0"/>
    <m/>
    <m/>
    <m/>
    <m/>
    <m/>
    <m/>
    <m/>
    <m/>
    <m/>
    <m/>
    <m/>
    <m/>
    <m/>
    <m/>
    <m/>
    <m/>
    <m/>
    <m/>
    <m/>
    <m/>
    <m/>
    <m/>
    <m/>
    <n v="285813827"/>
    <n v="0"/>
    <n v="0"/>
    <n v="0"/>
  </r>
  <r>
    <s v=""/>
    <x v="0"/>
    <x v="2"/>
    <s v="DVSBH"/>
    <x v="16"/>
    <s v="11 DAI QDT VEE-LRA VA 13 ZIP 2021"/>
    <x v="2"/>
    <x v="1"/>
    <x v="0"/>
    <m/>
    <m/>
    <d v="2023-05-01T00:00:00"/>
    <d v="2025-05-01T00:00:00"/>
    <m/>
    <m/>
    <s v="PO-92029"/>
    <m/>
    <n v="887140234"/>
    <n v="672422974"/>
    <n v="72985607"/>
    <n v="67827777"/>
    <n v="43636936"/>
    <n v="30266940"/>
    <n v="30266940"/>
    <m/>
    <m/>
    <m/>
    <m/>
    <m/>
    <m/>
    <m/>
    <m/>
    <n v="10299106"/>
    <n v="3439727"/>
    <m/>
    <n v="38129785"/>
    <n v="35769132"/>
    <n v="31763421"/>
    <n v="12930126"/>
    <n v="26554475"/>
    <n v="107495670"/>
    <n v="94664446"/>
    <n v="54597759"/>
    <n v="69535519"/>
    <n v="33027941"/>
    <n v="154215867"/>
    <n v="0"/>
    <n v="0"/>
    <n v="40830700"/>
    <n v="112284425"/>
  </r>
  <r>
    <n v="16"/>
    <x v="0"/>
    <x v="2"/>
    <s v="QĐT"/>
    <x v="19"/>
    <m/>
    <x v="0"/>
    <x v="0"/>
    <x v="1"/>
    <m/>
    <n v="3931000000"/>
    <s v="3/2021"/>
    <d v="2024-05-01T00:00:00"/>
    <e v="#N/A"/>
    <e v="#N/A"/>
    <s v="PO-92021"/>
    <n v="3479284317"/>
    <n v="451715683"/>
    <n v="451715683"/>
    <m/>
    <m/>
    <n v="0"/>
    <n v="0"/>
    <m/>
    <m/>
    <m/>
    <m/>
    <m/>
    <m/>
    <m/>
    <m/>
    <m/>
    <m/>
    <m/>
    <m/>
    <m/>
    <m/>
    <m/>
    <m/>
    <m/>
    <m/>
    <m/>
    <m/>
    <m/>
    <m/>
    <m/>
    <n v="3315515120"/>
    <n v="0"/>
    <n v="0"/>
    <n v="0"/>
  </r>
  <r>
    <s v=""/>
    <x v="0"/>
    <x v="2"/>
    <s v="QĐT"/>
    <x v="19"/>
    <m/>
    <x v="1"/>
    <x v="1"/>
    <x v="1"/>
    <m/>
    <m/>
    <d v="2021-03-01T00:00:00"/>
    <d v="2024-05-01T00:00:00"/>
    <m/>
    <m/>
    <s v="PO-92021"/>
    <m/>
    <n v="64531377"/>
    <n v="64531377"/>
    <m/>
    <m/>
    <n v="0"/>
    <n v="0"/>
    <m/>
    <m/>
    <m/>
    <m/>
    <m/>
    <m/>
    <m/>
    <m/>
    <m/>
    <m/>
    <m/>
    <m/>
    <m/>
    <m/>
    <m/>
    <m/>
    <m/>
    <m/>
    <m/>
    <m/>
    <m/>
    <m/>
    <m/>
    <n v="64531377"/>
    <n v="0"/>
    <n v="0"/>
    <n v="0"/>
  </r>
  <r>
    <s v=""/>
    <x v="0"/>
    <x v="2"/>
    <s v="DVSBH"/>
    <x v="19"/>
    <m/>
    <x v="1"/>
    <x v="1"/>
    <x v="1"/>
    <m/>
    <m/>
    <d v="2021-03-01T00:00:00"/>
    <d v="2024-05-01T00:00:00"/>
    <m/>
    <m/>
    <s v="PO-92021"/>
    <m/>
    <n v="94556649"/>
    <n v="94556649"/>
    <m/>
    <m/>
    <n v="0"/>
    <n v="0"/>
    <m/>
    <m/>
    <m/>
    <m/>
    <m/>
    <m/>
    <m/>
    <m/>
    <m/>
    <m/>
    <m/>
    <m/>
    <m/>
    <m/>
    <m/>
    <m/>
    <m/>
    <m/>
    <m/>
    <n v="30025272"/>
    <m/>
    <m/>
    <m/>
    <n v="64531377"/>
    <n v="0"/>
    <n v="0"/>
    <n v="0"/>
  </r>
  <r>
    <s v=""/>
    <x v="0"/>
    <x v="2"/>
    <s v="DVSBH"/>
    <x v="19"/>
    <m/>
    <x v="2"/>
    <x v="1"/>
    <x v="1"/>
    <m/>
    <m/>
    <d v="2022-05-01T00:00:00"/>
    <d v="2024-05-01T00:00:00"/>
    <m/>
    <m/>
    <s v="PO-92021"/>
    <m/>
    <n v="292627657"/>
    <n v="292627657"/>
    <m/>
    <m/>
    <n v="0"/>
    <n v="0"/>
    <m/>
    <m/>
    <m/>
    <m/>
    <m/>
    <m/>
    <m/>
    <m/>
    <m/>
    <n v="67851838"/>
    <n v="16868262"/>
    <m/>
    <m/>
    <m/>
    <m/>
    <n v="12937287"/>
    <m/>
    <m/>
    <m/>
    <m/>
    <m/>
    <n v="7967849"/>
    <n v="36562493"/>
    <n v="150439928"/>
    <n v="0"/>
    <n v="0"/>
    <n v="0"/>
  </r>
  <r>
    <n v="17"/>
    <x v="0"/>
    <x v="2"/>
    <s v="QĐT"/>
    <x v="20"/>
    <s v="31 DAI QDT VEE-LRA"/>
    <x v="0"/>
    <x v="0"/>
    <x v="0"/>
    <n v="238133701451"/>
    <n v="10078283542"/>
    <s v="3/2024"/>
    <d v="2027-12-01T00:00:00"/>
    <s v="vinhvq3@viettel.com.vn"/>
    <s v="phuongvt5@viettel.com.vn"/>
    <s v="PO-92203"/>
    <n v="2321796938"/>
    <n v="7756486604"/>
    <n v="7526475894"/>
    <n v="0"/>
    <n v="86290329"/>
    <n v="143720381"/>
    <n v="0"/>
    <m/>
    <m/>
    <m/>
    <m/>
    <m/>
    <m/>
    <m/>
    <m/>
    <m/>
    <m/>
    <n v="199807203"/>
    <n v="554441798"/>
    <n v="743330090"/>
    <n v="528810929"/>
    <n v="548009882"/>
    <n v="282217955"/>
    <n v="570722644"/>
    <n v="508936649"/>
    <n v="596236277"/>
    <n v="596091783"/>
    <n v="425039967"/>
    <n v="362429612"/>
    <n v="1610401105"/>
    <n v="0"/>
    <n v="0"/>
    <m/>
    <m/>
  </r>
  <r>
    <s v=""/>
    <x v="0"/>
    <x v="2"/>
    <s v="QĐT"/>
    <x v="21"/>
    <s v="31 DAI QDT VEE-LRA"/>
    <x v="0"/>
    <x v="1"/>
    <x v="0"/>
    <m/>
    <n v="6738434722"/>
    <s v="3/2024"/>
    <s v="12/2025"/>
    <m/>
    <m/>
    <s v="PO-92203"/>
    <n v="805668550"/>
    <n v="4703095790"/>
    <n v="4703095790"/>
    <m/>
    <m/>
    <n v="0"/>
    <n v="0"/>
    <m/>
    <m/>
    <m/>
    <m/>
    <m/>
    <m/>
    <m/>
    <m/>
    <m/>
    <m/>
    <n v="83651891"/>
    <n v="303524937"/>
    <n v="489710469"/>
    <n v="347204521"/>
    <n v="355939983"/>
    <n v="168906087"/>
    <n v="364343997"/>
    <n v="340816640"/>
    <n v="397354080"/>
    <n v="343437926"/>
    <n v="268939565"/>
    <n v="227928643"/>
    <n v="1011337051"/>
    <n v="0"/>
    <n v="0"/>
    <n v="0"/>
    <n v="0"/>
  </r>
  <r>
    <s v=""/>
    <x v="0"/>
    <x v="2"/>
    <s v="CKTĐH"/>
    <x v="21"/>
    <s v="31 DAI QDT VEE-LRA"/>
    <x v="0"/>
    <x v="1"/>
    <x v="0"/>
    <m/>
    <m/>
    <s v="3/2024"/>
    <s v="12/2025"/>
    <m/>
    <m/>
    <s v="PO-92203"/>
    <m/>
    <n v="47211779"/>
    <n v="47211779"/>
    <m/>
    <m/>
    <n v="0"/>
    <n v="0"/>
    <m/>
    <m/>
    <m/>
    <m/>
    <m/>
    <m/>
    <m/>
    <m/>
    <m/>
    <m/>
    <m/>
    <m/>
    <m/>
    <m/>
    <m/>
    <m/>
    <m/>
    <m/>
    <n v="17989314"/>
    <n v="29222465"/>
    <m/>
    <m/>
    <m/>
    <n v="0"/>
    <n v="0"/>
    <n v="0"/>
    <n v="0"/>
  </r>
  <r>
    <s v=""/>
    <x v="0"/>
    <x v="2"/>
    <s v="TTSX"/>
    <x v="21"/>
    <s v="31 DAI QDT VEE-LRA"/>
    <x v="0"/>
    <x v="1"/>
    <x v="0"/>
    <m/>
    <m/>
    <s v="3/2024"/>
    <s v="12/2025"/>
    <m/>
    <m/>
    <s v="PO-92203"/>
    <m/>
    <n v="832581740"/>
    <n v="832581740"/>
    <m/>
    <m/>
    <n v="0"/>
    <n v="0"/>
    <m/>
    <m/>
    <m/>
    <m/>
    <m/>
    <m/>
    <m/>
    <m/>
    <m/>
    <m/>
    <n v="78644728"/>
    <n v="45489518"/>
    <n v="47630674"/>
    <n v="57076210"/>
    <n v="70647276"/>
    <n v="32133875"/>
    <n v="80714186"/>
    <n v="53449409"/>
    <n v="47855173"/>
    <n v="49045934"/>
    <n v="45643326"/>
    <n v="41285105"/>
    <n v="182966326"/>
    <n v="0"/>
    <n v="0"/>
    <n v="0"/>
    <n v="0"/>
  </r>
  <r>
    <s v=""/>
    <x v="0"/>
    <x v="2"/>
    <s v="DVSBH"/>
    <x v="21"/>
    <s v="31 DAI QDT VEE-LRA"/>
    <x v="0"/>
    <x v="1"/>
    <x v="0"/>
    <m/>
    <m/>
    <s v="3/2024"/>
    <s v="12/2025"/>
    <m/>
    <m/>
    <s v="PO-92203"/>
    <m/>
    <n v="201634846"/>
    <n v="201634846"/>
    <m/>
    <m/>
    <n v="0"/>
    <n v="0"/>
    <m/>
    <m/>
    <m/>
    <m/>
    <m/>
    <m/>
    <m/>
    <m/>
    <m/>
    <m/>
    <m/>
    <n v="99986112"/>
    <n v="30676893"/>
    <m/>
    <m/>
    <n v="19825223"/>
    <m/>
    <m/>
    <m/>
    <m/>
    <m/>
    <n v="9229368"/>
    <n v="41917250"/>
    <n v="0"/>
    <n v="0"/>
    <n v="0"/>
    <n v="0"/>
  </r>
  <r>
    <s v=""/>
    <x v="0"/>
    <x v="2"/>
    <s v="DBCL"/>
    <x v="21"/>
    <s v="31 DAI QDT VEE-LRA"/>
    <x v="0"/>
    <x v="1"/>
    <x v="0"/>
    <m/>
    <m/>
    <s v="3/2024"/>
    <s v="12/2025"/>
    <m/>
    <m/>
    <s v="PO-92203"/>
    <m/>
    <n v="148242017"/>
    <n v="148242017"/>
    <m/>
    <m/>
    <n v="0"/>
    <n v="0"/>
    <m/>
    <m/>
    <m/>
    <m/>
    <m/>
    <m/>
    <m/>
    <m/>
    <m/>
    <m/>
    <m/>
    <m/>
    <m/>
    <m/>
    <m/>
    <m/>
    <m/>
    <m/>
    <m/>
    <n v="107164454"/>
    <m/>
    <n v="7333497"/>
    <n v="33744066"/>
    <m/>
    <n v="0"/>
    <n v="0"/>
    <n v="0"/>
  </r>
  <r>
    <s v=""/>
    <x v="0"/>
    <x v="2"/>
    <s v="QĐT"/>
    <x v="22"/>
    <s v="31 DAI QDT VEE-LRA (ZIP)"/>
    <x v="0"/>
    <x v="1"/>
    <x v="0"/>
    <m/>
    <n v="2040998820"/>
    <s v="3/2024"/>
    <s v="12/2025"/>
    <m/>
    <m/>
    <s v="PO-92203"/>
    <n v="447289098"/>
    <n v="1375572826"/>
    <n v="1375572826"/>
    <m/>
    <m/>
    <n v="0"/>
    <n v="0"/>
    <m/>
    <m/>
    <m/>
    <m/>
    <m/>
    <m/>
    <m/>
    <m/>
    <m/>
    <m/>
    <n v="18673188"/>
    <n v="90890737"/>
    <n v="162003716"/>
    <n v="111126120"/>
    <n v="104519605"/>
    <n v="52829294"/>
    <n v="107993126"/>
    <n v="101308249"/>
    <n v="117343834"/>
    <n v="51031666"/>
    <n v="96974768"/>
    <n v="66343338"/>
    <n v="294535185"/>
    <n v="0"/>
    <n v="0"/>
    <n v="0"/>
    <n v="0"/>
  </r>
  <r>
    <s v=""/>
    <x v="0"/>
    <x v="2"/>
    <s v="CKTĐH"/>
    <x v="22"/>
    <s v="31 DAI QDT VEE-LRA (ZIP)"/>
    <x v="0"/>
    <x v="1"/>
    <x v="0"/>
    <m/>
    <m/>
    <s v="3/2024"/>
    <s v="12/2025"/>
    <m/>
    <m/>
    <s v="PO-92203"/>
    <m/>
    <n v="9470782"/>
    <n v="9470782"/>
    <m/>
    <m/>
    <n v="0"/>
    <n v="0"/>
    <m/>
    <m/>
    <m/>
    <m/>
    <m/>
    <m/>
    <m/>
    <m/>
    <m/>
    <m/>
    <m/>
    <m/>
    <m/>
    <m/>
    <m/>
    <m/>
    <m/>
    <m/>
    <n v="4997032"/>
    <n v="4473750"/>
    <m/>
    <m/>
    <m/>
    <n v="0"/>
    <n v="0"/>
    <n v="0"/>
    <n v="0"/>
  </r>
  <r>
    <s v=""/>
    <x v="0"/>
    <x v="2"/>
    <s v="TTSX"/>
    <x v="22"/>
    <s v="31 DAI QDT VEE-LRA (ZIP)"/>
    <x v="0"/>
    <x v="1"/>
    <x v="0"/>
    <m/>
    <m/>
    <s v="3/2024"/>
    <s v="12/2025"/>
    <m/>
    <m/>
    <s v="PO-92203"/>
    <m/>
    <n v="208666114"/>
    <n v="208666114"/>
    <m/>
    <m/>
    <n v="0"/>
    <n v="0"/>
    <m/>
    <m/>
    <m/>
    <m/>
    <m/>
    <m/>
    <m/>
    <m/>
    <m/>
    <m/>
    <n v="18837396"/>
    <n v="14550494"/>
    <n v="13308338"/>
    <n v="13404078"/>
    <n v="16903018"/>
    <n v="8523476"/>
    <n v="17671335"/>
    <n v="13362351"/>
    <n v="10696844"/>
    <n v="11715588"/>
    <n v="13482308"/>
    <n v="10309661"/>
    <n v="45901227"/>
    <n v="0"/>
    <n v="0"/>
    <n v="0"/>
    <n v="0"/>
  </r>
  <r>
    <s v=""/>
    <x v="0"/>
    <x v="2"/>
    <s v="TTSX"/>
    <x v="21"/>
    <s v="31 DAI QDT VEE-LRA"/>
    <x v="1"/>
    <x v="1"/>
    <x v="0"/>
    <m/>
    <n v="982057317.07317078"/>
    <s v="3/2024"/>
    <d v="2027-12-01T00:00:00"/>
    <m/>
    <m/>
    <s v="PO-92203"/>
    <n v="848315988.07317078"/>
    <n v="133741329"/>
    <n v="0"/>
    <m/>
    <n v="47159024"/>
    <n v="86582305"/>
    <n v="0"/>
    <n v="86582305"/>
    <n v="86582305"/>
    <n v="86582305"/>
    <n v="86582305"/>
    <n v="86582305"/>
    <n v="86582305"/>
    <n v="86582305"/>
    <n v="86582305"/>
    <m/>
    <m/>
    <m/>
    <m/>
    <m/>
    <m/>
    <m/>
    <m/>
    <m/>
    <m/>
    <m/>
    <m/>
    <m/>
    <m/>
    <m/>
    <n v="0"/>
    <n v="0"/>
    <n v="51150989.833333336"/>
    <n v="378766560.79166669"/>
  </r>
  <r>
    <s v=""/>
    <x v="0"/>
    <x v="2"/>
    <s v="TTSX"/>
    <x v="22"/>
    <s v="31 DAI QDT VEE-LRA (ZIP)"/>
    <x v="1"/>
    <x v="1"/>
    <x v="0"/>
    <m/>
    <n v="316792682.92682928"/>
    <s v="3/2024"/>
    <d v="2027-12-01T00:00:00"/>
    <m/>
    <m/>
    <s v="PO-92203"/>
    <n v="220523301.92682928"/>
    <n v="96269381"/>
    <n v="0"/>
    <m/>
    <n v="39131305"/>
    <n v="57138076"/>
    <n v="0"/>
    <n v="57138076"/>
    <n v="57138076"/>
    <n v="57138076"/>
    <n v="57138076"/>
    <n v="57138076"/>
    <n v="57138076"/>
    <n v="57138076"/>
    <n v="57138076"/>
    <m/>
    <m/>
    <m/>
    <m/>
    <m/>
    <m/>
    <m/>
    <m/>
    <m/>
    <m/>
    <m/>
    <m/>
    <m/>
    <m/>
    <m/>
    <n v="0"/>
    <n v="0"/>
    <n v="35090922.166666664"/>
    <n v="253629744.95833334"/>
  </r>
  <r>
    <s v=""/>
    <x v="0"/>
    <x v="2"/>
    <m/>
    <x v="21"/>
    <s v="31 DAI QDT VEE-LRA"/>
    <x v="2"/>
    <x v="1"/>
    <x v="0"/>
    <m/>
    <m/>
    <s v="12/2025"/>
    <d v="2027-12-01T00:00:00"/>
    <m/>
    <m/>
    <s v="PO-92203"/>
    <m/>
    <n v="0"/>
    <n v="0"/>
    <m/>
    <m/>
    <n v="0"/>
    <n v="0"/>
    <m/>
    <m/>
    <m/>
    <m/>
    <m/>
    <m/>
    <m/>
    <m/>
    <m/>
    <m/>
    <m/>
    <m/>
    <m/>
    <m/>
    <m/>
    <m/>
    <m/>
    <m/>
    <m/>
    <m/>
    <m/>
    <m/>
    <m/>
    <n v="0"/>
    <n v="0"/>
    <n v="0"/>
    <n v="0"/>
  </r>
  <r>
    <s v=""/>
    <x v="0"/>
    <x v="2"/>
    <m/>
    <x v="22"/>
    <s v="31 DAI QDT VEE-LRA (ZIP)"/>
    <x v="2"/>
    <x v="1"/>
    <x v="0"/>
    <m/>
    <m/>
    <s v="12/2025"/>
    <d v="2027-12-01T00:00:00"/>
    <m/>
    <m/>
    <s v="PO-92203"/>
    <m/>
    <n v="0"/>
    <n v="0"/>
    <m/>
    <m/>
    <n v="0"/>
    <n v="0"/>
    <m/>
    <m/>
    <m/>
    <m/>
    <m/>
    <m/>
    <m/>
    <m/>
    <m/>
    <m/>
    <m/>
    <m/>
    <m/>
    <m/>
    <m/>
    <m/>
    <m/>
    <m/>
    <m/>
    <m/>
    <m/>
    <m/>
    <m/>
    <n v="0"/>
    <n v="0"/>
    <n v="0"/>
    <n v="0"/>
  </r>
  <r>
    <n v="18"/>
    <x v="0"/>
    <x v="2"/>
    <s v="QĐT"/>
    <x v="23"/>
    <s v="500 KINH NGAM ANH NHIET VEE-W01"/>
    <x v="0"/>
    <x v="0"/>
    <x v="0"/>
    <n v="124040608107"/>
    <n v="5447351769"/>
    <s v="3/2024"/>
    <d v="2027-06-01T00:00:00"/>
    <s v="huynq42@viettel.com.vn"/>
    <s v="phuongvt5@viettel.com.vn"/>
    <s v="PO-92207"/>
    <n v="274982438"/>
    <n v="5172369331"/>
    <n v="5019097174"/>
    <m/>
    <n v="69380991"/>
    <n v="83891166"/>
    <n v="0"/>
    <m/>
    <m/>
    <m/>
    <m/>
    <m/>
    <m/>
    <m/>
    <m/>
    <n v="0"/>
    <n v="0"/>
    <n v="0"/>
    <n v="323082309"/>
    <n v="526971951"/>
    <n v="481225544"/>
    <n v="588136747"/>
    <n v="166647781"/>
    <n v="502621547"/>
    <n v="426890440"/>
    <n v="433594080"/>
    <n v="174411399"/>
    <n v="73378915"/>
    <n v="250539743"/>
    <n v="1071596718"/>
    <n v="0"/>
    <n v="0"/>
    <m/>
    <m/>
  </r>
  <r>
    <s v=""/>
    <x v="0"/>
    <x v="2"/>
    <s v="QĐT"/>
    <x v="23"/>
    <s v="500 KINH NGAM ANH NHIET VEE-W01"/>
    <x v="0"/>
    <x v="1"/>
    <x v="0"/>
    <m/>
    <n v="5056972562"/>
    <s v="3/2024"/>
    <s v="7/2025"/>
    <m/>
    <m/>
    <s v="PO-92207"/>
    <n v="37875388"/>
    <n v="4046454353"/>
    <n v="4046454353"/>
    <m/>
    <m/>
    <n v="0"/>
    <n v="0"/>
    <m/>
    <m/>
    <m/>
    <m/>
    <m/>
    <m/>
    <m/>
    <m/>
    <m/>
    <m/>
    <m/>
    <n v="272276023"/>
    <n v="449915239"/>
    <n v="381247629"/>
    <n v="490750060"/>
    <n v="134011508"/>
    <n v="400749495"/>
    <n v="329498229"/>
    <n v="351081277"/>
    <n v="133274975"/>
    <n v="45591942"/>
    <n v="202244606"/>
    <n v="855813370"/>
    <n v="0"/>
    <n v="0"/>
    <n v="0"/>
    <n v="0"/>
  </r>
  <r>
    <s v=""/>
    <x v="0"/>
    <x v="2"/>
    <s v="TTSX"/>
    <x v="23"/>
    <s v="500 KINH NGAM ANH NHIET VEE-W01"/>
    <x v="0"/>
    <x v="1"/>
    <x v="0"/>
    <m/>
    <m/>
    <s v="3/2024"/>
    <s v="7/2025"/>
    <m/>
    <m/>
    <s v="PO-92207"/>
    <m/>
    <n v="632725775"/>
    <n v="632725775"/>
    <m/>
    <m/>
    <n v="0"/>
    <n v="0"/>
    <m/>
    <m/>
    <m/>
    <m/>
    <m/>
    <m/>
    <m/>
    <m/>
    <m/>
    <m/>
    <m/>
    <n v="50806286"/>
    <n v="77056712"/>
    <n v="99977915"/>
    <n v="97386687"/>
    <n v="32636273"/>
    <n v="37451520"/>
    <n v="18481157"/>
    <n v="17921342"/>
    <n v="17981372"/>
    <n v="14813287"/>
    <n v="31161349"/>
    <n v="137051875"/>
    <n v="0"/>
    <n v="0"/>
    <n v="0"/>
    <n v="0"/>
  </r>
  <r>
    <s v=""/>
    <x v="0"/>
    <x v="2"/>
    <s v="ĐBCL"/>
    <x v="23"/>
    <s v="500 KINH NGAM ANH NHIET VEE-W01"/>
    <x v="0"/>
    <x v="1"/>
    <x v="0"/>
    <m/>
    <m/>
    <s v="3/2024"/>
    <s v="7/2025"/>
    <m/>
    <m/>
    <s v="PO-92207"/>
    <m/>
    <n v="305525756"/>
    <n v="305525756"/>
    <m/>
    <m/>
    <n v="0"/>
    <n v="0"/>
    <m/>
    <m/>
    <m/>
    <m/>
    <m/>
    <m/>
    <m/>
    <m/>
    <m/>
    <m/>
    <m/>
    <m/>
    <m/>
    <m/>
    <m/>
    <m/>
    <n v="54078484"/>
    <n v="64168585"/>
    <n v="64591461"/>
    <n v="23155052"/>
    <n v="12973686"/>
    <n v="15422995"/>
    <n v="71135493"/>
    <n v="0"/>
    <n v="0"/>
    <n v="0"/>
    <n v="0"/>
  </r>
  <r>
    <s v=""/>
    <x v="0"/>
    <x v="2"/>
    <s v="KD ĐH"/>
    <x v="23"/>
    <s v="500 KINH NGAM ANH NHIET VEE-W01"/>
    <x v="0"/>
    <x v="1"/>
    <x v="0"/>
    <m/>
    <m/>
    <s v="3/2024"/>
    <s v="7/2025"/>
    <m/>
    <m/>
    <s v="PO-92207"/>
    <m/>
    <n v="34391290"/>
    <n v="34391290"/>
    <m/>
    <m/>
    <n v="0"/>
    <n v="0"/>
    <m/>
    <m/>
    <m/>
    <m/>
    <m/>
    <m/>
    <m/>
    <m/>
    <m/>
    <m/>
    <m/>
    <m/>
    <m/>
    <m/>
    <m/>
    <m/>
    <n v="10342048"/>
    <n v="14742469"/>
    <m/>
    <m/>
    <m/>
    <n v="1710793"/>
    <n v="7595980"/>
    <n v="0"/>
    <n v="0"/>
    <n v="0"/>
    <n v="0"/>
  </r>
  <r>
    <s v=""/>
    <x v="0"/>
    <x v="2"/>
    <s v="TTSX"/>
    <x v="23"/>
    <s v="500 KINH NGAM ANH NHIET VEE-W01"/>
    <x v="1"/>
    <x v="1"/>
    <x v="0"/>
    <m/>
    <n v="390379207"/>
    <s v="3/2024"/>
    <s v="6/2027"/>
    <m/>
    <m/>
    <s v="PO-92207"/>
    <n v="237107050"/>
    <n v="153272157"/>
    <n v="0"/>
    <m/>
    <n v="69380991"/>
    <n v="83891166"/>
    <n v="0"/>
    <n v="83891166"/>
    <n v="83891166"/>
    <n v="83891166"/>
    <n v="83891166"/>
    <n v="83891166"/>
    <n v="83891166"/>
    <n v="83891166"/>
    <n v="83891166"/>
    <m/>
    <m/>
    <m/>
    <m/>
    <m/>
    <m/>
    <m/>
    <m/>
    <m/>
    <m/>
    <m/>
    <m/>
    <m/>
    <m/>
    <m/>
    <n v="0"/>
    <n v="0"/>
    <n v="53509081.5"/>
    <n v="377850680.625"/>
  </r>
  <r>
    <n v="19"/>
    <x v="0"/>
    <x v="2"/>
    <s v="QĐT"/>
    <x v="24"/>
    <s v="600 THIET BI TSAN TAM GAN"/>
    <x v="0"/>
    <x v="0"/>
    <x v="0"/>
    <n v="306806101189.22656"/>
    <n v="10322750153.550005"/>
    <d v="2025-04-01T00:00:00"/>
    <d v="2026-12-01T00:00:00"/>
    <s v="manhnv14@viettel.com.vn"/>
    <s v="phuongvt5@viettel.com.vn"/>
    <s v="PO-93057 "/>
    <n v="10322750153.550005"/>
    <n v="0"/>
    <m/>
    <m/>
    <m/>
    <n v="0"/>
    <n v="0"/>
    <m/>
    <m/>
    <m/>
    <m/>
    <m/>
    <m/>
    <m/>
    <m/>
    <m/>
    <m/>
    <m/>
    <m/>
    <m/>
    <m/>
    <m/>
    <m/>
    <m/>
    <m/>
    <m/>
    <m/>
    <m/>
    <m/>
    <m/>
    <n v="0"/>
    <n v="0"/>
    <m/>
    <m/>
  </r>
  <r>
    <s v=""/>
    <x v="0"/>
    <x v="2"/>
    <s v="QĐT"/>
    <x v="25"/>
    <s v="600 THIET BI TSAN TAM GAN (600 TB)"/>
    <x v="0"/>
    <x v="1"/>
    <x v="0"/>
    <m/>
    <n v="9501828056.3373413"/>
    <d v="2025-04-01T00:00:00"/>
    <d v="2026-12-01T00:00:00"/>
    <m/>
    <m/>
    <s v="PO-93057 "/>
    <n v="9501828056.3373413"/>
    <n v="0"/>
    <m/>
    <m/>
    <m/>
    <n v="0"/>
    <n v="0"/>
    <m/>
    <m/>
    <m/>
    <m/>
    <m/>
    <m/>
    <m/>
    <m/>
    <m/>
    <m/>
    <m/>
    <m/>
    <m/>
    <m/>
    <m/>
    <m/>
    <m/>
    <m/>
    <m/>
    <m/>
    <m/>
    <m/>
    <m/>
    <n v="0"/>
    <n v="0"/>
    <n v="0"/>
    <n v="0"/>
  </r>
  <r>
    <s v=""/>
    <x v="0"/>
    <x v="2"/>
    <s v="QĐT"/>
    <x v="26"/>
    <s v="600 THIET BI TSAN TAM GAN (06 DU PHONG)"/>
    <x v="0"/>
    <x v="1"/>
    <x v="0"/>
    <m/>
    <n v="94702605.21266444"/>
    <d v="2025-04-01T00:00:00"/>
    <d v="2026-12-01T00:00:00"/>
    <m/>
    <m/>
    <s v="PO-93057 "/>
    <n v="94702605.21266444"/>
    <n v="0"/>
    <m/>
    <m/>
    <m/>
    <n v="0"/>
    <n v="0"/>
    <m/>
    <m/>
    <m/>
    <m/>
    <m/>
    <m/>
    <m/>
    <m/>
    <m/>
    <m/>
    <m/>
    <m/>
    <m/>
    <m/>
    <m/>
    <m/>
    <m/>
    <m/>
    <m/>
    <m/>
    <m/>
    <m/>
    <m/>
    <n v="0"/>
    <n v="0"/>
    <n v="0"/>
    <n v="0"/>
  </r>
  <r>
    <s v=""/>
    <x v="0"/>
    <x v="2"/>
    <s v="QĐT"/>
    <x v="25"/>
    <s v="600 THIET BI TSAN TAM GAN (600 TB)"/>
    <x v="1"/>
    <x v="1"/>
    <x v="0"/>
    <m/>
    <n v="719029200"/>
    <d v="2025-04-01T00:00:00"/>
    <d v="2026-12-01T00:00:00"/>
    <m/>
    <m/>
    <s v="PO-93057 "/>
    <n v="719029200"/>
    <n v="0"/>
    <m/>
    <m/>
    <m/>
    <n v="0"/>
    <n v="0"/>
    <m/>
    <m/>
    <m/>
    <m/>
    <m/>
    <m/>
    <m/>
    <m/>
    <m/>
    <m/>
    <m/>
    <m/>
    <m/>
    <m/>
    <m/>
    <m/>
    <m/>
    <m/>
    <m/>
    <m/>
    <m/>
    <m/>
    <m/>
    <n v="0"/>
    <n v="0"/>
    <n v="0"/>
    <n v="0"/>
  </r>
  <r>
    <s v=""/>
    <x v="0"/>
    <x v="2"/>
    <s v="QĐT"/>
    <x v="26"/>
    <s v="600 THIET BI TSAN TAM GAN (06 DU PHONG)"/>
    <x v="1"/>
    <x v="1"/>
    <x v="0"/>
    <m/>
    <n v="7190292"/>
    <d v="2025-04-01T00:00:00"/>
    <d v="2026-12-01T00:00:00"/>
    <m/>
    <m/>
    <s v="PO-93057 "/>
    <n v="7190292"/>
    <n v="0"/>
    <m/>
    <m/>
    <m/>
    <n v="0"/>
    <n v="0"/>
    <m/>
    <m/>
    <m/>
    <m/>
    <m/>
    <m/>
    <m/>
    <m/>
    <m/>
    <m/>
    <m/>
    <m/>
    <m/>
    <m/>
    <m/>
    <m/>
    <m/>
    <m/>
    <m/>
    <m/>
    <m/>
    <m/>
    <m/>
    <n v="0"/>
    <n v="0"/>
    <n v="0"/>
    <n v="0"/>
  </r>
  <r>
    <s v=""/>
    <x v="0"/>
    <x v="2"/>
    <s v="QĐT"/>
    <x v="24"/>
    <s v="600 THIET BI TSAN TAM GAN"/>
    <x v="2"/>
    <x v="1"/>
    <x v="0"/>
    <m/>
    <m/>
    <d v="2026-12-01T00:00:00"/>
    <d v="2028-08-01T00:00:00"/>
    <m/>
    <m/>
    <s v="PO-93057 "/>
    <m/>
    <n v="0"/>
    <m/>
    <m/>
    <m/>
    <n v="0"/>
    <n v="0"/>
    <m/>
    <m/>
    <m/>
    <m/>
    <m/>
    <m/>
    <m/>
    <m/>
    <m/>
    <m/>
    <m/>
    <m/>
    <m/>
    <m/>
    <m/>
    <m/>
    <m/>
    <m/>
    <m/>
    <m/>
    <m/>
    <m/>
    <m/>
    <n v="0"/>
    <n v="0"/>
    <n v="0"/>
    <n v="0"/>
  </r>
  <r>
    <n v="20"/>
    <x v="0"/>
    <x v="2"/>
    <s v="QĐT"/>
    <x v="27"/>
    <s v="100 KINH NHIN DEM KNĐ-M2T"/>
    <x v="0"/>
    <x v="0"/>
    <x v="0"/>
    <n v="74212696062.043625"/>
    <n v="1294131558.7527227"/>
    <d v="2025-06-10T00:00:00"/>
    <d v="2026-12-01T00:00:00"/>
    <s v="trongdv5@viettel.com.vn"/>
    <s v="phuongvt5@viettel.com.vn"/>
    <s v="PO-93059 "/>
    <n v="1294131558.7527227"/>
    <n v="0"/>
    <m/>
    <m/>
    <m/>
    <n v="0"/>
    <n v="0"/>
    <m/>
    <m/>
    <m/>
    <m/>
    <m/>
    <m/>
    <m/>
    <m/>
    <m/>
    <m/>
    <m/>
    <m/>
    <m/>
    <m/>
    <m/>
    <m/>
    <m/>
    <m/>
    <m/>
    <m/>
    <m/>
    <m/>
    <m/>
    <n v="0"/>
    <n v="0"/>
    <m/>
    <m/>
  </r>
  <r>
    <s v=""/>
    <x v="0"/>
    <x v="2"/>
    <s v="QĐT"/>
    <x v="28"/>
    <s v="100 KINH NHIN DEM KNĐ-M2T"/>
    <x v="0"/>
    <x v="1"/>
    <x v="0"/>
    <m/>
    <n v="1235664276"/>
    <d v="2025-06-01T00:00:00"/>
    <d v="2026-12-01T00:00:00"/>
    <m/>
    <m/>
    <s v="PO-93059 "/>
    <n v="1235664276"/>
    <n v="0"/>
    <m/>
    <m/>
    <m/>
    <n v="0"/>
    <n v="0"/>
    <m/>
    <m/>
    <m/>
    <m/>
    <m/>
    <m/>
    <m/>
    <m/>
    <m/>
    <m/>
    <m/>
    <m/>
    <m/>
    <m/>
    <m/>
    <m/>
    <m/>
    <m/>
    <m/>
    <m/>
    <m/>
    <m/>
    <m/>
    <n v="0"/>
    <n v="0"/>
    <n v="0"/>
    <n v="0"/>
  </r>
  <r>
    <s v=""/>
    <x v="0"/>
    <x v="2"/>
    <s v="QĐT"/>
    <x v="29"/>
    <s v="100 KINH NHIN DEM KNĐ-M2T"/>
    <x v="0"/>
    <x v="1"/>
    <x v="0"/>
    <m/>
    <n v="12356642.752722764"/>
    <d v="2025-06-01T00:00:00"/>
    <d v="2026-12-01T00:00:00"/>
    <m/>
    <m/>
    <s v="PO-93059 "/>
    <n v="12356642.752722764"/>
    <n v="0"/>
    <m/>
    <m/>
    <m/>
    <n v="0"/>
    <n v="0"/>
    <m/>
    <m/>
    <m/>
    <m/>
    <m/>
    <m/>
    <m/>
    <m/>
    <n v="0"/>
    <m/>
    <m/>
    <m/>
    <m/>
    <m/>
    <m/>
    <m/>
    <m/>
    <m/>
    <m/>
    <m/>
    <m/>
    <m/>
    <m/>
    <m/>
    <m/>
    <n v="0"/>
    <n v="0"/>
  </r>
  <r>
    <s v=""/>
    <x v="0"/>
    <x v="2"/>
    <s v="QĐT"/>
    <x v="27"/>
    <s v="100 KINH NHIN DEM KNĐ-M2T"/>
    <x v="1"/>
    <x v="1"/>
    <x v="0"/>
    <m/>
    <n v="46110640"/>
    <d v="2025-06-01T00:00:00"/>
    <d v="2026-12-01T00:00:00"/>
    <m/>
    <m/>
    <s v="PO-93059 "/>
    <m/>
    <n v="0"/>
    <m/>
    <m/>
    <m/>
    <n v="0"/>
    <n v="0"/>
    <m/>
    <m/>
    <m/>
    <m/>
    <m/>
    <m/>
    <m/>
    <m/>
    <m/>
    <m/>
    <m/>
    <m/>
    <m/>
    <m/>
    <m/>
    <m/>
    <m/>
    <m/>
    <m/>
    <m/>
    <m/>
    <m/>
    <m/>
    <n v="0"/>
    <n v="0"/>
    <n v="0"/>
    <n v="0"/>
  </r>
  <r>
    <s v=""/>
    <x v="0"/>
    <x v="2"/>
    <s v="QĐT"/>
    <x v="27"/>
    <s v="100 KINH NHIN DEM KNĐ-M2T"/>
    <x v="2"/>
    <x v="1"/>
    <x v="0"/>
    <m/>
    <m/>
    <d v="2025-06-01T00:00:00"/>
    <d v="2026-12-01T00:00:00"/>
    <m/>
    <m/>
    <s v="PO-93059 "/>
    <m/>
    <n v="0"/>
    <m/>
    <m/>
    <m/>
    <n v="0"/>
    <n v="0"/>
    <m/>
    <m/>
    <m/>
    <m/>
    <m/>
    <m/>
    <m/>
    <m/>
    <m/>
    <m/>
    <m/>
    <m/>
    <m/>
    <m/>
    <m/>
    <m/>
    <m/>
    <m/>
    <m/>
    <m/>
    <m/>
    <m/>
    <m/>
    <n v="0"/>
    <n v="0"/>
    <n v="0"/>
    <n v="0"/>
  </r>
  <r>
    <n v="21"/>
    <x v="0"/>
    <x v="3"/>
    <s v="RD"/>
    <x v="30"/>
    <s v="40 BO THIET BI NHAN DANG VA 16 BO ZIP"/>
    <x v="0"/>
    <x v="0"/>
    <x v="0"/>
    <n v="225110198000"/>
    <n v="10270565000"/>
    <s v="4/2021"/>
    <d v="2025-05-01T00:00:00"/>
    <s v="hoptv1@viettel.com.vn"/>
    <s v="TRANGLTH19@VIETTEL.COM.VN"/>
    <s v="PO-92031"/>
    <n v="794331659"/>
    <n v="9476233341"/>
    <n v="9169046750"/>
    <n v="53030024"/>
    <n v="77677907"/>
    <n v="112175306"/>
    <n v="64303354"/>
    <m/>
    <m/>
    <m/>
    <m/>
    <m/>
    <m/>
    <m/>
    <m/>
    <n v="0"/>
    <m/>
    <m/>
    <m/>
    <m/>
    <m/>
    <m/>
    <m/>
    <m/>
    <m/>
    <m/>
    <m/>
    <m/>
    <m/>
    <m/>
    <n v="6876894871"/>
    <n v="0"/>
    <m/>
    <m/>
  </r>
  <r>
    <s v=""/>
    <x v="0"/>
    <x v="3"/>
    <s v="RD"/>
    <x v="30"/>
    <s v="40 BO THIET BI NHAN DANG VA 16 BO ZIP"/>
    <x v="0"/>
    <x v="1"/>
    <x v="1"/>
    <m/>
    <m/>
    <s v="4/2021"/>
    <d v="2024-03-01T00:00:00"/>
    <m/>
    <m/>
    <s v="PO-92031"/>
    <m/>
    <n v="4358930456"/>
    <n v="4358930456"/>
    <m/>
    <m/>
    <n v="0"/>
    <n v="0"/>
    <m/>
    <m/>
    <m/>
    <m/>
    <m/>
    <m/>
    <m/>
    <m/>
    <m/>
    <m/>
    <m/>
    <m/>
    <m/>
    <m/>
    <m/>
    <m/>
    <m/>
    <m/>
    <m/>
    <m/>
    <m/>
    <m/>
    <m/>
    <n v="4358930456"/>
    <n v="0"/>
    <n v="0"/>
    <n v="0"/>
  </r>
  <r>
    <s v=""/>
    <x v="0"/>
    <x v="3"/>
    <s v="RD"/>
    <x v="31"/>
    <m/>
    <x v="0"/>
    <x v="1"/>
    <x v="1"/>
    <m/>
    <n v="2814425000"/>
    <s v="4/2021"/>
    <d v="2024-03-01T00:00:00"/>
    <m/>
    <m/>
    <s v="PO-92031"/>
    <m/>
    <n v="964667774"/>
    <n v="964667774"/>
    <m/>
    <m/>
    <n v="0"/>
    <n v="0"/>
    <m/>
    <m/>
    <m/>
    <m/>
    <m/>
    <m/>
    <m/>
    <m/>
    <m/>
    <m/>
    <m/>
    <m/>
    <m/>
    <m/>
    <m/>
    <m/>
    <m/>
    <m/>
    <m/>
    <m/>
    <m/>
    <m/>
    <m/>
    <n v="964667774"/>
    <n v="0"/>
    <n v="0"/>
    <n v="0"/>
  </r>
  <r>
    <s v=""/>
    <x v="0"/>
    <x v="3"/>
    <s v="RD"/>
    <x v="32"/>
    <m/>
    <x v="0"/>
    <x v="1"/>
    <x v="1"/>
    <m/>
    <n v="7456140000"/>
    <s v="4/2021"/>
    <d v="2024-03-01T00:00:00"/>
    <m/>
    <m/>
    <s v="PO-92031"/>
    <m/>
    <n v="1231573840"/>
    <n v="1231573840"/>
    <m/>
    <m/>
    <n v="0"/>
    <n v="0"/>
    <m/>
    <m/>
    <m/>
    <m/>
    <m/>
    <m/>
    <m/>
    <m/>
    <m/>
    <m/>
    <m/>
    <m/>
    <m/>
    <m/>
    <m/>
    <m/>
    <m/>
    <m/>
    <m/>
    <m/>
    <m/>
    <m/>
    <m/>
    <n v="1231573840"/>
    <n v="0"/>
    <n v="0"/>
    <n v="0"/>
  </r>
  <r>
    <s v=""/>
    <x v="0"/>
    <x v="3"/>
    <s v="DVSBH"/>
    <x v="32"/>
    <m/>
    <x v="0"/>
    <x v="1"/>
    <x v="1"/>
    <m/>
    <m/>
    <s v="4/2021"/>
    <d v="2024-03-01T00:00:00"/>
    <m/>
    <m/>
    <s v="PO-92031"/>
    <m/>
    <n v="321722801"/>
    <n v="321722801"/>
    <m/>
    <m/>
    <n v="0"/>
    <n v="0"/>
    <m/>
    <m/>
    <m/>
    <m/>
    <m/>
    <m/>
    <m/>
    <m/>
    <m/>
    <m/>
    <m/>
    <m/>
    <m/>
    <m/>
    <m/>
    <m/>
    <m/>
    <m/>
    <m/>
    <m/>
    <m/>
    <m/>
    <m/>
    <n v="321722801"/>
    <n v="0"/>
    <n v="0"/>
    <n v="0"/>
  </r>
  <r>
    <s v=""/>
    <x v="0"/>
    <x v="3"/>
    <s v="RD"/>
    <x v="32"/>
    <m/>
    <x v="1"/>
    <x v="1"/>
    <x v="1"/>
    <m/>
    <m/>
    <s v="4/2021"/>
    <d v="2024-03-01T00:00:00"/>
    <m/>
    <m/>
    <s v="PO-92031"/>
    <m/>
    <n v="936967654"/>
    <n v="936967654"/>
    <m/>
    <m/>
    <n v="0"/>
    <n v="0"/>
    <m/>
    <m/>
    <m/>
    <m/>
    <m/>
    <m/>
    <m/>
    <m/>
    <m/>
    <m/>
    <m/>
    <m/>
    <m/>
    <m/>
    <m/>
    <m/>
    <m/>
    <m/>
    <m/>
    <m/>
    <m/>
    <m/>
    <m/>
    <n v="936967654"/>
    <n v="0"/>
    <n v="0"/>
    <n v="0"/>
  </r>
  <r>
    <s v=""/>
    <x v="0"/>
    <x v="3"/>
    <s v="RD"/>
    <x v="31"/>
    <m/>
    <x v="1"/>
    <x v="1"/>
    <x v="1"/>
    <m/>
    <m/>
    <s v="4/2021"/>
    <d v="2023-05-01T00:00:00"/>
    <m/>
    <m/>
    <s v="PO-92031"/>
    <m/>
    <n v="378864311"/>
    <n v="378864311"/>
    <m/>
    <m/>
    <n v="0"/>
    <n v="0"/>
    <m/>
    <m/>
    <m/>
    <m/>
    <m/>
    <m/>
    <m/>
    <m/>
    <m/>
    <m/>
    <m/>
    <m/>
    <m/>
    <m/>
    <m/>
    <m/>
    <m/>
    <m/>
    <m/>
    <m/>
    <m/>
    <m/>
    <m/>
    <n v="378864311"/>
    <n v="0"/>
    <n v="0"/>
    <n v="0"/>
  </r>
  <r>
    <s v=""/>
    <x v="0"/>
    <x v="3"/>
    <s v="RD"/>
    <x v="33"/>
    <m/>
    <x v="1"/>
    <x v="1"/>
    <x v="1"/>
    <m/>
    <m/>
    <s v="4/2021"/>
    <d v="2023-05-01T00:00:00"/>
    <m/>
    <m/>
    <s v="PO-92031"/>
    <m/>
    <n v="441354239"/>
    <n v="441354239"/>
    <m/>
    <m/>
    <n v="0"/>
    <n v="0"/>
    <m/>
    <m/>
    <m/>
    <m/>
    <m/>
    <m/>
    <m/>
    <m/>
    <m/>
    <m/>
    <m/>
    <m/>
    <m/>
    <m/>
    <m/>
    <m/>
    <m/>
    <m/>
    <m/>
    <m/>
    <m/>
    <m/>
    <m/>
    <n v="441354239"/>
    <n v="0"/>
    <n v="0"/>
    <n v="0"/>
  </r>
  <r>
    <s v=""/>
    <x v="0"/>
    <x v="3"/>
    <s v="DVSBH"/>
    <x v="32"/>
    <m/>
    <x v="1"/>
    <x v="1"/>
    <x v="1"/>
    <m/>
    <m/>
    <s v="4/2021"/>
    <d v="2023-05-01T00:00:00"/>
    <m/>
    <m/>
    <s v="PO-92031"/>
    <m/>
    <n v="2635214"/>
    <n v="2635214"/>
    <m/>
    <m/>
    <n v="0"/>
    <n v="0"/>
    <m/>
    <m/>
    <m/>
    <m/>
    <m/>
    <m/>
    <m/>
    <m/>
    <m/>
    <m/>
    <m/>
    <m/>
    <m/>
    <m/>
    <m/>
    <m/>
    <m/>
    <m/>
    <m/>
    <m/>
    <m/>
    <m/>
    <m/>
    <n v="2635214"/>
    <n v="0"/>
    <n v="0"/>
    <n v="0"/>
  </r>
  <r>
    <s v=""/>
    <x v="0"/>
    <x v="3"/>
    <s v="DVSBH"/>
    <x v="30"/>
    <s v="40 BO THIET BI NHAN DANG VA 16 BO ZIP"/>
    <x v="2"/>
    <x v="1"/>
    <x v="0"/>
    <m/>
    <m/>
    <d v="2023-05-01T00:00:00"/>
    <d v="2025-05-01T00:00:00"/>
    <m/>
    <m/>
    <s v="PO-92031"/>
    <m/>
    <n v="839517052"/>
    <n v="532330461"/>
    <n v="53030024"/>
    <n v="77677907"/>
    <n v="112175306"/>
    <n v="64303354"/>
    <n v="64303354"/>
    <m/>
    <m/>
    <m/>
    <m/>
    <m/>
    <m/>
    <m/>
    <n v="11265611"/>
    <n v="16431699"/>
    <n v="23106376"/>
    <m/>
    <n v="54852429"/>
    <n v="41265947"/>
    <n v="49972476"/>
    <n v="21673238"/>
    <n v="33799173"/>
    <n v="25208260"/>
    <n v="43499139"/>
    <n v="32416896"/>
    <n v="33160222"/>
    <n v="25934161"/>
    <n v="119744834"/>
    <n v="0"/>
    <n v="0"/>
    <n v="61914990.833333336"/>
    <n v="170266224.79166669"/>
  </r>
  <r>
    <n v="22"/>
    <x v="0"/>
    <x v="3"/>
    <s v="RD"/>
    <x v="34"/>
    <s v="14 DAI VRS-SRS VA 10 BO ZIP"/>
    <x v="0"/>
    <x v="0"/>
    <x v="0"/>
    <n v="275701727289"/>
    <n v="15609345597"/>
    <d v="2021-04-01T00:00:00"/>
    <d v="2025-05-01T00:00:00"/>
    <s v="vietth2@viettel.com.vn"/>
    <s v="TRANGLTH19@VIETTEL.COM.VN"/>
    <s v="PO-92032"/>
    <n v="1236543537"/>
    <n v="14372802060"/>
    <n v="13927866056"/>
    <n v="70451213"/>
    <n v="96154113"/>
    <n v="149480718"/>
    <n v="128849960"/>
    <m/>
    <m/>
    <m/>
    <m/>
    <m/>
    <m/>
    <m/>
    <m/>
    <n v="0"/>
    <n v="0"/>
    <n v="0"/>
    <n v="0"/>
    <n v="0"/>
    <n v="0"/>
    <n v="0"/>
    <n v="0"/>
    <n v="0"/>
    <n v="0"/>
    <n v="0"/>
    <n v="0"/>
    <n v="0"/>
    <n v="0"/>
    <n v="0"/>
    <n v="11286092193"/>
    <n v="0"/>
    <m/>
    <m/>
  </r>
  <r>
    <m/>
    <x v="0"/>
    <x v="3"/>
    <s v="RD"/>
    <x v="34"/>
    <s v="14 DAI VRS-SRS VA 10 BO ZIP"/>
    <x v="0"/>
    <x v="1"/>
    <x v="1"/>
    <m/>
    <m/>
    <d v="2021-04-01T00:00:00"/>
    <d v="2024-03-01T00:00:00"/>
    <m/>
    <m/>
    <s v="PO-92032"/>
    <m/>
    <n v="6236066645"/>
    <n v="6236066645"/>
    <m/>
    <m/>
    <n v="0"/>
    <n v="0"/>
    <m/>
    <m/>
    <m/>
    <m/>
    <m/>
    <m/>
    <m/>
    <m/>
    <m/>
    <m/>
    <m/>
    <m/>
    <m/>
    <m/>
    <m/>
    <m/>
    <m/>
    <m/>
    <m/>
    <m/>
    <m/>
    <m/>
    <m/>
    <n v="6236066645"/>
    <n v="0"/>
    <n v="0"/>
    <n v="0"/>
  </r>
  <r>
    <s v=""/>
    <x v="0"/>
    <x v="3"/>
    <s v="RD"/>
    <x v="35"/>
    <m/>
    <x v="0"/>
    <x v="1"/>
    <x v="1"/>
    <m/>
    <n v="9869700195.5688324"/>
    <d v="2021-04-01T00:00:00"/>
    <d v="2024-03-01T00:00:00"/>
    <m/>
    <m/>
    <s v="PO-92032"/>
    <m/>
    <n v="2050581517"/>
    <n v="2050581517"/>
    <m/>
    <m/>
    <n v="0"/>
    <n v="0"/>
    <m/>
    <m/>
    <m/>
    <m/>
    <m/>
    <m/>
    <m/>
    <m/>
    <m/>
    <m/>
    <m/>
    <m/>
    <m/>
    <m/>
    <m/>
    <m/>
    <m/>
    <m/>
    <m/>
    <m/>
    <m/>
    <m/>
    <m/>
    <n v="2050581517"/>
    <n v="0"/>
    <n v="0"/>
    <n v="0"/>
  </r>
  <r>
    <s v=""/>
    <x v="0"/>
    <x v="3"/>
    <s v="RD"/>
    <x v="36"/>
    <m/>
    <x v="0"/>
    <x v="1"/>
    <x v="1"/>
    <m/>
    <n v="5739645401.4311676"/>
    <d v="2021-04-01T00:00:00"/>
    <d v="2024-03-01T00:00:00"/>
    <m/>
    <m/>
    <s v="PO-92032"/>
    <m/>
    <n v="1150544879"/>
    <n v="1150544879"/>
    <m/>
    <m/>
    <n v="0"/>
    <n v="0"/>
    <m/>
    <m/>
    <m/>
    <m/>
    <m/>
    <m/>
    <m/>
    <m/>
    <m/>
    <m/>
    <m/>
    <m/>
    <m/>
    <m/>
    <m/>
    <m/>
    <m/>
    <m/>
    <m/>
    <m/>
    <m/>
    <m/>
    <m/>
    <n v="1150544879"/>
    <n v="0"/>
    <n v="0"/>
    <n v="0"/>
  </r>
  <r>
    <s v=""/>
    <x v="0"/>
    <x v="3"/>
    <s v="TTSX"/>
    <x v="34"/>
    <s v="14 DAI VRS-SRS VA 10 BO ZIP"/>
    <x v="0"/>
    <x v="1"/>
    <x v="1"/>
    <m/>
    <m/>
    <d v="2021-04-01T00:00:00"/>
    <d v="2024-03-01T00:00:00"/>
    <m/>
    <m/>
    <s v="PO-92032"/>
    <m/>
    <n v="1288496727"/>
    <n v="1288496727"/>
    <m/>
    <m/>
    <n v="0"/>
    <n v="0"/>
    <m/>
    <m/>
    <m/>
    <m/>
    <m/>
    <m/>
    <m/>
    <m/>
    <m/>
    <m/>
    <m/>
    <m/>
    <m/>
    <m/>
    <m/>
    <m/>
    <m/>
    <m/>
    <m/>
    <m/>
    <m/>
    <m/>
    <m/>
    <n v="1288496727"/>
    <n v="0"/>
    <n v="0"/>
    <n v="0"/>
  </r>
  <r>
    <s v=""/>
    <x v="0"/>
    <x v="3"/>
    <s v="DVSBH"/>
    <x v="34"/>
    <s v="14 DAI VRS-SRS VA 10 BO ZIP"/>
    <x v="0"/>
    <x v="1"/>
    <x v="1"/>
    <m/>
    <m/>
    <d v="2021-04-01T00:00:00"/>
    <d v="2024-03-01T00:00:00"/>
    <m/>
    <m/>
    <s v="PO-92032"/>
    <m/>
    <n v="560402425"/>
    <n v="560402425"/>
    <m/>
    <m/>
    <n v="0"/>
    <n v="0"/>
    <m/>
    <m/>
    <m/>
    <m/>
    <m/>
    <m/>
    <m/>
    <m/>
    <m/>
    <m/>
    <m/>
    <m/>
    <m/>
    <m/>
    <m/>
    <m/>
    <m/>
    <m/>
    <m/>
    <m/>
    <m/>
    <m/>
    <m/>
    <n v="560402425"/>
    <n v="0"/>
    <n v="0"/>
    <n v="0"/>
  </r>
  <r>
    <s v=""/>
    <x v="0"/>
    <x v="3"/>
    <s v="DVSBH"/>
    <x v="34"/>
    <s v="14 DAI VRS-SRS VA 10 BO ZIP"/>
    <x v="1"/>
    <x v="1"/>
    <x v="1"/>
    <m/>
    <m/>
    <d v="2021-04-01T00:00:00"/>
    <d v="2024-03-01T00:00:00"/>
    <m/>
    <m/>
    <s v="PO-92032"/>
    <m/>
    <n v="608877787"/>
    <n v="608877787"/>
    <m/>
    <m/>
    <n v="0"/>
    <n v="0"/>
    <m/>
    <m/>
    <m/>
    <m/>
    <m/>
    <m/>
    <m/>
    <m/>
    <n v="27225525"/>
    <m/>
    <m/>
    <m/>
    <m/>
    <m/>
    <m/>
    <m/>
    <m/>
    <m/>
    <m/>
    <m/>
    <m/>
    <m/>
    <m/>
    <n v="581652262"/>
    <n v="0"/>
    <n v="0"/>
    <n v="0"/>
  </r>
  <r>
    <m/>
    <x v="0"/>
    <x v="3"/>
    <s v="RD"/>
    <x v="37"/>
    <m/>
    <x v="1"/>
    <x v="1"/>
    <x v="1"/>
    <m/>
    <m/>
    <d v="2021-04-01T00:00:00"/>
    <d v="2024-03-01T00:00:00"/>
    <m/>
    <m/>
    <s v="PO-92032"/>
    <m/>
    <n v="593745267"/>
    <n v="593745267"/>
    <m/>
    <m/>
    <n v="0"/>
    <n v="0"/>
    <m/>
    <m/>
    <m/>
    <m/>
    <m/>
    <m/>
    <m/>
    <m/>
    <m/>
    <m/>
    <m/>
    <m/>
    <m/>
    <m/>
    <m/>
    <m/>
    <m/>
    <m/>
    <m/>
    <m/>
    <m/>
    <m/>
    <m/>
    <n v="593745267"/>
    <n v="0"/>
    <n v="0"/>
    <n v="0"/>
  </r>
  <r>
    <s v=""/>
    <x v="0"/>
    <x v="3"/>
    <s v="RD"/>
    <x v="36"/>
    <m/>
    <x v="1"/>
    <x v="1"/>
    <x v="1"/>
    <m/>
    <m/>
    <d v="2021-04-01T00:00:00"/>
    <d v="2024-03-01T00:00:00"/>
    <m/>
    <m/>
    <s v="PO-92032"/>
    <m/>
    <n v="392763242"/>
    <n v="392763242"/>
    <m/>
    <m/>
    <n v="0"/>
    <n v="0"/>
    <m/>
    <m/>
    <m/>
    <m/>
    <m/>
    <m/>
    <m/>
    <m/>
    <m/>
    <m/>
    <m/>
    <m/>
    <m/>
    <m/>
    <m/>
    <m/>
    <m/>
    <m/>
    <m/>
    <m/>
    <m/>
    <m/>
    <m/>
    <n v="392763242"/>
    <n v="0"/>
    <n v="0"/>
    <n v="0"/>
  </r>
  <r>
    <s v=""/>
    <x v="0"/>
    <x v="3"/>
    <s v="DVSBH"/>
    <x v="34"/>
    <s v="14 DAI VRS-SRS VA 10 BO ZIP"/>
    <x v="2"/>
    <x v="1"/>
    <x v="0"/>
    <m/>
    <m/>
    <d v="2023-05-01T00:00:00"/>
    <d v="2025-05-01T00:00:00"/>
    <m/>
    <m/>
    <s v="PO-92032"/>
    <m/>
    <n v="1491323571"/>
    <n v="1046387567"/>
    <n v="70451213"/>
    <n v="96154113"/>
    <n v="149480718"/>
    <n v="128849960"/>
    <n v="128849960"/>
    <m/>
    <m/>
    <m/>
    <m/>
    <m/>
    <m/>
    <m/>
    <m/>
    <n v="18853258"/>
    <n v="28489317"/>
    <m/>
    <n v="85337177"/>
    <n v="57183777"/>
    <n v="76308841"/>
    <n v="32943189"/>
    <n v="77820459"/>
    <n v="123374654"/>
    <n v="87412637"/>
    <n v="74779282"/>
    <n v="92380408"/>
    <n v="52575071"/>
    <n v="238929497"/>
    <n v="0"/>
    <n v="0"/>
    <n v="95630994"/>
    <n v="262985233.5"/>
  </r>
  <r>
    <n v="23"/>
    <x v="0"/>
    <x v="3"/>
    <s v="RD"/>
    <x v="38"/>
    <s v="04 DAI RADA VRS-MRS"/>
    <x v="0"/>
    <x v="0"/>
    <x v="0"/>
    <n v="474603764574"/>
    <n v="42904169218"/>
    <s v="02/2022"/>
    <d v="2026-03-01T00:00:00"/>
    <s v="anhnt18@viettel.com.vn"/>
    <s v="giangnh13@viettel.com.vn"/>
    <s v="PO-92057"/>
    <n v="10094624794"/>
    <n v="32809544424"/>
    <n v="31124873651"/>
    <n v="463782837"/>
    <n v="379527390"/>
    <n v="311057732"/>
    <n v="530302814"/>
    <m/>
    <m/>
    <m/>
    <m/>
    <m/>
    <m/>
    <m/>
    <m/>
    <n v="484122469"/>
    <n v="481983019"/>
    <n v="376115666"/>
    <n v="451168101"/>
    <n v="375303030"/>
    <n v="399102181"/>
    <n v="413620239"/>
    <n v="369465488"/>
    <n v="371434524"/>
    <n v="718944685"/>
    <n v="571485588"/>
    <n v="205092870"/>
    <n v="130111936"/>
    <n v="342995464"/>
    <n v="1560520544"/>
    <n v="21284399315"/>
    <n v="0"/>
    <m/>
    <m/>
  </r>
  <r>
    <m/>
    <x v="0"/>
    <x v="3"/>
    <s v="RD"/>
    <x v="38"/>
    <s v="04 DAI RADA VRS-MRS"/>
    <x v="0"/>
    <x v="1"/>
    <x v="0"/>
    <m/>
    <m/>
    <s v="02/2022"/>
    <d v="2026-03-01T00:00:00"/>
    <m/>
    <m/>
    <s v="PO-92057"/>
    <m/>
    <n v="5630313460"/>
    <n v="5630313460"/>
    <m/>
    <m/>
    <n v="0"/>
    <n v="0"/>
    <m/>
    <m/>
    <m/>
    <m/>
    <m/>
    <m/>
    <m/>
    <m/>
    <m/>
    <m/>
    <m/>
    <m/>
    <m/>
    <m/>
    <m/>
    <m/>
    <m/>
    <m/>
    <m/>
    <m/>
    <m/>
    <m/>
    <m/>
    <n v="5630313460"/>
    <n v="0"/>
    <n v="0"/>
    <n v="0"/>
  </r>
  <r>
    <m/>
    <x v="0"/>
    <x v="3"/>
    <s v="TTSX"/>
    <x v="38"/>
    <s v="04 DAI RADA VRS-MRS"/>
    <x v="0"/>
    <x v="1"/>
    <x v="0"/>
    <m/>
    <m/>
    <s v="02/2022"/>
    <d v="2026-03-01T00:00:00"/>
    <m/>
    <m/>
    <s v="PO-92057"/>
    <m/>
    <n v="799948310"/>
    <n v="799948310"/>
    <m/>
    <m/>
    <n v="0"/>
    <n v="0"/>
    <m/>
    <m/>
    <m/>
    <m/>
    <m/>
    <m/>
    <m/>
    <m/>
    <m/>
    <m/>
    <m/>
    <m/>
    <m/>
    <m/>
    <m/>
    <m/>
    <m/>
    <m/>
    <m/>
    <m/>
    <m/>
    <m/>
    <m/>
    <n v="799948310"/>
    <n v="0"/>
    <n v="0"/>
    <n v="0"/>
  </r>
  <r>
    <m/>
    <x v="0"/>
    <x v="3"/>
    <s v="DVSBH"/>
    <x v="38"/>
    <s v="04 DAI RADA VRS-MRS"/>
    <x v="0"/>
    <x v="1"/>
    <x v="0"/>
    <m/>
    <m/>
    <s v="02/2022"/>
    <d v="2026-03-01T00:00:00"/>
    <m/>
    <m/>
    <s v="PO-92057"/>
    <m/>
    <n v="895846521"/>
    <n v="895846521"/>
    <m/>
    <m/>
    <n v="0"/>
    <n v="0"/>
    <m/>
    <m/>
    <m/>
    <m/>
    <m/>
    <m/>
    <m/>
    <m/>
    <m/>
    <m/>
    <m/>
    <m/>
    <m/>
    <n v="17232392"/>
    <n v="38660732"/>
    <n v="2358612"/>
    <n v="69182610"/>
    <n v="25055002"/>
    <n v="64408154"/>
    <n v="75969789"/>
    <n v="48818654"/>
    <n v="24017718"/>
    <n v="109508337"/>
    <n v="372548368"/>
    <n v="0"/>
    <n v="0"/>
    <n v="0"/>
  </r>
  <r>
    <s v=""/>
    <x v="0"/>
    <x v="3"/>
    <s v="RD"/>
    <x v="39"/>
    <s v="04 DAI RADA VRS-MRS"/>
    <x v="0"/>
    <x v="1"/>
    <x v="0"/>
    <m/>
    <n v="28059165046"/>
    <s v="02/2022"/>
    <d v="2026-03-01T00:00:00"/>
    <m/>
    <m/>
    <s v="PO-92057"/>
    <n v="512617217"/>
    <n v="15009047803"/>
    <n v="14151530078"/>
    <n v="382202016"/>
    <n v="196380214"/>
    <n v="179430296"/>
    <n v="99505199"/>
    <n v="99505199"/>
    <n v="99505199"/>
    <n v="99505199"/>
    <n v="99505199"/>
    <n v="99505199"/>
    <n v="99505199"/>
    <n v="99505199"/>
    <n v="99505199"/>
    <n v="292325189"/>
    <n v="348121545"/>
    <n v="287750991"/>
    <n v="331425433"/>
    <n v="324988452"/>
    <n v="309903505"/>
    <n v="293348114"/>
    <n v="266361843"/>
    <n v="153330096"/>
    <n v="470246076"/>
    <n v="323678848"/>
    <n v="25011384"/>
    <m/>
    <n v="212391906"/>
    <n v="973244498"/>
    <n v="9539402198"/>
    <n v="0"/>
    <n v="176088020.5"/>
    <n v="757881353.625"/>
  </r>
  <r>
    <s v=""/>
    <x v="0"/>
    <x v="3"/>
    <s v="TH"/>
    <x v="39"/>
    <s v="04 DAI RADA VRS-MRS"/>
    <x v="0"/>
    <x v="1"/>
    <x v="0"/>
    <m/>
    <m/>
    <s v="02/2022"/>
    <d v="2026-03-01T00:00:00"/>
    <m/>
    <m/>
    <s v="PO-92057"/>
    <m/>
    <n v="28199959"/>
    <n v="0"/>
    <n v="17123315"/>
    <n v="11076644"/>
    <n v="0"/>
    <n v="0"/>
    <m/>
    <m/>
    <m/>
    <m/>
    <m/>
    <m/>
    <m/>
    <m/>
    <m/>
    <m/>
    <m/>
    <m/>
    <m/>
    <m/>
    <m/>
    <m/>
    <m/>
    <m/>
    <m/>
    <m/>
    <m/>
    <m/>
    <m/>
    <m/>
    <n v="0"/>
    <n v="4699993.166666667"/>
    <n v="12924981.208333334"/>
  </r>
  <r>
    <s v=""/>
    <x v="0"/>
    <x v="3"/>
    <s v="TTSX"/>
    <x v="39"/>
    <s v="04 DAI RADA VRS-MRS"/>
    <x v="0"/>
    <x v="1"/>
    <x v="0"/>
    <m/>
    <m/>
    <s v="02/2022"/>
    <d v="2026-03-01T00:00:00"/>
    <m/>
    <m/>
    <s v="PO-92057"/>
    <m/>
    <n v="4874780994"/>
    <n v="4393339613"/>
    <m/>
    <n v="114659978"/>
    <n v="0"/>
    <n v="366781403"/>
    <n v="366781403"/>
    <n v="366781403"/>
    <n v="366781403"/>
    <n v="366781403"/>
    <n v="366781403"/>
    <n v="366781403"/>
    <n v="366781403"/>
    <n v="366781403"/>
    <n v="142018205"/>
    <n v="68874909"/>
    <n v="37407191"/>
    <n v="64764341"/>
    <m/>
    <n v="36944087"/>
    <n v="37181090"/>
    <n v="57651668"/>
    <n v="37181090"/>
    <n v="81300905"/>
    <n v="99219378"/>
    <n v="95774567"/>
    <n v="53460833"/>
    <n v="57377299"/>
    <n v="253332608"/>
    <n v="3270851442"/>
    <n v="0"/>
    <n v="202500697.83333334"/>
    <n v="1565525777.2916667"/>
  </r>
  <r>
    <s v=""/>
    <x v="0"/>
    <x v="3"/>
    <s v="DVSBH"/>
    <x v="39"/>
    <s v="04 DAI RADA VRS-MRS"/>
    <x v="0"/>
    <x v="1"/>
    <x v="0"/>
    <m/>
    <m/>
    <s v="02/2022"/>
    <d v="2026-03-01T00:00:00"/>
    <m/>
    <m/>
    <s v="PO-92057"/>
    <m/>
    <n v="28728957"/>
    <m/>
    <m/>
    <m/>
    <n v="0"/>
    <n v="28728957"/>
    <n v="28728957"/>
    <n v="28728957"/>
    <n v="28728957"/>
    <n v="28728957"/>
    <n v="28728957"/>
    <n v="28728957"/>
    <n v="28728957"/>
    <n v="28728957"/>
    <n v="142018205"/>
    <n v="68874909"/>
    <n v="37407191"/>
    <n v="64764341"/>
    <m/>
    <n v="36944087"/>
    <n v="37181090"/>
    <n v="57651668"/>
    <n v="37181090"/>
    <n v="81300905"/>
    <n v="99219378"/>
    <n v="95774567"/>
    <n v="53460833"/>
    <n v="57377299"/>
    <n v="253332608"/>
    <n v="3270851442"/>
    <n v="0"/>
    <n v="14364478.5"/>
    <n v="118506947.625"/>
  </r>
  <r>
    <s v=""/>
    <x v="0"/>
    <x v="3"/>
    <s v="ĐBCL"/>
    <x v="39"/>
    <s v="04 DAI RADA VRS-MRS"/>
    <x v="0"/>
    <x v="1"/>
    <x v="0"/>
    <m/>
    <m/>
    <s v="02/2022"/>
    <d v="2026-03-01T00:00:00"/>
    <m/>
    <m/>
    <s v="PO-92057"/>
    <m/>
    <n v="279681825"/>
    <n v="215839957"/>
    <n v="7299074"/>
    <n v="13530864"/>
    <n v="22483506"/>
    <n v="20528424"/>
    <n v="20528424"/>
    <n v="20528424"/>
    <n v="20528424"/>
    <n v="20528424"/>
    <n v="20528424"/>
    <n v="20528424"/>
    <n v="20528424"/>
    <n v="20528424"/>
    <m/>
    <m/>
    <m/>
    <m/>
    <m/>
    <m/>
    <m/>
    <m/>
    <n v="72411988"/>
    <n v="56377159"/>
    <m/>
    <m/>
    <n v="27832449"/>
    <n v="10823995"/>
    <n v="48394366"/>
    <n v="0"/>
    <n v="0"/>
    <n v="17483119.333333332"/>
    <n v="104531744.16666667"/>
  </r>
  <r>
    <s v=""/>
    <x v="0"/>
    <x v="3"/>
    <s v="RD"/>
    <x v="40"/>
    <s v="04 DAI RADA VRS-MRS (ZIP)"/>
    <x v="0"/>
    <x v="1"/>
    <x v="0"/>
    <m/>
    <n v="4421159140"/>
    <s v="02/2022"/>
    <d v="2026-03-01T00:00:00"/>
    <m/>
    <m/>
    <s v="PO-92057"/>
    <n v="1773660950"/>
    <n v="2345166736"/>
    <n v="2198173033"/>
    <n v="55018017"/>
    <n v="42648951"/>
    <n v="34567904"/>
    <n v="14758831"/>
    <n v="14758831"/>
    <n v="14758831"/>
    <n v="14758831"/>
    <n v="14758831"/>
    <n v="14758831"/>
    <n v="14758831"/>
    <n v="14758831"/>
    <n v="14758831"/>
    <n v="46408539"/>
    <n v="57091291"/>
    <n v="46064224"/>
    <n v="54978327"/>
    <n v="50314578"/>
    <n v="35022197"/>
    <n v="44430303"/>
    <n v="40834302"/>
    <n v="39328740"/>
    <n v="85965543"/>
    <n v="84179208"/>
    <n v="8337130"/>
    <m/>
    <n v="37241328"/>
    <n v="171179959"/>
    <n v="1396797364"/>
    <n v="0"/>
    <n v="29418560.833333332"/>
    <n v="121487827.54166667"/>
  </r>
  <r>
    <s v=""/>
    <x v="0"/>
    <x v="3"/>
    <s v="TH"/>
    <x v="40"/>
    <s v="04 DAI RADA VRS-MRS (ZIP)"/>
    <x v="0"/>
    <x v="1"/>
    <x v="0"/>
    <m/>
    <m/>
    <s v="02/2022"/>
    <d v="2026-03-01T00:00:00"/>
    <m/>
    <m/>
    <s v="PO-92057"/>
    <m/>
    <n v="3371154"/>
    <n v="0"/>
    <n v="2140415"/>
    <n v="1230739"/>
    <n v="0"/>
    <n v="0"/>
    <m/>
    <m/>
    <m/>
    <m/>
    <m/>
    <m/>
    <m/>
    <m/>
    <m/>
    <m/>
    <m/>
    <m/>
    <m/>
    <m/>
    <m/>
    <m/>
    <m/>
    <m/>
    <m/>
    <m/>
    <m/>
    <m/>
    <m/>
    <m/>
    <n v="0"/>
    <n v="561859"/>
    <n v="1545112.25"/>
  </r>
  <r>
    <s v=""/>
    <x v="0"/>
    <x v="3"/>
    <s v="TTSX"/>
    <x v="40"/>
    <s v="04 DAI RADA VRS-MRS (ZIP)"/>
    <x v="0"/>
    <x v="1"/>
    <x v="0"/>
    <m/>
    <m/>
    <s v="02/2022"/>
    <d v="2026-03-01T00:00:00"/>
    <m/>
    <m/>
    <s v="PO-92057"/>
    <m/>
    <n v="298960300"/>
    <n v="298960300"/>
    <m/>
    <m/>
    <n v="0"/>
    <n v="0"/>
    <m/>
    <m/>
    <m/>
    <m/>
    <m/>
    <m/>
    <m/>
    <m/>
    <n v="3370536"/>
    <n v="7895274"/>
    <n v="4893260"/>
    <m/>
    <m/>
    <m/>
    <m/>
    <n v="2259063"/>
    <m/>
    <m/>
    <m/>
    <m/>
    <m/>
    <n v="1143218"/>
    <n v="4860776"/>
    <n v="274538173"/>
    <n v="0"/>
    <n v="0"/>
    <n v="0"/>
  </r>
  <r>
    <s v=""/>
    <x v="0"/>
    <x v="3"/>
    <s v="TTSX"/>
    <x v="39"/>
    <s v="04 DAI RADA VRS-MRS"/>
    <x v="1"/>
    <x v="1"/>
    <x v="0"/>
    <m/>
    <n v="10423845032"/>
    <s v="02/2022"/>
    <d v="2026-03-01T00:00:00"/>
    <m/>
    <m/>
    <s v="PO-92057"/>
    <n v="7808346627"/>
    <n v="130731738"/>
    <n v="56155712"/>
    <m/>
    <m/>
    <n v="74576026"/>
    <n v="0"/>
    <n v="74576026"/>
    <n v="74576026"/>
    <n v="74576026"/>
    <n v="74576026"/>
    <n v="74576026"/>
    <n v="74576026"/>
    <n v="74576026"/>
    <n v="74576026"/>
    <m/>
    <m/>
    <m/>
    <m/>
    <n v="56155712"/>
    <m/>
    <m/>
    <m/>
    <m/>
    <m/>
    <m/>
    <m/>
    <m/>
    <m/>
    <m/>
    <m/>
    <n v="0"/>
    <n v="37288013"/>
    <n v="307626107.25"/>
  </r>
  <r>
    <s v=""/>
    <x v="0"/>
    <x v="3"/>
    <s v="RD"/>
    <x v="39"/>
    <s v="04 DAI RADA VRS-MRS"/>
    <x v="1"/>
    <x v="1"/>
    <x v="0"/>
    <m/>
    <m/>
    <s v="02/2022"/>
    <d v="2026-03-01T00:00:00"/>
    <m/>
    <m/>
    <s v="PO-92057"/>
    <m/>
    <n v="2174368545"/>
    <n v="2174368545"/>
    <m/>
    <m/>
    <n v="0"/>
    <n v="0"/>
    <m/>
    <m/>
    <m/>
    <m/>
    <m/>
    <m/>
    <m/>
    <m/>
    <m/>
    <m/>
    <m/>
    <m/>
    <m/>
    <m/>
    <m/>
    <m/>
    <m/>
    <m/>
    <n v="204226566"/>
    <n v="659502310"/>
    <n v="716467292"/>
    <n v="104296947"/>
    <n v="489875430"/>
    <n v="0"/>
    <n v="0"/>
    <n v="0"/>
    <n v="0"/>
  </r>
  <r>
    <s v=""/>
    <x v="0"/>
    <x v="3"/>
    <s v="RD"/>
    <x v="40"/>
    <s v="04 DAI RADA VRS-MRS (ZIP)"/>
    <x v="1"/>
    <x v="1"/>
    <x v="0"/>
    <m/>
    <m/>
    <s v="02/2022"/>
    <d v="2026-03-01T00:00:00"/>
    <m/>
    <m/>
    <s v="PO-92057"/>
    <m/>
    <n v="310398122"/>
    <n v="310398122"/>
    <m/>
    <m/>
    <n v="0"/>
    <n v="0"/>
    <m/>
    <m/>
    <m/>
    <m/>
    <m/>
    <m/>
    <m/>
    <m/>
    <m/>
    <m/>
    <m/>
    <m/>
    <m/>
    <m/>
    <m/>
    <m/>
    <m/>
    <m/>
    <m/>
    <n v="108147620"/>
    <n v="117565814"/>
    <n v="14832749"/>
    <n v="69851939"/>
    <n v="0"/>
    <n v="0"/>
    <n v="0"/>
    <n v="0"/>
  </r>
  <r>
    <s v=""/>
    <x v="0"/>
    <x v="3"/>
    <s v="TTSX"/>
    <x v="40"/>
    <s v="04 DAI RADA VRS-MRS (ZIP)"/>
    <x v="1"/>
    <x v="1"/>
    <x v="0"/>
    <m/>
    <m/>
    <s v="02/2022"/>
    <d v="2026-03-01T00:00:00"/>
    <m/>
    <m/>
    <s v="PO-92057"/>
    <m/>
    <n v="0"/>
    <n v="0"/>
    <m/>
    <m/>
    <n v="0"/>
    <n v="0"/>
    <m/>
    <m/>
    <m/>
    <m/>
    <m/>
    <m/>
    <m/>
    <m/>
    <m/>
    <m/>
    <m/>
    <m/>
    <m/>
    <m/>
    <m/>
    <m/>
    <m/>
    <m/>
    <m/>
    <m/>
    <m/>
    <m/>
    <m/>
    <n v="0"/>
    <n v="0"/>
    <n v="0"/>
    <n v="0"/>
  </r>
  <r>
    <n v="24"/>
    <x v="0"/>
    <x v="3"/>
    <s v="RD"/>
    <x v="41"/>
    <m/>
    <x v="0"/>
    <x v="0"/>
    <x v="1"/>
    <n v="719241465000"/>
    <n v="22769000000"/>
    <s v="03/2020"/>
    <d v="2024-04-01T00:00:00"/>
    <s v="duclt8@viettel.com.vn"/>
    <s v="giangnh13@viettel.com.vn"/>
    <m/>
    <n v="5745882253"/>
    <n v="17023117747"/>
    <n v="17023117747"/>
    <m/>
    <m/>
    <n v="0"/>
    <n v="0"/>
    <m/>
    <m/>
    <m/>
    <m/>
    <m/>
    <m/>
    <m/>
    <m/>
    <n v="86929530"/>
    <n v="188115819"/>
    <n v="218222109"/>
    <n v="187371413"/>
    <n v="0"/>
    <n v="27546057"/>
    <n v="37600485"/>
    <n v="109175316"/>
    <n v="26462069"/>
    <n v="48976431"/>
    <n v="75698707"/>
    <n v="86227450"/>
    <n v="85571937"/>
    <n v="75678774"/>
    <n v="384036329"/>
    <n v="15385505321"/>
    <n v="0"/>
    <n v="0"/>
    <n v="0"/>
  </r>
  <r>
    <s v=""/>
    <x v="0"/>
    <x v="3"/>
    <s v="RD"/>
    <x v="41"/>
    <m/>
    <x v="0"/>
    <x v="1"/>
    <x v="1"/>
    <m/>
    <m/>
    <s v="03/2020"/>
    <s v="12/2024"/>
    <m/>
    <m/>
    <m/>
    <m/>
    <n v="6848220040"/>
    <n v="6848220040"/>
    <m/>
    <m/>
    <n v="0"/>
    <n v="0"/>
    <m/>
    <m/>
    <m/>
    <m/>
    <m/>
    <m/>
    <m/>
    <m/>
    <m/>
    <m/>
    <m/>
    <m/>
    <m/>
    <m/>
    <m/>
    <m/>
    <m/>
    <m/>
    <m/>
    <m/>
    <m/>
    <m/>
    <m/>
    <n v="6848220040"/>
    <n v="0"/>
    <n v="0"/>
    <n v="0"/>
  </r>
  <r>
    <s v=""/>
    <x v="0"/>
    <x v="3"/>
    <s v="TTSX"/>
    <x v="41"/>
    <m/>
    <x v="0"/>
    <x v="1"/>
    <x v="1"/>
    <m/>
    <m/>
    <s v="03/2020"/>
    <s v="12/2024"/>
    <m/>
    <m/>
    <m/>
    <m/>
    <n v="9463187001"/>
    <n v="9463187001"/>
    <m/>
    <m/>
    <n v="0"/>
    <n v="0"/>
    <m/>
    <m/>
    <m/>
    <m/>
    <m/>
    <m/>
    <m/>
    <m/>
    <n v="86929530"/>
    <n v="188115819"/>
    <n v="218222109"/>
    <n v="187371413"/>
    <m/>
    <n v="27546057"/>
    <n v="37600485"/>
    <n v="109175316"/>
    <n v="26462069"/>
    <n v="48976431"/>
    <n v="75698707"/>
    <n v="76479535"/>
    <n v="78766275"/>
    <n v="74529933"/>
    <n v="378822795"/>
    <n v="7848490527"/>
    <n v="0"/>
    <n v="0"/>
    <n v="0"/>
  </r>
  <r>
    <s v=""/>
    <x v="0"/>
    <x v="3"/>
    <s v="DVSBH"/>
    <x v="41"/>
    <m/>
    <x v="0"/>
    <x v="1"/>
    <x v="1"/>
    <m/>
    <n v="10207592000"/>
    <s v="03/2020"/>
    <s v="12/2024"/>
    <m/>
    <m/>
    <m/>
    <m/>
    <n v="547610716"/>
    <n v="547610716"/>
    <m/>
    <m/>
    <n v="0"/>
    <n v="0"/>
    <m/>
    <m/>
    <m/>
    <m/>
    <m/>
    <m/>
    <m/>
    <m/>
    <m/>
    <m/>
    <m/>
    <m/>
    <m/>
    <m/>
    <m/>
    <m/>
    <m/>
    <m/>
    <m/>
    <n v="9747915"/>
    <n v="6805662"/>
    <n v="1148841"/>
    <n v="5213534"/>
    <n v="524694764"/>
    <n v="0"/>
    <n v="0"/>
    <n v="0"/>
  </r>
  <r>
    <s v=""/>
    <x v="0"/>
    <x v="3"/>
    <s v="TTSX"/>
    <x v="42"/>
    <m/>
    <x v="0"/>
    <x v="1"/>
    <x v="1"/>
    <m/>
    <n v="3812046000"/>
    <s v="03/2020"/>
    <s v="12/2024"/>
    <m/>
    <m/>
    <m/>
    <m/>
    <n v="60502173"/>
    <n v="60502173"/>
    <m/>
    <m/>
    <n v="0"/>
    <n v="0"/>
    <m/>
    <m/>
    <m/>
    <m/>
    <m/>
    <m/>
    <m/>
    <m/>
    <m/>
    <m/>
    <m/>
    <m/>
    <m/>
    <m/>
    <m/>
    <m/>
    <m/>
    <m/>
    <m/>
    <m/>
    <m/>
    <m/>
    <m/>
    <n v="60502173"/>
    <n v="0"/>
    <n v="0"/>
    <n v="0"/>
  </r>
  <r>
    <s v=""/>
    <x v="0"/>
    <x v="3"/>
    <s v="TTSX"/>
    <x v="43"/>
    <m/>
    <x v="0"/>
    <x v="1"/>
    <x v="1"/>
    <m/>
    <n v="8749362000"/>
    <s v="03/2020"/>
    <s v="12/2024"/>
    <m/>
    <m/>
    <m/>
    <m/>
    <n v="103597817"/>
    <n v="103597817"/>
    <m/>
    <m/>
    <n v="0"/>
    <n v="0"/>
    <m/>
    <m/>
    <m/>
    <m/>
    <m/>
    <m/>
    <m/>
    <m/>
    <m/>
    <m/>
    <m/>
    <m/>
    <m/>
    <m/>
    <m/>
    <m/>
    <m/>
    <m/>
    <m/>
    <m/>
    <m/>
    <m/>
    <m/>
    <n v="103597817"/>
    <n v="0"/>
    <n v="0"/>
    <n v="0"/>
  </r>
  <r>
    <s v=""/>
    <x v="0"/>
    <x v="3"/>
    <s v="RD"/>
    <x v="41"/>
    <m/>
    <x v="1"/>
    <x v="1"/>
    <x v="1"/>
    <m/>
    <m/>
    <s v="03/2020"/>
    <d v="2024-04-01T00:00:00"/>
    <m/>
    <m/>
    <m/>
    <m/>
    <n v="385131185"/>
    <n v="385131185"/>
    <m/>
    <m/>
    <n v="0"/>
    <n v="0"/>
    <m/>
    <m/>
    <m/>
    <m/>
    <m/>
    <m/>
    <m/>
    <m/>
    <m/>
    <m/>
    <m/>
    <m/>
    <m/>
    <m/>
    <m/>
    <m/>
    <m/>
    <m/>
    <m/>
    <m/>
    <m/>
    <m/>
    <m/>
    <n v="385131185"/>
    <n v="0"/>
    <n v="0"/>
    <n v="0"/>
  </r>
  <r>
    <s v=""/>
    <x v="0"/>
    <x v="3"/>
    <s v="TTSX"/>
    <x v="41"/>
    <m/>
    <x v="1"/>
    <x v="1"/>
    <x v="1"/>
    <m/>
    <m/>
    <s v="03/2020"/>
    <d v="2024-04-01T00:00:00"/>
    <m/>
    <m/>
    <m/>
    <m/>
    <n v="753804278"/>
    <n v="753804278"/>
    <m/>
    <m/>
    <n v="0"/>
    <n v="0"/>
    <m/>
    <m/>
    <m/>
    <m/>
    <m/>
    <m/>
    <m/>
    <m/>
    <n v="126930479"/>
    <n v="14216939"/>
    <m/>
    <m/>
    <m/>
    <m/>
    <m/>
    <n v="23184761"/>
    <m/>
    <m/>
    <m/>
    <m/>
    <m/>
    <n v="10848954"/>
    <n v="54872127"/>
    <n v="523751018"/>
    <n v="0"/>
    <n v="0"/>
    <n v="0"/>
  </r>
  <r>
    <s v=""/>
    <x v="0"/>
    <x v="3"/>
    <s v="DVSBH"/>
    <x v="41"/>
    <m/>
    <x v="2"/>
    <x v="1"/>
    <x v="1"/>
    <m/>
    <m/>
    <d v="2022-04-01T00:00:00"/>
    <d v="2024-04-01T00:00:00"/>
    <m/>
    <m/>
    <m/>
    <m/>
    <n v="412093110"/>
    <n v="412093110"/>
    <m/>
    <m/>
    <n v="0"/>
    <n v="0"/>
    <m/>
    <m/>
    <m/>
    <m/>
    <m/>
    <m/>
    <m/>
    <m/>
    <n v="63526225"/>
    <n v="54073583"/>
    <n v="33659090"/>
    <m/>
    <m/>
    <m/>
    <m/>
    <n v="23819610"/>
    <m/>
    <m/>
    <m/>
    <m/>
    <m/>
    <n v="10982657"/>
    <n v="50518704"/>
    <n v="175513241"/>
    <n v="0"/>
    <n v="0"/>
    <n v="0"/>
  </r>
  <r>
    <n v="25"/>
    <x v="0"/>
    <x v="3"/>
    <s v="RD"/>
    <x v="44"/>
    <m/>
    <x v="0"/>
    <x v="0"/>
    <x v="1"/>
    <n v="238529701697"/>
    <n v="6875796451.8000002"/>
    <s v="8/2023"/>
    <s v="6/2024"/>
    <s v="vietth2@viettel.com.vn"/>
    <s v="giangnh13@viettel.com.vn"/>
    <s v="PO-93016"/>
    <n v="3571385427.8000002"/>
    <n v="3304411024"/>
    <n v="3304411024"/>
    <m/>
    <m/>
    <n v="0"/>
    <n v="0"/>
    <m/>
    <m/>
    <m/>
    <m/>
    <m/>
    <m/>
    <m/>
    <m/>
    <n v="408765656"/>
    <n v="773298280"/>
    <n v="426540389"/>
    <n v="91089358"/>
    <n v="94212400"/>
    <n v="77143027"/>
    <n v="0"/>
    <n v="267520636"/>
    <n v="0"/>
    <n v="0"/>
    <m/>
    <m/>
    <m/>
    <m/>
    <m/>
    <n v="1165841278"/>
    <n v="0"/>
    <n v="0"/>
    <n v="0"/>
  </r>
  <r>
    <s v=""/>
    <x v="0"/>
    <x v="3"/>
    <s v="RD"/>
    <x v="45"/>
    <m/>
    <x v="0"/>
    <x v="1"/>
    <x v="1"/>
    <m/>
    <n v="5020548011"/>
    <s v="8/2023"/>
    <s v="6/2024"/>
    <m/>
    <m/>
    <s v="PO-93016"/>
    <m/>
    <n v="1694740155"/>
    <n v="1694740155"/>
    <m/>
    <m/>
    <n v="0"/>
    <n v="0"/>
    <m/>
    <m/>
    <m/>
    <m/>
    <m/>
    <m/>
    <m/>
    <m/>
    <n v="215695249"/>
    <n v="429552829"/>
    <n v="170066884"/>
    <n v="60163583"/>
    <n v="62745241"/>
    <n v="53510821"/>
    <m/>
    <n v="140430745"/>
    <m/>
    <m/>
    <m/>
    <m/>
    <m/>
    <m/>
    <m/>
    <n v="562574803"/>
    <n v="0"/>
    <n v="0"/>
    <n v="0"/>
  </r>
  <r>
    <s v=""/>
    <x v="0"/>
    <x v="3"/>
    <s v="TTSX"/>
    <x v="45"/>
    <m/>
    <x v="0"/>
    <x v="1"/>
    <x v="1"/>
    <m/>
    <m/>
    <s v="8/2023"/>
    <s v="6/2024"/>
    <m/>
    <m/>
    <s v="PO-93016"/>
    <m/>
    <n v="824726493"/>
    <n v="824726493"/>
    <m/>
    <m/>
    <n v="0"/>
    <n v="0"/>
    <m/>
    <m/>
    <m/>
    <m/>
    <m/>
    <m/>
    <m/>
    <m/>
    <n v="94812825"/>
    <n v="135142915"/>
    <n v="168688107"/>
    <m/>
    <m/>
    <m/>
    <m/>
    <n v="58949300"/>
    <m/>
    <m/>
    <m/>
    <m/>
    <m/>
    <m/>
    <m/>
    <n v="367133346"/>
    <n v="0"/>
    <n v="0"/>
    <n v="0"/>
  </r>
  <r>
    <s v=""/>
    <x v="0"/>
    <x v="3"/>
    <s v="RD"/>
    <x v="46"/>
    <m/>
    <x v="0"/>
    <x v="1"/>
    <x v="1"/>
    <m/>
    <n v="1005893097"/>
    <s v="8/2023"/>
    <s v="6/2024"/>
    <m/>
    <m/>
    <s v="PO-93016"/>
    <m/>
    <n v="531523505"/>
    <n v="531523505"/>
    <m/>
    <m/>
    <n v="0"/>
    <n v="0"/>
    <m/>
    <m/>
    <m/>
    <m/>
    <m/>
    <m/>
    <m/>
    <m/>
    <n v="69599701"/>
    <n v="145667957"/>
    <n v="62729870"/>
    <n v="21802841"/>
    <n v="20280449"/>
    <n v="14939309"/>
    <m/>
    <n v="47436661"/>
    <m/>
    <m/>
    <m/>
    <m/>
    <m/>
    <m/>
    <m/>
    <n v="149066717"/>
    <n v="0"/>
    <n v="0"/>
    <n v="0"/>
  </r>
  <r>
    <s v=""/>
    <x v="0"/>
    <x v="3"/>
    <s v="RD"/>
    <x v="47"/>
    <m/>
    <x v="0"/>
    <x v="1"/>
    <x v="1"/>
    <m/>
    <n v="371873829"/>
    <s v="8/2023"/>
    <s v="6/2024"/>
    <m/>
    <m/>
    <s v="PO-93016"/>
    <m/>
    <n v="253420871"/>
    <n v="253420871"/>
    <m/>
    <m/>
    <n v="0"/>
    <n v="0"/>
    <m/>
    <m/>
    <m/>
    <m/>
    <m/>
    <m/>
    <m/>
    <m/>
    <n v="28657881"/>
    <n v="62934579"/>
    <n v="25055528"/>
    <n v="9122934"/>
    <n v="11186710"/>
    <n v="8692897"/>
    <m/>
    <n v="20703930"/>
    <m/>
    <m/>
    <m/>
    <m/>
    <m/>
    <m/>
    <m/>
    <n v="87066412"/>
    <n v="0"/>
    <n v="0"/>
    <n v="0"/>
  </r>
  <r>
    <n v="26"/>
    <x v="0"/>
    <x v="3"/>
    <s v="RD"/>
    <x v="48"/>
    <s v="01 DAI VRX-MCX"/>
    <x v="0"/>
    <x v="0"/>
    <x v="0"/>
    <n v="62677432111"/>
    <n v="7136600912.875"/>
    <s v="11/2023"/>
    <s v="10/2025"/>
    <s v="thanhnn15@viettel.com.vn"/>
    <s v="linhttt6@viettel.com.vn"/>
    <s v="PO-92979"/>
    <n v="3338903512.875"/>
    <n v="3797697400"/>
    <n v="3755577223"/>
    <n v="27805770"/>
    <n v="0"/>
    <n v="0"/>
    <n v="14314407"/>
    <m/>
    <m/>
    <m/>
    <m/>
    <m/>
    <m/>
    <m/>
    <m/>
    <n v="551302070"/>
    <n v="397971957"/>
    <n v="451435320"/>
    <n v="24995161"/>
    <n v="4522916"/>
    <n v="51868588"/>
    <n v="50685759"/>
    <n v="220009730"/>
    <n v="46130113"/>
    <n v="24125471"/>
    <n v="21361914"/>
    <n v="293677241"/>
    <n v="129105911"/>
    <n v="143074659"/>
    <n v="700699732"/>
    <n v="644610681"/>
    <n v="0"/>
    <m/>
    <m/>
  </r>
  <r>
    <s v=""/>
    <x v="0"/>
    <x v="3"/>
    <s v="RD"/>
    <x v="48"/>
    <s v="01 DAI VRX-MCX"/>
    <x v="0"/>
    <x v="1"/>
    <x v="0"/>
    <m/>
    <n v="5888964288.875"/>
    <s v="11/2023"/>
    <s v="10/2025"/>
    <m/>
    <m/>
    <s v="PO-92979"/>
    <n v="5244353607.875"/>
    <n v="644610681"/>
    <n v="644610681"/>
    <m/>
    <m/>
    <n v="0"/>
    <n v="0"/>
    <m/>
    <m/>
    <m/>
    <m/>
    <m/>
    <m/>
    <m/>
    <m/>
    <m/>
    <m/>
    <m/>
    <m/>
    <m/>
    <m/>
    <m/>
    <m/>
    <m/>
    <m/>
    <m/>
    <m/>
    <m/>
    <m/>
    <m/>
    <n v="644610681"/>
    <n v="0"/>
    <n v="0"/>
    <n v="0"/>
  </r>
  <r>
    <s v=""/>
    <x v="0"/>
    <x v="3"/>
    <s v="RD"/>
    <x v="48"/>
    <s v="01 DAI VRX-MCX"/>
    <x v="1"/>
    <x v="1"/>
    <x v="0"/>
    <m/>
    <n v="1247636624"/>
    <s v="11/2023"/>
    <s v="10/2025"/>
    <m/>
    <m/>
    <s v="PO-92979"/>
    <n v="-1905450095"/>
    <n v="3150897402"/>
    <n v="3110966542"/>
    <n v="25616453"/>
    <m/>
    <n v="0"/>
    <n v="14314407"/>
    <n v="14314407"/>
    <n v="14314407"/>
    <n v="14314407"/>
    <n v="14314407"/>
    <n v="14314407"/>
    <n v="14314407"/>
    <m/>
    <m/>
    <n v="551302070"/>
    <n v="397971957"/>
    <n v="451435320"/>
    <n v="24995161"/>
    <n v="4522916"/>
    <n v="51868588"/>
    <n v="50685759"/>
    <n v="220009730"/>
    <n v="46130113"/>
    <n v="24125471"/>
    <n v="21361914"/>
    <n v="293677241"/>
    <n v="129105911"/>
    <n v="143074659"/>
    <n v="700699732"/>
    <n v="0"/>
    <n v="0"/>
    <n v="11426612.333333334"/>
    <n v="57666263.416666664"/>
  </r>
  <r>
    <s v=""/>
    <x v="0"/>
    <x v="3"/>
    <s v="TH"/>
    <x v="48"/>
    <s v="01 DAI VRX-MCX"/>
    <x v="1"/>
    <x v="1"/>
    <x v="0"/>
    <m/>
    <m/>
    <s v="11/2023"/>
    <s v="10/2025"/>
    <m/>
    <m/>
    <s v="PO-92979"/>
    <m/>
    <n v="2189317"/>
    <n v="0"/>
    <n v="2189317"/>
    <m/>
    <n v="0"/>
    <n v="0"/>
    <m/>
    <m/>
    <m/>
    <m/>
    <m/>
    <m/>
    <m/>
    <m/>
    <m/>
    <m/>
    <m/>
    <m/>
    <m/>
    <m/>
    <m/>
    <m/>
    <m/>
    <m/>
    <m/>
    <m/>
    <m/>
    <m/>
    <m/>
    <m/>
    <n v="0"/>
    <n v="364886.16666666669"/>
    <n v="1003436.9583333334"/>
  </r>
  <r>
    <n v="27"/>
    <x v="0"/>
    <x v="3"/>
    <s v="RD"/>
    <x v="49"/>
    <s v="28 DAI VRS-SRS VA IFF"/>
    <x v="0"/>
    <x v="0"/>
    <x v="0"/>
    <n v="564736520980.33337"/>
    <n v="6429525473.500001"/>
    <d v="2024-02-01T00:00:00"/>
    <d v="2027-12-01T00:00:00"/>
    <s v="vietth2@viettel.com.vn"/>
    <s v="giangnh13@viettel.com.vn"/>
    <s v="PO-92202"/>
    <n v="898509329.50000095"/>
    <n v="5531016144"/>
    <n v="4273312236"/>
    <n v="119060591"/>
    <n v="228850799"/>
    <n v="385354615"/>
    <n v="524437903"/>
    <m/>
    <m/>
    <m/>
    <m/>
    <m/>
    <m/>
    <m/>
    <m/>
    <n v="0"/>
    <n v="0"/>
    <n v="695450040"/>
    <n v="415487435"/>
    <n v="344914227"/>
    <n v="373762006"/>
    <n v="227366564"/>
    <n v="269846119"/>
    <n v="106607453"/>
    <n v="217656909"/>
    <n v="279830819"/>
    <n v="165328577"/>
    <n v="52309684"/>
    <n v="197644909"/>
    <n v="927107494"/>
    <n v="0"/>
    <n v="0"/>
    <m/>
    <m/>
  </r>
  <r>
    <s v=""/>
    <x v="0"/>
    <x v="3"/>
    <s v="RD"/>
    <x v="50"/>
    <s v="28 DAI VRS-SRS VA IFF (DAI VRS-SRS)"/>
    <x v="0"/>
    <x v="1"/>
    <x v="0"/>
    <m/>
    <n v="2046405065"/>
    <d v="2024-02-01T00:00:00"/>
    <s v="12/2025"/>
    <m/>
    <m/>
    <s v="PO-92202"/>
    <n v="-395474578"/>
    <n v="1324590706"/>
    <n v="1324590706"/>
    <m/>
    <m/>
    <n v="0"/>
    <n v="0"/>
    <m/>
    <m/>
    <m/>
    <m/>
    <m/>
    <m/>
    <m/>
    <m/>
    <m/>
    <m/>
    <n v="294363671"/>
    <n v="88049000"/>
    <n v="68240337"/>
    <n v="153364759"/>
    <n v="93424386"/>
    <n v="85093655"/>
    <n v="41273369"/>
    <n v="52322614"/>
    <n v="67448552"/>
    <n v="40260882"/>
    <n v="2979342"/>
    <n v="60422675"/>
    <n v="277347464"/>
    <n v="0"/>
    <n v="0"/>
    <n v="0"/>
    <n v="0"/>
  </r>
  <r>
    <s v=""/>
    <x v="0"/>
    <x v="3"/>
    <s v="TTSX"/>
    <x v="50"/>
    <s v="28 DAI VRS-SRS VA IFF (DAI VRS-SRS)"/>
    <x v="0"/>
    <x v="1"/>
    <x v="0"/>
    <m/>
    <m/>
    <d v="2024-02-01T00:00:00"/>
    <s v="12/2025"/>
    <m/>
    <m/>
    <s v="PO-92202"/>
    <m/>
    <n v="547926666"/>
    <n v="547926666"/>
    <m/>
    <m/>
    <n v="0"/>
    <n v="0"/>
    <m/>
    <m/>
    <m/>
    <m/>
    <m/>
    <m/>
    <m/>
    <m/>
    <m/>
    <m/>
    <n v="72829232"/>
    <n v="38205030"/>
    <n v="122867820"/>
    <n v="21141306"/>
    <n v="14886486"/>
    <n v="42674638"/>
    <n v="4747476"/>
    <n v="13142885"/>
    <n v="18790302"/>
    <n v="19193151"/>
    <n v="20407893"/>
    <n v="25753772"/>
    <n v="133286675"/>
    <n v="0"/>
    <n v="0"/>
    <n v="0"/>
    <n v="0"/>
  </r>
  <r>
    <s v=""/>
    <x v="0"/>
    <x v="3"/>
    <s v="DVSBH"/>
    <x v="50"/>
    <s v="28 DAI VRS-SRS VA IFF (DAI VRS-SRS)"/>
    <x v="0"/>
    <x v="1"/>
    <x v="0"/>
    <m/>
    <m/>
    <d v="2024-02-01T00:00:00"/>
    <s v="12/2025"/>
    <m/>
    <m/>
    <s v="PO-92202"/>
    <m/>
    <n v="310518098"/>
    <n v="310518098"/>
    <m/>
    <m/>
    <n v="0"/>
    <n v="0"/>
    <m/>
    <m/>
    <m/>
    <m/>
    <m/>
    <m/>
    <m/>
    <m/>
    <m/>
    <m/>
    <m/>
    <n v="151888710"/>
    <n v="48679937"/>
    <m/>
    <m/>
    <n v="31070138"/>
    <m/>
    <m/>
    <m/>
    <m/>
    <m/>
    <n v="14191102"/>
    <n v="64688211"/>
    <n v="0"/>
    <n v="0"/>
    <n v="0"/>
    <n v="0"/>
  </r>
  <r>
    <s v=""/>
    <x v="0"/>
    <x v="3"/>
    <s v="ĐBCL"/>
    <x v="50"/>
    <s v="28 DAI VRS-SRS VA IFF (DAI VRS-SRS)"/>
    <x v="0"/>
    <x v="1"/>
    <x v="0"/>
    <m/>
    <m/>
    <d v="2024-02-01T00:00:00"/>
    <s v="12/2025"/>
    <m/>
    <m/>
    <s v="PO-92202"/>
    <m/>
    <n v="258844173"/>
    <n v="258844173"/>
    <m/>
    <m/>
    <n v="0"/>
    <n v="0"/>
    <m/>
    <m/>
    <m/>
    <m/>
    <m/>
    <m/>
    <m/>
    <m/>
    <m/>
    <m/>
    <m/>
    <m/>
    <m/>
    <m/>
    <m/>
    <m/>
    <m/>
    <n v="68799000"/>
    <n v="87102602"/>
    <n v="30841763"/>
    <m/>
    <n v="13163081"/>
    <n v="58937727"/>
    <n v="0"/>
    <n v="0"/>
    <n v="0"/>
    <n v="0"/>
  </r>
  <r>
    <s v=""/>
    <x v="0"/>
    <x v="3"/>
    <s v="RD"/>
    <x v="51"/>
    <s v="28 DAI VRS-SRS VA IFF (ZIP DAI VRS-SRS)"/>
    <x v="0"/>
    <x v="1"/>
    <x v="0"/>
    <m/>
    <n v="621485598"/>
    <d v="2024-02-01T00:00:00"/>
    <s v="12/2025"/>
    <m/>
    <m/>
    <s v="PO-92202"/>
    <n v="-13189916"/>
    <n v="566122273"/>
    <n v="566122273"/>
    <m/>
    <m/>
    <n v="0"/>
    <n v="0"/>
    <m/>
    <m/>
    <m/>
    <m/>
    <m/>
    <m/>
    <m/>
    <m/>
    <m/>
    <m/>
    <n v="110052915"/>
    <n v="48402427"/>
    <n v="27473789"/>
    <n v="52276500"/>
    <n v="38819526"/>
    <n v="34700737"/>
    <n v="22561127"/>
    <n v="30444478"/>
    <n v="33963354"/>
    <n v="19747053"/>
    <n v="1118853"/>
    <n v="26176253"/>
    <n v="120385261"/>
    <n v="0"/>
    <n v="0"/>
    <n v="0"/>
    <n v="0"/>
  </r>
  <r>
    <s v=""/>
    <x v="0"/>
    <x v="3"/>
    <s v="TTSX"/>
    <x v="51"/>
    <s v="28 DAI VRS-SRS VA IFF (ZIP DAI VRS-SRS)"/>
    <x v="0"/>
    <x v="1"/>
    <x v="0"/>
    <m/>
    <m/>
    <d v="2024-02-01T00:00:00"/>
    <s v="12/2025"/>
    <m/>
    <m/>
    <s v="PO-92202"/>
    <m/>
    <n v="68553241"/>
    <n v="68553241"/>
    <m/>
    <m/>
    <n v="0"/>
    <n v="0"/>
    <m/>
    <m/>
    <m/>
    <m/>
    <m/>
    <m/>
    <m/>
    <m/>
    <m/>
    <m/>
    <n v="6738784"/>
    <n v="8078176"/>
    <n v="7068408"/>
    <n v="7047102"/>
    <m/>
    <n v="4447276"/>
    <m/>
    <n v="1815410"/>
    <n v="4189788"/>
    <n v="4588815"/>
    <n v="5703904"/>
    <n v="3200061"/>
    <n v="15675517"/>
    <n v="0"/>
    <n v="0"/>
    <n v="0"/>
    <n v="0"/>
  </r>
  <r>
    <s v=""/>
    <x v="0"/>
    <x v="3"/>
    <s v="RD"/>
    <x v="52"/>
    <s v="28 DAI VRS-SRS VA IFF (IFF)"/>
    <x v="0"/>
    <x v="1"/>
    <x v="0"/>
    <m/>
    <n v="717981418"/>
    <d v="2024-02-01T00:00:00"/>
    <s v="12/2025"/>
    <m/>
    <m/>
    <s v="PO-92202"/>
    <n v="-68202063"/>
    <n v="591900180"/>
    <n v="591900180"/>
    <m/>
    <m/>
    <n v="0"/>
    <n v="0"/>
    <m/>
    <m/>
    <m/>
    <m/>
    <m/>
    <m/>
    <m/>
    <m/>
    <m/>
    <m/>
    <n v="127465886"/>
    <n v="35170712"/>
    <n v="32860708"/>
    <n v="68207665"/>
    <n v="42949134"/>
    <n v="37484967"/>
    <n v="21442275"/>
    <n v="25389658"/>
    <n v="27507476"/>
    <n v="19742177"/>
    <n v="2979342"/>
    <n v="26848436"/>
    <n v="123851744"/>
    <n v="0"/>
    <n v="0"/>
    <n v="0"/>
    <n v="0"/>
  </r>
  <r>
    <s v=""/>
    <x v="0"/>
    <x v="3"/>
    <s v="TTSX"/>
    <x v="52"/>
    <s v="28 DAI VRS-SRS VA IFF (IFF)"/>
    <x v="0"/>
    <x v="1"/>
    <x v="0"/>
    <m/>
    <m/>
    <d v="2024-02-01T00:00:00"/>
    <s v="12/2025"/>
    <m/>
    <m/>
    <s v="PO-92202"/>
    <m/>
    <n v="194283301"/>
    <n v="194283301"/>
    <m/>
    <m/>
    <n v="0"/>
    <n v="0"/>
    <m/>
    <m/>
    <m/>
    <m/>
    <m/>
    <m/>
    <m/>
    <m/>
    <m/>
    <m/>
    <n v="18486359"/>
    <n v="22048673"/>
    <n v="14136809"/>
    <n v="7047102"/>
    <n v="7443243"/>
    <n v="9582275"/>
    <m/>
    <n v="9748405"/>
    <n v="17132754"/>
    <n v="17856744"/>
    <n v="14944937"/>
    <n v="9240180"/>
    <n v="46615820"/>
    <n v="0"/>
    <n v="0"/>
    <n v="0"/>
    <n v="0"/>
  </r>
  <r>
    <s v=""/>
    <x v="0"/>
    <x v="3"/>
    <s v="RD"/>
    <x v="53"/>
    <s v="28 DAI VRS-SRS VA IFF (ZIP IFF)"/>
    <x v="0"/>
    <x v="1"/>
    <x v="0"/>
    <m/>
    <n v="255086298"/>
    <d v="2024-02-01T00:00:00"/>
    <s v="12/2025"/>
    <m/>
    <m/>
    <s v="PO-92202"/>
    <n v="-58365457"/>
    <n v="278211429"/>
    <n v="278211429"/>
    <m/>
    <m/>
    <n v="0"/>
    <n v="0"/>
    <m/>
    <m/>
    <m/>
    <m/>
    <m/>
    <m/>
    <m/>
    <m/>
    <m/>
    <m/>
    <n v="59867339"/>
    <n v="10303986"/>
    <n v="5386925"/>
    <n v="35122090"/>
    <n v="19477162"/>
    <n v="14901371"/>
    <n v="16583206"/>
    <n v="14179050"/>
    <n v="20772325"/>
    <n v="9895878"/>
    <n v="1118853"/>
    <n v="12769592"/>
    <n v="57833652"/>
    <n v="0"/>
    <n v="0"/>
    <n v="0"/>
    <n v="0"/>
  </r>
  <r>
    <s v=""/>
    <x v="0"/>
    <x v="3"/>
    <s v="TTSX"/>
    <x v="53"/>
    <s v="28 DAI VRS-SRS VA IFF (ZIP IFF)"/>
    <x v="0"/>
    <x v="1"/>
    <x v="0"/>
    <m/>
    <m/>
    <d v="2024-02-01T00:00:00"/>
    <s v="12/2025"/>
    <m/>
    <m/>
    <s v="PO-92202"/>
    <m/>
    <n v="35240326"/>
    <n v="35240326"/>
    <m/>
    <m/>
    <n v="0"/>
    <n v="0"/>
    <m/>
    <m/>
    <m/>
    <m/>
    <m/>
    <m/>
    <m/>
    <m/>
    <m/>
    <m/>
    <n v="5645854"/>
    <n v="6985247"/>
    <m/>
    <m/>
    <m/>
    <n v="1953883"/>
    <m/>
    <n v="1815409"/>
    <n v="2923666"/>
    <n v="3202114"/>
    <n v="3056560"/>
    <n v="1648608"/>
    <n v="8008985"/>
    <n v="0"/>
    <n v="0"/>
    <n v="0"/>
    <n v="0"/>
  </r>
  <r>
    <s v=""/>
    <x v="0"/>
    <x v="3"/>
    <s v="RD"/>
    <x v="54"/>
    <s v="28 DAI VRS-SRS VA IFF (HA TANG)"/>
    <x v="0"/>
    <x v="1"/>
    <x v="0"/>
    <m/>
    <n v="1412553003"/>
    <d v="2024-02-01T00:00:00"/>
    <s v="12/2025"/>
    <m/>
    <m/>
    <s v="PO-92202"/>
    <n v="1315431160"/>
    <n v="97121843"/>
    <n v="97121843"/>
    <m/>
    <m/>
    <n v="0"/>
    <n v="0"/>
    <m/>
    <m/>
    <m/>
    <m/>
    <m/>
    <m/>
    <m/>
    <m/>
    <m/>
    <m/>
    <m/>
    <n v="6355474"/>
    <n v="18199494"/>
    <n v="29555482"/>
    <n v="10366627"/>
    <n v="7937179"/>
    <m/>
    <m/>
    <m/>
    <m/>
    <m/>
    <n v="4231149"/>
    <n v="20476438"/>
    <n v="0"/>
    <n v="0"/>
    <n v="0"/>
    <n v="0"/>
  </r>
  <r>
    <s v=""/>
    <x v="0"/>
    <x v="3"/>
    <s v="ĐBCL"/>
    <x v="50"/>
    <s v="28 DAI VRS-SRS VA IFF (DAI VRS-SRS)"/>
    <x v="1"/>
    <x v="1"/>
    <x v="0"/>
    <m/>
    <n v="674535357.45496428"/>
    <d v="2024-02-01T00:00:00"/>
    <s v="12/2025"/>
    <m/>
    <m/>
    <s v="PO-92202"/>
    <n v="106738986.45496428"/>
    <n v="139097157"/>
    <n v="0"/>
    <n v="6608421"/>
    <n v="17873543"/>
    <n v="25774663"/>
    <n v="88840530"/>
    <n v="88840530"/>
    <n v="88840530"/>
    <n v="88840530"/>
    <n v="88840530"/>
    <n v="88840530"/>
    <n v="88840530"/>
    <n v="88840530"/>
    <n v="88840530"/>
    <m/>
    <m/>
    <m/>
    <m/>
    <m/>
    <m/>
    <m/>
    <m/>
    <m/>
    <m/>
    <m/>
    <m/>
    <m/>
    <m/>
    <m/>
    <n v="0"/>
    <n v="0"/>
    <n v="52796369.5"/>
    <n v="389501473.625"/>
  </r>
  <r>
    <s v=""/>
    <x v="0"/>
    <x v="3"/>
    <s v="RD"/>
    <x v="50"/>
    <s v="28 DAI VRS-SRS VA IFF (DAI VRS-SRS)"/>
    <x v="1"/>
    <x v="1"/>
    <x v="0"/>
    <m/>
    <m/>
    <d v="2024-02-01T00:00:00"/>
    <s v="12/2025"/>
    <m/>
    <m/>
    <s v="PO-92202"/>
    <m/>
    <n v="315211068"/>
    <n v="0"/>
    <n v="43613551"/>
    <n v="64143242"/>
    <n v="65931701"/>
    <n v="141522574"/>
    <n v="141522574"/>
    <n v="141522574"/>
    <n v="141522574"/>
    <n v="141522574"/>
    <n v="141522574"/>
    <n v="141522574"/>
    <n v="141522574"/>
    <n v="141522574"/>
    <m/>
    <m/>
    <m/>
    <m/>
    <m/>
    <m/>
    <m/>
    <m/>
    <m/>
    <m/>
    <m/>
    <m/>
    <m/>
    <m/>
    <m/>
    <n v="0"/>
    <n v="0"/>
    <n v="99709369.333333328"/>
    <n v="663387844.16666675"/>
  </r>
  <r>
    <s v=""/>
    <x v="0"/>
    <x v="3"/>
    <s v="TTSX"/>
    <x v="50"/>
    <s v="28 DAI VRS-SRS VA IFF (DAI VRS-SRS)"/>
    <x v="1"/>
    <x v="1"/>
    <x v="0"/>
    <m/>
    <m/>
    <d v="2024-02-01T00:00:00"/>
    <s v="12/2025"/>
    <m/>
    <m/>
    <s v="PO-92202"/>
    <m/>
    <n v="108886253"/>
    <n v="0"/>
    <m/>
    <n v="10099948"/>
    <n v="52865186"/>
    <n v="45921119"/>
    <n v="45921119"/>
    <n v="45921119"/>
    <n v="45921119"/>
    <n v="45921119"/>
    <n v="45921119"/>
    <n v="45921119"/>
    <n v="45921119"/>
    <n v="45921119"/>
    <m/>
    <m/>
    <m/>
    <m/>
    <m/>
    <m/>
    <m/>
    <m/>
    <m/>
    <m/>
    <m/>
    <m/>
    <m/>
    <m/>
    <m/>
    <n v="0"/>
    <n v="0"/>
    <n v="33454748.5"/>
    <n v="218283635.625"/>
  </r>
  <r>
    <s v=""/>
    <x v="0"/>
    <x v="3"/>
    <s v="TH"/>
    <x v="50"/>
    <s v="28 DAI VRS-SRS VA IFF (DAI VRS-SRS)"/>
    <x v="1"/>
    <x v="1"/>
    <x v="0"/>
    <m/>
    <m/>
    <d v="2024-02-01T00:00:00"/>
    <s v="12/2025"/>
    <m/>
    <m/>
    <s v="PO-92202"/>
    <m/>
    <n v="4601893"/>
    <n v="0"/>
    <n v="2140415"/>
    <n v="2461478"/>
    <n v="0"/>
    <n v="0"/>
    <m/>
    <m/>
    <m/>
    <m/>
    <m/>
    <m/>
    <m/>
    <m/>
    <m/>
    <m/>
    <m/>
    <m/>
    <m/>
    <m/>
    <m/>
    <m/>
    <m/>
    <m/>
    <m/>
    <m/>
    <m/>
    <m/>
    <m/>
    <n v="0"/>
    <n v="0"/>
    <n v="766982.16666666663"/>
    <n v="2109200.958333333"/>
  </r>
  <r>
    <s v=""/>
    <x v="0"/>
    <x v="3"/>
    <s v="RD"/>
    <x v="52"/>
    <s v="28 DAI VRS-SRS VA IFF (IFF)"/>
    <x v="1"/>
    <x v="1"/>
    <x v="0"/>
    <m/>
    <n v="248513026.43077633"/>
    <d v="2024-02-01T00:00:00"/>
    <s v="12/2025"/>
    <m/>
    <m/>
    <s v="PO-92202"/>
    <n v="-9852577.5692236722"/>
    <n v="149423532"/>
    <n v="0"/>
    <n v="23455561"/>
    <n v="32598196"/>
    <n v="34877361"/>
    <n v="58492414"/>
    <n v="58492414"/>
    <n v="58492414"/>
    <n v="58492414"/>
    <n v="58492414"/>
    <n v="58492414"/>
    <n v="58492414"/>
    <n v="58492414"/>
    <n v="58492414"/>
    <m/>
    <m/>
    <m/>
    <m/>
    <m/>
    <m/>
    <m/>
    <m/>
    <m/>
    <m/>
    <m/>
    <m/>
    <m/>
    <m/>
    <m/>
    <n v="0"/>
    <n v="0"/>
    <n v="44401393.333333336"/>
    <n v="282957970.16666663"/>
  </r>
  <r>
    <s v=""/>
    <x v="0"/>
    <x v="3"/>
    <s v="TH"/>
    <x v="52"/>
    <s v="28 DAI VRS-SRS VA IFF (IFF)"/>
    <x v="1"/>
    <x v="1"/>
    <x v="0"/>
    <m/>
    <m/>
    <d v="2024-02-01T00:00:00"/>
    <s v="12/2025"/>
    <m/>
    <m/>
    <s v="PO-92202"/>
    <m/>
    <n v="5341779"/>
    <n v="0"/>
    <n v="1070207"/>
    <n v="4271572"/>
    <n v="0"/>
    <n v="0"/>
    <m/>
    <m/>
    <m/>
    <m/>
    <m/>
    <m/>
    <m/>
    <m/>
    <m/>
    <m/>
    <m/>
    <m/>
    <m/>
    <m/>
    <m/>
    <m/>
    <m/>
    <m/>
    <m/>
    <m/>
    <m/>
    <m/>
    <m/>
    <n v="0"/>
    <n v="0"/>
    <n v="890296.5"/>
    <n v="2448315.375"/>
  </r>
  <r>
    <s v=""/>
    <x v="0"/>
    <x v="3"/>
    <s v="TTSX"/>
    <x v="52"/>
    <s v="28 DAI VRS-SRS VA IFF (IFF)"/>
    <x v="1"/>
    <x v="1"/>
    <x v="0"/>
    <m/>
    <m/>
    <d v="2024-02-01T00:00:00"/>
    <s v="12/2025"/>
    <m/>
    <m/>
    <s v="PO-92202"/>
    <m/>
    <n v="103600293"/>
    <n v="0"/>
    <m/>
    <n v="10099948"/>
    <n v="47237974"/>
    <n v="46262371"/>
    <n v="46262371"/>
    <n v="46262371"/>
    <n v="46262371"/>
    <n v="46262371"/>
    <n v="46262371"/>
    <n v="46262371"/>
    <n v="46262371"/>
    <n v="46262371"/>
    <m/>
    <m/>
    <m/>
    <m/>
    <m/>
    <m/>
    <m/>
    <m/>
    <m/>
    <m/>
    <m/>
    <m/>
    <m/>
    <m/>
    <m/>
    <n v="0"/>
    <n v="0"/>
    <n v="32687505.833333332"/>
    <n v="217112161.29166666"/>
  </r>
  <r>
    <s v=""/>
    <x v="0"/>
    <x v="3"/>
    <s v="RD"/>
    <x v="51"/>
    <s v="28 DAI VRS-SRS VA IFF (ZIP DAI VRS-SRS)"/>
    <x v="1"/>
    <x v="1"/>
    <x v="0"/>
    <m/>
    <n v="198113063.1622898"/>
    <d v="2024-02-01T00:00:00"/>
    <s v="12/2025"/>
    <m/>
    <m/>
    <s v="PO-92202"/>
    <n v="-45983946.837710202"/>
    <n v="156725488"/>
    <n v="0"/>
    <n v="25573645"/>
    <n v="36598995"/>
    <n v="32564878"/>
    <n v="61987970"/>
    <n v="61987970"/>
    <n v="61987970"/>
    <n v="61987970"/>
    <n v="61987970"/>
    <n v="61987970"/>
    <n v="61987970"/>
    <n v="61987970"/>
    <n v="61987970"/>
    <m/>
    <m/>
    <m/>
    <m/>
    <m/>
    <m/>
    <m/>
    <m/>
    <m/>
    <m/>
    <m/>
    <m/>
    <m/>
    <m/>
    <m/>
    <n v="0"/>
    <n v="0"/>
    <n v="46783571.333333336"/>
    <n v="299121738.66666663"/>
  </r>
  <r>
    <s v=""/>
    <x v="0"/>
    <x v="3"/>
    <s v="TH"/>
    <x v="51"/>
    <s v="28 DAI VRS-SRS VA IFF (ZIP DAI VRS-SRS)"/>
    <x v="1"/>
    <x v="1"/>
    <x v="0"/>
    <m/>
    <m/>
    <d v="2024-02-01T00:00:00"/>
    <s v="12/2025"/>
    <m/>
    <m/>
    <s v="PO-92202"/>
    <m/>
    <n v="3476764"/>
    <n v="0"/>
    <n v="1070207"/>
    <n v="2406557"/>
    <n v="0"/>
    <n v="0"/>
    <m/>
    <m/>
    <m/>
    <m/>
    <m/>
    <m/>
    <m/>
    <m/>
    <m/>
    <m/>
    <m/>
    <m/>
    <m/>
    <m/>
    <m/>
    <m/>
    <m/>
    <m/>
    <m/>
    <m/>
    <m/>
    <m/>
    <m/>
    <n v="0"/>
    <n v="0"/>
    <n v="579460.66666666663"/>
    <n v="1593516.8333333333"/>
  </r>
  <r>
    <s v=""/>
    <x v="0"/>
    <x v="3"/>
    <s v="TTSX"/>
    <x v="51"/>
    <s v="28 DAI VRS-SRS VA IFF (ZIP DAI VRS-SRS)"/>
    <x v="1"/>
    <x v="1"/>
    <x v="0"/>
    <m/>
    <m/>
    <d v="2024-02-01T00:00:00"/>
    <s v="12/2025"/>
    <m/>
    <m/>
    <s v="PO-92202"/>
    <m/>
    <n v="83894758"/>
    <n v="0"/>
    <m/>
    <n v="11197691"/>
    <n v="52000535"/>
    <n v="20696532"/>
    <n v="20696532"/>
    <n v="20696532"/>
    <n v="20696532"/>
    <n v="20696532"/>
    <n v="20696532"/>
    <n v="20696532"/>
    <n v="20696532"/>
    <n v="20696532"/>
    <m/>
    <m/>
    <m/>
    <m/>
    <m/>
    <m/>
    <m/>
    <m/>
    <m/>
    <m/>
    <m/>
    <m/>
    <m/>
    <m/>
    <m/>
    <n v="0"/>
    <n v="0"/>
    <n v="20881303.666666668"/>
    <n v="114339048.08333333"/>
  </r>
  <r>
    <s v=""/>
    <x v="0"/>
    <x v="3"/>
    <s v="RD"/>
    <x v="53"/>
    <s v="28 DAI VRS-SRS VA IFF (ZIP IFF)"/>
    <x v="1"/>
    <x v="1"/>
    <x v="0"/>
    <m/>
    <n v="87169747.791407511"/>
    <d v="2024-02-01T00:00:00"/>
    <s v="12/2025"/>
    <m/>
    <m/>
    <s v="PO-92202"/>
    <n v="-90769313.208592489"/>
    <n v="101675888"/>
    <n v="0"/>
    <n v="14458375"/>
    <n v="23970662"/>
    <n v="31877219"/>
    <n v="31369632"/>
    <n v="31369632"/>
    <n v="31369632"/>
    <n v="31369632"/>
    <n v="31369632"/>
    <n v="31369632"/>
    <n v="31369632"/>
    <n v="31369632"/>
    <n v="31369632"/>
    <m/>
    <m/>
    <m/>
    <m/>
    <m/>
    <m/>
    <m/>
    <m/>
    <m/>
    <m/>
    <m/>
    <m/>
    <m/>
    <m/>
    <m/>
    <n v="0"/>
    <n v="0"/>
    <n v="27402525.333333332"/>
    <n v="161623432.66666669"/>
  </r>
  <r>
    <s v=""/>
    <x v="0"/>
    <x v="3"/>
    <s v="TH"/>
    <x v="53"/>
    <s v="28 DAI VRS-SRS VA IFF (ZIP IFF)"/>
    <x v="1"/>
    <x v="1"/>
    <x v="0"/>
    <m/>
    <m/>
    <d v="2024-02-01T00:00:00"/>
    <s v="12/2025"/>
    <m/>
    <m/>
    <s v="PO-92202"/>
    <m/>
    <n v="6393594"/>
    <n v="0"/>
    <n v="1070209"/>
    <n v="5323385"/>
    <n v="0"/>
    <n v="0"/>
    <m/>
    <m/>
    <m/>
    <m/>
    <m/>
    <m/>
    <m/>
    <m/>
    <m/>
    <m/>
    <m/>
    <m/>
    <m/>
    <m/>
    <m/>
    <m/>
    <m/>
    <m/>
    <m/>
    <m/>
    <m/>
    <m/>
    <m/>
    <n v="0"/>
    <n v="0"/>
    <n v="1065599"/>
    <n v="2930397.25"/>
  </r>
  <r>
    <s v=""/>
    <x v="0"/>
    <x v="3"/>
    <s v="TTSX"/>
    <x v="53"/>
    <s v="28 DAI VRS-SRS VA IFF (ZIP IFF)"/>
    <x v="1"/>
    <x v="1"/>
    <x v="0"/>
    <m/>
    <m/>
    <d v="2024-02-01T00:00:00"/>
    <s v="12/2025"/>
    <m/>
    <m/>
    <s v="PO-92202"/>
    <m/>
    <n v="69869579"/>
    <n v="0"/>
    <m/>
    <n v="7805582"/>
    <n v="32719236"/>
    <n v="29344761"/>
    <n v="29344761"/>
    <n v="29344761"/>
    <n v="29344761"/>
    <n v="29344761"/>
    <n v="29344761"/>
    <n v="29344761"/>
    <n v="29344761"/>
    <n v="29344761"/>
    <m/>
    <m/>
    <m/>
    <m/>
    <m/>
    <m/>
    <m/>
    <m/>
    <m/>
    <m/>
    <m/>
    <m/>
    <m/>
    <m/>
    <m/>
    <n v="0"/>
    <n v="0"/>
    <n v="21426516.833333332"/>
    <n v="139621014.04166669"/>
  </r>
  <r>
    <s v=""/>
    <x v="0"/>
    <x v="3"/>
    <s v="RD"/>
    <x v="54"/>
    <s v="28 DAI VRS-SRS VA IFF (HA TANG)"/>
    <x v="1"/>
    <x v="1"/>
    <x v="0"/>
    <m/>
    <n v="167682896.6605621"/>
    <d v="2024-02-01T00:00:00"/>
    <s v="12/2025"/>
    <m/>
    <m/>
    <s v="PO-92202"/>
    <n v="158177034.6605621"/>
    <n v="9505862"/>
    <s v="-"/>
    <m/>
    <m/>
    <n v="9505862"/>
    <n v="0"/>
    <n v="9505862"/>
    <n v="9505862"/>
    <n v="9505862"/>
    <n v="9505862"/>
    <n v="9505862"/>
    <n v="9505862"/>
    <n v="9505862"/>
    <n v="9505862"/>
    <m/>
    <m/>
    <m/>
    <n v="6355474"/>
    <n v="18199494"/>
    <n v="29555482"/>
    <n v="10366627"/>
    <n v="7937179"/>
    <m/>
    <m/>
    <m/>
    <m/>
    <m/>
    <n v="4231149"/>
    <n v="20476438"/>
    <n v="0"/>
    <n v="0"/>
    <n v="4752931"/>
    <n v="39211680.75"/>
  </r>
  <r>
    <s v=""/>
    <x v="0"/>
    <x v="3"/>
    <s v="RD"/>
    <x v="55"/>
    <s v="28 DAI VRS-SRS VA IFF"/>
    <x v="2"/>
    <x v="1"/>
    <x v="0"/>
    <m/>
    <m/>
    <d v="2025-12-01T00:00:00"/>
    <d v="2027-12-01T00:00:00"/>
    <m/>
    <m/>
    <s v="PO-92202"/>
    <m/>
    <n v="0"/>
    <n v="0"/>
    <m/>
    <m/>
    <n v="0"/>
    <n v="0"/>
    <m/>
    <m/>
    <m/>
    <m/>
    <m/>
    <m/>
    <m/>
    <m/>
    <m/>
    <m/>
    <m/>
    <m/>
    <m/>
    <m/>
    <m/>
    <m/>
    <m/>
    <m/>
    <m/>
    <m/>
    <m/>
    <m/>
    <m/>
    <n v="0"/>
    <n v="0"/>
    <n v="0"/>
    <n v="0"/>
  </r>
  <r>
    <n v="28"/>
    <x v="0"/>
    <x v="3"/>
    <s v="RD"/>
    <x v="56"/>
    <s v="02 XE RADA VRS-MCX 05 DAI RADA VRS-MSX"/>
    <x v="0"/>
    <x v="0"/>
    <x v="0"/>
    <n v="591078467958.69531"/>
    <n v="10972111000.116228"/>
    <s v="03/2024"/>
    <s v="03/2028"/>
    <s v="thanhlx4@viettel.com.vn"/>
    <s v="linhttt6@viettel.com.vn"/>
    <s v="PO-92139"/>
    <n v="-1065412425.8837719"/>
    <n v="12037523426"/>
    <n v="9165610275"/>
    <n v="822826587"/>
    <n v="1006614676"/>
    <n v="535401751"/>
    <n v="507070137"/>
    <m/>
    <m/>
    <m/>
    <m/>
    <m/>
    <m/>
    <m/>
    <m/>
    <n v="0"/>
    <n v="0"/>
    <n v="0"/>
    <n v="586283701"/>
    <n v="546735492"/>
    <n v="851074907"/>
    <n v="897086839"/>
    <n v="274978771"/>
    <n v="803644343"/>
    <n v="934024080"/>
    <n v="831659363"/>
    <n v="666736857"/>
    <n v="323604489"/>
    <n v="442540463"/>
    <n v="2007240970"/>
    <n v="0"/>
    <n v="0"/>
    <m/>
    <m/>
  </r>
  <r>
    <s v=""/>
    <x v="0"/>
    <x v="3"/>
    <s v="RD"/>
    <x v="57"/>
    <s v="02 XE RADA VRS-MCX 05 DAI RADA VRS-MSX (05 DAI)"/>
    <x v="0"/>
    <x v="1"/>
    <x v="0"/>
    <m/>
    <n v="5781757893.6388693"/>
    <s v="03/2024"/>
    <s v="03/2028"/>
    <m/>
    <m/>
    <s v="PO-92139"/>
    <n v="-584541817.36113071"/>
    <n v="4370503102"/>
    <n v="4052287304"/>
    <n v="46344872"/>
    <n v="44747949"/>
    <n v="135637905"/>
    <n v="91485072"/>
    <n v="91485072"/>
    <n v="91485072"/>
    <n v="91485072"/>
    <n v="91485072"/>
    <n v="91485072"/>
    <n v="91485072"/>
    <n v="91485072"/>
    <n v="91485072"/>
    <m/>
    <m/>
    <m/>
    <n v="244967921"/>
    <n v="240538287"/>
    <n v="427370212"/>
    <n v="446034099"/>
    <n v="125215465"/>
    <n v="296576261"/>
    <n v="322651481"/>
    <n v="387431132"/>
    <n v="315531988"/>
    <n v="167241869"/>
    <n v="194901681"/>
    <n v="883826908"/>
    <n v="0"/>
    <n v="0"/>
    <n v="83530990.333333328"/>
    <n v="481294171.41666669"/>
  </r>
  <r>
    <s v=""/>
    <x v="0"/>
    <x v="3"/>
    <s v="TH"/>
    <x v="57"/>
    <s v="02 XE RADA VRS-MCX 05 DAI RADA VRS-MSX (05 DAI)"/>
    <x v="0"/>
    <x v="1"/>
    <x v="0"/>
    <m/>
    <m/>
    <s v="03/2024"/>
    <s v="03/2028"/>
    <m/>
    <m/>
    <s v="PO-92139"/>
    <m/>
    <n v="4446021"/>
    <n v="0"/>
    <n v="2189317"/>
    <n v="2256704"/>
    <n v="0"/>
    <n v="0"/>
    <m/>
    <m/>
    <m/>
    <m/>
    <m/>
    <m/>
    <m/>
    <m/>
    <m/>
    <m/>
    <m/>
    <m/>
    <m/>
    <m/>
    <m/>
    <m/>
    <m/>
    <m/>
    <m/>
    <m/>
    <m/>
    <m/>
    <m/>
    <m/>
    <n v="0"/>
    <n v="741003.5"/>
    <n v="2037759.625"/>
  </r>
  <r>
    <s v=""/>
    <x v="0"/>
    <x v="3"/>
    <s v="TTSX"/>
    <x v="57"/>
    <s v="02 XE RADA VRS-MCX 05 DAI RADA VRS-MSX (05 DAI)"/>
    <x v="0"/>
    <x v="1"/>
    <x v="0"/>
    <m/>
    <m/>
    <s v="03/2024"/>
    <s v="03/2028"/>
    <m/>
    <m/>
    <s v="PO-92139"/>
    <m/>
    <n v="1070757643"/>
    <n v="651640515"/>
    <n v="155579776"/>
    <n v="98710110"/>
    <n v="67733752"/>
    <n v="97093490"/>
    <n v="97093490"/>
    <n v="97093490"/>
    <n v="97093490"/>
    <n v="97093490"/>
    <n v="97093490"/>
    <n v="97093490"/>
    <n v="97093490"/>
    <n v="97093490"/>
    <m/>
    <m/>
    <m/>
    <n v="82066664"/>
    <n v="40133574"/>
    <n v="40133574"/>
    <n v="30338923"/>
    <n v="24567219"/>
    <n v="12199218"/>
    <n v="77674267"/>
    <n v="60386544"/>
    <n v="57081768"/>
    <n v="46234796"/>
    <n v="32142315"/>
    <n v="148681653"/>
    <n v="0"/>
    <n v="0"/>
    <n v="102217351.33333333"/>
    <n v="548104813.66666675"/>
  </r>
  <r>
    <s v=""/>
    <x v="0"/>
    <x v="3"/>
    <s v="CKTĐH"/>
    <x v="57"/>
    <s v="02 XE RADA VRS-MCX 05 DAI RADA VRS-MSX (05 DAI)"/>
    <x v="0"/>
    <x v="1"/>
    <x v="0"/>
    <m/>
    <m/>
    <s v="03/2024"/>
    <s v="03/2028"/>
    <m/>
    <m/>
    <s v="PO-92139"/>
    <m/>
    <n v="520412852"/>
    <n v="387760126"/>
    <n v="11160808"/>
    <n v="13185974"/>
    <n v="53188784"/>
    <n v="55117160"/>
    <n v="55117160"/>
    <n v="55117160"/>
    <n v="55117160"/>
    <n v="55117160"/>
    <n v="55117160"/>
    <n v="55117160"/>
    <n v="55117160"/>
    <n v="55117160"/>
    <m/>
    <m/>
    <m/>
    <m/>
    <m/>
    <m/>
    <m/>
    <m/>
    <m/>
    <n v="53220834"/>
    <n v="81322304"/>
    <n v="83636961"/>
    <n v="63970394"/>
    <n v="18822864"/>
    <n v="86786769"/>
    <n v="0"/>
    <n v="0"/>
    <n v="40481174.333333336"/>
    <n v="262895419.41666666"/>
  </r>
  <r>
    <s v=""/>
    <x v="0"/>
    <x v="3"/>
    <s v="ĐBCL"/>
    <x v="57"/>
    <s v="02 XE RADA VRS-MCX 05 DAI RADA VRS-MSX (05 DAI)"/>
    <x v="0"/>
    <x v="1"/>
    <x v="0"/>
    <m/>
    <m/>
    <s v="03/2024"/>
    <s v="03/2028"/>
    <m/>
    <m/>
    <s v="PO-92139"/>
    <m/>
    <n v="333012574"/>
    <n v="247109498"/>
    <m/>
    <n v="42346433"/>
    <n v="43556643"/>
    <n v="0"/>
    <n v="43556643"/>
    <n v="43556643"/>
    <n v="43556643"/>
    <n v="43556643"/>
    <n v="43556643"/>
    <n v="43556643"/>
    <n v="43556643"/>
    <n v="43556643"/>
    <m/>
    <m/>
    <m/>
    <m/>
    <m/>
    <m/>
    <m/>
    <m/>
    <m/>
    <m/>
    <n v="38885394"/>
    <n v="139525724"/>
    <m/>
    <n v="12229451"/>
    <n v="56468929"/>
    <n v="0"/>
    <n v="0"/>
    <n v="28836060.333333332"/>
    <n v="199079934.16666666"/>
  </r>
  <r>
    <s v=""/>
    <x v="0"/>
    <x v="3"/>
    <s v="DVSBH"/>
    <x v="57"/>
    <s v="02 XE RADA VRS-MCX 05 DAI RADA VRS-MSX (05 DAI)"/>
    <x v="0"/>
    <x v="1"/>
    <x v="0"/>
    <m/>
    <m/>
    <s v="03/2024"/>
    <s v="03/2028"/>
    <m/>
    <m/>
    <s v="PO-92139"/>
    <m/>
    <n v="67167519"/>
    <n v="67167519"/>
    <m/>
    <m/>
    <n v="0"/>
    <n v="0"/>
    <m/>
    <m/>
    <m/>
    <m/>
    <m/>
    <m/>
    <m/>
    <m/>
    <m/>
    <m/>
    <m/>
    <m/>
    <m/>
    <m/>
    <m/>
    <m/>
    <n v="27517091"/>
    <n v="21011087"/>
    <m/>
    <m/>
    <m/>
    <n v="3365669"/>
    <n v="15273672"/>
    <n v="0"/>
    <n v="0"/>
    <n v="0"/>
    <n v="0"/>
  </r>
  <r>
    <s v=""/>
    <x v="0"/>
    <x v="3"/>
    <s v="RD"/>
    <x v="58"/>
    <s v="02 XE RADA VRS-MCX 05 DAI RADA VRS-MSX (02 XE)"/>
    <x v="0"/>
    <x v="1"/>
    <x v="0"/>
    <m/>
    <n v="2355452562.6919093"/>
    <s v="03/2024"/>
    <s v="03/2028"/>
    <m/>
    <m/>
    <s v="PO-92139"/>
    <n v="-611333667.30809069"/>
    <n v="2392771040"/>
    <n v="1648063343"/>
    <n v="361327180"/>
    <n v="383380517"/>
    <n v="0"/>
    <n v="0"/>
    <m/>
    <m/>
    <m/>
    <m/>
    <m/>
    <m/>
    <m/>
    <m/>
    <m/>
    <m/>
    <m/>
    <n v="135670927"/>
    <n v="80933242"/>
    <n v="141287318"/>
    <n v="206078758"/>
    <n v="47987207"/>
    <n v="186259819"/>
    <n v="171918908"/>
    <n v="198342009"/>
    <m/>
    <n v="46157430"/>
    <n v="80166791"/>
    <n v="353260934"/>
    <n v="0"/>
    <n v="0"/>
    <n v="124117949.5"/>
    <n v="341324361.125"/>
  </r>
  <r>
    <s v=""/>
    <x v="0"/>
    <x v="3"/>
    <s v="TH"/>
    <x v="58"/>
    <s v="02 XE RADA VRS-MCX 05 DAI RADA VRS-MSX (02 XE)"/>
    <x v="0"/>
    <x v="1"/>
    <x v="0"/>
    <m/>
    <m/>
    <s v="03/2024"/>
    <s v="03/2028"/>
    <m/>
    <m/>
    <s v="PO-92139"/>
    <m/>
    <n v="17717249"/>
    <n v="0"/>
    <n v="4378635"/>
    <n v="13338614"/>
    <n v="0"/>
    <n v="0"/>
    <m/>
    <m/>
    <m/>
    <m/>
    <m/>
    <m/>
    <m/>
    <m/>
    <m/>
    <m/>
    <m/>
    <m/>
    <m/>
    <m/>
    <m/>
    <m/>
    <m/>
    <m/>
    <m/>
    <m/>
    <m/>
    <m/>
    <m/>
    <n v="0"/>
    <n v="0"/>
    <n v="2952874.8333333335"/>
    <n v="8120405.791666667"/>
  </r>
  <r>
    <s v=""/>
    <x v="0"/>
    <x v="3"/>
    <s v="TTSX"/>
    <x v="58"/>
    <s v="02 XE RADA VRS-MCX 05 DAI RADA VRS-MSX (02 XE)"/>
    <x v="0"/>
    <x v="1"/>
    <x v="0"/>
    <m/>
    <m/>
    <s v="03/2024"/>
    <s v="03/2028"/>
    <m/>
    <m/>
    <s v="PO-92139"/>
    <m/>
    <n v="245845090"/>
    <n v="245845090"/>
    <m/>
    <m/>
    <n v="0"/>
    <n v="0"/>
    <m/>
    <m/>
    <m/>
    <m/>
    <m/>
    <m/>
    <m/>
    <m/>
    <m/>
    <m/>
    <m/>
    <m/>
    <n v="11148216"/>
    <n v="30660163"/>
    <m/>
    <n v="5927474"/>
    <n v="24398435"/>
    <n v="24839822"/>
    <n v="41385043"/>
    <n v="38780189"/>
    <m/>
    <n v="12163422"/>
    <n v="56542326"/>
    <n v="0"/>
    <n v="0"/>
    <n v="0"/>
    <n v="0"/>
  </r>
  <r>
    <s v=""/>
    <x v="0"/>
    <x v="3"/>
    <s v="CKTĐH"/>
    <x v="58"/>
    <s v="02 XE RADA VRS-MCX 05 DAI RADA VRS-MSX (02 XE)"/>
    <x v="0"/>
    <x v="1"/>
    <x v="0"/>
    <m/>
    <m/>
    <s v="03/2024"/>
    <s v="03/2028"/>
    <m/>
    <m/>
    <s v="PO-92139"/>
    <m/>
    <n v="280625289"/>
    <n v="280625289"/>
    <m/>
    <m/>
    <n v="0"/>
    <n v="0"/>
    <m/>
    <m/>
    <m/>
    <m/>
    <m/>
    <m/>
    <m/>
    <m/>
    <m/>
    <m/>
    <m/>
    <m/>
    <m/>
    <n v="42684925"/>
    <n v="8482833"/>
    <n v="6365223"/>
    <n v="72593538"/>
    <n v="21326801"/>
    <n v="23906937"/>
    <n v="29782401"/>
    <m/>
    <n v="13461596"/>
    <n v="62021035"/>
    <n v="0"/>
    <n v="0"/>
    <n v="0"/>
    <n v="0"/>
  </r>
  <r>
    <s v=""/>
    <x v="0"/>
    <x v="3"/>
    <s v="DVSBH"/>
    <x v="58"/>
    <s v="02 XE RADA VRS-MCX 05 DAI RADA VRS-MSX (02 XE)"/>
    <x v="0"/>
    <x v="1"/>
    <x v="0"/>
    <m/>
    <m/>
    <s v="03/2024"/>
    <s v="03/2028"/>
    <m/>
    <m/>
    <s v="PO-92139"/>
    <m/>
    <n v="29827562"/>
    <n v="29827562"/>
    <m/>
    <m/>
    <n v="0"/>
    <n v="0"/>
    <m/>
    <m/>
    <m/>
    <m/>
    <m/>
    <m/>
    <m/>
    <m/>
    <m/>
    <m/>
    <m/>
    <m/>
    <n v="18536944"/>
    <m/>
    <m/>
    <n v="3192657"/>
    <m/>
    <m/>
    <m/>
    <m/>
    <m/>
    <n v="1462234"/>
    <n v="6635727"/>
    <n v="0"/>
    <n v="0"/>
    <n v="0"/>
    <n v="0"/>
  </r>
  <r>
    <s v=""/>
    <x v="0"/>
    <x v="3"/>
    <s v="RD"/>
    <x v="59"/>
    <s v="02 XE RADA VRS-MCX 05 DAI RADA VRS-MSX (ZIP DAI RADA VRS-MSX)"/>
    <x v="0"/>
    <x v="1"/>
    <x v="0"/>
    <m/>
    <n v="842894355.78545105"/>
    <s v="03/2024"/>
    <s v="03/2028"/>
    <m/>
    <m/>
    <s v="PO-92139"/>
    <n v="-1225009041.2145491"/>
    <n v="1723362693"/>
    <n v="1483831711"/>
    <n v="86340539"/>
    <n v="99483451"/>
    <n v="39299406"/>
    <n v="14407586"/>
    <n v="14407586"/>
    <n v="14407586"/>
    <n v="14407586"/>
    <n v="14407586"/>
    <n v="14407586"/>
    <n v="14407586"/>
    <n v="14407586"/>
    <n v="14407586"/>
    <m/>
    <m/>
    <m/>
    <n v="123578189"/>
    <n v="155445229"/>
    <n v="168938715"/>
    <n v="206152226"/>
    <n v="61723526"/>
    <n v="179220292"/>
    <n v="196637865"/>
    <m/>
    <m/>
    <m/>
    <n v="70346647"/>
    <n v="321789022"/>
    <n v="0"/>
    <n v="0"/>
    <n v="44724359"/>
    <n v="162612848.75"/>
  </r>
  <r>
    <s v=""/>
    <x v="0"/>
    <x v="3"/>
    <s v="TTSX"/>
    <x v="59"/>
    <s v="02 XE RADA VRS-MCX 05 DAI RADA VRS-MSX (ZIP DAI RADA VRS-MSX)"/>
    <x v="0"/>
    <x v="1"/>
    <x v="0"/>
    <m/>
    <m/>
    <s v="03/2024"/>
    <s v="03/2028"/>
    <m/>
    <m/>
    <s v="PO-92139"/>
    <m/>
    <n v="297755715"/>
    <n v="28478109"/>
    <n v="127442368"/>
    <n v="45665080"/>
    <n v="34228050"/>
    <n v="61942108"/>
    <n v="61942108"/>
    <n v="61942108"/>
    <n v="61942108"/>
    <n v="61942108"/>
    <n v="61942108"/>
    <n v="61942108"/>
    <n v="61942108"/>
    <n v="61942108"/>
    <m/>
    <m/>
    <m/>
    <m/>
    <m/>
    <m/>
    <m/>
    <m/>
    <n v="4879689"/>
    <n v="15594344"/>
    <m/>
    <m/>
    <m/>
    <n v="1440968"/>
    <n v="6563108"/>
    <n v="0"/>
    <n v="0"/>
    <n v="65526970.333333336"/>
    <n v="350539965.41666663"/>
  </r>
  <r>
    <s v=""/>
    <x v="0"/>
    <x v="3"/>
    <s v="TH"/>
    <x v="59"/>
    <s v="02 XE RADA VRS-MCX 05 DAI RADA VRS-MSX (ZIP DAI RADA VRS-MSX)"/>
    <x v="0"/>
    <x v="1"/>
    <x v="0"/>
    <m/>
    <m/>
    <s v="03/2024"/>
    <s v="03/2028"/>
    <m/>
    <m/>
    <s v="PO-92139"/>
    <m/>
    <n v="7060550"/>
    <n v="0"/>
    <n v="3283976"/>
    <n v="3776574"/>
    <n v="0"/>
    <n v="0"/>
    <m/>
    <m/>
    <m/>
    <m/>
    <m/>
    <m/>
    <m/>
    <m/>
    <m/>
    <m/>
    <m/>
    <m/>
    <m/>
    <m/>
    <m/>
    <m/>
    <m/>
    <m/>
    <m/>
    <m/>
    <m/>
    <m/>
    <m/>
    <m/>
    <n v="0"/>
    <n v="1176758.3333333333"/>
    <n v="3236085.4166666665"/>
  </r>
  <r>
    <s v=""/>
    <x v="0"/>
    <x v="3"/>
    <s v="CKTĐH"/>
    <x v="59"/>
    <s v="02 XE RADA VRS-MCX 05 DAI RADA VRS-MSX (ZIP DAI RADA VRS-MSX)"/>
    <x v="0"/>
    <x v="1"/>
    <x v="0"/>
    <m/>
    <m/>
    <s v="03/2024"/>
    <s v="03/2028"/>
    <m/>
    <m/>
    <s v="PO-92139"/>
    <m/>
    <n v="39724439"/>
    <n v="39724439"/>
    <m/>
    <m/>
    <n v="0"/>
    <n v="0"/>
    <m/>
    <m/>
    <m/>
    <m/>
    <m/>
    <m/>
    <m/>
    <m/>
    <m/>
    <m/>
    <m/>
    <m/>
    <m/>
    <m/>
    <m/>
    <m/>
    <m/>
    <n v="29148671"/>
    <m/>
    <m/>
    <m/>
    <n v="1882991"/>
    <n v="8692777"/>
    <n v="0"/>
    <n v="0"/>
    <n v="0"/>
    <n v="0"/>
  </r>
  <r>
    <s v=""/>
    <x v="0"/>
    <x v="3"/>
    <s v="TTSX"/>
    <x v="60"/>
    <s v="02 XE RADA VRS-MCX 05 DAI RADA VRS-MSX (GOI DV)"/>
    <x v="0"/>
    <x v="1"/>
    <x v="0"/>
    <m/>
    <n v="705753188"/>
    <s v="03/2024"/>
    <s v="03/2028"/>
    <m/>
    <m/>
    <s v="PO-92139"/>
    <n v="702503418"/>
    <n v="3249770"/>
    <n v="3249770"/>
    <m/>
    <m/>
    <n v="0"/>
    <n v="0"/>
    <m/>
    <m/>
    <m/>
    <m/>
    <m/>
    <m/>
    <m/>
    <m/>
    <m/>
    <m/>
    <m/>
    <m/>
    <m/>
    <m/>
    <m/>
    <m/>
    <m/>
    <m/>
    <m/>
    <n v="2397826"/>
    <m/>
    <n v="153834"/>
    <n v="698110"/>
    <m/>
    <n v="0"/>
    <n v="0"/>
    <n v="0"/>
  </r>
  <r>
    <s v=""/>
    <x v="0"/>
    <x v="3"/>
    <s v="RD"/>
    <x v="57"/>
    <s v="02 XE RADA VRS-MCX 05 DAI RADA VRS-MSX (05 DAI)"/>
    <x v="1"/>
    <x v="1"/>
    <x v="0"/>
    <m/>
    <n v="767800171.75212324"/>
    <s v="03/2024"/>
    <s v="03/2028"/>
    <m/>
    <m/>
    <s v="PO-92139"/>
    <n v="743021055.75212324"/>
    <n v="0"/>
    <n v="0"/>
    <m/>
    <m/>
    <n v="0"/>
    <n v="0"/>
    <m/>
    <m/>
    <m/>
    <m/>
    <m/>
    <m/>
    <m/>
    <m/>
    <m/>
    <m/>
    <m/>
    <m/>
    <m/>
    <m/>
    <m/>
    <m/>
    <m/>
    <m/>
    <m/>
    <m/>
    <m/>
    <m/>
    <m/>
    <n v="0"/>
    <n v="0"/>
    <n v="0"/>
    <n v="0"/>
  </r>
  <r>
    <s v=""/>
    <x v="0"/>
    <x v="3"/>
    <s v="TTSX"/>
    <x v="57"/>
    <s v="02 XE RADA VRS-MCX 05 DAI RADA VRS-MSX (05 DAI)"/>
    <x v="1"/>
    <x v="1"/>
    <x v="0"/>
    <m/>
    <m/>
    <s v="03/2024"/>
    <s v="03/2028"/>
    <m/>
    <m/>
    <s v="PO-92139"/>
    <m/>
    <n v="0"/>
    <n v="0"/>
    <m/>
    <m/>
    <n v="0"/>
    <n v="0"/>
    <m/>
    <m/>
    <m/>
    <m/>
    <m/>
    <m/>
    <m/>
    <m/>
    <m/>
    <m/>
    <m/>
    <m/>
    <m/>
    <m/>
    <m/>
    <m/>
    <m/>
    <m/>
    <m/>
    <m/>
    <m/>
    <m/>
    <m/>
    <n v="0"/>
    <n v="0"/>
    <n v="0"/>
    <n v="0"/>
  </r>
  <r>
    <s v=""/>
    <x v="0"/>
    <x v="3"/>
    <s v="ĐBCL"/>
    <x v="57"/>
    <s v="02 XE RADA VRS-MCX 05 DAI RADA VRS-MSX (05 DAI)"/>
    <x v="1"/>
    <x v="1"/>
    <x v="0"/>
    <m/>
    <m/>
    <s v="03/2024"/>
    <d v="2026-03-01T00:00:00"/>
    <m/>
    <m/>
    <s v="PO-92139"/>
    <m/>
    <n v="24779116"/>
    <n v="0"/>
    <n v="24779116"/>
    <m/>
    <n v="0"/>
    <n v="0"/>
    <m/>
    <m/>
    <m/>
    <m/>
    <m/>
    <m/>
    <m/>
    <m/>
    <m/>
    <m/>
    <m/>
    <m/>
    <m/>
    <m/>
    <m/>
    <m/>
    <m/>
    <m/>
    <m/>
    <m/>
    <m/>
    <m/>
    <m/>
    <n v="0"/>
    <n v="0"/>
    <n v="4129852.6666666665"/>
    <n v="11357094.833333332"/>
  </r>
  <r>
    <s v=""/>
    <x v="0"/>
    <x v="3"/>
    <s v="RD"/>
    <x v="57"/>
    <s v="02 XE RADA VRS-MCX 05 DAI RADA VRS-MSX (05 DAI)"/>
    <x v="2"/>
    <x v="1"/>
    <x v="0"/>
    <m/>
    <m/>
    <d v="2026-03-01T00:00:00"/>
    <s v="03/2028"/>
    <m/>
    <m/>
    <s v="PO-92139"/>
    <m/>
    <n v="0"/>
    <n v="0"/>
    <m/>
    <m/>
    <n v="0"/>
    <n v="0"/>
    <m/>
    <m/>
    <m/>
    <m/>
    <m/>
    <m/>
    <m/>
    <m/>
    <m/>
    <m/>
    <m/>
    <m/>
    <m/>
    <m/>
    <m/>
    <m/>
    <m/>
    <m/>
    <m/>
    <m/>
    <m/>
    <m/>
    <m/>
    <n v="0"/>
    <n v="0"/>
    <n v="0"/>
    <n v="0"/>
  </r>
  <r>
    <s v=""/>
    <x v="0"/>
    <x v="3"/>
    <s v="RD"/>
    <x v="58"/>
    <s v="02 XE RADA VRS-MCX 05 DAI RADA VRS-MSX (02 XE)"/>
    <x v="1"/>
    <x v="1"/>
    <x v="0"/>
    <m/>
    <n v="312797061.97635323"/>
    <s v="03/2024"/>
    <s v="03/2028"/>
    <m/>
    <m/>
    <s v="PO-92139"/>
    <n v="-295708140.02364677"/>
    <n v="324052755"/>
    <n v="0"/>
    <m/>
    <n v="153280394"/>
    <n v="82205161"/>
    <n v="88567200"/>
    <n v="88567200"/>
    <n v="88567200"/>
    <n v="88567200"/>
    <n v="88567200"/>
    <n v="88567200"/>
    <n v="88567200"/>
    <n v="88567200"/>
    <n v="88567200"/>
    <m/>
    <m/>
    <m/>
    <m/>
    <m/>
    <m/>
    <m/>
    <m/>
    <m/>
    <m/>
    <m/>
    <m/>
    <m/>
    <m/>
    <m/>
    <n v="0"/>
    <n v="0"/>
    <n v="83531192.5"/>
    <n v="473270579.375"/>
  </r>
  <r>
    <s v=""/>
    <x v="0"/>
    <x v="3"/>
    <s v="TTSX"/>
    <x v="58"/>
    <s v="02 XE RADA VRS-MCX 05 DAI RADA VRS-MSX (02 XE)"/>
    <x v="1"/>
    <x v="1"/>
    <x v="0"/>
    <m/>
    <m/>
    <s v="03/2024"/>
    <s v="03/2028"/>
    <m/>
    <m/>
    <s v="PO-92139"/>
    <m/>
    <n v="284452447"/>
    <n v="0"/>
    <m/>
    <n v="106442876"/>
    <n v="79552050"/>
    <n v="98457521"/>
    <n v="98457521"/>
    <n v="98457521"/>
    <n v="98457521"/>
    <n v="98457521"/>
    <n v="98457521"/>
    <n v="98457521"/>
    <n v="98457521"/>
    <n v="98457521"/>
    <m/>
    <m/>
    <m/>
    <m/>
    <m/>
    <m/>
    <m/>
    <m/>
    <m/>
    <m/>
    <m/>
    <m/>
    <m/>
    <m/>
    <m/>
    <n v="0"/>
    <n v="0"/>
    <n v="80227914.833333328"/>
    <n v="491384948.54166669"/>
  </r>
  <r>
    <s v=""/>
    <x v="0"/>
    <x v="3"/>
    <s v="RD"/>
    <x v="58"/>
    <s v="02 XE RADA VRS-MCX 05 DAI RADA VRS-MSX (02 XE)"/>
    <x v="2"/>
    <x v="1"/>
    <x v="0"/>
    <m/>
    <m/>
    <d v="2026-03-01T00:00:00"/>
    <s v="03/2028"/>
    <m/>
    <m/>
    <s v="PO-92139"/>
    <m/>
    <n v="0"/>
    <n v="0"/>
    <m/>
    <m/>
    <n v="0"/>
    <n v="0"/>
    <m/>
    <m/>
    <m/>
    <m/>
    <m/>
    <m/>
    <m/>
    <m/>
    <m/>
    <m/>
    <m/>
    <m/>
    <m/>
    <m/>
    <m/>
    <m/>
    <m/>
    <m/>
    <m/>
    <m/>
    <m/>
    <m/>
    <m/>
    <n v="0"/>
    <n v="0"/>
    <n v="0"/>
    <n v="0"/>
  </r>
  <r>
    <s v=""/>
    <x v="0"/>
    <x v="3"/>
    <s v="RD"/>
    <x v="60"/>
    <s v="02 XE RADA VRS-MCX 05 DAI RADA VRS-MSX (GOI DV)"/>
    <x v="1"/>
    <x v="1"/>
    <x v="0"/>
    <m/>
    <n v="93721914.483473077"/>
    <s v="03/2024"/>
    <s v="03/2028"/>
    <m/>
    <m/>
    <s v="PO-92139"/>
    <n v="93721914.483473077"/>
    <n v="0"/>
    <m/>
    <m/>
    <m/>
    <m/>
    <n v="0"/>
    <m/>
    <m/>
    <m/>
    <m/>
    <m/>
    <m/>
    <m/>
    <m/>
    <m/>
    <m/>
    <m/>
    <m/>
    <m/>
    <m/>
    <m/>
    <m/>
    <m/>
    <m/>
    <m/>
    <m/>
    <m/>
    <m/>
    <m/>
    <n v="0"/>
    <n v="0"/>
    <n v="0"/>
    <n v="0"/>
  </r>
  <r>
    <s v=""/>
    <x v="0"/>
    <x v="3"/>
    <s v="RD"/>
    <x v="59"/>
    <s v="02 XE RADA VRS-MCX 05 DAI RADA VRS-MSX (ZIP DAI RADA VRS-MSX)"/>
    <x v="1"/>
    <x v="1"/>
    <x v="0"/>
    <m/>
    <n v="111933851.78805055"/>
    <s v="03/2024"/>
    <s v="03/2028"/>
    <m/>
    <m/>
    <s v="PO-92139"/>
    <n v="111933851.78805055"/>
    <n v="0"/>
    <n v="0"/>
    <m/>
    <m/>
    <n v="0"/>
    <n v="0"/>
    <m/>
    <m/>
    <m/>
    <m/>
    <m/>
    <m/>
    <m/>
    <m/>
    <m/>
    <m/>
    <m/>
    <m/>
    <m/>
    <m/>
    <m/>
    <m/>
    <m/>
    <m/>
    <m/>
    <m/>
    <m/>
    <m/>
    <m/>
    <n v="0"/>
    <n v="0"/>
    <n v="0"/>
    <n v="0"/>
  </r>
  <r>
    <s v=""/>
    <x v="0"/>
    <x v="3"/>
    <s v="TTSX"/>
    <x v="59"/>
    <s v="02 XE RADA VRS-MCX 05 DAI RADA VRS-MSX (ZIP DAI RADA VRS-MSX)"/>
    <x v="1"/>
    <x v="1"/>
    <x v="0"/>
    <m/>
    <m/>
    <s v="03/2024"/>
    <s v="03/2028"/>
    <m/>
    <m/>
    <s v="PO-92139"/>
    <m/>
    <n v="0"/>
    <n v="0"/>
    <m/>
    <m/>
    <n v="0"/>
    <n v="0"/>
    <m/>
    <m/>
    <m/>
    <m/>
    <m/>
    <m/>
    <m/>
    <m/>
    <m/>
    <m/>
    <m/>
    <m/>
    <m/>
    <m/>
    <m/>
    <m/>
    <m/>
    <m/>
    <m/>
    <m/>
    <m/>
    <m/>
    <m/>
    <n v="0"/>
    <n v="0"/>
    <n v="0"/>
    <n v="0"/>
  </r>
  <r>
    <s v=""/>
    <x v="0"/>
    <x v="3"/>
    <s v="RD"/>
    <x v="59"/>
    <s v="02 XE RADA VRS-MCX 05 DAI RADA VRS-MSX (ZIP DAI RADA VRS-MSX)"/>
    <x v="2"/>
    <x v="1"/>
    <x v="0"/>
    <m/>
    <m/>
    <d v="2026-03-01T00:00:00"/>
    <s v="03/2028"/>
    <m/>
    <m/>
    <s v="PO-92139"/>
    <m/>
    <n v="0"/>
    <n v="0"/>
    <m/>
    <m/>
    <n v="0"/>
    <n v="0"/>
    <m/>
    <m/>
    <m/>
    <m/>
    <m/>
    <m/>
    <m/>
    <m/>
    <m/>
    <m/>
    <m/>
    <m/>
    <m/>
    <m/>
    <m/>
    <m/>
    <m/>
    <m/>
    <m/>
    <m/>
    <m/>
    <m/>
    <m/>
    <n v="0"/>
    <n v="0"/>
    <n v="0"/>
    <n v="0"/>
  </r>
  <r>
    <s v=""/>
    <x v="0"/>
    <x v="3"/>
    <s v="TTSX"/>
    <x v="57"/>
    <s v="02 XE RADA VRS-MCX 05 DAI RADA VRS-MSX (05 DAI)"/>
    <x v="2"/>
    <x v="1"/>
    <x v="0"/>
    <m/>
    <m/>
    <d v="2026-03-01T00:00:00"/>
    <s v="03/2028"/>
    <m/>
    <m/>
    <s v="PO-92139"/>
    <m/>
    <n v="0"/>
    <n v="0"/>
    <m/>
    <m/>
    <n v="0"/>
    <n v="0"/>
    <m/>
    <m/>
    <m/>
    <m/>
    <m/>
    <m/>
    <m/>
    <m/>
    <m/>
    <m/>
    <m/>
    <m/>
    <m/>
    <m/>
    <m/>
    <m/>
    <m/>
    <m/>
    <m/>
    <m/>
    <m/>
    <m/>
    <m/>
    <n v="0"/>
    <n v="0"/>
    <n v="0"/>
    <n v="0"/>
  </r>
  <r>
    <n v="29"/>
    <x v="0"/>
    <x v="3"/>
    <s v="RD"/>
    <x v="61"/>
    <s v="03 DAI RADA CANH GIOI TAM TRUNG BANG S VRS-MRS"/>
    <x v="0"/>
    <x v="0"/>
    <x v="0"/>
    <n v="470006633260"/>
    <n v="15059080058"/>
    <d v="2025-02-19T00:00:00"/>
    <d v="2026-12-01T00:00:00"/>
    <s v="anhnt18@viettel.com.vn"/>
    <s v="giangnh13@viettel.com.vn"/>
    <s v="PO-93052"/>
    <n v="14519800269"/>
    <n v="539279789"/>
    <m/>
    <n v="0"/>
    <n v="157893312"/>
    <n v="183408703"/>
    <n v="197977774"/>
    <m/>
    <m/>
    <m/>
    <m/>
    <m/>
    <m/>
    <m/>
    <m/>
    <m/>
    <m/>
    <m/>
    <m/>
    <m/>
    <m/>
    <m/>
    <m/>
    <m/>
    <m/>
    <m/>
    <m/>
    <m/>
    <m/>
    <m/>
    <m/>
    <n v="0"/>
    <m/>
    <m/>
  </r>
  <r>
    <s v=""/>
    <x v="0"/>
    <x v="3"/>
    <s v="RD"/>
    <x v="62"/>
    <s v="03 DAI RADA CANH GIOI TAM TRUNG BANG S VRS-MRS (3 DAI)"/>
    <x v="0"/>
    <x v="1"/>
    <x v="0"/>
    <m/>
    <n v="11075379524"/>
    <d v="2025-02-19T00:00:00"/>
    <d v="2027-03-01T00:00:00"/>
    <m/>
    <m/>
    <s v="PO-93052"/>
    <n v="10637389310"/>
    <n v="433067261"/>
    <m/>
    <m/>
    <n v="116208085"/>
    <n v="152785082"/>
    <n v="164074094"/>
    <n v="164074094"/>
    <n v="164074094"/>
    <n v="164074094"/>
    <n v="164074094"/>
    <n v="164074094"/>
    <n v="164074094"/>
    <n v="164074094"/>
    <n v="164074094"/>
    <m/>
    <m/>
    <m/>
    <m/>
    <m/>
    <m/>
    <m/>
    <m/>
    <m/>
    <m/>
    <m/>
    <m/>
    <m/>
    <m/>
    <m/>
    <m/>
    <n v="0"/>
    <n v="126869241.5"/>
    <n v="800094172.625"/>
  </r>
  <r>
    <s v=""/>
    <x v="0"/>
    <x v="3"/>
    <s v="TH"/>
    <x v="62"/>
    <s v="03 DAI RADA CANH GIOI TAM TRUNG BANG S VRS-MRS (3 DAI)"/>
    <x v="0"/>
    <x v="1"/>
    <x v="0"/>
    <m/>
    <m/>
    <d v="2025-02-19T00:00:00"/>
    <d v="2027-03-01T00:00:00"/>
    <m/>
    <m/>
    <s v="PO-93052"/>
    <m/>
    <n v="4922953"/>
    <m/>
    <m/>
    <n v="4922953"/>
    <n v="0"/>
    <n v="0"/>
    <m/>
    <m/>
    <m/>
    <m/>
    <m/>
    <m/>
    <m/>
    <m/>
    <m/>
    <m/>
    <m/>
    <m/>
    <m/>
    <m/>
    <m/>
    <m/>
    <m/>
    <m/>
    <m/>
    <m/>
    <m/>
    <m/>
    <m/>
    <m/>
    <n v="0"/>
    <n v="820492.16666666663"/>
    <n v="2256353.458333333"/>
  </r>
  <r>
    <s v=""/>
    <x v="0"/>
    <x v="3"/>
    <s v="RD"/>
    <x v="63"/>
    <s v="03 DAI RADA CANH GIOI TAM TRUNG BANG S VRS-MRS (ZIP)"/>
    <x v="0"/>
    <x v="1"/>
    <x v="0"/>
    <m/>
    <n v="1784900080"/>
    <d v="2025-02-19T00:00:00"/>
    <d v="2027-03-01T00:00:00"/>
    <m/>
    <m/>
    <s v="PO-93052"/>
    <n v="1683610505"/>
    <n v="100058836"/>
    <m/>
    <m/>
    <n v="35531535"/>
    <n v="30623621"/>
    <n v="33903680"/>
    <n v="33903680"/>
    <n v="33903680"/>
    <n v="33903680"/>
    <n v="33903680"/>
    <n v="33903680"/>
    <n v="33903680"/>
    <n v="33903680"/>
    <n v="33903680"/>
    <m/>
    <m/>
    <m/>
    <m/>
    <m/>
    <m/>
    <m/>
    <m/>
    <m/>
    <m/>
    <m/>
    <m/>
    <m/>
    <m/>
    <m/>
    <m/>
    <n v="0"/>
    <n v="27977699.333333332"/>
    <n v="170173793.16666669"/>
  </r>
  <r>
    <s v=""/>
    <x v="0"/>
    <x v="3"/>
    <s v="TH"/>
    <x v="63"/>
    <s v="03 DAI RADA CANH GIOI TAM TRUNG BANG S VRS-MRS (ZIP)"/>
    <x v="0"/>
    <x v="1"/>
    <x v="0"/>
    <m/>
    <m/>
    <d v="2025-02-19T00:00:00"/>
    <d v="2027-03-01T00:00:00"/>
    <m/>
    <m/>
    <s v="PO-93052"/>
    <m/>
    <n v="1230739"/>
    <m/>
    <m/>
    <n v="1230739"/>
    <n v="0"/>
    <n v="0"/>
    <m/>
    <m/>
    <m/>
    <m/>
    <m/>
    <m/>
    <m/>
    <m/>
    <m/>
    <m/>
    <m/>
    <m/>
    <m/>
    <m/>
    <m/>
    <m/>
    <m/>
    <m/>
    <m/>
    <m/>
    <m/>
    <m/>
    <m/>
    <m/>
    <n v="0"/>
    <n v="205123.16666666666"/>
    <n v="564088.70833333326"/>
  </r>
  <r>
    <s v=""/>
    <x v="0"/>
    <x v="3"/>
    <s v="RD"/>
    <x v="64"/>
    <s v="03 DAI RADA CANH GIOI TAM TRUNG BANG S VRS-MRS (HA TANG)"/>
    <x v="0"/>
    <x v="1"/>
    <x v="0"/>
    <m/>
    <n v="713178818"/>
    <d v="2025-02-19T00:00:00"/>
    <d v="2029-03-01T00:00:00"/>
    <m/>
    <m/>
    <s v="PO-93052"/>
    <n v="713178818"/>
    <n v="0"/>
    <m/>
    <m/>
    <m/>
    <n v="0"/>
    <n v="0"/>
    <m/>
    <m/>
    <m/>
    <m/>
    <m/>
    <m/>
    <m/>
    <m/>
    <m/>
    <m/>
    <m/>
    <m/>
    <m/>
    <m/>
    <m/>
    <m/>
    <m/>
    <m/>
    <m/>
    <m/>
    <m/>
    <m/>
    <m/>
    <m/>
    <n v="0"/>
    <n v="0"/>
    <n v="0"/>
  </r>
  <r>
    <s v=""/>
    <x v="0"/>
    <x v="3"/>
    <s v="RD"/>
    <x v="62"/>
    <s v="03 DAI RADA CANH GIOI TAM TRUNG BANG S VRS-MRS (3 DAI)"/>
    <x v="1"/>
    <x v="1"/>
    <x v="0"/>
    <m/>
    <n v="1230176933"/>
    <d v="2025-02-19T00:00:00"/>
    <d v="2029-03-01T00:00:00"/>
    <m/>
    <m/>
    <s v="PO-93052"/>
    <n v="1230176933"/>
    <n v="0"/>
    <m/>
    <m/>
    <m/>
    <n v="0"/>
    <n v="0"/>
    <m/>
    <m/>
    <m/>
    <m/>
    <m/>
    <m/>
    <m/>
    <m/>
    <m/>
    <m/>
    <m/>
    <m/>
    <m/>
    <m/>
    <m/>
    <m/>
    <m/>
    <m/>
    <m/>
    <m/>
    <m/>
    <m/>
    <m/>
    <m/>
    <n v="0"/>
    <n v="0"/>
    <n v="0"/>
  </r>
  <r>
    <s v=""/>
    <x v="0"/>
    <x v="3"/>
    <s v="RD"/>
    <x v="63"/>
    <s v="03 DAI RADA CANH GIOI TAM TRUNG BANG S VRS-MRS (ZIP)"/>
    <x v="1"/>
    <x v="1"/>
    <x v="0"/>
    <m/>
    <n v="206439226"/>
    <d v="2025-02-19T00:00:00"/>
    <d v="2029-03-01T00:00:00"/>
    <m/>
    <m/>
    <s v="PO-93052"/>
    <n v="206439226"/>
    <n v="0"/>
    <m/>
    <m/>
    <m/>
    <n v="0"/>
    <n v="0"/>
    <m/>
    <m/>
    <m/>
    <m/>
    <m/>
    <m/>
    <m/>
    <m/>
    <m/>
    <m/>
    <m/>
    <m/>
    <m/>
    <m/>
    <m/>
    <m/>
    <m/>
    <m/>
    <m/>
    <m/>
    <m/>
    <m/>
    <m/>
    <m/>
    <n v="0"/>
    <n v="0"/>
    <n v="0"/>
  </r>
  <r>
    <s v=""/>
    <x v="0"/>
    <x v="3"/>
    <s v="RD"/>
    <x v="64"/>
    <s v="03 DAI RADA CANH GIOI TAM TRUNG BANG S VRS-MRS (HA TANG)"/>
    <x v="1"/>
    <x v="1"/>
    <x v="0"/>
    <m/>
    <n v="49005477"/>
    <d v="2025-02-19T00:00:00"/>
    <d v="2029-03-01T00:00:00"/>
    <m/>
    <m/>
    <s v="PO-93052"/>
    <n v="49005477"/>
    <n v="0"/>
    <m/>
    <m/>
    <m/>
    <n v="0"/>
    <n v="0"/>
    <m/>
    <m/>
    <m/>
    <m/>
    <m/>
    <m/>
    <m/>
    <m/>
    <m/>
    <m/>
    <m/>
    <m/>
    <m/>
    <m/>
    <m/>
    <m/>
    <m/>
    <m/>
    <m/>
    <m/>
    <m/>
    <m/>
    <m/>
    <m/>
    <n v="0"/>
    <n v="0"/>
    <n v="0"/>
  </r>
  <r>
    <s v=""/>
    <x v="0"/>
    <x v="3"/>
    <s v="RD"/>
    <x v="61"/>
    <s v="'03 DAI RADA CANH GIOI TAM TRUNG BANG S VRS-MRS"/>
    <x v="2"/>
    <x v="1"/>
    <x v="0"/>
    <m/>
    <m/>
    <d v="2027-03-01T00:00:00"/>
    <d v="2029-03-01T00:00:00"/>
    <m/>
    <m/>
    <s v="PO-93052"/>
    <m/>
    <n v="0"/>
    <m/>
    <m/>
    <m/>
    <n v="0"/>
    <n v="0"/>
    <m/>
    <m/>
    <m/>
    <m/>
    <m/>
    <m/>
    <m/>
    <m/>
    <m/>
    <m/>
    <m/>
    <m/>
    <m/>
    <m/>
    <m/>
    <m/>
    <m/>
    <m/>
    <m/>
    <m/>
    <m/>
    <m/>
    <m/>
    <m/>
    <n v="0"/>
    <n v="0"/>
    <n v="0"/>
  </r>
  <r>
    <n v="30"/>
    <x v="0"/>
    <x v="3"/>
    <s v="RD"/>
    <x v="65"/>
    <s v="02 XE VRS-MCX"/>
    <x v="0"/>
    <x v="0"/>
    <x v="0"/>
    <m/>
    <n v="6039388252"/>
    <d v="2024-11-26T00:00:00"/>
    <d v="2026-11-01T00:00:00"/>
    <s v="thanhlx4@viettel.com.vn"/>
    <s v="linhttt6@viettel.com.vn"/>
    <s v="PO-93051"/>
    <n v="5110438093"/>
    <n v="928950159"/>
    <m/>
    <m/>
    <m/>
    <n v="477251465"/>
    <n v="451698694"/>
    <m/>
    <m/>
    <m/>
    <m/>
    <m/>
    <m/>
    <m/>
    <m/>
    <m/>
    <m/>
    <m/>
    <m/>
    <m/>
    <m/>
    <m/>
    <m/>
    <m/>
    <m/>
    <m/>
    <m/>
    <m/>
    <m/>
    <m/>
    <m/>
    <n v="0"/>
    <m/>
    <m/>
  </r>
  <r>
    <s v=""/>
    <x v="0"/>
    <x v="3"/>
    <s v="RD"/>
    <x v="65"/>
    <s v="02 XE VRS-MCX"/>
    <x v="0"/>
    <x v="1"/>
    <x v="0"/>
    <m/>
    <n v="4164985885"/>
    <d v="2024-11-26T00:00:00"/>
    <d v="2026-11-01T00:00:00"/>
    <m/>
    <m/>
    <s v="PO-93051"/>
    <n v="3236035726"/>
    <n v="928950159"/>
    <m/>
    <m/>
    <m/>
    <n v="477251465"/>
    <n v="451698694"/>
    <n v="451698694"/>
    <n v="451698694"/>
    <n v="451698694"/>
    <n v="451698694"/>
    <n v="451698694"/>
    <n v="451698694"/>
    <n v="451698694"/>
    <n v="451698694"/>
    <m/>
    <m/>
    <m/>
    <m/>
    <m/>
    <m/>
    <m/>
    <m/>
    <m/>
    <m/>
    <m/>
    <m/>
    <m/>
    <m/>
    <m/>
    <m/>
    <n v="0"/>
    <n v="305391257.83333331"/>
    <n v="2081997367.5416667"/>
  </r>
  <r>
    <s v=""/>
    <x v="0"/>
    <x v="3"/>
    <s v="RD"/>
    <x v="65"/>
    <s v="02 XE VRS-MCX"/>
    <x v="1"/>
    <x v="1"/>
    <x v="0"/>
    <m/>
    <n v="1874402367"/>
    <d v="2024-11-26T00:00:00"/>
    <d v="2028-11-01T00:00:00"/>
    <m/>
    <m/>
    <s v="PO-93051"/>
    <n v="1874402367"/>
    <n v="0"/>
    <m/>
    <m/>
    <m/>
    <n v="0"/>
    <n v="0"/>
    <m/>
    <m/>
    <m/>
    <m/>
    <m/>
    <m/>
    <m/>
    <m/>
    <m/>
    <m/>
    <m/>
    <m/>
    <m/>
    <m/>
    <m/>
    <m/>
    <m/>
    <m/>
    <m/>
    <m/>
    <m/>
    <m/>
    <m/>
    <m/>
    <n v="0"/>
    <n v="0"/>
    <n v="0"/>
  </r>
  <r>
    <s v=""/>
    <x v="0"/>
    <x v="3"/>
    <s v="RD"/>
    <x v="65"/>
    <s v="02 XE VRS-MCX"/>
    <x v="2"/>
    <x v="1"/>
    <x v="0"/>
    <m/>
    <m/>
    <d v="2026-11-01T00:00:00"/>
    <d v="2028-11-01T00:00:00"/>
    <m/>
    <m/>
    <s v="PO-93051"/>
    <m/>
    <n v="0"/>
    <m/>
    <m/>
    <m/>
    <n v="0"/>
    <n v="0"/>
    <m/>
    <m/>
    <m/>
    <m/>
    <m/>
    <m/>
    <m/>
    <m/>
    <m/>
    <m/>
    <m/>
    <m/>
    <m/>
    <m/>
    <m/>
    <m/>
    <m/>
    <m/>
    <m/>
    <m/>
    <m/>
    <m/>
    <m/>
    <m/>
    <n v="0"/>
    <n v="0"/>
    <n v="0"/>
  </r>
  <r>
    <n v="31"/>
    <x v="0"/>
    <x v="3"/>
    <s v="RD"/>
    <x v="66"/>
    <s v="10 TO HOP VRQ-CBG"/>
    <x v="0"/>
    <x v="0"/>
    <x v="0"/>
    <m/>
    <n v="16130788557"/>
    <d v="2025-03-27T00:00:00"/>
    <d v="2026-12-01T00:00:00"/>
    <s v="toaipd@viettel.com.vn"/>
    <s v="thuvtq@viettel.com.vn"/>
    <s v="PO-93056"/>
    <n v="15822257904"/>
    <n v="308530653"/>
    <m/>
    <m/>
    <m/>
    <n v="0"/>
    <n v="308530653"/>
    <m/>
    <m/>
    <m/>
    <m/>
    <m/>
    <m/>
    <m/>
    <m/>
    <m/>
    <m/>
    <m/>
    <m/>
    <m/>
    <m/>
    <m/>
    <m/>
    <m/>
    <m/>
    <m/>
    <m/>
    <m/>
    <m/>
    <m/>
    <m/>
    <n v="0"/>
    <m/>
    <m/>
  </r>
  <r>
    <s v=""/>
    <x v="0"/>
    <x v="3"/>
    <s v="RD"/>
    <x v="67"/>
    <s v="10 TO HOP VRQ-CBG"/>
    <x v="0"/>
    <x v="1"/>
    <x v="0"/>
    <m/>
    <n v="5001929456"/>
    <d v="2025-03-27T00:00:00"/>
    <d v="2026-12-01T00:00:00"/>
    <m/>
    <m/>
    <s v="PO-93056"/>
    <n v="4906236015"/>
    <n v="95693441"/>
    <m/>
    <m/>
    <m/>
    <n v="0"/>
    <n v="95693441"/>
    <n v="95693441"/>
    <n v="95693441"/>
    <n v="95693441"/>
    <n v="95693441"/>
    <n v="95693441"/>
    <n v="95693441"/>
    <n v="95693441"/>
    <n v="95693441"/>
    <m/>
    <m/>
    <m/>
    <m/>
    <m/>
    <m/>
    <m/>
    <m/>
    <m/>
    <m/>
    <m/>
    <m/>
    <m/>
    <m/>
    <m/>
    <m/>
    <n v="0"/>
    <n v="47846720.5"/>
    <n v="394735444.125"/>
  </r>
  <r>
    <s v=""/>
    <x v="0"/>
    <x v="3"/>
    <s v="RD"/>
    <x v="68"/>
    <s v="10 TO HOP VRQ-CBG"/>
    <x v="0"/>
    <x v="1"/>
    <x v="0"/>
    <m/>
    <n v="9014286869"/>
    <d v="2025-03-27T00:00:00"/>
    <d v="2026-12-01T00:00:00"/>
    <m/>
    <m/>
    <s v="PO-93056"/>
    <n v="8801449657"/>
    <n v="212837212"/>
    <m/>
    <m/>
    <m/>
    <n v="0"/>
    <n v="212837212"/>
    <n v="212837212"/>
    <n v="212837212"/>
    <n v="212837212"/>
    <n v="212837212"/>
    <n v="212837212"/>
    <n v="212837212"/>
    <n v="212837212"/>
    <n v="212837212"/>
    <m/>
    <m/>
    <m/>
    <m/>
    <m/>
    <m/>
    <m/>
    <m/>
    <m/>
    <m/>
    <m/>
    <m/>
    <m/>
    <m/>
    <m/>
    <m/>
    <n v="0"/>
    <n v="106418606"/>
    <n v="877953499.5"/>
  </r>
  <r>
    <s v=""/>
    <x v="0"/>
    <x v="3"/>
    <s v="RD"/>
    <x v="69"/>
    <s v="10 TO HOP VRQ-CBG"/>
    <x v="0"/>
    <x v="1"/>
    <x v="0"/>
    <m/>
    <n v="618741338"/>
    <d v="2025-03-27T00:00:00"/>
    <d v="2026-12-01T00:00:00"/>
    <m/>
    <m/>
    <s v="PO-93056"/>
    <n v="618741338"/>
    <n v="0"/>
    <m/>
    <m/>
    <m/>
    <n v="0"/>
    <n v="0"/>
    <m/>
    <m/>
    <m/>
    <m/>
    <m/>
    <m/>
    <m/>
    <m/>
    <m/>
    <m/>
    <m/>
    <m/>
    <m/>
    <m/>
    <m/>
    <m/>
    <m/>
    <m/>
    <m/>
    <m/>
    <m/>
    <m/>
    <m/>
    <m/>
    <n v="0"/>
    <n v="0"/>
    <n v="0"/>
  </r>
  <r>
    <s v=""/>
    <x v="0"/>
    <x v="3"/>
    <s v="RD"/>
    <x v="67"/>
    <s v="10 TO HOP VRQ-CBG"/>
    <x v="1"/>
    <x v="1"/>
    <x v="0"/>
    <m/>
    <n v="489936494"/>
    <d v="2025-03-27T00:00:00"/>
    <d v="2028-12-01T00:00:00"/>
    <m/>
    <m/>
    <s v="PO-93056"/>
    <n v="489936494"/>
    <n v="0"/>
    <m/>
    <m/>
    <m/>
    <n v="0"/>
    <n v="0"/>
    <m/>
    <m/>
    <m/>
    <m/>
    <m/>
    <m/>
    <m/>
    <m/>
    <m/>
    <m/>
    <m/>
    <m/>
    <m/>
    <m/>
    <m/>
    <m/>
    <m/>
    <m/>
    <m/>
    <m/>
    <m/>
    <m/>
    <m/>
    <m/>
    <n v="0"/>
    <n v="0"/>
    <n v="0"/>
  </r>
  <r>
    <s v=""/>
    <x v="0"/>
    <x v="3"/>
    <s v="RD"/>
    <x v="68"/>
    <s v="10 TO HOP VRQ-CBG"/>
    <x v="1"/>
    <x v="1"/>
    <x v="0"/>
    <m/>
    <n v="878757498"/>
    <d v="2025-03-27T00:00:00"/>
    <d v="2028-12-01T00:00:00"/>
    <m/>
    <m/>
    <s v="PO-93056"/>
    <n v="878757498"/>
    <n v="0"/>
    <m/>
    <m/>
    <m/>
    <n v="0"/>
    <n v="0"/>
    <m/>
    <m/>
    <m/>
    <m/>
    <m/>
    <m/>
    <m/>
    <m/>
    <m/>
    <m/>
    <m/>
    <m/>
    <m/>
    <m/>
    <m/>
    <m/>
    <m/>
    <m/>
    <m/>
    <m/>
    <m/>
    <m/>
    <m/>
    <m/>
    <n v="0"/>
    <n v="0"/>
    <n v="0"/>
  </r>
  <r>
    <s v=""/>
    <x v="0"/>
    <x v="3"/>
    <s v="RD"/>
    <x v="69"/>
    <s v="10 TO HOP VRQ-CBG"/>
    <x v="1"/>
    <x v="1"/>
    <x v="0"/>
    <m/>
    <n v="127136902"/>
    <d v="2025-03-27T00:00:00"/>
    <d v="2028-12-01T00:00:00"/>
    <m/>
    <m/>
    <s v="PO-93056"/>
    <n v="127136902"/>
    <n v="0"/>
    <m/>
    <m/>
    <m/>
    <n v="0"/>
    <n v="0"/>
    <m/>
    <m/>
    <m/>
    <m/>
    <m/>
    <m/>
    <m/>
    <m/>
    <m/>
    <m/>
    <m/>
    <m/>
    <m/>
    <m/>
    <m/>
    <m/>
    <m/>
    <m/>
    <m/>
    <m/>
    <m/>
    <m/>
    <m/>
    <m/>
    <n v="0"/>
    <n v="0"/>
    <n v="0"/>
  </r>
  <r>
    <s v=""/>
    <x v="0"/>
    <x v="3"/>
    <s v="RD"/>
    <x v="66"/>
    <s v="10 TO HOP VRQ-CBG"/>
    <x v="2"/>
    <x v="1"/>
    <x v="0"/>
    <m/>
    <m/>
    <d v="2026-12-01T00:00:00"/>
    <d v="2028-12-01T00:00:00"/>
    <m/>
    <m/>
    <s v="PO-93056"/>
    <m/>
    <n v="0"/>
    <m/>
    <m/>
    <m/>
    <n v="0"/>
    <n v="0"/>
    <m/>
    <m/>
    <m/>
    <m/>
    <m/>
    <m/>
    <m/>
    <m/>
    <m/>
    <m/>
    <m/>
    <m/>
    <m/>
    <m/>
    <m/>
    <m/>
    <m/>
    <m/>
    <m/>
    <m/>
    <m/>
    <m/>
    <m/>
    <m/>
    <n v="0"/>
    <n v="0"/>
    <n v="0"/>
  </r>
  <r>
    <n v="32"/>
    <x v="0"/>
    <x v="4"/>
    <s v="TCĐT"/>
    <x v="70"/>
    <s v="V-ELINT18"/>
    <x v="0"/>
    <x v="0"/>
    <x v="0"/>
    <n v="757371982622.50879"/>
    <n v="41860871099"/>
    <s v="3/2021"/>
    <d v="2026-03-01T00:00:00"/>
    <s v="tungdm@viettel.com.vn"/>
    <s v="linhnt22@viettel.com.vn"/>
    <s v="PO-92027"/>
    <n v="-17998876167"/>
    <n v="59859747266"/>
    <n v="59673270852"/>
    <n v="23379099"/>
    <n v="54880049"/>
    <n v="47172420"/>
    <n v="61044846"/>
    <m/>
    <m/>
    <m/>
    <m/>
    <m/>
    <m/>
    <m/>
    <m/>
    <n v="0"/>
    <n v="0"/>
    <n v="0"/>
    <n v="0"/>
    <n v="0"/>
    <n v="0"/>
    <n v="0"/>
    <n v="0"/>
    <n v="0"/>
    <n v="0"/>
    <m/>
    <m/>
    <m/>
    <m/>
    <m/>
    <n v="39878594098"/>
    <n v="0"/>
    <m/>
    <m/>
  </r>
  <r>
    <s v=""/>
    <x v="0"/>
    <x v="4"/>
    <s v="TCĐT"/>
    <x v="71"/>
    <s v="V-ELINT18"/>
    <x v="0"/>
    <x v="1"/>
    <x v="1"/>
    <m/>
    <m/>
    <s v="3/2021"/>
    <d v="2023-12-01T00:00:00"/>
    <m/>
    <m/>
    <s v="PO-92027"/>
    <m/>
    <n v="32291676668"/>
    <n v="32291676668"/>
    <m/>
    <m/>
    <n v="0"/>
    <n v="0"/>
    <m/>
    <m/>
    <m/>
    <m/>
    <m/>
    <m/>
    <m/>
    <m/>
    <m/>
    <m/>
    <m/>
    <m/>
    <m/>
    <m/>
    <m/>
    <m/>
    <m/>
    <m/>
    <m/>
    <m/>
    <m/>
    <m/>
    <m/>
    <n v="32291676668"/>
    <n v="0"/>
    <n v="0"/>
    <n v="0"/>
  </r>
  <r>
    <s v=""/>
    <x v="0"/>
    <x v="4"/>
    <s v="TCĐT"/>
    <x v="72"/>
    <s v="V-ELINT18 (ZIP)"/>
    <x v="0"/>
    <x v="1"/>
    <x v="1"/>
    <m/>
    <m/>
    <s v="3/2021"/>
    <d v="2023-12-01T00:00:00"/>
    <m/>
    <m/>
    <s v="PO-92027"/>
    <m/>
    <n v="3094609702"/>
    <n v="3094609702"/>
    <m/>
    <m/>
    <n v="0"/>
    <n v="0"/>
    <m/>
    <m/>
    <m/>
    <m/>
    <m/>
    <m/>
    <m/>
    <m/>
    <m/>
    <m/>
    <m/>
    <m/>
    <m/>
    <m/>
    <m/>
    <m/>
    <m/>
    <m/>
    <m/>
    <m/>
    <m/>
    <m/>
    <m/>
    <n v="3094609702"/>
    <n v="0"/>
    <n v="0"/>
    <n v="0"/>
  </r>
  <r>
    <s v=""/>
    <x v="0"/>
    <x v="4"/>
    <s v="TTSX"/>
    <x v="71"/>
    <s v="V-ELINT18"/>
    <x v="0"/>
    <x v="1"/>
    <x v="1"/>
    <m/>
    <m/>
    <s v="3/2021"/>
    <d v="2023-12-01T00:00:00"/>
    <m/>
    <m/>
    <s v="PO-92027"/>
    <m/>
    <n v="4492307728"/>
    <n v="4492307728"/>
    <m/>
    <m/>
    <n v="0"/>
    <n v="0"/>
    <m/>
    <m/>
    <m/>
    <m/>
    <m/>
    <m/>
    <m/>
    <m/>
    <m/>
    <m/>
    <m/>
    <m/>
    <m/>
    <m/>
    <m/>
    <m/>
    <m/>
    <m/>
    <m/>
    <m/>
    <m/>
    <m/>
    <m/>
    <n v="4492307728"/>
    <n v="0"/>
    <n v="0"/>
    <n v="0"/>
  </r>
  <r>
    <s v=""/>
    <x v="0"/>
    <x v="4"/>
    <s v="DVSBH"/>
    <x v="71"/>
    <s v="V-ELINT18"/>
    <x v="1"/>
    <x v="1"/>
    <x v="0"/>
    <m/>
    <n v="20874143456"/>
    <s v="3/2021"/>
    <d v="2026-03-01T00:00:00"/>
    <m/>
    <m/>
    <s v="PO-92027"/>
    <n v="1150086306"/>
    <n v="19715257144"/>
    <n v="19560959835"/>
    <m/>
    <n v="54880049"/>
    <n v="38372414"/>
    <n v="61044846"/>
    <n v="61044846"/>
    <n v="61044846"/>
    <n v="61044846"/>
    <n v="61044846"/>
    <n v="61044846"/>
    <n v="61044846"/>
    <n v="61044846"/>
    <n v="61044846"/>
    <m/>
    <m/>
    <m/>
    <m/>
    <m/>
    <n v="60162770"/>
    <n v="106161867"/>
    <n v="13286082"/>
    <m/>
    <n v="56638561"/>
    <m/>
    <m/>
    <m/>
    <n v="16141353"/>
    <n v="58945758"/>
    <n v="0"/>
    <n v="0"/>
    <n v="46064500.166666664"/>
    <n v="294550701.95833337"/>
  </r>
  <r>
    <s v=""/>
    <x v="0"/>
    <x v="4"/>
    <s v="KD ĐH"/>
    <x v="71"/>
    <s v="V-ELINT18"/>
    <x v="1"/>
    <x v="1"/>
    <x v="0"/>
    <m/>
    <m/>
    <s v="3/2021"/>
    <d v="2026-03-01T00:00:00"/>
    <m/>
    <m/>
    <s v="PO-92027"/>
    <m/>
    <n v="8800006"/>
    <m/>
    <m/>
    <m/>
    <n v="8800006"/>
    <n v="0"/>
    <n v="8800006"/>
    <n v="8800006"/>
    <n v="8800006"/>
    <n v="8800006"/>
    <n v="8800006"/>
    <n v="8800006"/>
    <n v="8800006"/>
    <n v="8800006"/>
    <m/>
    <m/>
    <m/>
    <m/>
    <m/>
    <n v="60162770"/>
    <n v="106161867"/>
    <n v="13286082"/>
    <m/>
    <n v="56638561"/>
    <m/>
    <m/>
    <m/>
    <n v="16141353"/>
    <n v="58945758"/>
    <n v="0"/>
    <n v="0"/>
    <n v="4400003"/>
    <n v="36300024.75"/>
  </r>
  <r>
    <s v=""/>
    <x v="0"/>
    <x v="4"/>
    <s v="DVSBH"/>
    <x v="71"/>
    <s v="V-ELINT18"/>
    <x v="2"/>
    <x v="1"/>
    <x v="0"/>
    <m/>
    <m/>
    <d v="2024-03-01T00:00:00"/>
    <d v="2026-03-01T00:00:00"/>
    <m/>
    <m/>
    <s v="PO-92027"/>
    <m/>
    <n v="257096018"/>
    <n v="233716919"/>
    <n v="23379099"/>
    <m/>
    <n v="0"/>
    <n v="0"/>
    <m/>
    <m/>
    <m/>
    <m/>
    <m/>
    <m/>
    <m/>
    <m/>
    <m/>
    <m/>
    <m/>
    <m/>
    <n v="57427824"/>
    <m/>
    <m/>
    <m/>
    <n v="24345634"/>
    <m/>
    <n v="33839200"/>
    <n v="26271838"/>
    <n v="35523332"/>
    <n v="12457117"/>
    <n v="43851974"/>
    <n v="0"/>
    <n v="0"/>
    <n v="3896516.5"/>
    <n v="10715420.375"/>
  </r>
  <r>
    <n v="33"/>
    <x v="0"/>
    <x v="4"/>
    <s v="TCĐT"/>
    <x v="73"/>
    <s v="190 BO THU TRINH SAT VTD DAI RONG VSM3"/>
    <x v="0"/>
    <x v="0"/>
    <x v="0"/>
    <n v="283501443426.80566"/>
    <n v="18203266179"/>
    <s v="09/2022"/>
    <d v="2027-12-01T00:00:00"/>
    <s v="namnk4@viettel.com.vn"/>
    <s v="linhnt22@viettel.com.vn"/>
    <s v="PO-92123"/>
    <n v="8487348042"/>
    <n v="9715918137"/>
    <n v="9715918137"/>
    <m/>
    <m/>
    <n v="0"/>
    <n v="0"/>
    <m/>
    <m/>
    <m/>
    <m/>
    <m/>
    <m/>
    <m/>
    <m/>
    <n v="0"/>
    <n v="0"/>
    <n v="0"/>
    <n v="0"/>
    <n v="0"/>
    <n v="0"/>
    <n v="0"/>
    <n v="0"/>
    <n v="0"/>
    <n v="0"/>
    <m/>
    <m/>
    <m/>
    <m/>
    <m/>
    <n v="9715918137"/>
    <n v="0"/>
    <m/>
    <m/>
  </r>
  <r>
    <s v=""/>
    <x v="0"/>
    <x v="4"/>
    <s v="TCĐT"/>
    <x v="74"/>
    <s v="190 BO THU TRINH SAT VTD DAI RONG VSM3 (190 BO)"/>
    <x v="0"/>
    <x v="1"/>
    <x v="1"/>
    <m/>
    <n v="9244843272"/>
    <s v="09/2022"/>
    <d v="2023-12-01T00:00:00"/>
    <m/>
    <m/>
    <s v="PO-92123"/>
    <m/>
    <n v="8566532805"/>
    <n v="8566532805"/>
    <m/>
    <m/>
    <n v="0"/>
    <n v="0"/>
    <m/>
    <m/>
    <m/>
    <m/>
    <m/>
    <m/>
    <m/>
    <m/>
    <m/>
    <m/>
    <m/>
    <m/>
    <m/>
    <m/>
    <m/>
    <m/>
    <m/>
    <m/>
    <m/>
    <m/>
    <m/>
    <m/>
    <m/>
    <n v="8566532805"/>
    <n v="0"/>
    <n v="0"/>
    <n v="0"/>
  </r>
  <r>
    <s v=""/>
    <x v="0"/>
    <x v="4"/>
    <s v="TTSX"/>
    <x v="75"/>
    <s v="190 BO THU TRINH SAT VTD DAI RONG VSM3 (ZIP)"/>
    <x v="0"/>
    <x v="1"/>
    <x v="1"/>
    <m/>
    <n v="543934157"/>
    <s v="09/2022"/>
    <d v="2023-12-01T00:00:00"/>
    <m/>
    <m/>
    <s v="PO-92123"/>
    <m/>
    <n v="43594439"/>
    <n v="43594439"/>
    <m/>
    <m/>
    <n v="0"/>
    <n v="0"/>
    <m/>
    <m/>
    <m/>
    <m/>
    <m/>
    <m/>
    <m/>
    <m/>
    <m/>
    <m/>
    <m/>
    <m/>
    <m/>
    <m/>
    <m/>
    <m/>
    <m/>
    <m/>
    <m/>
    <m/>
    <m/>
    <m/>
    <m/>
    <n v="43594439"/>
    <n v="0"/>
    <n v="0"/>
    <n v="0"/>
  </r>
  <r>
    <s v=""/>
    <x v="0"/>
    <x v="4"/>
    <s v="TTSX"/>
    <x v="74"/>
    <s v="190 BO THU TRINH SAT VTD DAI RONG VSM3 (190 BO)"/>
    <x v="0"/>
    <x v="1"/>
    <x v="1"/>
    <m/>
    <m/>
    <s v="09/2022"/>
    <d v="2023-12-01T00:00:00"/>
    <m/>
    <m/>
    <s v="PO-92123"/>
    <m/>
    <n v="1101894576"/>
    <n v="1101894576"/>
    <m/>
    <m/>
    <n v="0"/>
    <n v="0"/>
    <m/>
    <m/>
    <m/>
    <m/>
    <m/>
    <m/>
    <m/>
    <m/>
    <m/>
    <m/>
    <m/>
    <m/>
    <m/>
    <m/>
    <m/>
    <m/>
    <m/>
    <m/>
    <m/>
    <m/>
    <m/>
    <m/>
    <m/>
    <n v="1101894576"/>
    <n v="0"/>
    <n v="0"/>
    <n v="0"/>
  </r>
  <r>
    <s v=""/>
    <x v="0"/>
    <x v="4"/>
    <s v="DVSBH"/>
    <x v="75"/>
    <s v="190 BO THU TRINH SAT VTD DAI RONG VSM3 (ZIP)"/>
    <x v="0"/>
    <x v="1"/>
    <x v="1"/>
    <m/>
    <m/>
    <s v="09/2022"/>
    <d v="2023-12-01T00:00:00"/>
    <m/>
    <m/>
    <s v="PO-92123"/>
    <m/>
    <n v="3896317"/>
    <n v="3896317"/>
    <m/>
    <m/>
    <n v="0"/>
    <n v="0"/>
    <m/>
    <m/>
    <m/>
    <m/>
    <m/>
    <m/>
    <m/>
    <m/>
    <m/>
    <m/>
    <m/>
    <m/>
    <m/>
    <m/>
    <m/>
    <m/>
    <m/>
    <m/>
    <m/>
    <m/>
    <m/>
    <m/>
    <m/>
    <n v="3896317"/>
    <n v="0"/>
    <n v="0"/>
    <n v="0"/>
  </r>
  <r>
    <s v=""/>
    <x v="0"/>
    <x v="4"/>
    <s v="TCĐT"/>
    <x v="74"/>
    <s v="190 BO THU TRINH SAT VTD DAI RONG VSM3 (190 BO)"/>
    <x v="1"/>
    <x v="1"/>
    <x v="0"/>
    <m/>
    <n v="7993764312.5"/>
    <s v="09/2022"/>
    <d v="2027-12-01T00:00:00"/>
    <m/>
    <m/>
    <s v="PO-92123"/>
    <n v="5696237203.5"/>
    <n v="961007176"/>
    <n v="961007176"/>
    <m/>
    <m/>
    <n v="0"/>
    <n v="0"/>
    <m/>
    <m/>
    <m/>
    <m/>
    <m/>
    <m/>
    <m/>
    <m/>
    <n v="245258286"/>
    <n v="363404562"/>
    <n v="352344328"/>
    <m/>
    <m/>
    <m/>
    <m/>
    <m/>
    <m/>
    <m/>
    <m/>
    <m/>
    <m/>
    <m/>
    <m/>
    <n v="0"/>
    <n v="0"/>
    <n v="0"/>
    <n v="0"/>
  </r>
  <r>
    <s v=""/>
    <x v="0"/>
    <x v="4"/>
    <s v="TTQS"/>
    <x v="74"/>
    <s v="190 BO THU TRINH SAT VTD DAI RONG VSM3 (190 BO)"/>
    <x v="1"/>
    <x v="1"/>
    <x v="0"/>
    <m/>
    <m/>
    <s v="09/2022"/>
    <d v="2027-12-01T00:00:00"/>
    <m/>
    <m/>
    <s v="PO-92123"/>
    <m/>
    <n v="583099351"/>
    <n v="583099351"/>
    <m/>
    <m/>
    <n v="0"/>
    <n v="0"/>
    <m/>
    <m/>
    <m/>
    <m/>
    <m/>
    <m/>
    <m/>
    <m/>
    <m/>
    <m/>
    <m/>
    <n v="6817469"/>
    <n v="5965287"/>
    <n v="7158344"/>
    <m/>
    <n v="147601590"/>
    <m/>
    <m/>
    <m/>
    <m/>
    <m/>
    <n v="68696538"/>
    <n v="346860123"/>
    <n v="0"/>
    <n v="0"/>
    <n v="0"/>
    <n v="0"/>
  </r>
  <r>
    <s v=""/>
    <x v="0"/>
    <x v="4"/>
    <s v="TTSX"/>
    <x v="74"/>
    <s v="190 BO THU TRINH SAT VTD DAI RONG VSM3 (190 BO)"/>
    <x v="1"/>
    <x v="1"/>
    <x v="0"/>
    <m/>
    <m/>
    <s v="09/2022"/>
    <d v="2027-12-01T00:00:00"/>
    <m/>
    <m/>
    <s v="PO-92123"/>
    <m/>
    <n v="753420582"/>
    <n v="753420582"/>
    <m/>
    <m/>
    <n v="0"/>
    <n v="0"/>
    <m/>
    <m/>
    <m/>
    <m/>
    <m/>
    <m/>
    <m/>
    <m/>
    <n v="130667934"/>
    <n v="142491318"/>
    <n v="101561634"/>
    <n v="59599400"/>
    <n v="40995979"/>
    <m/>
    <m/>
    <n v="76768252"/>
    <m/>
    <m/>
    <m/>
    <m/>
    <m/>
    <n v="34925338"/>
    <n v="166410727"/>
    <n v="0"/>
    <n v="0"/>
    <n v="0"/>
    <n v="0"/>
  </r>
  <r>
    <s v=""/>
    <x v="0"/>
    <x v="4"/>
    <s v="TTSX"/>
    <x v="75"/>
    <s v="190 BO THU TRINH SAT VTD DAI RONG VSM3 (ZIP)"/>
    <x v="1"/>
    <x v="1"/>
    <x v="0"/>
    <m/>
    <n v="420724437.5"/>
    <s v="09/2022"/>
    <d v="2027-12-01T00:00:00"/>
    <m/>
    <m/>
    <s v="PO-92123"/>
    <n v="372133714.5"/>
    <n v="48590723"/>
    <n v="48590723"/>
    <m/>
    <m/>
    <n v="0"/>
    <n v="0"/>
    <m/>
    <m/>
    <m/>
    <m/>
    <m/>
    <m/>
    <m/>
    <m/>
    <n v="3258929"/>
    <n v="26986480"/>
    <m/>
    <m/>
    <m/>
    <m/>
    <m/>
    <n v="5105727"/>
    <m/>
    <m/>
    <m/>
    <m/>
    <m/>
    <n v="2187577"/>
    <n v="11052010"/>
    <n v="0"/>
    <n v="0"/>
    <n v="0"/>
    <n v="0"/>
  </r>
  <r>
    <n v="34"/>
    <x v="0"/>
    <x v="4"/>
    <s v="TCĐT"/>
    <x v="76"/>
    <s v="06 TO HOP BV5 CHONG UAV"/>
    <x v="0"/>
    <x v="0"/>
    <x v="0"/>
    <n v="273850905720"/>
    <n v="25546407314"/>
    <d v="2024-03-01T00:00:00"/>
    <d v="2027-12-01T00:00:00"/>
    <s v="vubm@viettel.com.vn"/>
    <s v="linhnt22@viettel.com.vn"/>
    <s v="PO-92143"/>
    <n v="9415200913"/>
    <n v="16131206401"/>
    <n v="11889979158"/>
    <n v="985437789"/>
    <n v="1235489231"/>
    <n v="1413340810"/>
    <n v="606959413"/>
    <m/>
    <m/>
    <m/>
    <m/>
    <m/>
    <m/>
    <m/>
    <m/>
    <n v="0"/>
    <n v="0"/>
    <n v="0"/>
    <n v="325069916"/>
    <n v="436124010"/>
    <n v="1201922291"/>
    <n v="1017482660"/>
    <n v="267545324"/>
    <n v="1245263374"/>
    <n v="1402963284"/>
    <n v="1078381550"/>
    <n v="1043541753"/>
    <n v="679693611"/>
    <n v="561039446"/>
    <n v="2630951939"/>
    <n v="0"/>
    <n v="0"/>
    <m/>
    <m/>
  </r>
  <r>
    <s v=""/>
    <x v="0"/>
    <x v="4"/>
    <s v="TCĐT"/>
    <x v="77"/>
    <s v="06 TO HOP BV5 CHONG UAV"/>
    <x v="0"/>
    <x v="1"/>
    <x v="0"/>
    <m/>
    <n v="17338159402"/>
    <d v="2024-03-01T00:00:00"/>
    <d v="2025-12-01T00:00:00"/>
    <m/>
    <m/>
    <s v="PO-92143"/>
    <n v="2069422930"/>
    <n v="8887984155"/>
    <n v="6832719368"/>
    <n v="657778128"/>
    <n v="669654533"/>
    <n v="640565821"/>
    <n v="87266305"/>
    <n v="87266305"/>
    <n v="87266305"/>
    <n v="87266305"/>
    <n v="87266305"/>
    <n v="87266305"/>
    <n v="87266305"/>
    <n v="87266305"/>
    <n v="87266305"/>
    <m/>
    <m/>
    <m/>
    <n v="79328000"/>
    <n v="99971481"/>
    <n v="704942082"/>
    <n v="673590705"/>
    <n v="120910487"/>
    <n v="874064945"/>
    <n v="852567134"/>
    <n v="486342254"/>
    <n v="484229642"/>
    <n v="583332235"/>
    <n v="327909117"/>
    <n v="1545531286"/>
    <n v="0"/>
    <n v="0"/>
    <n v="371632899.5"/>
    <n v="1261972812.375"/>
  </r>
  <r>
    <s v=""/>
    <x v="0"/>
    <x v="4"/>
    <s v="TH"/>
    <x v="77"/>
    <s v="06 TO HOP BV5 CHONG UAV"/>
    <x v="0"/>
    <x v="1"/>
    <x v="0"/>
    <m/>
    <m/>
    <d v="2024-03-01T00:00:00"/>
    <d v="2025-12-01T00:00:00"/>
    <m/>
    <m/>
    <s v="PO-92143"/>
    <m/>
    <n v="17612348"/>
    <n v="0"/>
    <n v="17612348"/>
    <m/>
    <n v="0"/>
    <n v="0"/>
    <m/>
    <m/>
    <m/>
    <m/>
    <m/>
    <m/>
    <m/>
    <m/>
    <m/>
    <m/>
    <m/>
    <m/>
    <m/>
    <m/>
    <m/>
    <m/>
    <m/>
    <m/>
    <m/>
    <m/>
    <m/>
    <m/>
    <m/>
    <m/>
    <n v="0"/>
    <n v="2935391.3333333335"/>
    <n v="8072326.166666667"/>
  </r>
  <r>
    <s v=""/>
    <x v="0"/>
    <x v="4"/>
    <s v="CKTĐH"/>
    <x v="77"/>
    <s v="06 TO HOP BV5 CHONG UAV"/>
    <x v="0"/>
    <x v="1"/>
    <x v="0"/>
    <m/>
    <m/>
    <d v="2024-03-01T00:00:00"/>
    <d v="2025-12-01T00:00:00"/>
    <m/>
    <m/>
    <s v="PO-92143"/>
    <m/>
    <n v="75570746"/>
    <n v="75570746"/>
    <m/>
    <m/>
    <n v="0"/>
    <n v="0"/>
    <m/>
    <m/>
    <m/>
    <m/>
    <m/>
    <m/>
    <m/>
    <m/>
    <m/>
    <m/>
    <m/>
    <m/>
    <m/>
    <m/>
    <m/>
    <m/>
    <m/>
    <m/>
    <n v="37785373"/>
    <n v="37785373"/>
    <m/>
    <m/>
    <m/>
    <n v="0"/>
    <n v="0"/>
    <n v="0"/>
    <n v="0"/>
  </r>
  <r>
    <s v=""/>
    <x v="0"/>
    <x v="4"/>
    <s v="RD"/>
    <x v="77"/>
    <s v="06 TO HOP BV5 CHONG UAV"/>
    <x v="0"/>
    <x v="1"/>
    <x v="0"/>
    <m/>
    <m/>
    <d v="2024-03-01T00:00:00"/>
    <d v="2025-12-01T00:00:00"/>
    <m/>
    <m/>
    <s v="PO-92143"/>
    <m/>
    <n v="4750197665"/>
    <n v="3495040908"/>
    <n v="267921304"/>
    <n v="289650816"/>
    <n v="459641619"/>
    <n v="237943018"/>
    <n v="237943018"/>
    <n v="237943018"/>
    <n v="237943018"/>
    <n v="237943018"/>
    <n v="237943018"/>
    <n v="237943018"/>
    <n v="237943018"/>
    <n v="237943018"/>
    <m/>
    <m/>
    <m/>
    <n v="199012797"/>
    <n v="310896028"/>
    <n v="441685511"/>
    <n v="297028327"/>
    <n v="129564143"/>
    <n v="206542609"/>
    <n v="342962723"/>
    <n v="339740372"/>
    <n v="250131708"/>
    <n v="83641229"/>
    <n v="156933074"/>
    <n v="736902387"/>
    <n v="0"/>
    <n v="0"/>
    <n v="288507132.16666669"/>
    <n v="1447737912.9583335"/>
  </r>
  <r>
    <s v=""/>
    <x v="0"/>
    <x v="4"/>
    <s v="QĐT"/>
    <x v="77"/>
    <s v="06 TO HOP BV5 CHONG UAV"/>
    <x v="0"/>
    <x v="1"/>
    <x v="0"/>
    <m/>
    <m/>
    <d v="2024-03-01T00:00:00"/>
    <d v="2025-12-01T00:00:00"/>
    <m/>
    <m/>
    <s v="PO-92143"/>
    <m/>
    <n v="581201636"/>
    <n v="0"/>
    <m/>
    <n v="195816107"/>
    <n v="194140903"/>
    <n v="191244626"/>
    <n v="191244626"/>
    <n v="191244626"/>
    <n v="191244626"/>
    <n v="191244626"/>
    <n v="191244626"/>
    <n v="191244626"/>
    <n v="191244626"/>
    <n v="191244626"/>
    <m/>
    <m/>
    <m/>
    <m/>
    <m/>
    <m/>
    <m/>
    <m/>
    <m/>
    <m/>
    <m/>
    <m/>
    <m/>
    <m/>
    <m/>
    <n v="0"/>
    <n v="0"/>
    <n v="160615148"/>
    <n v="967614378.5"/>
  </r>
  <r>
    <s v=""/>
    <x v="0"/>
    <x v="4"/>
    <s v="ĐBCL"/>
    <x v="77"/>
    <s v="06 TO HOP BV5 CHONG UAV"/>
    <x v="0"/>
    <x v="1"/>
    <x v="0"/>
    <m/>
    <m/>
    <d v="2024-03-01T00:00:00"/>
    <d v="2025-12-01T00:00:00"/>
    <m/>
    <m/>
    <s v="PO-92143"/>
    <m/>
    <n v="215870279"/>
    <n v="174141843"/>
    <m/>
    <n v="10884278"/>
    <n v="16123082"/>
    <n v="14721076"/>
    <n v="14721076"/>
    <n v="14721076"/>
    <n v="14721076"/>
    <n v="14721076"/>
    <n v="14721076"/>
    <n v="14721076"/>
    <n v="14721076"/>
    <n v="14721076"/>
    <m/>
    <m/>
    <m/>
    <m/>
    <m/>
    <m/>
    <m/>
    <m/>
    <n v="19971767"/>
    <m/>
    <m/>
    <n v="109822574"/>
    <m/>
    <n v="8812116"/>
    <n v="35535386"/>
    <n v="0"/>
    <n v="0"/>
    <n v="11861764.666666666"/>
    <n v="73102811.833333343"/>
  </r>
  <r>
    <s v=""/>
    <x v="0"/>
    <x v="4"/>
    <s v="KD ĐH"/>
    <x v="77"/>
    <s v="06 TO HOP BV5 CHONG UAV"/>
    <x v="0"/>
    <x v="1"/>
    <x v="0"/>
    <m/>
    <m/>
    <d v="2024-03-01T00:00:00"/>
    <d v="2025-12-01T00:00:00"/>
    <m/>
    <m/>
    <s v="PO-92143"/>
    <m/>
    <n v="183537167"/>
    <n v="183537167"/>
    <m/>
    <m/>
    <n v="0"/>
    <n v="0"/>
    <m/>
    <m/>
    <m/>
    <m/>
    <m/>
    <m/>
    <m/>
    <m/>
    <m/>
    <m/>
    <m/>
    <m/>
    <m/>
    <m/>
    <m/>
    <m/>
    <n v="32019444"/>
    <n v="33645024"/>
    <n v="30627292"/>
    <n v="33544180"/>
    <m/>
    <n v="9195627"/>
    <n v="44505600"/>
    <n v="0"/>
    <n v="0"/>
    <n v="0"/>
    <n v="0"/>
  </r>
  <r>
    <s v=""/>
    <x v="0"/>
    <x v="4"/>
    <s v="TTSX"/>
    <x v="77"/>
    <s v="06 TO HOP BV5 CHONG UAV"/>
    <x v="0"/>
    <x v="1"/>
    <x v="0"/>
    <m/>
    <m/>
    <d v="2024-03-01T00:00:00"/>
    <d v="2025-12-01T00:00:00"/>
    <m/>
    <m/>
    <s v="PO-92143"/>
    <m/>
    <n v="556762476"/>
    <n v="556762476"/>
    <m/>
    <m/>
    <n v="0"/>
    <n v="0"/>
    <m/>
    <m/>
    <m/>
    <m/>
    <m/>
    <m/>
    <m/>
    <m/>
    <m/>
    <m/>
    <m/>
    <m/>
    <m/>
    <m/>
    <m/>
    <m/>
    <n v="82680514"/>
    <n v="123957778"/>
    <n v="84695231"/>
    <n v="87370824"/>
    <m/>
    <n v="32138106"/>
    <n v="145920023"/>
    <n v="0"/>
    <n v="0"/>
    <n v="0"/>
    <n v="0"/>
  </r>
  <r>
    <s v=""/>
    <x v="0"/>
    <x v="4"/>
    <s v="TCĐT"/>
    <x v="78"/>
    <s v="06 TO HOP BV5 CHONG UAV (ZIP)"/>
    <x v="0"/>
    <x v="1"/>
    <x v="0"/>
    <m/>
    <n v="2859769454"/>
    <d v="2024-03-01T00:00:00"/>
    <d v="2025-12-01T00:00:00"/>
    <m/>
    <m/>
    <s v="PO-92143"/>
    <n v="2010775797"/>
    <n v="64297871"/>
    <n v="64297871"/>
    <m/>
    <m/>
    <n v="0"/>
    <n v="0"/>
    <m/>
    <m/>
    <m/>
    <m/>
    <m/>
    <m/>
    <m/>
    <m/>
    <m/>
    <m/>
    <m/>
    <m/>
    <m/>
    <m/>
    <m/>
    <m/>
    <m/>
    <m/>
    <n v="46304460"/>
    <m/>
    <m/>
    <n v="3159129"/>
    <n v="14834282"/>
    <n v="0"/>
    <n v="0"/>
    <n v="0"/>
    <n v="0"/>
  </r>
  <r>
    <s v=""/>
    <x v="0"/>
    <x v="4"/>
    <s v="RD"/>
    <x v="78"/>
    <s v="06 TO HOP BV5 CHONG UAV (ZIP)"/>
    <x v="0"/>
    <x v="1"/>
    <x v="0"/>
    <m/>
    <m/>
    <d v="2024-03-01T00:00:00"/>
    <d v="2025-12-01T00:00:00"/>
    <m/>
    <m/>
    <s v="PO-92143"/>
    <m/>
    <n v="701894934"/>
    <n v="507908779"/>
    <n v="42126009"/>
    <n v="47726153"/>
    <n v="70512570"/>
    <n v="33621423"/>
    <n v="33621423"/>
    <n v="33621423"/>
    <n v="33621423"/>
    <n v="33621423"/>
    <n v="33621423"/>
    <n v="33621423"/>
    <n v="33621423"/>
    <n v="33621423"/>
    <m/>
    <m/>
    <m/>
    <n v="46729119"/>
    <n v="25256501"/>
    <n v="55294698"/>
    <n v="46863628"/>
    <n v="17070694"/>
    <n v="29984095"/>
    <n v="49830625"/>
    <n v="52886568"/>
    <n v="40657452"/>
    <n v="12720147"/>
    <n v="22892277"/>
    <n v="107722975"/>
    <n v="0"/>
    <n v="0"/>
    <n v="43538166.833333336"/>
    <n v="212188872.04166666"/>
  </r>
  <r>
    <s v=""/>
    <x v="0"/>
    <x v="4"/>
    <s v="QĐT"/>
    <x v="78"/>
    <s v="06 TO HOP BV5 CHONG UAV (ZIP)"/>
    <x v="0"/>
    <x v="1"/>
    <x v="0"/>
    <m/>
    <m/>
    <d v="2024-03-01T00:00:00"/>
    <d v="2025-12-01T00:00:00"/>
    <m/>
    <m/>
    <s v="PO-92143"/>
    <m/>
    <n v="82800852"/>
    <n v="0"/>
    <m/>
    <n v="21757344"/>
    <n v="32356815"/>
    <n v="28686693"/>
    <n v="28686693"/>
    <n v="28686693"/>
    <n v="28686693"/>
    <n v="28686693"/>
    <n v="28686693"/>
    <n v="28686693"/>
    <n v="28686693"/>
    <n v="28686693"/>
    <m/>
    <m/>
    <m/>
    <m/>
    <m/>
    <m/>
    <m/>
    <m/>
    <m/>
    <m/>
    <m/>
    <m/>
    <m/>
    <m/>
    <m/>
    <n v="0"/>
    <n v="0"/>
    <n v="23362373"/>
    <n v="143134931.5"/>
  </r>
  <r>
    <s v=""/>
    <x v="0"/>
    <x v="4"/>
    <s v="TCĐT"/>
    <x v="77"/>
    <s v="06 TO HOP BV5 CHONG UAV"/>
    <x v="1"/>
    <x v="1"/>
    <x v="0"/>
    <m/>
    <n v="4618356227.9058447"/>
    <d v="2024-03-01T00:00:00"/>
    <d v="2027-12-01T00:00:00"/>
    <m/>
    <m/>
    <s v="PO-92143"/>
    <n v="4604879955.9058447"/>
    <n v="0"/>
    <m/>
    <m/>
    <m/>
    <n v="0"/>
    <n v="0"/>
    <m/>
    <m/>
    <m/>
    <m/>
    <m/>
    <m/>
    <m/>
    <m/>
    <m/>
    <m/>
    <m/>
    <m/>
    <m/>
    <m/>
    <m/>
    <m/>
    <m/>
    <m/>
    <m/>
    <m/>
    <m/>
    <m/>
    <m/>
    <m/>
    <n v="0"/>
    <n v="0"/>
    <n v="0"/>
  </r>
  <r>
    <s v=""/>
    <x v="0"/>
    <x v="4"/>
    <s v="KD ĐH"/>
    <x v="77"/>
    <s v="06 TO HOP BV5 CHONG UAV"/>
    <x v="1"/>
    <x v="1"/>
    <x v="0"/>
    <m/>
    <m/>
    <d v="2024-03-01T00:00:00"/>
    <d v="2027-12-01T00:00:00"/>
    <m/>
    <m/>
    <s v="PO-92143"/>
    <m/>
    <n v="13476272"/>
    <m/>
    <m/>
    <m/>
    <n v="0"/>
    <n v="13476272"/>
    <n v="13476272"/>
    <n v="13476272"/>
    <n v="13476272"/>
    <n v="13476272"/>
    <n v="13476272"/>
    <n v="13476272"/>
    <n v="13476272"/>
    <n v="13476272"/>
    <m/>
    <m/>
    <m/>
    <m/>
    <m/>
    <m/>
    <m/>
    <m/>
    <m/>
    <m/>
    <m/>
    <m/>
    <m/>
    <m/>
    <m/>
    <m/>
    <n v="0"/>
    <n v="6738136"/>
    <n v="55589622"/>
  </r>
  <r>
    <s v=""/>
    <x v="0"/>
    <x v="4"/>
    <s v="TCĐT"/>
    <x v="78"/>
    <s v="06 TO HOP BV5 CHONG UAV (ZIP)"/>
    <x v="1"/>
    <x v="1"/>
    <x v="0"/>
    <m/>
    <n v="730122230.09415567"/>
    <d v="2024-03-01T00:00:00"/>
    <d v="2027-12-01T00:00:00"/>
    <m/>
    <m/>
    <s v="PO-92143"/>
    <n v="730122230.09415567"/>
    <n v="0"/>
    <m/>
    <m/>
    <m/>
    <n v="0"/>
    <n v="0"/>
    <m/>
    <m/>
    <m/>
    <m/>
    <m/>
    <m/>
    <m/>
    <m/>
    <m/>
    <m/>
    <m/>
    <m/>
    <m/>
    <m/>
    <m/>
    <m/>
    <m/>
    <m/>
    <m/>
    <m/>
    <m/>
    <m/>
    <m/>
    <m/>
    <n v="0"/>
    <n v="0"/>
    <n v="0"/>
  </r>
  <r>
    <n v="35"/>
    <x v="0"/>
    <x v="4"/>
    <s v="TCĐT"/>
    <x v="79"/>
    <s v="20 HT TRINH SAT VTD KTS BANG RONG"/>
    <x v="0"/>
    <x v="0"/>
    <x v="0"/>
    <n v="149354270817"/>
    <n v="11221288532"/>
    <d v="2025-03-27T00:00:00"/>
    <d v="2028-12-01T00:00:00"/>
    <s v="hiennt184@viettel.com.vn"/>
    <s v="thanhbv52@viettel.com.vn"/>
    <s v="PO-92155"/>
    <n v="9996943332"/>
    <n v="1224345200"/>
    <m/>
    <m/>
    <m/>
    <n v="0"/>
    <n v="1224345200"/>
    <m/>
    <m/>
    <m/>
    <m/>
    <m/>
    <m/>
    <m/>
    <m/>
    <m/>
    <m/>
    <m/>
    <m/>
    <m/>
    <m/>
    <m/>
    <m/>
    <m/>
    <m/>
    <m/>
    <m/>
    <m/>
    <m/>
    <m/>
    <m/>
    <n v="0"/>
    <m/>
    <m/>
  </r>
  <r>
    <s v=""/>
    <x v="0"/>
    <x v="4"/>
    <s v="TCĐT"/>
    <x v="80"/>
    <s v="20 HT TRINH SAT VTD KTS BANG RONG (20 HT)"/>
    <x v="0"/>
    <x v="1"/>
    <x v="0"/>
    <m/>
    <n v="9144483179"/>
    <d v="2025-03-27T00:00:00"/>
    <d v="2028-12-01T00:00:00"/>
    <m/>
    <m/>
    <s v="PO-92155"/>
    <n v="7920137979"/>
    <n v="1224345200"/>
    <m/>
    <m/>
    <m/>
    <n v="0"/>
    <n v="1224345200"/>
    <n v="1224345200"/>
    <n v="1224345200"/>
    <n v="1224345200"/>
    <n v="1224345200"/>
    <n v="1224345200"/>
    <n v="1224345200"/>
    <n v="1224345200"/>
    <n v="1224345200"/>
    <m/>
    <m/>
    <m/>
    <m/>
    <m/>
    <m/>
    <m/>
    <m/>
    <m/>
    <m/>
    <m/>
    <m/>
    <m/>
    <m/>
    <m/>
    <m/>
    <n v="0"/>
    <n v="612172600"/>
    <n v="5050423950"/>
  </r>
  <r>
    <s v=""/>
    <x v="0"/>
    <x v="4"/>
    <s v="TCĐT"/>
    <x v="81"/>
    <s v="20 HT TRINH SAT VTD KTS BANG RONG (04 ZIP)"/>
    <x v="0"/>
    <x v="1"/>
    <x v="0"/>
    <m/>
    <n v="1584486609"/>
    <d v="2025-03-27T00:00:00"/>
    <d v="2028-12-01T00:00:00"/>
    <m/>
    <m/>
    <s v="PO-92155"/>
    <n v="1584486609"/>
    <n v="0"/>
    <m/>
    <m/>
    <m/>
    <n v="0"/>
    <n v="0"/>
    <m/>
    <m/>
    <m/>
    <m/>
    <m/>
    <m/>
    <m/>
    <m/>
    <m/>
    <m/>
    <m/>
    <m/>
    <m/>
    <m/>
    <m/>
    <m/>
    <m/>
    <m/>
    <m/>
    <m/>
    <m/>
    <m/>
    <m/>
    <m/>
    <n v="0"/>
    <n v="0"/>
    <n v="0"/>
  </r>
  <r>
    <s v=""/>
    <x v="0"/>
    <x v="4"/>
    <s v="TCĐT"/>
    <x v="80"/>
    <s v="20 HT TRINH SAT VTD KTS BANG RONG (20 HT)"/>
    <x v="1"/>
    <x v="1"/>
    <x v="0"/>
    <m/>
    <n v="423394119.83999997"/>
    <d v="2025-03-27T00:00:00"/>
    <d v="2028-12-01T00:00:00"/>
    <m/>
    <m/>
    <s v="PO-92155"/>
    <n v="423394119.83999997"/>
    <n v="0"/>
    <m/>
    <m/>
    <m/>
    <n v="0"/>
    <n v="0"/>
    <m/>
    <m/>
    <m/>
    <m/>
    <m/>
    <m/>
    <m/>
    <m/>
    <m/>
    <m/>
    <m/>
    <m/>
    <m/>
    <m/>
    <m/>
    <m/>
    <m/>
    <m/>
    <m/>
    <m/>
    <m/>
    <m/>
    <m/>
    <m/>
    <n v="0"/>
    <n v="0"/>
    <n v="0"/>
  </r>
  <r>
    <s v=""/>
    <x v="0"/>
    <x v="4"/>
    <s v="TCĐT"/>
    <x v="81"/>
    <s v="20 HT TRINH SAT VTD KTS BANG RONG (04 ZIP)"/>
    <x v="1"/>
    <x v="1"/>
    <x v="0"/>
    <m/>
    <n v="68924624.160000011"/>
    <d v="2025-03-27T00:00:00"/>
    <d v="2028-12-01T00:00:00"/>
    <m/>
    <m/>
    <s v="PO-92155"/>
    <n v="68924624.160000011"/>
    <n v="0"/>
    <m/>
    <m/>
    <m/>
    <n v="0"/>
    <n v="0"/>
    <m/>
    <m/>
    <m/>
    <m/>
    <m/>
    <m/>
    <m/>
    <m/>
    <m/>
    <m/>
    <m/>
    <m/>
    <m/>
    <m/>
    <m/>
    <m/>
    <m/>
    <m/>
    <m/>
    <m/>
    <m/>
    <m/>
    <m/>
    <m/>
    <n v="0"/>
    <n v="0"/>
    <n v="0"/>
  </r>
  <r>
    <s v=""/>
    <x v="0"/>
    <x v="4"/>
    <s v="TCĐT"/>
    <x v="79"/>
    <s v="20 HT TRINH SAT VTD KTS BANG RONG"/>
    <x v="2"/>
    <x v="1"/>
    <x v="0"/>
    <m/>
    <m/>
    <d v="2025-03-27T00:00:00"/>
    <d v="2028-12-01T00:00:00"/>
    <m/>
    <m/>
    <s v="PO-92155"/>
    <m/>
    <n v="0"/>
    <m/>
    <m/>
    <m/>
    <n v="0"/>
    <n v="0"/>
    <m/>
    <m/>
    <m/>
    <m/>
    <m/>
    <m/>
    <m/>
    <m/>
    <m/>
    <m/>
    <m/>
    <m/>
    <m/>
    <m/>
    <m/>
    <m/>
    <m/>
    <m/>
    <m/>
    <m/>
    <m/>
    <m/>
    <m/>
    <m/>
    <n v="0"/>
    <n v="0"/>
    <n v="0"/>
  </r>
  <r>
    <n v="36"/>
    <x v="0"/>
    <x v="4"/>
    <s v="TCĐT"/>
    <x v="82"/>
    <s v="20 HT TRINH SAT VTD KTS BANG RONG"/>
    <x v="0"/>
    <x v="0"/>
    <x v="0"/>
    <n v="1981340334.45"/>
    <n v="240484326.25000003"/>
    <d v="2025-01-01T00:00:00"/>
    <d v="2025-12-01T00:00:00"/>
    <s v="hieuld1@viettel.com.vn"/>
    <s v="hiennt184@viettel.com.vn"/>
    <s v="PO-92109"/>
    <n v="240484326.25000003"/>
    <m/>
    <m/>
    <m/>
    <m/>
    <m/>
    <n v="29810653"/>
    <m/>
    <m/>
    <m/>
    <m/>
    <m/>
    <m/>
    <m/>
    <m/>
    <m/>
    <m/>
    <m/>
    <m/>
    <m/>
    <m/>
    <m/>
    <m/>
    <m/>
    <m/>
    <m/>
    <m/>
    <m/>
    <m/>
    <m/>
    <m/>
    <n v="0"/>
    <m/>
    <m/>
  </r>
  <r>
    <s v=""/>
    <x v="0"/>
    <x v="4"/>
    <s v="TCĐT"/>
    <x v="82"/>
    <s v="20 HT TRINH SAT VTD KTS BANG RONG (20 HT)"/>
    <x v="0"/>
    <x v="1"/>
    <x v="0"/>
    <m/>
    <n v="240484326.25000003"/>
    <d v="2025-01-01T00:00:00"/>
    <d v="2025-12-01T00:00:00"/>
    <m/>
    <m/>
    <s v="PO-92109"/>
    <n v="240484326.25000003"/>
    <m/>
    <m/>
    <m/>
    <m/>
    <m/>
    <n v="29810653"/>
    <n v="29810653"/>
    <n v="29810653"/>
    <n v="29810653"/>
    <n v="29810653"/>
    <n v="29810653"/>
    <n v="29810653"/>
    <n v="29810653"/>
    <n v="29810653"/>
    <m/>
    <m/>
    <m/>
    <m/>
    <m/>
    <m/>
    <m/>
    <m/>
    <m/>
    <m/>
    <m/>
    <m/>
    <m/>
    <m/>
    <m/>
    <m/>
    <n v="0"/>
    <n v="14905326.5"/>
    <n v="122968943.625"/>
  </r>
  <r>
    <n v="37"/>
    <x v="0"/>
    <x v="5"/>
    <s v="TTQS"/>
    <x v="83"/>
    <s v="1200 MAY VRH911"/>
    <x v="0"/>
    <x v="0"/>
    <x v="0"/>
    <n v="53076669966"/>
    <n v="6592672592"/>
    <s v="4/2024"/>
    <d v="2026-12-01T00:00:00"/>
    <s v="tunn5@viettel.com.vn"/>
    <s v="tamdm5@viettel.com.vn"/>
    <s v="PO-92346"/>
    <n v="-69713097"/>
    <n v="6662385689"/>
    <n v="6662385689"/>
    <m/>
    <m/>
    <n v="0"/>
    <n v="0"/>
    <m/>
    <m/>
    <m/>
    <m/>
    <m/>
    <m/>
    <m/>
    <m/>
    <n v="0"/>
    <n v="0"/>
    <n v="0"/>
    <n v="676715958"/>
    <n v="603293119"/>
    <n v="860155866"/>
    <n v="1221970199"/>
    <n v="266923016"/>
    <n v="614071210"/>
    <n v="504919201"/>
    <n v="0"/>
    <n v="0"/>
    <n v="0"/>
    <n v="310866543"/>
    <n v="1353884229"/>
    <n v="0"/>
    <n v="0"/>
    <m/>
    <m/>
  </r>
  <r>
    <s v=""/>
    <x v="0"/>
    <x v="5"/>
    <s v="TTQS"/>
    <x v="84"/>
    <s v="1200 MAY VRH911"/>
    <x v="0"/>
    <x v="1"/>
    <x v="1"/>
    <m/>
    <n v="6592672592"/>
    <s v="4/2024"/>
    <d v="2024-12-01T00:00:00"/>
    <m/>
    <m/>
    <s v="PO-92346"/>
    <n v="179873251"/>
    <n v="5218017440"/>
    <n v="5218017440"/>
    <m/>
    <m/>
    <n v="0"/>
    <n v="0"/>
    <m/>
    <m/>
    <m/>
    <m/>
    <m/>
    <m/>
    <m/>
    <m/>
    <m/>
    <m/>
    <m/>
    <n v="577249661"/>
    <n v="562640264"/>
    <n v="704871549"/>
    <n v="881372505"/>
    <n v="222620749"/>
    <n v="460534191"/>
    <n v="432658239"/>
    <m/>
    <m/>
    <m/>
    <n v="263267660"/>
    <n v="1112802622"/>
    <n v="0"/>
    <n v="0"/>
    <n v="0"/>
    <n v="0"/>
  </r>
  <r>
    <s v=""/>
    <x v="0"/>
    <x v="5"/>
    <s v="TTSX"/>
    <x v="84"/>
    <s v="1200 MAY VRH911"/>
    <x v="0"/>
    <x v="1"/>
    <x v="1"/>
    <m/>
    <m/>
    <s v="4/2024"/>
    <d v="2024-12-01T00:00:00"/>
    <m/>
    <m/>
    <s v="PO-92346"/>
    <m/>
    <n v="989895710"/>
    <n v="989895710"/>
    <m/>
    <m/>
    <n v="0"/>
    <n v="0"/>
    <m/>
    <m/>
    <m/>
    <m/>
    <m/>
    <m/>
    <m/>
    <m/>
    <m/>
    <m/>
    <m/>
    <n v="99466297"/>
    <n v="40652855"/>
    <n v="155284317"/>
    <n v="149266141"/>
    <n v="44302267"/>
    <n v="143848824"/>
    <n v="72260962"/>
    <m/>
    <m/>
    <m/>
    <n v="46908196"/>
    <n v="237905851"/>
    <n v="0"/>
    <n v="0"/>
    <n v="0"/>
    <n v="0"/>
  </r>
  <r>
    <s v=""/>
    <x v="0"/>
    <x v="5"/>
    <s v="TTSX"/>
    <x v="85"/>
    <s v="1200 MAY VRH911"/>
    <x v="0"/>
    <x v="1"/>
    <x v="1"/>
    <m/>
    <m/>
    <s v="4/2024"/>
    <d v="2024-12-01T00:00:00"/>
    <m/>
    <m/>
    <s v="PO-92346"/>
    <m/>
    <n v="0"/>
    <n v="0"/>
    <m/>
    <m/>
    <n v="0"/>
    <n v="0"/>
    <m/>
    <m/>
    <m/>
    <m/>
    <m/>
    <m/>
    <m/>
    <m/>
    <m/>
    <m/>
    <m/>
    <m/>
    <m/>
    <m/>
    <m/>
    <m/>
    <m/>
    <m/>
    <m/>
    <m/>
    <m/>
    <m/>
    <m/>
    <n v="0"/>
    <n v="0"/>
    <n v="0"/>
    <n v="0"/>
  </r>
  <r>
    <s v=""/>
    <x v="0"/>
    <x v="5"/>
    <s v="TCĐT"/>
    <x v="84"/>
    <s v="1200 MAY VRH911"/>
    <x v="0"/>
    <x v="1"/>
    <x v="1"/>
    <m/>
    <m/>
    <s v="4/2024"/>
    <d v="2024-12-01T00:00:00"/>
    <m/>
    <m/>
    <s v="PO-92346"/>
    <m/>
    <n v="191331553"/>
    <n v="191331553"/>
    <m/>
    <m/>
    <n v="0"/>
    <n v="0"/>
    <m/>
    <m/>
    <m/>
    <m/>
    <m/>
    <m/>
    <m/>
    <m/>
    <m/>
    <m/>
    <m/>
    <m/>
    <m/>
    <m/>
    <n v="191331553"/>
    <m/>
    <m/>
    <m/>
    <m/>
    <m/>
    <m/>
    <m/>
    <m/>
    <n v="0"/>
    <n v="0"/>
    <n v="0"/>
    <n v="0"/>
  </r>
  <r>
    <s v=""/>
    <x v="0"/>
    <x v="5"/>
    <s v="ĐBCL"/>
    <x v="84"/>
    <s v="1200 MAY VRH911"/>
    <x v="0"/>
    <x v="1"/>
    <x v="1"/>
    <m/>
    <m/>
    <s v="4/2024"/>
    <d v="2024-12-01T00:00:00"/>
    <m/>
    <m/>
    <s v="PO-92346"/>
    <m/>
    <n v="13554638"/>
    <n v="13554638"/>
    <m/>
    <m/>
    <n v="0"/>
    <n v="0"/>
    <m/>
    <m/>
    <m/>
    <m/>
    <m/>
    <m/>
    <m/>
    <m/>
    <m/>
    <m/>
    <m/>
    <m/>
    <m/>
    <m/>
    <m/>
    <m/>
    <n v="9688195"/>
    <m/>
    <m/>
    <m/>
    <m/>
    <n v="690687"/>
    <n v="3175756"/>
    <n v="0"/>
    <n v="0"/>
    <n v="0"/>
    <n v="0"/>
  </r>
  <r>
    <s v=""/>
    <x v="0"/>
    <x v="5"/>
    <s v="ĐBCL"/>
    <x v="84"/>
    <s v="1200 MAY VRH911"/>
    <x v="1"/>
    <x v="1"/>
    <x v="0"/>
    <m/>
    <n v="258349826"/>
    <s v="4/2024"/>
    <d v="2026-12-01T00:00:00"/>
    <m/>
    <m/>
    <s v="PO-92346"/>
    <n v="8763478"/>
    <n v="91796211"/>
    <n v="91796211"/>
    <m/>
    <m/>
    <n v="0"/>
    <n v="0"/>
    <m/>
    <m/>
    <m/>
    <m/>
    <m/>
    <m/>
    <m/>
    <m/>
    <m/>
    <m/>
    <m/>
    <m/>
    <m/>
    <m/>
    <m/>
    <m/>
    <m/>
    <m/>
    <m/>
    <n v="64693327"/>
    <m/>
    <n v="4358463"/>
    <n v="22744421"/>
    <n v="0"/>
    <n v="0"/>
    <n v="0"/>
    <n v="0"/>
  </r>
  <r>
    <s v=""/>
    <x v="0"/>
    <x v="5"/>
    <s v="TTQS"/>
    <x v="84"/>
    <s v="1200 MAY VRH911"/>
    <x v="1"/>
    <x v="1"/>
    <x v="0"/>
    <m/>
    <m/>
    <s v="4/2024"/>
    <d v="2026-12-01T00:00:00"/>
    <m/>
    <m/>
    <s v="PO-92346"/>
    <m/>
    <n v="157790137"/>
    <n v="157790137"/>
    <m/>
    <m/>
    <n v="0"/>
    <n v="0"/>
    <m/>
    <m/>
    <m/>
    <m/>
    <m/>
    <m/>
    <m/>
    <m/>
    <m/>
    <m/>
    <m/>
    <m/>
    <m/>
    <m/>
    <m/>
    <m/>
    <m/>
    <m/>
    <m/>
    <n v="82935145"/>
    <n v="30166530"/>
    <n v="7495672"/>
    <n v="37192790"/>
    <n v="0"/>
    <n v="0"/>
    <n v="0"/>
    <n v="0"/>
  </r>
  <r>
    <n v="38"/>
    <x v="0"/>
    <x v="5"/>
    <s v="TTQS"/>
    <x v="86"/>
    <s v="3050 MAY VHR911/S1"/>
    <x v="0"/>
    <x v="0"/>
    <x v="1"/>
    <n v="190351903544"/>
    <n v="6273512281"/>
    <s v="4/2024"/>
    <d v="2024-12-01T00:00:00"/>
    <s v="tunn5@viettel.com.vn"/>
    <s v="tamdm5@viettel.com.vn"/>
    <s v="PO-92348"/>
    <n v="427379786"/>
    <n v="5846132495"/>
    <n v="5846132495"/>
    <m/>
    <m/>
    <n v="0"/>
    <n v="0"/>
    <m/>
    <m/>
    <m/>
    <m/>
    <m/>
    <m/>
    <m/>
    <m/>
    <n v="0"/>
    <n v="0"/>
    <n v="0"/>
    <n v="404016601"/>
    <n v="460342894"/>
    <n v="510947214"/>
    <n v="645133050"/>
    <n v="200026903"/>
    <n v="466105424"/>
    <n v="563954276"/>
    <n v="320601667"/>
    <n v="328178305"/>
    <n v="309687259"/>
    <n v="278169496"/>
    <n v="1358969406"/>
    <n v="0"/>
    <n v="0"/>
    <n v="0"/>
    <n v="0"/>
  </r>
  <r>
    <s v=""/>
    <x v="0"/>
    <x v="5"/>
    <s v="TTQS"/>
    <x v="87"/>
    <s v="3050 MAY VHR911/S1"/>
    <x v="0"/>
    <x v="1"/>
    <x v="1"/>
    <m/>
    <n v="5261080468"/>
    <s v="4/2024"/>
    <d v="2024-12-01T00:00:00"/>
    <m/>
    <m/>
    <s v="PO-92348"/>
    <m/>
    <n v="2827953277"/>
    <n v="2827953277"/>
    <m/>
    <m/>
    <n v="0"/>
    <n v="0"/>
    <m/>
    <m/>
    <m/>
    <m/>
    <m/>
    <m/>
    <m/>
    <m/>
    <m/>
    <m/>
    <m/>
    <n v="286788652"/>
    <n v="263812703"/>
    <n v="297130804"/>
    <n v="292651949"/>
    <n v="122212287"/>
    <n v="168804290"/>
    <n v="243086488"/>
    <n v="156007013"/>
    <n v="121219612"/>
    <n v="102351091"/>
    <n v="132416948"/>
    <n v="641471440"/>
    <n v="0"/>
    <n v="0"/>
    <n v="0"/>
    <n v="0"/>
  </r>
  <r>
    <s v=""/>
    <x v="0"/>
    <x v="5"/>
    <s v="TTQS"/>
    <x v="88"/>
    <s v="3050 MAY VHR911/S1"/>
    <x v="0"/>
    <x v="1"/>
    <x v="1"/>
    <m/>
    <n v="1012431813"/>
    <s v="4/2024"/>
    <d v="2024-12-01T00:00:00"/>
    <m/>
    <m/>
    <s v="PO-92348"/>
    <m/>
    <n v="1213380997"/>
    <n v="1213380997"/>
    <m/>
    <m/>
    <n v="0"/>
    <n v="0"/>
    <m/>
    <m/>
    <m/>
    <m/>
    <m/>
    <m/>
    <m/>
    <m/>
    <m/>
    <m/>
    <m/>
    <n v="117227949"/>
    <n v="151941433"/>
    <n v="115589679"/>
    <n v="165246716"/>
    <n v="56288465"/>
    <n v="84011048"/>
    <n v="73140128"/>
    <n v="50526234"/>
    <n v="34025698"/>
    <n v="34783627"/>
    <n v="56924722"/>
    <n v="273675298"/>
    <n v="0"/>
    <n v="0"/>
    <n v="0"/>
    <n v="0"/>
  </r>
  <r>
    <s v=""/>
    <x v="0"/>
    <x v="5"/>
    <s v="TTSX"/>
    <x v="87"/>
    <s v="3050 MAY VHR911/S1"/>
    <x v="0"/>
    <x v="1"/>
    <x v="1"/>
    <m/>
    <m/>
    <s v="4/2024"/>
    <d v="2024-12-01T00:00:00"/>
    <m/>
    <m/>
    <s v="PO-92348"/>
    <m/>
    <n v="1139043457"/>
    <n v="1139043457"/>
    <m/>
    <m/>
    <n v="0"/>
    <n v="0"/>
    <m/>
    <m/>
    <m/>
    <m/>
    <m/>
    <m/>
    <m/>
    <m/>
    <m/>
    <m/>
    <m/>
    <m/>
    <n v="40129880"/>
    <n v="89434608"/>
    <n v="144725075"/>
    <n v="19522265"/>
    <n v="144032459"/>
    <n v="114027361"/>
    <n v="88427217"/>
    <n v="80590305"/>
    <n v="79209963"/>
    <n v="56098781"/>
    <n v="282845543"/>
    <n v="0"/>
    <n v="0"/>
    <n v="0"/>
    <n v="0"/>
  </r>
  <r>
    <s v=""/>
    <x v="0"/>
    <x v="5"/>
    <s v="TTSX"/>
    <x v="88"/>
    <s v="3050 MAY VHR911/S1"/>
    <x v="0"/>
    <x v="1"/>
    <x v="1"/>
    <m/>
    <m/>
    <s v="4/2024"/>
    <d v="2024-12-01T00:00:00"/>
    <m/>
    <m/>
    <s v="PO-92348"/>
    <m/>
    <n v="282722213"/>
    <n v="282722213"/>
    <m/>
    <m/>
    <n v="0"/>
    <n v="0"/>
    <m/>
    <m/>
    <m/>
    <m/>
    <m/>
    <m/>
    <m/>
    <m/>
    <m/>
    <m/>
    <m/>
    <m/>
    <n v="4458878"/>
    <n v="8792123"/>
    <n v="42509310"/>
    <n v="2003886"/>
    <n v="26304207"/>
    <n v="28506838"/>
    <n v="25641203"/>
    <n v="26863433"/>
    <n v="32446521"/>
    <n v="14094792"/>
    <n v="71101022"/>
    <n v="0"/>
    <n v="0"/>
    <n v="0"/>
    <n v="0"/>
  </r>
  <r>
    <s v=""/>
    <x v="0"/>
    <x v="5"/>
    <s v="ĐBCL"/>
    <x v="87"/>
    <s v="3050 MAY VHR911/S1"/>
    <x v="0"/>
    <x v="1"/>
    <x v="1"/>
    <m/>
    <m/>
    <s v="4/2024"/>
    <d v="2024-12-01T00:00:00"/>
    <m/>
    <m/>
    <s v="PO-92348"/>
    <m/>
    <n v="329074679"/>
    <n v="329074679"/>
    <m/>
    <m/>
    <n v="0"/>
    <n v="0"/>
    <m/>
    <m/>
    <m/>
    <m/>
    <m/>
    <m/>
    <m/>
    <m/>
    <m/>
    <m/>
    <m/>
    <m/>
    <m/>
    <m/>
    <m/>
    <m/>
    <n v="31008709"/>
    <n v="78438342"/>
    <m/>
    <n v="65479257"/>
    <n v="60896057"/>
    <n v="15996559"/>
    <n v="77255755"/>
    <n v="0"/>
    <n v="0"/>
    <n v="0"/>
    <n v="0"/>
  </r>
  <r>
    <s v=""/>
    <x v="0"/>
    <x v="5"/>
    <s v="ĐBCL"/>
    <x v="88"/>
    <s v="3050 MAY VHR911/S1"/>
    <x v="0"/>
    <x v="1"/>
    <x v="1"/>
    <m/>
    <m/>
    <s v="4/2024"/>
    <d v="2024-12-01T00:00:00"/>
    <m/>
    <m/>
    <s v="PO-92348"/>
    <m/>
    <n v="53957872"/>
    <n v="53957872"/>
    <m/>
    <m/>
    <n v="0"/>
    <n v="0"/>
    <m/>
    <m/>
    <m/>
    <m/>
    <m/>
    <m/>
    <m/>
    <m/>
    <m/>
    <m/>
    <m/>
    <m/>
    <m/>
    <m/>
    <m/>
    <m/>
    <n v="11944711"/>
    <n v="26755119"/>
    <m/>
    <m/>
    <m/>
    <n v="2637694"/>
    <n v="12620348"/>
    <n v="0"/>
    <n v="0"/>
    <n v="0"/>
    <n v="0"/>
  </r>
  <r>
    <n v="39"/>
    <x v="0"/>
    <x v="5"/>
    <s v="TTQS"/>
    <x v="89"/>
    <s v="2000 HE THONG THONG TIN (DU PHONG VIS)"/>
    <x v="0"/>
    <x v="0"/>
    <x v="0"/>
    <n v="1392895040060"/>
    <n v="23572687735.952385"/>
    <s v="4/2024"/>
    <d v="2027-03-01T00:00:00"/>
    <s v="namnk4@viettel.com.vn"/>
    <s v="tamdm5@viettel.com.vn"/>
    <s v="PO-92140"/>
    <n v="8430778943.9523849"/>
    <n v="15141908792"/>
    <n v="8699224906"/>
    <n v="1964866691"/>
    <n v="1757198048"/>
    <n v="1748894886"/>
    <n v="971724261"/>
    <m/>
    <m/>
    <m/>
    <m/>
    <m/>
    <m/>
    <m/>
    <m/>
    <n v="0"/>
    <n v="0"/>
    <n v="0"/>
    <n v="201676550"/>
    <n v="174608222"/>
    <n v="205992159"/>
    <n v="184784730"/>
    <n v="77515438"/>
    <n v="883502794"/>
    <n v="972288583"/>
    <n v="771294664"/>
    <n v="695039877"/>
    <n v="2114843555"/>
    <n v="419776472"/>
    <n v="1997901862"/>
    <n v="0"/>
    <n v="0"/>
    <m/>
    <m/>
  </r>
  <r>
    <s v=""/>
    <x v="0"/>
    <x v="5"/>
    <s v="TTQS"/>
    <x v="90"/>
    <s v="2000 HE THONG THONG TIN (MAY VRU812/S)"/>
    <x v="0"/>
    <x v="1"/>
    <x v="0"/>
    <m/>
    <n v="8857553155"/>
    <s v="4/2024"/>
    <d v="2027-03-01T00:00:00"/>
    <m/>
    <m/>
    <s v="PO-92140"/>
    <n v="3655690048"/>
    <n v="3796909321"/>
    <n v="2581327918"/>
    <n v="438217767"/>
    <n v="397644341"/>
    <n v="379719295"/>
    <n v="0"/>
    <m/>
    <m/>
    <m/>
    <m/>
    <m/>
    <m/>
    <m/>
    <m/>
    <m/>
    <m/>
    <m/>
    <n v="50601670"/>
    <n v="53505738"/>
    <n v="64143420"/>
    <n v="53480973"/>
    <n v="22261511"/>
    <n v="174033856"/>
    <n v="252575549"/>
    <n v="180327344"/>
    <n v="231638848"/>
    <n v="784124642"/>
    <n v="123335372"/>
    <n v="591298995"/>
    <n v="0"/>
    <n v="0"/>
    <n v="202596900.5"/>
    <n v="557141476.375"/>
  </r>
  <r>
    <s v=""/>
    <x v="0"/>
    <x v="5"/>
    <s v="CKTĐH"/>
    <x v="90"/>
    <s v="2000 HE THONG THONG TIN (MAY VRU812/S)"/>
    <x v="0"/>
    <x v="1"/>
    <x v="0"/>
    <m/>
    <m/>
    <s v="4/2024"/>
    <d v="2027-03-01T00:00:00"/>
    <m/>
    <m/>
    <s v="PO-92140"/>
    <m/>
    <n v="1642843"/>
    <n v="0"/>
    <n v="1642843"/>
    <m/>
    <n v="0"/>
    <n v="0"/>
    <m/>
    <m/>
    <m/>
    <m/>
    <m/>
    <m/>
    <m/>
    <m/>
    <m/>
    <m/>
    <m/>
    <m/>
    <m/>
    <m/>
    <m/>
    <m/>
    <m/>
    <m/>
    <m/>
    <m/>
    <m/>
    <m/>
    <m/>
    <m/>
    <n v="0"/>
    <n v="273807.16666666669"/>
    <n v="752969.70833333337"/>
  </r>
  <r>
    <s v=""/>
    <x v="0"/>
    <x v="5"/>
    <s v="ĐBCL"/>
    <x v="90"/>
    <s v="2000 HE THONG THONG TIN (MAY VRU812/S)"/>
    <x v="0"/>
    <x v="1"/>
    <x v="0"/>
    <m/>
    <m/>
    <s v="4/2024"/>
    <d v="2027-03-01T00:00:00"/>
    <m/>
    <m/>
    <s v="PO-92140"/>
    <m/>
    <n v="622846906"/>
    <n v="425545854"/>
    <n v="39172466"/>
    <n v="92937359"/>
    <n v="65191227"/>
    <n v="0"/>
    <m/>
    <m/>
    <m/>
    <m/>
    <m/>
    <m/>
    <m/>
    <m/>
    <m/>
    <m/>
    <m/>
    <m/>
    <m/>
    <m/>
    <m/>
    <m/>
    <n v="11923799"/>
    <n v="34428610"/>
    <n v="71587124"/>
    <m/>
    <n v="188182885"/>
    <n v="21566889"/>
    <n v="97856547"/>
    <n v="0"/>
    <n v="0"/>
    <n v="32883508.666666668"/>
    <n v="90429648.833333343"/>
  </r>
  <r>
    <s v=""/>
    <x v="0"/>
    <x v="5"/>
    <s v="KCB"/>
    <x v="90"/>
    <s v="2000 HE THONG THONG TIN (MAY VRU812/S)"/>
    <x v="0"/>
    <x v="1"/>
    <x v="0"/>
    <m/>
    <m/>
    <s v="4/2024"/>
    <d v="2027-03-01T00:00:00"/>
    <m/>
    <m/>
    <s v="PO-92140"/>
    <m/>
    <n v="133301067"/>
    <n v="133301067"/>
    <m/>
    <m/>
    <n v="0"/>
    <n v="0"/>
    <m/>
    <m/>
    <m/>
    <m/>
    <m/>
    <m/>
    <m/>
    <m/>
    <m/>
    <m/>
    <m/>
    <m/>
    <m/>
    <m/>
    <m/>
    <m/>
    <m/>
    <n v="99363669"/>
    <m/>
    <m/>
    <m/>
    <n v="6406005"/>
    <n v="27531393"/>
    <n v="0"/>
    <n v="0"/>
    <n v="0"/>
    <n v="0"/>
  </r>
  <r>
    <s v=""/>
    <x v="0"/>
    <x v="5"/>
    <s v="TTSX"/>
    <x v="90"/>
    <s v="2000 HE THONG THONG TIN (MAY VRU812/S)"/>
    <x v="0"/>
    <x v="1"/>
    <x v="0"/>
    <m/>
    <m/>
    <s v="4/2024"/>
    <d v="2027-03-01T00:00:00"/>
    <m/>
    <m/>
    <s v="PO-92140"/>
    <m/>
    <n v="629323906"/>
    <n v="558195489"/>
    <n v="71128417"/>
    <m/>
    <n v="0"/>
    <n v="0"/>
    <m/>
    <m/>
    <m/>
    <m/>
    <m/>
    <m/>
    <m/>
    <m/>
    <m/>
    <m/>
    <m/>
    <m/>
    <m/>
    <m/>
    <m/>
    <m/>
    <m/>
    <n v="68555909"/>
    <n v="76460420"/>
    <n v="77967658"/>
    <n v="169616495"/>
    <n v="27774401"/>
    <n v="137820606"/>
    <n v="0"/>
    <n v="0"/>
    <n v="11854736.166666666"/>
    <n v="32600524.458333332"/>
  </r>
  <r>
    <s v=""/>
    <x v="0"/>
    <x v="5"/>
    <s v="KD ĐH"/>
    <x v="90"/>
    <s v="2000 HE THONG THONG TIN (MAY VRU812/S)"/>
    <x v="0"/>
    <x v="1"/>
    <x v="0"/>
    <m/>
    <m/>
    <s v="4/2024"/>
    <d v="2027-03-01T00:00:00"/>
    <m/>
    <m/>
    <s v="PO-92140"/>
    <m/>
    <n v="17839064"/>
    <m/>
    <m/>
    <m/>
    <n v="17839064"/>
    <n v="0"/>
    <m/>
    <m/>
    <m/>
    <m/>
    <m/>
    <m/>
    <m/>
    <m/>
    <m/>
    <m/>
    <m/>
    <m/>
    <m/>
    <m/>
    <m/>
    <m/>
    <m/>
    <n v="68555909"/>
    <n v="76460420"/>
    <n v="77967658"/>
    <n v="169616495"/>
    <n v="27774401"/>
    <n v="137820606"/>
    <n v="0"/>
    <n v="0"/>
    <n v="2973177.3333333335"/>
    <n v="8176237.666666667"/>
  </r>
  <r>
    <s v=""/>
    <x v="0"/>
    <x v="5"/>
    <s v="TTQS"/>
    <x v="91"/>
    <s v="2000 HE THONG THONG TIN (DU PHONG VRU812/S)"/>
    <x v="0"/>
    <x v="1"/>
    <x v="0"/>
    <m/>
    <n v="2794023903"/>
    <s v="4/2024"/>
    <d v="2027-03-01T00:00:00"/>
    <m/>
    <m/>
    <s v="PO-92140"/>
    <n v="-530108304"/>
    <n v="3002614723"/>
    <n v="1459496150"/>
    <n v="381911574"/>
    <n v="385471551"/>
    <n v="369548110"/>
    <n v="406187338"/>
    <m/>
    <m/>
    <m/>
    <m/>
    <m/>
    <m/>
    <m/>
    <m/>
    <m/>
    <m/>
    <m/>
    <n v="66602637"/>
    <n v="50459369"/>
    <n v="60302911"/>
    <n v="48239666"/>
    <n v="23520167"/>
    <n v="275426713"/>
    <n v="224917181"/>
    <n v="125681300"/>
    <n v="139640987"/>
    <n v="45092614"/>
    <n v="69558471"/>
    <n v="330054134"/>
    <n v="0"/>
    <n v="0"/>
    <n v="257186428.83333334"/>
    <n v="707262679.29166675"/>
  </r>
  <r>
    <s v=""/>
    <x v="0"/>
    <x v="5"/>
    <s v="TTSX"/>
    <x v="91"/>
    <s v="2000 HE THONG THONG TIN (DU PHONG VRU812/S)"/>
    <x v="0"/>
    <x v="1"/>
    <x v="0"/>
    <m/>
    <m/>
    <s v="4/2024"/>
    <d v="2027-03-01T00:00:00"/>
    <m/>
    <m/>
    <s v="PO-92140"/>
    <m/>
    <n v="166316173"/>
    <n v="114055019"/>
    <n v="52261154"/>
    <m/>
    <n v="0"/>
    <n v="0"/>
    <m/>
    <m/>
    <m/>
    <m/>
    <m/>
    <m/>
    <m/>
    <m/>
    <m/>
    <m/>
    <m/>
    <m/>
    <m/>
    <m/>
    <m/>
    <m/>
    <m/>
    <m/>
    <n v="29512234"/>
    <n v="32322923"/>
    <n v="19616634"/>
    <n v="406345"/>
    <n v="32196883"/>
    <n v="0"/>
    <n v="0"/>
    <n v="8710192.333333334"/>
    <n v="23953028.916666668"/>
  </r>
  <r>
    <s v=""/>
    <x v="0"/>
    <x v="5"/>
    <s v="ĐBCL"/>
    <x v="91"/>
    <s v="2000 HE THONG THONG TIN (DU PHONG VRU812/S)"/>
    <x v="0"/>
    <x v="1"/>
    <x v="0"/>
    <m/>
    <m/>
    <s v="4/2024"/>
    <d v="2027-03-01T00:00:00"/>
    <m/>
    <m/>
    <s v="PO-92140"/>
    <m/>
    <n v="155201311"/>
    <n v="110580274"/>
    <m/>
    <m/>
    <n v="0"/>
    <n v="44621037"/>
    <n v="44621037"/>
    <n v="44621037"/>
    <n v="44621037"/>
    <n v="44621037"/>
    <n v="44621037"/>
    <n v="44621037"/>
    <n v="44621037"/>
    <n v="44621037"/>
    <m/>
    <m/>
    <m/>
    <m/>
    <m/>
    <m/>
    <m/>
    <m/>
    <n v="27377605"/>
    <n v="22952408"/>
    <m/>
    <n v="28336101"/>
    <m/>
    <n v="5346989"/>
    <n v="26567171"/>
    <n v="0"/>
    <n v="0"/>
    <n v="22310518.5"/>
    <n v="184061777.625"/>
  </r>
  <r>
    <s v=""/>
    <x v="0"/>
    <x v="5"/>
    <s v="TTQS"/>
    <x v="92"/>
    <s v="2000 HE THONG THONG TIN (BO THONG THOAI SO VIS)"/>
    <x v="0"/>
    <x v="1"/>
    <x v="0"/>
    <m/>
    <n v="5461453511"/>
    <s v="4/2024"/>
    <d v="2027-03-01T00:00:00"/>
    <m/>
    <m/>
    <s v="PO-92140"/>
    <n v="2073002876"/>
    <n v="2740429494"/>
    <n v="1958172793"/>
    <n v="14265628"/>
    <n v="392913674"/>
    <n v="375077399"/>
    <n v="0"/>
    <m/>
    <m/>
    <m/>
    <m/>
    <m/>
    <m/>
    <m/>
    <m/>
    <m/>
    <m/>
    <m/>
    <n v="43535503"/>
    <n v="20183746"/>
    <n v="35951960"/>
    <n v="48239666"/>
    <n v="13211500"/>
    <n v="253883676"/>
    <n v="168449820"/>
    <n v="159304842"/>
    <n v="116367492"/>
    <n v="560944152"/>
    <n v="94045396"/>
    <n v="444055040"/>
    <n v="0"/>
    <n v="0"/>
    <n v="130376116.83333333"/>
    <n v="358534321.29166663"/>
  </r>
  <r>
    <s v=""/>
    <x v="0"/>
    <x v="5"/>
    <s v="ĐBCL"/>
    <x v="92"/>
    <s v="2000 HE THONG THONG TIN (BO THONG THOAI SO VIS)"/>
    <x v="0"/>
    <x v="1"/>
    <x v="0"/>
    <m/>
    <m/>
    <s v="4/2024"/>
    <d v="2027-03-01T00:00:00"/>
    <m/>
    <m/>
    <s v="PO-92140"/>
    <m/>
    <n v="612338542"/>
    <n v="353960144"/>
    <n v="38428595"/>
    <n v="113419945"/>
    <n v="106529858"/>
    <n v="0"/>
    <m/>
    <m/>
    <m/>
    <m/>
    <m/>
    <m/>
    <m/>
    <m/>
    <m/>
    <m/>
    <m/>
    <m/>
    <m/>
    <m/>
    <m/>
    <m/>
    <n v="21625964"/>
    <n v="38363646"/>
    <m/>
    <m/>
    <n v="192000329"/>
    <n v="17609327"/>
    <n v="84360878"/>
    <n v="0"/>
    <n v="0"/>
    <n v="43063066.333333336"/>
    <n v="118423432.41666667"/>
  </r>
  <r>
    <s v=""/>
    <x v="0"/>
    <x v="5"/>
    <s v="KCB"/>
    <x v="92"/>
    <s v="2000 HE THONG THONG TIN (BO THONG THOAI SO VIS)"/>
    <x v="0"/>
    <x v="1"/>
    <x v="0"/>
    <m/>
    <m/>
    <s v="4/2024"/>
    <d v="2027-03-01T00:00:00"/>
    <m/>
    <m/>
    <s v="PO-92140"/>
    <m/>
    <n v="35682599"/>
    <n v="35682599"/>
    <m/>
    <m/>
    <n v="0"/>
    <n v="0"/>
    <m/>
    <m/>
    <m/>
    <m/>
    <m/>
    <m/>
    <m/>
    <m/>
    <m/>
    <m/>
    <m/>
    <m/>
    <m/>
    <m/>
    <m/>
    <m/>
    <m/>
    <n v="28290287"/>
    <m/>
    <m/>
    <m/>
    <n v="1624189"/>
    <n v="5768123"/>
    <n v="0"/>
    <n v="0"/>
    <n v="0"/>
    <n v="0"/>
  </r>
  <r>
    <s v=""/>
    <x v="0"/>
    <x v="5"/>
    <s v="TTSX"/>
    <x v="92"/>
    <s v="2000 HE THONG THONG TIN (BO THONG THOAI SO VIS)"/>
    <x v="0"/>
    <x v="1"/>
    <x v="0"/>
    <m/>
    <m/>
    <s v="4/2024"/>
    <d v="2027-03-01T00:00:00"/>
    <m/>
    <m/>
    <s v="PO-92140"/>
    <m/>
    <n v="250459148"/>
    <n v="209067894"/>
    <n v="41391254"/>
    <m/>
    <n v="0"/>
    <n v="0"/>
    <m/>
    <m/>
    <m/>
    <m/>
    <m/>
    <m/>
    <m/>
    <m/>
    <m/>
    <m/>
    <m/>
    <m/>
    <m/>
    <m/>
    <m/>
    <m/>
    <m/>
    <m/>
    <n v="18450867"/>
    <n v="20208084"/>
    <n v="108253795"/>
    <n v="10370736"/>
    <n v="51784412"/>
    <n v="0"/>
    <n v="0"/>
    <n v="6898542.333333333"/>
    <n v="18970991.416666664"/>
  </r>
  <r>
    <s v=""/>
    <x v="0"/>
    <x v="5"/>
    <s v="TTQS"/>
    <x v="93"/>
    <s v="2000 HE THONG THONG TIN (DU PHONG VIS)"/>
    <x v="0"/>
    <x v="1"/>
    <x v="0"/>
    <m/>
    <n v="2345221443"/>
    <s v="4/2024"/>
    <d v="2027-03-01T00:00:00"/>
    <m/>
    <m/>
    <s v="PO-92140"/>
    <n v="-631782252"/>
    <n v="2806534665"/>
    <n v="725693409"/>
    <n v="791348768"/>
    <n v="374811178"/>
    <n v="434989933"/>
    <n v="479691377"/>
    <m/>
    <m/>
    <m/>
    <m/>
    <m/>
    <m/>
    <m/>
    <m/>
    <m/>
    <m/>
    <m/>
    <n v="40936740"/>
    <n v="50459369"/>
    <n v="45593868"/>
    <n v="34824425"/>
    <n v="18522260"/>
    <n v="108512117"/>
    <n v="30566100"/>
    <n v="108134591"/>
    <n v="46546990"/>
    <n v="45092615"/>
    <n v="34850740"/>
    <n v="161653594"/>
    <n v="0"/>
    <n v="0"/>
    <n v="346806876"/>
    <n v="953718909"/>
  </r>
  <r>
    <s v=""/>
    <x v="0"/>
    <x v="5"/>
    <s v="CKTĐH"/>
    <x v="93"/>
    <s v="2000 HE THONG THONG TIN (DU PHONG VIS)"/>
    <x v="0"/>
    <x v="1"/>
    <x v="0"/>
    <m/>
    <m/>
    <s v="4/2024"/>
    <d v="2027-03-01T00:00:00"/>
    <m/>
    <m/>
    <s v="PO-92140"/>
    <m/>
    <n v="8214213"/>
    <n v="0"/>
    <n v="8214213"/>
    <m/>
    <n v="0"/>
    <n v="0"/>
    <m/>
    <m/>
    <m/>
    <m/>
    <m/>
    <m/>
    <m/>
    <m/>
    <m/>
    <m/>
    <m/>
    <m/>
    <m/>
    <m/>
    <m/>
    <m/>
    <m/>
    <m/>
    <m/>
    <m/>
    <m/>
    <m/>
    <m/>
    <m/>
    <n v="0"/>
    <n v="1369035.5"/>
    <n v="3764847.625"/>
  </r>
  <r>
    <s v=""/>
    <x v="0"/>
    <x v="5"/>
    <s v="ĐBCL"/>
    <x v="93"/>
    <s v="2000 HE THONG THONG TIN (DU PHONG VIS)"/>
    <x v="0"/>
    <x v="1"/>
    <x v="0"/>
    <m/>
    <m/>
    <s v="4/2024"/>
    <d v="2027-03-01T00:00:00"/>
    <m/>
    <m/>
    <s v="PO-92140"/>
    <m/>
    <n v="61696931"/>
    <n v="20472422"/>
    <m/>
    <m/>
    <n v="0"/>
    <n v="41224509"/>
    <n v="41224509"/>
    <n v="41224509"/>
    <n v="41224509"/>
    <n v="41224509"/>
    <n v="41224509"/>
    <n v="41224509"/>
    <n v="41224509"/>
    <n v="41224509"/>
    <m/>
    <m/>
    <m/>
    <m/>
    <m/>
    <m/>
    <m/>
    <m/>
    <n v="10719064"/>
    <n v="3825404"/>
    <m/>
    <m/>
    <m/>
    <n v="1002294"/>
    <n v="4925660"/>
    <n v="0"/>
    <n v="0"/>
    <n v="20612254.5"/>
    <n v="170051099.625"/>
  </r>
  <r>
    <s v=""/>
    <x v="0"/>
    <x v="5"/>
    <s v="TTSX"/>
    <x v="93"/>
    <s v="2000 HE THONG THONG TIN (DU PHONG VIS)"/>
    <x v="0"/>
    <x v="1"/>
    <x v="0"/>
    <m/>
    <m/>
    <s v="4/2024"/>
    <d v="2027-03-01T00:00:00"/>
    <m/>
    <m/>
    <s v="PO-92140"/>
    <m/>
    <n v="100557886"/>
    <n v="13673874"/>
    <n v="86884012"/>
    <m/>
    <n v="0"/>
    <n v="0"/>
    <m/>
    <m/>
    <m/>
    <m/>
    <m/>
    <m/>
    <m/>
    <m/>
    <m/>
    <m/>
    <m/>
    <m/>
    <m/>
    <m/>
    <m/>
    <m/>
    <m/>
    <m/>
    <n v="1835942"/>
    <n v="2010794"/>
    <n v="1919394"/>
    <n v="5879318"/>
    <n v="2028426"/>
    <n v="0"/>
    <n v="0"/>
    <n v="14480668.666666666"/>
    <n v="39821838.833333328"/>
  </r>
  <r>
    <s v=""/>
    <x v="0"/>
    <x v="5"/>
    <s v="TTQS"/>
    <x v="94"/>
    <s v="2000 HE THONG THONG TIN (TICH HOP XE)"/>
    <x v="0"/>
    <x v="1"/>
    <x v="0"/>
    <m/>
    <n v="2079057271"/>
    <s v="4/2024"/>
    <d v="2027-03-01T00:00:00"/>
    <m/>
    <m/>
    <s v="PO-92140"/>
    <n v="2079057271"/>
    <n v="0"/>
    <m/>
    <m/>
    <m/>
    <n v="0"/>
    <n v="0"/>
    <m/>
    <m/>
    <m/>
    <m/>
    <m/>
    <m/>
    <m/>
    <m/>
    <m/>
    <m/>
    <m/>
    <n v="40936740"/>
    <n v="50459369"/>
    <n v="45593868"/>
    <n v="34824425"/>
    <n v="18522260"/>
    <n v="108512117"/>
    <n v="30566100"/>
    <n v="108134591"/>
    <n v="46546990"/>
    <n v="45092615"/>
    <n v="34850740"/>
    <n v="161653594"/>
    <n v="0"/>
    <n v="0"/>
    <n v="0"/>
    <n v="0"/>
  </r>
  <r>
    <s v=""/>
    <x v="0"/>
    <x v="5"/>
    <s v="TTQS"/>
    <x v="90"/>
    <s v="2000 HE THONG THONG TIN (MAY VRU812/S)"/>
    <x v="1"/>
    <x v="1"/>
    <x v="0"/>
    <m/>
    <n v="864283873.27333748"/>
    <s v="4/2024"/>
    <d v="2029-03-01T00:00:00"/>
    <m/>
    <m/>
    <s v="PO-92140"/>
    <n v="864283873.27333748"/>
    <n v="0"/>
    <m/>
    <m/>
    <m/>
    <n v="0"/>
    <n v="0"/>
    <m/>
    <m/>
    <m/>
    <m/>
    <m/>
    <m/>
    <m/>
    <m/>
    <m/>
    <m/>
    <m/>
    <n v="50601670"/>
    <n v="53505738"/>
    <n v="64143420"/>
    <n v="53480973"/>
    <n v="22261511"/>
    <n v="174033856"/>
    <n v="252575549"/>
    <n v="180327344"/>
    <n v="231638848"/>
    <n v="784124642"/>
    <n v="123335372"/>
    <n v="591298995"/>
    <n v="0"/>
    <n v="0"/>
    <n v="0"/>
    <n v="0"/>
  </r>
  <r>
    <s v=""/>
    <x v="0"/>
    <x v="5"/>
    <s v="TTQS"/>
    <x v="91"/>
    <s v="2000 HE THONG THONG TIN (DU PHONG VRU812/S)"/>
    <x v="1"/>
    <x v="1"/>
    <x v="0"/>
    <m/>
    <n v="321618340.63291788"/>
    <s v="4/2024"/>
    <d v="2029-03-01T00:00:00"/>
    <m/>
    <m/>
    <s v="PO-92140"/>
    <n v="321618340.63291788"/>
    <n v="0"/>
    <m/>
    <m/>
    <m/>
    <n v="0"/>
    <n v="0"/>
    <m/>
    <m/>
    <m/>
    <m/>
    <m/>
    <m/>
    <m/>
    <m/>
    <m/>
    <m/>
    <m/>
    <n v="66602637"/>
    <n v="50459369"/>
    <n v="60302911"/>
    <n v="48239666"/>
    <n v="23520167"/>
    <n v="275426713"/>
    <n v="224917181"/>
    <n v="125681300"/>
    <n v="139640987"/>
    <n v="45092614"/>
    <n v="69558471"/>
    <n v="330054134"/>
    <n v="0"/>
    <n v="0"/>
    <n v="0"/>
    <n v="0"/>
  </r>
  <r>
    <s v=""/>
    <x v="0"/>
    <x v="5"/>
    <s v="TTQS"/>
    <x v="92"/>
    <s v="2000 HE THONG THONG TIN (BO THONG THOAI SO VIS)"/>
    <x v="1"/>
    <x v="1"/>
    <x v="0"/>
    <m/>
    <n v="567499619.8059268"/>
    <s v="4/2024"/>
    <d v="2029-03-01T00:00:00"/>
    <m/>
    <m/>
    <s v="PO-92140"/>
    <n v="567499619.8059268"/>
    <n v="0"/>
    <m/>
    <m/>
    <m/>
    <n v="0"/>
    <n v="0"/>
    <m/>
    <m/>
    <m/>
    <m/>
    <m/>
    <m/>
    <m/>
    <m/>
    <m/>
    <m/>
    <m/>
    <n v="43535503"/>
    <n v="20183746"/>
    <n v="35951960"/>
    <n v="48239666"/>
    <n v="13211500"/>
    <n v="253883676"/>
    <n v="168449820"/>
    <n v="159304842"/>
    <n v="116367492"/>
    <n v="560944152"/>
    <n v="94045396"/>
    <n v="444055040"/>
    <n v="0"/>
    <n v="0"/>
    <n v="0"/>
    <n v="0"/>
  </r>
  <r>
    <s v=""/>
    <x v="0"/>
    <x v="5"/>
    <s v="TTQS"/>
    <x v="93"/>
    <s v="2000 HE THONG THONG TIN (DU PHONG VIS)"/>
    <x v="1"/>
    <x v="1"/>
    <x v="0"/>
    <m/>
    <n v="281976619.24019867"/>
    <s v="4/2024"/>
    <d v="2029-03-01T00:00:00"/>
    <m/>
    <m/>
    <s v="PO-92140"/>
    <n v="281976619.24019867"/>
    <n v="0"/>
    <m/>
    <m/>
    <m/>
    <n v="0"/>
    <n v="0"/>
    <m/>
    <m/>
    <m/>
    <m/>
    <m/>
    <m/>
    <m/>
    <m/>
    <m/>
    <m/>
    <m/>
    <n v="40936740"/>
    <n v="50459369"/>
    <n v="45593868"/>
    <n v="34824425"/>
    <n v="18522260"/>
    <n v="108512117"/>
    <n v="30566100"/>
    <n v="108134591"/>
    <n v="46546990"/>
    <n v="45092615"/>
    <n v="34850740"/>
    <n v="161653594"/>
    <n v="0"/>
    <n v="0"/>
    <n v="0"/>
    <n v="0"/>
  </r>
  <r>
    <s v=""/>
    <x v="0"/>
    <x v="5"/>
    <s v="TTQS"/>
    <x v="94"/>
    <s v="2000 HE THONG THONG TIN (TICH HOP XE)"/>
    <x v="1"/>
    <x v="1"/>
    <x v="0"/>
    <m/>
    <m/>
    <s v="4/2024"/>
    <d v="2029-03-01T00:00:00"/>
    <m/>
    <m/>
    <s v="PO-92140"/>
    <m/>
    <n v="0"/>
    <m/>
    <m/>
    <m/>
    <n v="0"/>
    <n v="0"/>
    <m/>
    <m/>
    <m/>
    <m/>
    <m/>
    <m/>
    <m/>
    <m/>
    <m/>
    <m/>
    <m/>
    <n v="40936740"/>
    <n v="50459369"/>
    <n v="45593868"/>
    <n v="34824425"/>
    <n v="18522260"/>
    <n v="108512117"/>
    <n v="30566100"/>
    <n v="108134591"/>
    <n v="46546990"/>
    <n v="45092615"/>
    <n v="34850740"/>
    <n v="161653594"/>
    <n v="0"/>
    <n v="0"/>
    <n v="0"/>
    <n v="0"/>
  </r>
  <r>
    <s v=""/>
    <x v="0"/>
    <x v="5"/>
    <s v="TTQS"/>
    <x v="89"/>
    <s v="2000 HE THONG THONG TIN (DU PHONG VIS)"/>
    <x v="2"/>
    <x v="1"/>
    <x v="0"/>
    <m/>
    <m/>
    <d v="2027-03-01T00:00:00"/>
    <d v="2029-03-01T00:00:00"/>
    <m/>
    <m/>
    <s v="PO-92140"/>
    <m/>
    <n v="0"/>
    <m/>
    <m/>
    <m/>
    <n v="0"/>
    <n v="0"/>
    <m/>
    <m/>
    <m/>
    <m/>
    <m/>
    <m/>
    <m/>
    <m/>
    <m/>
    <m/>
    <m/>
    <n v="40936740"/>
    <n v="50459369"/>
    <n v="45593868"/>
    <n v="34824425"/>
    <n v="18522260"/>
    <n v="108512117"/>
    <n v="30566100"/>
    <n v="108134591"/>
    <n v="46546990"/>
    <n v="45092615"/>
    <n v="34850740"/>
    <n v="161653594"/>
    <n v="0"/>
    <n v="0"/>
    <n v="0"/>
    <n v="0"/>
  </r>
  <r>
    <n v="40"/>
    <x v="0"/>
    <x v="5"/>
    <s v="TTQS"/>
    <x v="95"/>
    <s v="160 MAY VRP712/S"/>
    <x v="0"/>
    <x v="0"/>
    <x v="0"/>
    <n v="110685538926.21306"/>
    <n v="6291862054.5931807"/>
    <s v="3/2024"/>
    <s v="5/2025"/>
    <s v="thanhdd9@viettel.com.vn"/>
    <s v="tamdm5@viettel.com.vn"/>
    <s v="PO-92347"/>
    <n v="2151590138.5931807"/>
    <n v="4140271916"/>
    <n v="3958850759"/>
    <n v="0"/>
    <n v="129835479"/>
    <n v="51585678"/>
    <n v="0"/>
    <m/>
    <m/>
    <m/>
    <m/>
    <m/>
    <m/>
    <m/>
    <m/>
    <n v="0"/>
    <n v="0"/>
    <n v="0"/>
    <n v="292434088"/>
    <n v="371282612"/>
    <n v="342943648"/>
    <n v="346667536"/>
    <n v="145058480"/>
    <n v="281843268"/>
    <n v="277123130"/>
    <n v="338115639"/>
    <n v="353478913"/>
    <n v="124780477"/>
    <n v="189405699"/>
    <n v="895717269"/>
    <n v="0"/>
    <n v="0"/>
    <m/>
    <m/>
  </r>
  <r>
    <s v=""/>
    <x v="0"/>
    <x v="5"/>
    <s v="TTQS"/>
    <x v="96"/>
    <s v="160 MAY VRP712/S"/>
    <x v="0"/>
    <x v="1"/>
    <x v="0"/>
    <m/>
    <n v="3739835272.5398312"/>
    <s v="3/2024"/>
    <s v="5/2025"/>
    <m/>
    <m/>
    <s v="PO-92347"/>
    <n v="1316740828.5398312"/>
    <n v="1707264729"/>
    <n v="1707264729"/>
    <m/>
    <m/>
    <n v="0"/>
    <n v="0"/>
    <m/>
    <m/>
    <m/>
    <m/>
    <m/>
    <m/>
    <m/>
    <m/>
    <m/>
    <m/>
    <m/>
    <n v="146301404"/>
    <n v="172540756"/>
    <n v="97975131"/>
    <n v="179178581"/>
    <n v="60259905"/>
    <n v="94792879"/>
    <n v="123599449"/>
    <n v="137320567"/>
    <n v="180929316"/>
    <n v="45798089"/>
    <n v="81431617"/>
    <n v="387137035"/>
    <n v="0"/>
    <n v="0"/>
    <n v="0"/>
    <n v="0"/>
  </r>
  <r>
    <s v=""/>
    <x v="0"/>
    <x v="5"/>
    <s v="KD ĐH"/>
    <x v="96"/>
    <s v="160 MAY VRP712/S"/>
    <x v="0"/>
    <x v="1"/>
    <x v="0"/>
    <m/>
    <m/>
    <s v="3/2024"/>
    <s v="5/2025"/>
    <m/>
    <m/>
    <s v="PO-92347"/>
    <m/>
    <n v="0"/>
    <n v="0"/>
    <m/>
    <m/>
    <n v="0"/>
    <n v="0"/>
    <m/>
    <m/>
    <m/>
    <m/>
    <m/>
    <m/>
    <m/>
    <m/>
    <m/>
    <m/>
    <m/>
    <m/>
    <m/>
    <m/>
    <m/>
    <m/>
    <m/>
    <m/>
    <m/>
    <m/>
    <m/>
    <m/>
    <m/>
    <n v="0"/>
    <n v="0"/>
    <n v="0"/>
    <n v="0"/>
  </r>
  <r>
    <s v=""/>
    <x v="0"/>
    <x v="5"/>
    <s v="TTSX"/>
    <x v="96"/>
    <s v="160 MAY VRP712/S"/>
    <x v="0"/>
    <x v="1"/>
    <x v="0"/>
    <m/>
    <m/>
    <s v="3/2024"/>
    <s v="5/2025"/>
    <m/>
    <m/>
    <s v="PO-92347"/>
    <m/>
    <n v="715829715"/>
    <n v="715829715"/>
    <m/>
    <m/>
    <n v="0"/>
    <n v="0"/>
    <m/>
    <m/>
    <m/>
    <m/>
    <m/>
    <m/>
    <m/>
    <m/>
    <m/>
    <m/>
    <m/>
    <m/>
    <n v="58705219"/>
    <n v="119497135"/>
    <n v="69413759"/>
    <n v="26031765"/>
    <n v="52558271"/>
    <n v="52872074"/>
    <n v="46423250"/>
    <n v="47914882"/>
    <n v="45743899"/>
    <n v="35036750"/>
    <n v="161632711"/>
    <n v="0"/>
    <n v="0"/>
    <n v="0"/>
    <n v="0"/>
  </r>
  <r>
    <s v=""/>
    <x v="0"/>
    <x v="5"/>
    <s v="TTQS"/>
    <x v="97"/>
    <s v="160 MAY VRP712/S (ZIP)"/>
    <x v="0"/>
    <x v="1"/>
    <x v="0"/>
    <m/>
    <n v="656304443.43516874"/>
    <s v="3/2024"/>
    <s v="5/2025"/>
    <m/>
    <m/>
    <s v="PO-92347"/>
    <n v="-879451871.56483126"/>
    <n v="1471110458"/>
    <n v="1471110458"/>
    <m/>
    <m/>
    <n v="0"/>
    <n v="0"/>
    <m/>
    <m/>
    <m/>
    <m/>
    <m/>
    <m/>
    <m/>
    <m/>
    <m/>
    <m/>
    <m/>
    <n v="146132684"/>
    <n v="140036637"/>
    <n v="125471382"/>
    <n v="98075196"/>
    <n v="58766810"/>
    <n v="134492118"/>
    <n v="100651607"/>
    <n v="140532370"/>
    <n v="109477221"/>
    <n v="15971768"/>
    <n v="69618096"/>
    <n v="331884569"/>
    <n v="0"/>
    <n v="0"/>
    <n v="0"/>
    <n v="0"/>
  </r>
  <r>
    <s v=""/>
    <x v="0"/>
    <x v="5"/>
    <s v="TTSX"/>
    <x v="97"/>
    <s v="160 MAY VRP712/S (ZIP)"/>
    <x v="0"/>
    <x v="1"/>
    <x v="0"/>
    <m/>
    <m/>
    <s v="3/2024"/>
    <s v="5/2025"/>
    <m/>
    <m/>
    <s v="PO-92347"/>
    <m/>
    <n v="64645857"/>
    <n v="64645857"/>
    <m/>
    <m/>
    <n v="0"/>
    <n v="0"/>
    <m/>
    <m/>
    <m/>
    <m/>
    <m/>
    <m/>
    <m/>
    <m/>
    <m/>
    <m/>
    <m/>
    <m/>
    <m/>
    <m/>
    <m/>
    <m/>
    <m/>
    <m/>
    <n v="13839452"/>
    <n v="15157494"/>
    <n v="17266721"/>
    <n v="3319236"/>
    <n v="15062954"/>
    <n v="0"/>
    <n v="0"/>
    <n v="0"/>
    <n v="0"/>
  </r>
  <r>
    <s v=""/>
    <x v="0"/>
    <x v="5"/>
    <s v="TTSX"/>
    <x v="96"/>
    <s v="160 MAY VRP712/S"/>
    <x v="1"/>
    <x v="1"/>
    <x v="0"/>
    <m/>
    <n v="1687192881.3701804"/>
    <s v="5/2025"/>
    <d v="2027-05-01T00:00:00"/>
    <m/>
    <m/>
    <s v="PO-92347"/>
    <n v="1576463888.3701804"/>
    <n v="100382298"/>
    <n v="0"/>
    <m/>
    <n v="74427963"/>
    <n v="25954335"/>
    <n v="0"/>
    <m/>
    <m/>
    <m/>
    <m/>
    <m/>
    <m/>
    <m/>
    <m/>
    <m/>
    <m/>
    <m/>
    <m/>
    <m/>
    <m/>
    <m/>
    <m/>
    <m/>
    <m/>
    <m/>
    <m/>
    <m/>
    <m/>
    <m/>
    <n v="0"/>
    <n v="0"/>
    <n v="16730383"/>
    <n v="46008553.25"/>
  </r>
  <r>
    <s v=""/>
    <x v="0"/>
    <x v="5"/>
    <s v="KD ĐH"/>
    <x v="96"/>
    <s v="160 MAY VRP712/S"/>
    <x v="1"/>
    <x v="1"/>
    <x v="0"/>
    <m/>
    <m/>
    <s v="5/2025"/>
    <d v="2027-05-01T00:00:00"/>
    <m/>
    <m/>
    <s v="PO-92347"/>
    <m/>
    <n v="10346695"/>
    <n v="0"/>
    <m/>
    <m/>
    <n v="10346695"/>
    <n v="0"/>
    <m/>
    <m/>
    <m/>
    <m/>
    <m/>
    <m/>
    <m/>
    <m/>
    <m/>
    <m/>
    <m/>
    <m/>
    <m/>
    <m/>
    <m/>
    <m/>
    <m/>
    <m/>
    <m/>
    <m/>
    <m/>
    <m/>
    <m/>
    <n v="0"/>
    <n v="0"/>
    <n v="1724449.1666666667"/>
    <n v="4742235.208333334"/>
  </r>
  <r>
    <s v=""/>
    <x v="0"/>
    <x v="5"/>
    <s v="TTSX"/>
    <x v="97"/>
    <s v="160 MAY VRP712/S (ZIP)"/>
    <x v="1"/>
    <x v="1"/>
    <x v="0"/>
    <m/>
    <n v="208529457.24799982"/>
    <s v="5/2025"/>
    <d v="2027-05-01T00:00:00"/>
    <m/>
    <m/>
    <s v="PO-92347"/>
    <n v="137837293.24799982"/>
    <n v="70692164"/>
    <n v="0"/>
    <m/>
    <n v="55407516"/>
    <n v="15284648"/>
    <n v="0"/>
    <m/>
    <m/>
    <m/>
    <m/>
    <m/>
    <m/>
    <m/>
    <m/>
    <m/>
    <m/>
    <m/>
    <m/>
    <m/>
    <m/>
    <m/>
    <m/>
    <m/>
    <m/>
    <m/>
    <m/>
    <m/>
    <m/>
    <m/>
    <n v="0"/>
    <n v="0"/>
    <n v="11782027.333333334"/>
    <n v="32400575.166666668"/>
  </r>
  <r>
    <n v="41"/>
    <x v="0"/>
    <x v="5"/>
    <s v="TTQS"/>
    <x v="98"/>
    <s v="55 XE CHI HUY"/>
    <x v="0"/>
    <x v="0"/>
    <x v="0"/>
    <n v="558540517843.76001"/>
    <n v="4653933808"/>
    <d v="2024-05-01T00:00:00"/>
    <s v="2/2026"/>
    <s v="anhpnq@viettel.com.vn"/>
    <s v="tamdm5@viettel.com.vn"/>
    <s v="PO-92146"/>
    <n v="2440152470"/>
    <n v="2213781338"/>
    <n v="1349780114"/>
    <n v="185937829"/>
    <n v="200033689"/>
    <n v="167516301"/>
    <n v="310513405"/>
    <m/>
    <m/>
    <m/>
    <m/>
    <m/>
    <m/>
    <m/>
    <m/>
    <n v="0"/>
    <n v="0"/>
    <n v="0"/>
    <n v="0"/>
    <n v="0"/>
    <n v="0"/>
    <n v="0"/>
    <n v="0"/>
    <n v="88694919"/>
    <n v="204090770"/>
    <n v="175625960"/>
    <n v="272834743"/>
    <n v="240521736"/>
    <n v="67038976"/>
    <n v="300973010"/>
    <n v="0"/>
    <n v="0"/>
    <m/>
    <m/>
  </r>
  <r>
    <s v=""/>
    <x v="0"/>
    <x v="5"/>
    <s v="TTQS"/>
    <x v="98"/>
    <s v="55 XE CHI HUY"/>
    <x v="0"/>
    <x v="1"/>
    <x v="0"/>
    <m/>
    <n v="4201668664"/>
    <d v="2024-05-01T00:00:00"/>
    <s v="2/2026"/>
    <m/>
    <m/>
    <s v="PO-92146"/>
    <n v="2007455980"/>
    <n v="1263316541"/>
    <n v="681188752"/>
    <n v="128695567"/>
    <n v="122529585"/>
    <n v="87194086"/>
    <n v="243708551"/>
    <n v="243708551"/>
    <n v="243708551"/>
    <n v="243708551"/>
    <n v="243708551"/>
    <n v="243708551"/>
    <n v="243708551"/>
    <n v="243708551"/>
    <n v="243708551"/>
    <m/>
    <m/>
    <m/>
    <m/>
    <m/>
    <m/>
    <m/>
    <m/>
    <m/>
    <n v="79957807"/>
    <n v="79957807"/>
    <n v="173006032"/>
    <n v="140081123"/>
    <n v="38110452"/>
    <n v="170075531"/>
    <n v="0"/>
    <n v="0"/>
    <n v="178257481.83333334"/>
    <n v="1160406590.2916665"/>
  </r>
  <r>
    <s v=""/>
    <x v="0"/>
    <x v="5"/>
    <s v="CKTĐH"/>
    <x v="98"/>
    <s v="55 XE CHI HUY"/>
    <x v="0"/>
    <x v="1"/>
    <x v="0"/>
    <m/>
    <m/>
    <d v="2024-05-01T00:00:00"/>
    <s v="2/2026"/>
    <m/>
    <m/>
    <s v="PO-92146"/>
    <m/>
    <n v="647571742"/>
    <n v="433065543"/>
    <n v="40302923"/>
    <n v="57935450"/>
    <n v="59425779"/>
    <n v="56842047"/>
    <n v="56842047"/>
    <n v="56842047"/>
    <n v="56842047"/>
    <n v="56842047"/>
    <n v="56842047"/>
    <n v="56842047"/>
    <n v="56842047"/>
    <n v="56842047"/>
    <m/>
    <m/>
    <m/>
    <m/>
    <m/>
    <m/>
    <m/>
    <m/>
    <n v="88694919"/>
    <n v="81773523"/>
    <n v="57084219"/>
    <n v="57003148"/>
    <n v="57935450"/>
    <n v="17360116"/>
    <n v="73214168"/>
    <n v="0"/>
    <n v="0"/>
    <n v="54698382.166666664"/>
    <n v="306736180.20833337"/>
  </r>
  <r>
    <s v=""/>
    <x v="0"/>
    <x v="5"/>
    <s v="KD ĐH"/>
    <x v="98"/>
    <s v="55 XE CHI HUY"/>
    <x v="0"/>
    <x v="1"/>
    <x v="0"/>
    <m/>
    <m/>
    <d v="2024-05-01T00:00:00"/>
    <s v="2/2026"/>
    <m/>
    <m/>
    <s v="PO-92146"/>
    <m/>
    <n v="283324401"/>
    <n v="235525819"/>
    <n v="16939339"/>
    <m/>
    <n v="20896436"/>
    <n v="9962807"/>
    <n v="9962807"/>
    <n v="9962807"/>
    <n v="9962807"/>
    <n v="9962807"/>
    <n v="9962807"/>
    <n v="9962807"/>
    <n v="9962807"/>
    <n v="9962807"/>
    <m/>
    <m/>
    <m/>
    <m/>
    <m/>
    <m/>
    <m/>
    <m/>
    <m/>
    <n v="42359440"/>
    <n v="38583934"/>
    <n v="42825563"/>
    <n v="42505163"/>
    <n v="11568408"/>
    <n v="57683311"/>
    <n v="0"/>
    <n v="0"/>
    <n v="11287366"/>
    <n v="58437975.75"/>
  </r>
  <r>
    <s v=""/>
    <x v="0"/>
    <x v="5"/>
    <s v="KD ĐH"/>
    <x v="98"/>
    <s v="55 XE CHI HUY"/>
    <x v="1"/>
    <x v="1"/>
    <x v="0"/>
    <m/>
    <n v="452265144"/>
    <d v="2024-05-01T00:00:00"/>
    <d v="2028-02-01T00:00:00"/>
    <m/>
    <m/>
    <s v="PO-92146"/>
    <n v="432696490"/>
    <n v="19568654"/>
    <n v="0"/>
    <m/>
    <n v="19568654"/>
    <n v="0"/>
    <n v="0"/>
    <m/>
    <m/>
    <m/>
    <m/>
    <m/>
    <m/>
    <m/>
    <m/>
    <m/>
    <m/>
    <m/>
    <m/>
    <m/>
    <m/>
    <m/>
    <m/>
    <m/>
    <m/>
    <m/>
    <m/>
    <m/>
    <m/>
    <m/>
    <m/>
    <n v="0"/>
    <n v="3261442.3333333335"/>
    <n v="8968966.4166666679"/>
  </r>
  <r>
    <s v=""/>
    <x v="0"/>
    <x v="5"/>
    <s v="KD ĐH"/>
    <x v="98"/>
    <s v="55 XE CHI HUY"/>
    <x v="2"/>
    <x v="1"/>
    <x v="0"/>
    <m/>
    <m/>
    <s v="2/2026"/>
    <d v="2028-02-01T00:00:00"/>
    <m/>
    <m/>
    <s v="PO-92146"/>
    <m/>
    <n v="0"/>
    <n v="0"/>
    <m/>
    <m/>
    <n v="0"/>
    <n v="0"/>
    <m/>
    <m/>
    <m/>
    <m/>
    <m/>
    <m/>
    <m/>
    <m/>
    <m/>
    <m/>
    <m/>
    <m/>
    <m/>
    <m/>
    <m/>
    <m/>
    <m/>
    <m/>
    <m/>
    <m/>
    <m/>
    <m/>
    <m/>
    <m/>
    <n v="0"/>
    <n v="0"/>
    <n v="0"/>
  </r>
  <r>
    <n v="42"/>
    <x v="0"/>
    <x v="5"/>
    <s v="TTQS"/>
    <x v="99"/>
    <s v="635 MAY VRH811/S1"/>
    <x v="0"/>
    <x v="0"/>
    <x v="0"/>
    <m/>
    <n v="2613778388.8274307"/>
    <d v="2025-03-28T00:00:00"/>
    <d v="2026-04-01T00:00:00"/>
    <s v="tunn5@viettel.com.vn"/>
    <s v="nhantv14@viettel.com.vn"/>
    <s v="PO-92811"/>
    <n v="2345420112.8274307"/>
    <n v="268358276"/>
    <n v="0"/>
    <m/>
    <m/>
    <n v="0"/>
    <n v="268358276"/>
    <m/>
    <m/>
    <m/>
    <m/>
    <m/>
    <m/>
    <m/>
    <m/>
    <m/>
    <m/>
    <m/>
    <m/>
    <m/>
    <m/>
    <m/>
    <m/>
    <m/>
    <m/>
    <m/>
    <m/>
    <m/>
    <m/>
    <m/>
    <m/>
    <n v="0"/>
    <m/>
    <m/>
  </r>
  <r>
    <s v=""/>
    <x v="0"/>
    <x v="5"/>
    <s v="TTQS"/>
    <x v="100"/>
    <s v="635 MAY VRH811/S1"/>
    <x v="0"/>
    <x v="1"/>
    <x v="0"/>
    <m/>
    <n v="1788920842.8286202"/>
    <d v="2025-03-28T00:00:00"/>
    <d v="2026-04-01T00:00:00"/>
    <m/>
    <m/>
    <s v="PO-92811"/>
    <n v="1520562566.8286202"/>
    <n v="268358276"/>
    <n v="0"/>
    <m/>
    <m/>
    <n v="0"/>
    <n v="268358276"/>
    <n v="268358276"/>
    <n v="268358276"/>
    <n v="268358276"/>
    <n v="268358276"/>
    <n v="268358276"/>
    <n v="268358276"/>
    <n v="268358276"/>
    <n v="268358276"/>
    <m/>
    <m/>
    <m/>
    <m/>
    <m/>
    <m/>
    <m/>
    <m/>
    <m/>
    <m/>
    <m/>
    <m/>
    <m/>
    <m/>
    <m/>
    <m/>
    <n v="0"/>
    <n v="134179138"/>
    <n v="1106977888.5"/>
  </r>
  <r>
    <s v=""/>
    <x v="0"/>
    <x v="5"/>
    <s v="TTQS"/>
    <x v="101"/>
    <s v="635 MAY VRH811/S1 (DP)"/>
    <x v="0"/>
    <x v="1"/>
    <x v="0"/>
    <m/>
    <n v="295418121.23775363"/>
    <d v="2025-03-28T00:00:00"/>
    <d v="2026-04-01T00:00:00"/>
    <m/>
    <m/>
    <s v="PO-92811"/>
    <n v="295418121.23775363"/>
    <n v="0"/>
    <n v="0"/>
    <m/>
    <m/>
    <n v="0"/>
    <n v="0"/>
    <m/>
    <m/>
    <m/>
    <m/>
    <m/>
    <m/>
    <m/>
    <m/>
    <m/>
    <m/>
    <m/>
    <m/>
    <m/>
    <m/>
    <m/>
    <m/>
    <m/>
    <m/>
    <m/>
    <m/>
    <m/>
    <m/>
    <m/>
    <m/>
    <n v="0"/>
    <n v="0"/>
    <n v="0"/>
  </r>
  <r>
    <s v=""/>
    <x v="0"/>
    <x v="5"/>
    <s v="TTQS"/>
    <x v="100"/>
    <s v="635 MAY VRH811/S1"/>
    <x v="1"/>
    <x v="1"/>
    <x v="0"/>
    <m/>
    <n v="455317905.29450905"/>
    <d v="2025-03-28T00:00:00"/>
    <d v="2026-04-01T00:00:00"/>
    <m/>
    <m/>
    <s v="PO-92811"/>
    <n v="455317905.29450905"/>
    <n v="0"/>
    <n v="0"/>
    <m/>
    <m/>
    <n v="0"/>
    <n v="0"/>
    <m/>
    <m/>
    <m/>
    <m/>
    <m/>
    <m/>
    <m/>
    <m/>
    <m/>
    <m/>
    <m/>
    <m/>
    <m/>
    <m/>
    <m/>
    <m/>
    <m/>
    <m/>
    <m/>
    <m/>
    <m/>
    <m/>
    <m/>
    <m/>
    <n v="0"/>
    <n v="0"/>
    <n v="0"/>
  </r>
  <r>
    <s v=""/>
    <x v="0"/>
    <x v="5"/>
    <s v="TTQS"/>
    <x v="101"/>
    <s v="635 MAY VRH811/S1 (DP)"/>
    <x v="1"/>
    <x v="1"/>
    <x v="0"/>
    <m/>
    <n v="74121519.466547996"/>
    <d v="2026-04-01T00:00:00"/>
    <d v="2028-04-01T00:00:00"/>
    <m/>
    <m/>
    <s v="PO-92811"/>
    <n v="74121519.466547996"/>
    <n v="0"/>
    <n v="0"/>
    <m/>
    <m/>
    <n v="0"/>
    <n v="0"/>
    <m/>
    <m/>
    <m/>
    <m/>
    <m/>
    <m/>
    <m/>
    <m/>
    <m/>
    <m/>
    <m/>
    <m/>
    <m/>
    <m/>
    <m/>
    <m/>
    <m/>
    <m/>
    <m/>
    <m/>
    <m/>
    <m/>
    <m/>
    <m/>
    <n v="0"/>
    <n v="0"/>
    <n v="0"/>
  </r>
  <r>
    <s v=""/>
    <x v="0"/>
    <x v="5"/>
    <s v="TTQS"/>
    <x v="102"/>
    <s v="635 MAY VRH811/S1"/>
    <x v="3"/>
    <x v="1"/>
    <x v="0"/>
    <m/>
    <m/>
    <d v="2026-04-01T00:00:00"/>
    <d v="2028-04-01T00:00:00"/>
    <m/>
    <m/>
    <s v="PO-92811"/>
    <m/>
    <n v="0"/>
    <n v="0"/>
    <m/>
    <m/>
    <n v="0"/>
    <n v="0"/>
    <m/>
    <m/>
    <m/>
    <m/>
    <m/>
    <m/>
    <m/>
    <m/>
    <m/>
    <m/>
    <m/>
    <m/>
    <m/>
    <m/>
    <m/>
    <m/>
    <m/>
    <m/>
    <m/>
    <m/>
    <m/>
    <m/>
    <m/>
    <m/>
    <n v="0"/>
    <n v="0"/>
    <n v="0"/>
  </r>
  <r>
    <n v="43"/>
    <x v="0"/>
    <x v="6"/>
    <s v="KCB"/>
    <x v="103"/>
    <s v="03 TO HOP UAV 1.6"/>
    <x v="0"/>
    <x v="0"/>
    <x v="0"/>
    <n v="85156251957.550003"/>
    <n v="7182286701"/>
    <d v="2024-06-01T00:00:00"/>
    <d v="2025-07-01T00:00:00"/>
    <s v="thangtd10@viettel.com.vn"/>
    <s v="HALTT36@VIETTEL.COM.VN"/>
    <s v="RD-92016"/>
    <n v="3734791293"/>
    <n v="3447495408"/>
    <n v="3296667117"/>
    <m/>
    <n v="80399533"/>
    <n v="70428758"/>
    <n v="0"/>
    <m/>
    <m/>
    <m/>
    <m/>
    <m/>
    <m/>
    <m/>
    <m/>
    <n v="0"/>
    <n v="0"/>
    <n v="0"/>
    <n v="0"/>
    <n v="0"/>
    <n v="88933732"/>
    <n v="6131778"/>
    <n v="12207491"/>
    <n v="6410494"/>
    <n v="24592437"/>
    <n v="900927139"/>
    <n v="828614444"/>
    <n v="596858928"/>
    <n v="159091871"/>
    <n v="672898803"/>
    <n v="0"/>
    <n v="0"/>
    <m/>
    <m/>
  </r>
  <r>
    <s v=""/>
    <x v="0"/>
    <x v="6"/>
    <s v="KCB"/>
    <x v="103"/>
    <s v="03 TO HOP UAV 1.6"/>
    <x v="0"/>
    <x v="1"/>
    <x v="0"/>
    <m/>
    <n v="3828908656"/>
    <s v="6/2024"/>
    <s v="7/2025"/>
    <m/>
    <m/>
    <s v="RD-92016"/>
    <n v="532241539"/>
    <n v="3186173296"/>
    <n v="3186173296"/>
    <m/>
    <m/>
    <n v="0"/>
    <n v="0"/>
    <m/>
    <m/>
    <m/>
    <m/>
    <m/>
    <m/>
    <m/>
    <m/>
    <m/>
    <m/>
    <m/>
    <m/>
    <m/>
    <n v="58638295"/>
    <n v="6131778"/>
    <n v="8161193"/>
    <n v="6410494"/>
    <n v="5075376"/>
    <n v="883705799"/>
    <n v="810193419"/>
    <n v="596858928"/>
    <n v="155133727"/>
    <n v="655864287"/>
    <n v="0"/>
    <n v="0"/>
    <n v="0"/>
    <n v="0"/>
  </r>
  <r>
    <s v=""/>
    <x v="0"/>
    <x v="6"/>
    <s v="TTSX"/>
    <x v="103"/>
    <s v="03 TO HOP UAV 1.6"/>
    <x v="0"/>
    <x v="1"/>
    <x v="0"/>
    <m/>
    <m/>
    <s v="6/2024"/>
    <s v="7/2025"/>
    <m/>
    <m/>
    <s v="RD-92016"/>
    <m/>
    <n v="45438635"/>
    <n v="45438635"/>
    <m/>
    <m/>
    <n v="0"/>
    <n v="0"/>
    <m/>
    <m/>
    <m/>
    <m/>
    <m/>
    <m/>
    <m/>
    <m/>
    <m/>
    <m/>
    <m/>
    <m/>
    <m/>
    <n v="30295437"/>
    <m/>
    <n v="4046298"/>
    <m/>
    <m/>
    <m/>
    <m/>
    <m/>
    <n v="2003745"/>
    <n v="9093155"/>
    <n v="0"/>
    <n v="0"/>
    <n v="0"/>
    <n v="0"/>
  </r>
  <r>
    <s v=""/>
    <x v="0"/>
    <x v="6"/>
    <s v="ĐBCL"/>
    <x v="103"/>
    <s v="03 TO HOP UAV 1.6"/>
    <x v="0"/>
    <x v="1"/>
    <x v="0"/>
    <m/>
    <m/>
    <s v="6/2024"/>
    <s v="7/2025"/>
    <m/>
    <m/>
    <s v="RD-92016"/>
    <m/>
    <n v="26793394"/>
    <n v="26793394"/>
    <m/>
    <m/>
    <n v="0"/>
    <n v="0"/>
    <m/>
    <m/>
    <m/>
    <m/>
    <m/>
    <m/>
    <m/>
    <m/>
    <m/>
    <m/>
    <m/>
    <m/>
    <m/>
    <m/>
    <m/>
    <m/>
    <m/>
    <n v="19517061"/>
    <m/>
    <m/>
    <m/>
    <n v="1313873"/>
    <n v="5962460"/>
    <n v="0"/>
    <n v="0"/>
    <n v="0"/>
    <n v="0"/>
  </r>
  <r>
    <s v=""/>
    <x v="0"/>
    <x v="6"/>
    <s v="DVSBH"/>
    <x v="103"/>
    <s v="03 TO HOP UAV 1.6"/>
    <x v="0"/>
    <x v="1"/>
    <x v="0"/>
    <m/>
    <m/>
    <s v="6/2024"/>
    <s v="7/2025"/>
    <m/>
    <m/>
    <s v="RD-92016"/>
    <m/>
    <n v="32024509"/>
    <n v="32024509"/>
    <m/>
    <m/>
    <n v="0"/>
    <n v="0"/>
    <m/>
    <m/>
    <m/>
    <m/>
    <m/>
    <m/>
    <m/>
    <m/>
    <m/>
    <m/>
    <m/>
    <m/>
    <m/>
    <m/>
    <m/>
    <m/>
    <m/>
    <m/>
    <n v="10984057"/>
    <n v="18421025"/>
    <m/>
    <n v="640526"/>
    <n v="1978901"/>
    <n v="0"/>
    <n v="0"/>
    <n v="0"/>
    <n v="0"/>
  </r>
  <r>
    <s v=""/>
    <x v="0"/>
    <x v="6"/>
    <s v="TCĐT"/>
    <x v="103"/>
    <s v="03 TO HOP UAV 1.6"/>
    <x v="0"/>
    <x v="1"/>
    <x v="0"/>
    <m/>
    <m/>
    <s v="6/2024"/>
    <s v="7/2025"/>
    <m/>
    <m/>
    <s v="RD-92016"/>
    <m/>
    <n v="6237283"/>
    <n v="6237283"/>
    <m/>
    <m/>
    <n v="0"/>
    <n v="0"/>
    <m/>
    <m/>
    <m/>
    <m/>
    <m/>
    <m/>
    <m/>
    <m/>
    <m/>
    <m/>
    <m/>
    <m/>
    <m/>
    <m/>
    <m/>
    <m/>
    <m/>
    <m/>
    <n v="6237283"/>
    <m/>
    <m/>
    <m/>
    <m/>
    <n v="0"/>
    <n v="0"/>
    <n v="0"/>
    <n v="0"/>
  </r>
  <r>
    <s v=""/>
    <x v="0"/>
    <x v="6"/>
    <s v="TTSX"/>
    <x v="103"/>
    <s v="03 TO HOP UAV 1.6"/>
    <x v="1"/>
    <x v="1"/>
    <x v="0"/>
    <m/>
    <n v="3353378045"/>
    <s v="6/2024"/>
    <s v="7/2025"/>
    <m/>
    <m/>
    <s v="RD-92016"/>
    <n v="3202549754"/>
    <n v="135342436"/>
    <n v="0"/>
    <m/>
    <n v="80399533"/>
    <n v="54942903"/>
    <n v="0"/>
    <m/>
    <m/>
    <m/>
    <m/>
    <m/>
    <m/>
    <m/>
    <m/>
    <m/>
    <m/>
    <m/>
    <m/>
    <m/>
    <m/>
    <m/>
    <m/>
    <m/>
    <m/>
    <m/>
    <m/>
    <m/>
    <m/>
    <m/>
    <n v="0"/>
    <n v="0"/>
    <n v="22557072.666666668"/>
    <n v="62031949.833333336"/>
  </r>
  <r>
    <s v=""/>
    <x v="0"/>
    <x v="6"/>
    <s v="KD ĐH"/>
    <x v="103"/>
    <s v="03 TO HOP UAV 1.6"/>
    <x v="1"/>
    <x v="1"/>
    <x v="0"/>
    <m/>
    <m/>
    <s v="6/2024"/>
    <s v="7/2025"/>
    <m/>
    <m/>
    <s v="RD-92016"/>
    <m/>
    <n v="15485855"/>
    <n v="0"/>
    <m/>
    <m/>
    <n v="15485855"/>
    <n v="0"/>
    <m/>
    <m/>
    <m/>
    <m/>
    <m/>
    <m/>
    <m/>
    <m/>
    <m/>
    <m/>
    <m/>
    <m/>
    <m/>
    <m/>
    <m/>
    <m/>
    <m/>
    <m/>
    <m/>
    <m/>
    <m/>
    <m/>
    <m/>
    <n v="0"/>
    <n v="0"/>
    <n v="2580975.8333333335"/>
    <n v="7097683.541666667"/>
  </r>
  <r>
    <s v=""/>
    <x v="0"/>
    <x v="6"/>
    <s v="TTSX"/>
    <x v="103"/>
    <s v="03 TO HOP UAV 1.6"/>
    <x v="2"/>
    <x v="1"/>
    <x v="0"/>
    <m/>
    <m/>
    <s v="7/2025"/>
    <s v="7/2027"/>
    <m/>
    <m/>
    <s v="RD-92016"/>
    <m/>
    <n v="0"/>
    <m/>
    <m/>
    <m/>
    <m/>
    <n v="0"/>
    <m/>
    <m/>
    <m/>
    <m/>
    <m/>
    <m/>
    <m/>
    <m/>
    <m/>
    <m/>
    <m/>
    <m/>
    <m/>
    <m/>
    <m/>
    <m/>
    <m/>
    <m/>
    <m/>
    <m/>
    <m/>
    <m/>
    <m/>
    <n v="0"/>
    <n v="0"/>
    <n v="0"/>
    <n v="0"/>
  </r>
  <r>
    <n v="44"/>
    <x v="0"/>
    <x v="6"/>
    <s v="KCB"/>
    <x v="104"/>
    <s v="06 TO HOP UAV2-2"/>
    <x v="0"/>
    <x v="0"/>
    <x v="0"/>
    <n v="128873739969"/>
    <n v="17447381214.818604"/>
    <d v="2025-03-27T00:00:00"/>
    <d v="2026-10-01T00:00:00"/>
    <s v="huynq41@viettel.com.vn"/>
    <s v="HALTT36@VIETTEL.COM.VN"/>
    <s v="PO-92222"/>
    <n v="16567882161.818604"/>
    <n v="879499053"/>
    <m/>
    <m/>
    <m/>
    <n v="0"/>
    <n v="879499053"/>
    <m/>
    <m/>
    <m/>
    <m/>
    <m/>
    <m/>
    <m/>
    <m/>
    <m/>
    <m/>
    <m/>
    <m/>
    <m/>
    <m/>
    <m/>
    <m/>
    <m/>
    <m/>
    <m/>
    <m/>
    <m/>
    <m/>
    <m/>
    <m/>
    <n v="0"/>
    <m/>
    <m/>
  </r>
  <r>
    <s v=""/>
    <x v="0"/>
    <x v="6"/>
    <s v="KCB"/>
    <x v="104"/>
    <s v="06 TO HOP UAV2-2"/>
    <x v="0"/>
    <x v="1"/>
    <x v="0"/>
    <m/>
    <n v="14930448479"/>
    <d v="2025-03-27T00:00:00"/>
    <d v="2026-10-01T00:00:00"/>
    <m/>
    <m/>
    <s v="PO-92222"/>
    <n v="14050949426"/>
    <n v="879499053"/>
    <m/>
    <m/>
    <m/>
    <n v="0"/>
    <n v="879499053"/>
    <n v="879499053"/>
    <n v="879499053"/>
    <n v="879499053"/>
    <n v="879499053"/>
    <n v="879499053"/>
    <n v="879499053"/>
    <n v="879499053"/>
    <n v="879499053"/>
    <m/>
    <m/>
    <m/>
    <m/>
    <m/>
    <m/>
    <m/>
    <m/>
    <m/>
    <m/>
    <m/>
    <m/>
    <m/>
    <m/>
    <m/>
    <m/>
    <n v="0"/>
    <n v="439749526.5"/>
    <n v="3627933593.625"/>
  </r>
  <r>
    <s v=""/>
    <x v="0"/>
    <x v="6"/>
    <s v="KCB"/>
    <x v="104"/>
    <s v="06 TO HOP UAV2-2"/>
    <x v="1"/>
    <x v="1"/>
    <x v="0"/>
    <m/>
    <n v="2516932735.8186054"/>
    <d v="2025-03-27T00:00:00"/>
    <d v="2026-10-01T00:00:00"/>
    <m/>
    <m/>
    <s v="PO-92222"/>
    <n v="2516932735.8186054"/>
    <n v="0"/>
    <m/>
    <m/>
    <m/>
    <n v="0"/>
    <n v="0"/>
    <m/>
    <m/>
    <m/>
    <m/>
    <m/>
    <m/>
    <m/>
    <m/>
    <m/>
    <m/>
    <m/>
    <m/>
    <m/>
    <m/>
    <m/>
    <m/>
    <m/>
    <m/>
    <m/>
    <m/>
    <m/>
    <m/>
    <m/>
    <m/>
    <n v="0"/>
    <n v="0"/>
    <n v="0"/>
  </r>
  <r>
    <s v=""/>
    <x v="0"/>
    <x v="6"/>
    <s v="KCB"/>
    <x v="104"/>
    <s v="06 TO HOP UAV2-2"/>
    <x v="2"/>
    <x v="1"/>
    <x v="0"/>
    <m/>
    <m/>
    <d v="2026-10-01T00:00:00"/>
    <d v="2028-10-01T00:00:00"/>
    <m/>
    <m/>
    <s v="PO-92222"/>
    <m/>
    <n v="0"/>
    <m/>
    <m/>
    <m/>
    <n v="0"/>
    <n v="0"/>
    <m/>
    <m/>
    <m/>
    <m/>
    <m/>
    <m/>
    <m/>
    <m/>
    <m/>
    <m/>
    <m/>
    <m/>
    <m/>
    <m/>
    <m/>
    <m/>
    <m/>
    <m/>
    <m/>
    <m/>
    <m/>
    <m/>
    <m/>
    <m/>
    <n v="0"/>
    <n v="0"/>
    <n v="0"/>
  </r>
  <r>
    <n v="45"/>
    <x v="0"/>
    <x v="7"/>
    <s v="DVSBH"/>
    <x v="105"/>
    <s v="LAP DAT VHCR/10G"/>
    <x v="0"/>
    <x v="0"/>
    <x v="0"/>
    <n v="99459234884.029999"/>
    <n v="3641494196"/>
    <s v="8/2024"/>
    <d v="2028-06-01T00:00:00"/>
    <s v="tuanld@viettel.com.vn"/>
    <s v="TRANGLTH19@VIETTEL.COM.VN"/>
    <s v="PO-92349"/>
    <n v="2963571318"/>
    <n v="677922878"/>
    <n v="419715375"/>
    <n v="44467875"/>
    <n v="47624828"/>
    <n v="113436005"/>
    <n v="52678795"/>
    <m/>
    <m/>
    <m/>
    <m/>
    <m/>
    <m/>
    <m/>
    <m/>
    <n v="0"/>
    <n v="0"/>
    <n v="0"/>
    <n v="0"/>
    <n v="0"/>
    <n v="0"/>
    <n v="0"/>
    <n v="0"/>
    <n v="56173312"/>
    <n v="76932441"/>
    <n v="49494645"/>
    <n v="46991855"/>
    <n v="76471565"/>
    <n v="21695939"/>
    <n v="91955618"/>
    <n v="0"/>
    <n v="0"/>
    <m/>
    <m/>
  </r>
  <r>
    <s v=""/>
    <x v="0"/>
    <x v="7"/>
    <s v="DVSBH"/>
    <x v="106"/>
    <s v="LAP DAT VHCR/10G"/>
    <x v="0"/>
    <x v="1"/>
    <x v="0"/>
    <m/>
    <n v="939683560"/>
    <s v="8/2024"/>
    <d v="2025-12-01T00:00:00"/>
    <m/>
    <m/>
    <s v="PO-92349"/>
    <n v="428211055"/>
    <n v="511472505"/>
    <n v="297732877"/>
    <m/>
    <n v="47624828"/>
    <n v="113436005"/>
    <n v="52678795"/>
    <n v="52678795"/>
    <n v="52678795"/>
    <n v="52678795"/>
    <n v="52678795"/>
    <n v="52678795"/>
    <n v="52678795"/>
    <n v="52678795"/>
    <n v="52678795"/>
    <m/>
    <m/>
    <m/>
    <m/>
    <m/>
    <m/>
    <m/>
    <m/>
    <n v="23415515"/>
    <n v="21899845"/>
    <n v="49494645"/>
    <n v="46991855"/>
    <n v="76471565"/>
    <n v="15521938"/>
    <n v="63937514"/>
    <n v="0"/>
    <n v="0"/>
    <n v="53182869.666666664"/>
    <n v="291119577.83333337"/>
  </r>
  <r>
    <s v=""/>
    <x v="0"/>
    <x v="7"/>
    <s v="DVSBH"/>
    <x v="107"/>
    <s v="LAP DAT VHCR/10G (CO DONG)"/>
    <x v="0"/>
    <x v="1"/>
    <x v="0"/>
    <m/>
    <n v="1452853438"/>
    <s v="8/2024"/>
    <d v="2025-12-01T00:00:00"/>
    <m/>
    <m/>
    <s v="PO-92349"/>
    <n v="1330870940"/>
    <n v="121982498"/>
    <n v="121982498"/>
    <m/>
    <m/>
    <n v="0"/>
    <n v="0"/>
    <m/>
    <m/>
    <m/>
    <m/>
    <m/>
    <m/>
    <m/>
    <m/>
    <m/>
    <m/>
    <m/>
    <m/>
    <m/>
    <m/>
    <m/>
    <m/>
    <n v="32757797"/>
    <n v="55032596"/>
    <m/>
    <m/>
    <m/>
    <n v="6174001"/>
    <n v="28018104"/>
    <n v="0"/>
    <n v="0"/>
    <n v="0"/>
    <n v="0"/>
  </r>
  <r>
    <s v=""/>
    <x v="0"/>
    <x v="7"/>
    <s v="DVSBH"/>
    <x v="106"/>
    <s v="LAP DAT VHCR/10G"/>
    <x v="1"/>
    <x v="1"/>
    <x v="0"/>
    <m/>
    <n v="499582879.20000005"/>
    <s v="8/2024"/>
    <d v="2028-06-01T00:00:00"/>
    <m/>
    <m/>
    <s v="PO-92349"/>
    <n v="455115004.20000005"/>
    <n v="44467875"/>
    <n v="0"/>
    <n v="44467875"/>
    <m/>
    <n v="0"/>
    <n v="0"/>
    <m/>
    <m/>
    <m/>
    <m/>
    <m/>
    <m/>
    <m/>
    <m/>
    <m/>
    <m/>
    <m/>
    <m/>
    <m/>
    <m/>
    <m/>
    <m/>
    <m/>
    <m/>
    <m/>
    <m/>
    <m/>
    <m/>
    <m/>
    <n v="0"/>
    <n v="0"/>
    <n v="7411312.5"/>
    <n v="20381109.375"/>
  </r>
  <r>
    <s v=""/>
    <x v="0"/>
    <x v="7"/>
    <s v="DVSBH"/>
    <x v="107"/>
    <s v="LAP DAT VHCR/10G (CO DONG)"/>
    <x v="1"/>
    <x v="1"/>
    <x v="0"/>
    <m/>
    <n v="749374318.79999995"/>
    <s v="8/2024"/>
    <d v="2028-06-01T00:00:00"/>
    <m/>
    <m/>
    <s v="PO-92349"/>
    <n v="749374318.79999995"/>
    <n v="0"/>
    <m/>
    <m/>
    <m/>
    <n v="0"/>
    <n v="0"/>
    <m/>
    <m/>
    <m/>
    <m/>
    <m/>
    <m/>
    <m/>
    <m/>
    <m/>
    <m/>
    <m/>
    <m/>
    <m/>
    <m/>
    <m/>
    <m/>
    <n v="32757797"/>
    <n v="55032596"/>
    <m/>
    <m/>
    <m/>
    <n v="6174001"/>
    <n v="28018104"/>
    <n v="0"/>
    <n v="0"/>
    <n v="0"/>
    <n v="0"/>
  </r>
  <r>
    <n v="46"/>
    <x v="1"/>
    <x v="8"/>
    <s v="ĐPT"/>
    <x v="108"/>
    <m/>
    <x v="0"/>
    <x v="0"/>
    <x v="1"/>
    <n v="4805231691"/>
    <n v="2262011134"/>
    <d v="2023-12-01T00:00:00"/>
    <d v="2024-12-01T00:00:00"/>
    <s v="huynd6@viettel.com.vn"/>
    <s v="thaoltp@viettel.com.vn"/>
    <s v="PO-92199"/>
    <n v="-185386146"/>
    <n v="2447397280"/>
    <n v="2447397280"/>
    <m/>
    <m/>
    <n v="0"/>
    <n v="0"/>
    <m/>
    <m/>
    <m/>
    <m/>
    <m/>
    <m/>
    <m/>
    <m/>
    <n v="207329742"/>
    <n v="204116926"/>
    <n v="221548906"/>
    <n v="222438476"/>
    <n v="194528673"/>
    <n v="232499898"/>
    <n v="203539788"/>
    <n v="178319104"/>
    <n v="0"/>
    <n v="0"/>
    <n v="0"/>
    <n v="0"/>
    <n v="0"/>
    <n v="88573430"/>
    <n v="408268472"/>
    <n v="286233865"/>
    <n v="0"/>
    <n v="0"/>
    <n v="0"/>
  </r>
  <r>
    <s v=""/>
    <x v="1"/>
    <x v="8"/>
    <s v="CNCM"/>
    <x v="108"/>
    <m/>
    <x v="0"/>
    <x v="1"/>
    <x v="1"/>
    <m/>
    <m/>
    <d v="2023-12-01T00:00:00"/>
    <d v="2024-12-01T00:00:00"/>
    <m/>
    <m/>
    <s v="PO-92199"/>
    <m/>
    <n v="0"/>
    <n v="0"/>
    <m/>
    <m/>
    <n v="0"/>
    <n v="0"/>
    <m/>
    <m/>
    <m/>
    <m/>
    <m/>
    <m/>
    <m/>
    <m/>
    <m/>
    <m/>
    <m/>
    <m/>
    <m/>
    <m/>
    <m/>
    <m/>
    <m/>
    <m/>
    <m/>
    <m/>
    <m/>
    <m/>
    <m/>
    <m/>
    <n v="0"/>
    <n v="0"/>
    <n v="0"/>
  </r>
  <r>
    <s v=""/>
    <x v="1"/>
    <x v="8"/>
    <s v="ĐPT"/>
    <x v="108"/>
    <m/>
    <x v="0"/>
    <x v="1"/>
    <x v="1"/>
    <m/>
    <m/>
    <d v="2023-12-01T00:00:00"/>
    <d v="2024-12-01T00:00:00"/>
    <m/>
    <m/>
    <s v="PO-92199"/>
    <m/>
    <n v="0"/>
    <n v="0"/>
    <m/>
    <m/>
    <n v="0"/>
    <n v="0"/>
    <m/>
    <m/>
    <m/>
    <m/>
    <m/>
    <m/>
    <m/>
    <m/>
    <m/>
    <m/>
    <m/>
    <m/>
    <m/>
    <m/>
    <m/>
    <m/>
    <m/>
    <m/>
    <m/>
    <m/>
    <m/>
    <m/>
    <m/>
    <m/>
    <n v="0"/>
    <n v="0"/>
    <n v="0"/>
  </r>
  <r>
    <s v=""/>
    <x v="1"/>
    <x v="8"/>
    <s v="SBH K2"/>
    <x v="108"/>
    <m/>
    <x v="0"/>
    <x v="1"/>
    <x v="1"/>
    <m/>
    <m/>
    <d v="2023-12-01T00:00:00"/>
    <d v="2024-12-01T00:00:00"/>
    <m/>
    <m/>
    <s v="PO-92199"/>
    <m/>
    <n v="2447397280"/>
    <n v="2447397280"/>
    <m/>
    <m/>
    <n v="0"/>
    <n v="0"/>
    <m/>
    <m/>
    <m/>
    <m/>
    <m/>
    <m/>
    <m/>
    <m/>
    <n v="207329742"/>
    <n v="204116926"/>
    <n v="221548906"/>
    <n v="222438476"/>
    <n v="194528673"/>
    <n v="232499898"/>
    <n v="203539788"/>
    <n v="178319104"/>
    <m/>
    <m/>
    <m/>
    <m/>
    <m/>
    <n v="88573430"/>
    <n v="408268472"/>
    <n v="286233865"/>
    <n v="0"/>
    <n v="0"/>
    <n v="0"/>
  </r>
  <r>
    <n v="47"/>
    <x v="1"/>
    <x v="8"/>
    <s v="ĐPT"/>
    <x v="109"/>
    <s v="A2P-2025"/>
    <x v="0"/>
    <x v="0"/>
    <x v="0"/>
    <m/>
    <n v="1248061706"/>
    <d v="2024-10-01T00:00:00"/>
    <d v="2025-12-01T00:00:00"/>
    <s v="huynd6@viettel.com.vn"/>
    <s v="thaoltp@viettel.com.vn"/>
    <s v="PO-92170"/>
    <n v="742931115"/>
    <n v="505130591"/>
    <n v="0"/>
    <n v="0"/>
    <n v="167204663"/>
    <n v="174384248"/>
    <n v="163541680"/>
    <m/>
    <m/>
    <m/>
    <m/>
    <m/>
    <m/>
    <m/>
    <m/>
    <n v="0"/>
    <n v="0"/>
    <n v="0"/>
    <n v="0"/>
    <n v="0"/>
    <n v="0"/>
    <n v="0"/>
    <n v="0"/>
    <n v="0"/>
    <n v="0"/>
    <n v="0"/>
    <n v="0"/>
    <n v="0"/>
    <n v="0"/>
    <n v="0"/>
    <n v="0"/>
    <n v="0"/>
    <m/>
    <m/>
  </r>
  <r>
    <s v=""/>
    <x v="1"/>
    <x v="8"/>
    <s v="CNCM"/>
    <x v="109"/>
    <s v="A2P-2025"/>
    <x v="0"/>
    <x v="1"/>
    <x v="0"/>
    <m/>
    <n v="1248061706"/>
    <d v="2024-10-01T00:00:00"/>
    <d v="2025-12-01T00:00:00"/>
    <m/>
    <m/>
    <s v="PO-92170"/>
    <n v="742931115"/>
    <n v="0"/>
    <n v="0"/>
    <m/>
    <m/>
    <n v="0"/>
    <n v="0"/>
    <m/>
    <m/>
    <m/>
    <m/>
    <m/>
    <m/>
    <m/>
    <m/>
    <m/>
    <m/>
    <m/>
    <m/>
    <m/>
    <m/>
    <m/>
    <m/>
    <m/>
    <m/>
    <m/>
    <m/>
    <m/>
    <m/>
    <m/>
    <m/>
    <n v="0"/>
    <n v="0"/>
    <n v="0"/>
  </r>
  <r>
    <s v=""/>
    <x v="1"/>
    <x v="8"/>
    <s v="ĐPT"/>
    <x v="109"/>
    <s v="A2P-2025"/>
    <x v="0"/>
    <x v="1"/>
    <x v="0"/>
    <m/>
    <m/>
    <d v="2024-10-01T00:00:00"/>
    <d v="2025-12-01T00:00:00"/>
    <m/>
    <m/>
    <s v="PO-92170"/>
    <m/>
    <n v="467841642"/>
    <n v="0"/>
    <m/>
    <n v="154299637"/>
    <n v="161630947"/>
    <n v="151911058"/>
    <n v="151911058"/>
    <n v="151911058"/>
    <n v="151911058"/>
    <n v="151911058"/>
    <n v="151911058"/>
    <n v="151911058"/>
    <n v="151911058"/>
    <n v="151911058"/>
    <m/>
    <m/>
    <m/>
    <m/>
    <m/>
    <m/>
    <m/>
    <m/>
    <m/>
    <m/>
    <m/>
    <m/>
    <m/>
    <m/>
    <m/>
    <m/>
    <n v="0"/>
    <n v="128610626.33333333"/>
    <n v="771434631.91666663"/>
  </r>
  <r>
    <s v=""/>
    <x v="1"/>
    <x v="8"/>
    <s v="SBH K2"/>
    <x v="109"/>
    <s v="A2P-2025"/>
    <x v="0"/>
    <x v="1"/>
    <x v="0"/>
    <m/>
    <m/>
    <d v="2024-10-01T00:00:00"/>
    <d v="2025-12-01T00:00:00"/>
    <m/>
    <m/>
    <s v="PO-92170"/>
    <m/>
    <n v="37288949"/>
    <n v="0"/>
    <m/>
    <n v="12905026"/>
    <n v="12753301"/>
    <n v="11630622"/>
    <n v="11630622"/>
    <n v="11630622"/>
    <n v="11630622"/>
    <n v="11630622"/>
    <n v="11630622"/>
    <n v="11630622"/>
    <n v="11630622"/>
    <n v="11630622"/>
    <m/>
    <m/>
    <m/>
    <m/>
    <m/>
    <m/>
    <m/>
    <m/>
    <m/>
    <m/>
    <m/>
    <m/>
    <m/>
    <m/>
    <m/>
    <m/>
    <n v="0"/>
    <n v="10091698.833333334"/>
    <n v="59736382.291666664"/>
  </r>
  <r>
    <n v="48"/>
    <x v="1"/>
    <x v="9"/>
    <s v="QLSX"/>
    <x v="110"/>
    <s v="466K ONT VA 600K HOMEWIFI"/>
    <x v="0"/>
    <x v="0"/>
    <x v="0"/>
    <n v="751387162891"/>
    <n v="10853010423"/>
    <d v="2024-06-01T00:00:00"/>
    <d v="2026-06-01T00:00:00"/>
    <s v="toanlv6@viettel.com.vn"/>
    <s v="ngoandt1@viettel.com.vn"/>
    <s v="PO-92236"/>
    <n v="8586925381"/>
    <n v="2266085042"/>
    <n v="1110619681"/>
    <n v="111569798"/>
    <n v="355965946"/>
    <n v="378089142"/>
    <n v="309840475"/>
    <m/>
    <m/>
    <m/>
    <m/>
    <m/>
    <m/>
    <m/>
    <m/>
    <n v="0"/>
    <n v="0"/>
    <n v="0"/>
    <n v="0"/>
    <n v="0"/>
    <n v="6581152"/>
    <n v="28755504"/>
    <n v="856218"/>
    <n v="105886394"/>
    <n v="105382157"/>
    <n v="133984434"/>
    <n v="138621037"/>
    <n v="216522837"/>
    <n v="51200881"/>
    <n v="236582515"/>
    <n v="0"/>
    <n v="0"/>
    <m/>
    <m/>
  </r>
  <r>
    <s v=""/>
    <x v="1"/>
    <x v="9"/>
    <s v="CNTD"/>
    <x v="111"/>
    <s v="466K ONT VA 600K HOMEWIFI (600K AP)"/>
    <x v="0"/>
    <x v="1"/>
    <x v="0"/>
    <m/>
    <n v="1869146686"/>
    <d v="2024-06-01T00:00:00"/>
    <d v="2025-06-01T00:00:00"/>
    <m/>
    <m/>
    <s v="PO-92236"/>
    <n v="892025045"/>
    <n v="338428757"/>
    <n v="254554309"/>
    <m/>
    <n v="31068406"/>
    <n v="30516053"/>
    <n v="22289989"/>
    <n v="22289989"/>
    <n v="22289989"/>
    <m/>
    <m/>
    <m/>
    <m/>
    <m/>
    <m/>
    <m/>
    <m/>
    <m/>
    <m/>
    <m/>
    <m/>
    <m/>
    <m/>
    <m/>
    <m/>
    <n v="3492035"/>
    <n v="3824612"/>
    <n v="105658239"/>
    <n v="25181111"/>
    <n v="116398312"/>
    <m/>
    <n v="0"/>
    <n v="21409071"/>
    <n v="58874945.25"/>
  </r>
  <r>
    <s v=""/>
    <x v="1"/>
    <x v="9"/>
    <s v="QLSX"/>
    <x v="111"/>
    <s v="466K ONT VA 600K HOMEWIFI (600K AP)"/>
    <x v="0"/>
    <x v="1"/>
    <x v="0"/>
    <m/>
    <m/>
    <d v="2024-06-01T00:00:00"/>
    <d v="2025-06-01T00:00:00"/>
    <m/>
    <m/>
    <s v="PO-92236"/>
    <m/>
    <n v="457993269"/>
    <n v="209083729"/>
    <m/>
    <n v="78558093"/>
    <n v="83359926"/>
    <n v="86991521"/>
    <n v="86991521"/>
    <n v="86991521"/>
    <m/>
    <m/>
    <m/>
    <m/>
    <m/>
    <m/>
    <m/>
    <m/>
    <m/>
    <m/>
    <m/>
    <n v="3290576"/>
    <n v="14377752"/>
    <n v="428109"/>
    <n v="52943197"/>
    <n v="49917864"/>
    <n v="42815326"/>
    <n v="45310905"/>
    <m/>
    <m/>
    <m/>
    <m/>
    <n v="0"/>
    <n v="70482097"/>
    <n v="193825766.75"/>
  </r>
  <r>
    <s v=""/>
    <x v="1"/>
    <x v="9"/>
    <s v="KTCN"/>
    <x v="111"/>
    <s v="466K ONT VA 600K HOMEWIFI (600K AP)"/>
    <x v="0"/>
    <x v="1"/>
    <x v="0"/>
    <m/>
    <m/>
    <d v="2024-06-01T00:00:00"/>
    <d v="2025-06-01T00:00:00"/>
    <m/>
    <m/>
    <s v="PO-92236"/>
    <m/>
    <n v="180699615"/>
    <n v="39850464"/>
    <m/>
    <n v="42593143"/>
    <n v="52419680"/>
    <n v="45836328"/>
    <n v="45836328"/>
    <n v="45836328"/>
    <m/>
    <m/>
    <m/>
    <m/>
    <m/>
    <m/>
    <m/>
    <m/>
    <m/>
    <m/>
    <m/>
    <m/>
    <m/>
    <m/>
    <m/>
    <m/>
    <n v="19019540"/>
    <n v="20830924"/>
    <m/>
    <m/>
    <m/>
    <m/>
    <n v="0"/>
    <n v="38753634.5"/>
    <n v="106572494.875"/>
  </r>
  <r>
    <s v=""/>
    <x v="1"/>
    <x v="9"/>
    <s v="CNTD"/>
    <x v="112"/>
    <s v="466K ONT VA 600K HOMEWIFI (466K ONT)"/>
    <x v="0"/>
    <x v="1"/>
    <x v="0"/>
    <m/>
    <n v="1751104739"/>
    <d v="2024-06-01T00:00:00"/>
    <d v="2025-06-01T00:00:00"/>
    <m/>
    <m/>
    <s v="PO-92236"/>
    <n v="670115492"/>
    <n v="346345500"/>
    <n v="268043543"/>
    <m/>
    <n v="31068406"/>
    <n v="30516057"/>
    <n v="16717494"/>
    <n v="16717494"/>
    <n v="16717494"/>
    <m/>
    <m/>
    <m/>
    <m/>
    <m/>
    <m/>
    <m/>
    <m/>
    <m/>
    <m/>
    <m/>
    <m/>
    <m/>
    <m/>
    <m/>
    <m/>
    <n v="5238055"/>
    <n v="5736917"/>
    <n v="110864598"/>
    <n v="26019770"/>
    <n v="120184203"/>
    <m/>
    <n v="0"/>
    <n v="18622824.166666668"/>
    <n v="51212766.458333336"/>
  </r>
  <r>
    <s v=""/>
    <x v="1"/>
    <x v="9"/>
    <s v="QLSX"/>
    <x v="112"/>
    <s v="466K ONT VA 600K HOMEWIFI (466K ONT)"/>
    <x v="0"/>
    <x v="1"/>
    <x v="0"/>
    <m/>
    <m/>
    <d v="2024-06-01T00:00:00"/>
    <d v="2025-06-01T00:00:00"/>
    <m/>
    <m/>
    <s v="PO-92236"/>
    <m/>
    <n v="512035790"/>
    <n v="209785607"/>
    <n v="52302070"/>
    <n v="88274399"/>
    <n v="93151263"/>
    <n v="68522451"/>
    <n v="68522451"/>
    <n v="68522451"/>
    <m/>
    <m/>
    <m/>
    <m/>
    <m/>
    <m/>
    <m/>
    <m/>
    <m/>
    <m/>
    <m/>
    <n v="3290576"/>
    <n v="14377752"/>
    <n v="428109"/>
    <n v="52943197"/>
    <n v="55464293"/>
    <n v="41370826"/>
    <n v="41910854"/>
    <m/>
    <m/>
    <m/>
    <m/>
    <n v="0"/>
    <n v="73215847.5"/>
    <n v="201343580.625"/>
  </r>
  <r>
    <s v=""/>
    <x v="1"/>
    <x v="9"/>
    <s v="KTCN"/>
    <x v="112"/>
    <s v="466K ONT VA 600K HOMEWIFI (466K ONT)"/>
    <x v="0"/>
    <x v="1"/>
    <x v="0"/>
    <m/>
    <m/>
    <d v="2024-06-01T00:00:00"/>
    <d v="2025-06-01T00:00:00"/>
    <m/>
    <m/>
    <s v="PO-92236"/>
    <m/>
    <n v="222607957"/>
    <n v="43055477"/>
    <n v="33734953"/>
    <n v="52612986"/>
    <n v="55978682"/>
    <n v="37225859"/>
    <n v="37225859"/>
    <n v="37225859"/>
    <m/>
    <m/>
    <m/>
    <m/>
    <m/>
    <m/>
    <m/>
    <m/>
    <m/>
    <m/>
    <m/>
    <m/>
    <m/>
    <m/>
    <m/>
    <m/>
    <n v="22048652"/>
    <n v="21006825"/>
    <m/>
    <m/>
    <m/>
    <m/>
    <n v="0"/>
    <n v="42334033"/>
    <n v="116418590.75"/>
  </r>
  <r>
    <s v=""/>
    <x v="1"/>
    <x v="9"/>
    <s v="SBH K2"/>
    <x v="111"/>
    <s v="466K ONT VA 600K HOMEWIFI (600K AP)"/>
    <x v="1"/>
    <x v="1"/>
    <x v="0"/>
    <m/>
    <n v="5094876328"/>
    <d v="2024-06-01T00:00:00"/>
    <d v="2026-06-01T00:00:00"/>
    <m/>
    <m/>
    <s v="PO-92236"/>
    <n v="4886902174"/>
    <n v="33461997"/>
    <n v="1214615"/>
    <n v="8006103"/>
    <n v="7400181"/>
    <n v="8119954"/>
    <n v="8721144"/>
    <n v="8721144"/>
    <n v="8721144"/>
    <n v="8721144"/>
    <n v="8721144"/>
    <n v="8721144"/>
    <n v="8721144"/>
    <n v="8721144"/>
    <n v="8721144"/>
    <m/>
    <m/>
    <m/>
    <m/>
    <m/>
    <m/>
    <m/>
    <m/>
    <m/>
    <m/>
    <m/>
    <m/>
    <n v="869840"/>
    <n v="57540"/>
    <n v="287235"/>
    <m/>
    <n v="0"/>
    <n v="8281611.666666667"/>
    <n v="46757578.083333336"/>
  </r>
  <r>
    <s v=""/>
    <x v="1"/>
    <x v="9"/>
    <s v="QLSX"/>
    <x v="111"/>
    <s v="466K ONT VA 600K HOMEWIFI (600K AP)"/>
    <x v="1"/>
    <x v="1"/>
    <x v="0"/>
    <m/>
    <m/>
    <d v="2024-06-01T00:00:00"/>
    <d v="2026-06-01T00:00:00"/>
    <m/>
    <m/>
    <s v="PO-92236"/>
    <m/>
    <n v="0"/>
    <n v="0"/>
    <m/>
    <m/>
    <n v="0"/>
    <n v="0"/>
    <m/>
    <m/>
    <m/>
    <m/>
    <m/>
    <m/>
    <m/>
    <m/>
    <m/>
    <m/>
    <m/>
    <m/>
    <m/>
    <m/>
    <m/>
    <m/>
    <m/>
    <m/>
    <m/>
    <m/>
    <m/>
    <m/>
    <m/>
    <m/>
    <n v="0"/>
    <n v="0"/>
    <n v="0"/>
  </r>
  <r>
    <s v=""/>
    <x v="1"/>
    <x v="9"/>
    <s v="TH"/>
    <x v="112"/>
    <s v="466K ONT VA 600K HOMEWIFI (466K ONT)"/>
    <x v="1"/>
    <x v="1"/>
    <x v="0"/>
    <m/>
    <m/>
    <d v="2024-06-01T00:00:00"/>
    <d v="2026-06-01T00:00:00"/>
    <m/>
    <m/>
    <s v="PO-92236"/>
    <m/>
    <n v="59804734"/>
    <n v="57438074"/>
    <n v="1100772"/>
    <n v="1265888"/>
    <n v="0"/>
    <n v="0"/>
    <m/>
    <m/>
    <m/>
    <m/>
    <m/>
    <m/>
    <m/>
    <m/>
    <m/>
    <m/>
    <m/>
    <m/>
    <m/>
    <m/>
    <m/>
    <m/>
    <m/>
    <m/>
    <m/>
    <m/>
    <n v="42690465"/>
    <n v="4708739"/>
    <n v="10038870"/>
    <m/>
    <n v="0"/>
    <n v="394443.33333333331"/>
    <n v="1084719.1666666665"/>
  </r>
  <r>
    <s v=""/>
    <x v="1"/>
    <x v="9"/>
    <s v="SBH K2"/>
    <x v="112"/>
    <s v="466K ONT VA 600K HOMEWIFI (466K ONT)"/>
    <x v="1"/>
    <x v="1"/>
    <x v="0"/>
    <m/>
    <m/>
    <d v="2024-06-01T00:00:00"/>
    <d v="2026-06-01T00:00:00"/>
    <m/>
    <m/>
    <s v="PO-92236"/>
    <m/>
    <n v="113501814"/>
    <n v="26388254"/>
    <n v="16425900"/>
    <n v="23124444"/>
    <n v="24027527"/>
    <n v="23535689"/>
    <n v="23535689"/>
    <n v="23535689"/>
    <n v="23535689"/>
    <n v="23535689"/>
    <n v="23535689"/>
    <n v="23535689"/>
    <n v="23535689"/>
    <n v="23535689"/>
    <m/>
    <m/>
    <m/>
    <m/>
    <m/>
    <m/>
    <m/>
    <m/>
    <m/>
    <m/>
    <n v="10236015"/>
    <n v="16152239"/>
    <m/>
    <m/>
    <m/>
    <m/>
    <n v="0"/>
    <n v="22364156.333333332"/>
    <n v="126224574.66666667"/>
  </r>
  <r>
    <s v=""/>
    <x v="1"/>
    <x v="9"/>
    <s v="QLSX"/>
    <x v="112"/>
    <s v="466K ONT VA 600K HOMEWIFI (466K ONT)"/>
    <x v="1"/>
    <x v="1"/>
    <x v="0"/>
    <m/>
    <m/>
    <d v="2024-06-01T00:00:00"/>
    <d v="2026-06-01T00:00:00"/>
    <m/>
    <m/>
    <s v="PO-92236"/>
    <m/>
    <n v="0"/>
    <n v="0"/>
    <m/>
    <m/>
    <n v="0"/>
    <n v="0"/>
    <m/>
    <m/>
    <m/>
    <m/>
    <m/>
    <m/>
    <m/>
    <m/>
    <m/>
    <m/>
    <m/>
    <m/>
    <m/>
    <m/>
    <m/>
    <m/>
    <m/>
    <m/>
    <m/>
    <m/>
    <m/>
    <m/>
    <m/>
    <m/>
    <n v="0"/>
    <n v="0"/>
    <n v="0"/>
  </r>
  <r>
    <s v=""/>
    <x v="1"/>
    <x v="9"/>
    <s v="CNTD"/>
    <x v="112"/>
    <s v="466K ONT VA 600K HOMEWIFI (466K ONT)"/>
    <x v="1"/>
    <x v="1"/>
    <x v="0"/>
    <m/>
    <m/>
    <d v="2024-06-01T00:00:00"/>
    <d v="2026-06-01T00:00:00"/>
    <m/>
    <m/>
    <s v="PO-92236"/>
    <m/>
    <n v="1205609"/>
    <n v="1205609"/>
    <m/>
    <m/>
    <n v="0"/>
    <n v="0"/>
    <m/>
    <m/>
    <m/>
    <m/>
    <m/>
    <m/>
    <m/>
    <m/>
    <m/>
    <m/>
    <m/>
    <m/>
    <m/>
    <m/>
    <m/>
    <m/>
    <m/>
    <m/>
    <m/>
    <n v="1205609"/>
    <m/>
    <m/>
    <m/>
    <m/>
    <n v="0"/>
    <n v="0"/>
    <n v="0"/>
  </r>
  <r>
    <s v=""/>
    <x v="1"/>
    <x v="9"/>
    <s v="SBH K2"/>
    <x v="110"/>
    <s v="466K ONT VA 600K HOMEWIFI"/>
    <x v="2"/>
    <x v="1"/>
    <x v="0"/>
    <m/>
    <n v="2137882670"/>
    <d v="2025-06-01T00:00:00"/>
    <d v="2026-06-01T00:00:00"/>
    <m/>
    <m/>
    <s v="PO-92236"/>
    <n v="2137882670"/>
    <n v="0"/>
    <n v="0"/>
    <m/>
    <m/>
    <n v="0"/>
    <n v="0"/>
    <m/>
    <m/>
    <m/>
    <m/>
    <m/>
    <m/>
    <m/>
    <m/>
    <m/>
    <m/>
    <m/>
    <m/>
    <m/>
    <m/>
    <m/>
    <m/>
    <m/>
    <m/>
    <m/>
    <m/>
    <m/>
    <m/>
    <m/>
    <m/>
    <n v="0"/>
    <n v="0"/>
    <n v="0"/>
  </r>
  <r>
    <n v="49"/>
    <x v="1"/>
    <x v="10"/>
    <s v="KTCN"/>
    <x v="113"/>
    <s v="HT QUAN LY GIAM SAT ONT CHO VMC"/>
    <x v="0"/>
    <x v="0"/>
    <x v="0"/>
    <n v="5204549994"/>
    <n v="962039944"/>
    <d v="2024-10-01T00:00:00"/>
    <d v="2025-06-01T00:00:00"/>
    <s v="dungtx@viettel.com.vn"/>
    <s v="lanttp@viettel.com.vn"/>
    <s v="PO-92700"/>
    <n v="659147445"/>
    <n v="302892499"/>
    <n v="0"/>
    <n v="77969193"/>
    <n v="6516186"/>
    <n v="109257038"/>
    <n v="109150082"/>
    <m/>
    <m/>
    <m/>
    <m/>
    <m/>
    <m/>
    <m/>
    <m/>
    <n v="0"/>
    <n v="0"/>
    <n v="0"/>
    <n v="0"/>
    <n v="0"/>
    <n v="0"/>
    <n v="0"/>
    <n v="0"/>
    <n v="0"/>
    <n v="0"/>
    <n v="0"/>
    <n v="0"/>
    <n v="0"/>
    <n v="0"/>
    <n v="0"/>
    <n v="0"/>
    <n v="0"/>
    <m/>
    <m/>
  </r>
  <r>
    <s v=""/>
    <x v="1"/>
    <x v="10"/>
    <s v="KTCN"/>
    <x v="113"/>
    <s v="HT QUAN LY GIAM SAT ONT CHO VMC"/>
    <x v="0"/>
    <x v="1"/>
    <x v="0"/>
    <m/>
    <n v="728847075"/>
    <d v="2024-10-01T00:00:00"/>
    <d v="2025-06-01T00:00:00"/>
    <m/>
    <m/>
    <s v="PO-92700"/>
    <n v="425954576"/>
    <n v="302892499"/>
    <n v="0"/>
    <n v="77969193"/>
    <n v="6516186"/>
    <n v="109257038"/>
    <n v="109150082"/>
    <n v="109150082"/>
    <n v="109150082"/>
    <m/>
    <m/>
    <m/>
    <m/>
    <m/>
    <m/>
    <m/>
    <m/>
    <m/>
    <m/>
    <m/>
    <m/>
    <m/>
    <m/>
    <m/>
    <m/>
    <m/>
    <m/>
    <m/>
    <m/>
    <m/>
    <m/>
    <n v="0"/>
    <n v="86865443.833333328"/>
    <n v="238879970.54166666"/>
  </r>
  <r>
    <s v=""/>
    <x v="1"/>
    <x v="10"/>
    <s v="KTCN"/>
    <x v="113"/>
    <s v="HT QUAN LY GIAM SAT ONT CHO VMC"/>
    <x v="2"/>
    <x v="1"/>
    <x v="0"/>
    <m/>
    <n v="233192869"/>
    <d v="2025-06-01T00:00:00"/>
    <d v="2026-06-01T00:00:00"/>
    <m/>
    <m/>
    <s v="PO-92700"/>
    <n v="233192869"/>
    <n v="0"/>
    <m/>
    <m/>
    <m/>
    <n v="0"/>
    <n v="0"/>
    <m/>
    <m/>
    <m/>
    <m/>
    <m/>
    <m/>
    <m/>
    <m/>
    <m/>
    <m/>
    <m/>
    <m/>
    <m/>
    <m/>
    <m/>
    <m/>
    <m/>
    <m/>
    <m/>
    <m/>
    <m/>
    <m/>
    <m/>
    <m/>
    <n v="0"/>
    <n v="0"/>
    <n v="0"/>
  </r>
  <r>
    <n v="50"/>
    <x v="1"/>
    <x v="11"/>
    <s v="SBH K2"/>
    <x v="114"/>
    <s v="STRACKING"/>
    <x v="0"/>
    <x v="0"/>
    <x v="1"/>
    <n v="51888117096"/>
    <n v="2161753707"/>
    <d v="2020-07-01T00:00:00"/>
    <d v="2025-02-01T00:00:00"/>
    <s v="quangnv6@viettel.com.vn"/>
    <s v="hanglt1@viettel.com.vn"/>
    <s v="Check lại mã 2"/>
    <n v="402464745"/>
    <n v="1759288962"/>
    <n v="1743805130"/>
    <n v="2579770"/>
    <n v="0"/>
    <n v="12904062"/>
    <n v="0"/>
    <m/>
    <m/>
    <m/>
    <m/>
    <m/>
    <m/>
    <m/>
    <m/>
    <n v="34243443"/>
    <n v="25716428"/>
    <n v="19718322"/>
    <n v="13001513"/>
    <n v="15324777"/>
    <n v="12072209"/>
    <n v="13513419"/>
    <n v="18076239"/>
    <n v="14108573"/>
    <n v="14810411"/>
    <n v="13495158"/>
    <n v="14780411"/>
    <n v="0"/>
    <n v="13416648"/>
    <n v="76097604"/>
    <n v="1445429975"/>
    <n v="0"/>
    <n v="2580638.6666666665"/>
    <n v="7096756.333333333"/>
  </r>
  <r>
    <s v=""/>
    <x v="1"/>
    <x v="11"/>
    <s v="IOT"/>
    <x v="114"/>
    <s v="STRACKING"/>
    <x v="0"/>
    <x v="1"/>
    <x v="1"/>
    <m/>
    <m/>
    <d v="2020-07-01T00:00:00"/>
    <d v="2025-02-01T00:00:00"/>
    <m/>
    <m/>
    <s v="Check lại mã 2"/>
    <m/>
    <n v="1759288962"/>
    <n v="1743805130"/>
    <n v="2579770"/>
    <m/>
    <n v="12904062"/>
    <n v="0"/>
    <m/>
    <m/>
    <m/>
    <m/>
    <m/>
    <m/>
    <m/>
    <m/>
    <n v="34243443"/>
    <n v="25716428"/>
    <n v="19718322"/>
    <n v="13001513"/>
    <n v="15324777"/>
    <n v="12072209"/>
    <n v="13513419"/>
    <n v="18076239"/>
    <n v="14108573"/>
    <n v="14810411"/>
    <n v="13495158"/>
    <n v="14780411"/>
    <m/>
    <n v="13416648"/>
    <n v="76097604"/>
    <n v="1445429975"/>
    <n v="0"/>
    <n v="2580638.6666666665"/>
    <n v="7096756.333333333"/>
  </r>
  <r>
    <n v="51"/>
    <x v="1"/>
    <x v="11"/>
    <s v="SBH K2"/>
    <x v="115"/>
    <s v="SMSC VIETTEL CAMBODIA"/>
    <x v="0"/>
    <x v="0"/>
    <x v="0"/>
    <n v="1526258952"/>
    <n v="462595421"/>
    <d v="2024-05-01T00:00:00"/>
    <d v="2025-05-01T00:00:00"/>
    <s v="quangnv6@viettel.com.vn"/>
    <s v="hanglt1@viettel.com.vn"/>
    <s v="PO-92235"/>
    <n v="400942020"/>
    <n v="61653401"/>
    <n v="61653401"/>
    <m/>
    <m/>
    <n v="0"/>
    <n v="0"/>
    <m/>
    <m/>
    <m/>
    <m/>
    <m/>
    <m/>
    <m/>
    <m/>
    <n v="0"/>
    <n v="0"/>
    <n v="0"/>
    <n v="0"/>
    <n v="0"/>
    <n v="0"/>
    <n v="0"/>
    <n v="0"/>
    <n v="0"/>
    <n v="12804001"/>
    <n v="15222215"/>
    <n v="11168503"/>
    <n v="4483022"/>
    <n v="3000000"/>
    <n v="14975660"/>
    <n v="0"/>
    <n v="0"/>
    <m/>
    <m/>
  </r>
  <r>
    <s v=""/>
    <x v="1"/>
    <x v="11"/>
    <s v="SBH K2"/>
    <x v="115"/>
    <s v="SMSC VIETTEL CAMBODIA"/>
    <x v="0"/>
    <x v="1"/>
    <x v="0"/>
    <m/>
    <n v="374200370"/>
    <d v="2024-05-01T00:00:00"/>
    <d v="2025-05-01T00:00:00"/>
    <m/>
    <m/>
    <s v="PO-92235"/>
    <n v="312546969"/>
    <n v="61653401"/>
    <n v="61653401"/>
    <m/>
    <m/>
    <n v="0"/>
    <n v="0"/>
    <m/>
    <m/>
    <m/>
    <m/>
    <m/>
    <m/>
    <m/>
    <m/>
    <m/>
    <m/>
    <m/>
    <m/>
    <m/>
    <m/>
    <m/>
    <m/>
    <m/>
    <n v="12804001"/>
    <n v="15222215"/>
    <n v="11168503"/>
    <n v="4483022"/>
    <n v="3000000"/>
    <n v="14975660"/>
    <m/>
    <n v="0"/>
    <n v="0"/>
    <n v="0"/>
  </r>
  <r>
    <s v=""/>
    <x v="1"/>
    <x v="11"/>
    <s v="SBH K2"/>
    <x v="115"/>
    <s v="SMSC VIETTEL CAMBODIA"/>
    <x v="1"/>
    <x v="1"/>
    <x v="0"/>
    <m/>
    <n v="88395051"/>
    <d v="2024-05-01T00:00:00"/>
    <d v="2025-05-01T00:00:00"/>
    <m/>
    <m/>
    <s v="PO-92235"/>
    <n v="88395051"/>
    <n v="0"/>
    <n v="0"/>
    <m/>
    <m/>
    <n v="0"/>
    <n v="0"/>
    <m/>
    <m/>
    <m/>
    <m/>
    <m/>
    <m/>
    <m/>
    <m/>
    <m/>
    <m/>
    <m/>
    <m/>
    <m/>
    <m/>
    <m/>
    <m/>
    <m/>
    <m/>
    <m/>
    <m/>
    <m/>
    <m/>
    <m/>
    <m/>
    <n v="0"/>
    <n v="0"/>
    <n v="0"/>
  </r>
  <r>
    <n v="52"/>
    <x v="1"/>
    <x v="11"/>
    <s v="SBH K2"/>
    <x v="116"/>
    <s v="OCS 1M VTB"/>
    <x v="0"/>
    <x v="0"/>
    <x v="0"/>
    <n v="1664642000"/>
    <n v="783823000"/>
    <d v="2024-11-01T00:00:00"/>
    <d v="2026-01-01T00:00:00"/>
    <s v="quangnv6@viettel.com.vn"/>
    <s v="hanglt1@viettel.com.vn"/>
    <s v="PO-92239"/>
    <n v="712734893"/>
    <n v="71088107"/>
    <n v="71088107"/>
    <m/>
    <m/>
    <n v="0"/>
    <n v="0"/>
    <m/>
    <m/>
    <m/>
    <m/>
    <m/>
    <m/>
    <m/>
    <m/>
    <n v="0"/>
    <n v="0"/>
    <n v="0"/>
    <n v="0"/>
    <n v="0"/>
    <n v="0"/>
    <n v="0"/>
    <n v="0"/>
    <n v="0"/>
    <n v="0"/>
    <n v="0"/>
    <n v="25535167"/>
    <n v="24574932"/>
    <n v="3528160"/>
    <n v="17449848"/>
    <n v="0"/>
    <n v="0"/>
    <m/>
    <m/>
  </r>
  <r>
    <s v=""/>
    <x v="1"/>
    <x v="11"/>
    <s v="SBH K2"/>
    <x v="116"/>
    <s v="OCS 1M VTB"/>
    <x v="0"/>
    <x v="1"/>
    <x v="1"/>
    <m/>
    <n v="564758000"/>
    <d v="2024-11-01T00:00:00"/>
    <d v="2024-12-01T00:00:00"/>
    <m/>
    <m/>
    <s v="PO-92239"/>
    <m/>
    <n v="71088107"/>
    <n v="71088107"/>
    <m/>
    <m/>
    <n v="0"/>
    <n v="0"/>
    <m/>
    <m/>
    <m/>
    <m/>
    <m/>
    <m/>
    <m/>
    <m/>
    <m/>
    <m/>
    <m/>
    <m/>
    <m/>
    <m/>
    <m/>
    <m/>
    <m/>
    <m/>
    <m/>
    <n v="25535167"/>
    <n v="24574932"/>
    <n v="3528160"/>
    <n v="17449848"/>
    <m/>
    <n v="0"/>
    <n v="0"/>
    <n v="0"/>
  </r>
  <r>
    <s v=""/>
    <x v="1"/>
    <x v="11"/>
    <s v="SBH K2"/>
    <x v="116"/>
    <s v="OCS 1M VTB"/>
    <x v="2"/>
    <x v="1"/>
    <x v="0"/>
    <m/>
    <n v="219065000"/>
    <d v="2025-01-01T00:00:00"/>
    <d v="2026-01-01T00:00:00"/>
    <m/>
    <m/>
    <s v="PO-92239"/>
    <n v="219065000"/>
    <n v="0"/>
    <n v="0"/>
    <m/>
    <m/>
    <n v="0"/>
    <n v="0"/>
    <m/>
    <m/>
    <m/>
    <m/>
    <m/>
    <m/>
    <m/>
    <m/>
    <m/>
    <m/>
    <m/>
    <m/>
    <m/>
    <m/>
    <m/>
    <m/>
    <m/>
    <m/>
    <m/>
    <m/>
    <m/>
    <m/>
    <m/>
    <m/>
    <n v="0"/>
    <n v="0"/>
    <n v="0"/>
  </r>
  <r>
    <n v="53"/>
    <x v="1"/>
    <x v="11"/>
    <s v="SBH K2"/>
    <x v="117"/>
    <m/>
    <x v="0"/>
    <x v="0"/>
    <x v="1"/>
    <n v="52642918559"/>
    <n v="22635472641.400002"/>
    <d v="2023-12-01T00:00:00"/>
    <d v="2025-02-01T00:00:00"/>
    <s v="quangnv6@viettel.com.vn"/>
    <s v="hanglt1@viettel.com.vn"/>
    <s v="PO-92180"/>
    <n v="-3555717259.5999985"/>
    <n v="26191189901"/>
    <n v="26189401058"/>
    <n v="832020"/>
    <n v="956823"/>
    <n v="0"/>
    <n v="0"/>
    <m/>
    <m/>
    <m/>
    <m/>
    <m/>
    <m/>
    <m/>
    <m/>
    <n v="1679310552"/>
    <n v="1679065591"/>
    <n v="1896706160"/>
    <n v="1739735850"/>
    <n v="1706422521"/>
    <n v="1776679629"/>
    <n v="2175981982"/>
    <n v="1440621527"/>
    <n v="2262934741"/>
    <n v="925006332"/>
    <n v="691901455"/>
    <n v="699101409"/>
    <n v="725670502"/>
    <n v="1208394970"/>
    <n v="5581867837"/>
    <n v="0"/>
    <n v="0"/>
    <n v="298140.5"/>
    <n v="819886.375"/>
  </r>
  <r>
    <s v=""/>
    <x v="1"/>
    <x v="11"/>
    <s v="NTTT"/>
    <x v="118"/>
    <m/>
    <x v="0"/>
    <x v="1"/>
    <x v="1"/>
    <n v="40116322146"/>
    <n v="6675558429"/>
    <m/>
    <m/>
    <m/>
    <m/>
    <s v="PO-92180"/>
    <m/>
    <n v="0"/>
    <n v="0"/>
    <m/>
    <m/>
    <n v="0"/>
    <n v="0"/>
    <m/>
    <m/>
    <m/>
    <m/>
    <m/>
    <m/>
    <m/>
    <m/>
    <m/>
    <m/>
    <m/>
    <m/>
    <m/>
    <m/>
    <m/>
    <m/>
    <m/>
    <m/>
    <m/>
    <m/>
    <m/>
    <m/>
    <m/>
    <m/>
    <n v="0"/>
    <n v="0"/>
    <n v="0"/>
  </r>
  <r>
    <s v=""/>
    <x v="1"/>
    <x v="11"/>
    <s v="SBH K2"/>
    <x v="118"/>
    <m/>
    <x v="0"/>
    <x v="1"/>
    <x v="1"/>
    <m/>
    <m/>
    <m/>
    <m/>
    <m/>
    <m/>
    <s v="PO-92180"/>
    <m/>
    <n v="0"/>
    <n v="0"/>
    <m/>
    <m/>
    <n v="0"/>
    <n v="0"/>
    <m/>
    <m/>
    <m/>
    <m/>
    <m/>
    <m/>
    <m/>
    <m/>
    <m/>
    <m/>
    <m/>
    <m/>
    <m/>
    <m/>
    <m/>
    <m/>
    <m/>
    <m/>
    <m/>
    <m/>
    <m/>
    <m/>
    <m/>
    <m/>
    <n v="0"/>
    <n v="0"/>
    <n v="0"/>
  </r>
  <r>
    <s v=""/>
    <x v="1"/>
    <x v="11"/>
    <s v="SBH K2"/>
    <x v="118"/>
    <m/>
    <x v="0"/>
    <x v="1"/>
    <x v="1"/>
    <m/>
    <m/>
    <m/>
    <m/>
    <m/>
    <m/>
    <s v="PO-92180"/>
    <m/>
    <n v="12326399745"/>
    <n v="12326399745"/>
    <m/>
    <m/>
    <n v="0"/>
    <n v="0"/>
    <m/>
    <m/>
    <m/>
    <m/>
    <m/>
    <m/>
    <m/>
    <m/>
    <n v="958020930"/>
    <n v="940771274"/>
    <n v="1008053940"/>
    <n v="998842363"/>
    <n v="1051732056"/>
    <n v="1053537785"/>
    <n v="718657059"/>
    <n v="826014087"/>
    <n v="707015553"/>
    <n v="265001385"/>
    <n v="222831410"/>
    <n v="206894452"/>
    <n v="254682611"/>
    <n v="552918554"/>
    <n v="2561426286"/>
    <m/>
    <n v="0"/>
    <n v="0"/>
    <n v="0"/>
  </r>
  <r>
    <s v=""/>
    <x v="1"/>
    <x v="11"/>
    <s v="CNCM"/>
    <x v="119"/>
    <m/>
    <x v="0"/>
    <x v="1"/>
    <x v="1"/>
    <m/>
    <n v="244812686"/>
    <m/>
    <m/>
    <m/>
    <m/>
    <s v="PO-92180"/>
    <m/>
    <n v="0"/>
    <n v="0"/>
    <m/>
    <m/>
    <n v="0"/>
    <n v="0"/>
    <m/>
    <m/>
    <m/>
    <m/>
    <m/>
    <m/>
    <m/>
    <m/>
    <m/>
    <m/>
    <m/>
    <m/>
    <m/>
    <m/>
    <m/>
    <m/>
    <m/>
    <m/>
    <m/>
    <m/>
    <m/>
    <m/>
    <m/>
    <m/>
    <n v="0"/>
    <n v="0"/>
    <n v="0"/>
  </r>
  <r>
    <s v=""/>
    <x v="1"/>
    <x v="11"/>
    <s v="SBH K2+OCS"/>
    <x v="119"/>
    <m/>
    <x v="0"/>
    <x v="1"/>
    <x v="1"/>
    <m/>
    <m/>
    <m/>
    <m/>
    <m/>
    <m/>
    <s v="PO-92180"/>
    <m/>
    <n v="767222153"/>
    <n v="767222153"/>
    <m/>
    <m/>
    <n v="0"/>
    <n v="0"/>
    <m/>
    <m/>
    <m/>
    <m/>
    <m/>
    <m/>
    <m/>
    <m/>
    <n v="69911269"/>
    <n v="62532525"/>
    <n v="63365855"/>
    <n v="60018025"/>
    <n v="57978906"/>
    <n v="71229388"/>
    <n v="33385215"/>
    <n v="56751405"/>
    <n v="60314280"/>
    <n v="8866431"/>
    <n v="8131956"/>
    <n v="6595242"/>
    <n v="6381383"/>
    <n v="34707355"/>
    <n v="167052918"/>
    <m/>
    <n v="0"/>
    <n v="0"/>
    <n v="0"/>
  </r>
  <r>
    <s v=""/>
    <x v="1"/>
    <x v="11"/>
    <s v="ĐPT"/>
    <x v="120"/>
    <m/>
    <x v="0"/>
    <x v="1"/>
    <x v="1"/>
    <m/>
    <n v="1271083965"/>
    <m/>
    <m/>
    <m/>
    <m/>
    <s v="PO-92180"/>
    <m/>
    <n v="0"/>
    <n v="0"/>
    <m/>
    <m/>
    <n v="0"/>
    <n v="0"/>
    <m/>
    <m/>
    <m/>
    <m/>
    <m/>
    <m/>
    <m/>
    <m/>
    <m/>
    <m/>
    <m/>
    <m/>
    <m/>
    <m/>
    <m/>
    <m/>
    <m/>
    <m/>
    <m/>
    <m/>
    <m/>
    <m/>
    <m/>
    <m/>
    <n v="0"/>
    <n v="0"/>
    <n v="0"/>
  </r>
  <r>
    <s v=""/>
    <x v="1"/>
    <x v="11"/>
    <s v="SBH K2"/>
    <x v="120"/>
    <m/>
    <x v="0"/>
    <x v="1"/>
    <x v="1"/>
    <m/>
    <m/>
    <m/>
    <m/>
    <m/>
    <m/>
    <s v="PO-92180"/>
    <m/>
    <n v="0"/>
    <n v="0"/>
    <m/>
    <m/>
    <n v="0"/>
    <n v="0"/>
    <m/>
    <m/>
    <m/>
    <m/>
    <m/>
    <m/>
    <m/>
    <m/>
    <m/>
    <m/>
    <m/>
    <m/>
    <m/>
    <m/>
    <m/>
    <m/>
    <m/>
    <m/>
    <m/>
    <m/>
    <m/>
    <m/>
    <m/>
    <m/>
    <n v="0"/>
    <n v="0"/>
    <n v="0"/>
  </r>
  <r>
    <s v=""/>
    <x v="1"/>
    <x v="11"/>
    <s v="SBH K2+OCS+ĐPT"/>
    <x v="120"/>
    <m/>
    <x v="0"/>
    <x v="1"/>
    <x v="1"/>
    <m/>
    <m/>
    <m/>
    <m/>
    <m/>
    <m/>
    <s v="PO-92180"/>
    <m/>
    <n v="1147107298"/>
    <n v="1147107298"/>
    <m/>
    <m/>
    <n v="0"/>
    <n v="0"/>
    <m/>
    <m/>
    <m/>
    <m/>
    <m/>
    <m/>
    <m/>
    <m/>
    <m/>
    <m/>
    <n v="60907125"/>
    <n v="51874191"/>
    <n v="56940552"/>
    <n v="60510273"/>
    <n v="137435594"/>
    <n v="52897143"/>
    <n v="138803418"/>
    <n v="66547280"/>
    <n v="60580232"/>
    <n v="66219781"/>
    <n v="64827360"/>
    <n v="60903272"/>
    <n v="268661077"/>
    <m/>
    <n v="0"/>
    <n v="0"/>
    <n v="0"/>
  </r>
  <r>
    <s v=""/>
    <x v="1"/>
    <x v="11"/>
    <s v="KTCN"/>
    <x v="120"/>
    <m/>
    <x v="0"/>
    <x v="1"/>
    <x v="1"/>
    <m/>
    <m/>
    <m/>
    <m/>
    <m/>
    <m/>
    <s v="PO-92180"/>
    <m/>
    <n v="138028632"/>
    <n v="138028632"/>
    <m/>
    <m/>
    <n v="0"/>
    <n v="0"/>
    <m/>
    <m/>
    <m/>
    <m/>
    <m/>
    <m/>
    <m/>
    <m/>
    <n v="73759774"/>
    <n v="64268858"/>
    <m/>
    <m/>
    <m/>
    <m/>
    <m/>
    <m/>
    <m/>
    <m/>
    <m/>
    <m/>
    <m/>
    <m/>
    <m/>
    <m/>
    <n v="0"/>
    <n v="0"/>
    <n v="0"/>
  </r>
  <r>
    <s v=""/>
    <x v="1"/>
    <x v="11"/>
    <s v="ĐPT"/>
    <x v="121"/>
    <m/>
    <x v="0"/>
    <x v="1"/>
    <x v="1"/>
    <m/>
    <n v="1004993034"/>
    <m/>
    <m/>
    <m/>
    <m/>
    <s v="PO-92180"/>
    <m/>
    <n v="0"/>
    <n v="0"/>
    <m/>
    <m/>
    <n v="0"/>
    <n v="0"/>
    <m/>
    <m/>
    <m/>
    <m/>
    <m/>
    <m/>
    <m/>
    <m/>
    <m/>
    <m/>
    <m/>
    <m/>
    <m/>
    <m/>
    <m/>
    <m/>
    <m/>
    <m/>
    <m/>
    <m/>
    <m/>
    <m/>
    <m/>
    <m/>
    <n v="0"/>
    <n v="0"/>
    <n v="0"/>
  </r>
  <r>
    <s v=""/>
    <x v="1"/>
    <x v="11"/>
    <s v="CNCM"/>
    <x v="121"/>
    <m/>
    <x v="0"/>
    <x v="1"/>
    <x v="1"/>
    <m/>
    <m/>
    <m/>
    <m/>
    <m/>
    <m/>
    <s v="PO-92180"/>
    <m/>
    <n v="0"/>
    <n v="0"/>
    <m/>
    <m/>
    <n v="0"/>
    <n v="0"/>
    <m/>
    <m/>
    <m/>
    <m/>
    <m/>
    <m/>
    <m/>
    <m/>
    <m/>
    <m/>
    <m/>
    <m/>
    <m/>
    <m/>
    <m/>
    <m/>
    <m/>
    <m/>
    <m/>
    <m/>
    <m/>
    <m/>
    <m/>
    <m/>
    <n v="0"/>
    <n v="0"/>
    <n v="0"/>
  </r>
  <r>
    <s v=""/>
    <x v="1"/>
    <x v="11"/>
    <s v="SBH K2"/>
    <x v="121"/>
    <m/>
    <x v="0"/>
    <x v="1"/>
    <x v="1"/>
    <m/>
    <m/>
    <m/>
    <m/>
    <m/>
    <m/>
    <s v="PO-92180"/>
    <m/>
    <n v="0"/>
    <n v="0"/>
    <m/>
    <m/>
    <n v="0"/>
    <n v="0"/>
    <m/>
    <m/>
    <m/>
    <m/>
    <m/>
    <m/>
    <m/>
    <m/>
    <m/>
    <m/>
    <m/>
    <m/>
    <m/>
    <m/>
    <m/>
    <m/>
    <m/>
    <m/>
    <m/>
    <m/>
    <m/>
    <m/>
    <m/>
    <m/>
    <n v="0"/>
    <n v="0"/>
    <n v="0"/>
  </r>
  <r>
    <s v=""/>
    <x v="1"/>
    <x v="11"/>
    <s v="SBH K2"/>
    <x v="121"/>
    <m/>
    <x v="0"/>
    <x v="1"/>
    <x v="1"/>
    <m/>
    <m/>
    <m/>
    <m/>
    <m/>
    <m/>
    <s v="PO-92180"/>
    <m/>
    <n v="1331159768"/>
    <n v="1331159768"/>
    <m/>
    <m/>
    <n v="0"/>
    <n v="0"/>
    <m/>
    <m/>
    <m/>
    <m/>
    <m/>
    <m/>
    <m/>
    <m/>
    <n v="63162656"/>
    <n v="59286414"/>
    <n v="108780856"/>
    <n v="102600953"/>
    <n v="95650098"/>
    <n v="107489970"/>
    <n v="98810232"/>
    <n v="72956723"/>
    <n v="94128772"/>
    <n v="46548168"/>
    <n v="44826816"/>
    <n v="49006035"/>
    <n v="46802346"/>
    <n v="61207063"/>
    <n v="279902666"/>
    <m/>
    <n v="0"/>
    <n v="0"/>
    <n v="0"/>
  </r>
  <r>
    <s v=""/>
    <x v="1"/>
    <x v="11"/>
    <s v="ĐPT"/>
    <x v="122"/>
    <m/>
    <x v="0"/>
    <x v="1"/>
    <x v="1"/>
    <m/>
    <n v="801269630"/>
    <m/>
    <m/>
    <m/>
    <m/>
    <s v="PO-92180"/>
    <m/>
    <n v="0"/>
    <n v="0"/>
    <m/>
    <m/>
    <n v="0"/>
    <n v="0"/>
    <m/>
    <m/>
    <m/>
    <m/>
    <m/>
    <m/>
    <m/>
    <m/>
    <m/>
    <m/>
    <m/>
    <m/>
    <m/>
    <m/>
    <m/>
    <m/>
    <m/>
    <m/>
    <m/>
    <m/>
    <m/>
    <m/>
    <m/>
    <m/>
    <n v="0"/>
    <n v="0"/>
    <n v="0"/>
  </r>
  <r>
    <s v=""/>
    <x v="1"/>
    <x v="11"/>
    <s v="CNCM"/>
    <x v="122"/>
    <m/>
    <x v="0"/>
    <x v="1"/>
    <x v="1"/>
    <m/>
    <m/>
    <m/>
    <m/>
    <m/>
    <m/>
    <s v="PO-92180"/>
    <m/>
    <n v="0"/>
    <n v="0"/>
    <m/>
    <m/>
    <n v="0"/>
    <n v="0"/>
    <m/>
    <m/>
    <m/>
    <m/>
    <m/>
    <m/>
    <m/>
    <m/>
    <m/>
    <m/>
    <m/>
    <m/>
    <m/>
    <m/>
    <m/>
    <m/>
    <m/>
    <m/>
    <m/>
    <m/>
    <m/>
    <m/>
    <m/>
    <m/>
    <n v="0"/>
    <n v="0"/>
    <n v="0"/>
  </r>
  <r>
    <s v=""/>
    <x v="1"/>
    <x v="11"/>
    <s v="SBH K2"/>
    <x v="122"/>
    <m/>
    <x v="0"/>
    <x v="1"/>
    <x v="1"/>
    <m/>
    <m/>
    <m/>
    <m/>
    <m/>
    <m/>
    <s v="PO-92180"/>
    <m/>
    <n v="0"/>
    <n v="0"/>
    <m/>
    <m/>
    <n v="0"/>
    <n v="0"/>
    <m/>
    <m/>
    <m/>
    <m/>
    <m/>
    <m/>
    <m/>
    <m/>
    <m/>
    <m/>
    <m/>
    <m/>
    <m/>
    <m/>
    <m/>
    <m/>
    <m/>
    <m/>
    <m/>
    <m/>
    <m/>
    <m/>
    <m/>
    <m/>
    <n v="0"/>
    <n v="0"/>
    <n v="0"/>
  </r>
  <r>
    <s v=""/>
    <x v="1"/>
    <x v="11"/>
    <s v="SBH K2+CMCN"/>
    <x v="122"/>
    <m/>
    <x v="0"/>
    <x v="1"/>
    <x v="1"/>
    <m/>
    <m/>
    <m/>
    <m/>
    <m/>
    <m/>
    <s v="PO-92180"/>
    <m/>
    <n v="1142967660"/>
    <n v="1142967660"/>
    <m/>
    <m/>
    <n v="0"/>
    <n v="0"/>
    <m/>
    <m/>
    <m/>
    <m/>
    <m/>
    <m/>
    <m/>
    <m/>
    <m/>
    <m/>
    <n v="149385800"/>
    <n v="86706223"/>
    <n v="79156991"/>
    <n v="94057577"/>
    <n v="82222843"/>
    <n v="75956816"/>
    <n v="82290320"/>
    <n v="42204630"/>
    <n v="36772598"/>
    <n v="40274759"/>
    <n v="38488462"/>
    <n v="58905531"/>
    <n v="276545110"/>
    <m/>
    <n v="0"/>
    <n v="0"/>
    <n v="0"/>
  </r>
  <r>
    <s v=""/>
    <x v="1"/>
    <x v="11"/>
    <s v="CNTD"/>
    <x v="122"/>
    <m/>
    <x v="0"/>
    <x v="1"/>
    <x v="1"/>
    <m/>
    <m/>
    <m/>
    <m/>
    <m/>
    <m/>
    <s v="PO-92180"/>
    <m/>
    <n v="135173307"/>
    <n v="135173307"/>
    <m/>
    <m/>
    <n v="0"/>
    <n v="0"/>
    <m/>
    <m/>
    <m/>
    <m/>
    <m/>
    <m/>
    <m/>
    <m/>
    <n v="62716202"/>
    <n v="72457105"/>
    <m/>
    <m/>
    <m/>
    <m/>
    <m/>
    <m/>
    <m/>
    <m/>
    <m/>
    <m/>
    <m/>
    <m/>
    <m/>
    <m/>
    <n v="0"/>
    <n v="0"/>
    <n v="0"/>
  </r>
  <r>
    <s v=""/>
    <x v="1"/>
    <x v="11"/>
    <s v="SBH K2"/>
    <x v="123"/>
    <m/>
    <x v="0"/>
    <x v="1"/>
    <x v="1"/>
    <m/>
    <n v="3673705842"/>
    <m/>
    <m/>
    <m/>
    <m/>
    <s v="PO-92180"/>
    <m/>
    <n v="0"/>
    <n v="0"/>
    <m/>
    <m/>
    <n v="0"/>
    <n v="0"/>
    <m/>
    <m/>
    <m/>
    <m/>
    <m/>
    <m/>
    <m/>
    <m/>
    <m/>
    <m/>
    <m/>
    <m/>
    <m/>
    <m/>
    <m/>
    <m/>
    <m/>
    <m/>
    <m/>
    <m/>
    <m/>
    <m/>
    <m/>
    <m/>
    <n v="0"/>
    <n v="0"/>
    <n v="0"/>
  </r>
  <r>
    <s v=""/>
    <x v="1"/>
    <x v="11"/>
    <s v="ĐPT"/>
    <x v="123"/>
    <m/>
    <x v="0"/>
    <x v="1"/>
    <x v="1"/>
    <m/>
    <m/>
    <m/>
    <m/>
    <m/>
    <m/>
    <s v="PO-92180"/>
    <m/>
    <n v="0"/>
    <n v="0"/>
    <m/>
    <m/>
    <n v="0"/>
    <n v="0"/>
    <m/>
    <m/>
    <m/>
    <m/>
    <m/>
    <m/>
    <m/>
    <m/>
    <m/>
    <m/>
    <m/>
    <m/>
    <m/>
    <m/>
    <m/>
    <m/>
    <m/>
    <m/>
    <m/>
    <m/>
    <m/>
    <m/>
    <m/>
    <m/>
    <n v="0"/>
    <n v="0"/>
    <n v="0"/>
  </r>
  <r>
    <s v=""/>
    <x v="1"/>
    <x v="11"/>
    <s v="SBH K2+ĐPT"/>
    <x v="123"/>
    <m/>
    <x v="0"/>
    <x v="1"/>
    <x v="1"/>
    <m/>
    <m/>
    <m/>
    <m/>
    <m/>
    <m/>
    <s v="PO-92180"/>
    <m/>
    <n v="2722682162"/>
    <n v="2722682162"/>
    <m/>
    <m/>
    <n v="0"/>
    <n v="0"/>
    <m/>
    <m/>
    <m/>
    <m/>
    <m/>
    <m/>
    <m/>
    <m/>
    <n v="112088076"/>
    <n v="126415796"/>
    <n v="153457675"/>
    <n v="136157304"/>
    <n v="121382395"/>
    <n v="138817652"/>
    <n v="275318305"/>
    <n v="109808613"/>
    <n v="279779447"/>
    <n v="128018674"/>
    <n v="121505466"/>
    <n v="133562578"/>
    <n v="129835532"/>
    <n v="127404495"/>
    <n v="629130154"/>
    <m/>
    <n v="0"/>
    <n v="0"/>
    <n v="0"/>
  </r>
  <r>
    <s v=""/>
    <x v="1"/>
    <x v="11"/>
    <s v="SBH K2"/>
    <x v="124"/>
    <m/>
    <x v="0"/>
    <x v="1"/>
    <x v="1"/>
    <m/>
    <n v="1317810442"/>
    <m/>
    <m/>
    <m/>
    <m/>
    <s v="PO-92180"/>
    <m/>
    <n v="0"/>
    <n v="0"/>
    <m/>
    <m/>
    <n v="0"/>
    <n v="0"/>
    <m/>
    <m/>
    <m/>
    <m/>
    <m/>
    <m/>
    <m/>
    <m/>
    <m/>
    <m/>
    <m/>
    <m/>
    <m/>
    <m/>
    <m/>
    <m/>
    <m/>
    <m/>
    <m/>
    <m/>
    <m/>
    <m/>
    <m/>
    <m/>
    <n v="0"/>
    <n v="0"/>
    <n v="0"/>
  </r>
  <r>
    <s v=""/>
    <x v="1"/>
    <x v="11"/>
    <s v="NTTT"/>
    <x v="125"/>
    <m/>
    <x v="0"/>
    <x v="1"/>
    <x v="1"/>
    <n v="5818325548"/>
    <n v="1872908890.6500001"/>
    <m/>
    <m/>
    <m/>
    <m/>
    <s v="PO-92180"/>
    <m/>
    <n v="485993040"/>
    <n v="485993040"/>
    <m/>
    <m/>
    <n v="0"/>
    <n v="0"/>
    <m/>
    <m/>
    <m/>
    <m/>
    <m/>
    <m/>
    <m/>
    <m/>
    <n v="7670753"/>
    <n v="8401303"/>
    <n v="8570517"/>
    <n v="8588582"/>
    <n v="11967410"/>
    <n v="14339912"/>
    <n v="120169168"/>
    <n v="8679851"/>
    <n v="119820816"/>
    <n v="43381288"/>
    <m/>
    <m/>
    <m/>
    <n v="23853789"/>
    <n v="110549651"/>
    <m/>
    <n v="0"/>
    <n v="0"/>
    <n v="0"/>
  </r>
  <r>
    <s v=""/>
    <x v="1"/>
    <x v="11"/>
    <s v="CNCM"/>
    <x v="126"/>
    <m/>
    <x v="0"/>
    <x v="1"/>
    <x v="1"/>
    <m/>
    <n v="536298186.90000004"/>
    <m/>
    <m/>
    <m/>
    <m/>
    <s v="PO-92180"/>
    <m/>
    <n v="418344912"/>
    <n v="418344912"/>
    <m/>
    <m/>
    <n v="0"/>
    <n v="0"/>
    <m/>
    <m/>
    <m/>
    <m/>
    <m/>
    <m/>
    <m/>
    <m/>
    <n v="30343480"/>
    <n v="27482649"/>
    <n v="33901916"/>
    <n v="28909809"/>
    <n v="29690943"/>
    <n v="36441771"/>
    <n v="31054734"/>
    <n v="25802525"/>
    <n v="32609492"/>
    <n v="24542199"/>
    <n v="3931532"/>
    <n v="4280964"/>
    <n v="2257395"/>
    <n v="19322153"/>
    <n v="87773350"/>
    <m/>
    <n v="0"/>
    <n v="0"/>
    <n v="0"/>
  </r>
  <r>
    <s v=""/>
    <x v="1"/>
    <x v="11"/>
    <s v="ĐPT"/>
    <x v="127"/>
    <m/>
    <x v="0"/>
    <x v="1"/>
    <x v="1"/>
    <m/>
    <n v="358092191.10000002"/>
    <m/>
    <m/>
    <m/>
    <m/>
    <s v="PO-92180"/>
    <m/>
    <n v="1386214732"/>
    <n v="1386214732"/>
    <m/>
    <m/>
    <n v="0"/>
    <n v="0"/>
    <m/>
    <m/>
    <m/>
    <m/>
    <m/>
    <m/>
    <m/>
    <m/>
    <n v="15723099"/>
    <n v="18251177"/>
    <n v="19994100"/>
    <n v="20012174"/>
    <n v="20940662"/>
    <n v="25076294"/>
    <n v="311954565"/>
    <n v="17897776"/>
    <n v="280452936"/>
    <n v="90427949"/>
    <n v="60130068"/>
    <n v="62655322"/>
    <n v="61150154"/>
    <n v="67689721"/>
    <n v="313858735"/>
    <m/>
    <n v="0"/>
    <n v="0"/>
    <n v="0"/>
  </r>
  <r>
    <s v=""/>
    <x v="1"/>
    <x v="11"/>
    <s v="SBH K2"/>
    <x v="128"/>
    <m/>
    <x v="0"/>
    <x v="1"/>
    <x v="1"/>
    <m/>
    <n v="457983417.15000004"/>
    <m/>
    <m/>
    <m/>
    <m/>
    <s v="PO-92180"/>
    <m/>
    <n v="0"/>
    <n v="0"/>
    <m/>
    <m/>
    <n v="0"/>
    <n v="0"/>
    <m/>
    <m/>
    <m/>
    <m/>
    <m/>
    <m/>
    <m/>
    <m/>
    <m/>
    <m/>
    <m/>
    <m/>
    <m/>
    <m/>
    <m/>
    <m/>
    <m/>
    <m/>
    <m/>
    <m/>
    <m/>
    <m/>
    <m/>
    <m/>
    <n v="0"/>
    <n v="0"/>
    <n v="0"/>
  </r>
  <r>
    <s v=""/>
    <x v="1"/>
    <x v="11"/>
    <s v="NTTT"/>
    <x v="129"/>
    <m/>
    <x v="0"/>
    <x v="1"/>
    <x v="1"/>
    <n v="658681276"/>
    <n v="322293753.64999998"/>
    <m/>
    <m/>
    <m/>
    <m/>
    <s v="PO-92180"/>
    <m/>
    <n v="0"/>
    <n v="0"/>
    <m/>
    <m/>
    <n v="0"/>
    <n v="0"/>
    <m/>
    <m/>
    <m/>
    <m/>
    <m/>
    <m/>
    <m/>
    <m/>
    <m/>
    <m/>
    <m/>
    <m/>
    <m/>
    <m/>
    <m/>
    <m/>
    <m/>
    <m/>
    <m/>
    <m/>
    <m/>
    <m/>
    <m/>
    <m/>
    <n v="0"/>
    <n v="0"/>
    <n v="0"/>
  </r>
  <r>
    <s v=""/>
    <x v="1"/>
    <x v="11"/>
    <s v="SBH K2"/>
    <x v="129"/>
    <m/>
    <x v="0"/>
    <x v="1"/>
    <x v="1"/>
    <m/>
    <m/>
    <m/>
    <m/>
    <m/>
    <m/>
    <s v="PO-92180"/>
    <m/>
    <n v="1788843"/>
    <n v="0"/>
    <n v="832020"/>
    <n v="956823"/>
    <n v="0"/>
    <n v="0"/>
    <m/>
    <m/>
    <m/>
    <m/>
    <m/>
    <m/>
    <m/>
    <m/>
    <m/>
    <m/>
    <m/>
    <m/>
    <m/>
    <m/>
    <m/>
    <m/>
    <m/>
    <m/>
    <m/>
    <m/>
    <m/>
    <m/>
    <m/>
    <m/>
    <n v="0"/>
    <n v="298140.5"/>
    <n v="819886.375"/>
  </r>
  <r>
    <s v=""/>
    <x v="1"/>
    <x v="11"/>
    <s v="OCS"/>
    <x v="129"/>
    <m/>
    <x v="0"/>
    <x v="1"/>
    <x v="1"/>
    <m/>
    <m/>
    <m/>
    <m/>
    <m/>
    <m/>
    <s v="PO-92180"/>
    <m/>
    <n v="356861294"/>
    <n v="356861294"/>
    <m/>
    <m/>
    <n v="0"/>
    <n v="0"/>
    <m/>
    <m/>
    <m/>
    <m/>
    <m/>
    <m/>
    <m/>
    <m/>
    <m/>
    <m/>
    <m/>
    <m/>
    <m/>
    <m/>
    <n v="42408239"/>
    <m/>
    <n v="55078897"/>
    <n v="53751091"/>
    <n v="38680851"/>
    <n v="33950166"/>
    <n v="33495471"/>
    <n v="17648205"/>
    <n v="81848374"/>
    <m/>
    <n v="0"/>
    <n v="0"/>
    <n v="0"/>
  </r>
  <r>
    <s v=""/>
    <x v="1"/>
    <x v="11"/>
    <s v="SBH K2"/>
    <x v="130"/>
    <m/>
    <x v="0"/>
    <x v="1"/>
    <x v="1"/>
    <m/>
    <n v="127643308.80000001"/>
    <m/>
    <m/>
    <m/>
    <m/>
    <s v="PO-92180"/>
    <m/>
    <n v="143587701"/>
    <n v="143587701"/>
    <m/>
    <m/>
    <n v="0"/>
    <n v="0"/>
    <m/>
    <m/>
    <m/>
    <m/>
    <m/>
    <m/>
    <m/>
    <m/>
    <m/>
    <m/>
    <m/>
    <m/>
    <m/>
    <m/>
    <n v="19245941"/>
    <m/>
    <n v="82032391"/>
    <m/>
    <m/>
    <m/>
    <m/>
    <n v="7258025"/>
    <n v="35051344"/>
    <m/>
    <n v="0"/>
    <n v="0"/>
    <n v="0"/>
  </r>
  <r>
    <s v=""/>
    <x v="1"/>
    <x v="11"/>
    <s v="SBH K2"/>
    <x v="130"/>
    <m/>
    <x v="0"/>
    <x v="1"/>
    <x v="1"/>
    <m/>
    <m/>
    <m/>
    <m/>
    <m/>
    <m/>
    <s v="PO-92180"/>
    <m/>
    <n v="0"/>
    <n v="0"/>
    <m/>
    <m/>
    <n v="0"/>
    <n v="0"/>
    <m/>
    <m/>
    <m/>
    <m/>
    <m/>
    <m/>
    <m/>
    <m/>
    <m/>
    <m/>
    <m/>
    <m/>
    <m/>
    <m/>
    <m/>
    <m/>
    <m/>
    <m/>
    <m/>
    <m/>
    <m/>
    <m/>
    <m/>
    <m/>
    <n v="0"/>
    <n v="0"/>
    <n v="0"/>
  </r>
  <r>
    <s v=""/>
    <x v="1"/>
    <x v="11"/>
    <s v="SBH K2"/>
    <x v="131"/>
    <m/>
    <x v="0"/>
    <x v="1"/>
    <x v="1"/>
    <n v="2147574564"/>
    <n v="730027697.10000002"/>
    <m/>
    <m/>
    <m/>
    <m/>
    <s v="PO-92180"/>
    <m/>
    <n v="857107069"/>
    <n v="857107069"/>
    <m/>
    <m/>
    <n v="0"/>
    <n v="0"/>
    <m/>
    <m/>
    <m/>
    <m/>
    <m/>
    <m/>
    <m/>
    <m/>
    <n v="47255574"/>
    <n v="59534061"/>
    <n v="51046541"/>
    <n v="52311712"/>
    <n v="35018569"/>
    <n v="45339100"/>
    <n v="86323058"/>
    <n v="32363883"/>
    <n v="93314675"/>
    <n v="42688242"/>
    <n v="31246024"/>
    <n v="34194511"/>
    <n v="29404283"/>
    <n v="42410883"/>
    <n v="174655953"/>
    <m/>
    <n v="0"/>
    <n v="0"/>
    <n v="0"/>
  </r>
  <r>
    <s v=""/>
    <x v="1"/>
    <x v="11"/>
    <s v="NTTT"/>
    <x v="131"/>
    <m/>
    <x v="0"/>
    <x v="1"/>
    <x v="1"/>
    <m/>
    <m/>
    <m/>
    <m/>
    <m/>
    <m/>
    <s v="PO-92180"/>
    <m/>
    <n v="0"/>
    <n v="0"/>
    <m/>
    <m/>
    <n v="0"/>
    <n v="0"/>
    <m/>
    <m/>
    <m/>
    <m/>
    <m/>
    <m/>
    <m/>
    <m/>
    <m/>
    <m/>
    <m/>
    <m/>
    <m/>
    <m/>
    <m/>
    <m/>
    <m/>
    <m/>
    <m/>
    <m/>
    <m/>
    <m/>
    <m/>
    <m/>
    <n v="0"/>
    <n v="0"/>
    <n v="0"/>
  </r>
  <r>
    <s v=""/>
    <x v="1"/>
    <x v="11"/>
    <s v="SBH K2+OCS"/>
    <x v="131"/>
    <m/>
    <x v="0"/>
    <x v="1"/>
    <x v="1"/>
    <m/>
    <m/>
    <m/>
    <m/>
    <m/>
    <m/>
    <s v="PO-92180"/>
    <m/>
    <n v="0"/>
    <n v="0"/>
    <m/>
    <m/>
    <n v="0"/>
    <n v="0"/>
    <m/>
    <m/>
    <m/>
    <m/>
    <m/>
    <m/>
    <m/>
    <m/>
    <m/>
    <m/>
    <m/>
    <m/>
    <m/>
    <m/>
    <m/>
    <m/>
    <m/>
    <m/>
    <m/>
    <m/>
    <m/>
    <m/>
    <m/>
    <m/>
    <n v="0"/>
    <n v="0"/>
    <n v="0"/>
  </r>
  <r>
    <s v=""/>
    <x v="1"/>
    <x v="11"/>
    <s v="SBH K2"/>
    <x v="132"/>
    <m/>
    <x v="0"/>
    <x v="1"/>
    <x v="1"/>
    <m/>
    <n v="554006377.5"/>
    <m/>
    <m/>
    <m/>
    <m/>
    <s v="PO-92180"/>
    <m/>
    <n v="0"/>
    <n v="0"/>
    <m/>
    <m/>
    <n v="0"/>
    <n v="0"/>
    <m/>
    <m/>
    <m/>
    <m/>
    <m/>
    <m/>
    <m/>
    <m/>
    <m/>
    <m/>
    <m/>
    <m/>
    <m/>
    <m/>
    <m/>
    <m/>
    <m/>
    <m/>
    <m/>
    <m/>
    <m/>
    <m/>
    <m/>
    <m/>
    <n v="0"/>
    <n v="0"/>
    <n v="0"/>
  </r>
  <r>
    <s v=""/>
    <x v="1"/>
    <x v="11"/>
    <s v="SBH K2+ĐPT"/>
    <x v="132"/>
    <m/>
    <x v="0"/>
    <x v="1"/>
    <x v="1"/>
    <m/>
    <m/>
    <m/>
    <m/>
    <m/>
    <m/>
    <s v="PO-92180"/>
    <m/>
    <n v="144785808"/>
    <n v="144785808"/>
    <m/>
    <m/>
    <n v="0"/>
    <n v="0"/>
    <m/>
    <m/>
    <m/>
    <m/>
    <m/>
    <m/>
    <m/>
    <m/>
    <m/>
    <m/>
    <m/>
    <m/>
    <m/>
    <m/>
    <n v="15739689"/>
    <m/>
    <n v="17951778"/>
    <n v="12573832"/>
    <n v="8830280"/>
    <n v="9611337"/>
    <n v="5694139"/>
    <n v="14081544"/>
    <n v="60303209"/>
    <m/>
    <n v="0"/>
    <n v="0"/>
    <n v="0"/>
  </r>
  <r>
    <s v=""/>
    <x v="1"/>
    <x v="11"/>
    <s v="SBH K2"/>
    <x v="132"/>
    <m/>
    <x v="0"/>
    <x v="1"/>
    <x v="1"/>
    <m/>
    <m/>
    <m/>
    <m/>
    <m/>
    <m/>
    <s v="PO-92180"/>
    <m/>
    <n v="0"/>
    <n v="0"/>
    <m/>
    <m/>
    <n v="0"/>
    <n v="0"/>
    <m/>
    <m/>
    <m/>
    <m/>
    <m/>
    <m/>
    <m/>
    <m/>
    <m/>
    <m/>
    <m/>
    <m/>
    <m/>
    <m/>
    <m/>
    <m/>
    <m/>
    <m/>
    <m/>
    <m/>
    <m/>
    <m/>
    <m/>
    <m/>
    <n v="0"/>
    <n v="0"/>
    <n v="0"/>
  </r>
  <r>
    <s v=""/>
    <x v="1"/>
    <x v="11"/>
    <s v="SBH K2+OCS"/>
    <x v="132"/>
    <m/>
    <x v="0"/>
    <x v="1"/>
    <x v="1"/>
    <m/>
    <m/>
    <m/>
    <m/>
    <m/>
    <m/>
    <s v="PO-92180"/>
    <m/>
    <n v="158108254"/>
    <n v="158108254"/>
    <m/>
    <m/>
    <n v="0"/>
    <n v="0"/>
    <m/>
    <m/>
    <m/>
    <m/>
    <m/>
    <m/>
    <m/>
    <m/>
    <n v="26506743"/>
    <n v="25693196"/>
    <n v="28161597"/>
    <n v="20377556"/>
    <n v="20587134"/>
    <n v="18008370"/>
    <m/>
    <n v="18773658"/>
    <m/>
    <m/>
    <m/>
    <m/>
    <m/>
    <m/>
    <m/>
    <m/>
    <n v="0"/>
    <n v="0"/>
    <n v="0"/>
  </r>
  <r>
    <s v=""/>
    <x v="1"/>
    <x v="11"/>
    <s v="SBH K2"/>
    <x v="133"/>
    <m/>
    <x v="0"/>
    <x v="1"/>
    <x v="1"/>
    <m/>
    <n v="158949708.75"/>
    <m/>
    <m/>
    <m/>
    <m/>
    <s v="PO-92180"/>
    <m/>
    <n v="0"/>
    <n v="0"/>
    <m/>
    <m/>
    <n v="0"/>
    <n v="0"/>
    <m/>
    <m/>
    <m/>
    <m/>
    <m/>
    <m/>
    <m/>
    <m/>
    <m/>
    <m/>
    <m/>
    <m/>
    <m/>
    <m/>
    <m/>
    <m/>
    <m/>
    <m/>
    <m/>
    <m/>
    <m/>
    <m/>
    <m/>
    <m/>
    <n v="0"/>
    <n v="0"/>
    <n v="0"/>
  </r>
  <r>
    <s v=""/>
    <x v="1"/>
    <x v="11"/>
    <s v="SBH K2"/>
    <x v="134"/>
    <m/>
    <x v="0"/>
    <x v="1"/>
    <x v="1"/>
    <n v="1076746720"/>
    <n v="394101634.5"/>
    <m/>
    <m/>
    <m/>
    <m/>
    <s v="PO-92180"/>
    <m/>
    <n v="432799431"/>
    <n v="432799431"/>
    <m/>
    <m/>
    <n v="0"/>
    <n v="0"/>
    <m/>
    <m/>
    <m/>
    <m/>
    <m/>
    <m/>
    <m/>
    <m/>
    <n v="50838630"/>
    <n v="52623287"/>
    <n v="46690935"/>
    <n v="42499480"/>
    <n v="23520621"/>
    <n v="29193495"/>
    <n v="86186281"/>
    <n v="23383111"/>
    <n v="55190220"/>
    <n v="11844832"/>
    <n v="10828539"/>
    <m/>
    <m/>
    <m/>
    <m/>
    <m/>
    <n v="0"/>
    <n v="0"/>
    <n v="0"/>
  </r>
  <r>
    <s v=""/>
    <x v="1"/>
    <x v="11"/>
    <s v="NTTT"/>
    <x v="134"/>
    <m/>
    <x v="0"/>
    <x v="1"/>
    <x v="1"/>
    <m/>
    <m/>
    <m/>
    <m/>
    <m/>
    <m/>
    <s v="PO-92180"/>
    <m/>
    <n v="0"/>
    <n v="0"/>
    <m/>
    <m/>
    <n v="0"/>
    <n v="0"/>
    <m/>
    <m/>
    <m/>
    <m/>
    <m/>
    <m/>
    <m/>
    <m/>
    <m/>
    <m/>
    <m/>
    <m/>
    <m/>
    <m/>
    <m/>
    <m/>
    <m/>
    <m/>
    <m/>
    <m/>
    <m/>
    <m/>
    <m/>
    <m/>
    <n v="0"/>
    <n v="0"/>
    <n v="0"/>
  </r>
  <r>
    <s v=""/>
    <x v="1"/>
    <x v="11"/>
    <s v="SBH K2"/>
    <x v="134"/>
    <m/>
    <x v="0"/>
    <x v="1"/>
    <x v="1"/>
    <m/>
    <m/>
    <m/>
    <m/>
    <m/>
    <m/>
    <s v="PO-92180"/>
    <m/>
    <n v="25520149"/>
    <n v="25520149"/>
    <m/>
    <m/>
    <n v="0"/>
    <n v="0"/>
    <m/>
    <m/>
    <m/>
    <m/>
    <m/>
    <m/>
    <m/>
    <m/>
    <m/>
    <m/>
    <m/>
    <m/>
    <m/>
    <m/>
    <m/>
    <m/>
    <m/>
    <m/>
    <m/>
    <n v="3793330"/>
    <n v="3825631"/>
    <n v="3232382"/>
    <n v="14668806"/>
    <m/>
    <n v="0"/>
    <n v="0"/>
    <n v="0"/>
  </r>
  <r>
    <s v=""/>
    <x v="1"/>
    <x v="11"/>
    <s v="SBH K2+ĐPT"/>
    <x v="135"/>
    <m/>
    <x v="0"/>
    <x v="1"/>
    <x v="1"/>
    <m/>
    <n v="151491022.20000002"/>
    <m/>
    <m/>
    <m/>
    <m/>
    <s v="PO-92180"/>
    <m/>
    <n v="157155619"/>
    <n v="157155619"/>
    <m/>
    <m/>
    <n v="0"/>
    <n v="0"/>
    <m/>
    <m/>
    <m/>
    <m/>
    <m/>
    <m/>
    <m/>
    <m/>
    <m/>
    <m/>
    <m/>
    <m/>
    <m/>
    <m/>
    <m/>
    <m/>
    <m/>
    <m/>
    <m/>
    <n v="8015927"/>
    <n v="7673169"/>
    <n v="29582992"/>
    <n v="111883531"/>
    <m/>
    <n v="0"/>
    <n v="0"/>
    <n v="0"/>
  </r>
  <r>
    <s v=""/>
    <x v="1"/>
    <x v="11"/>
    <s v="SBH K2"/>
    <x v="135"/>
    <m/>
    <x v="0"/>
    <x v="1"/>
    <x v="1"/>
    <m/>
    <m/>
    <m/>
    <m/>
    <m/>
    <m/>
    <s v="PO-92180"/>
    <m/>
    <n v="48511502"/>
    <n v="48511502"/>
    <m/>
    <m/>
    <n v="0"/>
    <n v="0"/>
    <m/>
    <m/>
    <m/>
    <m/>
    <m/>
    <m/>
    <m/>
    <m/>
    <n v="3760527"/>
    <n v="4158669"/>
    <n v="7129619"/>
    <n v="7639620"/>
    <n v="3316085"/>
    <n v="3968800"/>
    <n v="3468042"/>
    <n v="4122120"/>
    <n v="3630454"/>
    <n v="3835830"/>
    <n v="3481736"/>
    <m/>
    <m/>
    <m/>
    <m/>
    <m/>
    <n v="0"/>
    <n v="0"/>
    <n v="0"/>
  </r>
  <r>
    <m/>
    <x v="1"/>
    <x v="11"/>
    <s v="SBH K2"/>
    <x v="136"/>
    <m/>
    <x v="0"/>
    <x v="1"/>
    <x v="1"/>
    <m/>
    <n v="232483896.75"/>
    <m/>
    <m/>
    <m/>
    <m/>
    <s v="PO-92180"/>
    <m/>
    <n v="0"/>
    <n v="0"/>
    <m/>
    <m/>
    <n v="0"/>
    <n v="0"/>
    <m/>
    <m/>
    <m/>
    <m/>
    <m/>
    <m/>
    <m/>
    <m/>
    <m/>
    <m/>
    <m/>
    <m/>
    <m/>
    <m/>
    <m/>
    <m/>
    <m/>
    <m/>
    <m/>
    <m/>
    <m/>
    <m/>
    <m/>
    <m/>
    <n v="0"/>
    <n v="0"/>
    <n v="0"/>
  </r>
  <r>
    <m/>
    <x v="1"/>
    <x v="11"/>
    <s v="SBH K2"/>
    <x v="137"/>
    <m/>
    <x v="0"/>
    <x v="1"/>
    <x v="1"/>
    <n v="1158946993"/>
    <n v="696908931.45000005"/>
    <m/>
    <m/>
    <m/>
    <m/>
    <s v="PO-92180"/>
    <m/>
    <n v="0"/>
    <n v="0"/>
    <m/>
    <m/>
    <n v="0"/>
    <n v="0"/>
    <m/>
    <m/>
    <m/>
    <m/>
    <m/>
    <m/>
    <m/>
    <m/>
    <m/>
    <m/>
    <m/>
    <m/>
    <m/>
    <m/>
    <m/>
    <m/>
    <m/>
    <m/>
    <m/>
    <m/>
    <m/>
    <m/>
    <m/>
    <m/>
    <n v="0"/>
    <n v="0"/>
    <n v="0"/>
  </r>
  <r>
    <m/>
    <x v="1"/>
    <x v="11"/>
    <s v="NTTT"/>
    <x v="137"/>
    <m/>
    <x v="0"/>
    <x v="1"/>
    <x v="1"/>
    <m/>
    <m/>
    <m/>
    <m/>
    <m/>
    <m/>
    <s v="PO-92180"/>
    <m/>
    <n v="0"/>
    <n v="0"/>
    <m/>
    <m/>
    <n v="0"/>
    <n v="0"/>
    <m/>
    <m/>
    <m/>
    <m/>
    <m/>
    <m/>
    <m/>
    <m/>
    <m/>
    <m/>
    <m/>
    <m/>
    <m/>
    <m/>
    <m/>
    <m/>
    <m/>
    <m/>
    <m/>
    <m/>
    <m/>
    <m/>
    <m/>
    <m/>
    <n v="0"/>
    <n v="0"/>
    <n v="0"/>
  </r>
  <r>
    <m/>
    <x v="1"/>
    <x v="11"/>
    <s v="SBH K2+OCS"/>
    <x v="137"/>
    <m/>
    <x v="0"/>
    <x v="1"/>
    <x v="1"/>
    <m/>
    <m/>
    <m/>
    <m/>
    <m/>
    <m/>
    <s v="PO-92180"/>
    <m/>
    <n v="734947470"/>
    <n v="734947470"/>
    <m/>
    <m/>
    <n v="0"/>
    <n v="0"/>
    <m/>
    <m/>
    <m/>
    <m/>
    <m/>
    <m/>
    <m/>
    <m/>
    <m/>
    <m/>
    <n v="43283874"/>
    <n v="38956438"/>
    <n v="33894386"/>
    <n v="23924957"/>
    <n v="88344100"/>
    <n v="35264988"/>
    <n v="99207410"/>
    <n v="38115586"/>
    <n v="34324995"/>
    <n v="37561713"/>
    <n v="38780242"/>
    <n v="39432068"/>
    <n v="183856713"/>
    <m/>
    <n v="0"/>
    <n v="0"/>
    <n v="0"/>
  </r>
  <r>
    <m/>
    <x v="1"/>
    <x v="11"/>
    <s v="QLSX"/>
    <x v="137"/>
    <m/>
    <x v="0"/>
    <x v="1"/>
    <x v="1"/>
    <m/>
    <m/>
    <m/>
    <m/>
    <m/>
    <m/>
    <s v="PO-92180"/>
    <m/>
    <n v="98039677"/>
    <n v="98039677"/>
    <m/>
    <m/>
    <n v="0"/>
    <n v="0"/>
    <m/>
    <m/>
    <m/>
    <m/>
    <m/>
    <m/>
    <m/>
    <m/>
    <n v="50353341"/>
    <n v="47686336"/>
    <m/>
    <m/>
    <m/>
    <m/>
    <m/>
    <m/>
    <m/>
    <m/>
    <m/>
    <m/>
    <m/>
    <m/>
    <m/>
    <m/>
    <n v="0"/>
    <n v="0"/>
    <n v="0"/>
  </r>
  <r>
    <m/>
    <x v="1"/>
    <x v="11"/>
    <s v="SBH K2"/>
    <x v="138"/>
    <m/>
    <x v="0"/>
    <x v="1"/>
    <x v="1"/>
    <m/>
    <n v="163536216.90000001"/>
    <m/>
    <m/>
    <m/>
    <m/>
    <s v="PO-92180"/>
    <m/>
    <n v="0"/>
    <n v="0"/>
    <m/>
    <m/>
    <n v="0"/>
    <n v="0"/>
    <m/>
    <m/>
    <m/>
    <m/>
    <m/>
    <m/>
    <m/>
    <m/>
    <m/>
    <m/>
    <m/>
    <m/>
    <m/>
    <m/>
    <m/>
    <m/>
    <m/>
    <m/>
    <m/>
    <m/>
    <m/>
    <m/>
    <m/>
    <m/>
    <n v="0"/>
    <n v="0"/>
    <n v="0"/>
  </r>
  <r>
    <m/>
    <x v="1"/>
    <x v="11"/>
    <s v="NTTT"/>
    <x v="139"/>
    <m/>
    <x v="0"/>
    <x v="1"/>
    <x v="1"/>
    <n v="787493442"/>
    <n v="122632412.7"/>
    <m/>
    <m/>
    <m/>
    <m/>
    <s v="PO-92180"/>
    <m/>
    <n v="0"/>
    <n v="0"/>
    <m/>
    <m/>
    <n v="0"/>
    <n v="0"/>
    <m/>
    <m/>
    <m/>
    <m/>
    <m/>
    <m/>
    <m/>
    <m/>
    <m/>
    <m/>
    <m/>
    <m/>
    <m/>
    <m/>
    <m/>
    <m/>
    <m/>
    <m/>
    <m/>
    <m/>
    <m/>
    <m/>
    <m/>
    <m/>
    <n v="0"/>
    <n v="0"/>
    <n v="0"/>
  </r>
  <r>
    <m/>
    <x v="1"/>
    <x v="11"/>
    <s v="SBH K2"/>
    <x v="139"/>
    <m/>
    <x v="0"/>
    <x v="1"/>
    <x v="1"/>
    <m/>
    <m/>
    <m/>
    <m/>
    <m/>
    <m/>
    <s v="PO-92180"/>
    <m/>
    <n v="343597416"/>
    <n v="343597416"/>
    <m/>
    <m/>
    <n v="0"/>
    <n v="0"/>
    <m/>
    <m/>
    <m/>
    <m/>
    <m/>
    <m/>
    <m/>
    <m/>
    <n v="31923375"/>
    <n v="23519613"/>
    <n v="40189188"/>
    <n v="27850052"/>
    <n v="33200603"/>
    <n v="27251630"/>
    <n v="13934304"/>
    <n v="27895949"/>
    <n v="14548591"/>
    <n v="11707551"/>
    <m/>
    <m/>
    <m/>
    <n v="15981984"/>
    <n v="75594576"/>
    <m/>
    <n v="0"/>
    <n v="0"/>
    <n v="0"/>
  </r>
  <r>
    <m/>
    <x v="1"/>
    <x v="11"/>
    <s v="NTTT"/>
    <x v="140"/>
    <m/>
    <x v="0"/>
    <x v="1"/>
    <x v="1"/>
    <m/>
    <n v="119907195.45000002"/>
    <m/>
    <m/>
    <m/>
    <m/>
    <s v="PO-92180"/>
    <m/>
    <n v="0"/>
    <n v="0"/>
    <m/>
    <m/>
    <n v="0"/>
    <n v="0"/>
    <m/>
    <m/>
    <m/>
    <m/>
    <m/>
    <m/>
    <m/>
    <m/>
    <m/>
    <m/>
    <m/>
    <m/>
    <m/>
    <m/>
    <m/>
    <m/>
    <m/>
    <m/>
    <m/>
    <m/>
    <m/>
    <m/>
    <m/>
    <m/>
    <n v="0"/>
    <n v="0"/>
    <n v="0"/>
  </r>
  <r>
    <m/>
    <x v="1"/>
    <x v="11"/>
    <s v="SBH K2"/>
    <x v="140"/>
    <m/>
    <x v="0"/>
    <x v="1"/>
    <x v="1"/>
    <m/>
    <m/>
    <m/>
    <m/>
    <m/>
    <m/>
    <s v="PO-92180"/>
    <m/>
    <n v="56464605"/>
    <n v="56464605"/>
    <m/>
    <m/>
    <n v="0"/>
    <n v="0"/>
    <m/>
    <m/>
    <m/>
    <m/>
    <m/>
    <m/>
    <m/>
    <m/>
    <n v="777416"/>
    <n v="851455"/>
    <n v="886607"/>
    <n v="904680"/>
    <n v="791596"/>
    <n v="949914"/>
    <n v="832020"/>
    <n v="737303"/>
    <n v="27478491"/>
    <n v="7068393"/>
    <m/>
    <m/>
    <m/>
    <n v="2727438"/>
    <n v="12459292"/>
    <m/>
    <n v="0"/>
    <n v="0"/>
    <n v="0"/>
  </r>
  <r>
    <m/>
    <x v="1"/>
    <x v="11"/>
    <s v="ĐPT"/>
    <x v="141"/>
    <m/>
    <x v="0"/>
    <x v="1"/>
    <x v="1"/>
    <m/>
    <n v="38138093.700000003"/>
    <m/>
    <m/>
    <m/>
    <m/>
    <s v="PO-92180"/>
    <m/>
    <n v="0"/>
    <n v="0"/>
    <m/>
    <m/>
    <n v="0"/>
    <n v="0"/>
    <m/>
    <m/>
    <m/>
    <m/>
    <m/>
    <m/>
    <m/>
    <m/>
    <m/>
    <m/>
    <m/>
    <m/>
    <m/>
    <m/>
    <m/>
    <m/>
    <m/>
    <m/>
    <m/>
    <m/>
    <m/>
    <m/>
    <m/>
    <m/>
    <n v="0"/>
    <n v="0"/>
    <n v="0"/>
  </r>
  <r>
    <m/>
    <x v="1"/>
    <x v="11"/>
    <s v="SBH K2"/>
    <x v="141"/>
    <m/>
    <x v="0"/>
    <x v="1"/>
    <x v="1"/>
    <m/>
    <m/>
    <m/>
    <m/>
    <m/>
    <m/>
    <s v="PO-92180"/>
    <m/>
    <n v="132188376"/>
    <n v="132188376"/>
    <m/>
    <m/>
    <n v="0"/>
    <n v="0"/>
    <m/>
    <m/>
    <m/>
    <m/>
    <m/>
    <m/>
    <m/>
    <m/>
    <n v="8328298"/>
    <n v="9221467"/>
    <n v="9348208"/>
    <n v="11615366"/>
    <n v="10128450"/>
    <n v="12106886"/>
    <n v="10492593"/>
    <n v="8381444"/>
    <n v="9522996"/>
    <n v="8385888"/>
    <m/>
    <m/>
    <m/>
    <n v="6026536"/>
    <n v="28630244"/>
    <m/>
    <n v="0"/>
    <n v="0"/>
    <n v="0"/>
  </r>
  <r>
    <m/>
    <x v="1"/>
    <x v="11"/>
    <s v="SBH K2"/>
    <x v="142"/>
    <m/>
    <x v="0"/>
    <x v="1"/>
    <x v="1"/>
    <m/>
    <n v="135607470.59999999"/>
    <m/>
    <m/>
    <m/>
    <m/>
    <s v="PO-92180"/>
    <m/>
    <n v="0"/>
    <n v="0"/>
    <m/>
    <m/>
    <n v="0"/>
    <n v="0"/>
    <m/>
    <m/>
    <m/>
    <m/>
    <m/>
    <m/>
    <m/>
    <m/>
    <m/>
    <m/>
    <m/>
    <m/>
    <m/>
    <m/>
    <m/>
    <m/>
    <m/>
    <m/>
    <m/>
    <m/>
    <m/>
    <m/>
    <m/>
    <m/>
    <n v="0"/>
    <n v="0"/>
    <n v="0"/>
  </r>
  <r>
    <m/>
    <x v="1"/>
    <x v="11"/>
    <s v="NTTT"/>
    <x v="143"/>
    <m/>
    <x v="0"/>
    <x v="1"/>
    <x v="1"/>
    <n v="442407093"/>
    <n v="134227343.25"/>
    <m/>
    <m/>
    <m/>
    <m/>
    <s v="PO-92180"/>
    <m/>
    <n v="0"/>
    <n v="0"/>
    <m/>
    <m/>
    <n v="0"/>
    <n v="0"/>
    <m/>
    <m/>
    <m/>
    <m/>
    <m/>
    <m/>
    <m/>
    <m/>
    <m/>
    <m/>
    <m/>
    <m/>
    <m/>
    <m/>
    <m/>
    <m/>
    <m/>
    <m/>
    <m/>
    <m/>
    <m/>
    <m/>
    <m/>
    <m/>
    <n v="0"/>
    <n v="0"/>
    <n v="0"/>
  </r>
  <r>
    <m/>
    <x v="1"/>
    <x v="11"/>
    <s v="SBH K2"/>
    <x v="143"/>
    <m/>
    <x v="0"/>
    <x v="1"/>
    <x v="1"/>
    <m/>
    <m/>
    <m/>
    <m/>
    <m/>
    <m/>
    <s v="PO-92180"/>
    <m/>
    <n v="0"/>
    <n v="0"/>
    <m/>
    <m/>
    <n v="0"/>
    <n v="0"/>
    <m/>
    <m/>
    <m/>
    <m/>
    <m/>
    <m/>
    <m/>
    <m/>
    <m/>
    <m/>
    <m/>
    <m/>
    <m/>
    <m/>
    <m/>
    <m/>
    <m/>
    <m/>
    <m/>
    <m/>
    <m/>
    <m/>
    <m/>
    <m/>
    <n v="0"/>
    <n v="0"/>
    <n v="0"/>
  </r>
  <r>
    <m/>
    <x v="1"/>
    <x v="11"/>
    <s v="SBH K2"/>
    <x v="143"/>
    <m/>
    <x v="0"/>
    <x v="1"/>
    <x v="1"/>
    <m/>
    <m/>
    <m/>
    <m/>
    <m/>
    <m/>
    <s v="PO-92180"/>
    <m/>
    <n v="326903261"/>
    <n v="326903261"/>
    <m/>
    <m/>
    <n v="0"/>
    <n v="0"/>
    <m/>
    <m/>
    <m/>
    <m/>
    <m/>
    <m/>
    <m/>
    <m/>
    <n v="28857510"/>
    <n v="35481105"/>
    <n v="30817557"/>
    <n v="43871322"/>
    <n v="20525064"/>
    <n v="14435855"/>
    <m/>
    <n v="26515129"/>
    <n v="9763804"/>
    <n v="19497083"/>
    <n v="5798952"/>
    <n v="2485292"/>
    <n v="2372324"/>
    <n v="15172554"/>
    <n v="71309710"/>
    <m/>
    <n v="0"/>
    <n v="0"/>
    <n v="0"/>
  </r>
  <r>
    <m/>
    <x v="1"/>
    <x v="11"/>
    <s v="SBH K2"/>
    <x v="144"/>
    <m/>
    <x v="0"/>
    <x v="1"/>
    <x v="1"/>
    <m/>
    <n v="127643308.80000001"/>
    <m/>
    <m/>
    <m/>
    <m/>
    <s v="PO-92180"/>
    <m/>
    <n v="0"/>
    <n v="0"/>
    <m/>
    <m/>
    <n v="0"/>
    <n v="0"/>
    <m/>
    <m/>
    <m/>
    <m/>
    <m/>
    <m/>
    <m/>
    <m/>
    <m/>
    <m/>
    <m/>
    <m/>
    <m/>
    <m/>
    <m/>
    <m/>
    <m/>
    <m/>
    <m/>
    <m/>
    <m/>
    <m/>
    <m/>
    <m/>
    <n v="0"/>
    <n v="0"/>
    <n v="0"/>
  </r>
  <r>
    <m/>
    <x v="1"/>
    <x v="11"/>
    <s v="NTTT"/>
    <x v="145"/>
    <m/>
    <x v="0"/>
    <x v="1"/>
    <x v="1"/>
    <n v="436420777"/>
    <n v="43631009.100000001"/>
    <m/>
    <m/>
    <m/>
    <m/>
    <s v="PO-92180"/>
    <m/>
    <n v="0"/>
    <n v="0"/>
    <m/>
    <m/>
    <n v="0"/>
    <n v="0"/>
    <m/>
    <m/>
    <m/>
    <m/>
    <m/>
    <m/>
    <m/>
    <m/>
    <m/>
    <m/>
    <m/>
    <m/>
    <m/>
    <m/>
    <m/>
    <m/>
    <m/>
    <m/>
    <m/>
    <m/>
    <m/>
    <m/>
    <m/>
    <m/>
    <n v="0"/>
    <n v="0"/>
    <n v="0"/>
  </r>
  <r>
    <m/>
    <x v="1"/>
    <x v="11"/>
    <s v="QLSX"/>
    <x v="145"/>
    <m/>
    <x v="0"/>
    <x v="1"/>
    <x v="1"/>
    <m/>
    <m/>
    <m/>
    <m/>
    <m/>
    <m/>
    <s v="PO-92180"/>
    <m/>
    <n v="12239660"/>
    <n v="12239660"/>
    <m/>
    <m/>
    <n v="0"/>
    <n v="0"/>
    <m/>
    <m/>
    <m/>
    <m/>
    <m/>
    <m/>
    <m/>
    <m/>
    <n v="3146469"/>
    <n v="4297591"/>
    <m/>
    <m/>
    <m/>
    <m/>
    <m/>
    <m/>
    <m/>
    <m/>
    <m/>
    <m/>
    <m/>
    <n v="847073"/>
    <n v="3948527"/>
    <m/>
    <n v="0"/>
    <n v="0"/>
    <n v="0"/>
  </r>
  <r>
    <m/>
    <x v="1"/>
    <x v="11"/>
    <s v="SBH K2+OCS"/>
    <x v="145"/>
    <m/>
    <x v="0"/>
    <x v="1"/>
    <x v="1"/>
    <m/>
    <m/>
    <m/>
    <m/>
    <m/>
    <m/>
    <s v="PO-92180"/>
    <m/>
    <n v="6487537"/>
    <n v="6487537"/>
    <m/>
    <m/>
    <n v="0"/>
    <n v="0"/>
    <m/>
    <m/>
    <m/>
    <m/>
    <m/>
    <m/>
    <m/>
    <m/>
    <m/>
    <m/>
    <n v="4733498"/>
    <m/>
    <m/>
    <m/>
    <m/>
    <n v="1754039"/>
    <m/>
    <m/>
    <m/>
    <m/>
    <m/>
    <m/>
    <m/>
    <m/>
    <n v="0"/>
    <n v="0"/>
    <n v="0"/>
  </r>
  <r>
    <m/>
    <x v="1"/>
    <x v="11"/>
    <s v="NTTT"/>
    <x v="146"/>
    <m/>
    <x v="0"/>
    <x v="1"/>
    <x v="1"/>
    <m/>
    <n v="30583424.550000001"/>
    <m/>
    <m/>
    <m/>
    <m/>
    <s v="PO-92180"/>
    <m/>
    <n v="0"/>
    <n v="0"/>
    <m/>
    <m/>
    <n v="0"/>
    <n v="0"/>
    <m/>
    <m/>
    <m/>
    <m/>
    <m/>
    <m/>
    <m/>
    <m/>
    <m/>
    <m/>
    <m/>
    <m/>
    <m/>
    <m/>
    <m/>
    <m/>
    <m/>
    <m/>
    <m/>
    <m/>
    <m/>
    <m/>
    <m/>
    <m/>
    <n v="0"/>
    <n v="0"/>
    <n v="0"/>
  </r>
  <r>
    <m/>
    <x v="1"/>
    <x v="11"/>
    <s v="SBH K2+OCS"/>
    <x v="146"/>
    <m/>
    <x v="0"/>
    <x v="1"/>
    <x v="1"/>
    <m/>
    <m/>
    <m/>
    <m/>
    <m/>
    <m/>
    <s v="PO-92180"/>
    <m/>
    <n v="90504242"/>
    <n v="90504242"/>
    <m/>
    <m/>
    <n v="0"/>
    <n v="0"/>
    <m/>
    <m/>
    <m/>
    <m/>
    <m/>
    <m/>
    <m/>
    <m/>
    <n v="26615551"/>
    <m/>
    <n v="21098236"/>
    <m/>
    <m/>
    <m/>
    <m/>
    <n v="11549198"/>
    <m/>
    <m/>
    <m/>
    <m/>
    <m/>
    <n v="5563234"/>
    <n v="25678023"/>
    <m/>
    <n v="0"/>
    <n v="0"/>
    <n v="0"/>
  </r>
  <r>
    <m/>
    <x v="1"/>
    <x v="11"/>
    <s v="SBH K2"/>
    <x v="146"/>
    <m/>
    <x v="0"/>
    <x v="1"/>
    <x v="1"/>
    <m/>
    <m/>
    <m/>
    <m/>
    <m/>
    <m/>
    <s v="PO-92180"/>
    <m/>
    <n v="36821246"/>
    <n v="36821246"/>
    <m/>
    <m/>
    <n v="0"/>
    <n v="0"/>
    <m/>
    <m/>
    <m/>
    <m/>
    <m/>
    <m/>
    <m/>
    <m/>
    <n v="7550879"/>
    <n v="29270367"/>
    <m/>
    <m/>
    <m/>
    <m/>
    <m/>
    <m/>
    <m/>
    <m/>
    <m/>
    <m/>
    <m/>
    <m/>
    <m/>
    <m/>
    <n v="0"/>
    <n v="0"/>
    <n v="0"/>
  </r>
  <r>
    <m/>
    <x v="1"/>
    <x v="11"/>
    <s v="ĐPT"/>
    <x v="147"/>
    <m/>
    <x v="0"/>
    <x v="1"/>
    <x v="1"/>
    <m/>
    <n v="38138093.700000003"/>
    <m/>
    <m/>
    <m/>
    <m/>
    <s v="PO-92180"/>
    <m/>
    <n v="0"/>
    <n v="0"/>
    <m/>
    <m/>
    <n v="0"/>
    <n v="0"/>
    <m/>
    <m/>
    <m/>
    <m/>
    <m/>
    <m/>
    <m/>
    <m/>
    <m/>
    <m/>
    <m/>
    <m/>
    <m/>
    <m/>
    <m/>
    <m/>
    <m/>
    <m/>
    <m/>
    <m/>
    <m/>
    <m/>
    <m/>
    <m/>
    <n v="0"/>
    <n v="0"/>
    <n v="0"/>
  </r>
  <r>
    <m/>
    <x v="1"/>
    <x v="11"/>
    <s v="SBH K2+OCS"/>
    <x v="148"/>
    <m/>
    <x v="0"/>
    <x v="1"/>
    <x v="1"/>
    <m/>
    <m/>
    <m/>
    <m/>
    <m/>
    <m/>
    <s v="PO-92180"/>
    <m/>
    <n v="25477332"/>
    <n v="25477332"/>
    <m/>
    <m/>
    <n v="0"/>
    <n v="0"/>
    <m/>
    <m/>
    <m/>
    <m/>
    <m/>
    <m/>
    <m/>
    <m/>
    <m/>
    <n v="6861343"/>
    <n v="6902516"/>
    <m/>
    <m/>
    <m/>
    <m/>
    <n v="3115766"/>
    <m/>
    <m/>
    <m/>
    <m/>
    <m/>
    <n v="1518119"/>
    <n v="7079588"/>
    <m/>
    <n v="0"/>
    <n v="0"/>
    <n v="0"/>
  </r>
  <r>
    <m/>
    <x v="1"/>
    <x v="11"/>
    <s v="SBH K2"/>
    <x v="149"/>
    <m/>
    <x v="0"/>
    <x v="1"/>
    <x v="1"/>
    <m/>
    <n v="99005028.150000006"/>
    <m/>
    <m/>
    <m/>
    <m/>
    <s v="PO-92180"/>
    <m/>
    <n v="0"/>
    <n v="0"/>
    <m/>
    <m/>
    <n v="0"/>
    <n v="0"/>
    <m/>
    <m/>
    <m/>
    <m/>
    <m/>
    <m/>
    <m/>
    <m/>
    <m/>
    <m/>
    <m/>
    <m/>
    <m/>
    <m/>
    <m/>
    <m/>
    <m/>
    <m/>
    <m/>
    <m/>
    <m/>
    <m/>
    <m/>
    <m/>
    <n v="0"/>
    <n v="0"/>
    <n v="0"/>
  </r>
  <r>
    <n v="54"/>
    <x v="1"/>
    <x v="11"/>
    <s v="SBH K2"/>
    <x v="150"/>
    <s v="SLA 2025"/>
    <x v="0"/>
    <x v="0"/>
    <x v="0"/>
    <n v="63308226053"/>
    <n v="0"/>
    <d v="2024-12-01T00:00:00"/>
    <d v="2025-12-01T00:00:00"/>
    <s v="quangnv6@viettel.com.vn"/>
    <s v="hanglt1@viettel.com.vn"/>
    <s v="PO-92194"/>
    <n v="-6519590535"/>
    <n v="6519590535"/>
    <n v="0"/>
    <n v="1564887272"/>
    <n v="1429948924"/>
    <n v="1751365904"/>
    <n v="1773388435"/>
    <m/>
    <m/>
    <m/>
    <m/>
    <m/>
    <m/>
    <m/>
    <m/>
    <n v="0"/>
    <n v="0"/>
    <n v="0"/>
    <n v="0"/>
    <n v="0"/>
    <n v="0"/>
    <n v="0"/>
    <n v="0"/>
    <n v="0"/>
    <n v="0"/>
    <n v="0"/>
    <n v="0"/>
    <n v="0"/>
    <n v="0"/>
    <n v="0"/>
    <n v="0"/>
    <n v="0"/>
    <m/>
    <m/>
  </r>
  <r>
    <s v=""/>
    <x v="1"/>
    <x v="11"/>
    <s v="NTTT"/>
    <x v="151"/>
    <s v="DICH VU HTKT 2025 (VTNet_ OCS/CRBT)"/>
    <x v="0"/>
    <x v="1"/>
    <x v="0"/>
    <m/>
    <n v="7757279175.3410835"/>
    <d v="2024-12-01T00:00:00"/>
    <d v="2025-12-01T00:00:00"/>
    <m/>
    <m/>
    <s v="PO-92194"/>
    <n v="5248176497.3410835"/>
    <n v="2332545007"/>
    <n v="0"/>
    <n v="593767521"/>
    <n v="403907074"/>
    <n v="675110349"/>
    <n v="659760063"/>
    <n v="659760063"/>
    <n v="659760063"/>
    <n v="659760063"/>
    <n v="659760063"/>
    <n v="659760063"/>
    <n v="659760063"/>
    <n v="659760063"/>
    <n v="659760063"/>
    <m/>
    <m/>
    <m/>
    <m/>
    <m/>
    <m/>
    <m/>
    <m/>
    <m/>
    <m/>
    <m/>
    <m/>
    <m/>
    <m/>
    <m/>
    <m/>
    <n v="0"/>
    <n v="608677522.16666663"/>
    <n v="3488203359.2083335"/>
  </r>
  <r>
    <s v=""/>
    <x v="1"/>
    <x v="11"/>
    <s v="SBH K2"/>
    <x v="151"/>
    <s v="DICH VU HTKT 2025 (VTNet_ OCS/CRBT)"/>
    <x v="0"/>
    <x v="1"/>
    <x v="0"/>
    <m/>
    <m/>
    <d v="2024-12-01T00:00:00"/>
    <d v="2025-12-01T00:00:00"/>
    <m/>
    <m/>
    <s v="PO-92194"/>
    <m/>
    <n v="171824352"/>
    <n v="0"/>
    <n v="36983751"/>
    <n v="36451797"/>
    <n v="44890476"/>
    <n v="53498328"/>
    <n v="53498328"/>
    <n v="53498328"/>
    <n v="53498328"/>
    <n v="53498328"/>
    <n v="53498328"/>
    <n v="53498328"/>
    <n v="53498328"/>
    <n v="53498328"/>
    <m/>
    <m/>
    <m/>
    <m/>
    <m/>
    <m/>
    <m/>
    <m/>
    <m/>
    <m/>
    <m/>
    <m/>
    <m/>
    <m/>
    <m/>
    <m/>
    <n v="0"/>
    <n v="46470168"/>
    <n v="274913364"/>
  </r>
  <r>
    <s v=""/>
    <x v="1"/>
    <x v="11"/>
    <s v="TH"/>
    <x v="151"/>
    <s v="DICH VU HTKT 2025 (VTNet_ OCS/CRBT)"/>
    <x v="0"/>
    <x v="1"/>
    <x v="0"/>
    <m/>
    <m/>
    <d v="2024-12-01T00:00:00"/>
    <d v="2025-12-01T00:00:00"/>
    <m/>
    <m/>
    <s v="PO-92194"/>
    <m/>
    <n v="4733319"/>
    <n v="0"/>
    <n v="2201544"/>
    <n v="2531775"/>
    <n v="0"/>
    <n v="0"/>
    <m/>
    <m/>
    <m/>
    <m/>
    <m/>
    <m/>
    <m/>
    <m/>
    <m/>
    <m/>
    <m/>
    <m/>
    <m/>
    <m/>
    <m/>
    <m/>
    <m/>
    <m/>
    <m/>
    <m/>
    <m/>
    <m/>
    <m/>
    <m/>
    <n v="0"/>
    <n v="788886.5"/>
    <n v="2169437.875"/>
  </r>
  <r>
    <s v=""/>
    <x v="1"/>
    <x v="11"/>
    <s v="CNCM"/>
    <x v="152"/>
    <s v="VTNet_Sản phẩm MSC/EPC"/>
    <x v="0"/>
    <x v="1"/>
    <x v="0"/>
    <m/>
    <n v="1596874357.9166667"/>
    <d v="2024-12-01T00:00:00"/>
    <d v="2025-12-01T00:00:00"/>
    <m/>
    <m/>
    <s v="PO-92194"/>
    <n v="1139938662.9166667"/>
    <n v="359110426"/>
    <n v="0"/>
    <n v="143732344"/>
    <n v="108777572"/>
    <n v="106600510"/>
    <n v="0"/>
    <n v="106600510"/>
    <n v="106600510"/>
    <n v="106600510"/>
    <n v="106600510"/>
    <n v="106600510"/>
    <n v="106600510"/>
    <n v="106600510"/>
    <n v="106600510"/>
    <m/>
    <m/>
    <m/>
    <m/>
    <m/>
    <m/>
    <m/>
    <m/>
    <m/>
    <m/>
    <m/>
    <m/>
    <m/>
    <m/>
    <m/>
    <m/>
    <n v="0"/>
    <n v="95385241"/>
    <n v="555460815.25"/>
  </r>
  <r>
    <s v=""/>
    <x v="1"/>
    <x v="11"/>
    <s v="SBH K2"/>
    <x v="152"/>
    <s v="VTNet_Sản phẩm MSC/EPC"/>
    <x v="0"/>
    <x v="1"/>
    <x v="0"/>
    <m/>
    <m/>
    <d v="2024-12-01T00:00:00"/>
    <d v="2025-12-01T00:00:00"/>
    <m/>
    <m/>
    <s v="PO-92194"/>
    <m/>
    <n v="93091949"/>
    <n v="0"/>
    <n v="20771693"/>
    <n v="22983126"/>
    <n v="24879056"/>
    <n v="24458074"/>
    <n v="24458074"/>
    <n v="24458074"/>
    <n v="24458074"/>
    <n v="24458074"/>
    <n v="24458074"/>
    <n v="24458074"/>
    <n v="24458074"/>
    <n v="24458074"/>
    <m/>
    <m/>
    <m/>
    <m/>
    <m/>
    <m/>
    <m/>
    <m/>
    <m/>
    <m/>
    <m/>
    <m/>
    <m/>
    <m/>
    <m/>
    <m/>
    <n v="0"/>
    <n v="23668016.166666668"/>
    <n v="132346747.95833333"/>
  </r>
  <r>
    <s v=""/>
    <x v="1"/>
    <x v="11"/>
    <s v="TH"/>
    <x v="152"/>
    <s v="VTNet_Sản phẩm MSC/EPC"/>
    <x v="0"/>
    <x v="1"/>
    <x v="0"/>
    <m/>
    <m/>
    <d v="2024-12-01T00:00:00"/>
    <d v="2025-12-01T00:00:00"/>
    <m/>
    <m/>
    <s v="PO-92194"/>
    <m/>
    <n v="4733320"/>
    <n v="0"/>
    <n v="2201544"/>
    <n v="2531776"/>
    <n v="0"/>
    <n v="0"/>
    <m/>
    <m/>
    <m/>
    <m/>
    <m/>
    <m/>
    <m/>
    <m/>
    <m/>
    <m/>
    <m/>
    <m/>
    <m/>
    <m/>
    <m/>
    <m/>
    <m/>
    <m/>
    <m/>
    <m/>
    <m/>
    <m/>
    <m/>
    <m/>
    <n v="0"/>
    <n v="788886.66666666663"/>
    <n v="2169438.333333333"/>
  </r>
  <r>
    <s v=""/>
    <x v="1"/>
    <x v="11"/>
    <s v="ĐPT"/>
    <x v="153"/>
    <s v="VTNet_Sản phẩm IMS/SMSC"/>
    <x v="0"/>
    <x v="1"/>
    <x v="0"/>
    <m/>
    <n v="3218510367.9166665"/>
    <d v="2024-12-01T00:00:00"/>
    <d v="2025-12-01T00:00:00"/>
    <m/>
    <m/>
    <s v="PO-92194"/>
    <n v="1274217631.9166665"/>
    <n v="1723158446"/>
    <n v="0"/>
    <n v="600496977"/>
    <n v="382056319"/>
    <n v="378680614"/>
    <n v="361924536"/>
    <n v="361924536"/>
    <n v="361924536"/>
    <n v="361924536"/>
    <n v="361924536"/>
    <n v="361924536"/>
    <n v="361924536"/>
    <n v="361924536"/>
    <n v="361924536"/>
    <m/>
    <m/>
    <m/>
    <m/>
    <m/>
    <m/>
    <m/>
    <m/>
    <m/>
    <m/>
    <m/>
    <m/>
    <m/>
    <m/>
    <m/>
    <m/>
    <n v="0"/>
    <n v="407834586.33333331"/>
    <n v="2116837586.4166667"/>
  </r>
  <r>
    <s v=""/>
    <x v="1"/>
    <x v="11"/>
    <s v="SBH K2"/>
    <x v="153"/>
    <s v="VTNet_Sản phẩm IMS/SMSC"/>
    <x v="0"/>
    <x v="1"/>
    <x v="0"/>
    <m/>
    <m/>
    <d v="2024-12-01T00:00:00"/>
    <d v="2025-12-01T00:00:00"/>
    <m/>
    <m/>
    <s v="PO-92194"/>
    <m/>
    <n v="119211584"/>
    <n v="0"/>
    <n v="26187303"/>
    <n v="29195332"/>
    <n v="32402766"/>
    <n v="31426183"/>
    <n v="31426183"/>
    <n v="31426183"/>
    <n v="31426183"/>
    <n v="31426183"/>
    <n v="31426183"/>
    <n v="31426183"/>
    <n v="31426183"/>
    <n v="31426183"/>
    <m/>
    <m/>
    <m/>
    <m/>
    <m/>
    <m/>
    <m/>
    <m/>
    <m/>
    <m/>
    <m/>
    <m/>
    <m/>
    <m/>
    <m/>
    <m/>
    <n v="0"/>
    <n v="30343991.666666668"/>
    <n v="169867980.33333331"/>
  </r>
  <r>
    <s v=""/>
    <x v="1"/>
    <x v="11"/>
    <s v="CNCM"/>
    <x v="153"/>
    <s v="VTNet_Sản phẩm IMS/SMSC"/>
    <x v="0"/>
    <x v="1"/>
    <x v="0"/>
    <m/>
    <m/>
    <d v="2024-12-01T00:00:00"/>
    <d v="2025-12-01T00:00:00"/>
    <m/>
    <m/>
    <s v="PO-92194"/>
    <m/>
    <n v="97189386"/>
    <n v="0"/>
    <m/>
    <m/>
    <m/>
    <n v="97189386"/>
    <n v="97189386"/>
    <n v="97189386"/>
    <n v="97189386"/>
    <n v="97189386"/>
    <n v="97189386"/>
    <n v="97189386"/>
    <n v="97189386"/>
    <n v="97189386"/>
    <m/>
    <m/>
    <m/>
    <m/>
    <m/>
    <m/>
    <m/>
    <m/>
    <m/>
    <m/>
    <m/>
    <m/>
    <m/>
    <m/>
    <m/>
    <m/>
    <n v="0"/>
    <n v="48594693"/>
    <n v="400906217.25"/>
  </r>
  <r>
    <s v=""/>
    <x v="1"/>
    <x v="11"/>
    <s v="TH"/>
    <x v="153"/>
    <s v="VTNet_Sản phẩm IMS/SMSC"/>
    <x v="0"/>
    <x v="1"/>
    <x v="0"/>
    <m/>
    <m/>
    <d v="2024-12-01T00:00:00"/>
    <d v="2025-12-01T00:00:00"/>
    <m/>
    <m/>
    <s v="PO-92194"/>
    <m/>
    <n v="4733320"/>
    <n v="0"/>
    <n v="2201544"/>
    <n v="2531776"/>
    <n v="0"/>
    <n v="0"/>
    <m/>
    <m/>
    <m/>
    <m/>
    <m/>
    <m/>
    <m/>
    <m/>
    <m/>
    <m/>
    <m/>
    <m/>
    <m/>
    <m/>
    <m/>
    <m/>
    <m/>
    <m/>
    <m/>
    <m/>
    <m/>
    <m/>
    <m/>
    <m/>
    <n v="0"/>
    <n v="788886.66666666663"/>
    <n v="2169438.333333333"/>
  </r>
  <r>
    <s v=""/>
    <x v="1"/>
    <x v="11"/>
    <s v="SBH K2"/>
    <x v="154"/>
    <s v="VTNet_Sản phẩm dùng chung"/>
    <x v="0"/>
    <x v="1"/>
    <x v="0"/>
    <m/>
    <n v="3144793599.9166665"/>
    <d v="2024-12-01T00:00:00"/>
    <d v="2025-12-01T00:00:00"/>
    <m/>
    <m/>
    <s v="PO-92194"/>
    <n v="3144793599.9166665"/>
    <n v="0"/>
    <n v="0"/>
    <m/>
    <m/>
    <n v="0"/>
    <n v="0"/>
    <m/>
    <m/>
    <m/>
    <m/>
    <m/>
    <m/>
    <m/>
    <m/>
    <m/>
    <m/>
    <m/>
    <m/>
    <m/>
    <m/>
    <m/>
    <m/>
    <m/>
    <m/>
    <m/>
    <m/>
    <m/>
    <m/>
    <m/>
    <m/>
    <n v="0"/>
    <n v="0"/>
    <n v="0"/>
  </r>
  <r>
    <s v=""/>
    <x v="1"/>
    <x v="11"/>
    <s v="CNCM"/>
    <x v="155"/>
    <s v="VTNet_Xây dựng nghiệp vụ kinh doanh"/>
    <x v="0"/>
    <x v="1"/>
    <x v="0"/>
    <m/>
    <n v="9030305738.3321686"/>
    <d v="2024-12-01T00:00:00"/>
    <d v="2025-12-01T00:00:00"/>
    <m/>
    <m/>
    <s v="PO-92194"/>
    <n v="7949785076.3321686"/>
    <n v="162982771"/>
    <n v="0"/>
    <m/>
    <n v="56178627"/>
    <n v="55834211"/>
    <n v="50969933"/>
    <n v="50969933"/>
    <n v="50969933"/>
    <n v="50969933"/>
    <n v="50969933"/>
    <n v="50969933"/>
    <n v="50969933"/>
    <n v="50969933"/>
    <n v="50969933"/>
    <m/>
    <m/>
    <m/>
    <m/>
    <m/>
    <m/>
    <m/>
    <m/>
    <m/>
    <m/>
    <m/>
    <m/>
    <m/>
    <m/>
    <m/>
    <m/>
    <n v="0"/>
    <n v="44153772.833333336"/>
    <n v="261590191.04166666"/>
  </r>
  <r>
    <s v=""/>
    <x v="1"/>
    <x v="11"/>
    <s v="SBH K2"/>
    <x v="155"/>
    <s v="VTNet_Xây dựng nghiệp vụ kinh doanh"/>
    <x v="0"/>
    <x v="1"/>
    <x v="0"/>
    <m/>
    <m/>
    <d v="2024-12-01T00:00:00"/>
    <d v="2025-12-01T00:00:00"/>
    <m/>
    <m/>
    <s v="PO-92194"/>
    <m/>
    <n v="107480816"/>
    <n v="0"/>
    <n v="27166885"/>
    <n v="25515447"/>
    <n v="26226074"/>
    <n v="28572410"/>
    <n v="28572410"/>
    <n v="28572410"/>
    <n v="28572410"/>
    <n v="28572410"/>
    <n v="28572410"/>
    <n v="28572410"/>
    <n v="28572410"/>
    <n v="28572410"/>
    <m/>
    <m/>
    <m/>
    <m/>
    <m/>
    <m/>
    <m/>
    <m/>
    <m/>
    <m/>
    <m/>
    <m/>
    <m/>
    <m/>
    <m/>
    <m/>
    <n v="0"/>
    <n v="27437606"/>
    <n v="154027544"/>
  </r>
  <r>
    <s v=""/>
    <x v="1"/>
    <x v="11"/>
    <s v="ĐPT"/>
    <x v="155"/>
    <s v="VTNet_Xây dựng nghiệp vụ kinh doanh"/>
    <x v="0"/>
    <x v="1"/>
    <x v="0"/>
    <m/>
    <m/>
    <d v="2024-12-01T00:00:00"/>
    <d v="2025-12-01T00:00:00"/>
    <m/>
    <m/>
    <s v="PO-92194"/>
    <m/>
    <n v="807690415"/>
    <n v="0"/>
    <m/>
    <n v="244555972"/>
    <n v="267621944"/>
    <n v="295512499"/>
    <n v="295512499"/>
    <n v="295512499"/>
    <n v="295512499"/>
    <n v="295512499"/>
    <n v="295512499"/>
    <n v="295512499"/>
    <n v="295512499"/>
    <n v="295512499"/>
    <m/>
    <m/>
    <m/>
    <m/>
    <m/>
    <m/>
    <m/>
    <m/>
    <m/>
    <m/>
    <m/>
    <m/>
    <m/>
    <m/>
    <m/>
    <m/>
    <n v="0"/>
    <n v="233119235.5"/>
    <n v="1453737269.875"/>
  </r>
  <r>
    <s v=""/>
    <x v="1"/>
    <x v="11"/>
    <s v="TH"/>
    <x v="155"/>
    <s v="VTNet_Xây dựng nghiệp vụ kinh doanh"/>
    <x v="0"/>
    <x v="1"/>
    <x v="0"/>
    <m/>
    <m/>
    <d v="2024-12-01T00:00:00"/>
    <d v="2025-12-01T00:00:00"/>
    <m/>
    <m/>
    <s v="PO-92194"/>
    <m/>
    <n v="2366660"/>
    <n v="0"/>
    <n v="1100772"/>
    <n v="1265888"/>
    <n v="0"/>
    <n v="0"/>
    <m/>
    <m/>
    <m/>
    <m/>
    <m/>
    <m/>
    <m/>
    <m/>
    <m/>
    <m/>
    <m/>
    <m/>
    <m/>
    <m/>
    <m/>
    <m/>
    <m/>
    <m/>
    <m/>
    <m/>
    <m/>
    <m/>
    <m/>
    <m/>
    <n v="0"/>
    <n v="394443.33333333331"/>
    <n v="1084719.1666666665"/>
  </r>
  <r>
    <s v=""/>
    <x v="1"/>
    <x v="11"/>
    <s v="NTTT"/>
    <x v="156"/>
    <s v="VDTC_Sản phẩm OCS"/>
    <x v="0"/>
    <x v="1"/>
    <x v="0"/>
    <m/>
    <n v="38321724.808333337"/>
    <d v="2024-12-01T00:00:00"/>
    <d v="2025-12-01T00:00:00"/>
    <m/>
    <m/>
    <s v="PO-92194"/>
    <n v="1889040.8083333373"/>
    <n v="35555177"/>
    <n v="0"/>
    <m/>
    <m/>
    <n v="0"/>
    <n v="35555177"/>
    <n v="35555177"/>
    <n v="35555177"/>
    <n v="35555177"/>
    <n v="35555177"/>
    <n v="35555177"/>
    <n v="35555177"/>
    <n v="35555177"/>
    <n v="35555177"/>
    <m/>
    <m/>
    <m/>
    <m/>
    <m/>
    <m/>
    <m/>
    <m/>
    <m/>
    <m/>
    <m/>
    <m/>
    <m/>
    <m/>
    <m/>
    <m/>
    <n v="0"/>
    <n v="17777588.5"/>
    <n v="146665105.125"/>
  </r>
  <r>
    <s v=""/>
    <x v="1"/>
    <x v="11"/>
    <s v="SBH K2"/>
    <x v="156"/>
    <s v="VDTC_Sản phẩm OCS"/>
    <x v="0"/>
    <x v="1"/>
    <x v="0"/>
    <m/>
    <m/>
    <d v="2024-12-01T00:00:00"/>
    <d v="2025-12-01T00:00:00"/>
    <m/>
    <m/>
    <s v="PO-92194"/>
    <m/>
    <n v="877507"/>
    <n v="0"/>
    <m/>
    <m/>
    <n v="0"/>
    <n v="877507"/>
    <n v="877507"/>
    <n v="877507"/>
    <n v="877507"/>
    <n v="877507"/>
    <n v="877507"/>
    <n v="877507"/>
    <n v="877507"/>
    <n v="877507"/>
    <m/>
    <m/>
    <m/>
    <m/>
    <m/>
    <m/>
    <m/>
    <m/>
    <m/>
    <m/>
    <m/>
    <m/>
    <m/>
    <m/>
    <m/>
    <m/>
    <n v="0"/>
    <n v="438753.5"/>
    <n v="3619716.375"/>
  </r>
  <r>
    <s v=""/>
    <x v="1"/>
    <x v="11"/>
    <s v="SBH K2"/>
    <x v="157"/>
    <s v="VDTC_Xây dựng nghiệp vụ kinh doanh"/>
    <x v="0"/>
    <x v="1"/>
    <x v="0"/>
    <m/>
    <n v="308943878.7166667"/>
    <d v="2024-12-01T00:00:00"/>
    <d v="2025-12-01T00:00:00"/>
    <m/>
    <m/>
    <s v="PO-92194"/>
    <n v="308943878.7166667"/>
    <n v="0"/>
    <n v="0"/>
    <m/>
    <m/>
    <n v="0"/>
    <n v="0"/>
    <m/>
    <m/>
    <m/>
    <m/>
    <m/>
    <m/>
    <m/>
    <m/>
    <m/>
    <m/>
    <m/>
    <m/>
    <m/>
    <m/>
    <m/>
    <m/>
    <m/>
    <m/>
    <m/>
    <m/>
    <m/>
    <m/>
    <m/>
    <m/>
    <n v="0"/>
    <n v="0"/>
    <n v="0"/>
  </r>
  <r>
    <s v=""/>
    <x v="1"/>
    <x v="11"/>
    <s v="NTTT"/>
    <x v="158"/>
    <s v="DICH VU HTKT 2025 (Metfone_ OCS)"/>
    <x v="0"/>
    <x v="1"/>
    <x v="0"/>
    <m/>
    <n v="241282813.83333331"/>
    <d v="2024-12-01T00:00:00"/>
    <d v="2025-12-01T00:00:00"/>
    <m/>
    <m/>
    <s v="PO-92194"/>
    <n v="80700703.833333313"/>
    <n v="106655203"/>
    <n v="0"/>
    <n v="22457574"/>
    <n v="21929587"/>
    <n v="31594335"/>
    <n v="30673707"/>
    <n v="30673707"/>
    <n v="30673707"/>
    <n v="30673707"/>
    <n v="30673707"/>
    <n v="30673707"/>
    <n v="30673707"/>
    <n v="30673707"/>
    <n v="30673707"/>
    <m/>
    <m/>
    <m/>
    <m/>
    <m/>
    <m/>
    <m/>
    <m/>
    <m/>
    <m/>
    <m/>
    <m/>
    <m/>
    <m/>
    <m/>
    <m/>
    <n v="0"/>
    <n v="28000436.166666668"/>
    <n v="161353893.70833331"/>
  </r>
  <r>
    <s v=""/>
    <x v="1"/>
    <x v="11"/>
    <s v="SBH K2"/>
    <x v="158"/>
    <s v="DICH VU HTKT 2025 (Metfone_ OCS)"/>
    <x v="0"/>
    <x v="1"/>
    <x v="0"/>
    <m/>
    <m/>
    <d v="2024-12-01T00:00:00"/>
    <d v="2025-12-01T00:00:00"/>
    <m/>
    <m/>
    <s v="PO-92194"/>
    <m/>
    <n v="51560247"/>
    <n v="0"/>
    <n v="11985655"/>
    <n v="12489226"/>
    <n v="13545565"/>
    <n v="13539801"/>
    <n v="13539801"/>
    <n v="13539801"/>
    <n v="13539801"/>
    <n v="13539801"/>
    <n v="13539801"/>
    <n v="13539801"/>
    <n v="13539801"/>
    <n v="13539801"/>
    <m/>
    <m/>
    <m/>
    <m/>
    <m/>
    <m/>
    <m/>
    <m/>
    <m/>
    <m/>
    <m/>
    <m/>
    <m/>
    <m/>
    <m/>
    <m/>
    <n v="0"/>
    <n v="13106641.5"/>
    <n v="73277716.875"/>
  </r>
  <r>
    <s v=""/>
    <x v="1"/>
    <x v="11"/>
    <s v="TH"/>
    <x v="158"/>
    <s v="DICH VU HTKT 2025 (Metfone_ OCS)"/>
    <x v="0"/>
    <x v="1"/>
    <x v="0"/>
    <m/>
    <m/>
    <d v="2024-12-01T00:00:00"/>
    <d v="2025-12-01T00:00:00"/>
    <m/>
    <m/>
    <s v="PO-92194"/>
    <m/>
    <n v="2366660"/>
    <n v="0"/>
    <n v="1100772"/>
    <n v="1265888"/>
    <n v="0"/>
    <n v="0"/>
    <m/>
    <m/>
    <m/>
    <m/>
    <m/>
    <m/>
    <m/>
    <m/>
    <m/>
    <m/>
    <m/>
    <m/>
    <m/>
    <m/>
    <m/>
    <m/>
    <m/>
    <m/>
    <m/>
    <m/>
    <m/>
    <m/>
    <m/>
    <m/>
    <n v="0"/>
    <n v="394443.33333333331"/>
    <n v="1084719.1666666665"/>
  </r>
  <r>
    <s v=""/>
    <x v="1"/>
    <x v="11"/>
    <s v="ĐPT"/>
    <x v="159"/>
    <s v="DICH VU HTKT 2025 (Metfone_ SMSC)"/>
    <x v="0"/>
    <x v="1"/>
    <x v="0"/>
    <m/>
    <n v="165418286.80000001"/>
    <d v="2024-12-01T00:00:00"/>
    <d v="2025-12-01T00:00:00"/>
    <m/>
    <m/>
    <s v="PO-92194"/>
    <n v="108741746.80000001"/>
    <n v="33486222"/>
    <n v="0"/>
    <n v="16318792"/>
    <n v="5997035"/>
    <n v="5839068"/>
    <n v="5331327"/>
    <n v="5331327"/>
    <n v="5331327"/>
    <n v="5331327"/>
    <n v="5331327"/>
    <n v="5331327"/>
    <n v="5331327"/>
    <n v="5331327"/>
    <n v="5331327"/>
    <m/>
    <m/>
    <m/>
    <m/>
    <m/>
    <m/>
    <m/>
    <m/>
    <m/>
    <m/>
    <m/>
    <m/>
    <m/>
    <m/>
    <m/>
    <m/>
    <n v="0"/>
    <n v="7358146"/>
    <n v="34896050.75"/>
  </r>
  <r>
    <s v=""/>
    <x v="1"/>
    <x v="11"/>
    <s v="SBH K2"/>
    <x v="159"/>
    <s v="DICH VU HTKT 2025 (Metfone_ SMSC)"/>
    <x v="0"/>
    <x v="1"/>
    <x v="0"/>
    <m/>
    <m/>
    <d v="2024-12-01T00:00:00"/>
    <d v="2025-12-01T00:00:00"/>
    <m/>
    <m/>
    <s v="PO-92194"/>
    <m/>
    <n v="23190318"/>
    <n v="0"/>
    <n v="5114435"/>
    <n v="5934104"/>
    <n v="5783921"/>
    <n v="6357858"/>
    <n v="6357858"/>
    <n v="6357858"/>
    <n v="6357858"/>
    <n v="6357858"/>
    <n v="6357858"/>
    <n v="6357858"/>
    <n v="6357858"/>
    <n v="6357858"/>
    <m/>
    <m/>
    <m/>
    <m/>
    <m/>
    <m/>
    <m/>
    <m/>
    <m/>
    <m/>
    <m/>
    <m/>
    <m/>
    <m/>
    <m/>
    <m/>
    <n v="0"/>
    <n v="5984339"/>
    <n v="33941041.75"/>
  </r>
  <r>
    <s v=""/>
    <x v="1"/>
    <x v="11"/>
    <s v="SBH K2"/>
    <x v="160"/>
    <s v="Metfone_Sản phẩm dùng chung"/>
    <x v="0"/>
    <x v="1"/>
    <x v="0"/>
    <m/>
    <n v="197391170.96666664"/>
    <d v="2024-12-01T00:00:00"/>
    <d v="2025-12-01T00:00:00"/>
    <m/>
    <m/>
    <s v="PO-92194"/>
    <n v="197391170.96666664"/>
    <n v="0"/>
    <n v="0"/>
    <m/>
    <m/>
    <n v="0"/>
    <n v="0"/>
    <m/>
    <m/>
    <m/>
    <m/>
    <m/>
    <m/>
    <m/>
    <m/>
    <m/>
    <m/>
    <m/>
    <m/>
    <m/>
    <m/>
    <m/>
    <m/>
    <m/>
    <m/>
    <m/>
    <m/>
    <m/>
    <m/>
    <m/>
    <m/>
    <n v="0"/>
    <n v="0"/>
    <n v="0"/>
  </r>
  <r>
    <s v=""/>
    <x v="1"/>
    <x v="11"/>
    <s v="ĐPT"/>
    <x v="161"/>
    <s v="Metfone_Xây dựng nghiệp vụ kinh doanh"/>
    <x v="0"/>
    <x v="1"/>
    <x v="0"/>
    <m/>
    <n v="869265590.63333333"/>
    <d v="2024-12-01T00:00:00"/>
    <d v="2025-12-01T00:00:00"/>
    <m/>
    <m/>
    <s v="PO-92194"/>
    <n v="843901069.63333333"/>
    <n v="25364521"/>
    <n v="0"/>
    <m/>
    <n v="8878891"/>
    <n v="8617489"/>
    <n v="7868141"/>
    <n v="7868141"/>
    <n v="7868141"/>
    <n v="7868141"/>
    <n v="7868141"/>
    <n v="7868141"/>
    <n v="7868141"/>
    <n v="7868141"/>
    <n v="7868141"/>
    <m/>
    <m/>
    <m/>
    <m/>
    <m/>
    <m/>
    <m/>
    <m/>
    <m/>
    <m/>
    <m/>
    <m/>
    <m/>
    <m/>
    <m/>
    <m/>
    <n v="0"/>
    <n v="6850133.833333333"/>
    <n v="40475255.791666672"/>
  </r>
  <r>
    <s v=""/>
    <x v="1"/>
    <x v="11"/>
    <s v="NTTT"/>
    <x v="162"/>
    <s v="DICH VU HTKT 2025 (Natcom_ OCS)"/>
    <x v="0"/>
    <x v="1"/>
    <x v="0"/>
    <m/>
    <n v="251887401.36666664"/>
    <d v="2024-12-01T00:00:00"/>
    <d v="2025-12-01T00:00:00"/>
    <m/>
    <m/>
    <s v="PO-92194"/>
    <n v="199052589.36666664"/>
    <n v="0"/>
    <n v="0"/>
    <m/>
    <m/>
    <n v="0"/>
    <n v="0"/>
    <m/>
    <m/>
    <m/>
    <m/>
    <m/>
    <m/>
    <m/>
    <m/>
    <m/>
    <m/>
    <m/>
    <m/>
    <m/>
    <m/>
    <m/>
    <m/>
    <m/>
    <m/>
    <m/>
    <m/>
    <m/>
    <m/>
    <m/>
    <m/>
    <n v="0"/>
    <n v="0"/>
    <n v="0"/>
  </r>
  <r>
    <s v=""/>
    <x v="1"/>
    <x v="11"/>
    <s v="SBH K2"/>
    <x v="162"/>
    <s v="DICH VU HTKT 2025 (Natcom_ OCS)"/>
    <x v="0"/>
    <x v="1"/>
    <x v="0"/>
    <m/>
    <m/>
    <d v="2024-12-01T00:00:00"/>
    <d v="2025-12-01T00:00:00"/>
    <m/>
    <m/>
    <s v="PO-92194"/>
    <m/>
    <n v="52834812"/>
    <n v="0"/>
    <n v="11985655"/>
    <n v="13794004"/>
    <n v="14605937"/>
    <n v="12449216"/>
    <n v="12449216"/>
    <n v="12449216"/>
    <n v="12449216"/>
    <n v="12449216"/>
    <n v="12449216"/>
    <n v="12449216"/>
    <n v="12449216"/>
    <n v="12449216"/>
    <m/>
    <m/>
    <m/>
    <m/>
    <m/>
    <m/>
    <m/>
    <m/>
    <m/>
    <m/>
    <m/>
    <m/>
    <m/>
    <m/>
    <m/>
    <m/>
    <n v="0"/>
    <n v="12955540.666666666"/>
    <n v="69863080.833333343"/>
  </r>
  <r>
    <s v=""/>
    <x v="1"/>
    <x v="11"/>
    <s v="ĐPT"/>
    <x v="163"/>
    <s v="Natcom_Sản phẩm IMS/SMSC"/>
    <x v="0"/>
    <x v="1"/>
    <x v="0"/>
    <m/>
    <n v="103491153.78333333"/>
    <d v="2024-12-01T00:00:00"/>
    <d v="2025-12-01T00:00:00"/>
    <m/>
    <m/>
    <s v="PO-92194"/>
    <n v="103491153.78333333"/>
    <n v="0"/>
    <n v="0"/>
    <m/>
    <m/>
    <n v="0"/>
    <n v="0"/>
    <m/>
    <m/>
    <m/>
    <m/>
    <m/>
    <m/>
    <m/>
    <m/>
    <m/>
    <m/>
    <m/>
    <m/>
    <m/>
    <m/>
    <m/>
    <m/>
    <m/>
    <m/>
    <m/>
    <m/>
    <m/>
    <m/>
    <m/>
    <m/>
    <n v="0"/>
    <n v="0"/>
    <n v="0"/>
  </r>
  <r>
    <s v=""/>
    <x v="1"/>
    <x v="11"/>
    <s v="SBH K2"/>
    <x v="164"/>
    <s v="Natcom_Sản phẩm dùng chung"/>
    <x v="0"/>
    <x v="1"/>
    <x v="0"/>
    <m/>
    <n v="110655366.96666667"/>
    <d v="2024-12-01T00:00:00"/>
    <d v="2025-12-01T00:00:00"/>
    <m/>
    <m/>
    <s v="PO-92194"/>
    <n v="110655366.96666667"/>
    <n v="0"/>
    <n v="0"/>
    <m/>
    <m/>
    <n v="0"/>
    <n v="0"/>
    <m/>
    <m/>
    <m/>
    <m/>
    <m/>
    <m/>
    <m/>
    <m/>
    <m/>
    <m/>
    <m/>
    <m/>
    <m/>
    <m/>
    <m/>
    <m/>
    <m/>
    <m/>
    <m/>
    <m/>
    <m/>
    <m/>
    <m/>
    <m/>
    <n v="0"/>
    <n v="0"/>
    <n v="0"/>
  </r>
  <r>
    <s v=""/>
    <x v="1"/>
    <x v="11"/>
    <s v="SBH K2"/>
    <x v="165"/>
    <s v="Natcom_Xây dựng nghiệp vụ kinh doanh"/>
    <x v="0"/>
    <x v="1"/>
    <x v="0"/>
    <m/>
    <n v="382806560.95000005"/>
    <d v="2024-12-01T00:00:00"/>
    <d v="2025-12-01T00:00:00"/>
    <m/>
    <m/>
    <s v="PO-92194"/>
    <n v="382806560.95000005"/>
    <n v="0"/>
    <n v="0"/>
    <m/>
    <m/>
    <n v="0"/>
    <n v="0"/>
    <m/>
    <m/>
    <m/>
    <m/>
    <m/>
    <m/>
    <m/>
    <m/>
    <m/>
    <m/>
    <m/>
    <m/>
    <m/>
    <m/>
    <m/>
    <m/>
    <m/>
    <m/>
    <m/>
    <m/>
    <m/>
    <m/>
    <m/>
    <m/>
    <n v="0"/>
    <n v="0"/>
    <n v="0"/>
  </r>
  <r>
    <s v=""/>
    <x v="1"/>
    <x v="11"/>
    <s v="NTTT"/>
    <x v="166"/>
    <s v="DICH VU HTKT 2025 (Bitel_ OCS)"/>
    <x v="0"/>
    <x v="1"/>
    <x v="0"/>
    <m/>
    <n v="228723034.73333332"/>
    <d v="2024-12-01T00:00:00"/>
    <d v="2025-12-01T00:00:00"/>
    <m/>
    <m/>
    <s v="PO-92194"/>
    <n v="129112809.73333332"/>
    <n v="70413421"/>
    <n v="0"/>
    <n v="14304579"/>
    <n v="12564583"/>
    <n v="21572912"/>
    <n v="21971347"/>
    <n v="21971347"/>
    <n v="21971347"/>
    <n v="21971347"/>
    <n v="21971347"/>
    <n v="21971347"/>
    <n v="21971347"/>
    <n v="21971347"/>
    <n v="21971347"/>
    <m/>
    <m/>
    <m/>
    <m/>
    <m/>
    <m/>
    <m/>
    <m/>
    <m/>
    <m/>
    <m/>
    <m/>
    <m/>
    <m/>
    <m/>
    <m/>
    <n v="0"/>
    <n v="19059352.5"/>
    <n v="112834423.625"/>
  </r>
  <r>
    <s v=""/>
    <x v="1"/>
    <x v="11"/>
    <s v="SBH K2"/>
    <x v="166"/>
    <s v="DICH VU HTKT 2025 (Bitel_ OCS)"/>
    <x v="0"/>
    <x v="1"/>
    <x v="0"/>
    <m/>
    <m/>
    <d v="2024-12-01T00:00:00"/>
    <d v="2025-12-01T00:00:00"/>
    <m/>
    <m/>
    <s v="PO-92194"/>
    <m/>
    <n v="29196804"/>
    <n v="0"/>
    <n v="6756316"/>
    <n v="7780265"/>
    <n v="7668072"/>
    <n v="6992151"/>
    <n v="6992151"/>
    <n v="6992151"/>
    <n v="6992151"/>
    <n v="6992151"/>
    <n v="6992151"/>
    <n v="6992151"/>
    <n v="6992151"/>
    <n v="6992151"/>
    <m/>
    <m/>
    <m/>
    <m/>
    <m/>
    <m/>
    <m/>
    <m/>
    <m/>
    <m/>
    <m/>
    <m/>
    <m/>
    <m/>
    <m/>
    <m/>
    <n v="0"/>
    <n v="7196851"/>
    <n v="39019755.5"/>
  </r>
  <r>
    <s v=""/>
    <x v="1"/>
    <x v="11"/>
    <s v="SBH K2"/>
    <x v="167"/>
    <s v="Bitel_Sản phẩm dùng chung"/>
    <x v="0"/>
    <x v="1"/>
    <x v="0"/>
    <m/>
    <n v="59551276.5"/>
    <d v="2024-12-01T00:00:00"/>
    <d v="2025-12-01T00:00:00"/>
    <m/>
    <m/>
    <s v="PO-92194"/>
    <n v="59551276.5"/>
    <n v="0"/>
    <n v="0"/>
    <m/>
    <m/>
    <n v="0"/>
    <n v="0"/>
    <m/>
    <m/>
    <m/>
    <m/>
    <m/>
    <m/>
    <m/>
    <m/>
    <m/>
    <m/>
    <m/>
    <m/>
    <m/>
    <m/>
    <m/>
    <m/>
    <m/>
    <m/>
    <m/>
    <m/>
    <m/>
    <m/>
    <m/>
    <m/>
    <n v="0"/>
    <n v="0"/>
    <n v="0"/>
  </r>
  <r>
    <s v=""/>
    <x v="1"/>
    <x v="11"/>
    <s v="SBH K2"/>
    <x v="168"/>
    <s v="Bitel_Xây dựng nghiệp vụ kinh doanh"/>
    <x v="0"/>
    <x v="1"/>
    <x v="0"/>
    <m/>
    <n v="496901003.71666664"/>
    <d v="2024-12-01T00:00:00"/>
    <d v="2025-12-01T00:00:00"/>
    <m/>
    <m/>
    <s v="PO-92194"/>
    <n v="496901003.71666664"/>
    <n v="0"/>
    <n v="0"/>
    <m/>
    <m/>
    <n v="0"/>
    <n v="0"/>
    <m/>
    <m/>
    <m/>
    <m/>
    <m/>
    <m/>
    <m/>
    <m/>
    <m/>
    <m/>
    <m/>
    <m/>
    <m/>
    <m/>
    <m/>
    <m/>
    <m/>
    <m/>
    <m/>
    <m/>
    <m/>
    <m/>
    <m/>
    <m/>
    <n v="0"/>
    <n v="0"/>
    <n v="0"/>
  </r>
  <r>
    <s v=""/>
    <x v="1"/>
    <x v="11"/>
    <s v="NTTT"/>
    <x v="169"/>
    <s v="StarTelecom_Sản phẩm OCS/CRBT"/>
    <x v="0"/>
    <x v="1"/>
    <x v="0"/>
    <m/>
    <n v="281960333.78333336"/>
    <d v="2024-12-01T00:00:00"/>
    <d v="2025-12-01T00:00:00"/>
    <m/>
    <m/>
    <s v="PO-92194"/>
    <n v="263520338.78333336"/>
    <n v="0"/>
    <n v="0"/>
    <m/>
    <m/>
    <n v="0"/>
    <n v="0"/>
    <m/>
    <m/>
    <m/>
    <m/>
    <m/>
    <m/>
    <m/>
    <m/>
    <m/>
    <m/>
    <m/>
    <m/>
    <m/>
    <m/>
    <m/>
    <m/>
    <m/>
    <m/>
    <m/>
    <m/>
    <m/>
    <m/>
    <m/>
    <m/>
    <n v="0"/>
    <n v="0"/>
    <n v="0"/>
  </r>
  <r>
    <s v=""/>
    <x v="1"/>
    <x v="11"/>
    <s v="SBH K2"/>
    <x v="169"/>
    <s v="StarTelecom_Sản phẩm OCS/CRBT"/>
    <x v="0"/>
    <x v="1"/>
    <x v="0"/>
    <m/>
    <m/>
    <d v="2024-12-01T00:00:00"/>
    <d v="2025-12-01T00:00:00"/>
    <m/>
    <m/>
    <s v="PO-92194"/>
    <m/>
    <n v="18439995"/>
    <n v="0"/>
    <m/>
    <n v="1304778"/>
    <n v="8961818"/>
    <n v="8173399"/>
    <n v="8173399"/>
    <n v="8173399"/>
    <n v="8173399"/>
    <n v="8173399"/>
    <n v="8173399"/>
    <n v="8173399"/>
    <n v="8173399"/>
    <n v="8173399"/>
    <m/>
    <m/>
    <m/>
    <m/>
    <m/>
    <m/>
    <m/>
    <m/>
    <m/>
    <m/>
    <m/>
    <m/>
    <m/>
    <m/>
    <m/>
    <m/>
    <n v="0"/>
    <n v="5797798.833333333"/>
    <n v="38420794.041666672"/>
  </r>
  <r>
    <s v=""/>
    <x v="1"/>
    <x v="11"/>
    <s v="ĐPT"/>
    <x v="170"/>
    <s v="StarTelecom_Sản phẩm SMSC"/>
    <x v="0"/>
    <x v="1"/>
    <x v="0"/>
    <m/>
    <n v="97397240.916666672"/>
    <d v="2024-12-01T00:00:00"/>
    <d v="2025-12-01T00:00:00"/>
    <m/>
    <m/>
    <s v="PO-92194"/>
    <n v="94188481.916666672"/>
    <n v="0"/>
    <n v="0"/>
    <m/>
    <m/>
    <n v="0"/>
    <n v="0"/>
    <m/>
    <m/>
    <m/>
    <m/>
    <m/>
    <m/>
    <m/>
    <m/>
    <m/>
    <m/>
    <m/>
    <m/>
    <m/>
    <m/>
    <m/>
    <m/>
    <m/>
    <m/>
    <m/>
    <m/>
    <m/>
    <m/>
    <m/>
    <m/>
    <n v="0"/>
    <n v="0"/>
    <n v="0"/>
  </r>
  <r>
    <s v=""/>
    <x v="1"/>
    <x v="11"/>
    <s v="SBH K2"/>
    <x v="170"/>
    <s v="StarTelecom_Sản phẩm SMSC"/>
    <x v="0"/>
    <x v="1"/>
    <x v="0"/>
    <m/>
    <m/>
    <d v="2024-12-01T00:00:00"/>
    <d v="2025-12-01T00:00:00"/>
    <m/>
    <m/>
    <s v="PO-92194"/>
    <m/>
    <n v="3208759"/>
    <n v="0"/>
    <m/>
    <m/>
    <n v="1677306"/>
    <n v="1531453"/>
    <n v="1531453"/>
    <n v="1531453"/>
    <n v="1531453"/>
    <n v="1531453"/>
    <n v="1531453"/>
    <n v="1531453"/>
    <n v="1531453"/>
    <n v="1531453"/>
    <m/>
    <m/>
    <m/>
    <m/>
    <m/>
    <m/>
    <m/>
    <m/>
    <m/>
    <m/>
    <m/>
    <m/>
    <m/>
    <m/>
    <m/>
    <m/>
    <n v="0"/>
    <n v="1045277.5"/>
    <n v="7086008.875"/>
  </r>
  <r>
    <s v=""/>
    <x v="1"/>
    <x v="11"/>
    <s v="SBH K2"/>
    <x v="171"/>
    <s v="StarTelecom_Sản phẩm dùng chung"/>
    <x v="0"/>
    <x v="1"/>
    <x v="0"/>
    <m/>
    <n v="110655366.96666667"/>
    <d v="2024-12-01T00:00:00"/>
    <d v="2025-12-01T00:00:00"/>
    <m/>
    <m/>
    <s v="PO-92194"/>
    <n v="110655366.96666667"/>
    <n v="0"/>
    <n v="0"/>
    <m/>
    <m/>
    <n v="0"/>
    <n v="0"/>
    <m/>
    <m/>
    <m/>
    <m/>
    <m/>
    <m/>
    <m/>
    <m/>
    <m/>
    <m/>
    <m/>
    <m/>
    <m/>
    <m/>
    <m/>
    <m/>
    <m/>
    <m/>
    <m/>
    <m/>
    <m/>
    <m/>
    <m/>
    <m/>
    <n v="0"/>
    <n v="0"/>
    <n v="0"/>
  </r>
  <r>
    <s v=""/>
    <x v="1"/>
    <x v="11"/>
    <s v="SBH K2"/>
    <x v="172"/>
    <s v="StarTelecom_Xây dựng nghiệp vụ kinh doanh"/>
    <x v="0"/>
    <x v="1"/>
    <x v="0"/>
    <m/>
    <n v="350120783.2166667"/>
    <d v="2024-12-01T00:00:00"/>
    <d v="2025-12-01T00:00:00"/>
    <m/>
    <m/>
    <s v="PO-92194"/>
    <n v="350120783.2166667"/>
    <n v="0"/>
    <n v="0"/>
    <m/>
    <m/>
    <n v="0"/>
    <n v="0"/>
    <m/>
    <m/>
    <m/>
    <m/>
    <m/>
    <m/>
    <m/>
    <m/>
    <m/>
    <m/>
    <m/>
    <m/>
    <m/>
    <m/>
    <m/>
    <m/>
    <m/>
    <m/>
    <m/>
    <m/>
    <m/>
    <m/>
    <m/>
    <m/>
    <n v="0"/>
    <n v="0"/>
    <n v="0"/>
  </r>
  <r>
    <s v=""/>
    <x v="1"/>
    <x v="11"/>
    <s v="NTTT"/>
    <x v="173"/>
    <s v="Lumitel_Sản phẩm OCS/CRBT"/>
    <x v="0"/>
    <x v="1"/>
    <x v="0"/>
    <m/>
    <n v="135320665.83333331"/>
    <d v="2024-12-01T00:00:00"/>
    <d v="2025-12-01T00:00:00"/>
    <m/>
    <m/>
    <s v="PO-92194"/>
    <n v="94428938.833333313"/>
    <n v="0"/>
    <n v="0"/>
    <m/>
    <m/>
    <n v="0"/>
    <n v="0"/>
    <m/>
    <m/>
    <m/>
    <m/>
    <m/>
    <m/>
    <m/>
    <m/>
    <m/>
    <m/>
    <m/>
    <m/>
    <m/>
    <m/>
    <m/>
    <m/>
    <m/>
    <m/>
    <m/>
    <m/>
    <m/>
    <m/>
    <m/>
    <m/>
    <n v="0"/>
    <n v="0"/>
    <n v="0"/>
  </r>
  <r>
    <s v=""/>
    <x v="1"/>
    <x v="11"/>
    <s v="SBH K2"/>
    <x v="173"/>
    <s v="Lumitel_Sản phẩm OCS/CRBT"/>
    <x v="0"/>
    <x v="1"/>
    <x v="0"/>
    <m/>
    <m/>
    <d v="2024-12-01T00:00:00"/>
    <d v="2025-12-01T00:00:00"/>
    <m/>
    <m/>
    <s v="PO-92194"/>
    <m/>
    <n v="40891727"/>
    <n v="0"/>
    <n v="10076010"/>
    <n v="10293136"/>
    <n v="10115018"/>
    <n v="10407563"/>
    <n v="10407563"/>
    <n v="10407563"/>
    <n v="10407563"/>
    <n v="10407563"/>
    <n v="10407563"/>
    <n v="10407563"/>
    <n v="10407563"/>
    <n v="10407563"/>
    <m/>
    <m/>
    <m/>
    <m/>
    <m/>
    <m/>
    <m/>
    <m/>
    <m/>
    <m/>
    <m/>
    <m/>
    <m/>
    <m/>
    <m/>
    <m/>
    <n v="0"/>
    <n v="10284475.5"/>
    <n v="56903105.875"/>
  </r>
  <r>
    <s v=""/>
    <x v="1"/>
    <x v="11"/>
    <s v="SBH K2"/>
    <x v="174"/>
    <s v="Lumitel_Sản phẩm dùng chung"/>
    <x v="0"/>
    <x v="1"/>
    <x v="0"/>
    <m/>
    <n v="103998769.33333333"/>
    <d v="2024-12-01T00:00:00"/>
    <d v="2025-12-01T00:00:00"/>
    <m/>
    <m/>
    <s v="PO-92194"/>
    <n v="103998769.33333333"/>
    <n v="0"/>
    <n v="0"/>
    <m/>
    <m/>
    <n v="0"/>
    <n v="0"/>
    <m/>
    <m/>
    <m/>
    <m/>
    <m/>
    <m/>
    <m/>
    <m/>
    <m/>
    <m/>
    <m/>
    <m/>
    <m/>
    <m/>
    <m/>
    <m/>
    <m/>
    <m/>
    <m/>
    <m/>
    <m/>
    <m/>
    <m/>
    <m/>
    <n v="0"/>
    <n v="0"/>
    <n v="0"/>
  </r>
  <r>
    <s v=""/>
    <x v="1"/>
    <x v="11"/>
    <s v="SBH K2"/>
    <x v="175"/>
    <s v="Lumitel_Xây dựng nghiệp vụ kinh doanh"/>
    <x v="0"/>
    <x v="1"/>
    <x v="0"/>
    <m/>
    <n v="120312975.71666667"/>
    <d v="2024-12-01T00:00:00"/>
    <d v="2025-12-01T00:00:00"/>
    <m/>
    <m/>
    <s v="PO-92194"/>
    <n v="120312975.71666667"/>
    <n v="0"/>
    <n v="0"/>
    <m/>
    <m/>
    <n v="0"/>
    <n v="0"/>
    <m/>
    <m/>
    <m/>
    <m/>
    <m/>
    <m/>
    <m/>
    <m/>
    <m/>
    <m/>
    <m/>
    <m/>
    <m/>
    <m/>
    <m/>
    <m/>
    <m/>
    <m/>
    <m/>
    <m/>
    <m/>
    <m/>
    <m/>
    <m/>
    <n v="0"/>
    <n v="0"/>
    <n v="0"/>
  </r>
  <r>
    <s v=""/>
    <x v="1"/>
    <x v="11"/>
    <s v="NTTT"/>
    <x v="176"/>
    <s v="Timor_Sản phẩm OCS/CRBT"/>
    <x v="0"/>
    <x v="1"/>
    <x v="0"/>
    <m/>
    <n v="68746329.900000006"/>
    <d v="2024-12-01T00:00:00"/>
    <d v="2025-12-01T00:00:00"/>
    <m/>
    <m/>
    <s v="PO-92194"/>
    <n v="40383342.900000006"/>
    <n v="0"/>
    <n v="0"/>
    <m/>
    <m/>
    <n v="0"/>
    <n v="0"/>
    <m/>
    <m/>
    <m/>
    <m/>
    <m/>
    <m/>
    <m/>
    <m/>
    <m/>
    <m/>
    <m/>
    <m/>
    <m/>
    <m/>
    <m/>
    <m/>
    <m/>
    <m/>
    <m/>
    <m/>
    <m/>
    <m/>
    <m/>
    <m/>
    <n v="0"/>
    <n v="0"/>
    <n v="0"/>
  </r>
  <r>
    <s v=""/>
    <x v="1"/>
    <x v="11"/>
    <s v="SBH K2"/>
    <x v="177"/>
    <s v="DICH VU HTKT 2025 (Timor Leste_ OCS)"/>
    <x v="0"/>
    <x v="1"/>
    <x v="0"/>
    <m/>
    <m/>
    <d v="2024-12-01T00:00:00"/>
    <d v="2025-12-01T00:00:00"/>
    <m/>
    <m/>
    <s v="PO-92194"/>
    <m/>
    <n v="28362987"/>
    <n v="0"/>
    <n v="6546237"/>
    <n v="7538670"/>
    <n v="7461157"/>
    <n v="6816923"/>
    <n v="6816923"/>
    <n v="6816923"/>
    <n v="6816923"/>
    <n v="6816923"/>
    <n v="6816923"/>
    <n v="6816923"/>
    <n v="6816923"/>
    <n v="6816923"/>
    <m/>
    <m/>
    <m/>
    <m/>
    <m/>
    <m/>
    <m/>
    <m/>
    <m/>
    <m/>
    <m/>
    <m/>
    <m/>
    <m/>
    <m/>
    <m/>
    <n v="0"/>
    <n v="6999472.166666667"/>
    <n v="37995086.708333328"/>
  </r>
  <r>
    <s v=""/>
    <x v="1"/>
    <x v="11"/>
    <s v="ĐPT"/>
    <x v="178"/>
    <s v="Timor_Sản phẩm SMSC"/>
    <x v="0"/>
    <x v="1"/>
    <x v="0"/>
    <m/>
    <n v="33715858.316666663"/>
    <d v="2024-12-01T00:00:00"/>
    <d v="2025-12-01T00:00:00"/>
    <m/>
    <m/>
    <s v="PO-92194"/>
    <n v="27381454.316666663"/>
    <n v="0"/>
    <n v="0"/>
    <m/>
    <m/>
    <n v="0"/>
    <n v="0"/>
    <m/>
    <m/>
    <m/>
    <m/>
    <m/>
    <m/>
    <m/>
    <m/>
    <m/>
    <m/>
    <m/>
    <m/>
    <m/>
    <m/>
    <m/>
    <m/>
    <m/>
    <m/>
    <m/>
    <m/>
    <m/>
    <m/>
    <m/>
    <m/>
    <n v="0"/>
    <n v="0"/>
    <n v="0"/>
  </r>
  <r>
    <s v=""/>
    <x v="1"/>
    <x v="11"/>
    <s v="SBH K2"/>
    <x v="179"/>
    <s v="DICH VU HTKT 2025 (Timor Leste_ SMSC)"/>
    <x v="0"/>
    <x v="1"/>
    <x v="0"/>
    <m/>
    <m/>
    <d v="2024-12-01T00:00:00"/>
    <d v="2025-12-01T00:00:00"/>
    <m/>
    <m/>
    <s v="PO-92194"/>
    <m/>
    <n v="6334404"/>
    <n v="0"/>
    <n v="1429369"/>
    <n v="1696276"/>
    <n v="1677306"/>
    <n v="1531453"/>
    <n v="1531453"/>
    <n v="1531453"/>
    <n v="1531453"/>
    <n v="1531453"/>
    <n v="1531453"/>
    <n v="1531453"/>
    <n v="1531453"/>
    <n v="1531453"/>
    <m/>
    <m/>
    <m/>
    <m/>
    <m/>
    <m/>
    <m/>
    <m/>
    <m/>
    <m/>
    <m/>
    <m/>
    <m/>
    <m/>
    <m/>
    <m/>
    <n v="0"/>
    <n v="1566218.3333333333"/>
    <n v="8518596.1666666679"/>
  </r>
  <r>
    <s v=""/>
    <x v="1"/>
    <x v="11"/>
    <s v="SBH K2"/>
    <x v="180"/>
    <s v="Timor_Sản phẩm dùng chung"/>
    <x v="0"/>
    <x v="1"/>
    <x v="0"/>
    <m/>
    <n v="17862216"/>
    <d v="2024-12-01T00:00:00"/>
    <d v="2025-12-01T00:00:00"/>
    <m/>
    <m/>
    <s v="PO-92194"/>
    <n v="17862216"/>
    <n v="0"/>
    <n v="0"/>
    <m/>
    <m/>
    <n v="0"/>
    <n v="0"/>
    <m/>
    <m/>
    <m/>
    <m/>
    <m/>
    <m/>
    <m/>
    <m/>
    <m/>
    <m/>
    <m/>
    <m/>
    <m/>
    <m/>
    <m/>
    <m/>
    <m/>
    <m/>
    <m/>
    <m/>
    <m/>
    <m/>
    <m/>
    <m/>
    <n v="0"/>
    <n v="0"/>
    <n v="0"/>
  </r>
  <r>
    <s v=""/>
    <x v="1"/>
    <x v="11"/>
    <s v="SBH K2"/>
    <x v="181"/>
    <s v="Timor_Xây dựng nghiệp vụ kinh doanh"/>
    <x v="0"/>
    <x v="1"/>
    <x v="0"/>
    <m/>
    <n v="159272102.34999999"/>
    <d v="2024-12-01T00:00:00"/>
    <d v="2025-12-01T00:00:00"/>
    <m/>
    <m/>
    <s v="PO-92194"/>
    <n v="159272102.34999999"/>
    <n v="0"/>
    <n v="0"/>
    <m/>
    <m/>
    <n v="0"/>
    <n v="0"/>
    <m/>
    <m/>
    <m/>
    <m/>
    <m/>
    <m/>
    <m/>
    <m/>
    <m/>
    <m/>
    <m/>
    <m/>
    <m/>
    <m/>
    <m/>
    <m/>
    <m/>
    <m/>
    <m/>
    <m/>
    <m/>
    <m/>
    <m/>
    <m/>
    <n v="0"/>
    <n v="0"/>
    <n v="0"/>
  </r>
  <r>
    <n v="80"/>
    <x v="1"/>
    <x v="11"/>
    <s v="SBH K2"/>
    <x v="182"/>
    <m/>
    <x v="0"/>
    <x v="0"/>
    <x v="1"/>
    <n v="1450066000"/>
    <n v="725053000"/>
    <d v="2024-07-01T00:00:00"/>
    <d v="2024-12-01T00:00:00"/>
    <s v="quangnv6@viettel.com.vn"/>
    <s v="hanglt1@viettel.com.vn"/>
    <m/>
    <n v="691902549"/>
    <n v="33150451"/>
    <n v="33150451"/>
    <m/>
    <m/>
    <n v="0"/>
    <n v="0"/>
    <m/>
    <m/>
    <m/>
    <m/>
    <m/>
    <m/>
    <m/>
    <m/>
    <n v="0"/>
    <n v="0"/>
    <n v="0"/>
    <n v="0"/>
    <n v="0"/>
    <n v="0"/>
    <n v="0"/>
    <n v="0"/>
    <n v="0"/>
    <n v="0"/>
    <n v="13765456"/>
    <n v="9573003"/>
    <n v="0"/>
    <n v="1637546"/>
    <n v="8174446"/>
    <n v="0"/>
    <n v="0"/>
    <n v="0"/>
    <n v="0"/>
  </r>
  <r>
    <m/>
    <x v="1"/>
    <x v="11"/>
    <s v="SBH K2"/>
    <x v="183"/>
    <m/>
    <x v="0"/>
    <x v="1"/>
    <x v="1"/>
    <m/>
    <m/>
    <d v="2024-07-01T00:00:00"/>
    <d v="2024-12-01T00:00:00"/>
    <m/>
    <m/>
    <m/>
    <m/>
    <n v="33150451"/>
    <n v="33150451"/>
    <m/>
    <m/>
    <n v="0"/>
    <n v="0"/>
    <m/>
    <m/>
    <m/>
    <m/>
    <m/>
    <m/>
    <m/>
    <m/>
    <m/>
    <m/>
    <m/>
    <m/>
    <m/>
    <m/>
    <m/>
    <m/>
    <m/>
    <m/>
    <n v="13765456"/>
    <n v="9573003"/>
    <m/>
    <n v="1637546"/>
    <n v="8174446"/>
    <m/>
    <n v="0"/>
    <n v="0"/>
    <n v="0"/>
  </r>
  <r>
    <n v="56"/>
    <x v="1"/>
    <x v="11"/>
    <s v="SBH K2"/>
    <x v="184"/>
    <s v="580K WIFI AP"/>
    <x v="0"/>
    <x v="0"/>
    <x v="0"/>
    <n v="344997250845"/>
    <n v="2243166817"/>
    <d v="2023-05-01T00:00:00"/>
    <d v="2026-01-01T00:00:00"/>
    <s v="quangnv6@viettel.com.vn"/>
    <s v="hanglt1@viettel.com.vn"/>
    <s v="PO-92147"/>
    <n v="1425414446"/>
    <n v="817752371"/>
    <n v="689918106"/>
    <n v="32647349"/>
    <n v="30898451"/>
    <n v="31414886"/>
    <n v="32873579"/>
    <m/>
    <m/>
    <m/>
    <m/>
    <m/>
    <m/>
    <m/>
    <m/>
    <n v="0"/>
    <n v="4801149"/>
    <n v="2558068"/>
    <n v="0"/>
    <n v="0"/>
    <n v="0"/>
    <n v="0"/>
    <n v="1071699"/>
    <n v="0"/>
    <n v="0"/>
    <n v="0"/>
    <n v="0"/>
    <n v="0"/>
    <n v="513932"/>
    <n v="2332261"/>
    <n v="371822374"/>
    <n v="0"/>
    <m/>
    <m/>
  </r>
  <r>
    <s v=""/>
    <x v="1"/>
    <x v="11"/>
    <s v="QLSX"/>
    <x v="184"/>
    <s v="580K WIFI AP"/>
    <x v="0"/>
    <x v="1"/>
    <x v="1"/>
    <m/>
    <n v="461431770"/>
    <d v="2023-05-01T00:00:00"/>
    <d v="2023-12-01T00:00:00"/>
    <m/>
    <m/>
    <s v="PO-92147"/>
    <n v="78332287"/>
    <n v="383099483"/>
    <n v="383099483"/>
    <m/>
    <m/>
    <n v="0"/>
    <n v="0"/>
    <m/>
    <m/>
    <m/>
    <m/>
    <m/>
    <m/>
    <m/>
    <m/>
    <m/>
    <n v="4801149"/>
    <n v="2558068"/>
    <m/>
    <m/>
    <m/>
    <m/>
    <n v="1071699"/>
    <m/>
    <m/>
    <m/>
    <m/>
    <m/>
    <n v="513932"/>
    <n v="2332261"/>
    <n v="371822374"/>
    <n v="0"/>
    <n v="0"/>
    <n v="0"/>
  </r>
  <r>
    <s v=""/>
    <x v="1"/>
    <x v="11"/>
    <s v="KTCN"/>
    <x v="184"/>
    <s v="580K WIFI AP"/>
    <x v="0"/>
    <x v="1"/>
    <x v="1"/>
    <m/>
    <m/>
    <d v="2023-05-01T00:00:00"/>
    <d v="2023-12-01T00:00:00"/>
    <m/>
    <m/>
    <s v="PO-92147"/>
    <m/>
    <n v="0"/>
    <n v="0"/>
    <m/>
    <m/>
    <n v="0"/>
    <n v="0"/>
    <m/>
    <m/>
    <m/>
    <m/>
    <m/>
    <m/>
    <m/>
    <m/>
    <m/>
    <m/>
    <m/>
    <m/>
    <m/>
    <m/>
    <m/>
    <m/>
    <m/>
    <m/>
    <m/>
    <m/>
    <m/>
    <m/>
    <m/>
    <m/>
    <n v="0"/>
    <n v="0"/>
    <n v="0"/>
  </r>
  <r>
    <s v=""/>
    <x v="1"/>
    <x v="11"/>
    <s v="SBH K2"/>
    <x v="184"/>
    <s v="580K WIFI AP"/>
    <x v="1"/>
    <x v="1"/>
    <x v="0"/>
    <m/>
    <n v="328962543"/>
    <d v="2023-05-01T00:00:00"/>
    <d v="2026-01-01T00:00:00"/>
    <m/>
    <m/>
    <s v="PO-92147"/>
    <n v="52996110"/>
    <n v="274865661"/>
    <n v="252312293"/>
    <n v="22553368"/>
    <m/>
    <n v="0"/>
    <n v="0"/>
    <m/>
    <m/>
    <m/>
    <m/>
    <m/>
    <m/>
    <m/>
    <m/>
    <n v="15474779"/>
    <n v="6558805"/>
    <n v="14795326"/>
    <n v="17694787"/>
    <n v="14206961"/>
    <n v="15793808"/>
    <n v="2806815"/>
    <n v="9532437"/>
    <n v="15812271"/>
    <n v="16606995"/>
    <n v="13188115"/>
    <n v="16855341"/>
    <n v="23418293"/>
    <n v="12060647"/>
    <n v="57506913"/>
    <m/>
    <n v="0"/>
    <n v="3758894.6666666665"/>
    <n v="10336960.333333332"/>
  </r>
  <r>
    <s v=""/>
    <x v="1"/>
    <x v="11"/>
    <s v="TH"/>
    <x v="184"/>
    <s v="580K WIFI AP"/>
    <x v="1"/>
    <x v="1"/>
    <x v="0"/>
    <m/>
    <m/>
    <d v="2023-05-01T00:00:00"/>
    <d v="2026-01-01T00:00:00"/>
    <m/>
    <m/>
    <s v="PO-92147"/>
    <m/>
    <n v="1100772"/>
    <n v="0"/>
    <n v="1100772"/>
    <m/>
    <n v="0"/>
    <n v="0"/>
    <m/>
    <m/>
    <m/>
    <m/>
    <m/>
    <m/>
    <m/>
    <m/>
    <m/>
    <m/>
    <m/>
    <m/>
    <m/>
    <m/>
    <m/>
    <m/>
    <m/>
    <m/>
    <m/>
    <m/>
    <m/>
    <m/>
    <m/>
    <m/>
    <n v="0"/>
    <n v="183462"/>
    <n v="504520.5"/>
  </r>
  <r>
    <s v=""/>
    <x v="1"/>
    <x v="11"/>
    <s v="SBH K2"/>
    <x v="184"/>
    <s v="580K WIFI AP"/>
    <x v="2"/>
    <x v="1"/>
    <x v="0"/>
    <m/>
    <n v="1452772504"/>
    <d v="2024-01-01T00:00:00"/>
    <d v="2026-01-01T00:00:00"/>
    <m/>
    <m/>
    <s v="PO-92147"/>
    <n v="1294086049"/>
    <n v="155053908"/>
    <n v="54506330"/>
    <n v="7892437"/>
    <n v="28366676"/>
    <n v="31414886"/>
    <n v="32873579"/>
    <n v="32873579"/>
    <n v="32873579"/>
    <n v="32873579"/>
    <n v="32873579"/>
    <n v="32873579"/>
    <n v="32873579"/>
    <n v="32873579"/>
    <n v="32873579"/>
    <m/>
    <m/>
    <m/>
    <m/>
    <m/>
    <m/>
    <m/>
    <m/>
    <m/>
    <m/>
    <n v="5613630"/>
    <n v="6728065"/>
    <n v="25744135"/>
    <n v="2601285"/>
    <n v="13819215"/>
    <m/>
    <n v="0"/>
    <n v="27715789.333333332"/>
    <n v="166620762.91666669"/>
  </r>
  <r>
    <s v=""/>
    <x v="1"/>
    <x v="11"/>
    <s v="TH"/>
    <x v="184"/>
    <s v="580K WIFI AP"/>
    <x v="2"/>
    <x v="1"/>
    <x v="0"/>
    <m/>
    <m/>
    <d v="2024-01-01T00:00:00"/>
    <d v="2026-01-01T00:00:00"/>
    <m/>
    <m/>
    <s v="PO-92147"/>
    <m/>
    <n v="3632547"/>
    <n v="0"/>
    <n v="1100772"/>
    <n v="2531775"/>
    <n v="0"/>
    <n v="0"/>
    <m/>
    <m/>
    <m/>
    <m/>
    <m/>
    <m/>
    <m/>
    <m/>
    <m/>
    <m/>
    <m/>
    <m/>
    <m/>
    <m/>
    <m/>
    <m/>
    <m/>
    <m/>
    <m/>
    <m/>
    <m/>
    <m/>
    <m/>
    <m/>
    <n v="0"/>
    <n v="605424.5"/>
    <n v="1664917.375"/>
  </r>
  <r>
    <n v="57"/>
    <x v="1"/>
    <x v="11"/>
    <s v="SBH K2"/>
    <x v="185"/>
    <s v="105K AP WIFI"/>
    <x v="0"/>
    <x v="0"/>
    <x v="0"/>
    <n v="63644059785"/>
    <n v="572574615"/>
    <d v="2022-12-01T00:00:00"/>
    <d v="2026-01-01T00:00:00"/>
    <s v="quangnv6@viettel.com.vn"/>
    <s v="hanglt1@viettel.com.vn"/>
    <s v="PO-92976"/>
    <n v="167570388"/>
    <n v="405004227"/>
    <n v="357373766"/>
    <n v="8993210"/>
    <n v="13599374"/>
    <n v="13087981"/>
    <n v="11949896"/>
    <m/>
    <m/>
    <m/>
    <m/>
    <m/>
    <m/>
    <m/>
    <m/>
    <n v="0"/>
    <n v="0"/>
    <n v="0"/>
    <n v="0"/>
    <n v="0"/>
    <n v="0"/>
    <n v="0"/>
    <n v="0"/>
    <n v="0"/>
    <n v="0"/>
    <n v="0"/>
    <n v="0"/>
    <n v="0"/>
    <n v="0"/>
    <n v="0"/>
    <n v="236741223"/>
    <n v="0"/>
    <m/>
    <m/>
  </r>
  <r>
    <s v=""/>
    <x v="1"/>
    <x v="11"/>
    <s v="SBH K2"/>
    <x v="185"/>
    <s v="105K AP WIFI"/>
    <x v="0"/>
    <x v="1"/>
    <x v="1"/>
    <m/>
    <n v="179133579"/>
    <d v="2022-12-01T00:00:00"/>
    <d v="2023-06-01T00:00:00"/>
    <m/>
    <m/>
    <s v="PO-92976"/>
    <n v="-57607644"/>
    <n v="236741223"/>
    <n v="236741223"/>
    <m/>
    <m/>
    <n v="0"/>
    <n v="0"/>
    <m/>
    <m/>
    <m/>
    <m/>
    <m/>
    <m/>
    <m/>
    <m/>
    <m/>
    <m/>
    <m/>
    <m/>
    <m/>
    <m/>
    <m/>
    <m/>
    <m/>
    <m/>
    <m/>
    <m/>
    <m/>
    <m/>
    <m/>
    <n v="236741223"/>
    <n v="0"/>
    <n v="0"/>
    <n v="0"/>
  </r>
  <r>
    <s v=""/>
    <x v="1"/>
    <x v="11"/>
    <s v="SBH K2"/>
    <x v="185"/>
    <s v="105K AP WIFI"/>
    <x v="1"/>
    <x v="1"/>
    <x v="0"/>
    <m/>
    <n v="189625974"/>
    <d v="2022-12-01T00:00:00"/>
    <d v="2026-01-01T00:00:00"/>
    <m/>
    <m/>
    <s v="PO-92976"/>
    <n v="113052314"/>
    <n v="76573660"/>
    <n v="76573660"/>
    <m/>
    <m/>
    <n v="0"/>
    <n v="0"/>
    <m/>
    <m/>
    <m/>
    <m/>
    <m/>
    <m/>
    <m/>
    <m/>
    <m/>
    <n v="5904745"/>
    <n v="9025034"/>
    <n v="10529204"/>
    <n v="7896903"/>
    <n v="6317523"/>
    <m/>
    <n v="5877757"/>
    <m/>
    <m/>
    <m/>
    <m/>
    <n v="8251186"/>
    <n v="3307997"/>
    <n v="19463311"/>
    <m/>
    <n v="0"/>
    <n v="0"/>
    <n v="0"/>
  </r>
  <r>
    <s v=""/>
    <x v="1"/>
    <x v="11"/>
    <s v="SBH K2"/>
    <x v="185"/>
    <s v="105K AP WIFI"/>
    <x v="2"/>
    <x v="1"/>
    <x v="0"/>
    <m/>
    <n v="203815062"/>
    <d v="2024-09-01T00:00:00"/>
    <d v="2026-01-01T00:00:00"/>
    <m/>
    <m/>
    <s v="PO-92976"/>
    <n v="112125718"/>
    <n v="89322684"/>
    <n v="44058883"/>
    <n v="7892438"/>
    <n v="12333486"/>
    <n v="13087981"/>
    <n v="11949896"/>
    <n v="11949896"/>
    <n v="11949896"/>
    <n v="11949896"/>
    <n v="11949896"/>
    <n v="11949896"/>
    <n v="11949896"/>
    <n v="11949896"/>
    <n v="11949896"/>
    <m/>
    <m/>
    <m/>
    <m/>
    <m/>
    <m/>
    <n v="5613630"/>
    <m/>
    <n v="5868795"/>
    <n v="6148261"/>
    <n v="5613631"/>
    <n v="6728064"/>
    <m/>
    <n v="2064416"/>
    <n v="12022086"/>
    <m/>
    <n v="0"/>
    <n v="11527265.5"/>
    <n v="64562194.125"/>
  </r>
  <r>
    <s v=""/>
    <x v="1"/>
    <x v="11"/>
    <s v="TH"/>
    <x v="185"/>
    <s v="105K AP WIFI"/>
    <x v="2"/>
    <x v="1"/>
    <x v="0"/>
    <m/>
    <m/>
    <d v="2024-09-01T00:00:00"/>
    <d v="2026-01-01T00:00:00"/>
    <m/>
    <m/>
    <s v="PO-92976"/>
    <m/>
    <n v="2366660"/>
    <n v="0"/>
    <n v="1100772"/>
    <n v="1265888"/>
    <n v="0"/>
    <n v="0"/>
    <m/>
    <m/>
    <m/>
    <m/>
    <m/>
    <m/>
    <m/>
    <m/>
    <m/>
    <m/>
    <m/>
    <m/>
    <m/>
    <m/>
    <m/>
    <m/>
    <m/>
    <m/>
    <m/>
    <m/>
    <m/>
    <m/>
    <m/>
    <m/>
    <n v="0"/>
    <n v="394443.33333333331"/>
    <n v="1084719.1666666665"/>
  </r>
  <r>
    <n v="58"/>
    <x v="1"/>
    <x v="11"/>
    <s v="SBH K2"/>
    <x v="186"/>
    <m/>
    <x v="0"/>
    <x v="0"/>
    <x v="1"/>
    <n v="39173999022"/>
    <n v="993843220"/>
    <m/>
    <m/>
    <s v="quangnv6@viettel.com.vn"/>
    <s v="hanglt1@viettel.com.vn"/>
    <s v="PO-92074"/>
    <n v="466147015"/>
    <n v="527696205"/>
    <n v="527696205"/>
    <m/>
    <m/>
    <n v="0"/>
    <n v="0"/>
    <m/>
    <m/>
    <m/>
    <m/>
    <m/>
    <m/>
    <m/>
    <m/>
    <n v="0"/>
    <n v="0"/>
    <n v="0"/>
    <n v="0"/>
    <n v="0"/>
    <n v="0"/>
    <n v="0"/>
    <n v="0"/>
    <n v="0"/>
    <n v="0"/>
    <n v="0"/>
    <n v="0"/>
    <n v="0"/>
    <n v="0"/>
    <n v="0"/>
    <n v="122354524"/>
    <n v="0"/>
    <n v="0"/>
    <n v="0"/>
  </r>
  <r>
    <s v=""/>
    <x v="1"/>
    <x v="11"/>
    <s v="SBH K2"/>
    <x v="186"/>
    <m/>
    <x v="0"/>
    <x v="1"/>
    <x v="1"/>
    <m/>
    <m/>
    <m/>
    <m/>
    <m/>
    <m/>
    <s v="PO-92074"/>
    <m/>
    <n v="122354524"/>
    <n v="122354524"/>
    <m/>
    <m/>
    <n v="0"/>
    <n v="0"/>
    <m/>
    <m/>
    <m/>
    <m/>
    <m/>
    <m/>
    <m/>
    <m/>
    <m/>
    <m/>
    <m/>
    <m/>
    <m/>
    <m/>
    <m/>
    <m/>
    <m/>
    <m/>
    <m/>
    <m/>
    <m/>
    <m/>
    <m/>
    <n v="122354524"/>
    <n v="0"/>
    <n v="0"/>
    <n v="0"/>
  </r>
  <r>
    <s v=""/>
    <x v="1"/>
    <x v="11"/>
    <s v="SBH K2"/>
    <x v="186"/>
    <m/>
    <x v="1"/>
    <x v="1"/>
    <x v="1"/>
    <m/>
    <m/>
    <m/>
    <m/>
    <m/>
    <m/>
    <s v="PO-92074"/>
    <m/>
    <n v="5326172"/>
    <n v="5326172"/>
    <m/>
    <m/>
    <n v="0"/>
    <n v="0"/>
    <m/>
    <m/>
    <m/>
    <m/>
    <m/>
    <m/>
    <m/>
    <m/>
    <m/>
    <m/>
    <m/>
    <m/>
    <m/>
    <m/>
    <m/>
    <m/>
    <m/>
    <m/>
    <m/>
    <m/>
    <m/>
    <m/>
    <m/>
    <n v="5326172"/>
    <n v="0"/>
    <n v="0"/>
    <n v="0"/>
  </r>
  <r>
    <s v=""/>
    <x v="1"/>
    <x v="11"/>
    <s v="SBH K2"/>
    <x v="186"/>
    <m/>
    <x v="2"/>
    <x v="1"/>
    <x v="1"/>
    <m/>
    <m/>
    <m/>
    <m/>
    <m/>
    <m/>
    <s v="PO-92074"/>
    <m/>
    <n v="400015509"/>
    <n v="400015509"/>
    <m/>
    <m/>
    <n v="0"/>
    <n v="0"/>
    <m/>
    <m/>
    <m/>
    <m/>
    <m/>
    <m/>
    <m/>
    <m/>
    <m/>
    <n v="5728446"/>
    <n v="12938100"/>
    <n v="9229639"/>
    <n v="5119603"/>
    <n v="6143521"/>
    <n v="5364522"/>
    <n v="3839684"/>
    <n v="7314512"/>
    <n v="2513890"/>
    <m/>
    <n v="1701477"/>
    <n v="1150807"/>
    <n v="3826716"/>
    <n v="17365940"/>
    <n v="317778652"/>
    <n v="0"/>
    <n v="0"/>
    <n v="0"/>
  </r>
  <r>
    <n v="59"/>
    <x v="1"/>
    <x v="11"/>
    <s v="SBH K2"/>
    <x v="183"/>
    <s v="vSMSC BURUNDI"/>
    <x v="0"/>
    <x v="0"/>
    <x v="0"/>
    <n v="1630684000"/>
    <n v="885645815"/>
    <d v="2025-04-01T00:00:00"/>
    <d v="2025-12-01T00:00:00"/>
    <s v="quangnv6@viettel.com.vn"/>
    <s v="hanglt1@viettel.com.vn"/>
    <m/>
    <n v="885645815"/>
    <n v="0"/>
    <n v="0"/>
    <m/>
    <m/>
    <n v="0"/>
    <n v="0"/>
    <m/>
    <m/>
    <m/>
    <m/>
    <m/>
    <m/>
    <m/>
    <m/>
    <n v="0"/>
    <n v="0"/>
    <n v="0"/>
    <n v="0"/>
    <n v="0"/>
    <n v="0"/>
    <n v="0"/>
    <n v="0"/>
    <n v="0"/>
    <n v="0"/>
    <n v="0"/>
    <n v="0"/>
    <n v="0"/>
    <n v="0"/>
    <n v="0"/>
    <n v="0"/>
    <n v="0"/>
    <m/>
    <m/>
  </r>
  <r>
    <m/>
    <x v="1"/>
    <x v="11"/>
    <s v="SBH K2"/>
    <x v="183"/>
    <s v="vSMSC BURUNDI"/>
    <x v="0"/>
    <x v="1"/>
    <x v="0"/>
    <m/>
    <n v="730711815"/>
    <d v="2025-04-01T00:00:00"/>
    <d v="2025-12-01T00:00:00"/>
    <m/>
    <m/>
    <m/>
    <n v="730711815"/>
    <n v="0"/>
    <m/>
    <m/>
    <m/>
    <n v="0"/>
    <n v="0"/>
    <m/>
    <m/>
    <m/>
    <m/>
    <m/>
    <m/>
    <m/>
    <m/>
    <m/>
    <m/>
    <m/>
    <m/>
    <m/>
    <m/>
    <m/>
    <m/>
    <m/>
    <m/>
    <m/>
    <m/>
    <m/>
    <m/>
    <m/>
    <m/>
    <n v="0"/>
    <n v="0"/>
    <n v="0"/>
  </r>
  <r>
    <m/>
    <x v="1"/>
    <x v="11"/>
    <s v="SBH K2"/>
    <x v="183"/>
    <s v="vSMSC BURUNDI"/>
    <x v="2"/>
    <x v="1"/>
    <x v="0"/>
    <m/>
    <n v="154934000"/>
    <d v="2025-04-01T00:00:00"/>
    <d v="2025-12-01T00:00:00"/>
    <m/>
    <m/>
    <m/>
    <n v="154934000"/>
    <n v="0"/>
    <m/>
    <m/>
    <m/>
    <n v="0"/>
    <n v="0"/>
    <m/>
    <m/>
    <m/>
    <m/>
    <m/>
    <m/>
    <m/>
    <m/>
    <m/>
    <m/>
    <m/>
    <m/>
    <m/>
    <m/>
    <m/>
    <m/>
    <m/>
    <m/>
    <m/>
    <m/>
    <m/>
    <m/>
    <m/>
    <m/>
    <n v="0"/>
    <n v="0"/>
    <n v="0"/>
  </r>
  <r>
    <n v="60"/>
    <x v="1"/>
    <x v="12"/>
    <s v="TTKD"/>
    <x v="187"/>
    <s v="16000 MAY TINH"/>
    <x v="0"/>
    <x v="0"/>
    <x v="0"/>
    <n v="702261169.70500004"/>
    <n v="202361664.75"/>
    <d v="2025-04-01T00:00:00"/>
    <d v="2025-06-01T00:00:00"/>
    <s v="quangnv6@viettel.com.vn"/>
    <s v="hanglt1@viettel.com.vn"/>
    <s v="5G PRIVATE"/>
    <n v="191024013.75"/>
    <n v="11337651"/>
    <m/>
    <m/>
    <n v="0"/>
    <n v="0"/>
    <n v="11337651"/>
    <m/>
    <m/>
    <m/>
    <m/>
    <m/>
    <m/>
    <m/>
    <m/>
    <n v="0"/>
    <n v="0"/>
    <n v="0"/>
    <n v="10041194"/>
    <n v="11226744"/>
    <n v="11421627"/>
    <n v="9985927"/>
    <n v="4353030"/>
    <n v="6959889"/>
    <n v="4488519"/>
    <n v="6657284"/>
    <n v="7359185"/>
    <n v="10427212"/>
    <n v="5476836"/>
    <n v="26381421"/>
    <n v="0"/>
    <n v="0"/>
    <m/>
    <m/>
  </r>
  <r>
    <s v=""/>
    <x v="1"/>
    <x v="12"/>
    <s v="SBH K2"/>
    <x v="187"/>
    <s v="16000 MAY TINH"/>
    <x v="0"/>
    <x v="1"/>
    <x v="0"/>
    <m/>
    <n v="160175519.69999999"/>
    <d v="2024-04-01T00:00:00"/>
    <d v="2025-06-01T00:00:00"/>
    <m/>
    <m/>
    <s v="5G PRIVATE"/>
    <n v="148837868.69999999"/>
    <n v="11337651"/>
    <m/>
    <m/>
    <m/>
    <n v="0"/>
    <n v="11337651"/>
    <n v="11337651"/>
    <n v="11337651"/>
    <m/>
    <m/>
    <m/>
    <m/>
    <m/>
    <m/>
    <m/>
    <m/>
    <m/>
    <n v="10041194"/>
    <n v="11226744"/>
    <n v="11421627"/>
    <n v="9985927"/>
    <n v="4353030"/>
    <n v="6959889"/>
    <n v="4488519"/>
    <n v="6657284"/>
    <n v="7359185"/>
    <n v="10427212"/>
    <n v="5476836"/>
    <n v="26381421"/>
    <m/>
    <n v="0"/>
    <n v="5668825.5"/>
    <n v="15589270.125"/>
  </r>
  <r>
    <s v=""/>
    <x v="1"/>
    <x v="12"/>
    <s v="SBH K2"/>
    <x v="187"/>
    <s v="16000 MAY TINH"/>
    <x v="2"/>
    <x v="1"/>
    <x v="0"/>
    <m/>
    <n v="42186145.049999997"/>
    <d v="2024-04-01T00:00:00"/>
    <d v="2025-06-01T00:00:00"/>
    <m/>
    <m/>
    <s v="5G PRIVATE"/>
    <n v="42186145.049999997"/>
    <n v="0"/>
    <m/>
    <m/>
    <m/>
    <n v="0"/>
    <n v="0"/>
    <m/>
    <m/>
    <m/>
    <m/>
    <m/>
    <m/>
    <m/>
    <m/>
    <m/>
    <m/>
    <m/>
    <n v="10041194"/>
    <n v="11226744"/>
    <n v="11421627"/>
    <n v="9985927"/>
    <n v="4353030"/>
    <n v="6959889"/>
    <n v="4488519"/>
    <n v="6657284"/>
    <n v="7359185"/>
    <n v="10427212"/>
    <n v="5476836"/>
    <n v="26381421"/>
    <m/>
    <n v="0"/>
    <n v="0"/>
    <n v="0"/>
  </r>
  <r>
    <n v="61"/>
    <x v="1"/>
    <x v="13"/>
    <s v="NTTT"/>
    <x v="188"/>
    <s v="DADT OCS 100M"/>
    <x v="4"/>
    <x v="0"/>
    <x v="0"/>
    <n v="125053219129"/>
    <n v="91646622449"/>
    <d v="2024-09-01T00:00:00"/>
    <d v="2026-12-01T00:00:00"/>
    <s v="haind13@viettel.com.vn"/>
    <s v="ngoandt1@viettel.com.vn"/>
    <s v="PO-93024"/>
    <n v="81582261056"/>
    <n v="10064361393"/>
    <n v="6850958126"/>
    <n v="0"/>
    <n v="1213304861"/>
    <n v="1005833225"/>
    <n v="994265181"/>
    <m/>
    <m/>
    <m/>
    <m/>
    <m/>
    <m/>
    <m/>
    <m/>
    <n v="0"/>
    <n v="0"/>
    <n v="0"/>
    <n v="0"/>
    <n v="0"/>
    <n v="0"/>
    <n v="0"/>
    <n v="0"/>
    <n v="0"/>
    <n v="1193772942"/>
    <n v="1260432106"/>
    <n v="1274163538"/>
    <n v="1259907075"/>
    <n v="336592060"/>
    <n v="1526090405"/>
    <n v="0"/>
    <n v="0"/>
    <m/>
    <m/>
  </r>
  <r>
    <s v=""/>
    <x v="1"/>
    <x v="13"/>
    <s v="NTTT"/>
    <x v="188"/>
    <s v="DADT OCS 100M"/>
    <x v="4"/>
    <x v="1"/>
    <x v="0"/>
    <m/>
    <n v="91646622449"/>
    <d v="2024-09-01T00:00:00"/>
    <d v="2026-12-01T00:00:00"/>
    <m/>
    <m/>
    <s v="PO-93024"/>
    <n v="81582261056"/>
    <n v="8427611734"/>
    <n v="5228061563"/>
    <m/>
    <n v="1206209373"/>
    <n v="999075617"/>
    <n v="994265181"/>
    <n v="994265181"/>
    <n v="994265181"/>
    <n v="994265181"/>
    <n v="994265181"/>
    <n v="994265181"/>
    <n v="994265181"/>
    <n v="994265181"/>
    <n v="994265181"/>
    <m/>
    <m/>
    <m/>
    <m/>
    <m/>
    <m/>
    <m/>
    <m/>
    <m/>
    <m/>
    <n v="1260432106"/>
    <n v="1274163538"/>
    <n v="1259907075"/>
    <n v="259004236"/>
    <n v="1174554608"/>
    <m/>
    <n v="0"/>
    <n v="864680088.83333337"/>
    <n v="5112099492.041666"/>
  </r>
  <r>
    <s v=""/>
    <x v="1"/>
    <x v="13"/>
    <s v="SBH K2"/>
    <x v="188"/>
    <s v="DADT OCS 100M"/>
    <x v="4"/>
    <x v="1"/>
    <x v="0"/>
    <m/>
    <m/>
    <d v="2024-09-01T00:00:00"/>
    <d v="2026-12-01T00:00:00"/>
    <m/>
    <m/>
    <s v="PO-93024"/>
    <m/>
    <n v="13853096"/>
    <n v="0"/>
    <m/>
    <n v="7095488"/>
    <n v="6757608"/>
    <n v="0"/>
    <n v="6757608"/>
    <n v="6757608"/>
    <n v="6757608"/>
    <n v="6757608"/>
    <n v="6757608"/>
    <n v="6757608"/>
    <n v="6757608"/>
    <n v="6757608"/>
    <m/>
    <m/>
    <m/>
    <m/>
    <m/>
    <m/>
    <m/>
    <m/>
    <m/>
    <m/>
    <m/>
    <m/>
    <m/>
    <m/>
    <m/>
    <m/>
    <n v="0"/>
    <n v="4561385.333333333"/>
    <n v="31127231.666666668"/>
  </r>
  <r>
    <s v=""/>
    <x v="1"/>
    <x v="13"/>
    <s v="OCS"/>
    <x v="188"/>
    <s v="DADT OCS 100M"/>
    <x v="4"/>
    <x v="1"/>
    <x v="0"/>
    <m/>
    <m/>
    <d v="2024-09-01T00:00:00"/>
    <d v="2026-12-01T00:00:00"/>
    <m/>
    <m/>
    <s v="PO-93024"/>
    <m/>
    <n v="1622896563"/>
    <n v="1622896563"/>
    <m/>
    <m/>
    <n v="0"/>
    <n v="0"/>
    <m/>
    <m/>
    <m/>
    <m/>
    <m/>
    <m/>
    <m/>
    <m/>
    <m/>
    <m/>
    <m/>
    <m/>
    <m/>
    <m/>
    <m/>
    <m/>
    <m/>
    <n v="1193772942"/>
    <m/>
    <m/>
    <m/>
    <n v="77587824"/>
    <n v="351535797"/>
    <m/>
    <n v="0"/>
    <n v="0"/>
    <n v="0"/>
  </r>
  <r>
    <n v="62"/>
    <x v="1"/>
    <x v="9"/>
    <s v="QLSX"/>
    <x v="189"/>
    <s v="700K ONT"/>
    <x v="0"/>
    <x v="0"/>
    <x v="1"/>
    <n v="377604871676"/>
    <n v="1268927958"/>
    <d v="2023-04-01T00:00:00"/>
    <d v="2025-01-01T00:00:00"/>
    <s v="quangnv6@viettel.com.vn"/>
    <s v="hanglt1@viettel.com.vn"/>
    <s v="PO-92145"/>
    <n v="-460369564"/>
    <n v="1729297522"/>
    <n v="1656096178"/>
    <n v="21407080"/>
    <n v="17992600"/>
    <n v="17669051"/>
    <n v="16132613"/>
    <m/>
    <m/>
    <m/>
    <m/>
    <m/>
    <m/>
    <m/>
    <m/>
    <n v="37538814"/>
    <n v="0"/>
    <n v="0"/>
    <n v="0"/>
    <n v="0"/>
    <n v="0"/>
    <n v="0"/>
    <n v="8843558"/>
    <n v="0"/>
    <n v="0"/>
    <n v="0"/>
    <n v="0"/>
    <n v="0"/>
    <n v="0"/>
    <n v="0"/>
    <n v="1115169485"/>
    <n v="0"/>
    <n v="12200224"/>
    <n v="33550616"/>
  </r>
  <r>
    <s v=""/>
    <x v="1"/>
    <x v="9"/>
    <s v="QLSX"/>
    <x v="189"/>
    <s v="700K ONT"/>
    <x v="0"/>
    <x v="1"/>
    <x v="1"/>
    <m/>
    <m/>
    <d v="2023-04-01T00:00:00"/>
    <d v="2024-01-01T00:00:00"/>
    <m/>
    <m/>
    <s v="PO-92145"/>
    <m/>
    <n v="1161551857"/>
    <n v="1161551857"/>
    <m/>
    <m/>
    <n v="0"/>
    <n v="0"/>
    <m/>
    <m/>
    <m/>
    <m/>
    <m/>
    <m/>
    <m/>
    <m/>
    <n v="37538814"/>
    <m/>
    <m/>
    <m/>
    <m/>
    <m/>
    <m/>
    <n v="8843558"/>
    <m/>
    <m/>
    <m/>
    <m/>
    <m/>
    <m/>
    <m/>
    <n v="1115169485"/>
    <n v="0"/>
    <n v="0"/>
    <n v="0"/>
  </r>
  <r>
    <s v=""/>
    <x v="1"/>
    <x v="9"/>
    <s v="CNTD"/>
    <x v="189"/>
    <s v="700K ONT"/>
    <x v="0"/>
    <x v="1"/>
    <x v="1"/>
    <m/>
    <m/>
    <d v="2023-04-01T00:00:00"/>
    <d v="2024-01-01T00:00:00"/>
    <m/>
    <m/>
    <s v="PO-92145"/>
    <m/>
    <n v="0"/>
    <n v="0"/>
    <m/>
    <m/>
    <n v="0"/>
    <n v="0"/>
    <m/>
    <m/>
    <m/>
    <m/>
    <m/>
    <m/>
    <m/>
    <m/>
    <m/>
    <m/>
    <m/>
    <m/>
    <m/>
    <m/>
    <m/>
    <m/>
    <m/>
    <m/>
    <m/>
    <m/>
    <m/>
    <m/>
    <m/>
    <m/>
    <n v="0"/>
    <n v="0"/>
    <n v="0"/>
  </r>
  <r>
    <s v=""/>
    <x v="1"/>
    <x v="9"/>
    <s v="SBH K2"/>
    <x v="189"/>
    <s v="700K ONT"/>
    <x v="0"/>
    <x v="1"/>
    <x v="1"/>
    <m/>
    <m/>
    <d v="2023-04-01T00:00:00"/>
    <d v="2024-01-01T00:00:00"/>
    <m/>
    <m/>
    <s v="PO-92145"/>
    <m/>
    <n v="0"/>
    <n v="0"/>
    <m/>
    <m/>
    <n v="0"/>
    <n v="0"/>
    <m/>
    <m/>
    <m/>
    <m/>
    <m/>
    <m/>
    <m/>
    <m/>
    <m/>
    <m/>
    <m/>
    <m/>
    <m/>
    <m/>
    <m/>
    <m/>
    <m/>
    <m/>
    <m/>
    <m/>
    <m/>
    <m/>
    <m/>
    <m/>
    <n v="0"/>
    <n v="0"/>
    <n v="0"/>
  </r>
  <r>
    <s v=""/>
    <x v="1"/>
    <x v="9"/>
    <s v="SBH K2"/>
    <x v="189"/>
    <s v="700K ONT"/>
    <x v="1"/>
    <x v="1"/>
    <x v="1"/>
    <m/>
    <m/>
    <d v="2023-04-01T00:00:00"/>
    <d v="2025-01-01T00:00:00"/>
    <m/>
    <m/>
    <s v="PO-92145"/>
    <m/>
    <n v="365062183"/>
    <n v="364230163"/>
    <n v="832020"/>
    <m/>
    <n v="0"/>
    <n v="0"/>
    <m/>
    <m/>
    <m/>
    <m/>
    <m/>
    <m/>
    <m/>
    <m/>
    <n v="15474779"/>
    <n v="16887684"/>
    <n v="21202046"/>
    <n v="29060620"/>
    <n v="33938355"/>
    <n v="32809519"/>
    <n v="36003426"/>
    <n v="15355228"/>
    <n v="26812925"/>
    <n v="10329907"/>
    <n v="13260199"/>
    <n v="14027203"/>
    <n v="10614662"/>
    <n v="18037710"/>
    <n v="70415900"/>
    <m/>
    <n v="0"/>
    <n v="138670"/>
    <n v="381342.5"/>
  </r>
  <r>
    <s v=""/>
    <x v="1"/>
    <x v="9"/>
    <s v="SBH K2"/>
    <x v="189"/>
    <s v="700K ONT"/>
    <x v="2"/>
    <x v="1"/>
    <x v="0"/>
    <m/>
    <n v="624728046"/>
    <d v="2024-01-01T00:00:00"/>
    <d v="2026-01-01T00:00:00"/>
    <m/>
    <m/>
    <s v="PO-92145"/>
    <m/>
    <n v="201582710"/>
    <n v="130314158"/>
    <n v="19474288"/>
    <n v="17992600"/>
    <n v="17669051"/>
    <n v="16132613"/>
    <n v="16132613"/>
    <n v="16132613"/>
    <n v="16132613"/>
    <n v="16132613"/>
    <n v="16132613"/>
    <n v="16132613"/>
    <n v="16132613"/>
    <n v="16132613"/>
    <n v="22528832"/>
    <m/>
    <m/>
    <m/>
    <m/>
    <m/>
    <n v="14634533"/>
    <m/>
    <n v="20329090"/>
    <n v="13611813"/>
    <n v="12428178"/>
    <n v="14027203"/>
    <n v="2020648"/>
    <n v="5265447"/>
    <n v="25468414"/>
    <m/>
    <n v="0"/>
    <n v="17255629.666666668"/>
    <n v="91817667.333333343"/>
  </r>
  <r>
    <s v=""/>
    <x v="1"/>
    <x v="9"/>
    <s v="TH"/>
    <x v="189"/>
    <s v="700K ONT"/>
    <x v="2"/>
    <x v="1"/>
    <x v="0"/>
    <m/>
    <m/>
    <d v="2024-01-01T00:00:00"/>
    <d v="2026-01-01T00:00:00"/>
    <m/>
    <m/>
    <s v="PO-92145"/>
    <m/>
    <n v="1100772"/>
    <n v="0"/>
    <n v="1100772"/>
    <m/>
    <n v="0"/>
    <n v="0"/>
    <m/>
    <m/>
    <m/>
    <m/>
    <m/>
    <m/>
    <m/>
    <m/>
    <m/>
    <m/>
    <m/>
    <m/>
    <m/>
    <m/>
    <m/>
    <m/>
    <m/>
    <m/>
    <m/>
    <m/>
    <m/>
    <m/>
    <m/>
    <m/>
    <n v="0"/>
    <n v="183462"/>
    <n v="504520.5"/>
  </r>
  <r>
    <n v="63"/>
    <x v="1"/>
    <x v="9"/>
    <s v="QLSX"/>
    <x v="190"/>
    <m/>
    <x v="0"/>
    <x v="0"/>
    <x v="1"/>
    <n v="412104491621"/>
    <n v="2059962500"/>
    <d v="2022-06-01T00:00:00"/>
    <d v="2022-12-01T00:00:00"/>
    <s v="quangnv6@viettel.com.vn"/>
    <s v="hanglt1@viettel.com.vn"/>
    <s v="PO-92093"/>
    <n v="124488863"/>
    <n v="1935473637"/>
    <n v="1935473637"/>
    <m/>
    <m/>
    <n v="0"/>
    <n v="0"/>
    <m/>
    <m/>
    <m/>
    <m/>
    <m/>
    <m/>
    <m/>
    <m/>
    <n v="0"/>
    <n v="0"/>
    <n v="0"/>
    <n v="0"/>
    <n v="0"/>
    <n v="0"/>
    <n v="0"/>
    <n v="0"/>
    <n v="0"/>
    <n v="0"/>
    <n v="0"/>
    <n v="0"/>
    <n v="0"/>
    <n v="0"/>
    <n v="0"/>
    <n v="1362287867"/>
    <n v="0"/>
    <n v="0"/>
    <n v="0"/>
  </r>
  <r>
    <m/>
    <x v="1"/>
    <x v="9"/>
    <s v="QLSX"/>
    <x v="190"/>
    <m/>
    <x v="0"/>
    <x v="1"/>
    <x v="1"/>
    <m/>
    <n v="2059962500"/>
    <d v="2022-06-01T00:00:00"/>
    <d v="2022-12-01T00:00:00"/>
    <m/>
    <m/>
    <s v="PO-92093"/>
    <m/>
    <n v="1362287867"/>
    <n v="1362287867"/>
    <m/>
    <m/>
    <n v="0"/>
    <n v="0"/>
    <m/>
    <m/>
    <m/>
    <m/>
    <m/>
    <m/>
    <m/>
    <m/>
    <m/>
    <m/>
    <m/>
    <m/>
    <m/>
    <m/>
    <m/>
    <m/>
    <m/>
    <m/>
    <m/>
    <m/>
    <m/>
    <m/>
    <m/>
    <n v="1362287867"/>
    <n v="0"/>
    <n v="0"/>
    <n v="0"/>
  </r>
  <r>
    <s v=""/>
    <x v="1"/>
    <x v="9"/>
    <s v="SBH K2"/>
    <x v="190"/>
    <m/>
    <x v="1"/>
    <x v="1"/>
    <x v="1"/>
    <m/>
    <m/>
    <d v="2023-01-01T00:00:00"/>
    <d v="2023-12-01T00:00:00"/>
    <m/>
    <m/>
    <s v="PO-92093"/>
    <m/>
    <n v="164548589"/>
    <n v="164548589"/>
    <m/>
    <m/>
    <n v="0"/>
    <n v="0"/>
    <m/>
    <m/>
    <m/>
    <m/>
    <m/>
    <m/>
    <m/>
    <m/>
    <m/>
    <m/>
    <m/>
    <m/>
    <m/>
    <m/>
    <m/>
    <m/>
    <m/>
    <m/>
    <m/>
    <m/>
    <m/>
    <m/>
    <m/>
    <n v="164548589"/>
    <n v="0"/>
    <n v="0"/>
    <n v="0"/>
  </r>
  <r>
    <s v=""/>
    <x v="1"/>
    <x v="9"/>
    <s v="SBH K2"/>
    <x v="190"/>
    <m/>
    <x v="2"/>
    <x v="1"/>
    <x v="1"/>
    <m/>
    <n v="2327850000"/>
    <d v="2023-12-01T00:00:00"/>
    <d v="2024-12-01T00:00:00"/>
    <m/>
    <m/>
    <s v="PO-92093"/>
    <m/>
    <n v="408637181"/>
    <n v="408637181"/>
    <m/>
    <m/>
    <n v="0"/>
    <n v="0"/>
    <m/>
    <m/>
    <m/>
    <m/>
    <m/>
    <m/>
    <m/>
    <m/>
    <n v="30123013"/>
    <n v="24808380"/>
    <n v="17777655"/>
    <n v="12985414"/>
    <n v="28555067"/>
    <n v="23970274"/>
    <n v="18013689"/>
    <n v="20291069"/>
    <n v="10827579"/>
    <n v="6481816"/>
    <m/>
    <m/>
    <m/>
    <n v="12603778"/>
    <n v="57395895"/>
    <n v="144803552"/>
    <n v="0"/>
    <n v="0"/>
    <n v="0"/>
  </r>
  <r>
    <n v="64"/>
    <x v="1"/>
    <x v="9"/>
    <s v="QLSX"/>
    <x v="191"/>
    <s v="134K ONT"/>
    <x v="0"/>
    <x v="0"/>
    <x v="0"/>
    <n v="67577591918"/>
    <n v="487607411"/>
    <d v="2024-05-01T00:00:00"/>
    <d v="2026-01-01T00:00:00"/>
    <s v="quangnv6@viettel.com.vn"/>
    <s v="hanglt1@viettel.com.vn"/>
    <s v="PO-92233"/>
    <n v="267784692.5"/>
    <n v="219822718.5"/>
    <n v="180427015.5"/>
    <n v="11400626"/>
    <n v="9207106"/>
    <n v="8971605"/>
    <n v="9816366"/>
    <m/>
    <m/>
    <m/>
    <m/>
    <m/>
    <m/>
    <m/>
    <m/>
    <n v="0"/>
    <n v="0"/>
    <n v="0"/>
    <n v="0"/>
    <n v="54366136"/>
    <n v="0"/>
    <n v="0"/>
    <n v="7590334.5000000009"/>
    <n v="0"/>
    <n v="0"/>
    <n v="0"/>
    <n v="0"/>
    <n v="0"/>
    <n v="4162731"/>
    <n v="18954901"/>
    <n v="0"/>
    <n v="0"/>
    <m/>
    <m/>
  </r>
  <r>
    <s v=""/>
    <x v="1"/>
    <x v="9"/>
    <s v="QLSX"/>
    <x v="191"/>
    <s v="134K ONT"/>
    <x v="0"/>
    <x v="1"/>
    <x v="1"/>
    <m/>
    <n v="313113051"/>
    <d v="2024-05-01T00:00:00"/>
    <d v="2024-07-01T00:00:00"/>
    <m/>
    <m/>
    <s v="PO-92233"/>
    <n v="228038948.5"/>
    <n v="56198251.600000001"/>
    <n v="56198251.600000001"/>
    <m/>
    <m/>
    <n v="0"/>
    <n v="0"/>
    <m/>
    <m/>
    <m/>
    <m/>
    <m/>
    <m/>
    <m/>
    <m/>
    <m/>
    <m/>
    <m/>
    <m/>
    <n v="28479864"/>
    <m/>
    <m/>
    <n v="4600755.6000000006"/>
    <m/>
    <m/>
    <m/>
    <m/>
    <m/>
    <n v="4162731"/>
    <n v="18954901"/>
    <m/>
    <n v="0"/>
    <n v="0"/>
    <n v="0"/>
  </r>
  <r>
    <s v=""/>
    <x v="1"/>
    <x v="9"/>
    <s v="KTCN"/>
    <x v="191"/>
    <s v="134K ONT"/>
    <x v="0"/>
    <x v="1"/>
    <x v="1"/>
    <m/>
    <m/>
    <d v="2024-05-01T00:00:00"/>
    <d v="2024-07-01T00:00:00"/>
    <m/>
    <m/>
    <s v="PO-92233"/>
    <m/>
    <n v="28875850.899999999"/>
    <n v="28875850.899999999"/>
    <m/>
    <m/>
    <n v="0"/>
    <n v="0"/>
    <m/>
    <m/>
    <m/>
    <m/>
    <m/>
    <m/>
    <m/>
    <m/>
    <m/>
    <m/>
    <m/>
    <m/>
    <n v="25886272"/>
    <m/>
    <m/>
    <n v="2989578.9000000004"/>
    <m/>
    <m/>
    <m/>
    <m/>
    <m/>
    <m/>
    <m/>
    <m/>
    <n v="0"/>
    <n v="0"/>
    <n v="0"/>
  </r>
  <r>
    <s v=""/>
    <x v="1"/>
    <x v="9"/>
    <s v="SBH K2"/>
    <x v="191"/>
    <s v="134K ONT"/>
    <x v="1"/>
    <x v="1"/>
    <x v="0"/>
    <m/>
    <n v="90007893"/>
    <d v="2024-05-01T00:00:00"/>
    <d v="2026-01-01T00:00:00"/>
    <m/>
    <m/>
    <s v="PO-92233"/>
    <n v="-10243924"/>
    <n v="97885157"/>
    <n v="95352913"/>
    <n v="2532244"/>
    <m/>
    <n v="0"/>
    <n v="0"/>
    <m/>
    <m/>
    <m/>
    <m/>
    <m/>
    <m/>
    <m/>
    <m/>
    <m/>
    <m/>
    <m/>
    <m/>
    <n v="13085179"/>
    <n v="9288501"/>
    <n v="8107746"/>
    <n v="2097919"/>
    <m/>
    <n v="9579312"/>
    <n v="10299853"/>
    <n v="13397662"/>
    <n v="5422286"/>
    <n v="4782767"/>
    <n v="19291688"/>
    <m/>
    <n v="0"/>
    <n v="422040.66666666669"/>
    <n v="1160611.8333333335"/>
  </r>
  <r>
    <s v=""/>
    <x v="1"/>
    <x v="9"/>
    <s v="TH"/>
    <x v="191"/>
    <s v="134K ONT"/>
    <x v="1"/>
    <x v="1"/>
    <x v="0"/>
    <m/>
    <m/>
    <d v="2024-05-01T00:00:00"/>
    <d v="2026-01-01T00:00:00"/>
    <m/>
    <m/>
    <s v="PO-92233"/>
    <m/>
    <n v="2366660"/>
    <n v="0"/>
    <n v="1100772"/>
    <n v="1265888"/>
    <n v="0"/>
    <n v="0"/>
    <m/>
    <m/>
    <m/>
    <m/>
    <m/>
    <m/>
    <m/>
    <m/>
    <m/>
    <m/>
    <m/>
    <m/>
    <m/>
    <m/>
    <m/>
    <m/>
    <m/>
    <m/>
    <m/>
    <m/>
    <m/>
    <m/>
    <m/>
    <m/>
    <n v="0"/>
    <n v="394443.33333333331"/>
    <n v="1084719.1666666665"/>
  </r>
  <r>
    <s v=""/>
    <x v="1"/>
    <x v="9"/>
    <s v="SBH K2"/>
    <x v="191"/>
    <s v="134K ONT"/>
    <x v="2"/>
    <x v="1"/>
    <x v="0"/>
    <m/>
    <n v="84486467"/>
    <d v="2025-01-01T00:00:00"/>
    <d v="2026-01-01T00:00:00"/>
    <m/>
    <m/>
    <s v="PO-92233"/>
    <n v="49989668"/>
    <n v="34496799"/>
    <n v="0"/>
    <n v="7767610"/>
    <n v="7941218"/>
    <n v="8971605"/>
    <n v="9816366"/>
    <n v="9816366"/>
    <n v="9816366"/>
    <n v="9816366"/>
    <n v="9816366"/>
    <n v="9816366"/>
    <n v="9816366"/>
    <n v="9816366"/>
    <n v="9816366"/>
    <m/>
    <m/>
    <m/>
    <m/>
    <m/>
    <m/>
    <m/>
    <m/>
    <m/>
    <m/>
    <m/>
    <m/>
    <m/>
    <m/>
    <m/>
    <m/>
    <n v="0"/>
    <n v="9021588.5"/>
    <n v="51804374.875"/>
  </r>
  <r>
    <n v="65"/>
    <x v="2"/>
    <x v="14"/>
    <s v="IOT"/>
    <x v="192"/>
    <s v="DADT CMP"/>
    <x v="4"/>
    <x v="0"/>
    <x v="0"/>
    <n v="5695707313"/>
    <n v="3178430783"/>
    <d v="2024-10-01T00:00:00"/>
    <d v="2026-12-01T00:00:00"/>
    <s v="quocnb1@viettel.com.vn"/>
    <s v="hienntm3@viettel.com.vn"/>
    <s v="FB-04410-01-01"/>
    <n v="1521346504"/>
    <n v="1657084279"/>
    <n v="1114347791"/>
    <m/>
    <m/>
    <n v="372708665"/>
    <n v="170027823"/>
    <m/>
    <m/>
    <m/>
    <m/>
    <m/>
    <m/>
    <m/>
    <m/>
    <n v="0"/>
    <n v="0"/>
    <n v="0"/>
    <n v="0"/>
    <n v="0"/>
    <n v="0"/>
    <n v="0"/>
    <n v="0"/>
    <n v="0"/>
    <n v="0"/>
    <n v="619365843"/>
    <n v="210193585"/>
    <n v="0"/>
    <n v="57314102"/>
    <n v="227474261"/>
    <n v="0"/>
    <n v="0"/>
    <m/>
    <m/>
  </r>
  <r>
    <s v=""/>
    <x v="2"/>
    <x v="14"/>
    <s v="IOT"/>
    <x v="192"/>
    <s v="DADT CMP"/>
    <x v="4"/>
    <x v="1"/>
    <x v="0"/>
    <m/>
    <n v="3178430783"/>
    <d v="2024-10-01T00:00:00"/>
    <d v="2026-12-01T00:00:00"/>
    <m/>
    <m/>
    <s v="FB-04410-01-01"/>
    <n v="1521346504"/>
    <n v="1594812886"/>
    <n v="1052076398"/>
    <m/>
    <m/>
    <n v="372708665"/>
    <n v="170027823"/>
    <n v="170027823"/>
    <n v="170027823"/>
    <n v="170027823"/>
    <n v="170027823"/>
    <n v="170027823"/>
    <n v="170027823"/>
    <n v="170027823"/>
    <n v="170027823"/>
    <m/>
    <m/>
    <m/>
    <m/>
    <m/>
    <m/>
    <m/>
    <m/>
    <m/>
    <m/>
    <n v="579229145"/>
    <n v="188058890"/>
    <m/>
    <n v="57314102"/>
    <n v="227474261"/>
    <m/>
    <n v="0"/>
    <n v="147132022.33333334"/>
    <n v="872189574.66666663"/>
  </r>
  <r>
    <s v=""/>
    <x v="2"/>
    <x v="14"/>
    <s v="QLCL"/>
    <x v="192"/>
    <s v="DADT CMP"/>
    <x v="4"/>
    <x v="1"/>
    <x v="0"/>
    <m/>
    <m/>
    <d v="2024-10-01T00:00:00"/>
    <d v="2026-12-01T00:00:00"/>
    <m/>
    <m/>
    <s v="FB-04410-01-01"/>
    <m/>
    <n v="62271393"/>
    <n v="62271393"/>
    <m/>
    <m/>
    <n v="0"/>
    <n v="0"/>
    <m/>
    <m/>
    <m/>
    <m/>
    <m/>
    <m/>
    <m/>
    <m/>
    <m/>
    <m/>
    <m/>
    <m/>
    <m/>
    <m/>
    <m/>
    <m/>
    <m/>
    <m/>
    <n v="40136698"/>
    <n v="22134695"/>
    <m/>
    <m/>
    <m/>
    <m/>
    <n v="0"/>
    <n v="0"/>
    <n v="0"/>
  </r>
  <r>
    <n v="66"/>
    <x v="2"/>
    <x v="15"/>
    <s v="CAM"/>
    <x v="193"/>
    <s v="GIAI PHAP AI CAMERA"/>
    <x v="0"/>
    <x v="0"/>
    <x v="0"/>
    <n v="1836799370"/>
    <n v="288180130.46000004"/>
    <d v="2023-10-01T00:00:00"/>
    <d v="2025-12-01T00:00:00"/>
    <s v="longnh@viettel.com.vn"/>
    <s v="hoant84@viettel.com.vn"/>
    <s v="PO-92133"/>
    <n v="66488080.460000038"/>
    <n v="221692050"/>
    <n v="221692050"/>
    <m/>
    <m/>
    <n v="0"/>
    <n v="0"/>
    <m/>
    <m/>
    <m/>
    <m/>
    <m/>
    <m/>
    <m/>
    <m/>
    <n v="39850154"/>
    <n v="15479737"/>
    <n v="9462262"/>
    <n v="9462262"/>
    <n v="4295967"/>
    <n v="2577580"/>
    <n v="2252009"/>
    <n v="12886840"/>
    <n v="0"/>
    <n v="0"/>
    <n v="0"/>
    <n v="0"/>
    <n v="0"/>
    <n v="6064544"/>
    <n v="28606131"/>
    <n v="84970635"/>
    <n v="0"/>
    <m/>
    <m/>
  </r>
  <r>
    <s v=""/>
    <x v="2"/>
    <x v="15"/>
    <s v="CAM"/>
    <x v="193"/>
    <s v="GIAI PHAP AI CAMERA"/>
    <x v="0"/>
    <x v="1"/>
    <x v="1"/>
    <m/>
    <m/>
    <d v="2023-10-01T00:00:00"/>
    <d v="2024-10-01T00:00:00"/>
    <m/>
    <m/>
    <s v="PO-92133"/>
    <m/>
    <n v="8214402"/>
    <n v="8214402"/>
    <m/>
    <m/>
    <n v="0"/>
    <n v="0"/>
    <m/>
    <m/>
    <m/>
    <m/>
    <m/>
    <m/>
    <m/>
    <m/>
    <m/>
    <m/>
    <m/>
    <m/>
    <m/>
    <m/>
    <m/>
    <m/>
    <m/>
    <m/>
    <m/>
    <m/>
    <m/>
    <m/>
    <m/>
    <n v="8214402"/>
    <n v="0"/>
    <n v="0"/>
    <n v="0"/>
  </r>
  <r>
    <s v=""/>
    <x v="2"/>
    <x v="15"/>
    <s v="CAM"/>
    <x v="194"/>
    <s v="GIAI PHAP AI CAMERA (GP TONG THE)"/>
    <x v="0"/>
    <x v="1"/>
    <x v="1"/>
    <m/>
    <n v="151820835.46000001"/>
    <d v="2023-10-01T00:00:00"/>
    <d v="2024-10-01T00:00:00"/>
    <m/>
    <m/>
    <s v="PO-92133"/>
    <m/>
    <n v="139228588"/>
    <n v="139228588"/>
    <m/>
    <m/>
    <n v="0"/>
    <n v="0"/>
    <m/>
    <m/>
    <m/>
    <m/>
    <m/>
    <m/>
    <m/>
    <m/>
    <n v="39850154"/>
    <n v="9884436"/>
    <n v="7007425"/>
    <n v="7007425"/>
    <n v="4295967"/>
    <n v="2577580"/>
    <m/>
    <n v="8442223"/>
    <m/>
    <m/>
    <m/>
    <m/>
    <m/>
    <n v="3824872"/>
    <n v="18448332"/>
    <n v="37890174"/>
    <n v="0"/>
    <n v="0"/>
    <n v="0"/>
  </r>
  <r>
    <s v=""/>
    <x v="2"/>
    <x v="15"/>
    <s v="CAM"/>
    <x v="195"/>
    <s v="GIAI PHAP AI CAMERA (GP PHAN MEM)"/>
    <x v="0"/>
    <x v="1"/>
    <x v="1"/>
    <m/>
    <n v="65066072"/>
    <d v="2023-10-01T00:00:00"/>
    <d v="2024-10-01T00:00:00"/>
    <m/>
    <m/>
    <s v="PO-92133"/>
    <m/>
    <n v="68465131"/>
    <n v="68465131"/>
    <m/>
    <m/>
    <n v="0"/>
    <n v="0"/>
    <m/>
    <m/>
    <m/>
    <m/>
    <m/>
    <m/>
    <m/>
    <m/>
    <m/>
    <n v="5595301"/>
    <n v="2454837"/>
    <n v="2454837"/>
    <m/>
    <m/>
    <n v="2252009"/>
    <n v="4444617"/>
    <m/>
    <m/>
    <m/>
    <m/>
    <m/>
    <n v="2239672"/>
    <n v="10157799"/>
    <n v="38866059"/>
    <n v="0"/>
    <n v="0"/>
    <n v="0"/>
  </r>
  <r>
    <s v=""/>
    <x v="2"/>
    <x v="15"/>
    <s v="KD"/>
    <x v="195"/>
    <s v="GIAI PHAP AI CAMERA (GP PHAN MEM)"/>
    <x v="1"/>
    <x v="1"/>
    <x v="0"/>
    <m/>
    <n v="11730917"/>
    <d v="2023-10-01T00:00:00"/>
    <d v="2025-12-01T00:00:00"/>
    <m/>
    <m/>
    <s v="PO-92133"/>
    <n v="5946988"/>
    <n v="5783929"/>
    <n v="5783929"/>
    <m/>
    <m/>
    <n v="0"/>
    <n v="0"/>
    <m/>
    <m/>
    <m/>
    <m/>
    <m/>
    <m/>
    <m/>
    <m/>
    <m/>
    <m/>
    <m/>
    <m/>
    <m/>
    <m/>
    <m/>
    <m/>
    <n v="822839"/>
    <n v="2586064"/>
    <n v="787063"/>
    <m/>
    <m/>
    <n v="286735"/>
    <n v="1301228"/>
    <m/>
    <n v="0"/>
    <n v="0"/>
    <n v="0"/>
  </r>
  <r>
    <s v=""/>
    <x v="2"/>
    <x v="15"/>
    <s v="KD"/>
    <x v="195"/>
    <s v="GIAI PHAP AI CAMERA (GP PHAN MEM)"/>
    <x v="2"/>
    <x v="1"/>
    <x v="0"/>
    <m/>
    <n v="59562306"/>
    <d v="2024-12-01T00:00:00"/>
    <d v="2025-12-01T00:00:00"/>
    <m/>
    <m/>
    <s v="PO-92133"/>
    <n v="59562306"/>
    <n v="0"/>
    <n v="0"/>
    <m/>
    <m/>
    <n v="0"/>
    <n v="0"/>
    <m/>
    <m/>
    <m/>
    <m/>
    <m/>
    <m/>
    <m/>
    <m/>
    <m/>
    <m/>
    <m/>
    <m/>
    <m/>
    <m/>
    <m/>
    <m/>
    <m/>
    <m/>
    <m/>
    <m/>
    <m/>
    <m/>
    <m/>
    <m/>
    <n v="0"/>
    <n v="0"/>
    <n v="0"/>
  </r>
  <r>
    <n v="67"/>
    <x v="2"/>
    <x v="15"/>
    <s v="CAM"/>
    <x v="196"/>
    <s v="DADT Smarthome Platform"/>
    <x v="4"/>
    <x v="0"/>
    <x v="0"/>
    <n v="42840922244"/>
    <n v="19035269744"/>
    <d v="2024-10-01T00:00:00"/>
    <d v="2026-12-01T00:00:00"/>
    <s v="longnh@viettel.com.vn"/>
    <s v="hoant84@viettel.com.vn"/>
    <s v="FB-04406-01-01"/>
    <n v="11797044372"/>
    <n v="7238225372"/>
    <n v="4394909400"/>
    <n v="535009072"/>
    <n v="866547711"/>
    <n v="916721570"/>
    <n v="525037619"/>
    <m/>
    <m/>
    <m/>
    <m/>
    <m/>
    <m/>
    <m/>
    <m/>
    <n v="0"/>
    <n v="0"/>
    <n v="0"/>
    <n v="0"/>
    <n v="0"/>
    <n v="0"/>
    <n v="0"/>
    <n v="0"/>
    <n v="0"/>
    <n v="0"/>
    <n v="1155414171"/>
    <n v="987503457"/>
    <n v="953708600"/>
    <n v="216985679"/>
    <n v="1081297493"/>
    <n v="0"/>
    <n v="0"/>
    <m/>
    <m/>
  </r>
  <r>
    <s v=""/>
    <x v="2"/>
    <x v="15"/>
    <s v="CAM"/>
    <x v="196"/>
    <s v="DADT Smarthome Platform"/>
    <x v="4"/>
    <x v="1"/>
    <x v="0"/>
    <m/>
    <n v="19035269744"/>
    <d v="2024-10-01T00:00:00"/>
    <d v="2026-12-01T00:00:00"/>
    <m/>
    <m/>
    <s v="FB-04406-01-01"/>
    <n v="11797044372"/>
    <n v="7103310491"/>
    <n v="4394909400"/>
    <n v="473523856"/>
    <n v="793118046"/>
    <n v="916721570"/>
    <n v="525037619"/>
    <n v="525037619"/>
    <n v="525037619"/>
    <n v="525037619"/>
    <n v="525037619"/>
    <n v="525037619"/>
    <n v="525037619"/>
    <n v="525037619"/>
    <n v="525037619"/>
    <m/>
    <m/>
    <m/>
    <m/>
    <m/>
    <m/>
    <m/>
    <m/>
    <m/>
    <m/>
    <n v="1155414171"/>
    <n v="987503457"/>
    <n v="953708600"/>
    <n v="216985679"/>
    <n v="1081297493"/>
    <m/>
    <n v="0"/>
    <n v="626412721.5"/>
    <n v="3166488436.375"/>
  </r>
  <r>
    <s v=""/>
    <x v="2"/>
    <x v="15"/>
    <s v="IOT"/>
    <x v="196"/>
    <s v="DADT Smarthome Platform"/>
    <x v="4"/>
    <x v="1"/>
    <x v="0"/>
    <m/>
    <m/>
    <d v="2024-10-01T00:00:00"/>
    <d v="2026-12-01T00:00:00"/>
    <m/>
    <m/>
    <s v="FB-04406-01-01"/>
    <m/>
    <n v="0"/>
    <n v="0"/>
    <m/>
    <m/>
    <n v="0"/>
    <n v="0"/>
    <m/>
    <m/>
    <m/>
    <m/>
    <m/>
    <m/>
    <m/>
    <m/>
    <m/>
    <m/>
    <m/>
    <m/>
    <m/>
    <m/>
    <m/>
    <m/>
    <m/>
    <m/>
    <m/>
    <m/>
    <m/>
    <m/>
    <m/>
    <m/>
    <n v="0"/>
    <n v="0"/>
    <n v="0"/>
  </r>
  <r>
    <s v=""/>
    <x v="2"/>
    <x v="15"/>
    <s v="QLCL"/>
    <x v="196"/>
    <s v="DADT Smarthome Platform"/>
    <x v="4"/>
    <x v="1"/>
    <x v="0"/>
    <m/>
    <m/>
    <d v="2024-10-01T00:00:00"/>
    <d v="2026-12-01T00:00:00"/>
    <m/>
    <m/>
    <s v="FB-04406-01-01"/>
    <m/>
    <n v="76191786"/>
    <n v="0"/>
    <n v="37393690"/>
    <n v="38798096"/>
    <n v="0"/>
    <n v="0"/>
    <m/>
    <m/>
    <m/>
    <m/>
    <m/>
    <m/>
    <m/>
    <m/>
    <m/>
    <m/>
    <m/>
    <m/>
    <m/>
    <m/>
    <m/>
    <m/>
    <m/>
    <m/>
    <m/>
    <m/>
    <m/>
    <m/>
    <m/>
    <m/>
    <n v="0"/>
    <n v="12698631"/>
    <n v="34921235.25"/>
  </r>
  <r>
    <s v=""/>
    <x v="2"/>
    <x v="15"/>
    <s v="KD ĐH"/>
    <x v="196"/>
    <s v="DADT Smarthome Platform"/>
    <x v="4"/>
    <x v="1"/>
    <x v="0"/>
    <m/>
    <m/>
    <d v="2024-10-01T00:00:00"/>
    <d v="2026-12-01T00:00:00"/>
    <m/>
    <m/>
    <s v="FB-04406-01-01"/>
    <m/>
    <n v="58723095"/>
    <n v="0"/>
    <n v="24091526"/>
    <n v="34631569"/>
    <n v="0"/>
    <n v="0"/>
    <m/>
    <m/>
    <m/>
    <m/>
    <m/>
    <m/>
    <m/>
    <m/>
    <m/>
    <m/>
    <m/>
    <m/>
    <m/>
    <m/>
    <m/>
    <m/>
    <m/>
    <m/>
    <m/>
    <m/>
    <m/>
    <m/>
    <m/>
    <m/>
    <n v="0"/>
    <n v="9787182.5"/>
    <n v="26914751.875"/>
  </r>
  <r>
    <n v="68"/>
    <x v="2"/>
    <x v="15"/>
    <s v="CAM"/>
    <x v="197"/>
    <s v="01 HT SMARTHOME VTT"/>
    <x v="0"/>
    <x v="0"/>
    <x v="0"/>
    <n v="47478718807"/>
    <n v="22894209501"/>
    <d v="2025-01-24T00:00:00"/>
    <d v="2028-12-01T00:00:00"/>
    <s v="chinhvd@viettel.com.vn"/>
    <s v="hoant84@viettel.com.vn"/>
    <s v="PO-92151"/>
    <n v="21494990409"/>
    <n v="1399219092"/>
    <n v="0"/>
    <n v="0"/>
    <n v="524084839"/>
    <n v="489556530"/>
    <n v="385577723"/>
    <m/>
    <m/>
    <m/>
    <m/>
    <m/>
    <m/>
    <m/>
    <m/>
    <n v="0"/>
    <n v="0"/>
    <n v="0"/>
    <n v="0"/>
    <n v="0"/>
    <n v="0"/>
    <n v="0"/>
    <n v="0"/>
    <n v="0"/>
    <n v="0"/>
    <n v="0"/>
    <n v="0"/>
    <n v="0"/>
    <n v="0"/>
    <n v="0"/>
    <n v="0"/>
    <n v="0"/>
    <m/>
    <m/>
  </r>
  <r>
    <s v=""/>
    <x v="2"/>
    <x v="15"/>
    <s v="CAM"/>
    <x v="197"/>
    <s v="01 HT SMARTHOME VTT"/>
    <x v="0"/>
    <x v="1"/>
    <x v="0"/>
    <m/>
    <n v="21155148731"/>
    <d v="2025-01-24T00:00:00"/>
    <d v="2028-12-01T00:00:00"/>
    <m/>
    <m/>
    <s v="PO-92151"/>
    <n v="19755929639"/>
    <n v="1358595214"/>
    <m/>
    <m/>
    <n v="483460961"/>
    <n v="489556530"/>
    <n v="385577723"/>
    <n v="385577723"/>
    <n v="385577723"/>
    <n v="385577723"/>
    <n v="385577723"/>
    <n v="385577723"/>
    <n v="385577723"/>
    <n v="385577723"/>
    <n v="385577723"/>
    <m/>
    <m/>
    <m/>
    <m/>
    <m/>
    <m/>
    <m/>
    <m/>
    <m/>
    <m/>
    <m/>
    <m/>
    <m/>
    <m/>
    <m/>
    <m/>
    <n v="0"/>
    <n v="354958443.33333331"/>
    <n v="2036474457.4166667"/>
  </r>
  <r>
    <s v=""/>
    <x v="2"/>
    <x v="15"/>
    <s v="KD"/>
    <x v="197"/>
    <s v="01 HT SMARTHOME VTT"/>
    <x v="0"/>
    <x v="1"/>
    <x v="0"/>
    <m/>
    <m/>
    <d v="2025-01-24T00:00:00"/>
    <d v="2028-12-01T00:00:00"/>
    <m/>
    <m/>
    <s v="PO-92151"/>
    <m/>
    <n v="13576845"/>
    <m/>
    <m/>
    <n v="13576845"/>
    <n v="0"/>
    <n v="0"/>
    <m/>
    <m/>
    <m/>
    <m/>
    <m/>
    <m/>
    <m/>
    <m/>
    <m/>
    <m/>
    <m/>
    <m/>
    <m/>
    <m/>
    <m/>
    <m/>
    <m/>
    <m/>
    <m/>
    <m/>
    <m/>
    <m/>
    <m/>
    <m/>
    <n v="0"/>
    <n v="2262807.5"/>
    <n v="6222720.625"/>
  </r>
  <r>
    <s v=""/>
    <x v="2"/>
    <x v="15"/>
    <s v="TH"/>
    <x v="197"/>
    <s v="01 HT SMARTHOME VTT"/>
    <x v="0"/>
    <x v="1"/>
    <x v="0"/>
    <m/>
    <m/>
    <d v="2025-01-24T00:00:00"/>
    <d v="2028-12-01T00:00:00"/>
    <m/>
    <m/>
    <s v="PO-92151"/>
    <m/>
    <n v="27047033"/>
    <m/>
    <m/>
    <n v="27047033"/>
    <n v="0"/>
    <n v="0"/>
    <m/>
    <m/>
    <m/>
    <m/>
    <m/>
    <m/>
    <m/>
    <m/>
    <m/>
    <m/>
    <m/>
    <m/>
    <m/>
    <m/>
    <m/>
    <m/>
    <m/>
    <m/>
    <m/>
    <m/>
    <m/>
    <m/>
    <m/>
    <m/>
    <n v="0"/>
    <n v="4507838.833333333"/>
    <n v="12396556.791666666"/>
  </r>
  <r>
    <s v=""/>
    <x v="2"/>
    <x v="15"/>
    <s v="CAM"/>
    <x v="197"/>
    <s v="01 HT SMARTHOME VTT"/>
    <x v="1"/>
    <x v="1"/>
    <x v="0"/>
    <m/>
    <n v="1522517616"/>
    <d v="2025-01-24T00:00:00"/>
    <d v="2026-10-01T00:00:00"/>
    <m/>
    <m/>
    <s v="PO-92151"/>
    <n v="1522517616"/>
    <n v="0"/>
    <m/>
    <m/>
    <m/>
    <n v="0"/>
    <n v="0"/>
    <m/>
    <m/>
    <m/>
    <m/>
    <m/>
    <m/>
    <m/>
    <m/>
    <m/>
    <m/>
    <m/>
    <m/>
    <m/>
    <m/>
    <m/>
    <m/>
    <m/>
    <m/>
    <m/>
    <m/>
    <m/>
    <m/>
    <m/>
    <m/>
    <n v="0"/>
    <n v="0"/>
    <n v="0"/>
  </r>
  <r>
    <s v=""/>
    <x v="2"/>
    <x v="15"/>
    <s v="CAM"/>
    <x v="197"/>
    <s v="01 HT SMARTHOME VTT"/>
    <x v="2"/>
    <x v="1"/>
    <x v="0"/>
    <m/>
    <n v="216543154"/>
    <d v="2025-10-01T00:00:00"/>
    <d v="2026-10-01T00:00:00"/>
    <m/>
    <m/>
    <s v="PO-92151"/>
    <n v="216543154"/>
    <n v="0"/>
    <m/>
    <m/>
    <m/>
    <n v="0"/>
    <n v="0"/>
    <m/>
    <m/>
    <m/>
    <m/>
    <m/>
    <m/>
    <m/>
    <m/>
    <m/>
    <m/>
    <m/>
    <m/>
    <m/>
    <m/>
    <m/>
    <m/>
    <m/>
    <m/>
    <m/>
    <m/>
    <m/>
    <m/>
    <m/>
    <m/>
    <n v="0"/>
    <n v="0"/>
    <n v="0"/>
  </r>
  <r>
    <n v="69"/>
    <x v="2"/>
    <x v="15"/>
    <s v="CAM"/>
    <x v="198"/>
    <s v="GPPM VIETTEL THAI NGUYEN"/>
    <x v="0"/>
    <x v="0"/>
    <x v="0"/>
    <n v="28171715"/>
    <n v="28171715"/>
    <d v="2025-02-01T00:00:00"/>
    <d v="2025-07-01T00:00:00"/>
    <s v="namnh74@viettel.com.vn"/>
    <s v="NADH@VIETTEL.COM.VN"/>
    <s v="PO-92152"/>
    <n v="14424787"/>
    <n v="13746928"/>
    <n v="0"/>
    <n v="0"/>
    <n v="7365606"/>
    <n v="6381322"/>
    <n v="0"/>
    <m/>
    <m/>
    <m/>
    <m/>
    <m/>
    <m/>
    <m/>
    <m/>
    <n v="0"/>
    <n v="0"/>
    <n v="0"/>
    <n v="0"/>
    <n v="0"/>
    <n v="0"/>
    <n v="0"/>
    <n v="0"/>
    <n v="0"/>
    <n v="0"/>
    <n v="0"/>
    <n v="0"/>
    <n v="0"/>
    <n v="0"/>
    <n v="0"/>
    <n v="0"/>
    <n v="0"/>
    <m/>
    <m/>
  </r>
  <r>
    <s v=""/>
    <x v="2"/>
    <x v="15"/>
    <s v="CAM"/>
    <x v="199"/>
    <s v="GPPM VIETTEL THAI NGUYEN (01 GPPM VMS Advanced)"/>
    <x v="0"/>
    <x v="1"/>
    <x v="0"/>
    <m/>
    <n v="3963793"/>
    <d v="2025-02-01T00:00:00"/>
    <d v="2025-07-01T00:00:00"/>
    <m/>
    <m/>
    <s v="PO-92152"/>
    <n v="2964750"/>
    <n v="999043"/>
    <m/>
    <m/>
    <n v="999043"/>
    <n v="0"/>
    <n v="0"/>
    <m/>
    <m/>
    <m/>
    <m/>
    <m/>
    <m/>
    <m/>
    <m/>
    <m/>
    <m/>
    <m/>
    <m/>
    <m/>
    <m/>
    <m/>
    <m/>
    <m/>
    <m/>
    <m/>
    <m/>
    <m/>
    <m/>
    <m/>
    <m/>
    <n v="0"/>
    <n v="166507.16666666666"/>
    <n v="457894.70833333331"/>
  </r>
  <r>
    <s v=""/>
    <x v="2"/>
    <x v="15"/>
    <s v="CAM"/>
    <x v="200"/>
    <s v="GPPM VIETTEL THAI NGUYEN (04 GPPM nhận diện khuôn mặt)"/>
    <x v="0"/>
    <x v="1"/>
    <x v="0"/>
    <m/>
    <n v="15855172"/>
    <d v="2025-02-01T00:00:00"/>
    <d v="2025-07-01T00:00:00"/>
    <m/>
    <m/>
    <s v="PO-92152"/>
    <n v="4917535"/>
    <n v="10032080"/>
    <m/>
    <m/>
    <n v="4556315"/>
    <n v="5475765"/>
    <n v="0"/>
    <m/>
    <m/>
    <m/>
    <m/>
    <m/>
    <m/>
    <m/>
    <m/>
    <m/>
    <m/>
    <m/>
    <m/>
    <m/>
    <m/>
    <m/>
    <m/>
    <m/>
    <m/>
    <m/>
    <m/>
    <m/>
    <m/>
    <m/>
    <m/>
    <n v="0"/>
    <n v="1672013.3333333333"/>
    <n v="4598036.666666666"/>
  </r>
  <r>
    <s v=""/>
    <x v="2"/>
    <x v="15"/>
    <s v="PKD K3"/>
    <x v="200"/>
    <s v="GPPM VIETTEL THAI NGUYEN (04 GPPM nhận diện khuôn mặt)"/>
    <x v="1"/>
    <x v="1"/>
    <x v="0"/>
    <m/>
    <m/>
    <d v="2025-02-01T00:00:00"/>
    <d v="2025-07-01T00:00:00"/>
    <m/>
    <m/>
    <s v="PO-92152"/>
    <m/>
    <n v="905557"/>
    <m/>
    <m/>
    <m/>
    <n v="905557"/>
    <n v="0"/>
    <m/>
    <m/>
    <m/>
    <m/>
    <m/>
    <m/>
    <m/>
    <m/>
    <m/>
    <m/>
    <m/>
    <m/>
    <m/>
    <m/>
    <m/>
    <m/>
    <m/>
    <m/>
    <m/>
    <m/>
    <m/>
    <m/>
    <m/>
    <m/>
    <n v="0"/>
    <n v="150926.16666666666"/>
    <n v="415046.95833333331"/>
  </r>
  <r>
    <s v=""/>
    <x v="2"/>
    <x v="15"/>
    <s v="CAM"/>
    <x v="199"/>
    <s v="GPPM VIETTEL THAI NGUYEN (01 GPPM VMS Advanced)"/>
    <x v="1"/>
    <x v="1"/>
    <x v="0"/>
    <m/>
    <n v="1237464"/>
    <d v="2025-02-01T00:00:00"/>
    <d v="2025-07-01T00:00:00"/>
    <m/>
    <m/>
    <s v="PO-92152"/>
    <n v="332340"/>
    <n v="905124"/>
    <m/>
    <m/>
    <n v="905124"/>
    <n v="0"/>
    <n v="0"/>
    <m/>
    <m/>
    <m/>
    <m/>
    <m/>
    <m/>
    <m/>
    <m/>
    <m/>
    <m/>
    <m/>
    <m/>
    <m/>
    <m/>
    <m/>
    <m/>
    <m/>
    <m/>
    <m/>
    <m/>
    <m/>
    <m/>
    <m/>
    <m/>
    <n v="0"/>
    <n v="150854"/>
    <n v="414848.5"/>
  </r>
  <r>
    <s v=""/>
    <x v="2"/>
    <x v="15"/>
    <s v="CAM"/>
    <x v="200"/>
    <s v="GPPM VIETTEL THAI NGUYEN (04 GPPM nhận diện khuôn mặt)"/>
    <x v="1"/>
    <x v="1"/>
    <x v="0"/>
    <m/>
    <n v="4949856"/>
    <d v="2025-02-01T00:00:00"/>
    <d v="2025-07-01T00:00:00"/>
    <m/>
    <m/>
    <s v="PO-92152"/>
    <n v="4044732"/>
    <n v="905124"/>
    <m/>
    <m/>
    <n v="905124"/>
    <n v="0"/>
    <n v="0"/>
    <m/>
    <m/>
    <m/>
    <m/>
    <m/>
    <m/>
    <m/>
    <m/>
    <m/>
    <m/>
    <m/>
    <m/>
    <m/>
    <m/>
    <m/>
    <m/>
    <m/>
    <m/>
    <m/>
    <m/>
    <m/>
    <m/>
    <m/>
    <m/>
    <n v="0"/>
    <n v="150854"/>
    <n v="414848.5"/>
  </r>
  <r>
    <s v=""/>
    <x v="2"/>
    <x v="15"/>
    <s v="CAM"/>
    <x v="199"/>
    <s v="GPPM VIETTEL THAI NGUYEN (01 GPPM VMS Advanced)"/>
    <x v="2"/>
    <x v="1"/>
    <x v="0"/>
    <m/>
    <n v="433086"/>
    <d v="2025-02-01T00:00:00"/>
    <d v="2025-07-01T00:00:00"/>
    <m/>
    <m/>
    <s v="PO-92152"/>
    <n v="433086"/>
    <n v="0"/>
    <m/>
    <m/>
    <m/>
    <n v="0"/>
    <n v="0"/>
    <m/>
    <m/>
    <m/>
    <m/>
    <m/>
    <m/>
    <m/>
    <m/>
    <m/>
    <m/>
    <m/>
    <m/>
    <m/>
    <m/>
    <m/>
    <m/>
    <m/>
    <m/>
    <m/>
    <m/>
    <m/>
    <m/>
    <m/>
    <m/>
    <n v="0"/>
    <n v="0"/>
    <n v="0"/>
  </r>
  <r>
    <s v=""/>
    <x v="2"/>
    <x v="15"/>
    <s v="CAM"/>
    <x v="200"/>
    <s v="GPPM VIETTEL THAI NGUYEN (04 GPPM nhận diện khuôn mặt)"/>
    <x v="2"/>
    <x v="1"/>
    <x v="0"/>
    <m/>
    <n v="1732344"/>
    <d v="2025-02-01T00:00:00"/>
    <d v="2025-07-01T00:00:00"/>
    <m/>
    <m/>
    <s v="PO-92152"/>
    <n v="1732344"/>
    <n v="0"/>
    <m/>
    <m/>
    <m/>
    <n v="0"/>
    <n v="0"/>
    <m/>
    <m/>
    <m/>
    <m/>
    <m/>
    <m/>
    <m/>
    <m/>
    <m/>
    <m/>
    <m/>
    <m/>
    <m/>
    <m/>
    <m/>
    <m/>
    <m/>
    <m/>
    <m/>
    <m/>
    <m/>
    <m/>
    <m/>
    <m/>
    <n v="0"/>
    <n v="0"/>
    <n v="0"/>
  </r>
  <r>
    <n v="70"/>
    <x v="2"/>
    <x v="15"/>
    <s v="CAM"/>
    <x v="201"/>
    <s v="07 GP CAMERA AI VA 01 PM DIEU KHIEN CUA ZME"/>
    <x v="0"/>
    <x v="0"/>
    <x v="0"/>
    <n v="307619062"/>
    <n v="43886162.100000001"/>
    <d v="2025-02-01T00:00:00"/>
    <d v="2025-07-01T00:00:00"/>
    <s v="namnh74@viettel.com.vn"/>
    <s v="NADH@VIETTEL.COM.VN"/>
    <s v="PO-92159"/>
    <n v="39083784.100000001"/>
    <n v="4802378"/>
    <n v="0"/>
    <m/>
    <m/>
    <n v="0"/>
    <n v="4802378"/>
    <m/>
    <m/>
    <m/>
    <m/>
    <m/>
    <m/>
    <m/>
    <m/>
    <n v="0"/>
    <n v="0"/>
    <n v="0"/>
    <n v="0"/>
    <n v="0"/>
    <n v="0"/>
    <n v="0"/>
    <n v="0"/>
    <n v="0"/>
    <n v="0"/>
    <n v="0"/>
    <n v="0"/>
    <n v="0"/>
    <n v="0"/>
    <n v="0"/>
    <n v="0"/>
    <n v="0"/>
    <m/>
    <m/>
  </r>
  <r>
    <s v=""/>
    <x v="2"/>
    <x v="15"/>
    <s v="CAM"/>
    <x v="201"/>
    <s v="07 GP CAMERA AI VA 01 PM DIEU KHIEN CUA ZME"/>
    <x v="0"/>
    <x v="1"/>
    <x v="0"/>
    <m/>
    <n v="15409155.300000001"/>
    <d v="2025-02-01T00:00:00"/>
    <d v="2025-07-01T00:00:00"/>
    <m/>
    <m/>
    <s v="PO-92159"/>
    <n v="11774443.300000001"/>
    <n v="3634712"/>
    <m/>
    <m/>
    <m/>
    <n v="0"/>
    <n v="3634712"/>
    <n v="3634712"/>
    <n v="3634712"/>
    <n v="3634712"/>
    <m/>
    <m/>
    <m/>
    <m/>
    <m/>
    <m/>
    <m/>
    <m/>
    <m/>
    <m/>
    <m/>
    <m/>
    <m/>
    <m/>
    <m/>
    <m/>
    <m/>
    <m/>
    <m/>
    <m/>
    <m/>
    <n v="0"/>
    <n v="1817356"/>
    <n v="6663638.666666667"/>
  </r>
  <r>
    <s v=""/>
    <x v="2"/>
    <x v="15"/>
    <s v="CAM"/>
    <x v="201"/>
    <s v="07 GP CAMERA AI VA 01 PM DIEU KHIEN CUA ZME"/>
    <x v="1"/>
    <x v="1"/>
    <x v="0"/>
    <m/>
    <n v="3869416"/>
    <d v="2025-02-01T00:00:00"/>
    <d v="2025-07-01T00:00:00"/>
    <m/>
    <m/>
    <s v="PO-92159"/>
    <n v="2701750"/>
    <n v="1167666"/>
    <m/>
    <m/>
    <m/>
    <n v="0"/>
    <n v="1167666"/>
    <n v="1167666"/>
    <n v="1167666"/>
    <n v="1167666"/>
    <m/>
    <m/>
    <m/>
    <m/>
    <m/>
    <m/>
    <m/>
    <m/>
    <m/>
    <m/>
    <m/>
    <m/>
    <m/>
    <m/>
    <m/>
    <m/>
    <m/>
    <m/>
    <m/>
    <m/>
    <m/>
    <n v="0"/>
    <n v="583833"/>
    <n v="2140721"/>
  </r>
  <r>
    <s v=""/>
    <x v="2"/>
    <x v="15"/>
    <s v="CAM"/>
    <x v="201"/>
    <s v="07 GP CAMERA AI VA 01 PM DIEU KHIEN CUA ZME"/>
    <x v="2"/>
    <x v="1"/>
    <x v="0"/>
    <m/>
    <n v="24607590.800000001"/>
    <d v="2025-02-01T00:00:00"/>
    <d v="2025-07-01T00:00:00"/>
    <m/>
    <m/>
    <s v="PO-92159"/>
    <n v="24607590.800000001"/>
    <n v="0"/>
    <m/>
    <m/>
    <m/>
    <n v="0"/>
    <n v="0"/>
    <m/>
    <m/>
    <m/>
    <m/>
    <m/>
    <m/>
    <m/>
    <m/>
    <m/>
    <m/>
    <m/>
    <m/>
    <m/>
    <m/>
    <m/>
    <m/>
    <m/>
    <m/>
    <m/>
    <m/>
    <m/>
    <m/>
    <m/>
    <m/>
    <n v="0"/>
    <n v="0"/>
    <n v="0"/>
  </r>
  <r>
    <n v="71"/>
    <x v="2"/>
    <x v="15"/>
    <s v="CAM"/>
    <x v="202"/>
    <s v="01 GP PHAN MEM XU PHAT VT BINH DINH"/>
    <x v="0"/>
    <x v="0"/>
    <x v="0"/>
    <n v="74405819.200000003"/>
    <n v="66705819"/>
    <d v="2024-11-01T00:00:00"/>
    <d v="2025-05-01T00:00:00"/>
    <s v="hoangth9@viettel.com.vn"/>
    <s v="hoant84@viettel.com.vn"/>
    <s v="PO-92149"/>
    <n v="29924095"/>
    <n v="36781724"/>
    <n v="35044255"/>
    <n v="1737469"/>
    <n v="0"/>
    <n v="0"/>
    <n v="0"/>
    <m/>
    <m/>
    <m/>
    <m/>
    <m/>
    <m/>
    <m/>
    <m/>
    <n v="0"/>
    <n v="0"/>
    <n v="0"/>
    <n v="0"/>
    <n v="0"/>
    <n v="0"/>
    <n v="0"/>
    <n v="0"/>
    <n v="0"/>
    <n v="0"/>
    <n v="0"/>
    <n v="0"/>
    <n v="25251630"/>
    <n v="1768235"/>
    <n v="8024390"/>
    <n v="0"/>
    <n v="0"/>
    <m/>
    <m/>
  </r>
  <r>
    <s v=""/>
    <x v="2"/>
    <x v="15"/>
    <s v="CAM"/>
    <x v="202"/>
    <s v="01 GP PHAN MEM XU PHAT VT BINH DINH"/>
    <x v="0"/>
    <x v="1"/>
    <x v="0"/>
    <m/>
    <n v="39637925"/>
    <d v="2024-11-01T00:00:00"/>
    <d v="2025-05-01T00:00:00"/>
    <m/>
    <m/>
    <s v="PO-92149"/>
    <n v="4593670"/>
    <n v="35044255"/>
    <n v="35044255"/>
    <m/>
    <m/>
    <n v="0"/>
    <n v="0"/>
    <m/>
    <m/>
    <m/>
    <m/>
    <m/>
    <m/>
    <m/>
    <m/>
    <m/>
    <m/>
    <m/>
    <m/>
    <m/>
    <m/>
    <m/>
    <m/>
    <m/>
    <m/>
    <m/>
    <m/>
    <n v="25251630"/>
    <n v="1768235"/>
    <n v="8024390"/>
    <m/>
    <n v="0"/>
    <n v="0"/>
    <n v="0"/>
  </r>
  <r>
    <s v=""/>
    <x v="2"/>
    <x v="15"/>
    <s v="CAM"/>
    <x v="202"/>
    <s v="01 GP PHAN MEM XU PHAT VT BINH DINH"/>
    <x v="2"/>
    <x v="1"/>
    <x v="0"/>
    <m/>
    <n v="27067894"/>
    <d v="2024-11-01T00:00:00"/>
    <d v="2025-12-01T00:00:00"/>
    <m/>
    <m/>
    <s v="PO-92149"/>
    <n v="25330425"/>
    <n v="1737469"/>
    <n v="0"/>
    <n v="1737469"/>
    <m/>
    <n v="0"/>
    <n v="0"/>
    <m/>
    <m/>
    <m/>
    <m/>
    <m/>
    <m/>
    <m/>
    <m/>
    <m/>
    <m/>
    <m/>
    <m/>
    <m/>
    <m/>
    <m/>
    <m/>
    <m/>
    <m/>
    <m/>
    <m/>
    <m/>
    <m/>
    <m/>
    <m/>
    <n v="0"/>
    <n v="289578.16666666669"/>
    <n v="796339.95833333337"/>
  </r>
  <r>
    <n v="72"/>
    <x v="2"/>
    <x v="14"/>
    <s v="IOT"/>
    <x v="203"/>
    <s v="vTracking 2.0"/>
    <x v="0"/>
    <x v="0"/>
    <x v="0"/>
    <n v="26373569126"/>
    <n v="4135106426"/>
    <d v="2023-08-01T00:00:00"/>
    <d v="2026-08-01T00:00:00"/>
    <s v="quyln3@viettel.com.vn"/>
    <s v="hienntm3@viettel.com.vn"/>
    <s v="PO-92127"/>
    <n v="1809422431"/>
    <n v="2325683995"/>
    <n v="1675066605"/>
    <n v="184056691"/>
    <n v="174267927"/>
    <n v="168051920"/>
    <n v="124240852"/>
    <m/>
    <m/>
    <m/>
    <m/>
    <m/>
    <m/>
    <m/>
    <m/>
    <n v="30333798"/>
    <n v="33337680"/>
    <n v="33743636"/>
    <n v="34018636"/>
    <n v="29766311"/>
    <n v="129453125"/>
    <n v="113040681"/>
    <n v="38118066"/>
    <n v="118126005"/>
    <n v="124196341"/>
    <n v="108057903"/>
    <n v="154140774"/>
    <n v="163907473"/>
    <n v="69258515"/>
    <n v="321088052"/>
    <n v="174479609"/>
    <n v="0"/>
    <m/>
    <m/>
  </r>
  <r>
    <s v=""/>
    <x v="2"/>
    <x v="14"/>
    <s v="IOT"/>
    <x v="203"/>
    <s v="vTracking 2.0"/>
    <x v="0"/>
    <x v="1"/>
    <x v="0"/>
    <m/>
    <n v="4135106426"/>
    <d v="2023-08-01T00:00:00"/>
    <d v="2026-08-01T00:00:00"/>
    <m/>
    <m/>
    <s v="PO-92127"/>
    <n v="1809422431"/>
    <n v="2287387887"/>
    <n v="1664253806"/>
    <n v="174717875"/>
    <n v="163528288"/>
    <n v="160647066"/>
    <n v="124240852"/>
    <n v="124240852"/>
    <n v="124240852"/>
    <n v="124240852"/>
    <n v="124240852"/>
    <n v="124240852"/>
    <n v="124240852"/>
    <n v="124240852"/>
    <n v="124240852"/>
    <n v="30333798"/>
    <n v="33337680"/>
    <n v="33743636"/>
    <n v="34018636"/>
    <n v="29766311"/>
    <n v="129453125"/>
    <n v="113040681"/>
    <n v="38118066"/>
    <n v="118126005"/>
    <n v="124196341"/>
    <n v="105820772"/>
    <n v="145565106"/>
    <n v="163907473"/>
    <n v="69258515"/>
    <n v="321088052"/>
    <n v="174479609"/>
    <n v="0"/>
    <n v="145269297.5"/>
    <n v="741152911.125"/>
  </r>
  <r>
    <s v=""/>
    <x v="2"/>
    <x v="14"/>
    <s v="QLCL"/>
    <x v="203"/>
    <s v="vTracking 2.0"/>
    <x v="0"/>
    <x v="1"/>
    <x v="0"/>
    <m/>
    <m/>
    <d v="2023-08-01T00:00:00"/>
    <d v="2026-08-01T00:00:00"/>
    <m/>
    <m/>
    <s v="PO-92127"/>
    <m/>
    <n v="38296108"/>
    <n v="10812799"/>
    <n v="9338816"/>
    <n v="10739639"/>
    <n v="7404854"/>
    <n v="0"/>
    <n v="7404854"/>
    <n v="7404854"/>
    <n v="7404854"/>
    <n v="7404854"/>
    <n v="7404854"/>
    <n v="7404854"/>
    <n v="7404854"/>
    <n v="7404854"/>
    <m/>
    <m/>
    <m/>
    <m/>
    <m/>
    <m/>
    <m/>
    <m/>
    <m/>
    <m/>
    <n v="2237131"/>
    <n v="8575668"/>
    <m/>
    <m/>
    <m/>
    <m/>
    <n v="0"/>
    <n v="7048836.166666667"/>
    <n v="39747647.958333328"/>
  </r>
  <r>
    <n v="73"/>
    <x v="2"/>
    <x v="14"/>
    <s v="IOT"/>
    <x v="204"/>
    <s v="PERSONAL TRACKING"/>
    <x v="0"/>
    <x v="0"/>
    <x v="0"/>
    <n v="8040216227"/>
    <n v="149831860"/>
    <d v="2021-09-01T00:00:00"/>
    <d v="2025-12-01T00:00:00"/>
    <s v="quyln3@viettel.com.vn"/>
    <s v="hienntm3@viettel.com.vn"/>
    <s v="PO-92042"/>
    <n v="30504886"/>
    <n v="119326974"/>
    <n v="112652351"/>
    <n v="1341509"/>
    <n v="1542735"/>
    <n v="2356181"/>
    <n v="1434198"/>
    <m/>
    <m/>
    <m/>
    <m/>
    <m/>
    <m/>
    <m/>
    <m/>
    <n v="1258518"/>
    <n v="1378374"/>
    <n v="1459861"/>
    <n v="1459861"/>
    <n v="1277381"/>
    <n v="1532855"/>
    <n v="1341509"/>
    <n v="1225309"/>
    <n v="1402484"/>
    <n v="1469271"/>
    <n v="1341509"/>
    <n v="1469271"/>
    <n v="1402484"/>
    <n v="1151504"/>
    <n v="5748176"/>
    <n v="87733984"/>
    <n v="0"/>
    <m/>
    <m/>
  </r>
  <r>
    <s v=""/>
    <x v="2"/>
    <x v="14"/>
    <s v="IOT"/>
    <x v="204"/>
    <s v="PERSONAL TRACKING"/>
    <x v="0"/>
    <x v="1"/>
    <x v="0"/>
    <m/>
    <n v="149831860"/>
    <d v="2021-09-01T00:00:00"/>
    <d v="2025-12-01T00:00:00"/>
    <m/>
    <m/>
    <s v="PO-92042"/>
    <n v="30504886"/>
    <n v="119326974"/>
    <n v="112652351"/>
    <n v="1341509"/>
    <n v="1542735"/>
    <n v="2356181"/>
    <n v="1434198"/>
    <n v="1434198"/>
    <n v="1434198"/>
    <n v="1434198"/>
    <n v="1434198"/>
    <n v="1434198"/>
    <n v="1434198"/>
    <n v="1434198"/>
    <n v="1434198"/>
    <n v="1258518"/>
    <n v="1378374"/>
    <n v="1459861"/>
    <n v="1459861"/>
    <n v="1277381"/>
    <n v="1532855"/>
    <n v="1341509"/>
    <n v="1225309"/>
    <n v="1402484"/>
    <n v="1469271"/>
    <n v="1341509"/>
    <n v="1469271"/>
    <n v="1402484"/>
    <n v="1151504"/>
    <n v="5748176"/>
    <n v="87733984"/>
    <n v="0"/>
    <n v="1590503.1666666667"/>
    <n v="8317928.208333333"/>
  </r>
  <r>
    <n v="74"/>
    <x v="2"/>
    <x v="14"/>
    <s v="IOT"/>
    <x v="205"/>
    <s v="2000 TB STRACKING SDVICO"/>
    <x v="0"/>
    <x v="0"/>
    <x v="0"/>
    <n v="24356788463.799999"/>
    <n v="1404271353"/>
    <d v="2025-01-24T00:00:00"/>
    <d v="2025-10-01T00:00:00"/>
    <s v="ducdm25@viettel.com.vn"/>
    <s v="luyennt@viettel.com.vn"/>
    <s v="Thiếu mã 12"/>
    <n v="1404271353"/>
    <n v="0"/>
    <n v="0"/>
    <m/>
    <m/>
    <n v="0"/>
    <n v="0"/>
    <m/>
    <m/>
    <m/>
    <m/>
    <m/>
    <m/>
    <m/>
    <m/>
    <n v="0"/>
    <n v="0"/>
    <n v="0"/>
    <n v="0"/>
    <n v="0"/>
    <n v="0"/>
    <n v="0"/>
    <n v="0"/>
    <n v="0"/>
    <n v="0"/>
    <n v="0"/>
    <n v="0"/>
    <n v="0"/>
    <n v="0"/>
    <n v="0"/>
    <n v="0"/>
    <n v="0"/>
    <m/>
    <m/>
  </r>
  <r>
    <s v=""/>
    <x v="2"/>
    <x v="14"/>
    <s v="IOT"/>
    <x v="205"/>
    <s v="2000 TB STRACKING SDVICO"/>
    <x v="0"/>
    <x v="1"/>
    <x v="0"/>
    <m/>
    <n v="1218553852"/>
    <d v="2025-01-24T00:00:00"/>
    <d v="2025-10-01T00:00:00"/>
    <m/>
    <m/>
    <s v="Thiếu mã 12"/>
    <n v="1218553852"/>
    <n v="0"/>
    <m/>
    <m/>
    <m/>
    <n v="0"/>
    <n v="0"/>
    <m/>
    <m/>
    <m/>
    <m/>
    <m/>
    <m/>
    <m/>
    <m/>
    <m/>
    <m/>
    <m/>
    <m/>
    <m/>
    <m/>
    <m/>
    <m/>
    <m/>
    <m/>
    <m/>
    <m/>
    <m/>
    <m/>
    <m/>
    <m/>
    <n v="0"/>
    <n v="0"/>
    <n v="0"/>
  </r>
  <r>
    <s v=""/>
    <x v="2"/>
    <x v="14"/>
    <s v="IOT"/>
    <x v="205"/>
    <s v="2000 TB STRACKING SDVICO"/>
    <x v="1"/>
    <x v="1"/>
    <x v="0"/>
    <m/>
    <n v="78580040"/>
    <d v="2025-01-24T00:00:00"/>
    <d v="2025-10-01T00:00:00"/>
    <m/>
    <m/>
    <s v="Thiếu mã 12"/>
    <n v="78580040"/>
    <n v="0"/>
    <m/>
    <m/>
    <m/>
    <n v="0"/>
    <n v="0"/>
    <m/>
    <m/>
    <m/>
    <m/>
    <m/>
    <m/>
    <m/>
    <m/>
    <m/>
    <m/>
    <m/>
    <m/>
    <m/>
    <m/>
    <m/>
    <m/>
    <m/>
    <m/>
    <m/>
    <m/>
    <m/>
    <m/>
    <m/>
    <m/>
    <n v="0"/>
    <n v="0"/>
    <n v="0"/>
  </r>
  <r>
    <s v=""/>
    <x v="2"/>
    <x v="14"/>
    <s v="IOT"/>
    <x v="205"/>
    <s v="2000 TB STRACKING SDVICO"/>
    <x v="2"/>
    <x v="1"/>
    <x v="0"/>
    <m/>
    <n v="107137461"/>
    <d v="2025-10-01T00:00:00"/>
    <d v="2026-10-01T00:00:00"/>
    <m/>
    <m/>
    <s v="Thiếu mã 12"/>
    <n v="107137461"/>
    <n v="0"/>
    <m/>
    <m/>
    <m/>
    <n v="0"/>
    <n v="0"/>
    <m/>
    <m/>
    <m/>
    <m/>
    <m/>
    <m/>
    <m/>
    <m/>
    <m/>
    <m/>
    <m/>
    <m/>
    <m/>
    <m/>
    <m/>
    <m/>
    <m/>
    <m/>
    <m/>
    <m/>
    <m/>
    <m/>
    <m/>
    <m/>
    <n v="0"/>
    <n v="0"/>
    <n v="0"/>
  </r>
  <r>
    <n v="75"/>
    <x v="2"/>
    <x v="14"/>
    <s v="IOT"/>
    <x v="206"/>
    <s v="STRACKING 2025-2030"/>
    <x v="0"/>
    <x v="0"/>
    <x v="0"/>
    <n v="116944351778"/>
    <n v="4466812251"/>
    <d v="2025-03-26T00:00:00"/>
    <d v="2030-03-31T00:00:00"/>
    <s v="ducdm25@viettel.com.vn"/>
    <s v="luyennt@viettel.com.vn"/>
    <s v="PO-92156"/>
    <n v="4429522390"/>
    <n v="37289861"/>
    <n v="0"/>
    <m/>
    <n v="13313856"/>
    <n v="0"/>
    <n v="23976005"/>
    <m/>
    <m/>
    <m/>
    <m/>
    <m/>
    <m/>
    <m/>
    <m/>
    <m/>
    <m/>
    <m/>
    <m/>
    <m/>
    <m/>
    <m/>
    <m/>
    <m/>
    <m/>
    <m/>
    <m/>
    <m/>
    <m/>
    <m/>
    <m/>
    <n v="0"/>
    <m/>
    <m/>
  </r>
  <r>
    <s v=""/>
    <x v="2"/>
    <x v="14"/>
    <s v="IOT"/>
    <x v="206"/>
    <s v="STRACKING 2025-2030"/>
    <x v="0"/>
    <x v="1"/>
    <x v="0"/>
    <m/>
    <n v="4222741596"/>
    <d v="2025-03-26T00:00:00"/>
    <d v="2030-03-31T00:00:00"/>
    <m/>
    <m/>
    <s v="PO-92156"/>
    <n v="4185451735"/>
    <n v="37289861"/>
    <n v="0"/>
    <m/>
    <n v="13313856"/>
    <n v="0"/>
    <n v="23976005"/>
    <n v="23976005"/>
    <n v="23976005"/>
    <n v="23976005"/>
    <n v="23976005"/>
    <n v="23976005"/>
    <n v="23976005"/>
    <n v="23976005"/>
    <n v="23976005"/>
    <m/>
    <m/>
    <m/>
    <m/>
    <m/>
    <m/>
    <m/>
    <m/>
    <m/>
    <m/>
    <m/>
    <m/>
    <m/>
    <m/>
    <m/>
    <m/>
    <n v="0"/>
    <n v="14206978.5"/>
    <n v="105003204.625"/>
  </r>
  <r>
    <s v=""/>
    <x v="2"/>
    <x v="14"/>
    <s v="IOT"/>
    <x v="206"/>
    <s v="STRACKING 2025-2030"/>
    <x v="1"/>
    <x v="1"/>
    <x v="0"/>
    <m/>
    <n v="244070655"/>
    <d v="2025-03-26T00:00:00"/>
    <d v="2030-03-31T00:00:00"/>
    <m/>
    <m/>
    <s v="PO-92156"/>
    <n v="244070655"/>
    <n v="0"/>
    <n v="0"/>
    <m/>
    <m/>
    <n v="0"/>
    <n v="0"/>
    <m/>
    <m/>
    <m/>
    <m/>
    <m/>
    <m/>
    <m/>
    <m/>
    <m/>
    <m/>
    <m/>
    <m/>
    <m/>
    <m/>
    <m/>
    <m/>
    <m/>
    <m/>
    <m/>
    <m/>
    <m/>
    <m/>
    <m/>
    <m/>
    <n v="0"/>
    <n v="0"/>
    <n v="0"/>
  </r>
  <r>
    <n v="76"/>
    <x v="2"/>
    <x v="14"/>
    <s v="IOT"/>
    <x v="207"/>
    <s v="TP THONG MINH VT DA NANG"/>
    <x v="0"/>
    <x v="0"/>
    <x v="0"/>
    <n v="1293742350"/>
    <n v="751132350"/>
    <d v="2025-03-01T00:00:00"/>
    <d v="2026-08-01T00:00:00"/>
    <e v="#N/A"/>
    <e v="#N/A"/>
    <s v="Thiếu mã 14"/>
    <n v="751132350"/>
    <n v="0"/>
    <n v="0"/>
    <m/>
    <m/>
    <n v="0"/>
    <n v="0"/>
    <m/>
    <m/>
    <m/>
    <m/>
    <m/>
    <m/>
    <m/>
    <m/>
    <m/>
    <m/>
    <m/>
    <m/>
    <m/>
    <m/>
    <m/>
    <m/>
    <m/>
    <m/>
    <m/>
    <m/>
    <m/>
    <m/>
    <m/>
    <m/>
    <n v="0"/>
    <m/>
    <m/>
  </r>
  <r>
    <s v=""/>
    <x v="2"/>
    <x v="14"/>
    <s v="IOT"/>
    <x v="207"/>
    <s v="TP THONG MINH VT DA NANG"/>
    <x v="0"/>
    <x v="1"/>
    <x v="0"/>
    <m/>
    <n v="713189419"/>
    <d v="2025-03-01T00:00:00"/>
    <d v="2026-08-01T00:00:00"/>
    <m/>
    <m/>
    <s v="Thiếu mã 14"/>
    <n v="713189419"/>
    <n v="0"/>
    <n v="0"/>
    <m/>
    <m/>
    <n v="0"/>
    <n v="0"/>
    <m/>
    <m/>
    <m/>
    <m/>
    <m/>
    <m/>
    <m/>
    <m/>
    <m/>
    <m/>
    <m/>
    <m/>
    <m/>
    <m/>
    <m/>
    <m/>
    <m/>
    <m/>
    <m/>
    <m/>
    <m/>
    <m/>
    <m/>
    <m/>
    <n v="0"/>
    <n v="0"/>
    <n v="0"/>
  </r>
  <r>
    <s v=""/>
    <x v="2"/>
    <x v="14"/>
    <s v="IOT"/>
    <x v="207"/>
    <s v="TP THONG MINH VT DA NANG"/>
    <x v="1"/>
    <x v="1"/>
    <x v="0"/>
    <m/>
    <n v="12993374"/>
    <d v="2025-03-01T00:00:00"/>
    <d v="2026-08-01T00:00:00"/>
    <m/>
    <m/>
    <s v="Thiếu mã 14"/>
    <n v="12993374"/>
    <n v="0"/>
    <n v="0"/>
    <m/>
    <m/>
    <n v="0"/>
    <n v="0"/>
    <m/>
    <m/>
    <m/>
    <m/>
    <m/>
    <m/>
    <m/>
    <m/>
    <m/>
    <m/>
    <m/>
    <m/>
    <m/>
    <m/>
    <m/>
    <m/>
    <m/>
    <m/>
    <m/>
    <m/>
    <m/>
    <m/>
    <m/>
    <m/>
    <n v="0"/>
    <n v="0"/>
    <n v="0"/>
  </r>
  <r>
    <s v=""/>
    <x v="2"/>
    <x v="14"/>
    <s v="IOT"/>
    <x v="207"/>
    <s v="TP THONG MINH VT DA NANG"/>
    <x v="2"/>
    <x v="1"/>
    <x v="0"/>
    <m/>
    <n v="24949557"/>
    <d v="2025-03-01T00:00:00"/>
    <d v="2026-08-01T00:00:00"/>
    <m/>
    <m/>
    <s v="Thiếu mã 14"/>
    <n v="24949557"/>
    <n v="0"/>
    <n v="0"/>
    <m/>
    <m/>
    <n v="0"/>
    <n v="0"/>
    <m/>
    <m/>
    <m/>
    <m/>
    <m/>
    <m/>
    <m/>
    <m/>
    <m/>
    <m/>
    <m/>
    <m/>
    <m/>
    <m/>
    <m/>
    <m/>
    <m/>
    <m/>
    <m/>
    <m/>
    <m/>
    <m/>
    <m/>
    <m/>
    <n v="0"/>
    <n v="0"/>
    <n v="0"/>
  </r>
  <r>
    <n v="77"/>
    <x v="2"/>
    <x v="14"/>
    <s v="IOT"/>
    <x v="208"/>
    <s v="TP THONG MINH VT DA NANG"/>
    <x v="0"/>
    <x v="0"/>
    <x v="0"/>
    <n v="1311830840"/>
    <n v="856056010"/>
    <d v="2025-05-28T00:00:00"/>
    <d v="2028-05-01T00:00:00"/>
    <s v="namnh74@viettel.com.vn"/>
    <s v="hoant84@viettel.com.vn"/>
    <s v="PO-92163"/>
    <n v="856056010"/>
    <n v="0"/>
    <n v="0"/>
    <m/>
    <m/>
    <n v="0"/>
    <n v="0"/>
    <m/>
    <m/>
    <m/>
    <m/>
    <m/>
    <m/>
    <m/>
    <m/>
    <m/>
    <m/>
    <m/>
    <m/>
    <m/>
    <m/>
    <m/>
    <m/>
    <m/>
    <m/>
    <m/>
    <m/>
    <m/>
    <m/>
    <m/>
    <m/>
    <n v="0"/>
    <m/>
    <m/>
  </r>
  <r>
    <s v=""/>
    <x v="2"/>
    <x v="14"/>
    <s v="IOT"/>
    <x v="209"/>
    <s v="TP THONG MINH VT DA NANG"/>
    <x v="0"/>
    <x v="1"/>
    <x v="0"/>
    <m/>
    <n v="636830840"/>
    <d v="2025-05-01T00:00:00"/>
    <d v="2027-05-01T00:00:00"/>
    <m/>
    <m/>
    <s v="PO-92163"/>
    <n v="636830840"/>
    <n v="0"/>
    <n v="0"/>
    <m/>
    <m/>
    <n v="0"/>
    <n v="0"/>
    <m/>
    <m/>
    <m/>
    <m/>
    <m/>
    <m/>
    <m/>
    <m/>
    <m/>
    <m/>
    <m/>
    <m/>
    <m/>
    <m/>
    <m/>
    <m/>
    <m/>
    <m/>
    <m/>
    <m/>
    <m/>
    <m/>
    <m/>
    <m/>
    <n v="0"/>
    <n v="0"/>
    <n v="0"/>
  </r>
  <r>
    <s v=""/>
    <x v="2"/>
    <x v="14"/>
    <s v="IOT"/>
    <x v="209"/>
    <s v="TP THONG MINH VT DA NANG"/>
    <x v="1"/>
    <x v="1"/>
    <x v="0"/>
    <m/>
    <n v="219225170"/>
    <d v="2025-05-01T00:00:00"/>
    <d v="2027-05-01T00:00:00"/>
    <m/>
    <m/>
    <s v="PO-92163"/>
    <n v="219225170"/>
    <n v="0"/>
    <n v="0"/>
    <m/>
    <m/>
    <n v="0"/>
    <n v="0"/>
    <m/>
    <m/>
    <m/>
    <m/>
    <m/>
    <m/>
    <m/>
    <m/>
    <m/>
    <m/>
    <m/>
    <m/>
    <m/>
    <m/>
    <m/>
    <m/>
    <m/>
    <m/>
    <m/>
    <m/>
    <m/>
    <m/>
    <m/>
    <m/>
    <n v="0"/>
    <n v="0"/>
    <n v="0"/>
  </r>
  <r>
    <s v=""/>
    <x v="2"/>
    <x v="14"/>
    <s v="IOT"/>
    <x v="209"/>
    <s v="TP THONG MINH VT DA NANG"/>
    <x v="2"/>
    <x v="1"/>
    <x v="0"/>
    <m/>
    <m/>
    <d v="2025-05-01T00:00:00"/>
    <d v="2028-05-01T00:00:00"/>
    <m/>
    <m/>
    <s v="PO-92163"/>
    <m/>
    <n v="0"/>
    <n v="0"/>
    <m/>
    <m/>
    <n v="0"/>
    <n v="0"/>
    <m/>
    <m/>
    <m/>
    <m/>
    <m/>
    <m/>
    <m/>
    <m/>
    <m/>
    <m/>
    <m/>
    <m/>
    <m/>
    <m/>
    <m/>
    <m/>
    <m/>
    <m/>
    <m/>
    <m/>
    <m/>
    <m/>
    <m/>
    <m/>
    <n v="0"/>
    <n v="0"/>
    <n v="0"/>
  </r>
  <r>
    <n v="78"/>
    <x v="2"/>
    <x v="14"/>
    <s v="IOT"/>
    <x v="210"/>
    <s v="TP THONG MINH VT DA NANG"/>
    <x v="0"/>
    <x v="0"/>
    <x v="0"/>
    <n v="10401633277"/>
    <n v="3456399869"/>
    <d v="2025-04-19T00:00:00"/>
    <d v="2030-04-01T00:00:00"/>
    <s v="huongnt511@viettel.com.vn"/>
    <s v="NADH@VIETTEL.COM.VN"/>
    <s v="PO-92160"/>
    <n v="3423041083"/>
    <n v="33358786"/>
    <n v="0"/>
    <m/>
    <m/>
    <n v="0"/>
    <n v="33358786"/>
    <m/>
    <m/>
    <m/>
    <m/>
    <m/>
    <m/>
    <m/>
    <m/>
    <m/>
    <m/>
    <m/>
    <m/>
    <m/>
    <m/>
    <m/>
    <m/>
    <m/>
    <m/>
    <m/>
    <m/>
    <m/>
    <m/>
    <m/>
    <m/>
    <n v="0"/>
    <m/>
    <m/>
  </r>
  <r>
    <s v=""/>
    <x v="2"/>
    <x v="14"/>
    <s v="IOT"/>
    <x v="210"/>
    <s v="TP THONG MINH VT DA NANG"/>
    <x v="0"/>
    <x v="1"/>
    <x v="0"/>
    <m/>
    <n v="3325364507"/>
    <d v="2025-04-01T00:00:00"/>
    <d v="2029-04-01T00:00:00"/>
    <m/>
    <m/>
    <s v="PO-92160"/>
    <n v="3294585753"/>
    <n v="30778754"/>
    <n v="0"/>
    <m/>
    <m/>
    <n v="0"/>
    <n v="30778754"/>
    <n v="30778754"/>
    <n v="30778754"/>
    <n v="30778754"/>
    <n v="30778754"/>
    <n v="30778754"/>
    <n v="30778754"/>
    <n v="30778754"/>
    <n v="30778754"/>
    <m/>
    <m/>
    <m/>
    <m/>
    <m/>
    <m/>
    <m/>
    <m/>
    <m/>
    <m/>
    <m/>
    <m/>
    <m/>
    <m/>
    <m/>
    <m/>
    <n v="0"/>
    <n v="15389377"/>
    <n v="126962360.25"/>
  </r>
  <r>
    <s v=""/>
    <x v="2"/>
    <x v="14"/>
    <s v="IOT"/>
    <x v="210"/>
    <s v="TP THONG MINH VT DA NANG"/>
    <x v="1"/>
    <x v="1"/>
    <x v="0"/>
    <m/>
    <n v="131035362"/>
    <d v="2025-04-01T00:00:00"/>
    <d v="2029-04-01T00:00:00"/>
    <m/>
    <m/>
    <s v="PO-92160"/>
    <n v="128455330"/>
    <n v="2580032"/>
    <n v="0"/>
    <m/>
    <m/>
    <n v="0"/>
    <n v="2580032"/>
    <n v="2580032"/>
    <n v="2580032"/>
    <n v="2580032"/>
    <n v="2580032"/>
    <n v="2580032"/>
    <n v="2580032"/>
    <n v="2580032"/>
    <n v="2580032"/>
    <m/>
    <m/>
    <m/>
    <m/>
    <m/>
    <m/>
    <m/>
    <m/>
    <m/>
    <m/>
    <m/>
    <m/>
    <m/>
    <m/>
    <m/>
    <m/>
    <n v="0"/>
    <n v="1290016"/>
    <n v="10642632"/>
  </r>
  <r>
    <s v=""/>
    <x v="2"/>
    <x v="14"/>
    <s v="IOT"/>
    <x v="210"/>
    <s v="TP THONG MINH VT DA NANG"/>
    <x v="2"/>
    <x v="1"/>
    <x v="0"/>
    <m/>
    <m/>
    <d v="2025-04-01T00:00:00"/>
    <d v="2030-04-01T00:00:00"/>
    <m/>
    <m/>
    <s v="PO-92160"/>
    <m/>
    <n v="0"/>
    <n v="0"/>
    <m/>
    <m/>
    <n v="0"/>
    <n v="0"/>
    <m/>
    <m/>
    <m/>
    <m/>
    <m/>
    <m/>
    <m/>
    <m/>
    <m/>
    <m/>
    <m/>
    <m/>
    <m/>
    <m/>
    <m/>
    <m/>
    <m/>
    <m/>
    <m/>
    <m/>
    <m/>
    <m/>
    <m/>
    <m/>
    <n v="0"/>
    <n v="0"/>
    <n v="0"/>
  </r>
  <r>
    <n v="79"/>
    <x v="3"/>
    <x v="12"/>
    <s v="TTKD"/>
    <x v="211"/>
    <s v="16000 MAY TINH"/>
    <x v="1"/>
    <x v="0"/>
    <x v="0"/>
    <n v="744991101821"/>
    <n v="739901821"/>
    <d v="2024-04-01T00:00:00"/>
    <d v="2025-12-01T00:00:00"/>
    <s v="nampd3@viettel.com.vn"/>
    <s v="thuyctl@viettel.com.vn"/>
    <s v="PO-00008"/>
    <n v="616175457"/>
    <n v="123726364"/>
    <n v="114778868"/>
    <n v="8947496"/>
    <n v="0"/>
    <n v="0"/>
    <n v="0"/>
    <m/>
    <m/>
    <m/>
    <m/>
    <m/>
    <m/>
    <m/>
    <m/>
    <n v="0"/>
    <n v="0"/>
    <n v="0"/>
    <n v="10041194"/>
    <n v="11226744"/>
    <n v="11421627"/>
    <n v="9985927"/>
    <n v="4353030"/>
    <n v="6959889"/>
    <n v="4488519"/>
    <n v="6657284"/>
    <n v="7359185"/>
    <n v="10427212"/>
    <n v="5476836"/>
    <n v="26381421"/>
    <n v="0"/>
    <n v="0"/>
    <m/>
    <m/>
  </r>
  <r>
    <s v=""/>
    <x v="3"/>
    <x v="12"/>
    <s v="TTKD"/>
    <x v="211"/>
    <s v="16000 MAY TINH"/>
    <x v="1"/>
    <x v="1"/>
    <x v="0"/>
    <m/>
    <n v="739901821"/>
    <d v="2024-04-01T00:00:00"/>
    <d v="2025-12-01T00:00:00"/>
    <m/>
    <m/>
    <s v="PO-00008"/>
    <n v="616175457"/>
    <n v="123726364"/>
    <n v="114778868"/>
    <n v="8947496"/>
    <m/>
    <n v="0"/>
    <n v="0"/>
    <m/>
    <m/>
    <m/>
    <m/>
    <m/>
    <m/>
    <m/>
    <m/>
    <m/>
    <m/>
    <m/>
    <n v="10041194"/>
    <n v="11226744"/>
    <n v="11421627"/>
    <n v="9985927"/>
    <n v="4353030"/>
    <n v="6959889"/>
    <n v="4488519"/>
    <n v="6657284"/>
    <n v="7359185"/>
    <n v="10427212"/>
    <n v="5476836"/>
    <n v="26381421"/>
    <m/>
    <n v="0"/>
    <n v="1491249.3333333333"/>
    <n v="4100935.6666666665"/>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PHÂN_BỔ" xr10:uid="{00000000-0013-0000-FFFF-FFFF01000000}" sourceName="TÌNH TRẠNG PHÂN BỔ">
  <data>
    <tabular pivotCacheId="9">
      <items count="3">
        <i x="1"/>
        <i x="0" s="1"/>
        <i x="2"/>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ÌNH TRẠNG PHÂN BỔ" xr10:uid="{00000000-0014-0000-FFFF-FFFF01000000}" cache="Slicer_TÌNH_TRẠNG_PHÂN_BỔ" caption="TÌNH TRẠNG PHÂN BỔ" style="SlicerStyleOther1"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s>
</file>

<file path=xl/worksheets/_rels/sheet5.xml.rels><?xml version="1.0" encoding="UTF-8" standalone="yes"?>
<Relationships xmlns="http://schemas.openxmlformats.org/package/2006/relationships"><Relationship Id="rId26" Type="http://schemas.openxmlformats.org/officeDocument/2006/relationships/ctrlProp" Target="../ctrlProps/ctrlProp51.xml"/><Relationship Id="rId21" Type="http://schemas.openxmlformats.org/officeDocument/2006/relationships/ctrlProp" Target="../ctrlProps/ctrlProp46.xml"/><Relationship Id="rId42" Type="http://schemas.openxmlformats.org/officeDocument/2006/relationships/ctrlProp" Target="../ctrlProps/ctrlProp67.xml"/><Relationship Id="rId47" Type="http://schemas.openxmlformats.org/officeDocument/2006/relationships/ctrlProp" Target="../ctrlProps/ctrlProp72.xml"/><Relationship Id="rId63" Type="http://schemas.openxmlformats.org/officeDocument/2006/relationships/ctrlProp" Target="../ctrlProps/ctrlProp88.xml"/><Relationship Id="rId68" Type="http://schemas.openxmlformats.org/officeDocument/2006/relationships/ctrlProp" Target="../ctrlProps/ctrlProp93.xml"/><Relationship Id="rId84" Type="http://schemas.openxmlformats.org/officeDocument/2006/relationships/ctrlProp" Target="../ctrlProps/ctrlProp109.xml"/><Relationship Id="rId89" Type="http://schemas.openxmlformats.org/officeDocument/2006/relationships/ctrlProp" Target="../ctrlProps/ctrlProp114.xml"/><Relationship Id="rId7" Type="http://schemas.openxmlformats.org/officeDocument/2006/relationships/ctrlProp" Target="../ctrlProps/ctrlProp32.xml"/><Relationship Id="rId71" Type="http://schemas.openxmlformats.org/officeDocument/2006/relationships/ctrlProp" Target="../ctrlProps/ctrlProp96.xml"/><Relationship Id="rId92" Type="http://schemas.openxmlformats.org/officeDocument/2006/relationships/ctrlProp" Target="../ctrlProps/ctrlProp117.xml"/><Relationship Id="rId2" Type="http://schemas.openxmlformats.org/officeDocument/2006/relationships/drawing" Target="../drawings/drawing3.xml"/><Relationship Id="rId16" Type="http://schemas.openxmlformats.org/officeDocument/2006/relationships/ctrlProp" Target="../ctrlProps/ctrlProp41.xml"/><Relationship Id="rId29" Type="http://schemas.openxmlformats.org/officeDocument/2006/relationships/ctrlProp" Target="../ctrlProps/ctrlProp54.xml"/><Relationship Id="rId11" Type="http://schemas.openxmlformats.org/officeDocument/2006/relationships/ctrlProp" Target="../ctrlProps/ctrlProp36.xml"/><Relationship Id="rId24" Type="http://schemas.openxmlformats.org/officeDocument/2006/relationships/ctrlProp" Target="../ctrlProps/ctrlProp49.xml"/><Relationship Id="rId32" Type="http://schemas.openxmlformats.org/officeDocument/2006/relationships/ctrlProp" Target="../ctrlProps/ctrlProp57.xml"/><Relationship Id="rId37" Type="http://schemas.openxmlformats.org/officeDocument/2006/relationships/ctrlProp" Target="../ctrlProps/ctrlProp62.xml"/><Relationship Id="rId40" Type="http://schemas.openxmlformats.org/officeDocument/2006/relationships/ctrlProp" Target="../ctrlProps/ctrlProp65.xml"/><Relationship Id="rId45" Type="http://schemas.openxmlformats.org/officeDocument/2006/relationships/ctrlProp" Target="../ctrlProps/ctrlProp70.xml"/><Relationship Id="rId53" Type="http://schemas.openxmlformats.org/officeDocument/2006/relationships/ctrlProp" Target="../ctrlProps/ctrlProp78.xml"/><Relationship Id="rId58" Type="http://schemas.openxmlformats.org/officeDocument/2006/relationships/ctrlProp" Target="../ctrlProps/ctrlProp83.xml"/><Relationship Id="rId66" Type="http://schemas.openxmlformats.org/officeDocument/2006/relationships/ctrlProp" Target="../ctrlProps/ctrlProp91.xml"/><Relationship Id="rId74" Type="http://schemas.openxmlformats.org/officeDocument/2006/relationships/ctrlProp" Target="../ctrlProps/ctrlProp99.xml"/><Relationship Id="rId79" Type="http://schemas.openxmlformats.org/officeDocument/2006/relationships/ctrlProp" Target="../ctrlProps/ctrlProp104.xml"/><Relationship Id="rId87" Type="http://schemas.openxmlformats.org/officeDocument/2006/relationships/ctrlProp" Target="../ctrlProps/ctrlProp112.xml"/><Relationship Id="rId102" Type="http://schemas.openxmlformats.org/officeDocument/2006/relationships/ctrlProp" Target="../ctrlProps/ctrlProp127.xml"/><Relationship Id="rId5" Type="http://schemas.openxmlformats.org/officeDocument/2006/relationships/ctrlProp" Target="../ctrlProps/ctrlProp30.xml"/><Relationship Id="rId61" Type="http://schemas.openxmlformats.org/officeDocument/2006/relationships/ctrlProp" Target="../ctrlProps/ctrlProp86.xml"/><Relationship Id="rId82" Type="http://schemas.openxmlformats.org/officeDocument/2006/relationships/ctrlProp" Target="../ctrlProps/ctrlProp107.xml"/><Relationship Id="rId90" Type="http://schemas.openxmlformats.org/officeDocument/2006/relationships/ctrlProp" Target="../ctrlProps/ctrlProp115.xml"/><Relationship Id="rId95" Type="http://schemas.openxmlformats.org/officeDocument/2006/relationships/ctrlProp" Target="../ctrlProps/ctrlProp120.xml"/><Relationship Id="rId19" Type="http://schemas.openxmlformats.org/officeDocument/2006/relationships/ctrlProp" Target="../ctrlProps/ctrlProp44.xml"/><Relationship Id="rId14" Type="http://schemas.openxmlformats.org/officeDocument/2006/relationships/ctrlProp" Target="../ctrlProps/ctrlProp39.xml"/><Relationship Id="rId22" Type="http://schemas.openxmlformats.org/officeDocument/2006/relationships/ctrlProp" Target="../ctrlProps/ctrlProp47.xml"/><Relationship Id="rId27" Type="http://schemas.openxmlformats.org/officeDocument/2006/relationships/ctrlProp" Target="../ctrlProps/ctrlProp52.xml"/><Relationship Id="rId30" Type="http://schemas.openxmlformats.org/officeDocument/2006/relationships/ctrlProp" Target="../ctrlProps/ctrlProp55.xml"/><Relationship Id="rId35" Type="http://schemas.openxmlformats.org/officeDocument/2006/relationships/ctrlProp" Target="../ctrlProps/ctrlProp60.xml"/><Relationship Id="rId43" Type="http://schemas.openxmlformats.org/officeDocument/2006/relationships/ctrlProp" Target="../ctrlProps/ctrlProp68.xml"/><Relationship Id="rId48" Type="http://schemas.openxmlformats.org/officeDocument/2006/relationships/ctrlProp" Target="../ctrlProps/ctrlProp73.xml"/><Relationship Id="rId56" Type="http://schemas.openxmlformats.org/officeDocument/2006/relationships/ctrlProp" Target="../ctrlProps/ctrlProp81.xml"/><Relationship Id="rId64" Type="http://schemas.openxmlformats.org/officeDocument/2006/relationships/ctrlProp" Target="../ctrlProps/ctrlProp89.xml"/><Relationship Id="rId69" Type="http://schemas.openxmlformats.org/officeDocument/2006/relationships/ctrlProp" Target="../ctrlProps/ctrlProp94.xml"/><Relationship Id="rId77" Type="http://schemas.openxmlformats.org/officeDocument/2006/relationships/ctrlProp" Target="../ctrlProps/ctrlProp102.xml"/><Relationship Id="rId100" Type="http://schemas.openxmlformats.org/officeDocument/2006/relationships/ctrlProp" Target="../ctrlProps/ctrlProp125.xml"/><Relationship Id="rId8" Type="http://schemas.openxmlformats.org/officeDocument/2006/relationships/ctrlProp" Target="../ctrlProps/ctrlProp33.xml"/><Relationship Id="rId51" Type="http://schemas.openxmlformats.org/officeDocument/2006/relationships/ctrlProp" Target="../ctrlProps/ctrlProp76.xml"/><Relationship Id="rId72" Type="http://schemas.openxmlformats.org/officeDocument/2006/relationships/ctrlProp" Target="../ctrlProps/ctrlProp97.xml"/><Relationship Id="rId80" Type="http://schemas.openxmlformats.org/officeDocument/2006/relationships/ctrlProp" Target="../ctrlProps/ctrlProp105.xml"/><Relationship Id="rId85" Type="http://schemas.openxmlformats.org/officeDocument/2006/relationships/ctrlProp" Target="../ctrlProps/ctrlProp110.xml"/><Relationship Id="rId93" Type="http://schemas.openxmlformats.org/officeDocument/2006/relationships/ctrlProp" Target="../ctrlProps/ctrlProp118.xml"/><Relationship Id="rId98" Type="http://schemas.openxmlformats.org/officeDocument/2006/relationships/ctrlProp" Target="../ctrlProps/ctrlProp123.xml"/><Relationship Id="rId3" Type="http://schemas.openxmlformats.org/officeDocument/2006/relationships/vmlDrawing" Target="../drawings/vmlDrawing2.vml"/><Relationship Id="rId12" Type="http://schemas.openxmlformats.org/officeDocument/2006/relationships/ctrlProp" Target="../ctrlProps/ctrlProp37.xml"/><Relationship Id="rId17" Type="http://schemas.openxmlformats.org/officeDocument/2006/relationships/ctrlProp" Target="../ctrlProps/ctrlProp42.xml"/><Relationship Id="rId25" Type="http://schemas.openxmlformats.org/officeDocument/2006/relationships/ctrlProp" Target="../ctrlProps/ctrlProp50.xml"/><Relationship Id="rId33" Type="http://schemas.openxmlformats.org/officeDocument/2006/relationships/ctrlProp" Target="../ctrlProps/ctrlProp58.xml"/><Relationship Id="rId38" Type="http://schemas.openxmlformats.org/officeDocument/2006/relationships/ctrlProp" Target="../ctrlProps/ctrlProp63.xml"/><Relationship Id="rId46" Type="http://schemas.openxmlformats.org/officeDocument/2006/relationships/ctrlProp" Target="../ctrlProps/ctrlProp71.xml"/><Relationship Id="rId59" Type="http://schemas.openxmlformats.org/officeDocument/2006/relationships/ctrlProp" Target="../ctrlProps/ctrlProp84.xml"/><Relationship Id="rId67" Type="http://schemas.openxmlformats.org/officeDocument/2006/relationships/ctrlProp" Target="../ctrlProps/ctrlProp92.xml"/><Relationship Id="rId103" Type="http://schemas.openxmlformats.org/officeDocument/2006/relationships/ctrlProp" Target="../ctrlProps/ctrlProp128.xml"/><Relationship Id="rId20" Type="http://schemas.openxmlformats.org/officeDocument/2006/relationships/ctrlProp" Target="../ctrlProps/ctrlProp45.xml"/><Relationship Id="rId41" Type="http://schemas.openxmlformats.org/officeDocument/2006/relationships/ctrlProp" Target="../ctrlProps/ctrlProp66.xml"/><Relationship Id="rId54" Type="http://schemas.openxmlformats.org/officeDocument/2006/relationships/ctrlProp" Target="../ctrlProps/ctrlProp79.xml"/><Relationship Id="rId62" Type="http://schemas.openxmlformats.org/officeDocument/2006/relationships/ctrlProp" Target="../ctrlProps/ctrlProp87.xml"/><Relationship Id="rId70" Type="http://schemas.openxmlformats.org/officeDocument/2006/relationships/ctrlProp" Target="../ctrlProps/ctrlProp95.xml"/><Relationship Id="rId75" Type="http://schemas.openxmlformats.org/officeDocument/2006/relationships/ctrlProp" Target="../ctrlProps/ctrlProp100.xml"/><Relationship Id="rId83" Type="http://schemas.openxmlformats.org/officeDocument/2006/relationships/ctrlProp" Target="../ctrlProps/ctrlProp108.xml"/><Relationship Id="rId88" Type="http://schemas.openxmlformats.org/officeDocument/2006/relationships/ctrlProp" Target="../ctrlProps/ctrlProp113.xml"/><Relationship Id="rId91" Type="http://schemas.openxmlformats.org/officeDocument/2006/relationships/ctrlProp" Target="../ctrlProps/ctrlProp116.xml"/><Relationship Id="rId96" Type="http://schemas.openxmlformats.org/officeDocument/2006/relationships/ctrlProp" Target="../ctrlProps/ctrlProp121.xml"/><Relationship Id="rId1" Type="http://schemas.openxmlformats.org/officeDocument/2006/relationships/printerSettings" Target="../printerSettings/printerSettings3.bin"/><Relationship Id="rId6" Type="http://schemas.openxmlformats.org/officeDocument/2006/relationships/ctrlProp" Target="../ctrlProps/ctrlProp31.xml"/><Relationship Id="rId15" Type="http://schemas.openxmlformats.org/officeDocument/2006/relationships/ctrlProp" Target="../ctrlProps/ctrlProp40.xml"/><Relationship Id="rId23" Type="http://schemas.openxmlformats.org/officeDocument/2006/relationships/ctrlProp" Target="../ctrlProps/ctrlProp48.xml"/><Relationship Id="rId28" Type="http://schemas.openxmlformats.org/officeDocument/2006/relationships/ctrlProp" Target="../ctrlProps/ctrlProp53.xml"/><Relationship Id="rId36" Type="http://schemas.openxmlformats.org/officeDocument/2006/relationships/ctrlProp" Target="../ctrlProps/ctrlProp61.xml"/><Relationship Id="rId49" Type="http://schemas.openxmlformats.org/officeDocument/2006/relationships/ctrlProp" Target="../ctrlProps/ctrlProp74.xml"/><Relationship Id="rId57" Type="http://schemas.openxmlformats.org/officeDocument/2006/relationships/ctrlProp" Target="../ctrlProps/ctrlProp82.xml"/><Relationship Id="rId10" Type="http://schemas.openxmlformats.org/officeDocument/2006/relationships/ctrlProp" Target="../ctrlProps/ctrlProp35.xml"/><Relationship Id="rId31" Type="http://schemas.openxmlformats.org/officeDocument/2006/relationships/ctrlProp" Target="../ctrlProps/ctrlProp56.xml"/><Relationship Id="rId44" Type="http://schemas.openxmlformats.org/officeDocument/2006/relationships/ctrlProp" Target="../ctrlProps/ctrlProp69.xml"/><Relationship Id="rId52" Type="http://schemas.openxmlformats.org/officeDocument/2006/relationships/ctrlProp" Target="../ctrlProps/ctrlProp77.xml"/><Relationship Id="rId60" Type="http://schemas.openxmlformats.org/officeDocument/2006/relationships/ctrlProp" Target="../ctrlProps/ctrlProp85.xml"/><Relationship Id="rId65" Type="http://schemas.openxmlformats.org/officeDocument/2006/relationships/ctrlProp" Target="../ctrlProps/ctrlProp90.xml"/><Relationship Id="rId73" Type="http://schemas.openxmlformats.org/officeDocument/2006/relationships/ctrlProp" Target="../ctrlProps/ctrlProp98.xml"/><Relationship Id="rId78" Type="http://schemas.openxmlformats.org/officeDocument/2006/relationships/ctrlProp" Target="../ctrlProps/ctrlProp103.xml"/><Relationship Id="rId81" Type="http://schemas.openxmlformats.org/officeDocument/2006/relationships/ctrlProp" Target="../ctrlProps/ctrlProp106.xml"/><Relationship Id="rId86" Type="http://schemas.openxmlformats.org/officeDocument/2006/relationships/ctrlProp" Target="../ctrlProps/ctrlProp111.xml"/><Relationship Id="rId94" Type="http://schemas.openxmlformats.org/officeDocument/2006/relationships/ctrlProp" Target="../ctrlProps/ctrlProp119.xml"/><Relationship Id="rId99" Type="http://schemas.openxmlformats.org/officeDocument/2006/relationships/ctrlProp" Target="../ctrlProps/ctrlProp124.xml"/><Relationship Id="rId101" Type="http://schemas.openxmlformats.org/officeDocument/2006/relationships/ctrlProp" Target="../ctrlProps/ctrlProp126.xml"/><Relationship Id="rId4" Type="http://schemas.openxmlformats.org/officeDocument/2006/relationships/ctrlProp" Target="../ctrlProps/ctrlProp29.xml"/><Relationship Id="rId9" Type="http://schemas.openxmlformats.org/officeDocument/2006/relationships/ctrlProp" Target="../ctrlProps/ctrlProp34.xml"/><Relationship Id="rId13" Type="http://schemas.openxmlformats.org/officeDocument/2006/relationships/ctrlProp" Target="../ctrlProps/ctrlProp38.xml"/><Relationship Id="rId18" Type="http://schemas.openxmlformats.org/officeDocument/2006/relationships/ctrlProp" Target="../ctrlProps/ctrlProp43.xml"/><Relationship Id="rId39" Type="http://schemas.openxmlformats.org/officeDocument/2006/relationships/ctrlProp" Target="../ctrlProps/ctrlProp64.xml"/><Relationship Id="rId34" Type="http://schemas.openxmlformats.org/officeDocument/2006/relationships/ctrlProp" Target="../ctrlProps/ctrlProp59.xml"/><Relationship Id="rId50" Type="http://schemas.openxmlformats.org/officeDocument/2006/relationships/ctrlProp" Target="../ctrlProps/ctrlProp75.xml"/><Relationship Id="rId55" Type="http://schemas.openxmlformats.org/officeDocument/2006/relationships/ctrlProp" Target="../ctrlProps/ctrlProp80.xml"/><Relationship Id="rId76" Type="http://schemas.openxmlformats.org/officeDocument/2006/relationships/ctrlProp" Target="../ctrlProps/ctrlProp101.xml"/><Relationship Id="rId97" Type="http://schemas.openxmlformats.org/officeDocument/2006/relationships/ctrlProp" Target="../ctrlProps/ctrlProp12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7.bin"/><Relationship Id="rId5" Type="http://schemas.openxmlformats.org/officeDocument/2006/relationships/comments" Target="../comments4.xml"/><Relationship Id="rId4" Type="http://schemas.microsoft.com/office/2007/relationships/slicer" Target="../slicers/slicer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hyperlink" Target="mailto:halt73@viettel.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30"/>
  <sheetViews>
    <sheetView topLeftCell="A13" zoomScale="85" zoomScaleNormal="85" workbookViewId="0">
      <selection activeCell="G24" sqref="G24"/>
    </sheetView>
  </sheetViews>
  <sheetFormatPr defaultColWidth="12.5703125" defaultRowHeight="12.75"/>
  <cols>
    <col min="1" max="1" width="6.5703125" style="4" customWidth="1"/>
    <col min="2" max="2" width="33" style="11" customWidth="1"/>
    <col min="3" max="3" width="29.42578125" customWidth="1"/>
    <col min="4" max="4" width="45.85546875" customWidth="1"/>
  </cols>
  <sheetData>
    <row r="1" spans="1:5" ht="15.75">
      <c r="A1" s="5" t="s">
        <v>36</v>
      </c>
      <c r="B1" s="6" t="s">
        <v>2</v>
      </c>
      <c r="C1" s="6" t="s">
        <v>0</v>
      </c>
      <c r="D1" s="6" t="s">
        <v>1</v>
      </c>
    </row>
    <row r="2" spans="1:5" ht="15.75">
      <c r="A2" s="7" t="s">
        <v>37</v>
      </c>
      <c r="B2" s="10" t="s">
        <v>3</v>
      </c>
      <c r="C2" s="8"/>
      <c r="D2" s="8"/>
    </row>
    <row r="3" spans="1:5" ht="31.5">
      <c r="A3" s="7">
        <v>1</v>
      </c>
      <c r="B3" s="10"/>
      <c r="C3" s="8" t="s">
        <v>4</v>
      </c>
      <c r="D3" s="8" t="s">
        <v>5</v>
      </c>
      <c r="E3" s="13"/>
    </row>
    <row r="4" spans="1:5" ht="63">
      <c r="A4" s="7">
        <v>2</v>
      </c>
      <c r="B4" s="10"/>
      <c r="C4" s="8" t="s">
        <v>6</v>
      </c>
      <c r="D4" s="8" t="s">
        <v>7</v>
      </c>
    </row>
    <row r="5" spans="1:5" ht="31.5">
      <c r="A5" s="7">
        <v>3</v>
      </c>
      <c r="B5" s="10"/>
      <c r="C5" s="8" t="s">
        <v>8</v>
      </c>
      <c r="D5" s="8" t="s">
        <v>9</v>
      </c>
    </row>
    <row r="6" spans="1:5" ht="31.5">
      <c r="A6" s="7">
        <v>4</v>
      </c>
      <c r="B6" s="10"/>
      <c r="C6" s="8" t="s">
        <v>10</v>
      </c>
      <c r="D6" s="8" t="s">
        <v>46</v>
      </c>
    </row>
    <row r="7" spans="1:5" ht="15.75">
      <c r="A7" s="7" t="s">
        <v>38</v>
      </c>
      <c r="B7" s="10" t="s">
        <v>11</v>
      </c>
      <c r="C7" s="8"/>
      <c r="D7" s="8"/>
    </row>
    <row r="8" spans="1:5" ht="15.75">
      <c r="A8" s="7">
        <v>1</v>
      </c>
      <c r="B8" s="10"/>
      <c r="C8" s="8" t="s">
        <v>12</v>
      </c>
      <c r="D8" s="8"/>
    </row>
    <row r="9" spans="1:5" ht="31.5">
      <c r="A9" s="7">
        <v>2</v>
      </c>
      <c r="B9" s="10"/>
      <c r="C9" s="8" t="s">
        <v>13</v>
      </c>
      <c r="D9" s="8"/>
    </row>
    <row r="10" spans="1:5" ht="15.75">
      <c r="A10" s="7">
        <v>3</v>
      </c>
      <c r="B10" s="10"/>
      <c r="C10" s="8" t="s">
        <v>14</v>
      </c>
      <c r="D10" s="8"/>
    </row>
    <row r="11" spans="1:5" ht="15.75">
      <c r="A11" s="7" t="s">
        <v>39</v>
      </c>
      <c r="B11" s="10" t="s">
        <v>15</v>
      </c>
      <c r="C11" s="8"/>
      <c r="D11" s="8"/>
    </row>
    <row r="12" spans="1:5" ht="47.25">
      <c r="A12" s="7">
        <v>1</v>
      </c>
      <c r="B12" s="10"/>
      <c r="C12" s="8" t="s">
        <v>44</v>
      </c>
      <c r="D12" s="8"/>
    </row>
    <row r="13" spans="1:5" ht="94.5">
      <c r="A13" s="7">
        <v>2</v>
      </c>
      <c r="B13" s="10"/>
      <c r="C13" s="9" t="s">
        <v>16</v>
      </c>
      <c r="D13" s="14" t="s">
        <v>45</v>
      </c>
    </row>
    <row r="14" spans="1:5" ht="15.75">
      <c r="A14" s="7"/>
      <c r="B14" s="10"/>
      <c r="C14" s="9"/>
      <c r="D14" s="8"/>
    </row>
    <row r="15" spans="1:5" ht="15.75">
      <c r="A15" s="7" t="s">
        <v>40</v>
      </c>
      <c r="B15" s="10" t="s">
        <v>17</v>
      </c>
      <c r="C15" s="8"/>
      <c r="D15" s="8"/>
    </row>
    <row r="16" spans="1:5" ht="47.25">
      <c r="A16" s="7">
        <v>1</v>
      </c>
      <c r="B16" s="10"/>
      <c r="C16" s="8" t="s">
        <v>18</v>
      </c>
      <c r="D16" s="8" t="s">
        <v>19</v>
      </c>
    </row>
    <row r="17" spans="1:4" ht="31.5">
      <c r="A17" s="7">
        <v>2</v>
      </c>
      <c r="B17" s="10"/>
      <c r="C17" s="8" t="s">
        <v>20</v>
      </c>
      <c r="D17" s="8" t="s">
        <v>21</v>
      </c>
    </row>
    <row r="18" spans="1:4" ht="47.25">
      <c r="A18" s="7" t="s">
        <v>41</v>
      </c>
      <c r="B18" s="10" t="s">
        <v>22</v>
      </c>
      <c r="C18" s="8"/>
      <c r="D18" s="8"/>
    </row>
    <row r="19" spans="1:4" ht="15.75">
      <c r="A19" s="7">
        <v>1</v>
      </c>
      <c r="B19" s="10"/>
      <c r="C19" s="8" t="s">
        <v>23</v>
      </c>
      <c r="D19" s="8"/>
    </row>
    <row r="20" spans="1:4" ht="15.75">
      <c r="A20" s="7">
        <v>2</v>
      </c>
      <c r="B20" s="10"/>
      <c r="C20" s="8" t="s">
        <v>24</v>
      </c>
      <c r="D20" s="8"/>
    </row>
    <row r="21" spans="1:4" ht="15.75">
      <c r="A21" s="7">
        <v>3</v>
      </c>
      <c r="B21" s="10"/>
      <c r="C21" s="8" t="s">
        <v>25</v>
      </c>
      <c r="D21" s="8"/>
    </row>
    <row r="22" spans="1:4" ht="15.75">
      <c r="A22" s="7" t="s">
        <v>42</v>
      </c>
      <c r="B22" s="10" t="s">
        <v>26</v>
      </c>
      <c r="C22" s="8"/>
      <c r="D22" s="8"/>
    </row>
    <row r="23" spans="1:4" ht="15.75">
      <c r="A23" s="7">
        <v>1</v>
      </c>
      <c r="B23" s="10"/>
      <c r="C23" s="8" t="s">
        <v>27</v>
      </c>
      <c r="D23" s="8"/>
    </row>
    <row r="24" spans="1:4" ht="47.25">
      <c r="A24" s="7">
        <v>2</v>
      </c>
      <c r="B24" s="10"/>
      <c r="C24" s="8" t="s">
        <v>28</v>
      </c>
      <c r="D24" s="8" t="s">
        <v>29</v>
      </c>
    </row>
    <row r="25" spans="1:4" ht="15.75">
      <c r="A25" s="7" t="s">
        <v>43</v>
      </c>
      <c r="B25" s="10" t="s">
        <v>30</v>
      </c>
      <c r="D25" s="8"/>
    </row>
    <row r="26" spans="1:4" ht="31.5">
      <c r="A26" s="7">
        <v>1</v>
      </c>
      <c r="B26" s="10"/>
      <c r="C26" s="8" t="s">
        <v>31</v>
      </c>
      <c r="D26" s="8"/>
    </row>
    <row r="27" spans="1:4" ht="31.5">
      <c r="A27" s="7">
        <v>2</v>
      </c>
      <c r="B27" s="10"/>
      <c r="C27" s="8" t="s">
        <v>32</v>
      </c>
      <c r="D27" s="8"/>
    </row>
    <row r="28" spans="1:4" ht="15.75">
      <c r="A28" s="7">
        <v>3</v>
      </c>
      <c r="B28" s="10"/>
      <c r="C28" s="8" t="s">
        <v>33</v>
      </c>
      <c r="D28" s="8"/>
    </row>
    <row r="29" spans="1:4" ht="31.5">
      <c r="A29" s="7">
        <v>4</v>
      </c>
      <c r="B29" s="10"/>
      <c r="C29" s="8" t="s">
        <v>34</v>
      </c>
      <c r="D29" s="8"/>
    </row>
    <row r="30" spans="1:4" ht="31.5">
      <c r="A30" s="7">
        <v>5</v>
      </c>
      <c r="B30" s="12"/>
      <c r="C30" s="8" t="s">
        <v>35</v>
      </c>
      <c r="D3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CE973-CF90-4DA2-8743-19454DC6C732}">
  <sheetPr filterMode="1">
    <tabColor theme="8" tint="-0.499984740745262"/>
  </sheetPr>
  <dimension ref="A1:C148"/>
  <sheetViews>
    <sheetView topLeftCell="A52" workbookViewId="0">
      <selection activeCell="B146" sqref="B146"/>
    </sheetView>
  </sheetViews>
  <sheetFormatPr defaultRowHeight="12.75"/>
  <cols>
    <col min="1" max="1" width="12.85546875" customWidth="1"/>
    <col min="2" max="2" width="44.42578125" customWidth="1"/>
    <col min="3" max="3" width="43" customWidth="1"/>
  </cols>
  <sheetData>
    <row r="1" spans="1:3">
      <c r="A1" s="13" t="s">
        <v>2</v>
      </c>
      <c r="B1" s="13" t="s">
        <v>3512</v>
      </c>
      <c r="C1" s="13" t="s">
        <v>61</v>
      </c>
    </row>
    <row r="2" spans="1:3" ht="31.5">
      <c r="A2" s="641" t="s">
        <v>3436</v>
      </c>
      <c r="B2" s="642" t="s">
        <v>386</v>
      </c>
      <c r="C2" s="643" t="s">
        <v>3437</v>
      </c>
    </row>
    <row r="3" spans="1:3" ht="15.75" hidden="1">
      <c r="A3" s="644" t="s">
        <v>3436</v>
      </c>
      <c r="B3" s="645" t="s">
        <v>3438</v>
      </c>
      <c r="C3" s="646"/>
    </row>
    <row r="4" spans="1:3" ht="15.75" hidden="1">
      <c r="A4" s="644" t="s">
        <v>3436</v>
      </c>
      <c r="B4" s="645" t="s">
        <v>3439</v>
      </c>
      <c r="C4" s="646"/>
    </row>
    <row r="5" spans="1:3" ht="15.75" hidden="1">
      <c r="A5" s="644" t="s">
        <v>3436</v>
      </c>
      <c r="B5" s="645" t="s">
        <v>3440</v>
      </c>
      <c r="C5" s="646"/>
    </row>
    <row r="6" spans="1:3" ht="15.75" hidden="1">
      <c r="A6" s="644" t="s">
        <v>3436</v>
      </c>
      <c r="B6" s="645" t="s">
        <v>3441</v>
      </c>
      <c r="C6" s="646"/>
    </row>
    <row r="7" spans="1:3" ht="15.75">
      <c r="A7" s="644" t="s">
        <v>3436</v>
      </c>
      <c r="B7" s="642" t="s">
        <v>58</v>
      </c>
      <c r="C7" s="643" t="s">
        <v>3442</v>
      </c>
    </row>
    <row r="8" spans="1:3" ht="15.75" hidden="1">
      <c r="A8" s="644" t="s">
        <v>3436</v>
      </c>
      <c r="B8" s="645" t="s">
        <v>3438</v>
      </c>
      <c r="C8" s="646"/>
    </row>
    <row r="9" spans="1:3" ht="15.75" hidden="1">
      <c r="A9" s="644" t="s">
        <v>3436</v>
      </c>
      <c r="B9" s="645" t="s">
        <v>3439</v>
      </c>
      <c r="C9" s="646"/>
    </row>
    <row r="10" spans="1:3" ht="15.75" hidden="1">
      <c r="A10" s="644" t="s">
        <v>3436</v>
      </c>
      <c r="B10" s="645" t="s">
        <v>3440</v>
      </c>
      <c r="C10" s="646"/>
    </row>
    <row r="11" spans="1:3" ht="15.75" hidden="1">
      <c r="A11" s="644" t="s">
        <v>3436</v>
      </c>
      <c r="B11" s="645" t="s">
        <v>3441</v>
      </c>
      <c r="C11" s="646"/>
    </row>
    <row r="12" spans="1:3" ht="15.75">
      <c r="A12" s="644" t="s">
        <v>3436</v>
      </c>
      <c r="B12" s="642" t="s">
        <v>3443</v>
      </c>
      <c r="C12" s="643" t="s">
        <v>3444</v>
      </c>
    </row>
    <row r="13" spans="1:3" ht="15.75" hidden="1">
      <c r="A13" s="644" t="s">
        <v>3436</v>
      </c>
      <c r="B13" s="645" t="s">
        <v>3438</v>
      </c>
      <c r="C13" s="646"/>
    </row>
    <row r="14" spans="1:3" ht="15.75" hidden="1">
      <c r="A14" s="644" t="s">
        <v>3436</v>
      </c>
      <c r="B14" s="645" t="s">
        <v>3439</v>
      </c>
      <c r="C14" s="646"/>
    </row>
    <row r="15" spans="1:3" ht="15.75" hidden="1">
      <c r="A15" s="644" t="s">
        <v>3436</v>
      </c>
      <c r="B15" s="645" t="s">
        <v>3440</v>
      </c>
      <c r="C15" s="646"/>
    </row>
    <row r="16" spans="1:3" ht="15.75" hidden="1">
      <c r="A16" s="644" t="s">
        <v>3436</v>
      </c>
      <c r="B16" s="645" t="s">
        <v>3441</v>
      </c>
      <c r="C16" s="646"/>
    </row>
    <row r="17" spans="1:3" ht="15.75">
      <c r="A17" s="644" t="s">
        <v>3436</v>
      </c>
      <c r="B17" s="642" t="s">
        <v>3445</v>
      </c>
      <c r="C17" s="643"/>
    </row>
    <row r="18" spans="1:3" ht="15.75" hidden="1">
      <c r="A18" s="644" t="s">
        <v>3436</v>
      </c>
      <c r="B18" s="645" t="s">
        <v>3438</v>
      </c>
      <c r="C18" s="646"/>
    </row>
    <row r="19" spans="1:3" ht="15.75" hidden="1">
      <c r="A19" s="644" t="s">
        <v>3436</v>
      </c>
      <c r="B19" s="645" t="s">
        <v>3439</v>
      </c>
      <c r="C19" s="646"/>
    </row>
    <row r="20" spans="1:3" ht="18.75">
      <c r="A20" s="644" t="s">
        <v>3436</v>
      </c>
      <c r="B20" s="642" t="s">
        <v>3446</v>
      </c>
      <c r="C20" s="647"/>
    </row>
    <row r="21" spans="1:3" ht="15.75" hidden="1">
      <c r="A21" s="644" t="s">
        <v>3436</v>
      </c>
      <c r="B21" s="645" t="s">
        <v>3438</v>
      </c>
      <c r="C21" s="646"/>
    </row>
    <row r="22" spans="1:3" ht="15.75" hidden="1">
      <c r="A22" s="644" t="s">
        <v>3436</v>
      </c>
      <c r="B22" s="645" t="s">
        <v>3439</v>
      </c>
      <c r="C22" s="646"/>
    </row>
    <row r="23" spans="1:3" ht="15.75" hidden="1">
      <c r="A23" s="644" t="s">
        <v>3436</v>
      </c>
      <c r="B23" s="645" t="s">
        <v>3440</v>
      </c>
      <c r="C23" s="646"/>
    </row>
    <row r="24" spans="1:3" ht="15.75" hidden="1">
      <c r="A24" s="644" t="s">
        <v>3436</v>
      </c>
      <c r="B24" s="645" t="s">
        <v>3441</v>
      </c>
      <c r="C24" s="646"/>
    </row>
    <row r="25" spans="1:3" ht="18.75">
      <c r="A25" s="644" t="s">
        <v>3436</v>
      </c>
      <c r="B25" s="642" t="s">
        <v>3447</v>
      </c>
      <c r="C25" s="647"/>
    </row>
    <row r="26" spans="1:3" ht="15.75" hidden="1">
      <c r="A26" s="644" t="s">
        <v>3436</v>
      </c>
      <c r="B26" s="645" t="s">
        <v>3438</v>
      </c>
      <c r="C26" s="646"/>
    </row>
    <row r="27" spans="1:3" ht="15.75" hidden="1">
      <c r="A27" s="644" t="s">
        <v>3436</v>
      </c>
      <c r="B27" s="645" t="s">
        <v>3439</v>
      </c>
      <c r="C27" s="646"/>
    </row>
    <row r="28" spans="1:3" ht="15.75" hidden="1">
      <c r="A28" s="644" t="s">
        <v>3436</v>
      </c>
      <c r="B28" s="645" t="s">
        <v>3440</v>
      </c>
      <c r="C28" s="646"/>
    </row>
    <row r="29" spans="1:3" ht="15.75" hidden="1">
      <c r="A29" s="644" t="s">
        <v>3436</v>
      </c>
      <c r="B29" s="645" t="s">
        <v>3441</v>
      </c>
      <c r="C29" s="646"/>
    </row>
    <row r="30" spans="1:3" ht="18.75">
      <c r="A30" s="641" t="s">
        <v>3448</v>
      </c>
      <c r="B30" s="642" t="s">
        <v>3449</v>
      </c>
      <c r="C30" s="647"/>
    </row>
    <row r="31" spans="1:3" ht="15.75" hidden="1">
      <c r="A31" s="648" t="s">
        <v>3448</v>
      </c>
      <c r="B31" s="645" t="s">
        <v>3438</v>
      </c>
      <c r="C31" s="646"/>
    </row>
    <row r="32" spans="1:3" ht="15.75" hidden="1">
      <c r="A32" s="648" t="s">
        <v>3448</v>
      </c>
      <c r="B32" s="645" t="s">
        <v>3439</v>
      </c>
      <c r="C32" s="646"/>
    </row>
    <row r="33" spans="1:3" ht="15.75" hidden="1">
      <c r="A33" s="648" t="s">
        <v>3448</v>
      </c>
      <c r="B33" s="645" t="s">
        <v>3440</v>
      </c>
      <c r="C33" s="646"/>
    </row>
    <row r="34" spans="1:3" ht="15.75" hidden="1">
      <c r="A34" s="648" t="s">
        <v>3448</v>
      </c>
      <c r="B34" s="645" t="s">
        <v>3441</v>
      </c>
      <c r="C34" s="646"/>
    </row>
    <row r="35" spans="1:3" ht="15.75">
      <c r="A35" s="648" t="s">
        <v>3448</v>
      </c>
      <c r="B35" s="642" t="s">
        <v>3450</v>
      </c>
      <c r="C35" s="643" t="s">
        <v>3451</v>
      </c>
    </row>
    <row r="36" spans="1:3" ht="15.75" hidden="1">
      <c r="A36" s="648" t="s">
        <v>3448</v>
      </c>
      <c r="B36" s="645" t="s">
        <v>3438</v>
      </c>
      <c r="C36" s="646"/>
    </row>
    <row r="37" spans="1:3" ht="15.75" hidden="1">
      <c r="A37" s="648" t="s">
        <v>3448</v>
      </c>
      <c r="B37" s="645" t="s">
        <v>3439</v>
      </c>
      <c r="C37" s="646"/>
    </row>
    <row r="38" spans="1:3" ht="15.75" hidden="1">
      <c r="A38" s="648" t="s">
        <v>3448</v>
      </c>
      <c r="B38" s="645" t="s">
        <v>3440</v>
      </c>
      <c r="C38" s="646"/>
    </row>
    <row r="39" spans="1:3" ht="15.75" hidden="1">
      <c r="A39" s="648" t="s">
        <v>3448</v>
      </c>
      <c r="B39" s="645" t="s">
        <v>3441</v>
      </c>
      <c r="C39" s="646"/>
    </row>
    <row r="40" spans="1:3" ht="47.25">
      <c r="A40" s="648" t="s">
        <v>3448</v>
      </c>
      <c r="B40" s="642" t="s">
        <v>3452</v>
      </c>
      <c r="C40" s="649" t="s">
        <v>3453</v>
      </c>
    </row>
    <row r="41" spans="1:3" ht="15.75" hidden="1">
      <c r="A41" s="648" t="s">
        <v>3448</v>
      </c>
      <c r="B41" s="645" t="s">
        <v>3438</v>
      </c>
      <c r="C41" s="646"/>
    </row>
    <row r="42" spans="1:3" ht="15.75" hidden="1">
      <c r="A42" s="648" t="s">
        <v>3448</v>
      </c>
      <c r="B42" s="645" t="s">
        <v>3439</v>
      </c>
      <c r="C42" s="646"/>
    </row>
    <row r="43" spans="1:3" ht="15.75" hidden="1">
      <c r="A43" s="648" t="s">
        <v>3448</v>
      </c>
      <c r="B43" s="645" t="s">
        <v>3440</v>
      </c>
      <c r="C43" s="646"/>
    </row>
    <row r="44" spans="1:3" ht="15.75" hidden="1">
      <c r="A44" s="648" t="s">
        <v>3448</v>
      </c>
      <c r="B44" s="645" t="s">
        <v>3441</v>
      </c>
      <c r="C44" s="646"/>
    </row>
    <row r="45" spans="1:3" ht="31.5">
      <c r="A45" s="648" t="s">
        <v>3448</v>
      </c>
      <c r="B45" s="642" t="s">
        <v>3454</v>
      </c>
      <c r="C45" s="643" t="s">
        <v>3455</v>
      </c>
    </row>
    <row r="46" spans="1:3" ht="15.75" hidden="1">
      <c r="A46" s="648" t="s">
        <v>3448</v>
      </c>
      <c r="B46" s="650" t="s">
        <v>3456</v>
      </c>
      <c r="C46" s="650"/>
    </row>
    <row r="47" spans="1:3" ht="15.75" hidden="1">
      <c r="A47" s="648" t="s">
        <v>3448</v>
      </c>
      <c r="B47" s="645" t="s">
        <v>3438</v>
      </c>
      <c r="C47" s="646"/>
    </row>
    <row r="48" spans="1:3" ht="15.75" hidden="1">
      <c r="A48" s="648" t="s">
        <v>3448</v>
      </c>
      <c r="B48" s="645" t="s">
        <v>3439</v>
      </c>
      <c r="C48" s="646"/>
    </row>
    <row r="49" spans="1:3" ht="15.75" hidden="1">
      <c r="A49" s="648" t="s">
        <v>3448</v>
      </c>
      <c r="B49" s="645" t="s">
        <v>3440</v>
      </c>
      <c r="C49" s="646"/>
    </row>
    <row r="50" spans="1:3" ht="15.75" hidden="1">
      <c r="A50" s="648" t="s">
        <v>3448</v>
      </c>
      <c r="B50" s="645" t="s">
        <v>3441</v>
      </c>
      <c r="C50" s="646"/>
    </row>
    <row r="51" spans="1:3" ht="15.75" hidden="1">
      <c r="A51" s="648" t="s">
        <v>3448</v>
      </c>
      <c r="B51" s="650" t="s">
        <v>3457</v>
      </c>
      <c r="C51" s="650"/>
    </row>
    <row r="52" spans="1:3" ht="31.5">
      <c r="A52" s="648" t="s">
        <v>3448</v>
      </c>
      <c r="B52" s="642" t="s">
        <v>3458</v>
      </c>
      <c r="C52" s="643" t="s">
        <v>3459</v>
      </c>
    </row>
    <row r="53" spans="1:3" ht="15.75" hidden="1">
      <c r="A53" s="648" t="s">
        <v>3448</v>
      </c>
      <c r="B53" s="645" t="s">
        <v>3438</v>
      </c>
      <c r="C53" s="646"/>
    </row>
    <row r="54" spans="1:3" ht="15.75" hidden="1">
      <c r="A54" s="648" t="s">
        <v>3448</v>
      </c>
      <c r="B54" s="645" t="s">
        <v>3460</v>
      </c>
      <c r="C54" s="646"/>
    </row>
    <row r="55" spans="1:3" ht="15.75" hidden="1">
      <c r="A55" s="648" t="s">
        <v>3448</v>
      </c>
      <c r="B55" s="645" t="s">
        <v>3440</v>
      </c>
      <c r="C55" s="646"/>
    </row>
    <row r="56" spans="1:3" ht="47.25">
      <c r="A56" s="641" t="s">
        <v>3461</v>
      </c>
      <c r="B56" s="642" t="s">
        <v>3462</v>
      </c>
      <c r="C56" s="643" t="s">
        <v>3463</v>
      </c>
    </row>
    <row r="57" spans="1:3" ht="15.75" hidden="1">
      <c r="A57" s="644" t="s">
        <v>3461</v>
      </c>
      <c r="B57" s="645" t="s">
        <v>3438</v>
      </c>
      <c r="C57" s="646"/>
    </row>
    <row r="58" spans="1:3" ht="15.75" hidden="1">
      <c r="A58" s="644" t="s">
        <v>3461</v>
      </c>
      <c r="B58" s="645" t="s">
        <v>3439</v>
      </c>
      <c r="C58" s="646"/>
    </row>
    <row r="59" spans="1:3" ht="15.75" hidden="1">
      <c r="A59" s="644" t="s">
        <v>3461</v>
      </c>
      <c r="B59" s="645" t="s">
        <v>3440</v>
      </c>
      <c r="C59" s="646"/>
    </row>
    <row r="60" spans="1:3" ht="15.75" hidden="1">
      <c r="A60" s="644" t="s">
        <v>3461</v>
      </c>
      <c r="B60" s="645" t="s">
        <v>3441</v>
      </c>
      <c r="C60" s="646"/>
    </row>
    <row r="61" spans="1:3" ht="31.5">
      <c r="A61" s="644" t="s">
        <v>3461</v>
      </c>
      <c r="B61" s="642" t="s">
        <v>3464</v>
      </c>
      <c r="C61" s="643" t="s">
        <v>3465</v>
      </c>
    </row>
    <row r="62" spans="1:3" ht="15.75" hidden="1">
      <c r="A62" s="644" t="s">
        <v>3461</v>
      </c>
      <c r="B62" s="645" t="s">
        <v>3438</v>
      </c>
      <c r="C62" s="646"/>
    </row>
    <row r="63" spans="1:3" ht="15.75" hidden="1">
      <c r="A63" s="644" t="s">
        <v>3461</v>
      </c>
      <c r="B63" s="645" t="s">
        <v>3439</v>
      </c>
      <c r="C63" s="646"/>
    </row>
    <row r="64" spans="1:3" ht="15.75" hidden="1">
      <c r="A64" s="644" t="s">
        <v>3461</v>
      </c>
      <c r="B64" s="645" t="s">
        <v>3440</v>
      </c>
      <c r="C64" s="646"/>
    </row>
    <row r="65" spans="1:3" ht="15.75" hidden="1">
      <c r="A65" s="644" t="s">
        <v>3461</v>
      </c>
      <c r="B65" s="645" t="s">
        <v>3441</v>
      </c>
      <c r="C65" s="646"/>
    </row>
    <row r="66" spans="1:3" ht="31.5">
      <c r="A66" s="644" t="s">
        <v>3461</v>
      </c>
      <c r="B66" s="642" t="s">
        <v>3466</v>
      </c>
      <c r="C66" s="643" t="s">
        <v>3467</v>
      </c>
    </row>
    <row r="67" spans="1:3" ht="15.75" hidden="1">
      <c r="A67" s="644" t="s">
        <v>3461</v>
      </c>
      <c r="B67" s="645" t="s">
        <v>3438</v>
      </c>
      <c r="C67" s="646"/>
    </row>
    <row r="68" spans="1:3" ht="15.75" hidden="1">
      <c r="A68" s="644" t="s">
        <v>3461</v>
      </c>
      <c r="B68" s="645" t="s">
        <v>3439</v>
      </c>
      <c r="C68" s="646"/>
    </row>
    <row r="69" spans="1:3" ht="15.75" hidden="1">
      <c r="A69" s="644" t="s">
        <v>3461</v>
      </c>
      <c r="B69" s="645" t="s">
        <v>3440</v>
      </c>
      <c r="C69" s="646"/>
    </row>
    <row r="70" spans="1:3" ht="15.75" hidden="1">
      <c r="A70" s="644" t="s">
        <v>3461</v>
      </c>
      <c r="B70" s="645" t="s">
        <v>3441</v>
      </c>
      <c r="C70" s="646"/>
    </row>
    <row r="71" spans="1:3" ht="15.75">
      <c r="A71" s="641" t="s">
        <v>3468</v>
      </c>
      <c r="B71" s="642" t="s">
        <v>3469</v>
      </c>
      <c r="C71" s="643" t="s">
        <v>3470</v>
      </c>
    </row>
    <row r="72" spans="1:3" ht="15.75" hidden="1">
      <c r="A72" s="644" t="s">
        <v>3468</v>
      </c>
      <c r="B72" s="645" t="s">
        <v>3438</v>
      </c>
      <c r="C72" s="646"/>
    </row>
    <row r="73" spans="1:3" ht="15.75" hidden="1">
      <c r="A73" s="644" t="s">
        <v>3468</v>
      </c>
      <c r="B73" s="645" t="s">
        <v>3471</v>
      </c>
      <c r="C73" s="646"/>
    </row>
    <row r="74" spans="1:3" ht="15.75" hidden="1">
      <c r="A74" s="644" t="s">
        <v>3468</v>
      </c>
      <c r="B74" s="645" t="s">
        <v>3440</v>
      </c>
      <c r="C74" s="646"/>
    </row>
    <row r="75" spans="1:3" ht="15.75" hidden="1">
      <c r="A75" s="644" t="s">
        <v>3468</v>
      </c>
      <c r="B75" s="645" t="s">
        <v>3472</v>
      </c>
      <c r="C75" s="646"/>
    </row>
    <row r="76" spans="1:3" ht="31.5">
      <c r="A76" s="644" t="s">
        <v>3468</v>
      </c>
      <c r="B76" s="642" t="s">
        <v>3473</v>
      </c>
      <c r="C76" s="643" t="s">
        <v>3470</v>
      </c>
    </row>
    <row r="77" spans="1:3" ht="15.75" hidden="1">
      <c r="A77" s="644" t="s">
        <v>3468</v>
      </c>
      <c r="B77" s="645" t="s">
        <v>3438</v>
      </c>
      <c r="C77" s="646"/>
    </row>
    <row r="78" spans="1:3" ht="15.75" hidden="1">
      <c r="A78" s="644" t="s">
        <v>3468</v>
      </c>
      <c r="B78" s="645" t="s">
        <v>3471</v>
      </c>
      <c r="C78" s="646"/>
    </row>
    <row r="79" spans="1:3" ht="15.75" hidden="1">
      <c r="A79" s="644" t="s">
        <v>3468</v>
      </c>
      <c r="B79" s="645" t="s">
        <v>3440</v>
      </c>
      <c r="C79" s="646"/>
    </row>
    <row r="80" spans="1:3" ht="15.75" hidden="1">
      <c r="A80" s="644" t="s">
        <v>3468</v>
      </c>
      <c r="B80" s="645" t="s">
        <v>3472</v>
      </c>
      <c r="C80" s="646"/>
    </row>
    <row r="81" spans="1:3" ht="15.75">
      <c r="A81" s="644" t="s">
        <v>3468</v>
      </c>
      <c r="B81" s="642" t="s">
        <v>3474</v>
      </c>
      <c r="C81" s="643" t="s">
        <v>3470</v>
      </c>
    </row>
    <row r="82" spans="1:3" ht="15.75" hidden="1">
      <c r="A82" s="644" t="s">
        <v>3468</v>
      </c>
      <c r="B82" s="645" t="s">
        <v>3438</v>
      </c>
      <c r="C82" s="646"/>
    </row>
    <row r="83" spans="1:3" ht="15.75" hidden="1">
      <c r="A83" s="644" t="s">
        <v>3468</v>
      </c>
      <c r="B83" s="645" t="s">
        <v>3471</v>
      </c>
      <c r="C83" s="646"/>
    </row>
    <row r="84" spans="1:3" ht="15.75" hidden="1">
      <c r="A84" s="644" t="s">
        <v>3468</v>
      </c>
      <c r="B84" s="645" t="s">
        <v>3440</v>
      </c>
      <c r="C84" s="646"/>
    </row>
    <row r="85" spans="1:3" ht="15.75" hidden="1">
      <c r="A85" s="644" t="s">
        <v>3468</v>
      </c>
      <c r="B85" s="645" t="s">
        <v>3472</v>
      </c>
      <c r="C85" s="646"/>
    </row>
    <row r="86" spans="1:3" ht="15.75">
      <c r="A86" s="644" t="s">
        <v>3468</v>
      </c>
      <c r="B86" s="642" t="s">
        <v>3475</v>
      </c>
      <c r="C86" s="643" t="s">
        <v>3470</v>
      </c>
    </row>
    <row r="87" spans="1:3" ht="15.75" hidden="1">
      <c r="A87" s="644" t="s">
        <v>3468</v>
      </c>
      <c r="B87" s="645" t="s">
        <v>3438</v>
      </c>
      <c r="C87" s="646"/>
    </row>
    <row r="88" spans="1:3" ht="15.75" hidden="1">
      <c r="A88" s="644" t="s">
        <v>3468</v>
      </c>
      <c r="B88" s="645" t="s">
        <v>3471</v>
      </c>
      <c r="C88" s="646"/>
    </row>
    <row r="89" spans="1:3" ht="15.75" hidden="1">
      <c r="A89" s="644" t="s">
        <v>3468</v>
      </c>
      <c r="B89" s="645" t="s">
        <v>3440</v>
      </c>
      <c r="C89" s="646"/>
    </row>
    <row r="90" spans="1:3" ht="15.75">
      <c r="A90" s="644" t="s">
        <v>3468</v>
      </c>
      <c r="B90" s="642" t="s">
        <v>3476</v>
      </c>
      <c r="C90" s="643" t="s">
        <v>3470</v>
      </c>
    </row>
    <row r="91" spans="1:3" ht="15.75" hidden="1">
      <c r="A91" s="644" t="s">
        <v>3468</v>
      </c>
      <c r="B91" s="645" t="s">
        <v>3438</v>
      </c>
      <c r="C91" s="646"/>
    </row>
    <row r="92" spans="1:3" ht="15.75" hidden="1">
      <c r="A92" s="644" t="s">
        <v>3468</v>
      </c>
      <c r="B92" s="645" t="s">
        <v>3471</v>
      </c>
      <c r="C92" s="646"/>
    </row>
    <row r="93" spans="1:3" ht="15.75" hidden="1">
      <c r="A93" s="644" t="s">
        <v>3468</v>
      </c>
      <c r="B93" s="645" t="s">
        <v>3440</v>
      </c>
      <c r="C93" s="646"/>
    </row>
    <row r="94" spans="1:3" ht="15.75" hidden="1">
      <c r="A94" s="644" t="s">
        <v>3468</v>
      </c>
      <c r="B94" s="645" t="s">
        <v>3472</v>
      </c>
      <c r="C94" s="646"/>
    </row>
    <row r="95" spans="1:3" ht="15.75">
      <c r="A95" s="644" t="s">
        <v>3468</v>
      </c>
      <c r="B95" s="642" t="s">
        <v>3477</v>
      </c>
      <c r="C95" s="643" t="s">
        <v>3470</v>
      </c>
    </row>
    <row r="96" spans="1:3" ht="15.75" hidden="1">
      <c r="A96" s="644" t="s">
        <v>3468</v>
      </c>
      <c r="B96" s="645" t="s">
        <v>3438</v>
      </c>
      <c r="C96" s="646"/>
    </row>
    <row r="97" spans="1:3" ht="15.75" hidden="1">
      <c r="A97" s="644" t="s">
        <v>3468</v>
      </c>
      <c r="B97" s="645" t="s">
        <v>3471</v>
      </c>
      <c r="C97" s="646"/>
    </row>
    <row r="98" spans="1:3" ht="15.75" hidden="1">
      <c r="A98" s="644" t="s">
        <v>3468</v>
      </c>
      <c r="B98" s="645" t="s">
        <v>3440</v>
      </c>
      <c r="C98" s="646"/>
    </row>
    <row r="99" spans="1:3" ht="15.75">
      <c r="A99" s="644" t="s">
        <v>3468</v>
      </c>
      <c r="B99" s="642" t="s">
        <v>3478</v>
      </c>
      <c r="C99" s="643" t="s">
        <v>3470</v>
      </c>
    </row>
    <row r="100" spans="1:3" ht="15.75" hidden="1">
      <c r="A100" s="644" t="s">
        <v>3468</v>
      </c>
      <c r="B100" s="645" t="s">
        <v>3438</v>
      </c>
      <c r="C100" s="646"/>
    </row>
    <row r="101" spans="1:3" ht="15.75" hidden="1">
      <c r="A101" s="644" t="s">
        <v>3468</v>
      </c>
      <c r="B101" s="645" t="s">
        <v>3471</v>
      </c>
      <c r="C101" s="646"/>
    </row>
    <row r="102" spans="1:3" ht="15.75" hidden="1">
      <c r="A102" s="644" t="s">
        <v>3468</v>
      </c>
      <c r="B102" s="645" t="s">
        <v>3440</v>
      </c>
      <c r="C102" s="646"/>
    </row>
    <row r="103" spans="1:3" ht="31.5">
      <c r="A103" s="641" t="s">
        <v>3479</v>
      </c>
      <c r="B103" s="642" t="s">
        <v>3479</v>
      </c>
      <c r="C103" s="643" t="s">
        <v>3480</v>
      </c>
    </row>
    <row r="104" spans="1:3" ht="15.75" hidden="1">
      <c r="A104" s="644" t="s">
        <v>3479</v>
      </c>
      <c r="B104" s="645" t="s">
        <v>3481</v>
      </c>
      <c r="C104" s="646" t="s">
        <v>3482</v>
      </c>
    </row>
    <row r="105" spans="1:3" ht="15.75" hidden="1">
      <c r="A105" s="644" t="s">
        <v>3479</v>
      </c>
      <c r="B105" s="645" t="s">
        <v>3483</v>
      </c>
      <c r="C105" s="646"/>
    </row>
    <row r="106" spans="1:3" ht="31.5" hidden="1">
      <c r="A106" s="644" t="s">
        <v>3479</v>
      </c>
      <c r="B106" s="645" t="s">
        <v>3484</v>
      </c>
      <c r="C106" s="646"/>
    </row>
    <row r="107" spans="1:3" ht="31.5" hidden="1">
      <c r="A107" s="644" t="s">
        <v>3479</v>
      </c>
      <c r="B107" s="645" t="s">
        <v>3485</v>
      </c>
      <c r="C107" s="646"/>
    </row>
    <row r="108" spans="1:3" ht="15.75" hidden="1">
      <c r="A108" s="644" t="s">
        <v>3479</v>
      </c>
      <c r="B108" s="645" t="s">
        <v>3486</v>
      </c>
      <c r="C108" s="646"/>
    </row>
    <row r="109" spans="1:3" ht="15.75" hidden="1">
      <c r="A109" s="644" t="s">
        <v>3479</v>
      </c>
      <c r="B109" s="645" t="s">
        <v>3487</v>
      </c>
      <c r="C109" s="646"/>
    </row>
    <row r="110" spans="1:3" ht="15.75" hidden="1">
      <c r="A110" s="644" t="s">
        <v>3479</v>
      </c>
      <c r="B110" s="645" t="s">
        <v>3488</v>
      </c>
      <c r="C110" s="646"/>
    </row>
    <row r="111" spans="1:3" ht="15.75" hidden="1">
      <c r="A111" s="644" t="s">
        <v>3479</v>
      </c>
      <c r="B111" s="645" t="s">
        <v>3489</v>
      </c>
      <c r="C111" s="646"/>
    </row>
    <row r="112" spans="1:3" ht="15.75" hidden="1">
      <c r="A112" s="644" t="s">
        <v>3479</v>
      </c>
      <c r="B112" s="645" t="s">
        <v>3490</v>
      </c>
      <c r="C112" s="646"/>
    </row>
    <row r="113" spans="1:3" ht="15.75" hidden="1">
      <c r="A113" s="644" t="s">
        <v>3479</v>
      </c>
      <c r="B113" s="645" t="s">
        <v>3491</v>
      </c>
      <c r="C113" s="646"/>
    </row>
    <row r="114" spans="1:3" ht="15.75" hidden="1">
      <c r="A114" s="644" t="s">
        <v>3479</v>
      </c>
      <c r="B114" s="645" t="s">
        <v>3492</v>
      </c>
      <c r="C114" s="646"/>
    </row>
    <row r="115" spans="1:3" ht="18.75">
      <c r="A115" s="641" t="s">
        <v>3493</v>
      </c>
      <c r="B115" s="642" t="s">
        <v>3494</v>
      </c>
      <c r="C115" s="647"/>
    </row>
    <row r="116" spans="1:3" ht="15.75" hidden="1">
      <c r="A116" s="644" t="s">
        <v>3493</v>
      </c>
      <c r="B116" s="645" t="s">
        <v>3438</v>
      </c>
      <c r="C116" s="646"/>
    </row>
    <row r="117" spans="1:3" ht="15.75" hidden="1">
      <c r="A117" s="644" t="s">
        <v>3493</v>
      </c>
      <c r="B117" s="645" t="s">
        <v>3495</v>
      </c>
      <c r="C117" s="646"/>
    </row>
    <row r="118" spans="1:3" ht="18.75">
      <c r="A118" s="644" t="s">
        <v>3493</v>
      </c>
      <c r="B118" s="642" t="s">
        <v>3496</v>
      </c>
      <c r="C118" s="647"/>
    </row>
    <row r="119" spans="1:3" ht="15.75" hidden="1">
      <c r="A119" s="644" t="s">
        <v>3493</v>
      </c>
      <c r="B119" s="645" t="s">
        <v>3438</v>
      </c>
      <c r="C119" s="646"/>
    </row>
    <row r="120" spans="1:3" ht="15.75" hidden="1">
      <c r="A120" s="644" t="s">
        <v>3493</v>
      </c>
      <c r="B120" s="645" t="s">
        <v>3497</v>
      </c>
      <c r="C120" s="646"/>
    </row>
    <row r="121" spans="1:3" ht="15.75" hidden="1">
      <c r="A121" s="644" t="s">
        <v>3493</v>
      </c>
      <c r="B121" s="645" t="s">
        <v>3498</v>
      </c>
      <c r="C121" s="646"/>
    </row>
    <row r="122" spans="1:3" ht="15.75" hidden="1">
      <c r="A122" s="644" t="s">
        <v>3493</v>
      </c>
      <c r="B122" s="645" t="s">
        <v>3499</v>
      </c>
      <c r="C122" s="651"/>
    </row>
    <row r="123" spans="1:3" ht="15.75">
      <c r="A123" s="641" t="s">
        <v>3500</v>
      </c>
      <c r="B123" s="642" t="s">
        <v>3501</v>
      </c>
      <c r="C123" s="643" t="s">
        <v>3502</v>
      </c>
    </row>
    <row r="124" spans="1:3" ht="15.75" hidden="1">
      <c r="A124" s="644" t="s">
        <v>3500</v>
      </c>
      <c r="B124" s="645" t="s">
        <v>3438</v>
      </c>
      <c r="C124" s="646"/>
    </row>
    <row r="125" spans="1:3" ht="15.75" hidden="1">
      <c r="A125" s="644" t="s">
        <v>3500</v>
      </c>
      <c r="B125" s="645" t="s">
        <v>3439</v>
      </c>
      <c r="C125" s="646"/>
    </row>
    <row r="126" spans="1:3" ht="15.75" hidden="1">
      <c r="A126" s="644" t="s">
        <v>3500</v>
      </c>
      <c r="B126" s="645" t="s">
        <v>3440</v>
      </c>
      <c r="C126" s="646"/>
    </row>
    <row r="127" spans="1:3" ht="15.75" hidden="1">
      <c r="A127" s="644" t="s">
        <v>3500</v>
      </c>
      <c r="B127" s="645" t="s">
        <v>3441</v>
      </c>
      <c r="C127" s="646"/>
    </row>
    <row r="128" spans="1:3" ht="15.75">
      <c r="A128" s="644" t="s">
        <v>3500</v>
      </c>
      <c r="B128" s="642" t="s">
        <v>3503</v>
      </c>
      <c r="C128" s="643" t="s">
        <v>3504</v>
      </c>
    </row>
    <row r="129" spans="1:3" ht="15.75" hidden="1">
      <c r="A129" s="644" t="s">
        <v>3500</v>
      </c>
      <c r="B129" s="645" t="s">
        <v>3438</v>
      </c>
      <c r="C129" s="646"/>
    </row>
    <row r="130" spans="1:3" ht="15.75" hidden="1">
      <c r="A130" s="644" t="s">
        <v>3500</v>
      </c>
      <c r="B130" s="645" t="s">
        <v>3439</v>
      </c>
      <c r="C130" s="646"/>
    </row>
    <row r="131" spans="1:3" ht="15.75" hidden="1">
      <c r="A131" s="644" t="s">
        <v>3500</v>
      </c>
      <c r="B131" s="645" t="s">
        <v>3440</v>
      </c>
      <c r="C131" s="646"/>
    </row>
    <row r="132" spans="1:3" ht="15.75" hidden="1">
      <c r="A132" s="644" t="s">
        <v>3500</v>
      </c>
      <c r="B132" s="645" t="s">
        <v>3441</v>
      </c>
      <c r="C132" s="646"/>
    </row>
    <row r="133" spans="1:3" ht="15.75">
      <c r="A133" s="644" t="s">
        <v>3500</v>
      </c>
      <c r="B133" s="642" t="s">
        <v>3505</v>
      </c>
      <c r="C133" s="643"/>
    </row>
    <row r="134" spans="1:3" ht="15.75" hidden="1">
      <c r="A134" s="644" t="s">
        <v>3500</v>
      </c>
      <c r="B134" s="645" t="s">
        <v>3438</v>
      </c>
      <c r="C134" s="651"/>
    </row>
    <row r="135" spans="1:3" ht="15.75" hidden="1">
      <c r="A135" s="644" t="s">
        <v>3500</v>
      </c>
      <c r="B135" s="645" t="s">
        <v>3439</v>
      </c>
      <c r="C135" s="646"/>
    </row>
    <row r="136" spans="1:3" ht="15.75" hidden="1">
      <c r="A136" s="644" t="s">
        <v>3500</v>
      </c>
      <c r="B136" s="645" t="s">
        <v>3440</v>
      </c>
      <c r="C136" s="646"/>
    </row>
    <row r="137" spans="1:3" ht="31.5">
      <c r="A137" s="641" t="s">
        <v>3506</v>
      </c>
      <c r="B137" s="642" t="s">
        <v>3507</v>
      </c>
      <c r="C137" s="643" t="s">
        <v>3508</v>
      </c>
    </row>
    <row r="138" spans="1:3" ht="15.75" hidden="1">
      <c r="A138" s="644" t="s">
        <v>3506</v>
      </c>
      <c r="B138" s="645" t="s">
        <v>3438</v>
      </c>
      <c r="C138" s="646"/>
    </row>
    <row r="139" spans="1:3" ht="15.75" hidden="1">
      <c r="A139" s="644" t="s">
        <v>3506</v>
      </c>
      <c r="B139" s="645" t="s">
        <v>3439</v>
      </c>
      <c r="C139" s="646"/>
    </row>
    <row r="140" spans="1:3" ht="15.75">
      <c r="A140" s="644" t="s">
        <v>3506</v>
      </c>
      <c r="B140" s="642" t="s">
        <v>3509</v>
      </c>
      <c r="C140" s="643"/>
    </row>
    <row r="141" spans="1:3" ht="15.75" hidden="1">
      <c r="A141" s="644" t="s">
        <v>3506</v>
      </c>
      <c r="B141" s="645" t="s">
        <v>3438</v>
      </c>
      <c r="C141" s="646"/>
    </row>
    <row r="142" spans="1:3" ht="15.75" hidden="1">
      <c r="A142" s="644" t="s">
        <v>3506</v>
      </c>
      <c r="B142" s="645" t="s">
        <v>3439</v>
      </c>
      <c r="C142" s="646"/>
    </row>
    <row r="143" spans="1:3" ht="15.75">
      <c r="A143" s="644" t="s">
        <v>3506</v>
      </c>
      <c r="B143" s="642" t="s">
        <v>3510</v>
      </c>
      <c r="C143" s="643"/>
    </row>
    <row r="144" spans="1:3" ht="15.75" hidden="1">
      <c r="A144" s="644" t="s">
        <v>3506</v>
      </c>
      <c r="B144" s="645" t="s">
        <v>3438</v>
      </c>
      <c r="C144" s="646"/>
    </row>
    <row r="145" spans="1:3" ht="15.75" hidden="1">
      <c r="A145" s="644" t="s">
        <v>3506</v>
      </c>
      <c r="B145" s="645" t="s">
        <v>3439</v>
      </c>
      <c r="C145" s="646"/>
    </row>
    <row r="146" spans="1:3" ht="15.75">
      <c r="A146" s="644" t="s">
        <v>3506</v>
      </c>
      <c r="B146" s="642" t="s">
        <v>3511</v>
      </c>
      <c r="C146" s="643"/>
    </row>
    <row r="147" spans="1:3" ht="15.75" hidden="1">
      <c r="A147" s="644" t="s">
        <v>3506</v>
      </c>
      <c r="B147" s="645" t="s">
        <v>3438</v>
      </c>
      <c r="C147" s="646"/>
    </row>
    <row r="148" spans="1:3" ht="15.75" hidden="1">
      <c r="A148" s="644" t="s">
        <v>3506</v>
      </c>
      <c r="B148" s="645" t="s">
        <v>3439</v>
      </c>
      <c r="C148" s="646"/>
    </row>
  </sheetData>
  <autoFilter ref="A1:C148" xr:uid="{76ECE973-CF90-4DA2-8743-19454DC6C732}">
    <filterColumn colId="1">
      <colorFilter dxfId="20"/>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O44"/>
  <sheetViews>
    <sheetView tabSelected="1" topLeftCell="A10" zoomScaleNormal="100" workbookViewId="0">
      <selection activeCell="A24" sqref="A24:XFD27"/>
    </sheetView>
  </sheetViews>
  <sheetFormatPr defaultRowHeight="12.75"/>
  <cols>
    <col min="1" max="1" width="22.28515625" bestFit="1" customWidth="1"/>
    <col min="4" max="4" width="30.42578125" customWidth="1"/>
    <col min="5" max="5" width="63.5703125" customWidth="1"/>
    <col min="6" max="6" width="15" customWidth="1"/>
  </cols>
  <sheetData>
    <row r="1" spans="1:15" ht="15.75">
      <c r="A1" s="629" t="s">
        <v>3409</v>
      </c>
      <c r="B1" s="530"/>
      <c r="C1" s="530"/>
      <c r="D1" s="530"/>
      <c r="E1" s="530"/>
      <c r="F1" s="530"/>
      <c r="G1" s="530"/>
      <c r="H1" s="530"/>
      <c r="I1" s="530"/>
      <c r="J1" s="530"/>
      <c r="K1" s="530"/>
      <c r="L1" s="530"/>
      <c r="M1" s="530"/>
      <c r="N1" s="530"/>
      <c r="O1" s="530"/>
    </row>
    <row r="11" spans="1:15" ht="15.75">
      <c r="A11" s="628" t="s">
        <v>234</v>
      </c>
      <c r="B11" s="2" t="s">
        <v>3403</v>
      </c>
      <c r="C11" s="1"/>
      <c r="D11" s="1"/>
      <c r="E11" s="1"/>
      <c r="F11" s="1"/>
      <c r="G11" s="1"/>
      <c r="H11" s="1"/>
      <c r="I11" s="1"/>
      <c r="J11" s="1"/>
      <c r="K11" s="1"/>
      <c r="L11" s="1"/>
      <c r="M11" s="1"/>
      <c r="N11" s="1"/>
      <c r="O11" s="1"/>
    </row>
    <row r="12" spans="1:15" ht="15">
      <c r="A12" s="630" t="s">
        <v>262</v>
      </c>
      <c r="B12" s="654" t="s">
        <v>3410</v>
      </c>
      <c r="C12" s="655"/>
      <c r="D12" s="655"/>
      <c r="E12" s="655"/>
      <c r="F12" s="655"/>
      <c r="G12" s="655"/>
      <c r="H12" s="655"/>
      <c r="I12" s="655"/>
      <c r="J12" s="655"/>
      <c r="K12" s="655"/>
      <c r="L12" s="655"/>
      <c r="M12" s="655"/>
      <c r="N12" s="655"/>
      <c r="O12" s="655"/>
    </row>
    <row r="13" spans="1:15" ht="15">
      <c r="A13" s="630" t="s">
        <v>263</v>
      </c>
      <c r="B13" s="654"/>
      <c r="C13" s="655"/>
      <c r="D13" s="655"/>
      <c r="E13" s="655"/>
      <c r="F13" s="655"/>
      <c r="G13" s="655"/>
      <c r="H13" s="655"/>
      <c r="I13" s="655"/>
      <c r="J13" s="655"/>
      <c r="K13" s="655"/>
      <c r="L13" s="655"/>
      <c r="M13" s="655"/>
      <c r="N13" s="655"/>
      <c r="O13" s="655"/>
    </row>
    <row r="14" spans="1:15" ht="15">
      <c r="A14" s="630" t="s">
        <v>264</v>
      </c>
      <c r="B14" s="654"/>
      <c r="C14" s="655"/>
      <c r="D14" s="655"/>
      <c r="E14" s="655"/>
      <c r="F14" s="655"/>
      <c r="G14" s="655"/>
      <c r="H14" s="655"/>
      <c r="I14" s="655"/>
      <c r="J14" s="655"/>
      <c r="K14" s="655"/>
      <c r="L14" s="655"/>
      <c r="M14" s="655"/>
      <c r="N14" s="655"/>
      <c r="O14" s="655"/>
    </row>
    <row r="15" spans="1:15" ht="15">
      <c r="A15" s="630" t="s">
        <v>3394</v>
      </c>
      <c r="B15" s="654"/>
      <c r="C15" s="655"/>
      <c r="D15" s="655"/>
      <c r="E15" s="655"/>
      <c r="F15" s="655"/>
      <c r="G15" s="655"/>
      <c r="H15" s="655"/>
      <c r="I15" s="655"/>
      <c r="J15" s="655"/>
      <c r="K15" s="655"/>
      <c r="L15" s="655"/>
      <c r="M15" s="655"/>
      <c r="N15" s="655"/>
      <c r="O15" s="655"/>
    </row>
    <row r="19" spans="1:9">
      <c r="F19" s="634" t="s">
        <v>3419</v>
      </c>
      <c r="G19" s="634" t="s">
        <v>3420</v>
      </c>
      <c r="H19" s="634"/>
      <c r="I19" s="634"/>
    </row>
    <row r="20" spans="1:9">
      <c r="F20" s="634"/>
      <c r="G20" s="634" t="s">
        <v>3421</v>
      </c>
      <c r="H20" s="634"/>
      <c r="I20" s="634"/>
    </row>
    <row r="21" spans="1:9">
      <c r="F21" s="634"/>
      <c r="G21" s="634" t="s">
        <v>3422</v>
      </c>
      <c r="H21" s="634"/>
      <c r="I21" s="634"/>
    </row>
    <row r="22" spans="1:9">
      <c r="F22" s="634" t="s">
        <v>3423</v>
      </c>
      <c r="G22" s="634" t="s">
        <v>3424</v>
      </c>
      <c r="H22" s="634"/>
      <c r="I22" s="634"/>
    </row>
    <row r="23" spans="1:9">
      <c r="F23" s="634"/>
      <c r="G23" s="634"/>
      <c r="H23" s="634"/>
      <c r="I23" s="634"/>
    </row>
    <row r="24" spans="1:9">
      <c r="A24" s="653"/>
    </row>
    <row r="25" spans="1:9">
      <c r="A25" s="653"/>
    </row>
    <row r="26" spans="1:9">
      <c r="A26" s="653"/>
    </row>
    <row r="27" spans="1:9">
      <c r="A27" s="653"/>
    </row>
    <row r="28" spans="1:9">
      <c r="A28" s="653"/>
    </row>
    <row r="29" spans="1:9">
      <c r="A29" s="653"/>
    </row>
    <row r="30" spans="1:9">
      <c r="A30" s="653"/>
    </row>
    <row r="31" spans="1:9">
      <c r="A31" s="653"/>
    </row>
    <row r="33" spans="1:1">
      <c r="A33" s="653"/>
    </row>
    <row r="34" spans="1:1">
      <c r="A34" s="653"/>
    </row>
    <row r="35" spans="1:1">
      <c r="A35" s="653"/>
    </row>
    <row r="36" spans="1:1">
      <c r="A36" s="653"/>
    </row>
    <row r="37" spans="1:1">
      <c r="A37" s="653"/>
    </row>
    <row r="38" spans="1:1">
      <c r="A38" s="653"/>
    </row>
    <row r="39" spans="1:1">
      <c r="A39" s="653"/>
    </row>
    <row r="40" spans="1:1">
      <c r="A40" s="653"/>
    </row>
    <row r="41" spans="1:1">
      <c r="A41" s="653"/>
    </row>
    <row r="42" spans="1:1">
      <c r="A42" s="653"/>
    </row>
    <row r="43" spans="1:1">
      <c r="A43" s="653"/>
    </row>
    <row r="44" spans="1:1">
      <c r="A44" s="653"/>
    </row>
  </sheetData>
  <mergeCells count="2">
    <mergeCell ref="B11:O11"/>
    <mergeCell ref="B12:O1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499984740745262"/>
  </sheetPr>
  <dimension ref="A1:S47"/>
  <sheetViews>
    <sheetView topLeftCell="A19" workbookViewId="0">
      <selection activeCell="A36" sqref="A36"/>
    </sheetView>
  </sheetViews>
  <sheetFormatPr defaultColWidth="9" defaultRowHeight="12.75"/>
  <cols>
    <col min="1" max="1" width="27.42578125" customWidth="1"/>
    <col min="2" max="2" width="18.5703125" style="114" customWidth="1"/>
    <col min="3" max="3" width="13" customWidth="1"/>
    <col min="4" max="4" width="21.85546875" customWidth="1"/>
    <col min="5" max="5" width="16.85546875" customWidth="1"/>
    <col min="6" max="6" width="19.28515625" customWidth="1"/>
    <col min="7" max="7" width="15.5703125" customWidth="1"/>
    <col min="8" max="8" width="15.85546875" customWidth="1"/>
    <col min="9" max="9" width="14.140625" customWidth="1"/>
    <col min="10" max="10" width="23.140625" customWidth="1"/>
    <col min="11" max="12" width="11.7109375" customWidth="1"/>
    <col min="13" max="17" width="8.28515625" customWidth="1"/>
    <col min="18" max="18" width="16.85546875" customWidth="1"/>
  </cols>
  <sheetData>
    <row r="1" spans="1:18">
      <c r="A1" s="11" t="s">
        <v>252</v>
      </c>
    </row>
    <row r="3" spans="1:18">
      <c r="A3" s="13"/>
    </row>
    <row r="4" spans="1:18" ht="16.5" thickBot="1">
      <c r="A4" s="139" t="s">
        <v>3378</v>
      </c>
      <c r="B4" s="140"/>
      <c r="C4" s="140"/>
      <c r="D4" s="140"/>
      <c r="E4" s="140"/>
      <c r="F4" s="140"/>
      <c r="G4" s="140"/>
      <c r="H4" s="140"/>
      <c r="I4" s="140"/>
      <c r="J4" s="140"/>
      <c r="K4" s="140"/>
      <c r="L4" s="140"/>
      <c r="M4" s="140"/>
      <c r="N4" s="140"/>
      <c r="O4" s="140"/>
      <c r="P4" s="140"/>
      <c r="Q4" s="140"/>
      <c r="R4" s="140"/>
    </row>
    <row r="5" spans="1:18" ht="14.25" thickTop="1" thickBot="1">
      <c r="A5" s="142" t="s">
        <v>253</v>
      </c>
      <c r="J5" s="617" t="s">
        <v>254</v>
      </c>
      <c r="K5" s="619" t="s">
        <v>255</v>
      </c>
      <c r="L5" s="142" t="s">
        <v>239</v>
      </c>
      <c r="M5" s="119"/>
    </row>
    <row r="6" spans="1:18" ht="39.75" thickTop="1" thickBot="1">
      <c r="J6" s="618" t="s">
        <v>256</v>
      </c>
      <c r="K6" s="620" t="s">
        <v>238</v>
      </c>
      <c r="L6" s="142" t="s">
        <v>3398</v>
      </c>
      <c r="M6" s="119"/>
    </row>
    <row r="7" spans="1:18" ht="13.5" thickTop="1">
      <c r="A7" s="13"/>
      <c r="J7" s="117"/>
      <c r="K7" s="13"/>
      <c r="L7" s="13"/>
    </row>
    <row r="8" spans="1:18" ht="14.1" customHeight="1">
      <c r="B8" s="659" t="s">
        <v>55</v>
      </c>
      <c r="C8" s="659" t="s">
        <v>56</v>
      </c>
      <c r="D8" s="659" t="s">
        <v>57</v>
      </c>
      <c r="E8" s="659" t="s">
        <v>58</v>
      </c>
      <c r="F8" s="656" t="s">
        <v>237</v>
      </c>
      <c r="G8" s="657"/>
      <c r="H8" s="657"/>
      <c r="I8" s="657"/>
      <c r="J8" s="657"/>
      <c r="K8" s="657"/>
      <c r="L8" s="658"/>
    </row>
    <row r="9" spans="1:18" ht="14.1" customHeight="1">
      <c r="B9" s="660"/>
      <c r="C9" s="660"/>
      <c r="D9" s="660"/>
      <c r="E9" s="660"/>
      <c r="F9" s="121">
        <v>1</v>
      </c>
      <c r="G9" s="121">
        <v>2</v>
      </c>
      <c r="H9" s="121">
        <v>3</v>
      </c>
      <c r="I9" s="121" t="s">
        <v>129</v>
      </c>
      <c r="J9" s="121" t="s">
        <v>129</v>
      </c>
      <c r="K9" s="121">
        <v>30</v>
      </c>
      <c r="L9" s="121">
        <v>31</v>
      </c>
    </row>
    <row r="10" spans="1:18">
      <c r="B10" s="661"/>
      <c r="C10" s="661"/>
      <c r="D10" s="661"/>
      <c r="E10" s="661"/>
      <c r="F10" s="121" t="s">
        <v>197</v>
      </c>
      <c r="G10" s="121" t="s">
        <v>198</v>
      </c>
      <c r="H10" s="121" t="s">
        <v>199</v>
      </c>
      <c r="I10" s="121" t="s">
        <v>129</v>
      </c>
      <c r="J10" s="121" t="s">
        <v>129</v>
      </c>
      <c r="K10" s="121" t="s">
        <v>200</v>
      </c>
      <c r="L10" s="121" t="s">
        <v>201</v>
      </c>
      <c r="O10" s="11" t="s">
        <v>261</v>
      </c>
    </row>
    <row r="11" spans="1:18" ht="29.1" customHeight="1">
      <c r="B11" s="122">
        <v>1</v>
      </c>
      <c r="C11" s="123" t="s">
        <v>62</v>
      </c>
      <c r="D11" s="123" t="s">
        <v>63</v>
      </c>
      <c r="E11" s="124" t="s">
        <v>64</v>
      </c>
      <c r="F11" s="143"/>
      <c r="G11" s="143"/>
      <c r="H11" s="144"/>
      <c r="I11" s="144"/>
      <c r="J11" s="144"/>
      <c r="K11" s="145"/>
      <c r="L11" s="145"/>
      <c r="O11" s="131"/>
      <c r="P11" s="118" t="s">
        <v>257</v>
      </c>
    </row>
    <row r="12" spans="1:18" ht="29.1" customHeight="1">
      <c r="B12" s="122">
        <v>2</v>
      </c>
      <c r="C12" s="123" t="s">
        <v>67</v>
      </c>
      <c r="D12" s="123" t="s">
        <v>68</v>
      </c>
      <c r="E12" s="124" t="s">
        <v>72</v>
      </c>
      <c r="F12" s="146"/>
      <c r="G12" s="146"/>
      <c r="H12" s="146"/>
      <c r="I12" s="144"/>
      <c r="J12" s="144"/>
      <c r="K12" s="145"/>
      <c r="L12" s="145"/>
      <c r="O12" s="132"/>
      <c r="P12" s="118" t="s">
        <v>258</v>
      </c>
    </row>
    <row r="13" spans="1:18" ht="29.1" customHeight="1">
      <c r="B13" s="122">
        <v>3</v>
      </c>
      <c r="C13" s="123" t="s">
        <v>70</v>
      </c>
      <c r="D13" s="123" t="s">
        <v>71</v>
      </c>
      <c r="E13" s="124" t="s">
        <v>202</v>
      </c>
      <c r="F13" s="146"/>
      <c r="G13" s="146"/>
      <c r="H13" s="145"/>
      <c r="I13" s="147"/>
      <c r="J13" s="147"/>
      <c r="K13" s="145"/>
      <c r="L13" s="145"/>
      <c r="O13" s="133"/>
      <c r="P13" s="118" t="s">
        <v>259</v>
      </c>
    </row>
    <row r="14" spans="1:18" ht="29.1" customHeight="1">
      <c r="B14" s="122">
        <v>4</v>
      </c>
      <c r="C14" s="123" t="s">
        <v>73</v>
      </c>
      <c r="D14" s="123" t="s">
        <v>74</v>
      </c>
      <c r="E14" s="124" t="s">
        <v>80</v>
      </c>
      <c r="F14" s="144"/>
      <c r="G14" s="144"/>
      <c r="H14" s="144"/>
      <c r="I14" s="146"/>
      <c r="J14" s="146"/>
      <c r="K14" s="145"/>
      <c r="L14" s="145"/>
      <c r="O14" s="134"/>
      <c r="P14" s="118" t="s">
        <v>260</v>
      </c>
    </row>
    <row r="15" spans="1:18" ht="29.1" customHeight="1">
      <c r="B15" s="122">
        <v>5</v>
      </c>
      <c r="C15" s="123" t="s">
        <v>78</v>
      </c>
      <c r="D15" s="123" t="s">
        <v>79</v>
      </c>
      <c r="E15" s="124" t="s">
        <v>80</v>
      </c>
      <c r="F15" s="147"/>
      <c r="G15" s="148"/>
      <c r="H15" s="148"/>
      <c r="I15" s="143"/>
      <c r="J15" s="143"/>
      <c r="K15" s="145"/>
      <c r="L15" s="145"/>
      <c r="O15" s="135"/>
      <c r="P15" s="118" t="s">
        <v>266</v>
      </c>
    </row>
    <row r="16" spans="1:18" ht="29.1" customHeight="1">
      <c r="B16" s="122">
        <v>6</v>
      </c>
      <c r="C16" s="123" t="s">
        <v>82</v>
      </c>
      <c r="D16" s="123" t="s">
        <v>83</v>
      </c>
      <c r="E16" s="124" t="s">
        <v>203</v>
      </c>
      <c r="F16" s="145"/>
      <c r="G16" s="146"/>
      <c r="H16" s="146"/>
      <c r="I16" s="143"/>
      <c r="J16" s="143"/>
      <c r="K16" s="145"/>
      <c r="L16" s="145"/>
      <c r="O16" s="3"/>
      <c r="P16" s="118" t="s">
        <v>3388</v>
      </c>
    </row>
    <row r="17" spans="1:19">
      <c r="B17" s="115"/>
      <c r="C17" s="13"/>
      <c r="D17" s="13"/>
      <c r="E17" s="13"/>
      <c r="F17" s="13"/>
      <c r="G17" s="13"/>
      <c r="H17" s="13"/>
      <c r="I17" s="13"/>
      <c r="J17" s="13"/>
      <c r="K17" s="13"/>
      <c r="L17" s="13"/>
    </row>
    <row r="18" spans="1:19">
      <c r="B18" s="115"/>
      <c r="C18" s="13"/>
      <c r="D18" s="13"/>
      <c r="E18" s="13"/>
      <c r="F18" s="13"/>
      <c r="G18" s="13"/>
      <c r="H18" s="13"/>
      <c r="I18" s="13"/>
      <c r="J18" s="13"/>
      <c r="K18" s="13"/>
      <c r="L18" s="13"/>
    </row>
    <row r="19" spans="1:19" ht="16.5" thickBot="1">
      <c r="A19" s="608" t="s">
        <v>3379</v>
      </c>
      <c r="B19" s="609"/>
      <c r="C19" s="609"/>
      <c r="D19" s="609"/>
      <c r="E19" s="609"/>
      <c r="F19" s="609"/>
      <c r="G19" s="609"/>
      <c r="H19" s="609"/>
      <c r="I19" s="609"/>
      <c r="J19" s="609"/>
      <c r="K19" s="609"/>
      <c r="L19" s="609"/>
      <c r="M19" s="609"/>
      <c r="N19" s="609"/>
      <c r="O19" s="609"/>
      <c r="P19" s="609"/>
      <c r="Q19" s="609"/>
      <c r="R19" s="609"/>
      <c r="S19" s="609"/>
    </row>
    <row r="20" spans="1:19" ht="14.25" thickTop="1" thickBot="1">
      <c r="B20"/>
      <c r="J20" s="617" t="s">
        <v>254</v>
      </c>
      <c r="K20" s="619" t="s">
        <v>255</v>
      </c>
      <c r="L20" s="142" t="s">
        <v>239</v>
      </c>
    </row>
    <row r="21" spans="1:19" ht="13.5" thickTop="1">
      <c r="B21"/>
    </row>
    <row r="22" spans="1:19" ht="51.75" thickBot="1">
      <c r="B22" s="566" t="s">
        <v>388</v>
      </c>
      <c r="C22" s="566" t="s">
        <v>387</v>
      </c>
      <c r="D22" s="566" t="s">
        <v>3376</v>
      </c>
      <c r="E22" s="514" t="s">
        <v>256</v>
      </c>
      <c r="F22" s="621"/>
    </row>
    <row r="23" spans="1:19" ht="14.25" thickTop="1" thickBot="1">
      <c r="B23" s="515" t="s">
        <v>157</v>
      </c>
      <c r="C23" s="515" t="s">
        <v>3381</v>
      </c>
      <c r="D23" s="515" t="s">
        <v>3388</v>
      </c>
      <c r="E23" s="624" t="s">
        <v>238</v>
      </c>
      <c r="F23" s="623" t="s">
        <v>3382</v>
      </c>
    </row>
    <row r="24" spans="1:19" ht="13.5" thickTop="1">
      <c r="B24" s="3"/>
      <c r="C24" s="3"/>
      <c r="D24" s="515" t="s">
        <v>3396</v>
      </c>
      <c r="E24" s="3"/>
      <c r="F24" s="622"/>
    </row>
    <row r="25" spans="1:19">
      <c r="B25" s="3"/>
      <c r="C25" s="3"/>
      <c r="D25" s="515" t="s">
        <v>3373</v>
      </c>
      <c r="E25" s="3"/>
      <c r="F25" s="3"/>
    </row>
    <row r="26" spans="1:19">
      <c r="B26" s="3"/>
      <c r="C26" s="3"/>
      <c r="D26" s="515" t="s">
        <v>3397</v>
      </c>
      <c r="E26" s="3"/>
      <c r="F26" s="3"/>
    </row>
    <row r="27" spans="1:19" ht="38.25">
      <c r="B27" s="607" t="s">
        <v>3377</v>
      </c>
      <c r="C27" s="607" t="s">
        <v>3380</v>
      </c>
      <c r="D27" s="607" t="s">
        <v>3395</v>
      </c>
      <c r="F27" s="607" t="s">
        <v>3383</v>
      </c>
    </row>
    <row r="28" spans="1:19">
      <c r="B28" s="153" t="s">
        <v>157</v>
      </c>
      <c r="C28" s="153"/>
      <c r="D28" s="153"/>
    </row>
    <row r="29" spans="1:19">
      <c r="B29" s="153" t="s">
        <v>158</v>
      </c>
      <c r="C29" s="153"/>
      <c r="D29" s="153"/>
    </row>
    <row r="30" spans="1:19">
      <c r="B30" s="153" t="s">
        <v>159</v>
      </c>
      <c r="C30" s="153"/>
      <c r="D30" s="153"/>
    </row>
    <row r="31" spans="1:19">
      <c r="B31" s="153" t="s">
        <v>160</v>
      </c>
      <c r="C31" s="153"/>
      <c r="D31" s="153"/>
    </row>
    <row r="32" spans="1:19">
      <c r="B32" s="153" t="s">
        <v>161</v>
      </c>
      <c r="C32" s="153"/>
      <c r="D32" s="153"/>
    </row>
    <row r="35" spans="1:4">
      <c r="A35" s="634" t="s">
        <v>3433</v>
      </c>
      <c r="B35" s="636" t="s">
        <v>3425</v>
      </c>
      <c r="C35" s="634"/>
    </row>
    <row r="36" spans="1:4">
      <c r="A36" s="634"/>
      <c r="B36" s="636" t="s">
        <v>3426</v>
      </c>
      <c r="C36" s="634"/>
    </row>
    <row r="37" spans="1:4">
      <c r="A37" s="634"/>
      <c r="B37" s="637" t="s">
        <v>386</v>
      </c>
      <c r="C37" s="634" t="s">
        <v>3427</v>
      </c>
    </row>
    <row r="38" spans="1:4">
      <c r="A38" s="634"/>
      <c r="B38" s="636"/>
      <c r="C38" s="638"/>
      <c r="D38" s="633"/>
    </row>
    <row r="39" spans="1:4">
      <c r="A39" s="634"/>
      <c r="B39" s="634" t="s">
        <v>3428</v>
      </c>
      <c r="C39" s="638"/>
      <c r="D39" s="633"/>
    </row>
    <row r="40" spans="1:4">
      <c r="A40" s="634"/>
      <c r="B40" s="635" t="s">
        <v>3429</v>
      </c>
      <c r="C40" s="638"/>
      <c r="D40" s="633"/>
    </row>
    <row r="41" spans="1:4">
      <c r="A41" s="634"/>
      <c r="B41" s="634" t="s">
        <v>3430</v>
      </c>
      <c r="C41" s="638"/>
      <c r="D41" s="633"/>
    </row>
    <row r="42" spans="1:4">
      <c r="A42" s="634"/>
      <c r="B42" s="634" t="s">
        <v>3431</v>
      </c>
      <c r="C42" s="638"/>
      <c r="D42" s="633"/>
    </row>
    <row r="43" spans="1:4">
      <c r="A43" s="634"/>
      <c r="B43" s="635" t="s">
        <v>3432</v>
      </c>
      <c r="C43" s="638"/>
      <c r="D43" s="633"/>
    </row>
    <row r="44" spans="1:4">
      <c r="A44" s="634"/>
      <c r="B44" s="636"/>
      <c r="C44" s="638"/>
      <c r="D44" s="633"/>
    </row>
    <row r="45" spans="1:4">
      <c r="B45" s="632"/>
      <c r="C45" s="633"/>
      <c r="D45" s="633"/>
    </row>
    <row r="46" spans="1:4">
      <c r="B46" s="632"/>
      <c r="C46" s="633"/>
      <c r="D46" s="633"/>
    </row>
    <row r="47" spans="1:4">
      <c r="B47" s="632"/>
      <c r="C47" s="633"/>
      <c r="D47" s="633"/>
    </row>
  </sheetData>
  <mergeCells count="5">
    <mergeCell ref="F8:L8"/>
    <mergeCell ref="B8:B10"/>
    <mergeCell ref="C8:C10"/>
    <mergeCell ref="D8:D10"/>
    <mergeCell ref="E8:E10"/>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71" r:id="rId4" name="Check Box 3">
              <controlPr defaultSize="0" autoFill="0" autoLine="0" autoPict="0">
                <anchor moveWithCells="1">
                  <from>
                    <xdr:col>5</xdr:col>
                    <xdr:colOff>476250</xdr:colOff>
                    <xdr:row>10</xdr:row>
                    <xdr:rowOff>76200</xdr:rowOff>
                  </from>
                  <to>
                    <xdr:col>5</xdr:col>
                    <xdr:colOff>781050</xdr:colOff>
                    <xdr:row>10</xdr:row>
                    <xdr:rowOff>295275</xdr:rowOff>
                  </to>
                </anchor>
              </controlPr>
            </control>
          </mc:Choice>
        </mc:AlternateContent>
        <mc:AlternateContent xmlns:mc="http://schemas.openxmlformats.org/markup-compatibility/2006">
          <mc:Choice Requires="x14">
            <control shapeId="7172" r:id="rId5" name="Check Box 4">
              <controlPr defaultSize="0" autoFill="0" autoLine="0" autoPict="0">
                <anchor moveWithCells="1">
                  <from>
                    <xdr:col>6</xdr:col>
                    <xdr:colOff>476250</xdr:colOff>
                    <xdr:row>10</xdr:row>
                    <xdr:rowOff>76200</xdr:rowOff>
                  </from>
                  <to>
                    <xdr:col>6</xdr:col>
                    <xdr:colOff>781050</xdr:colOff>
                    <xdr:row>10</xdr:row>
                    <xdr:rowOff>295275</xdr:rowOff>
                  </to>
                </anchor>
              </controlPr>
            </control>
          </mc:Choice>
        </mc:AlternateContent>
        <mc:AlternateContent xmlns:mc="http://schemas.openxmlformats.org/markup-compatibility/2006">
          <mc:Choice Requires="x14">
            <control shapeId="7173" r:id="rId6" name="Check Box 5">
              <controlPr defaultSize="0" autoFill="0" autoLine="0" autoPict="0">
                <anchor moveWithCells="1">
                  <from>
                    <xdr:col>7</xdr:col>
                    <xdr:colOff>476250</xdr:colOff>
                    <xdr:row>10</xdr:row>
                    <xdr:rowOff>76200</xdr:rowOff>
                  </from>
                  <to>
                    <xdr:col>7</xdr:col>
                    <xdr:colOff>781050</xdr:colOff>
                    <xdr:row>10</xdr:row>
                    <xdr:rowOff>295275</xdr:rowOff>
                  </to>
                </anchor>
              </controlPr>
            </control>
          </mc:Choice>
        </mc:AlternateContent>
        <mc:AlternateContent xmlns:mc="http://schemas.openxmlformats.org/markup-compatibility/2006">
          <mc:Choice Requires="x14">
            <control shapeId="7174" r:id="rId7" name="Check Box 6">
              <controlPr defaultSize="0" autoFill="0" autoLine="0" autoPict="0">
                <anchor moveWithCells="1">
                  <from>
                    <xdr:col>8</xdr:col>
                    <xdr:colOff>476250</xdr:colOff>
                    <xdr:row>10</xdr:row>
                    <xdr:rowOff>76200</xdr:rowOff>
                  </from>
                  <to>
                    <xdr:col>8</xdr:col>
                    <xdr:colOff>781050</xdr:colOff>
                    <xdr:row>10</xdr:row>
                    <xdr:rowOff>295275</xdr:rowOff>
                  </to>
                </anchor>
              </controlPr>
            </control>
          </mc:Choice>
        </mc:AlternateContent>
        <mc:AlternateContent xmlns:mc="http://schemas.openxmlformats.org/markup-compatibility/2006">
          <mc:Choice Requires="x14">
            <control shapeId="7175" r:id="rId8" name="Check Box 7">
              <controlPr defaultSize="0" autoFill="0" autoLine="0" autoPict="0">
                <anchor moveWithCells="1">
                  <from>
                    <xdr:col>9</xdr:col>
                    <xdr:colOff>476250</xdr:colOff>
                    <xdr:row>10</xdr:row>
                    <xdr:rowOff>76200</xdr:rowOff>
                  </from>
                  <to>
                    <xdr:col>9</xdr:col>
                    <xdr:colOff>781050</xdr:colOff>
                    <xdr:row>10</xdr:row>
                    <xdr:rowOff>295275</xdr:rowOff>
                  </to>
                </anchor>
              </controlPr>
            </control>
          </mc:Choice>
        </mc:AlternateContent>
        <mc:AlternateContent xmlns:mc="http://schemas.openxmlformats.org/markup-compatibility/2006">
          <mc:Choice Requires="x14">
            <control shapeId="7178" r:id="rId9" name="Check Box 10">
              <controlPr defaultSize="0" autoFill="0" autoLine="0" autoPict="0">
                <anchor moveWithCells="1">
                  <from>
                    <xdr:col>5</xdr:col>
                    <xdr:colOff>476250</xdr:colOff>
                    <xdr:row>11</xdr:row>
                    <xdr:rowOff>76200</xdr:rowOff>
                  </from>
                  <to>
                    <xdr:col>5</xdr:col>
                    <xdr:colOff>781050</xdr:colOff>
                    <xdr:row>11</xdr:row>
                    <xdr:rowOff>295275</xdr:rowOff>
                  </to>
                </anchor>
              </controlPr>
            </control>
          </mc:Choice>
        </mc:AlternateContent>
        <mc:AlternateContent xmlns:mc="http://schemas.openxmlformats.org/markup-compatibility/2006">
          <mc:Choice Requires="x14">
            <control shapeId="7179" r:id="rId10" name="Check Box 11">
              <controlPr defaultSize="0" autoFill="0" autoLine="0" autoPict="0">
                <anchor moveWithCells="1">
                  <from>
                    <xdr:col>6</xdr:col>
                    <xdr:colOff>476250</xdr:colOff>
                    <xdr:row>11</xdr:row>
                    <xdr:rowOff>76200</xdr:rowOff>
                  </from>
                  <to>
                    <xdr:col>6</xdr:col>
                    <xdr:colOff>781050</xdr:colOff>
                    <xdr:row>11</xdr:row>
                    <xdr:rowOff>295275</xdr:rowOff>
                  </to>
                </anchor>
              </controlPr>
            </control>
          </mc:Choice>
        </mc:AlternateContent>
        <mc:AlternateContent xmlns:mc="http://schemas.openxmlformats.org/markup-compatibility/2006">
          <mc:Choice Requires="x14">
            <control shapeId="7180" r:id="rId11" name="Check Box 12">
              <controlPr defaultSize="0" autoFill="0" autoLine="0" autoPict="0">
                <anchor moveWithCells="1">
                  <from>
                    <xdr:col>7</xdr:col>
                    <xdr:colOff>476250</xdr:colOff>
                    <xdr:row>11</xdr:row>
                    <xdr:rowOff>76200</xdr:rowOff>
                  </from>
                  <to>
                    <xdr:col>7</xdr:col>
                    <xdr:colOff>781050</xdr:colOff>
                    <xdr:row>11</xdr:row>
                    <xdr:rowOff>295275</xdr:rowOff>
                  </to>
                </anchor>
              </controlPr>
            </control>
          </mc:Choice>
        </mc:AlternateContent>
        <mc:AlternateContent xmlns:mc="http://schemas.openxmlformats.org/markup-compatibility/2006">
          <mc:Choice Requires="x14">
            <control shapeId="7181" r:id="rId12" name="Check Box 13">
              <controlPr defaultSize="0" autoFill="0" autoLine="0" autoPict="0">
                <anchor moveWithCells="1">
                  <from>
                    <xdr:col>8</xdr:col>
                    <xdr:colOff>476250</xdr:colOff>
                    <xdr:row>11</xdr:row>
                    <xdr:rowOff>76200</xdr:rowOff>
                  </from>
                  <to>
                    <xdr:col>8</xdr:col>
                    <xdr:colOff>781050</xdr:colOff>
                    <xdr:row>11</xdr:row>
                    <xdr:rowOff>295275</xdr:rowOff>
                  </to>
                </anchor>
              </controlPr>
            </control>
          </mc:Choice>
        </mc:AlternateContent>
        <mc:AlternateContent xmlns:mc="http://schemas.openxmlformats.org/markup-compatibility/2006">
          <mc:Choice Requires="x14">
            <control shapeId="7182" r:id="rId13" name="Check Box 14">
              <controlPr defaultSize="0" autoFill="0" autoLine="0" autoPict="0">
                <anchor moveWithCells="1">
                  <from>
                    <xdr:col>9</xdr:col>
                    <xdr:colOff>476250</xdr:colOff>
                    <xdr:row>11</xdr:row>
                    <xdr:rowOff>76200</xdr:rowOff>
                  </from>
                  <to>
                    <xdr:col>9</xdr:col>
                    <xdr:colOff>781050</xdr:colOff>
                    <xdr:row>11</xdr:row>
                    <xdr:rowOff>295275</xdr:rowOff>
                  </to>
                </anchor>
              </controlPr>
            </control>
          </mc:Choice>
        </mc:AlternateContent>
        <mc:AlternateContent xmlns:mc="http://schemas.openxmlformats.org/markup-compatibility/2006">
          <mc:Choice Requires="x14">
            <control shapeId="7185" r:id="rId14" name="Check Box 17">
              <controlPr defaultSize="0" autoFill="0" autoLine="0" autoPict="0">
                <anchor moveWithCells="1">
                  <from>
                    <xdr:col>5</xdr:col>
                    <xdr:colOff>476250</xdr:colOff>
                    <xdr:row>12</xdr:row>
                    <xdr:rowOff>76200</xdr:rowOff>
                  </from>
                  <to>
                    <xdr:col>5</xdr:col>
                    <xdr:colOff>781050</xdr:colOff>
                    <xdr:row>12</xdr:row>
                    <xdr:rowOff>295275</xdr:rowOff>
                  </to>
                </anchor>
              </controlPr>
            </control>
          </mc:Choice>
        </mc:AlternateContent>
        <mc:AlternateContent xmlns:mc="http://schemas.openxmlformats.org/markup-compatibility/2006">
          <mc:Choice Requires="x14">
            <control shapeId="7186" r:id="rId15" name="Check Box 18">
              <controlPr defaultSize="0" autoFill="0" autoLine="0" autoPict="0">
                <anchor moveWithCells="1">
                  <from>
                    <xdr:col>6</xdr:col>
                    <xdr:colOff>476250</xdr:colOff>
                    <xdr:row>12</xdr:row>
                    <xdr:rowOff>76200</xdr:rowOff>
                  </from>
                  <to>
                    <xdr:col>6</xdr:col>
                    <xdr:colOff>781050</xdr:colOff>
                    <xdr:row>12</xdr:row>
                    <xdr:rowOff>295275</xdr:rowOff>
                  </to>
                </anchor>
              </controlPr>
            </control>
          </mc:Choice>
        </mc:AlternateContent>
        <mc:AlternateContent xmlns:mc="http://schemas.openxmlformats.org/markup-compatibility/2006">
          <mc:Choice Requires="x14">
            <control shapeId="7188" r:id="rId16" name="Check Box 20">
              <controlPr defaultSize="0" autoFill="0" autoLine="0" autoPict="0">
                <anchor moveWithCells="1">
                  <from>
                    <xdr:col>8</xdr:col>
                    <xdr:colOff>476250</xdr:colOff>
                    <xdr:row>12</xdr:row>
                    <xdr:rowOff>76200</xdr:rowOff>
                  </from>
                  <to>
                    <xdr:col>8</xdr:col>
                    <xdr:colOff>781050</xdr:colOff>
                    <xdr:row>12</xdr:row>
                    <xdr:rowOff>295275</xdr:rowOff>
                  </to>
                </anchor>
              </controlPr>
            </control>
          </mc:Choice>
        </mc:AlternateContent>
        <mc:AlternateContent xmlns:mc="http://schemas.openxmlformats.org/markup-compatibility/2006">
          <mc:Choice Requires="x14">
            <control shapeId="7189" r:id="rId17" name="Check Box 21">
              <controlPr defaultSize="0" autoFill="0" autoLine="0" autoPict="0">
                <anchor moveWithCells="1">
                  <from>
                    <xdr:col>9</xdr:col>
                    <xdr:colOff>476250</xdr:colOff>
                    <xdr:row>12</xdr:row>
                    <xdr:rowOff>76200</xdr:rowOff>
                  </from>
                  <to>
                    <xdr:col>9</xdr:col>
                    <xdr:colOff>781050</xdr:colOff>
                    <xdr:row>12</xdr:row>
                    <xdr:rowOff>295275</xdr:rowOff>
                  </to>
                </anchor>
              </controlPr>
            </control>
          </mc:Choice>
        </mc:AlternateContent>
        <mc:AlternateContent xmlns:mc="http://schemas.openxmlformats.org/markup-compatibility/2006">
          <mc:Choice Requires="x14">
            <control shapeId="7192" r:id="rId18" name="Check Box 24">
              <controlPr defaultSize="0" autoFill="0" autoLine="0" autoPict="0">
                <anchor moveWithCells="1">
                  <from>
                    <xdr:col>5</xdr:col>
                    <xdr:colOff>476250</xdr:colOff>
                    <xdr:row>13</xdr:row>
                    <xdr:rowOff>76200</xdr:rowOff>
                  </from>
                  <to>
                    <xdr:col>5</xdr:col>
                    <xdr:colOff>781050</xdr:colOff>
                    <xdr:row>13</xdr:row>
                    <xdr:rowOff>295275</xdr:rowOff>
                  </to>
                </anchor>
              </controlPr>
            </control>
          </mc:Choice>
        </mc:AlternateContent>
        <mc:AlternateContent xmlns:mc="http://schemas.openxmlformats.org/markup-compatibility/2006">
          <mc:Choice Requires="x14">
            <control shapeId="7193" r:id="rId19" name="Check Box 25">
              <controlPr defaultSize="0" autoFill="0" autoLine="0" autoPict="0">
                <anchor moveWithCells="1">
                  <from>
                    <xdr:col>6</xdr:col>
                    <xdr:colOff>476250</xdr:colOff>
                    <xdr:row>13</xdr:row>
                    <xdr:rowOff>76200</xdr:rowOff>
                  </from>
                  <to>
                    <xdr:col>6</xdr:col>
                    <xdr:colOff>781050</xdr:colOff>
                    <xdr:row>13</xdr:row>
                    <xdr:rowOff>295275</xdr:rowOff>
                  </to>
                </anchor>
              </controlPr>
            </control>
          </mc:Choice>
        </mc:AlternateContent>
        <mc:AlternateContent xmlns:mc="http://schemas.openxmlformats.org/markup-compatibility/2006">
          <mc:Choice Requires="x14">
            <control shapeId="7194" r:id="rId20" name="Check Box 26">
              <controlPr defaultSize="0" autoFill="0" autoLine="0" autoPict="0">
                <anchor moveWithCells="1">
                  <from>
                    <xdr:col>7</xdr:col>
                    <xdr:colOff>476250</xdr:colOff>
                    <xdr:row>13</xdr:row>
                    <xdr:rowOff>76200</xdr:rowOff>
                  </from>
                  <to>
                    <xdr:col>7</xdr:col>
                    <xdr:colOff>781050</xdr:colOff>
                    <xdr:row>13</xdr:row>
                    <xdr:rowOff>295275</xdr:rowOff>
                  </to>
                </anchor>
              </controlPr>
            </control>
          </mc:Choice>
        </mc:AlternateContent>
        <mc:AlternateContent xmlns:mc="http://schemas.openxmlformats.org/markup-compatibility/2006">
          <mc:Choice Requires="x14">
            <control shapeId="7195" r:id="rId21" name="Check Box 27">
              <controlPr defaultSize="0" autoFill="0" autoLine="0" autoPict="0">
                <anchor moveWithCells="1">
                  <from>
                    <xdr:col>8</xdr:col>
                    <xdr:colOff>476250</xdr:colOff>
                    <xdr:row>13</xdr:row>
                    <xdr:rowOff>76200</xdr:rowOff>
                  </from>
                  <to>
                    <xdr:col>8</xdr:col>
                    <xdr:colOff>781050</xdr:colOff>
                    <xdr:row>13</xdr:row>
                    <xdr:rowOff>295275</xdr:rowOff>
                  </to>
                </anchor>
              </controlPr>
            </control>
          </mc:Choice>
        </mc:AlternateContent>
        <mc:AlternateContent xmlns:mc="http://schemas.openxmlformats.org/markup-compatibility/2006">
          <mc:Choice Requires="x14">
            <control shapeId="7196" r:id="rId22" name="Check Box 28">
              <controlPr defaultSize="0" autoFill="0" autoLine="0" autoPict="0">
                <anchor moveWithCells="1">
                  <from>
                    <xdr:col>9</xdr:col>
                    <xdr:colOff>476250</xdr:colOff>
                    <xdr:row>13</xdr:row>
                    <xdr:rowOff>76200</xdr:rowOff>
                  </from>
                  <to>
                    <xdr:col>9</xdr:col>
                    <xdr:colOff>781050</xdr:colOff>
                    <xdr:row>13</xdr:row>
                    <xdr:rowOff>295275</xdr:rowOff>
                  </to>
                </anchor>
              </controlPr>
            </control>
          </mc:Choice>
        </mc:AlternateContent>
        <mc:AlternateContent xmlns:mc="http://schemas.openxmlformats.org/markup-compatibility/2006">
          <mc:Choice Requires="x14">
            <control shapeId="7199" r:id="rId23" name="Check Box 31">
              <controlPr defaultSize="0" autoFill="0" autoLine="0" autoPict="0">
                <anchor moveWithCells="1">
                  <from>
                    <xdr:col>5</xdr:col>
                    <xdr:colOff>476250</xdr:colOff>
                    <xdr:row>14</xdr:row>
                    <xdr:rowOff>76200</xdr:rowOff>
                  </from>
                  <to>
                    <xdr:col>5</xdr:col>
                    <xdr:colOff>781050</xdr:colOff>
                    <xdr:row>14</xdr:row>
                    <xdr:rowOff>295275</xdr:rowOff>
                  </to>
                </anchor>
              </controlPr>
            </control>
          </mc:Choice>
        </mc:AlternateContent>
        <mc:AlternateContent xmlns:mc="http://schemas.openxmlformats.org/markup-compatibility/2006">
          <mc:Choice Requires="x14">
            <control shapeId="7200" r:id="rId24" name="Check Box 32">
              <controlPr defaultSize="0" autoFill="0" autoLine="0" autoPict="0">
                <anchor moveWithCells="1">
                  <from>
                    <xdr:col>6</xdr:col>
                    <xdr:colOff>476250</xdr:colOff>
                    <xdr:row>14</xdr:row>
                    <xdr:rowOff>76200</xdr:rowOff>
                  </from>
                  <to>
                    <xdr:col>6</xdr:col>
                    <xdr:colOff>781050</xdr:colOff>
                    <xdr:row>14</xdr:row>
                    <xdr:rowOff>295275</xdr:rowOff>
                  </to>
                </anchor>
              </controlPr>
            </control>
          </mc:Choice>
        </mc:AlternateContent>
        <mc:AlternateContent xmlns:mc="http://schemas.openxmlformats.org/markup-compatibility/2006">
          <mc:Choice Requires="x14">
            <control shapeId="7201" r:id="rId25" name="Check Box 33">
              <controlPr defaultSize="0" autoFill="0" autoLine="0" autoPict="0">
                <anchor moveWithCells="1">
                  <from>
                    <xdr:col>7</xdr:col>
                    <xdr:colOff>476250</xdr:colOff>
                    <xdr:row>14</xdr:row>
                    <xdr:rowOff>76200</xdr:rowOff>
                  </from>
                  <to>
                    <xdr:col>7</xdr:col>
                    <xdr:colOff>781050</xdr:colOff>
                    <xdr:row>14</xdr:row>
                    <xdr:rowOff>295275</xdr:rowOff>
                  </to>
                </anchor>
              </controlPr>
            </control>
          </mc:Choice>
        </mc:AlternateContent>
        <mc:AlternateContent xmlns:mc="http://schemas.openxmlformats.org/markup-compatibility/2006">
          <mc:Choice Requires="x14">
            <control shapeId="7202" r:id="rId26" name="Check Box 34">
              <controlPr defaultSize="0" autoFill="0" autoLine="0" autoPict="0">
                <anchor moveWithCells="1">
                  <from>
                    <xdr:col>8</xdr:col>
                    <xdr:colOff>476250</xdr:colOff>
                    <xdr:row>14</xdr:row>
                    <xdr:rowOff>76200</xdr:rowOff>
                  </from>
                  <to>
                    <xdr:col>8</xdr:col>
                    <xdr:colOff>781050</xdr:colOff>
                    <xdr:row>14</xdr:row>
                    <xdr:rowOff>295275</xdr:rowOff>
                  </to>
                </anchor>
              </controlPr>
            </control>
          </mc:Choice>
        </mc:AlternateContent>
        <mc:AlternateContent xmlns:mc="http://schemas.openxmlformats.org/markup-compatibility/2006">
          <mc:Choice Requires="x14">
            <control shapeId="7203" r:id="rId27" name="Check Box 35">
              <controlPr defaultSize="0" autoFill="0" autoLine="0" autoPict="0">
                <anchor moveWithCells="1">
                  <from>
                    <xdr:col>9</xdr:col>
                    <xdr:colOff>476250</xdr:colOff>
                    <xdr:row>14</xdr:row>
                    <xdr:rowOff>76200</xdr:rowOff>
                  </from>
                  <to>
                    <xdr:col>9</xdr:col>
                    <xdr:colOff>781050</xdr:colOff>
                    <xdr:row>14</xdr:row>
                    <xdr:rowOff>295275</xdr:rowOff>
                  </to>
                </anchor>
              </controlPr>
            </control>
          </mc:Choice>
        </mc:AlternateContent>
        <mc:AlternateContent xmlns:mc="http://schemas.openxmlformats.org/markup-compatibility/2006">
          <mc:Choice Requires="x14">
            <control shapeId="7207" r:id="rId28" name="Check Box 39">
              <controlPr defaultSize="0" autoFill="0" autoLine="0" autoPict="0">
                <anchor moveWithCells="1">
                  <from>
                    <xdr:col>6</xdr:col>
                    <xdr:colOff>476250</xdr:colOff>
                    <xdr:row>15</xdr:row>
                    <xdr:rowOff>76200</xdr:rowOff>
                  </from>
                  <to>
                    <xdr:col>6</xdr:col>
                    <xdr:colOff>781050</xdr:colOff>
                    <xdr:row>15</xdr:row>
                    <xdr:rowOff>295275</xdr:rowOff>
                  </to>
                </anchor>
              </controlPr>
            </control>
          </mc:Choice>
        </mc:AlternateContent>
        <mc:AlternateContent xmlns:mc="http://schemas.openxmlformats.org/markup-compatibility/2006">
          <mc:Choice Requires="x14">
            <control shapeId="7208" r:id="rId29" name="Check Box 40">
              <controlPr defaultSize="0" autoFill="0" autoLine="0" autoPict="0">
                <anchor moveWithCells="1">
                  <from>
                    <xdr:col>7</xdr:col>
                    <xdr:colOff>476250</xdr:colOff>
                    <xdr:row>15</xdr:row>
                    <xdr:rowOff>76200</xdr:rowOff>
                  </from>
                  <to>
                    <xdr:col>7</xdr:col>
                    <xdr:colOff>781050</xdr:colOff>
                    <xdr:row>15</xdr:row>
                    <xdr:rowOff>295275</xdr:rowOff>
                  </to>
                </anchor>
              </controlPr>
            </control>
          </mc:Choice>
        </mc:AlternateContent>
        <mc:AlternateContent xmlns:mc="http://schemas.openxmlformats.org/markup-compatibility/2006">
          <mc:Choice Requires="x14">
            <control shapeId="7209" r:id="rId30" name="Check Box 41">
              <controlPr defaultSize="0" autoFill="0" autoLine="0" autoPict="0">
                <anchor moveWithCells="1">
                  <from>
                    <xdr:col>8</xdr:col>
                    <xdr:colOff>476250</xdr:colOff>
                    <xdr:row>15</xdr:row>
                    <xdr:rowOff>76200</xdr:rowOff>
                  </from>
                  <to>
                    <xdr:col>8</xdr:col>
                    <xdr:colOff>781050</xdr:colOff>
                    <xdr:row>15</xdr:row>
                    <xdr:rowOff>295275</xdr:rowOff>
                  </to>
                </anchor>
              </controlPr>
            </control>
          </mc:Choice>
        </mc:AlternateContent>
        <mc:AlternateContent xmlns:mc="http://schemas.openxmlformats.org/markup-compatibility/2006">
          <mc:Choice Requires="x14">
            <control shapeId="7210" r:id="rId31" name="Check Box 42">
              <controlPr defaultSize="0" autoFill="0" autoLine="0" autoPict="0">
                <anchor moveWithCells="1">
                  <from>
                    <xdr:col>9</xdr:col>
                    <xdr:colOff>476250</xdr:colOff>
                    <xdr:row>15</xdr:row>
                    <xdr:rowOff>76200</xdr:rowOff>
                  </from>
                  <to>
                    <xdr:col>9</xdr:col>
                    <xdr:colOff>781050</xdr:colOff>
                    <xdr:row>15</xdr:row>
                    <xdr:rowOff>295275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499984740745262"/>
  </sheetPr>
  <dimension ref="A1:S139"/>
  <sheetViews>
    <sheetView topLeftCell="A43" workbookViewId="0">
      <selection activeCell="J25" sqref="B18:J25"/>
    </sheetView>
  </sheetViews>
  <sheetFormatPr defaultColWidth="11.42578125" defaultRowHeight="12.75"/>
  <cols>
    <col min="1" max="1" width="12.140625" bestFit="1" customWidth="1"/>
    <col min="2" max="2" width="13.140625" customWidth="1"/>
    <col min="3" max="3" width="27.85546875" customWidth="1"/>
    <col min="4" max="4" width="23.42578125" customWidth="1"/>
    <col min="5" max="5" width="21" customWidth="1"/>
    <col min="6" max="6" width="14.140625" customWidth="1"/>
    <col min="7" max="8" width="17.140625" customWidth="1"/>
    <col min="9" max="9" width="14.42578125" customWidth="1"/>
    <col min="10" max="10" width="17.140625" customWidth="1"/>
    <col min="11" max="11" width="11.140625" customWidth="1"/>
    <col min="12" max="12" width="10.85546875" customWidth="1"/>
    <col min="13" max="13" width="13.42578125" customWidth="1"/>
    <col min="14" max="14" width="10.85546875" customWidth="1"/>
  </cols>
  <sheetData>
    <row r="1" spans="1:19">
      <c r="A1" s="136" t="s">
        <v>252</v>
      </c>
      <c r="B1" s="138"/>
      <c r="C1" s="130"/>
    </row>
    <row r="2" spans="1:19">
      <c r="B2" s="114"/>
      <c r="C2" s="11"/>
    </row>
    <row r="3" spans="1:19" ht="15.75">
      <c r="A3" s="139" t="s">
        <v>265</v>
      </c>
      <c r="B3" s="140"/>
      <c r="C3" s="140"/>
      <c r="D3" s="140"/>
      <c r="E3" s="140"/>
      <c r="F3" s="140"/>
      <c r="G3" s="140"/>
      <c r="H3" s="140"/>
      <c r="I3" s="140"/>
      <c r="J3" s="140"/>
      <c r="K3" s="140"/>
      <c r="L3" s="140"/>
      <c r="M3" s="140"/>
      <c r="N3" s="140"/>
      <c r="O3" s="140"/>
      <c r="P3" s="140"/>
      <c r="Q3" s="140"/>
      <c r="R3" s="140"/>
      <c r="S3" s="140"/>
    </row>
    <row r="4" spans="1:19" ht="13.5" thickBot="1">
      <c r="B4" s="114"/>
      <c r="C4" s="11"/>
    </row>
    <row r="5" spans="1:19" ht="14.25" thickTop="1" thickBot="1">
      <c r="A5" s="11"/>
      <c r="B5" s="114"/>
      <c r="C5" s="172" t="s">
        <v>268</v>
      </c>
      <c r="D5" s="152" t="s">
        <v>269</v>
      </c>
      <c r="E5" s="130"/>
      <c r="F5" s="130"/>
      <c r="G5" s="130"/>
      <c r="H5" s="130"/>
      <c r="K5" s="149" t="s">
        <v>267</v>
      </c>
      <c r="L5" s="149" t="s">
        <v>193</v>
      </c>
      <c r="M5" s="149" t="s">
        <v>236</v>
      </c>
    </row>
    <row r="6" spans="1:19" ht="13.5" thickTop="1">
      <c r="B6" s="114"/>
      <c r="C6" s="11"/>
      <c r="M6" s="175" t="s">
        <v>3416</v>
      </c>
    </row>
    <row r="7" spans="1:19">
      <c r="B7" s="114"/>
      <c r="C7" s="11"/>
    </row>
    <row r="8" spans="1:19">
      <c r="B8" s="141">
        <v>1</v>
      </c>
      <c r="C8" s="11" t="s">
        <v>131</v>
      </c>
    </row>
    <row r="9" spans="1:19">
      <c r="B9" s="141">
        <v>2</v>
      </c>
      <c r="C9" s="11" t="s">
        <v>136</v>
      </c>
      <c r="D9" s="627" t="s">
        <v>387</v>
      </c>
      <c r="E9" s="627" t="s">
        <v>388</v>
      </c>
      <c r="F9" s="626" t="s">
        <v>3408</v>
      </c>
    </row>
    <row r="10" spans="1:19">
      <c r="B10" s="141">
        <v>3</v>
      </c>
      <c r="C10" s="11" t="s">
        <v>137</v>
      </c>
      <c r="E10" s="11" t="s">
        <v>138</v>
      </c>
    </row>
    <row r="11" spans="1:19">
      <c r="B11" s="141">
        <v>4</v>
      </c>
      <c r="C11" s="11" t="s">
        <v>146</v>
      </c>
      <c r="D11" s="153" t="s">
        <v>3172</v>
      </c>
      <c r="E11" s="11" t="s">
        <v>147</v>
      </c>
      <c r="F11" s="153" t="s">
        <v>3172</v>
      </c>
    </row>
    <row r="12" spans="1:19">
      <c r="B12" s="154">
        <v>5</v>
      </c>
      <c r="C12" s="136" t="s">
        <v>139</v>
      </c>
      <c r="D12" s="155" t="s">
        <v>140</v>
      </c>
      <c r="E12" s="136"/>
      <c r="F12" s="137"/>
      <c r="J12" s="13"/>
    </row>
    <row r="13" spans="1:19">
      <c r="B13" s="141">
        <v>6</v>
      </c>
      <c r="C13" s="11" t="s">
        <v>135</v>
      </c>
      <c r="D13" s="153" t="s">
        <v>141</v>
      </c>
    </row>
    <row r="14" spans="1:19">
      <c r="B14" s="141">
        <v>7</v>
      </c>
      <c r="C14" s="11" t="s">
        <v>134</v>
      </c>
      <c r="D14" s="153" t="s">
        <v>141</v>
      </c>
      <c r="G14" s="11"/>
    </row>
    <row r="15" spans="1:19">
      <c r="B15" s="114"/>
      <c r="C15" s="13"/>
      <c r="D15" s="13"/>
    </row>
    <row r="16" spans="1:19" ht="13.5" thickBot="1">
      <c r="B16" s="114"/>
      <c r="C16" s="13"/>
      <c r="E16" s="13"/>
      <c r="G16" s="13"/>
      <c r="H16" s="13"/>
      <c r="J16" s="13"/>
    </row>
    <row r="17" spans="1:15" ht="15.75" thickTop="1">
      <c r="A17" s="272"/>
      <c r="B17" s="273"/>
      <c r="C17" s="274" t="s">
        <v>270</v>
      </c>
      <c r="D17" s="275"/>
      <c r="E17" s="275"/>
      <c r="F17" s="275"/>
      <c r="G17" s="275"/>
      <c r="H17" s="275"/>
      <c r="I17" s="275"/>
      <c r="J17" s="275"/>
      <c r="K17" s="275"/>
      <c r="L17" s="275"/>
      <c r="M17" s="275"/>
      <c r="N17" s="275"/>
      <c r="O17" s="276"/>
    </row>
    <row r="18" spans="1:15">
      <c r="A18" s="277"/>
      <c r="B18" s="114"/>
      <c r="C18" s="13"/>
      <c r="E18" s="13"/>
      <c r="G18" s="13"/>
      <c r="H18" s="13"/>
      <c r="J18" s="13"/>
      <c r="O18" s="278"/>
    </row>
    <row r="19" spans="1:15" ht="25.5">
      <c r="A19" s="277"/>
      <c r="B19" s="114"/>
      <c r="C19" s="157"/>
      <c r="D19" s="158" t="s">
        <v>133</v>
      </c>
      <c r="E19" s="158" t="s">
        <v>153</v>
      </c>
      <c r="F19" s="158" t="s">
        <v>155</v>
      </c>
      <c r="G19" s="158" t="s">
        <v>154</v>
      </c>
      <c r="H19" s="158" t="s">
        <v>208</v>
      </c>
      <c r="I19" s="158" t="s">
        <v>251</v>
      </c>
      <c r="O19" s="278"/>
    </row>
    <row r="20" spans="1:15">
      <c r="A20" s="277"/>
      <c r="B20" s="114"/>
      <c r="C20" s="159" t="s">
        <v>148</v>
      </c>
      <c r="D20" s="159" t="s">
        <v>141</v>
      </c>
      <c r="E20" s="159" t="s">
        <v>141</v>
      </c>
      <c r="F20" s="159" t="s">
        <v>141</v>
      </c>
      <c r="G20" s="159" t="s">
        <v>141</v>
      </c>
      <c r="H20" s="157"/>
      <c r="I20" s="157"/>
      <c r="O20" s="278"/>
    </row>
    <row r="21" spans="1:15">
      <c r="A21" s="277"/>
      <c r="B21" s="114"/>
      <c r="C21" s="159" t="s">
        <v>149</v>
      </c>
      <c r="D21" s="159" t="s">
        <v>141</v>
      </c>
      <c r="E21" s="159" t="s">
        <v>141</v>
      </c>
      <c r="F21" s="159" t="s">
        <v>141</v>
      </c>
      <c r="G21" s="159" t="s">
        <v>141</v>
      </c>
      <c r="H21" s="157"/>
      <c r="I21" s="157"/>
      <c r="O21" s="278"/>
    </row>
    <row r="22" spans="1:15">
      <c r="A22" s="277"/>
      <c r="B22" s="114"/>
      <c r="C22" s="159" t="s">
        <v>150</v>
      </c>
      <c r="D22" s="159" t="s">
        <v>141</v>
      </c>
      <c r="E22" s="159" t="s">
        <v>141</v>
      </c>
      <c r="F22" s="159" t="s">
        <v>141</v>
      </c>
      <c r="G22" s="159" t="s">
        <v>141</v>
      </c>
      <c r="H22" s="157"/>
      <c r="I22" s="157"/>
      <c r="O22" s="278"/>
    </row>
    <row r="23" spans="1:15">
      <c r="A23" s="277"/>
      <c r="B23" s="114"/>
      <c r="C23" s="159" t="s">
        <v>151</v>
      </c>
      <c r="D23" s="159" t="s">
        <v>141</v>
      </c>
      <c r="E23" s="159" t="s">
        <v>141</v>
      </c>
      <c r="F23" s="159" t="s">
        <v>141</v>
      </c>
      <c r="G23" s="159" t="s">
        <v>141</v>
      </c>
      <c r="H23" s="157"/>
      <c r="I23" s="157"/>
      <c r="O23" s="278"/>
    </row>
    <row r="24" spans="1:15">
      <c r="A24" s="277"/>
      <c r="B24" s="114"/>
      <c r="C24" s="159" t="s">
        <v>152</v>
      </c>
      <c r="D24" s="159" t="s">
        <v>141</v>
      </c>
      <c r="E24" s="159" t="s">
        <v>141</v>
      </c>
      <c r="F24" s="159" t="s">
        <v>141</v>
      </c>
      <c r="G24" s="159" t="s">
        <v>141</v>
      </c>
      <c r="H24" s="157"/>
      <c r="I24" s="157"/>
      <c r="O24" s="278"/>
    </row>
    <row r="25" spans="1:15">
      <c r="A25" s="277"/>
      <c r="B25" s="114"/>
      <c r="O25" s="278"/>
    </row>
    <row r="26" spans="1:15">
      <c r="A26" s="277"/>
      <c r="B26" s="11" t="s">
        <v>240</v>
      </c>
      <c r="E26" s="13"/>
      <c r="K26" s="11" t="s">
        <v>273</v>
      </c>
      <c r="M26" s="279" t="s">
        <v>195</v>
      </c>
      <c r="N26" s="279"/>
      <c r="O26" s="278"/>
    </row>
    <row r="27" spans="1:15">
      <c r="A27" s="277"/>
      <c r="B27" s="11"/>
      <c r="E27" s="13"/>
      <c r="K27" s="11" t="s">
        <v>274</v>
      </c>
      <c r="M27" s="279" t="s">
        <v>141</v>
      </c>
      <c r="O27" s="278"/>
    </row>
    <row r="28" spans="1:15" ht="13.5" thickBot="1">
      <c r="A28" s="277"/>
      <c r="B28" s="11"/>
      <c r="E28" s="11"/>
      <c r="K28" s="11"/>
      <c r="M28" s="510" t="s">
        <v>3171</v>
      </c>
      <c r="N28" s="279"/>
      <c r="O28" s="280"/>
    </row>
    <row r="29" spans="1:15" ht="24" thickTop="1" thickBot="1">
      <c r="A29" s="277"/>
      <c r="B29" s="11"/>
      <c r="K29" s="174" t="s">
        <v>277</v>
      </c>
      <c r="L29" s="174" t="s">
        <v>276</v>
      </c>
      <c r="M29" s="174" t="s">
        <v>278</v>
      </c>
      <c r="O29" s="278"/>
    </row>
    <row r="30" spans="1:15" ht="13.5" thickTop="1">
      <c r="A30" s="277"/>
      <c r="B30" s="11"/>
      <c r="K30" s="175" t="s">
        <v>279</v>
      </c>
      <c r="L30" s="175" t="s">
        <v>280</v>
      </c>
      <c r="M30" s="175" t="s">
        <v>317</v>
      </c>
      <c r="O30" s="278"/>
    </row>
    <row r="31" spans="1:15">
      <c r="A31" s="277"/>
      <c r="B31" s="11"/>
      <c r="O31" s="278"/>
    </row>
    <row r="32" spans="1:15">
      <c r="A32" s="662" t="s">
        <v>55</v>
      </c>
      <c r="B32" s="659" t="s">
        <v>56</v>
      </c>
      <c r="C32" s="659" t="s">
        <v>57</v>
      </c>
      <c r="D32" s="659" t="s">
        <v>58</v>
      </c>
      <c r="E32" s="665" t="s">
        <v>194</v>
      </c>
      <c r="F32" s="657" t="s">
        <v>3199</v>
      </c>
      <c r="G32" s="657"/>
      <c r="H32" s="657"/>
      <c r="I32" s="657"/>
      <c r="J32" s="657"/>
      <c r="K32" s="657"/>
      <c r="L32" s="658"/>
      <c r="M32" s="659" t="s">
        <v>61</v>
      </c>
      <c r="N32" s="508"/>
      <c r="O32" s="281"/>
    </row>
    <row r="33" spans="1:15">
      <c r="A33" s="663"/>
      <c r="B33" s="660"/>
      <c r="C33" s="660"/>
      <c r="D33" s="660"/>
      <c r="E33" s="666"/>
      <c r="F33" s="121">
        <v>1</v>
      </c>
      <c r="G33" s="121">
        <v>2</v>
      </c>
      <c r="H33" s="121">
        <v>3</v>
      </c>
      <c r="I33" s="121" t="s">
        <v>129</v>
      </c>
      <c r="J33" s="121" t="s">
        <v>129</v>
      </c>
      <c r="K33" s="121">
        <v>30</v>
      </c>
      <c r="L33" s="121">
        <v>31</v>
      </c>
      <c r="M33" s="660"/>
      <c r="N33" s="508"/>
      <c r="O33" s="281"/>
    </row>
    <row r="34" spans="1:15">
      <c r="A34" s="664"/>
      <c r="B34" s="661"/>
      <c r="C34" s="661"/>
      <c r="D34" s="661"/>
      <c r="E34" s="667"/>
      <c r="F34" s="121" t="s">
        <v>197</v>
      </c>
      <c r="G34" s="121" t="s">
        <v>198</v>
      </c>
      <c r="H34" s="121" t="s">
        <v>199</v>
      </c>
      <c r="I34" s="121" t="s">
        <v>129</v>
      </c>
      <c r="J34" s="121" t="s">
        <v>129</v>
      </c>
      <c r="K34" s="121" t="s">
        <v>200</v>
      </c>
      <c r="L34" s="121" t="s">
        <v>201</v>
      </c>
      <c r="M34" s="661"/>
      <c r="N34" s="508"/>
      <c r="O34" s="281"/>
    </row>
    <row r="35" spans="1:15" ht="25.5">
      <c r="A35" s="282">
        <v>1</v>
      </c>
      <c r="B35" s="123" t="s">
        <v>62</v>
      </c>
      <c r="C35" s="123" t="s">
        <v>63</v>
      </c>
      <c r="D35" s="124" t="s">
        <v>64</v>
      </c>
      <c r="E35" s="125" t="s">
        <v>275</v>
      </c>
      <c r="F35" s="150"/>
      <c r="G35" s="150"/>
      <c r="H35" s="150"/>
      <c r="I35" s="150"/>
      <c r="J35" s="150"/>
      <c r="K35" s="151"/>
      <c r="L35" s="151"/>
      <c r="M35" s="127"/>
      <c r="N35" s="129" t="s">
        <v>267</v>
      </c>
      <c r="O35" s="509" t="s">
        <v>207</v>
      </c>
    </row>
    <row r="36" spans="1:15" ht="18.75" customHeight="1">
      <c r="A36" s="282">
        <v>2</v>
      </c>
      <c r="B36" s="123" t="s">
        <v>67</v>
      </c>
      <c r="C36" s="123" t="s">
        <v>68</v>
      </c>
      <c r="D36" s="124" t="s">
        <v>72</v>
      </c>
      <c r="E36" s="125"/>
      <c r="F36" s="126"/>
      <c r="G36" s="126"/>
      <c r="H36" s="126"/>
      <c r="I36" s="126"/>
      <c r="J36" s="126"/>
      <c r="K36" s="151"/>
      <c r="L36" s="151"/>
      <c r="M36" s="127"/>
      <c r="N36" s="129" t="s">
        <v>267</v>
      </c>
      <c r="O36" s="509" t="s">
        <v>207</v>
      </c>
    </row>
    <row r="37" spans="1:15" ht="18.75" customHeight="1">
      <c r="A37" s="282">
        <v>3</v>
      </c>
      <c r="B37" s="123" t="s">
        <v>70</v>
      </c>
      <c r="C37" s="123" t="s">
        <v>71</v>
      </c>
      <c r="D37" s="124" t="s">
        <v>202</v>
      </c>
      <c r="E37" s="125"/>
      <c r="F37" s="126"/>
      <c r="G37" s="126"/>
      <c r="H37" s="126"/>
      <c r="I37" s="126"/>
      <c r="J37" s="126"/>
      <c r="K37" s="151"/>
      <c r="L37" s="151"/>
      <c r="M37" s="127"/>
      <c r="N37" s="129" t="s">
        <v>267</v>
      </c>
      <c r="O37" s="509" t="s">
        <v>207</v>
      </c>
    </row>
    <row r="38" spans="1:15" ht="18.75" customHeight="1">
      <c r="A38" s="282">
        <v>4</v>
      </c>
      <c r="B38" s="123" t="s">
        <v>73</v>
      </c>
      <c r="C38" s="123" t="s">
        <v>74</v>
      </c>
      <c r="D38" s="124" t="s">
        <v>80</v>
      </c>
      <c r="E38" s="125"/>
      <c r="F38" s="126"/>
      <c r="G38" s="126"/>
      <c r="H38" s="126"/>
      <c r="I38" s="126"/>
      <c r="J38" s="126"/>
      <c r="K38" s="151"/>
      <c r="L38" s="151"/>
      <c r="M38" s="127"/>
      <c r="N38" s="129" t="s">
        <v>267</v>
      </c>
      <c r="O38" s="509" t="s">
        <v>207</v>
      </c>
    </row>
    <row r="39" spans="1:15" ht="18.75" customHeight="1">
      <c r="A39" s="282">
        <v>5</v>
      </c>
      <c r="B39" s="123" t="s">
        <v>78</v>
      </c>
      <c r="C39" s="123" t="s">
        <v>79</v>
      </c>
      <c r="D39" s="124" t="s">
        <v>80</v>
      </c>
      <c r="E39" s="125"/>
      <c r="F39" s="126"/>
      <c r="G39" s="126"/>
      <c r="H39" s="126"/>
      <c r="I39" s="126"/>
      <c r="J39" s="126"/>
      <c r="K39" s="151"/>
      <c r="L39" s="151"/>
      <c r="M39" s="127"/>
      <c r="N39" s="129" t="s">
        <v>267</v>
      </c>
      <c r="O39" s="509" t="s">
        <v>207</v>
      </c>
    </row>
    <row r="40" spans="1:15" ht="18.75" customHeight="1">
      <c r="A40" s="282">
        <v>6</v>
      </c>
      <c r="B40" s="123" t="s">
        <v>82</v>
      </c>
      <c r="C40" s="123" t="s">
        <v>83</v>
      </c>
      <c r="D40" s="124" t="s">
        <v>203</v>
      </c>
      <c r="E40" s="125"/>
      <c r="F40" s="126"/>
      <c r="G40" s="126"/>
      <c r="H40" s="126"/>
      <c r="I40" s="126"/>
      <c r="J40" s="126"/>
      <c r="K40" s="151"/>
      <c r="L40" s="151"/>
      <c r="M40" s="128"/>
      <c r="N40" s="129" t="s">
        <v>267</v>
      </c>
      <c r="O40" s="509" t="s">
        <v>207</v>
      </c>
    </row>
    <row r="41" spans="1:15">
      <c r="A41" s="282"/>
      <c r="B41" s="129" t="s">
        <v>204</v>
      </c>
      <c r="C41" s="123"/>
      <c r="D41" s="124"/>
      <c r="E41" s="125"/>
      <c r="F41" s="126"/>
      <c r="G41" s="126"/>
      <c r="H41" s="126"/>
      <c r="I41" s="126"/>
      <c r="J41" s="126"/>
      <c r="K41" s="151"/>
      <c r="L41" s="151"/>
      <c r="M41" s="128"/>
      <c r="N41" s="284"/>
      <c r="O41" s="281"/>
    </row>
    <row r="42" spans="1:15">
      <c r="A42" s="282"/>
      <c r="B42" s="129"/>
      <c r="C42" s="123"/>
      <c r="D42" s="124"/>
      <c r="E42" s="125"/>
      <c r="F42" s="126"/>
      <c r="G42" s="126"/>
      <c r="H42" s="126"/>
      <c r="I42" s="126"/>
      <c r="J42" s="126"/>
      <c r="K42" s="151"/>
      <c r="L42" s="151"/>
      <c r="M42" s="128"/>
      <c r="N42" s="284"/>
      <c r="O42" s="281"/>
    </row>
    <row r="43" spans="1:15" ht="13.5" thickBot="1">
      <c r="A43" s="277"/>
      <c r="N43" s="284"/>
      <c r="O43" s="278"/>
    </row>
    <row r="44" spans="1:15" ht="27" thickTop="1" thickBot="1">
      <c r="A44" s="277"/>
      <c r="L44" s="173" t="s">
        <v>219</v>
      </c>
      <c r="M44" s="173" t="s">
        <v>220</v>
      </c>
      <c r="N44" s="284"/>
      <c r="O44" s="278"/>
    </row>
    <row r="45" spans="1:15" s="116" customFormat="1" ht="15.75" thickTop="1">
      <c r="A45" s="283"/>
      <c r="M45" s="284"/>
      <c r="N45" s="284"/>
      <c r="O45" s="285"/>
    </row>
    <row r="46" spans="1:15" s="116" customFormat="1" ht="15">
      <c r="A46" s="283"/>
      <c r="M46" s="284"/>
      <c r="N46" s="284"/>
      <c r="O46" s="285"/>
    </row>
    <row r="47" spans="1:15" s="116" customFormat="1" ht="15.75" thickBot="1">
      <c r="A47" s="286"/>
      <c r="B47" s="287"/>
      <c r="C47" s="287"/>
      <c r="D47" s="287"/>
      <c r="E47" s="287"/>
      <c r="F47" s="287"/>
      <c r="G47" s="287"/>
      <c r="H47" s="287"/>
      <c r="I47" s="287"/>
      <c r="J47" s="287"/>
      <c r="K47" s="287"/>
      <c r="L47" s="287"/>
      <c r="M47" s="288"/>
      <c r="N47" s="288"/>
      <c r="O47" s="289"/>
    </row>
    <row r="48" spans="1:15" s="116" customFormat="1" ht="15.75" thickTop="1"/>
    <row r="51" spans="1:15" ht="13.5" thickBot="1"/>
    <row r="52" spans="1:15" ht="15.75" thickTop="1">
      <c r="A52" s="290"/>
      <c r="B52" s="291"/>
      <c r="C52" s="292" t="s">
        <v>271</v>
      </c>
      <c r="D52" s="293"/>
      <c r="E52" s="293"/>
      <c r="F52" s="293"/>
      <c r="G52" s="293"/>
      <c r="H52" s="293"/>
      <c r="I52" s="293"/>
      <c r="J52" s="293"/>
      <c r="K52" s="293"/>
      <c r="L52" s="293"/>
      <c r="M52" s="293"/>
      <c r="N52" s="293"/>
      <c r="O52" s="294"/>
    </row>
    <row r="53" spans="1:15" ht="15">
      <c r="A53" s="277"/>
      <c r="B53" s="114"/>
      <c r="C53" s="295"/>
      <c r="O53" s="278"/>
    </row>
    <row r="54" spans="1:15" ht="38.25">
      <c r="A54" s="277"/>
      <c r="B54" s="114"/>
      <c r="C54" s="160" t="s">
        <v>156</v>
      </c>
      <c r="D54" s="161" t="s">
        <v>132</v>
      </c>
      <c r="E54" s="161" t="s">
        <v>145</v>
      </c>
      <c r="F54" s="161" t="s">
        <v>147</v>
      </c>
      <c r="G54" s="160" t="s">
        <v>133</v>
      </c>
      <c r="H54" s="160" t="s">
        <v>153</v>
      </c>
      <c r="I54" s="160" t="s">
        <v>155</v>
      </c>
      <c r="J54" s="160" t="s">
        <v>154</v>
      </c>
      <c r="K54" s="160" t="s">
        <v>208</v>
      </c>
      <c r="L54" s="160" t="s">
        <v>251</v>
      </c>
      <c r="O54" s="278"/>
    </row>
    <row r="55" spans="1:15">
      <c r="A55" s="277"/>
      <c r="B55" s="114"/>
      <c r="C55" s="162" t="s">
        <v>142</v>
      </c>
      <c r="D55" s="162" t="s">
        <v>124</v>
      </c>
      <c r="E55" s="162"/>
      <c r="F55" s="162"/>
      <c r="G55" s="162" t="s">
        <v>141</v>
      </c>
      <c r="H55" s="162" t="s">
        <v>141</v>
      </c>
      <c r="I55" s="162" t="s">
        <v>141</v>
      </c>
      <c r="J55" s="162" t="s">
        <v>141</v>
      </c>
      <c r="K55" s="163"/>
      <c r="L55" s="163"/>
      <c r="O55" s="278"/>
    </row>
    <row r="56" spans="1:15">
      <c r="A56" s="277"/>
      <c r="B56" s="114"/>
      <c r="C56" s="163"/>
      <c r="D56" s="162" t="s">
        <v>127</v>
      </c>
      <c r="E56" s="162"/>
      <c r="F56" s="162"/>
      <c r="G56" s="162" t="s">
        <v>141</v>
      </c>
      <c r="H56" s="162" t="s">
        <v>141</v>
      </c>
      <c r="I56" s="162" t="s">
        <v>141</v>
      </c>
      <c r="J56" s="162" t="s">
        <v>141</v>
      </c>
      <c r="K56" s="163"/>
      <c r="L56" s="163"/>
      <c r="O56" s="278"/>
    </row>
    <row r="57" spans="1:15">
      <c r="A57" s="277"/>
      <c r="B57" s="114"/>
      <c r="C57" s="162" t="s">
        <v>143</v>
      </c>
      <c r="D57" s="162" t="s">
        <v>124</v>
      </c>
      <c r="E57" s="162"/>
      <c r="F57" s="162"/>
      <c r="G57" s="162" t="s">
        <v>141</v>
      </c>
      <c r="H57" s="162" t="s">
        <v>141</v>
      </c>
      <c r="I57" s="162" t="s">
        <v>141</v>
      </c>
      <c r="J57" s="162" t="s">
        <v>141</v>
      </c>
      <c r="K57" s="163"/>
      <c r="L57" s="163"/>
      <c r="O57" s="278"/>
    </row>
    <row r="58" spans="1:15">
      <c r="A58" s="277"/>
      <c r="B58" s="114"/>
      <c r="C58" s="162"/>
      <c r="D58" s="162" t="s">
        <v>127</v>
      </c>
      <c r="E58" s="162"/>
      <c r="F58" s="162"/>
      <c r="G58" s="162" t="s">
        <v>141</v>
      </c>
      <c r="H58" s="162" t="s">
        <v>141</v>
      </c>
      <c r="I58" s="162" t="s">
        <v>141</v>
      </c>
      <c r="J58" s="162" t="s">
        <v>141</v>
      </c>
      <c r="K58" s="163"/>
      <c r="L58" s="163"/>
      <c r="O58" s="278"/>
    </row>
    <row r="59" spans="1:15">
      <c r="A59" s="277"/>
      <c r="B59" s="114"/>
      <c r="C59" s="162" t="s">
        <v>144</v>
      </c>
      <c r="D59" s="163"/>
      <c r="E59" s="162"/>
      <c r="F59" s="162"/>
      <c r="G59" s="162"/>
      <c r="H59" s="162" t="s">
        <v>141</v>
      </c>
      <c r="I59" s="162"/>
      <c r="J59" s="162"/>
      <c r="K59" s="163"/>
      <c r="L59" s="163"/>
      <c r="M59" s="153" t="s">
        <v>3264</v>
      </c>
      <c r="O59" s="278"/>
    </row>
    <row r="60" spans="1:15">
      <c r="A60" s="277"/>
      <c r="O60" s="278"/>
    </row>
    <row r="61" spans="1:15">
      <c r="A61" s="277"/>
      <c r="B61" s="11" t="s">
        <v>241</v>
      </c>
      <c r="D61" s="11" t="s">
        <v>3197</v>
      </c>
      <c r="E61" s="153" t="s">
        <v>3201</v>
      </c>
      <c r="K61" s="11" t="s">
        <v>273</v>
      </c>
      <c r="M61" s="279" t="s">
        <v>195</v>
      </c>
      <c r="N61" s="279"/>
      <c r="O61" s="278"/>
    </row>
    <row r="62" spans="1:15">
      <c r="A62" s="277"/>
      <c r="B62" s="11"/>
      <c r="D62" s="11"/>
      <c r="K62" s="11" t="s">
        <v>274</v>
      </c>
      <c r="M62" s="279" t="s">
        <v>141</v>
      </c>
      <c r="N62" s="279"/>
      <c r="O62" s="278"/>
    </row>
    <row r="63" spans="1:15" ht="13.5" thickBot="1">
      <c r="A63" s="277"/>
      <c r="B63" s="11"/>
      <c r="E63" s="11"/>
      <c r="K63" s="11"/>
      <c r="M63" s="511" t="s">
        <v>209</v>
      </c>
      <c r="N63" s="279"/>
      <c r="O63" s="280"/>
    </row>
    <row r="64" spans="1:15" ht="24" thickTop="1" thickBot="1">
      <c r="A64" s="277"/>
      <c r="B64" s="11"/>
      <c r="K64" s="174" t="s">
        <v>277</v>
      </c>
      <c r="L64" s="174" t="s">
        <v>276</v>
      </c>
      <c r="M64" s="174" t="s">
        <v>278</v>
      </c>
      <c r="O64" s="278"/>
    </row>
    <row r="65" spans="1:15" ht="13.5" thickTop="1">
      <c r="A65" s="277"/>
      <c r="B65" s="11"/>
      <c r="K65" s="175" t="s">
        <v>279</v>
      </c>
      <c r="L65" s="175" t="s">
        <v>280</v>
      </c>
      <c r="M65" s="175" t="s">
        <v>3412</v>
      </c>
      <c r="O65" s="278"/>
    </row>
    <row r="66" spans="1:15">
      <c r="A66" s="277"/>
      <c r="B66" s="11"/>
      <c r="O66" s="278"/>
    </row>
    <row r="67" spans="1:15">
      <c r="A67" s="662" t="s">
        <v>55</v>
      </c>
      <c r="B67" s="659" t="s">
        <v>56</v>
      </c>
      <c r="C67" s="659" t="s">
        <v>57</v>
      </c>
      <c r="D67" s="659" t="s">
        <v>58</v>
      </c>
      <c r="E67" s="665" t="s">
        <v>194</v>
      </c>
      <c r="F67" s="657" t="s">
        <v>3199</v>
      </c>
      <c r="G67" s="657"/>
      <c r="H67" s="657"/>
      <c r="I67" s="657"/>
      <c r="J67" s="657"/>
      <c r="K67" s="657"/>
      <c r="L67" s="658"/>
      <c r="M67" s="659" t="s">
        <v>61</v>
      </c>
      <c r="N67" s="508"/>
      <c r="O67" s="281"/>
    </row>
    <row r="68" spans="1:15">
      <c r="A68" s="663"/>
      <c r="B68" s="660"/>
      <c r="C68" s="660"/>
      <c r="D68" s="660"/>
      <c r="E68" s="666"/>
      <c r="F68" s="121">
        <v>1</v>
      </c>
      <c r="G68" s="121">
        <v>2</v>
      </c>
      <c r="H68" s="121">
        <v>3</v>
      </c>
      <c r="I68" s="121" t="s">
        <v>129</v>
      </c>
      <c r="J68" s="121" t="s">
        <v>129</v>
      </c>
      <c r="K68" s="121">
        <v>30</v>
      </c>
      <c r="L68" s="121">
        <v>31</v>
      </c>
      <c r="M68" s="660"/>
      <c r="N68" s="508"/>
      <c r="O68" s="281"/>
    </row>
    <row r="69" spans="1:15">
      <c r="A69" s="664"/>
      <c r="B69" s="661"/>
      <c r="C69" s="661"/>
      <c r="D69" s="661"/>
      <c r="E69" s="667"/>
      <c r="F69" s="121" t="s">
        <v>197</v>
      </c>
      <c r="G69" s="121" t="s">
        <v>198</v>
      </c>
      <c r="H69" s="121" t="s">
        <v>199</v>
      </c>
      <c r="I69" s="121" t="s">
        <v>129</v>
      </c>
      <c r="J69" s="121" t="s">
        <v>129</v>
      </c>
      <c r="K69" s="121" t="s">
        <v>200</v>
      </c>
      <c r="L69" s="121" t="s">
        <v>201</v>
      </c>
      <c r="M69" s="661"/>
      <c r="N69" s="508"/>
      <c r="O69" s="281"/>
    </row>
    <row r="70" spans="1:15" s="11" customFormat="1">
      <c r="A70" s="501" t="s">
        <v>124</v>
      </c>
      <c r="B70" s="507" t="s">
        <v>3193</v>
      </c>
      <c r="D70" s="502"/>
      <c r="E70" s="503"/>
      <c r="F70" s="504"/>
      <c r="G70" s="504"/>
      <c r="H70" s="504"/>
      <c r="I70" s="504"/>
      <c r="J70" s="504"/>
      <c r="K70" s="505"/>
      <c r="L70" s="505"/>
      <c r="M70" s="506"/>
      <c r="N70" s="129" t="s">
        <v>267</v>
      </c>
      <c r="O70" s="509" t="s">
        <v>207</v>
      </c>
    </row>
    <row r="71" spans="1:15" ht="25.5">
      <c r="A71" s="282">
        <v>1</v>
      </c>
      <c r="B71" s="123" t="s">
        <v>62</v>
      </c>
      <c r="C71" s="123" t="s">
        <v>63</v>
      </c>
      <c r="D71" s="124" t="s">
        <v>64</v>
      </c>
      <c r="E71" s="125" t="s">
        <v>3202</v>
      </c>
      <c r="F71" s="150"/>
      <c r="G71" s="150"/>
      <c r="H71" s="150"/>
      <c r="I71" s="150"/>
      <c r="J71" s="150"/>
      <c r="K71" s="151"/>
      <c r="L71" s="151"/>
      <c r="M71" s="127"/>
      <c r="N71" s="129" t="s">
        <v>267</v>
      </c>
      <c r="O71" s="509" t="s">
        <v>207</v>
      </c>
    </row>
    <row r="72" spans="1:15" ht="18.75" customHeight="1">
      <c r="A72" s="282">
        <v>2</v>
      </c>
      <c r="B72" s="123" t="s">
        <v>67</v>
      </c>
      <c r="C72" s="123" t="s">
        <v>68</v>
      </c>
      <c r="D72" s="124" t="s">
        <v>72</v>
      </c>
      <c r="E72" s="125"/>
      <c r="F72" s="126"/>
      <c r="G72" s="126"/>
      <c r="H72" s="126"/>
      <c r="I72" s="126"/>
      <c r="J72" s="126"/>
      <c r="K72" s="151"/>
      <c r="L72" s="151"/>
      <c r="M72" s="127"/>
      <c r="N72" s="129" t="s">
        <v>267</v>
      </c>
      <c r="O72" s="509" t="s">
        <v>207</v>
      </c>
    </row>
    <row r="73" spans="1:15" ht="18.75" customHeight="1">
      <c r="A73" s="282">
        <v>3</v>
      </c>
      <c r="B73" s="123" t="s">
        <v>70</v>
      </c>
      <c r="C73" s="123" t="s">
        <v>71</v>
      </c>
      <c r="D73" s="124" t="s">
        <v>202</v>
      </c>
      <c r="E73" s="125"/>
      <c r="F73" s="126"/>
      <c r="G73" s="126"/>
      <c r="H73" s="126"/>
      <c r="I73" s="126"/>
      <c r="J73" s="126"/>
      <c r="K73" s="151"/>
      <c r="L73" s="151"/>
      <c r="M73" s="127"/>
      <c r="N73" s="129" t="s">
        <v>267</v>
      </c>
      <c r="O73" s="509" t="s">
        <v>207</v>
      </c>
    </row>
    <row r="74" spans="1:15" ht="18.75" customHeight="1">
      <c r="A74" s="282">
        <v>4</v>
      </c>
      <c r="B74" s="123" t="s">
        <v>73</v>
      </c>
      <c r="C74" s="123" t="s">
        <v>74</v>
      </c>
      <c r="D74" s="124" t="s">
        <v>80</v>
      </c>
      <c r="E74" s="125"/>
      <c r="F74" s="126"/>
      <c r="G74" s="126"/>
      <c r="H74" s="126"/>
      <c r="I74" s="126"/>
      <c r="J74" s="126"/>
      <c r="K74" s="151"/>
      <c r="L74" s="151"/>
      <c r="M74" s="127"/>
      <c r="N74" s="129" t="s">
        <v>267</v>
      </c>
      <c r="O74" s="509" t="s">
        <v>207</v>
      </c>
    </row>
    <row r="75" spans="1:15" ht="18.75" customHeight="1">
      <c r="A75" s="282">
        <v>5</v>
      </c>
      <c r="B75" s="123" t="s">
        <v>78</v>
      </c>
      <c r="C75" s="123" t="s">
        <v>79</v>
      </c>
      <c r="D75" s="124" t="s">
        <v>80</v>
      </c>
      <c r="E75" s="125"/>
      <c r="F75" s="126"/>
      <c r="G75" s="126"/>
      <c r="H75" s="126"/>
      <c r="I75" s="126"/>
      <c r="J75" s="126"/>
      <c r="K75" s="151"/>
      <c r="L75" s="151"/>
      <c r="M75" s="127"/>
      <c r="N75" s="129" t="s">
        <v>267</v>
      </c>
      <c r="O75" s="509" t="s">
        <v>207</v>
      </c>
    </row>
    <row r="76" spans="1:15" ht="18.75" customHeight="1">
      <c r="A76" s="282">
        <v>6</v>
      </c>
      <c r="B76" s="123" t="s">
        <v>82</v>
      </c>
      <c r="C76" s="123" t="s">
        <v>83</v>
      </c>
      <c r="D76" s="124" t="s">
        <v>203</v>
      </c>
      <c r="E76" s="125"/>
      <c r="F76" s="126"/>
      <c r="G76" s="126"/>
      <c r="H76" s="126"/>
      <c r="I76" s="126"/>
      <c r="J76" s="126"/>
      <c r="K76" s="151"/>
      <c r="L76" s="151"/>
      <c r="M76" s="128"/>
      <c r="N76" s="129" t="s">
        <v>267</v>
      </c>
      <c r="O76" s="509" t="s">
        <v>207</v>
      </c>
    </row>
    <row r="77" spans="1:15" s="11" customFormat="1">
      <c r="A77" s="501" t="s">
        <v>127</v>
      </c>
      <c r="B77" s="507" t="s">
        <v>3194</v>
      </c>
      <c r="D77" s="502"/>
      <c r="E77" s="503"/>
      <c r="F77" s="504"/>
      <c r="G77" s="504"/>
      <c r="H77" s="504"/>
      <c r="I77" s="504"/>
      <c r="J77" s="504"/>
      <c r="K77" s="505"/>
      <c r="L77" s="505"/>
      <c r="M77" s="506"/>
      <c r="N77" s="129" t="s">
        <v>267</v>
      </c>
      <c r="O77" s="509" t="s">
        <v>207</v>
      </c>
    </row>
    <row r="78" spans="1:15" ht="18.75" customHeight="1">
      <c r="A78" s="282">
        <v>7</v>
      </c>
      <c r="B78" s="123" t="s">
        <v>78</v>
      </c>
      <c r="C78" s="123" t="s">
        <v>3195</v>
      </c>
      <c r="D78" s="124" t="s">
        <v>80</v>
      </c>
      <c r="E78" s="125"/>
      <c r="F78" s="126"/>
      <c r="G78" s="126"/>
      <c r="H78" s="126"/>
      <c r="I78" s="126"/>
      <c r="J78" s="126"/>
      <c r="K78" s="151"/>
      <c r="L78" s="151"/>
      <c r="M78" s="127"/>
      <c r="N78" s="129" t="s">
        <v>267</v>
      </c>
      <c r="O78" s="509" t="s">
        <v>207</v>
      </c>
    </row>
    <row r="79" spans="1:15" ht="18.75" customHeight="1">
      <c r="A79" s="282">
        <v>8</v>
      </c>
      <c r="B79" s="123" t="s">
        <v>82</v>
      </c>
      <c r="C79" s="123" t="s">
        <v>3196</v>
      </c>
      <c r="D79" s="124" t="s">
        <v>203</v>
      </c>
      <c r="E79" s="125"/>
      <c r="F79" s="126"/>
      <c r="G79" s="126"/>
      <c r="H79" s="126"/>
      <c r="I79" s="126"/>
      <c r="J79" s="126"/>
      <c r="K79" s="151"/>
      <c r="L79" s="151"/>
      <c r="M79" s="128"/>
      <c r="N79" s="129" t="s">
        <v>267</v>
      </c>
      <c r="O79" s="509" t="s">
        <v>207</v>
      </c>
    </row>
    <row r="80" spans="1:15">
      <c r="A80" s="282"/>
      <c r="B80" s="129" t="s">
        <v>204</v>
      </c>
      <c r="C80" s="123"/>
      <c r="D80" s="124"/>
      <c r="E80" s="125"/>
      <c r="F80" s="126"/>
      <c r="G80" s="126"/>
      <c r="H80" s="126"/>
      <c r="I80" s="126"/>
      <c r="J80" s="126"/>
      <c r="K80" s="151"/>
      <c r="L80" s="151"/>
      <c r="M80" s="128"/>
      <c r="N80" s="129" t="s">
        <v>267</v>
      </c>
      <c r="O80" s="509" t="s">
        <v>207</v>
      </c>
    </row>
    <row r="81" spans="1:15">
      <c r="A81" s="282"/>
      <c r="B81" s="129"/>
      <c r="C81" s="123"/>
      <c r="D81" s="124"/>
      <c r="E81" s="125"/>
      <c r="F81" s="126"/>
      <c r="G81" s="126"/>
      <c r="H81" s="126"/>
      <c r="I81" s="126"/>
      <c r="J81" s="126"/>
      <c r="K81" s="151"/>
      <c r="L81" s="151"/>
      <c r="M81" s="128"/>
      <c r="N81" s="129" t="s">
        <v>267</v>
      </c>
      <c r="O81" s="509" t="s">
        <v>207</v>
      </c>
    </row>
    <row r="82" spans="1:15" ht="13.5" thickBot="1">
      <c r="A82" s="277"/>
      <c r="O82" s="278"/>
    </row>
    <row r="83" spans="1:15" ht="27" thickTop="1" thickBot="1">
      <c r="A83" s="277"/>
      <c r="L83" s="173" t="s">
        <v>219</v>
      </c>
      <c r="M83" s="173" t="s">
        <v>220</v>
      </c>
      <c r="O83" s="278"/>
    </row>
    <row r="84" spans="1:15" ht="13.5" thickTop="1">
      <c r="A84" s="277"/>
      <c r="O84" s="278"/>
    </row>
    <row r="85" spans="1:15" s="116" customFormat="1" ht="15">
      <c r="A85" s="283"/>
      <c r="O85" s="296"/>
    </row>
    <row r="86" spans="1:15" s="116" customFormat="1" ht="15">
      <c r="A86" s="283"/>
      <c r="O86" s="296"/>
    </row>
    <row r="87" spans="1:15" s="116" customFormat="1" ht="15">
      <c r="A87" s="283"/>
      <c r="O87" s="296"/>
    </row>
    <row r="88" spans="1:15" s="116" customFormat="1" ht="15.75" thickBot="1">
      <c r="A88" s="286"/>
      <c r="B88" s="287"/>
      <c r="C88" s="287"/>
      <c r="D88" s="287"/>
      <c r="E88" s="287"/>
      <c r="F88" s="287"/>
      <c r="G88" s="287"/>
      <c r="H88" s="287"/>
      <c r="I88" s="287"/>
      <c r="J88" s="287"/>
      <c r="K88" s="287"/>
      <c r="L88" s="287"/>
      <c r="M88" s="287"/>
      <c r="N88" s="287"/>
      <c r="O88" s="297"/>
    </row>
    <row r="89" spans="1:15" ht="13.5" thickTop="1"/>
    <row r="92" spans="1:15" ht="13.5" thickBot="1"/>
    <row r="93" spans="1:15" ht="15.75" thickTop="1">
      <c r="A93" s="298"/>
      <c r="B93" s="299"/>
      <c r="C93" s="300" t="s">
        <v>272</v>
      </c>
      <c r="D93" s="301"/>
      <c r="E93" s="301"/>
      <c r="F93" s="301"/>
      <c r="G93" s="301"/>
      <c r="H93" s="301"/>
      <c r="I93" s="301"/>
      <c r="J93" s="301"/>
      <c r="K93" s="301"/>
      <c r="L93" s="301"/>
      <c r="M93" s="301"/>
      <c r="N93" s="301"/>
      <c r="O93" s="302"/>
    </row>
    <row r="94" spans="1:15" ht="15">
      <c r="A94" s="277"/>
      <c r="B94" s="114"/>
      <c r="C94" s="295"/>
      <c r="O94" s="278"/>
    </row>
    <row r="95" spans="1:15" ht="25.5">
      <c r="A95" s="277"/>
      <c r="B95" s="114"/>
      <c r="C95" s="164" t="s">
        <v>133</v>
      </c>
      <c r="D95" s="164" t="s">
        <v>153</v>
      </c>
      <c r="E95" s="164" t="s">
        <v>155</v>
      </c>
      <c r="F95" s="164" t="s">
        <v>154</v>
      </c>
      <c r="G95" s="164" t="s">
        <v>208</v>
      </c>
      <c r="H95" s="164" t="s">
        <v>251</v>
      </c>
      <c r="O95" s="278"/>
    </row>
    <row r="96" spans="1:15">
      <c r="A96" s="277"/>
      <c r="B96" s="114"/>
      <c r="C96" s="165" t="s">
        <v>141</v>
      </c>
      <c r="D96" s="165" t="s">
        <v>141</v>
      </c>
      <c r="E96" s="165" t="s">
        <v>141</v>
      </c>
      <c r="F96" s="165" t="s">
        <v>141</v>
      </c>
      <c r="G96" s="166"/>
      <c r="H96" s="166"/>
      <c r="O96" s="278"/>
    </row>
    <row r="97" spans="1:15">
      <c r="A97" s="277"/>
      <c r="O97" s="278"/>
    </row>
    <row r="98" spans="1:15">
      <c r="A98" s="277"/>
      <c r="O98" s="278"/>
    </row>
    <row r="99" spans="1:15">
      <c r="A99" s="277"/>
      <c r="B99" s="11" t="s">
        <v>242</v>
      </c>
      <c r="D99" s="13"/>
      <c r="E99" s="13"/>
      <c r="K99" s="11" t="s">
        <v>273</v>
      </c>
      <c r="M99" s="279" t="s">
        <v>195</v>
      </c>
      <c r="N99" s="279"/>
      <c r="O99" s="278"/>
    </row>
    <row r="100" spans="1:15">
      <c r="A100" s="277"/>
      <c r="B100" s="11"/>
      <c r="E100" s="13"/>
      <c r="K100" s="11" t="s">
        <v>274</v>
      </c>
      <c r="M100" s="279" t="s">
        <v>141</v>
      </c>
      <c r="N100" s="279"/>
      <c r="O100" s="278"/>
    </row>
    <row r="101" spans="1:15" ht="13.5" thickBot="1">
      <c r="A101" s="277"/>
      <c r="B101" s="11"/>
      <c r="E101" s="11"/>
      <c r="K101" s="11"/>
      <c r="M101" s="511" t="s">
        <v>209</v>
      </c>
      <c r="N101" s="279"/>
      <c r="O101" s="280"/>
    </row>
    <row r="102" spans="1:15" ht="24" thickTop="1" thickBot="1">
      <c r="A102" s="277"/>
      <c r="B102" s="11"/>
      <c r="K102" s="174" t="s">
        <v>277</v>
      </c>
      <c r="L102" s="174" t="s">
        <v>276</v>
      </c>
      <c r="M102" s="174" t="s">
        <v>278</v>
      </c>
      <c r="O102" s="278"/>
    </row>
    <row r="103" spans="1:15" ht="13.5" thickTop="1">
      <c r="A103" s="277"/>
      <c r="B103" s="11"/>
      <c r="K103" s="175" t="s">
        <v>279</v>
      </c>
      <c r="L103" s="175" t="s">
        <v>280</v>
      </c>
      <c r="M103" s="175" t="s">
        <v>3412</v>
      </c>
      <c r="O103" s="278"/>
    </row>
    <row r="104" spans="1:15">
      <c r="A104" s="277"/>
      <c r="B104" s="11"/>
      <c r="O104" s="278"/>
    </row>
    <row r="105" spans="1:15">
      <c r="A105" s="662" t="s">
        <v>55</v>
      </c>
      <c r="B105" s="659" t="s">
        <v>56</v>
      </c>
      <c r="C105" s="659" t="s">
        <v>57</v>
      </c>
      <c r="D105" s="659" t="s">
        <v>58</v>
      </c>
      <c r="E105" s="665" t="s">
        <v>194</v>
      </c>
      <c r="F105" s="657" t="s">
        <v>3199</v>
      </c>
      <c r="G105" s="657"/>
      <c r="H105" s="657"/>
      <c r="I105" s="657"/>
      <c r="J105" s="657"/>
      <c r="K105" s="657"/>
      <c r="L105" s="658"/>
      <c r="M105" s="659" t="s">
        <v>61</v>
      </c>
      <c r="O105" s="281"/>
    </row>
    <row r="106" spans="1:15">
      <c r="A106" s="663"/>
      <c r="B106" s="660"/>
      <c r="C106" s="660"/>
      <c r="D106" s="660"/>
      <c r="E106" s="666"/>
      <c r="F106" s="121">
        <v>1</v>
      </c>
      <c r="G106" s="121">
        <v>2</v>
      </c>
      <c r="H106" s="121">
        <v>3</v>
      </c>
      <c r="I106" s="121" t="s">
        <v>129</v>
      </c>
      <c r="J106" s="121" t="s">
        <v>129</v>
      </c>
      <c r="K106" s="121">
        <v>30</v>
      </c>
      <c r="L106" s="121">
        <v>31</v>
      </c>
      <c r="M106" s="660"/>
      <c r="O106" s="281"/>
    </row>
    <row r="107" spans="1:15">
      <c r="A107" s="664"/>
      <c r="B107" s="661"/>
      <c r="C107" s="661"/>
      <c r="D107" s="661"/>
      <c r="E107" s="667"/>
      <c r="F107" s="121" t="s">
        <v>197</v>
      </c>
      <c r="G107" s="121" t="s">
        <v>198</v>
      </c>
      <c r="H107" s="121" t="s">
        <v>199</v>
      </c>
      <c r="I107" s="121" t="s">
        <v>129</v>
      </c>
      <c r="J107" s="121" t="s">
        <v>129</v>
      </c>
      <c r="K107" s="121" t="s">
        <v>200</v>
      </c>
      <c r="L107" s="121" t="s">
        <v>201</v>
      </c>
      <c r="M107" s="661"/>
      <c r="N107" s="508"/>
      <c r="O107" s="281"/>
    </row>
    <row r="108" spans="1:15" ht="25.5">
      <c r="A108" s="282">
        <v>1</v>
      </c>
      <c r="B108" s="123" t="s">
        <v>62</v>
      </c>
      <c r="C108" s="123" t="s">
        <v>63</v>
      </c>
      <c r="D108" s="124" t="s">
        <v>64</v>
      </c>
      <c r="E108" s="125" t="s">
        <v>275</v>
      </c>
      <c r="F108" s="150"/>
      <c r="G108" s="150"/>
      <c r="H108" s="150"/>
      <c r="I108" s="150"/>
      <c r="J108" s="150"/>
      <c r="K108" s="151"/>
      <c r="L108" s="151"/>
      <c r="M108" s="127"/>
      <c r="N108" s="129" t="s">
        <v>267</v>
      </c>
      <c r="O108" s="509" t="s">
        <v>207</v>
      </c>
    </row>
    <row r="109" spans="1:15" ht="18.75" customHeight="1">
      <c r="A109" s="282">
        <v>2</v>
      </c>
      <c r="B109" s="123" t="s">
        <v>67</v>
      </c>
      <c r="C109" s="123" t="s">
        <v>68</v>
      </c>
      <c r="D109" s="124" t="s">
        <v>72</v>
      </c>
      <c r="E109" s="125"/>
      <c r="F109" s="126"/>
      <c r="G109" s="126"/>
      <c r="H109" s="126"/>
      <c r="I109" s="126"/>
      <c r="J109" s="126"/>
      <c r="K109" s="151"/>
      <c r="L109" s="151"/>
      <c r="M109" s="127"/>
      <c r="N109" s="129" t="s">
        <v>267</v>
      </c>
      <c r="O109" s="509" t="s">
        <v>207</v>
      </c>
    </row>
    <row r="110" spans="1:15" ht="18.75" customHeight="1">
      <c r="A110" s="282">
        <v>3</v>
      </c>
      <c r="B110" s="123" t="s">
        <v>70</v>
      </c>
      <c r="C110" s="123" t="s">
        <v>71</v>
      </c>
      <c r="D110" s="124" t="s">
        <v>202</v>
      </c>
      <c r="E110" s="125"/>
      <c r="F110" s="126"/>
      <c r="G110" s="126"/>
      <c r="H110" s="126"/>
      <c r="I110" s="126"/>
      <c r="J110" s="126"/>
      <c r="K110" s="151"/>
      <c r="L110" s="151"/>
      <c r="M110" s="127"/>
      <c r="N110" s="129" t="s">
        <v>267</v>
      </c>
      <c r="O110" s="509" t="s">
        <v>207</v>
      </c>
    </row>
    <row r="111" spans="1:15" ht="18.75" customHeight="1">
      <c r="A111" s="282">
        <v>4</v>
      </c>
      <c r="B111" s="123" t="s">
        <v>73</v>
      </c>
      <c r="C111" s="123" t="s">
        <v>74</v>
      </c>
      <c r="D111" s="124" t="s">
        <v>80</v>
      </c>
      <c r="E111" s="125"/>
      <c r="F111" s="126"/>
      <c r="G111" s="126"/>
      <c r="H111" s="126"/>
      <c r="I111" s="126"/>
      <c r="J111" s="126"/>
      <c r="K111" s="151"/>
      <c r="L111" s="151"/>
      <c r="M111" s="127"/>
      <c r="N111" s="129" t="s">
        <v>267</v>
      </c>
      <c r="O111" s="509" t="s">
        <v>207</v>
      </c>
    </row>
    <row r="112" spans="1:15" ht="18.75" customHeight="1">
      <c r="A112" s="282">
        <v>5</v>
      </c>
      <c r="B112" s="123" t="s">
        <v>78</v>
      </c>
      <c r="C112" s="123" t="s">
        <v>79</v>
      </c>
      <c r="D112" s="124" t="s">
        <v>80</v>
      </c>
      <c r="E112" s="125"/>
      <c r="F112" s="126"/>
      <c r="G112" s="126"/>
      <c r="H112" s="126"/>
      <c r="I112" s="126"/>
      <c r="J112" s="126"/>
      <c r="K112" s="151"/>
      <c r="L112" s="151"/>
      <c r="M112" s="127"/>
      <c r="N112" s="129" t="s">
        <v>267</v>
      </c>
      <c r="O112" s="509" t="s">
        <v>207</v>
      </c>
    </row>
    <row r="113" spans="1:15" ht="18.75" customHeight="1">
      <c r="A113" s="282">
        <v>6</v>
      </c>
      <c r="B113" s="123" t="s">
        <v>82</v>
      </c>
      <c r="C113" s="123" t="s">
        <v>83</v>
      </c>
      <c r="D113" s="124" t="s">
        <v>203</v>
      </c>
      <c r="E113" s="125"/>
      <c r="F113" s="126"/>
      <c r="G113" s="126"/>
      <c r="H113" s="126"/>
      <c r="I113" s="126"/>
      <c r="J113" s="126"/>
      <c r="K113" s="151"/>
      <c r="L113" s="151"/>
      <c r="M113" s="128"/>
      <c r="N113" s="129" t="s">
        <v>267</v>
      </c>
      <c r="O113" s="509" t="s">
        <v>207</v>
      </c>
    </row>
    <row r="114" spans="1:15" ht="15">
      <c r="A114" s="282"/>
      <c r="B114" s="129" t="s">
        <v>204</v>
      </c>
      <c r="C114" s="123"/>
      <c r="D114" s="124"/>
      <c r="E114" s="125"/>
      <c r="F114" s="126"/>
      <c r="G114" s="126"/>
      <c r="H114" s="126"/>
      <c r="I114" s="126"/>
      <c r="J114" s="126"/>
      <c r="K114" s="151"/>
      <c r="L114" s="151"/>
      <c r="M114" s="128"/>
      <c r="N114" s="116"/>
      <c r="O114" s="281"/>
    </row>
    <row r="115" spans="1:15" ht="15">
      <c r="A115" s="282"/>
      <c r="B115" s="129"/>
      <c r="C115" s="123"/>
      <c r="D115" s="124"/>
      <c r="E115" s="125"/>
      <c r="F115" s="126"/>
      <c r="G115" s="126"/>
      <c r="H115" s="126"/>
      <c r="I115" s="126"/>
      <c r="J115" s="126"/>
      <c r="K115" s="151"/>
      <c r="L115" s="151"/>
      <c r="M115" s="128"/>
      <c r="N115" s="116"/>
      <c r="O115" s="281"/>
    </row>
    <row r="116" spans="1:15" ht="15.75" thickBot="1">
      <c r="A116" s="277"/>
      <c r="N116" s="116"/>
      <c r="O116" s="278"/>
    </row>
    <row r="117" spans="1:15" ht="27" thickTop="1" thickBot="1">
      <c r="A117" s="277"/>
      <c r="L117" s="173" t="s">
        <v>219</v>
      </c>
      <c r="M117" s="173" t="s">
        <v>220</v>
      </c>
      <c r="N117" s="116"/>
      <c r="O117" s="278"/>
    </row>
    <row r="118" spans="1:15" s="116" customFormat="1" ht="15.75" thickTop="1">
      <c r="A118" s="283"/>
      <c r="K118"/>
      <c r="L118"/>
      <c r="M118"/>
      <c r="O118" s="278"/>
    </row>
    <row r="119" spans="1:15" s="116" customFormat="1" ht="15">
      <c r="A119" s="283"/>
      <c r="O119" s="296"/>
    </row>
    <row r="120" spans="1:15" s="116" customFormat="1" ht="15">
      <c r="A120" s="283"/>
      <c r="O120" s="296"/>
    </row>
    <row r="121" spans="1:15" s="116" customFormat="1" ht="15">
      <c r="A121" s="283"/>
      <c r="O121" s="296"/>
    </row>
    <row r="122" spans="1:15" ht="15.75" thickBot="1">
      <c r="A122" s="303"/>
      <c r="B122" s="304"/>
      <c r="C122" s="304"/>
      <c r="D122" s="304"/>
      <c r="E122" s="304"/>
      <c r="F122" s="304"/>
      <c r="G122" s="304"/>
      <c r="H122" s="304"/>
      <c r="I122" s="304"/>
      <c r="J122" s="304"/>
      <c r="K122" s="287"/>
      <c r="L122" s="287"/>
      <c r="M122" s="287"/>
      <c r="N122" s="287"/>
      <c r="O122" s="297"/>
    </row>
    <row r="123" spans="1:15" ht="15.75" thickTop="1">
      <c r="K123" s="116"/>
      <c r="L123" s="116"/>
      <c r="M123" s="116"/>
      <c r="N123" s="116"/>
      <c r="O123" s="116"/>
    </row>
    <row r="124" spans="1:15" ht="15">
      <c r="A124" s="167"/>
      <c r="B124" s="156" t="s">
        <v>61</v>
      </c>
      <c r="C124" s="167"/>
      <c r="D124" s="167"/>
      <c r="E124" s="167"/>
      <c r="F124" s="167"/>
      <c r="G124" s="130"/>
      <c r="H124" s="130"/>
      <c r="I124" s="130"/>
      <c r="J124" s="130"/>
      <c r="K124" s="130"/>
      <c r="L124" s="130"/>
      <c r="M124" s="130"/>
      <c r="N124" s="130"/>
      <c r="O124" s="130"/>
    </row>
    <row r="125" spans="1:15" ht="15">
      <c r="A125" s="305">
        <v>1</v>
      </c>
      <c r="B125" s="167" t="s">
        <v>206</v>
      </c>
      <c r="C125" s="167"/>
      <c r="D125" s="167"/>
      <c r="E125" s="167"/>
      <c r="F125" s="167"/>
      <c r="G125" s="130"/>
      <c r="H125" s="130"/>
      <c r="I125" s="130"/>
      <c r="J125" s="130"/>
      <c r="K125" s="130"/>
      <c r="L125" s="130"/>
      <c r="M125" s="130"/>
      <c r="N125" s="130"/>
      <c r="O125" s="130"/>
    </row>
    <row r="126" spans="1:15" ht="15">
      <c r="A126" s="305">
        <v>2</v>
      </c>
      <c r="B126" s="167" t="s">
        <v>205</v>
      </c>
      <c r="C126" s="167"/>
      <c r="D126" s="167"/>
      <c r="E126" s="167"/>
      <c r="F126" s="167"/>
      <c r="G126" s="130"/>
      <c r="H126" s="130"/>
      <c r="I126" s="130"/>
      <c r="J126" s="130"/>
      <c r="K126" s="130"/>
      <c r="L126" s="130"/>
      <c r="M126" s="130"/>
      <c r="N126" s="130"/>
      <c r="O126" s="130"/>
    </row>
    <row r="127" spans="1:15" ht="15">
      <c r="A127" s="305">
        <v>3</v>
      </c>
      <c r="B127" s="167" t="s">
        <v>3198</v>
      </c>
      <c r="C127" s="167"/>
      <c r="D127" s="167"/>
      <c r="E127" s="167"/>
      <c r="F127" s="167"/>
      <c r="G127" s="130"/>
      <c r="H127" s="130"/>
      <c r="I127" s="130"/>
      <c r="J127" s="130"/>
      <c r="K127" s="130"/>
      <c r="L127" s="130"/>
      <c r="M127" s="130"/>
      <c r="N127" s="130"/>
      <c r="O127" s="130"/>
    </row>
    <row r="128" spans="1:15" ht="15">
      <c r="A128" s="305">
        <v>4</v>
      </c>
      <c r="B128" s="167" t="s">
        <v>3203</v>
      </c>
      <c r="C128" s="167"/>
      <c r="D128" s="167"/>
      <c r="E128" s="167"/>
      <c r="F128" s="167"/>
      <c r="G128" s="130"/>
      <c r="H128" s="130"/>
      <c r="I128" s="130"/>
      <c r="J128" s="130"/>
      <c r="K128" s="130"/>
      <c r="L128" s="130"/>
      <c r="M128" s="130"/>
      <c r="N128" s="130"/>
      <c r="O128" s="130"/>
    </row>
    <row r="129" spans="1:15" ht="15.75" thickBot="1">
      <c r="A129" s="305">
        <v>5</v>
      </c>
      <c r="B129" s="156" t="s">
        <v>215</v>
      </c>
      <c r="C129" s="168" t="s">
        <v>217</v>
      </c>
      <c r="D129" s="168" t="s">
        <v>218</v>
      </c>
      <c r="E129" s="168" t="s">
        <v>213</v>
      </c>
      <c r="F129" s="168" t="s">
        <v>214</v>
      </c>
      <c r="G129" s="136"/>
      <c r="H129" s="130"/>
      <c r="I129" s="130"/>
      <c r="J129" s="130"/>
      <c r="K129" s="130"/>
      <c r="L129" s="130"/>
      <c r="M129" s="130"/>
      <c r="N129" s="130"/>
      <c r="O129" s="130"/>
    </row>
    <row r="130" spans="1:15" ht="14.25" thickTop="1" thickBot="1">
      <c r="A130" s="130"/>
      <c r="B130" s="512" t="s">
        <v>196</v>
      </c>
      <c r="C130" s="169" t="s">
        <v>216</v>
      </c>
      <c r="D130" s="169" t="s">
        <v>216</v>
      </c>
      <c r="E130" s="169" t="s">
        <v>216</v>
      </c>
      <c r="F130" s="169" t="s">
        <v>216</v>
      </c>
      <c r="G130" s="130"/>
      <c r="H130" s="130"/>
      <c r="I130" s="130"/>
      <c r="J130" s="130"/>
      <c r="K130" s="130"/>
      <c r="L130" s="130"/>
      <c r="M130" s="130"/>
      <c r="N130" s="130"/>
      <c r="O130" s="130"/>
    </row>
    <row r="131" spans="1:15" ht="14.25" thickTop="1" thickBot="1">
      <c r="A131" s="130"/>
      <c r="B131" s="512" t="s">
        <v>210</v>
      </c>
      <c r="C131" s="169" t="s">
        <v>216</v>
      </c>
      <c r="D131" s="169" t="s">
        <v>216</v>
      </c>
      <c r="E131" s="169" t="s">
        <v>216</v>
      </c>
      <c r="F131" s="169" t="s">
        <v>216</v>
      </c>
      <c r="G131" s="130"/>
      <c r="H131" s="130"/>
      <c r="I131" s="130"/>
      <c r="J131" s="130"/>
      <c r="K131" s="130"/>
      <c r="L131" s="130"/>
      <c r="M131" s="130"/>
      <c r="N131" s="130"/>
      <c r="O131" s="130"/>
    </row>
    <row r="132" spans="1:15" ht="14.25" thickTop="1" thickBot="1">
      <c r="A132" s="130"/>
      <c r="B132" s="512" t="s">
        <v>211</v>
      </c>
      <c r="C132" s="169" t="s">
        <v>216</v>
      </c>
      <c r="D132" s="169" t="s">
        <v>216</v>
      </c>
      <c r="E132" s="169" t="s">
        <v>216</v>
      </c>
      <c r="F132" s="169" t="s">
        <v>216</v>
      </c>
      <c r="G132" s="130"/>
      <c r="H132" s="130"/>
      <c r="I132" s="130"/>
      <c r="J132" s="130"/>
      <c r="K132" s="130"/>
      <c r="L132" s="130"/>
      <c r="M132" s="130"/>
      <c r="N132" s="130"/>
      <c r="O132" s="130"/>
    </row>
    <row r="133" spans="1:15" ht="14.25" thickTop="1" thickBot="1">
      <c r="A133" s="130"/>
      <c r="B133" s="512" t="s">
        <v>212</v>
      </c>
      <c r="C133" s="169" t="s">
        <v>216</v>
      </c>
      <c r="D133" s="169" t="s">
        <v>216</v>
      </c>
      <c r="E133" s="169" t="s">
        <v>216</v>
      </c>
      <c r="F133" s="169" t="s">
        <v>216</v>
      </c>
      <c r="G133" s="137"/>
      <c r="H133" s="130"/>
      <c r="I133" s="130"/>
      <c r="J133" s="130"/>
      <c r="K133" s="130"/>
      <c r="L133" s="130"/>
      <c r="M133" s="130"/>
      <c r="N133" s="130"/>
      <c r="O133" s="130"/>
    </row>
    <row r="134" spans="1:15" ht="14.25" thickTop="1" thickBot="1">
      <c r="A134" s="130"/>
      <c r="B134" s="512" t="s">
        <v>221</v>
      </c>
      <c r="C134" s="169" t="s">
        <v>216</v>
      </c>
      <c r="D134" s="169" t="s">
        <v>216</v>
      </c>
      <c r="E134" s="169" t="s">
        <v>216</v>
      </c>
      <c r="F134" s="169" t="s">
        <v>216</v>
      </c>
      <c r="G134" s="130"/>
      <c r="H134" s="130"/>
      <c r="I134" s="130"/>
      <c r="J134" s="130"/>
      <c r="K134" s="130"/>
      <c r="L134" s="130"/>
      <c r="M134" s="130"/>
      <c r="N134" s="130"/>
      <c r="O134" s="130"/>
    </row>
    <row r="135" spans="1:15" ht="25.5" thickTop="1" thickBot="1">
      <c r="A135" s="130"/>
      <c r="B135" s="512" t="s">
        <v>220</v>
      </c>
      <c r="C135" s="169" t="s">
        <v>216</v>
      </c>
      <c r="D135" s="169"/>
      <c r="E135" s="169" t="s">
        <v>216</v>
      </c>
      <c r="F135" s="169"/>
      <c r="G135" s="130"/>
      <c r="H135" s="130"/>
      <c r="I135" s="130"/>
      <c r="J135" s="130"/>
      <c r="K135" s="130"/>
      <c r="L135" s="130"/>
      <c r="M135" s="130"/>
      <c r="N135" s="130"/>
      <c r="O135" s="130"/>
    </row>
    <row r="136" spans="1:15" ht="25.5" thickTop="1" thickBot="1">
      <c r="A136" s="130"/>
      <c r="B136" s="512" t="s">
        <v>277</v>
      </c>
      <c r="C136" s="169" t="s">
        <v>216</v>
      </c>
      <c r="D136" s="169"/>
      <c r="E136" s="169" t="s">
        <v>216</v>
      </c>
      <c r="F136" s="169" t="s">
        <v>216</v>
      </c>
      <c r="G136" s="130"/>
      <c r="H136" s="130"/>
      <c r="I136" s="130"/>
      <c r="J136" s="130"/>
      <c r="K136" s="130"/>
      <c r="L136" s="130"/>
      <c r="M136" s="130"/>
      <c r="N136" s="130"/>
      <c r="O136" s="130"/>
    </row>
    <row r="137" spans="1:15" ht="25.5" thickTop="1" thickBot="1">
      <c r="A137" s="130"/>
      <c r="B137" s="512" t="s">
        <v>276</v>
      </c>
      <c r="C137" s="169" t="s">
        <v>216</v>
      </c>
      <c r="D137" s="169"/>
      <c r="E137" s="169" t="s">
        <v>216</v>
      </c>
      <c r="F137" s="169" t="s">
        <v>216</v>
      </c>
      <c r="G137" s="130"/>
      <c r="H137" s="130"/>
      <c r="I137" s="130"/>
      <c r="J137" s="130"/>
      <c r="K137" s="130"/>
      <c r="L137" s="130"/>
      <c r="M137" s="130"/>
      <c r="N137" s="130"/>
      <c r="O137" s="130"/>
    </row>
    <row r="138" spans="1:15" ht="25.5" thickTop="1" thickBot="1">
      <c r="A138" s="130"/>
      <c r="B138" s="513" t="s">
        <v>278</v>
      </c>
      <c r="C138" s="170"/>
      <c r="D138" s="170"/>
      <c r="E138" s="170"/>
      <c r="F138" s="169" t="s">
        <v>216</v>
      </c>
      <c r="G138" s="130"/>
      <c r="H138" s="130"/>
      <c r="I138" s="130"/>
      <c r="J138" s="130"/>
      <c r="K138" s="130"/>
      <c r="L138" s="130"/>
      <c r="M138" s="130"/>
      <c r="N138" s="130"/>
      <c r="O138" s="130"/>
    </row>
    <row r="139" spans="1:15" ht="13.5" thickTop="1"/>
  </sheetData>
  <mergeCells count="21">
    <mergeCell ref="F32:L32"/>
    <mergeCell ref="M32:M34"/>
    <mergeCell ref="E32:E34"/>
    <mergeCell ref="D32:D34"/>
    <mergeCell ref="A32:A34"/>
    <mergeCell ref="B32:B34"/>
    <mergeCell ref="C32:C34"/>
    <mergeCell ref="F67:L67"/>
    <mergeCell ref="M67:M69"/>
    <mergeCell ref="A105:A107"/>
    <mergeCell ref="B105:B107"/>
    <mergeCell ref="C105:C107"/>
    <mergeCell ref="D105:D107"/>
    <mergeCell ref="E105:E107"/>
    <mergeCell ref="F105:L105"/>
    <mergeCell ref="M105:M107"/>
    <mergeCell ref="A67:A69"/>
    <mergeCell ref="B67:B69"/>
    <mergeCell ref="C67:C69"/>
    <mergeCell ref="D67:D69"/>
    <mergeCell ref="E67:E69"/>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6</xdr:col>
                    <xdr:colOff>485775</xdr:colOff>
                    <xdr:row>34</xdr:row>
                    <xdr:rowOff>66675</xdr:rowOff>
                  </from>
                  <to>
                    <xdr:col>6</xdr:col>
                    <xdr:colOff>790575</xdr:colOff>
                    <xdr:row>34</xdr:row>
                    <xdr:rowOff>285750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5</xdr:col>
                    <xdr:colOff>371475</xdr:colOff>
                    <xdr:row>34</xdr:row>
                    <xdr:rowOff>66675</xdr:rowOff>
                  </from>
                  <to>
                    <xdr:col>5</xdr:col>
                    <xdr:colOff>676275</xdr:colOff>
                    <xdr:row>34</xdr:row>
                    <xdr:rowOff>285750</xdr:rowOff>
                  </to>
                </anchor>
              </controlPr>
            </control>
          </mc:Choice>
        </mc:AlternateContent>
        <mc:AlternateContent xmlns:mc="http://schemas.openxmlformats.org/markup-compatibility/2006">
          <mc:Choice Requires="x14">
            <control shapeId="8229" r:id="rId6" name="Check Box 37">
              <controlPr defaultSize="0" autoFill="0" autoLine="0" autoPict="0">
                <anchor moveWithCells="1">
                  <from>
                    <xdr:col>7</xdr:col>
                    <xdr:colOff>457200</xdr:colOff>
                    <xdr:row>34</xdr:row>
                    <xdr:rowOff>76200</xdr:rowOff>
                  </from>
                  <to>
                    <xdr:col>7</xdr:col>
                    <xdr:colOff>762000</xdr:colOff>
                    <xdr:row>34</xdr:row>
                    <xdr:rowOff>295275</xdr:rowOff>
                  </to>
                </anchor>
              </controlPr>
            </control>
          </mc:Choice>
        </mc:AlternateContent>
        <mc:AlternateContent xmlns:mc="http://schemas.openxmlformats.org/markup-compatibility/2006">
          <mc:Choice Requires="x14">
            <control shapeId="8230" r:id="rId7" name="Check Box 38">
              <controlPr defaultSize="0" autoFill="0" autoLine="0" autoPict="0">
                <anchor moveWithCells="1">
                  <from>
                    <xdr:col>8</xdr:col>
                    <xdr:colOff>457200</xdr:colOff>
                    <xdr:row>34</xdr:row>
                    <xdr:rowOff>76200</xdr:rowOff>
                  </from>
                  <to>
                    <xdr:col>8</xdr:col>
                    <xdr:colOff>762000</xdr:colOff>
                    <xdr:row>34</xdr:row>
                    <xdr:rowOff>295275</xdr:rowOff>
                  </to>
                </anchor>
              </controlPr>
            </control>
          </mc:Choice>
        </mc:AlternateContent>
        <mc:AlternateContent xmlns:mc="http://schemas.openxmlformats.org/markup-compatibility/2006">
          <mc:Choice Requires="x14">
            <control shapeId="8231" r:id="rId8" name="Check Box 39">
              <controlPr defaultSize="0" autoFill="0" autoLine="0" autoPict="0">
                <anchor moveWithCells="1">
                  <from>
                    <xdr:col>9</xdr:col>
                    <xdr:colOff>457200</xdr:colOff>
                    <xdr:row>34</xdr:row>
                    <xdr:rowOff>76200</xdr:rowOff>
                  </from>
                  <to>
                    <xdr:col>9</xdr:col>
                    <xdr:colOff>762000</xdr:colOff>
                    <xdr:row>34</xdr:row>
                    <xdr:rowOff>295275</xdr:rowOff>
                  </to>
                </anchor>
              </controlPr>
            </control>
          </mc:Choice>
        </mc:AlternateContent>
        <mc:AlternateContent xmlns:mc="http://schemas.openxmlformats.org/markup-compatibility/2006">
          <mc:Choice Requires="x14">
            <control shapeId="8267" r:id="rId9" name="Check Box 75">
              <controlPr defaultSize="0" autoFill="0" autoLine="0" autoPict="0">
                <anchor moveWithCells="1">
                  <from>
                    <xdr:col>6</xdr:col>
                    <xdr:colOff>485775</xdr:colOff>
                    <xdr:row>35</xdr:row>
                    <xdr:rowOff>0</xdr:rowOff>
                  </from>
                  <to>
                    <xdr:col>6</xdr:col>
                    <xdr:colOff>790575</xdr:colOff>
                    <xdr:row>35</xdr:row>
                    <xdr:rowOff>219075</xdr:rowOff>
                  </to>
                </anchor>
              </controlPr>
            </control>
          </mc:Choice>
        </mc:AlternateContent>
        <mc:AlternateContent xmlns:mc="http://schemas.openxmlformats.org/markup-compatibility/2006">
          <mc:Choice Requires="x14">
            <control shapeId="8268" r:id="rId10" name="Check Box 76">
              <controlPr defaultSize="0" autoFill="0" autoLine="0" autoPict="0">
                <anchor moveWithCells="1">
                  <from>
                    <xdr:col>5</xdr:col>
                    <xdr:colOff>371475</xdr:colOff>
                    <xdr:row>35</xdr:row>
                    <xdr:rowOff>0</xdr:rowOff>
                  </from>
                  <to>
                    <xdr:col>5</xdr:col>
                    <xdr:colOff>676275</xdr:colOff>
                    <xdr:row>35</xdr:row>
                    <xdr:rowOff>219075</xdr:rowOff>
                  </to>
                </anchor>
              </controlPr>
            </control>
          </mc:Choice>
        </mc:AlternateContent>
        <mc:AlternateContent xmlns:mc="http://schemas.openxmlformats.org/markup-compatibility/2006">
          <mc:Choice Requires="x14">
            <control shapeId="8269" r:id="rId11" name="Check Box 77">
              <controlPr defaultSize="0" autoFill="0" autoLine="0" autoPict="0">
                <anchor moveWithCells="1">
                  <from>
                    <xdr:col>7</xdr:col>
                    <xdr:colOff>457200</xdr:colOff>
                    <xdr:row>35</xdr:row>
                    <xdr:rowOff>9525</xdr:rowOff>
                  </from>
                  <to>
                    <xdr:col>7</xdr:col>
                    <xdr:colOff>762000</xdr:colOff>
                    <xdr:row>35</xdr:row>
                    <xdr:rowOff>228600</xdr:rowOff>
                  </to>
                </anchor>
              </controlPr>
            </control>
          </mc:Choice>
        </mc:AlternateContent>
        <mc:AlternateContent xmlns:mc="http://schemas.openxmlformats.org/markup-compatibility/2006">
          <mc:Choice Requires="x14">
            <control shapeId="8270" r:id="rId12" name="Check Box 78">
              <controlPr defaultSize="0" autoFill="0" autoLine="0" autoPict="0">
                <anchor moveWithCells="1">
                  <from>
                    <xdr:col>8</xdr:col>
                    <xdr:colOff>457200</xdr:colOff>
                    <xdr:row>35</xdr:row>
                    <xdr:rowOff>9525</xdr:rowOff>
                  </from>
                  <to>
                    <xdr:col>8</xdr:col>
                    <xdr:colOff>762000</xdr:colOff>
                    <xdr:row>35</xdr:row>
                    <xdr:rowOff>228600</xdr:rowOff>
                  </to>
                </anchor>
              </controlPr>
            </control>
          </mc:Choice>
        </mc:AlternateContent>
        <mc:AlternateContent xmlns:mc="http://schemas.openxmlformats.org/markup-compatibility/2006">
          <mc:Choice Requires="x14">
            <control shapeId="8271" r:id="rId13" name="Check Box 79">
              <controlPr defaultSize="0" autoFill="0" autoLine="0" autoPict="0">
                <anchor moveWithCells="1">
                  <from>
                    <xdr:col>9</xdr:col>
                    <xdr:colOff>457200</xdr:colOff>
                    <xdr:row>35</xdr:row>
                    <xdr:rowOff>9525</xdr:rowOff>
                  </from>
                  <to>
                    <xdr:col>9</xdr:col>
                    <xdr:colOff>762000</xdr:colOff>
                    <xdr:row>35</xdr:row>
                    <xdr:rowOff>228600</xdr:rowOff>
                  </to>
                </anchor>
              </controlPr>
            </control>
          </mc:Choice>
        </mc:AlternateContent>
        <mc:AlternateContent xmlns:mc="http://schemas.openxmlformats.org/markup-compatibility/2006">
          <mc:Choice Requires="x14">
            <control shapeId="8272" r:id="rId14" name="Check Box 80">
              <controlPr defaultSize="0" autoFill="0" autoLine="0" autoPict="0">
                <anchor moveWithCells="1">
                  <from>
                    <xdr:col>6</xdr:col>
                    <xdr:colOff>485775</xdr:colOff>
                    <xdr:row>36</xdr:row>
                    <xdr:rowOff>0</xdr:rowOff>
                  </from>
                  <to>
                    <xdr:col>6</xdr:col>
                    <xdr:colOff>790575</xdr:colOff>
                    <xdr:row>36</xdr:row>
                    <xdr:rowOff>219075</xdr:rowOff>
                  </to>
                </anchor>
              </controlPr>
            </control>
          </mc:Choice>
        </mc:AlternateContent>
        <mc:AlternateContent xmlns:mc="http://schemas.openxmlformats.org/markup-compatibility/2006">
          <mc:Choice Requires="x14">
            <control shapeId="8273" r:id="rId15" name="Check Box 81">
              <controlPr defaultSize="0" autoFill="0" autoLine="0" autoPict="0">
                <anchor moveWithCells="1">
                  <from>
                    <xdr:col>5</xdr:col>
                    <xdr:colOff>371475</xdr:colOff>
                    <xdr:row>36</xdr:row>
                    <xdr:rowOff>0</xdr:rowOff>
                  </from>
                  <to>
                    <xdr:col>5</xdr:col>
                    <xdr:colOff>676275</xdr:colOff>
                    <xdr:row>36</xdr:row>
                    <xdr:rowOff>219075</xdr:rowOff>
                  </to>
                </anchor>
              </controlPr>
            </control>
          </mc:Choice>
        </mc:AlternateContent>
        <mc:AlternateContent xmlns:mc="http://schemas.openxmlformats.org/markup-compatibility/2006">
          <mc:Choice Requires="x14">
            <control shapeId="8274" r:id="rId16" name="Check Box 82">
              <controlPr defaultSize="0" autoFill="0" autoLine="0" autoPict="0">
                <anchor moveWithCells="1">
                  <from>
                    <xdr:col>7</xdr:col>
                    <xdr:colOff>457200</xdr:colOff>
                    <xdr:row>36</xdr:row>
                    <xdr:rowOff>9525</xdr:rowOff>
                  </from>
                  <to>
                    <xdr:col>7</xdr:col>
                    <xdr:colOff>762000</xdr:colOff>
                    <xdr:row>36</xdr:row>
                    <xdr:rowOff>228600</xdr:rowOff>
                  </to>
                </anchor>
              </controlPr>
            </control>
          </mc:Choice>
        </mc:AlternateContent>
        <mc:AlternateContent xmlns:mc="http://schemas.openxmlformats.org/markup-compatibility/2006">
          <mc:Choice Requires="x14">
            <control shapeId="8275" r:id="rId17" name="Check Box 83">
              <controlPr defaultSize="0" autoFill="0" autoLine="0" autoPict="0">
                <anchor moveWithCells="1">
                  <from>
                    <xdr:col>8</xdr:col>
                    <xdr:colOff>457200</xdr:colOff>
                    <xdr:row>36</xdr:row>
                    <xdr:rowOff>9525</xdr:rowOff>
                  </from>
                  <to>
                    <xdr:col>8</xdr:col>
                    <xdr:colOff>762000</xdr:colOff>
                    <xdr:row>36</xdr:row>
                    <xdr:rowOff>228600</xdr:rowOff>
                  </to>
                </anchor>
              </controlPr>
            </control>
          </mc:Choice>
        </mc:AlternateContent>
        <mc:AlternateContent xmlns:mc="http://schemas.openxmlformats.org/markup-compatibility/2006">
          <mc:Choice Requires="x14">
            <control shapeId="8276" r:id="rId18" name="Check Box 84">
              <controlPr defaultSize="0" autoFill="0" autoLine="0" autoPict="0">
                <anchor moveWithCells="1">
                  <from>
                    <xdr:col>9</xdr:col>
                    <xdr:colOff>457200</xdr:colOff>
                    <xdr:row>36</xdr:row>
                    <xdr:rowOff>9525</xdr:rowOff>
                  </from>
                  <to>
                    <xdr:col>9</xdr:col>
                    <xdr:colOff>762000</xdr:colOff>
                    <xdr:row>36</xdr:row>
                    <xdr:rowOff>228600</xdr:rowOff>
                  </to>
                </anchor>
              </controlPr>
            </control>
          </mc:Choice>
        </mc:AlternateContent>
        <mc:AlternateContent xmlns:mc="http://schemas.openxmlformats.org/markup-compatibility/2006">
          <mc:Choice Requires="x14">
            <control shapeId="8277" r:id="rId19" name="Check Box 85">
              <controlPr defaultSize="0" autoFill="0" autoLine="0" autoPict="0">
                <anchor moveWithCells="1">
                  <from>
                    <xdr:col>6</xdr:col>
                    <xdr:colOff>485775</xdr:colOff>
                    <xdr:row>37</xdr:row>
                    <xdr:rowOff>0</xdr:rowOff>
                  </from>
                  <to>
                    <xdr:col>6</xdr:col>
                    <xdr:colOff>790575</xdr:colOff>
                    <xdr:row>37</xdr:row>
                    <xdr:rowOff>219075</xdr:rowOff>
                  </to>
                </anchor>
              </controlPr>
            </control>
          </mc:Choice>
        </mc:AlternateContent>
        <mc:AlternateContent xmlns:mc="http://schemas.openxmlformats.org/markup-compatibility/2006">
          <mc:Choice Requires="x14">
            <control shapeId="8278" r:id="rId20" name="Check Box 86">
              <controlPr defaultSize="0" autoFill="0" autoLine="0" autoPict="0">
                <anchor moveWithCells="1">
                  <from>
                    <xdr:col>5</xdr:col>
                    <xdr:colOff>371475</xdr:colOff>
                    <xdr:row>37</xdr:row>
                    <xdr:rowOff>0</xdr:rowOff>
                  </from>
                  <to>
                    <xdr:col>5</xdr:col>
                    <xdr:colOff>676275</xdr:colOff>
                    <xdr:row>37</xdr:row>
                    <xdr:rowOff>219075</xdr:rowOff>
                  </to>
                </anchor>
              </controlPr>
            </control>
          </mc:Choice>
        </mc:AlternateContent>
        <mc:AlternateContent xmlns:mc="http://schemas.openxmlformats.org/markup-compatibility/2006">
          <mc:Choice Requires="x14">
            <control shapeId="8279" r:id="rId21" name="Check Box 87">
              <controlPr defaultSize="0" autoFill="0" autoLine="0" autoPict="0">
                <anchor moveWithCells="1">
                  <from>
                    <xdr:col>7</xdr:col>
                    <xdr:colOff>457200</xdr:colOff>
                    <xdr:row>37</xdr:row>
                    <xdr:rowOff>9525</xdr:rowOff>
                  </from>
                  <to>
                    <xdr:col>7</xdr:col>
                    <xdr:colOff>762000</xdr:colOff>
                    <xdr:row>37</xdr:row>
                    <xdr:rowOff>228600</xdr:rowOff>
                  </to>
                </anchor>
              </controlPr>
            </control>
          </mc:Choice>
        </mc:AlternateContent>
        <mc:AlternateContent xmlns:mc="http://schemas.openxmlformats.org/markup-compatibility/2006">
          <mc:Choice Requires="x14">
            <control shapeId="8280" r:id="rId22" name="Check Box 88">
              <controlPr defaultSize="0" autoFill="0" autoLine="0" autoPict="0">
                <anchor moveWithCells="1">
                  <from>
                    <xdr:col>8</xdr:col>
                    <xdr:colOff>457200</xdr:colOff>
                    <xdr:row>37</xdr:row>
                    <xdr:rowOff>9525</xdr:rowOff>
                  </from>
                  <to>
                    <xdr:col>8</xdr:col>
                    <xdr:colOff>762000</xdr:colOff>
                    <xdr:row>37</xdr:row>
                    <xdr:rowOff>228600</xdr:rowOff>
                  </to>
                </anchor>
              </controlPr>
            </control>
          </mc:Choice>
        </mc:AlternateContent>
        <mc:AlternateContent xmlns:mc="http://schemas.openxmlformats.org/markup-compatibility/2006">
          <mc:Choice Requires="x14">
            <control shapeId="8281" r:id="rId23" name="Check Box 89">
              <controlPr defaultSize="0" autoFill="0" autoLine="0" autoPict="0">
                <anchor moveWithCells="1">
                  <from>
                    <xdr:col>9</xdr:col>
                    <xdr:colOff>457200</xdr:colOff>
                    <xdr:row>37</xdr:row>
                    <xdr:rowOff>9525</xdr:rowOff>
                  </from>
                  <to>
                    <xdr:col>9</xdr:col>
                    <xdr:colOff>762000</xdr:colOff>
                    <xdr:row>37</xdr:row>
                    <xdr:rowOff>228600</xdr:rowOff>
                  </to>
                </anchor>
              </controlPr>
            </control>
          </mc:Choice>
        </mc:AlternateContent>
        <mc:AlternateContent xmlns:mc="http://schemas.openxmlformats.org/markup-compatibility/2006">
          <mc:Choice Requires="x14">
            <control shapeId="8282" r:id="rId24" name="Check Box 90">
              <controlPr defaultSize="0" autoFill="0" autoLine="0" autoPict="0">
                <anchor moveWithCells="1">
                  <from>
                    <xdr:col>6</xdr:col>
                    <xdr:colOff>485775</xdr:colOff>
                    <xdr:row>38</xdr:row>
                    <xdr:rowOff>0</xdr:rowOff>
                  </from>
                  <to>
                    <xdr:col>6</xdr:col>
                    <xdr:colOff>790575</xdr:colOff>
                    <xdr:row>38</xdr:row>
                    <xdr:rowOff>219075</xdr:rowOff>
                  </to>
                </anchor>
              </controlPr>
            </control>
          </mc:Choice>
        </mc:AlternateContent>
        <mc:AlternateContent xmlns:mc="http://schemas.openxmlformats.org/markup-compatibility/2006">
          <mc:Choice Requires="x14">
            <control shapeId="8283" r:id="rId25" name="Check Box 91">
              <controlPr defaultSize="0" autoFill="0" autoLine="0" autoPict="0">
                <anchor moveWithCells="1">
                  <from>
                    <xdr:col>5</xdr:col>
                    <xdr:colOff>371475</xdr:colOff>
                    <xdr:row>38</xdr:row>
                    <xdr:rowOff>0</xdr:rowOff>
                  </from>
                  <to>
                    <xdr:col>5</xdr:col>
                    <xdr:colOff>676275</xdr:colOff>
                    <xdr:row>38</xdr:row>
                    <xdr:rowOff>219075</xdr:rowOff>
                  </to>
                </anchor>
              </controlPr>
            </control>
          </mc:Choice>
        </mc:AlternateContent>
        <mc:AlternateContent xmlns:mc="http://schemas.openxmlformats.org/markup-compatibility/2006">
          <mc:Choice Requires="x14">
            <control shapeId="8284" r:id="rId26" name="Check Box 92">
              <controlPr defaultSize="0" autoFill="0" autoLine="0" autoPict="0">
                <anchor moveWithCells="1">
                  <from>
                    <xdr:col>7</xdr:col>
                    <xdr:colOff>457200</xdr:colOff>
                    <xdr:row>38</xdr:row>
                    <xdr:rowOff>9525</xdr:rowOff>
                  </from>
                  <to>
                    <xdr:col>7</xdr:col>
                    <xdr:colOff>762000</xdr:colOff>
                    <xdr:row>38</xdr:row>
                    <xdr:rowOff>228600</xdr:rowOff>
                  </to>
                </anchor>
              </controlPr>
            </control>
          </mc:Choice>
        </mc:AlternateContent>
        <mc:AlternateContent xmlns:mc="http://schemas.openxmlformats.org/markup-compatibility/2006">
          <mc:Choice Requires="x14">
            <control shapeId="8285" r:id="rId27" name="Check Box 93">
              <controlPr defaultSize="0" autoFill="0" autoLine="0" autoPict="0">
                <anchor moveWithCells="1">
                  <from>
                    <xdr:col>8</xdr:col>
                    <xdr:colOff>457200</xdr:colOff>
                    <xdr:row>38</xdr:row>
                    <xdr:rowOff>9525</xdr:rowOff>
                  </from>
                  <to>
                    <xdr:col>8</xdr:col>
                    <xdr:colOff>762000</xdr:colOff>
                    <xdr:row>38</xdr:row>
                    <xdr:rowOff>228600</xdr:rowOff>
                  </to>
                </anchor>
              </controlPr>
            </control>
          </mc:Choice>
        </mc:AlternateContent>
        <mc:AlternateContent xmlns:mc="http://schemas.openxmlformats.org/markup-compatibility/2006">
          <mc:Choice Requires="x14">
            <control shapeId="8286" r:id="rId28" name="Check Box 94">
              <controlPr defaultSize="0" autoFill="0" autoLine="0" autoPict="0">
                <anchor moveWithCells="1">
                  <from>
                    <xdr:col>9</xdr:col>
                    <xdr:colOff>457200</xdr:colOff>
                    <xdr:row>38</xdr:row>
                    <xdr:rowOff>9525</xdr:rowOff>
                  </from>
                  <to>
                    <xdr:col>9</xdr:col>
                    <xdr:colOff>762000</xdr:colOff>
                    <xdr:row>38</xdr:row>
                    <xdr:rowOff>228600</xdr:rowOff>
                  </to>
                </anchor>
              </controlPr>
            </control>
          </mc:Choice>
        </mc:AlternateContent>
        <mc:AlternateContent xmlns:mc="http://schemas.openxmlformats.org/markup-compatibility/2006">
          <mc:Choice Requires="x14">
            <control shapeId="8287" r:id="rId29" name="Check Box 95">
              <controlPr defaultSize="0" autoFill="0" autoLine="0" autoPict="0">
                <anchor moveWithCells="1">
                  <from>
                    <xdr:col>6</xdr:col>
                    <xdr:colOff>485775</xdr:colOff>
                    <xdr:row>39</xdr:row>
                    <xdr:rowOff>0</xdr:rowOff>
                  </from>
                  <to>
                    <xdr:col>6</xdr:col>
                    <xdr:colOff>790575</xdr:colOff>
                    <xdr:row>39</xdr:row>
                    <xdr:rowOff>219075</xdr:rowOff>
                  </to>
                </anchor>
              </controlPr>
            </control>
          </mc:Choice>
        </mc:AlternateContent>
        <mc:AlternateContent xmlns:mc="http://schemas.openxmlformats.org/markup-compatibility/2006">
          <mc:Choice Requires="x14">
            <control shapeId="8288" r:id="rId30" name="Check Box 96">
              <controlPr defaultSize="0" autoFill="0" autoLine="0" autoPict="0">
                <anchor moveWithCells="1">
                  <from>
                    <xdr:col>5</xdr:col>
                    <xdr:colOff>371475</xdr:colOff>
                    <xdr:row>39</xdr:row>
                    <xdr:rowOff>0</xdr:rowOff>
                  </from>
                  <to>
                    <xdr:col>5</xdr:col>
                    <xdr:colOff>676275</xdr:colOff>
                    <xdr:row>39</xdr:row>
                    <xdr:rowOff>219075</xdr:rowOff>
                  </to>
                </anchor>
              </controlPr>
            </control>
          </mc:Choice>
        </mc:AlternateContent>
        <mc:AlternateContent xmlns:mc="http://schemas.openxmlformats.org/markup-compatibility/2006">
          <mc:Choice Requires="x14">
            <control shapeId="8289" r:id="rId31" name="Check Box 97">
              <controlPr defaultSize="0" autoFill="0" autoLine="0" autoPict="0">
                <anchor moveWithCells="1">
                  <from>
                    <xdr:col>7</xdr:col>
                    <xdr:colOff>457200</xdr:colOff>
                    <xdr:row>39</xdr:row>
                    <xdr:rowOff>9525</xdr:rowOff>
                  </from>
                  <to>
                    <xdr:col>7</xdr:col>
                    <xdr:colOff>762000</xdr:colOff>
                    <xdr:row>39</xdr:row>
                    <xdr:rowOff>228600</xdr:rowOff>
                  </to>
                </anchor>
              </controlPr>
            </control>
          </mc:Choice>
        </mc:AlternateContent>
        <mc:AlternateContent xmlns:mc="http://schemas.openxmlformats.org/markup-compatibility/2006">
          <mc:Choice Requires="x14">
            <control shapeId="8290" r:id="rId32" name="Check Box 98">
              <controlPr defaultSize="0" autoFill="0" autoLine="0" autoPict="0">
                <anchor moveWithCells="1">
                  <from>
                    <xdr:col>8</xdr:col>
                    <xdr:colOff>457200</xdr:colOff>
                    <xdr:row>39</xdr:row>
                    <xdr:rowOff>9525</xdr:rowOff>
                  </from>
                  <to>
                    <xdr:col>8</xdr:col>
                    <xdr:colOff>762000</xdr:colOff>
                    <xdr:row>39</xdr:row>
                    <xdr:rowOff>228600</xdr:rowOff>
                  </to>
                </anchor>
              </controlPr>
            </control>
          </mc:Choice>
        </mc:AlternateContent>
        <mc:AlternateContent xmlns:mc="http://schemas.openxmlformats.org/markup-compatibility/2006">
          <mc:Choice Requires="x14">
            <control shapeId="8291" r:id="rId33" name="Check Box 99">
              <controlPr defaultSize="0" autoFill="0" autoLine="0" autoPict="0">
                <anchor moveWithCells="1">
                  <from>
                    <xdr:col>9</xdr:col>
                    <xdr:colOff>457200</xdr:colOff>
                    <xdr:row>39</xdr:row>
                    <xdr:rowOff>9525</xdr:rowOff>
                  </from>
                  <to>
                    <xdr:col>9</xdr:col>
                    <xdr:colOff>762000</xdr:colOff>
                    <xdr:row>39</xdr:row>
                    <xdr:rowOff>228600</xdr:rowOff>
                  </to>
                </anchor>
              </controlPr>
            </control>
          </mc:Choice>
        </mc:AlternateContent>
        <mc:AlternateContent xmlns:mc="http://schemas.openxmlformats.org/markup-compatibility/2006">
          <mc:Choice Requires="x14">
            <control shapeId="8292" r:id="rId34" name="Check Box 100">
              <controlPr defaultSize="0" autoFill="0" autoLine="0" autoPict="0">
                <anchor moveWithCells="1">
                  <from>
                    <xdr:col>6</xdr:col>
                    <xdr:colOff>485775</xdr:colOff>
                    <xdr:row>70</xdr:row>
                    <xdr:rowOff>76200</xdr:rowOff>
                  </from>
                  <to>
                    <xdr:col>6</xdr:col>
                    <xdr:colOff>790575</xdr:colOff>
                    <xdr:row>71</xdr:row>
                    <xdr:rowOff>0</xdr:rowOff>
                  </to>
                </anchor>
              </controlPr>
            </control>
          </mc:Choice>
        </mc:AlternateContent>
        <mc:AlternateContent xmlns:mc="http://schemas.openxmlformats.org/markup-compatibility/2006">
          <mc:Choice Requires="x14">
            <control shapeId="8293" r:id="rId35" name="Check Box 101">
              <controlPr defaultSize="0" autoFill="0" autoLine="0" autoPict="0">
                <anchor moveWithCells="1">
                  <from>
                    <xdr:col>5</xdr:col>
                    <xdr:colOff>371475</xdr:colOff>
                    <xdr:row>70</xdr:row>
                    <xdr:rowOff>76200</xdr:rowOff>
                  </from>
                  <to>
                    <xdr:col>5</xdr:col>
                    <xdr:colOff>676275</xdr:colOff>
                    <xdr:row>71</xdr:row>
                    <xdr:rowOff>0</xdr:rowOff>
                  </to>
                </anchor>
              </controlPr>
            </control>
          </mc:Choice>
        </mc:AlternateContent>
        <mc:AlternateContent xmlns:mc="http://schemas.openxmlformats.org/markup-compatibility/2006">
          <mc:Choice Requires="x14">
            <control shapeId="8294" r:id="rId36" name="Check Box 102">
              <controlPr defaultSize="0" autoFill="0" autoLine="0" autoPict="0">
                <anchor moveWithCells="1">
                  <from>
                    <xdr:col>7</xdr:col>
                    <xdr:colOff>457200</xdr:colOff>
                    <xdr:row>70</xdr:row>
                    <xdr:rowOff>85725</xdr:rowOff>
                  </from>
                  <to>
                    <xdr:col>7</xdr:col>
                    <xdr:colOff>762000</xdr:colOff>
                    <xdr:row>71</xdr:row>
                    <xdr:rowOff>0</xdr:rowOff>
                  </to>
                </anchor>
              </controlPr>
            </control>
          </mc:Choice>
        </mc:AlternateContent>
        <mc:AlternateContent xmlns:mc="http://schemas.openxmlformats.org/markup-compatibility/2006">
          <mc:Choice Requires="x14">
            <control shapeId="8295" r:id="rId37" name="Check Box 103">
              <controlPr defaultSize="0" autoFill="0" autoLine="0" autoPict="0">
                <anchor moveWithCells="1">
                  <from>
                    <xdr:col>8</xdr:col>
                    <xdr:colOff>457200</xdr:colOff>
                    <xdr:row>70</xdr:row>
                    <xdr:rowOff>85725</xdr:rowOff>
                  </from>
                  <to>
                    <xdr:col>8</xdr:col>
                    <xdr:colOff>762000</xdr:colOff>
                    <xdr:row>71</xdr:row>
                    <xdr:rowOff>0</xdr:rowOff>
                  </to>
                </anchor>
              </controlPr>
            </control>
          </mc:Choice>
        </mc:AlternateContent>
        <mc:AlternateContent xmlns:mc="http://schemas.openxmlformats.org/markup-compatibility/2006">
          <mc:Choice Requires="x14">
            <control shapeId="8296" r:id="rId38" name="Check Box 104">
              <controlPr defaultSize="0" autoFill="0" autoLine="0" autoPict="0">
                <anchor moveWithCells="1">
                  <from>
                    <xdr:col>9</xdr:col>
                    <xdr:colOff>457200</xdr:colOff>
                    <xdr:row>70</xdr:row>
                    <xdr:rowOff>85725</xdr:rowOff>
                  </from>
                  <to>
                    <xdr:col>9</xdr:col>
                    <xdr:colOff>762000</xdr:colOff>
                    <xdr:row>71</xdr:row>
                    <xdr:rowOff>0</xdr:rowOff>
                  </to>
                </anchor>
              </controlPr>
            </control>
          </mc:Choice>
        </mc:AlternateContent>
        <mc:AlternateContent xmlns:mc="http://schemas.openxmlformats.org/markup-compatibility/2006">
          <mc:Choice Requires="x14">
            <control shapeId="8297" r:id="rId39" name="Check Box 105">
              <controlPr defaultSize="0" autoFill="0" autoLine="0" autoPict="0">
                <anchor moveWithCells="1">
                  <from>
                    <xdr:col>6</xdr:col>
                    <xdr:colOff>485775</xdr:colOff>
                    <xdr:row>71</xdr:row>
                    <xdr:rowOff>0</xdr:rowOff>
                  </from>
                  <to>
                    <xdr:col>6</xdr:col>
                    <xdr:colOff>790575</xdr:colOff>
                    <xdr:row>71</xdr:row>
                    <xdr:rowOff>219075</xdr:rowOff>
                  </to>
                </anchor>
              </controlPr>
            </control>
          </mc:Choice>
        </mc:AlternateContent>
        <mc:AlternateContent xmlns:mc="http://schemas.openxmlformats.org/markup-compatibility/2006">
          <mc:Choice Requires="x14">
            <control shapeId="8298" r:id="rId40" name="Check Box 106">
              <controlPr defaultSize="0" autoFill="0" autoLine="0" autoPict="0">
                <anchor moveWithCells="1">
                  <from>
                    <xdr:col>5</xdr:col>
                    <xdr:colOff>371475</xdr:colOff>
                    <xdr:row>71</xdr:row>
                    <xdr:rowOff>0</xdr:rowOff>
                  </from>
                  <to>
                    <xdr:col>5</xdr:col>
                    <xdr:colOff>676275</xdr:colOff>
                    <xdr:row>71</xdr:row>
                    <xdr:rowOff>219075</xdr:rowOff>
                  </to>
                </anchor>
              </controlPr>
            </control>
          </mc:Choice>
        </mc:AlternateContent>
        <mc:AlternateContent xmlns:mc="http://schemas.openxmlformats.org/markup-compatibility/2006">
          <mc:Choice Requires="x14">
            <control shapeId="8299" r:id="rId41" name="Check Box 107">
              <controlPr defaultSize="0" autoFill="0" autoLine="0" autoPict="0">
                <anchor moveWithCells="1">
                  <from>
                    <xdr:col>7</xdr:col>
                    <xdr:colOff>457200</xdr:colOff>
                    <xdr:row>71</xdr:row>
                    <xdr:rowOff>9525</xdr:rowOff>
                  </from>
                  <to>
                    <xdr:col>7</xdr:col>
                    <xdr:colOff>762000</xdr:colOff>
                    <xdr:row>71</xdr:row>
                    <xdr:rowOff>228600</xdr:rowOff>
                  </to>
                </anchor>
              </controlPr>
            </control>
          </mc:Choice>
        </mc:AlternateContent>
        <mc:AlternateContent xmlns:mc="http://schemas.openxmlformats.org/markup-compatibility/2006">
          <mc:Choice Requires="x14">
            <control shapeId="8300" r:id="rId42" name="Check Box 108">
              <controlPr defaultSize="0" autoFill="0" autoLine="0" autoPict="0">
                <anchor moveWithCells="1">
                  <from>
                    <xdr:col>8</xdr:col>
                    <xdr:colOff>457200</xdr:colOff>
                    <xdr:row>71</xdr:row>
                    <xdr:rowOff>9525</xdr:rowOff>
                  </from>
                  <to>
                    <xdr:col>8</xdr:col>
                    <xdr:colOff>762000</xdr:colOff>
                    <xdr:row>71</xdr:row>
                    <xdr:rowOff>228600</xdr:rowOff>
                  </to>
                </anchor>
              </controlPr>
            </control>
          </mc:Choice>
        </mc:AlternateContent>
        <mc:AlternateContent xmlns:mc="http://schemas.openxmlformats.org/markup-compatibility/2006">
          <mc:Choice Requires="x14">
            <control shapeId="8301" r:id="rId43" name="Check Box 109">
              <controlPr defaultSize="0" autoFill="0" autoLine="0" autoPict="0">
                <anchor moveWithCells="1">
                  <from>
                    <xdr:col>9</xdr:col>
                    <xdr:colOff>457200</xdr:colOff>
                    <xdr:row>71</xdr:row>
                    <xdr:rowOff>9525</xdr:rowOff>
                  </from>
                  <to>
                    <xdr:col>9</xdr:col>
                    <xdr:colOff>762000</xdr:colOff>
                    <xdr:row>71</xdr:row>
                    <xdr:rowOff>228600</xdr:rowOff>
                  </to>
                </anchor>
              </controlPr>
            </control>
          </mc:Choice>
        </mc:AlternateContent>
        <mc:AlternateContent xmlns:mc="http://schemas.openxmlformats.org/markup-compatibility/2006">
          <mc:Choice Requires="x14">
            <control shapeId="8302" r:id="rId44" name="Check Box 110">
              <controlPr defaultSize="0" autoFill="0" autoLine="0" autoPict="0">
                <anchor moveWithCells="1">
                  <from>
                    <xdr:col>6</xdr:col>
                    <xdr:colOff>485775</xdr:colOff>
                    <xdr:row>72</xdr:row>
                    <xdr:rowOff>0</xdr:rowOff>
                  </from>
                  <to>
                    <xdr:col>6</xdr:col>
                    <xdr:colOff>790575</xdr:colOff>
                    <xdr:row>72</xdr:row>
                    <xdr:rowOff>219075</xdr:rowOff>
                  </to>
                </anchor>
              </controlPr>
            </control>
          </mc:Choice>
        </mc:AlternateContent>
        <mc:AlternateContent xmlns:mc="http://schemas.openxmlformats.org/markup-compatibility/2006">
          <mc:Choice Requires="x14">
            <control shapeId="8303" r:id="rId45" name="Check Box 111">
              <controlPr defaultSize="0" autoFill="0" autoLine="0" autoPict="0">
                <anchor moveWithCells="1">
                  <from>
                    <xdr:col>5</xdr:col>
                    <xdr:colOff>371475</xdr:colOff>
                    <xdr:row>72</xdr:row>
                    <xdr:rowOff>0</xdr:rowOff>
                  </from>
                  <to>
                    <xdr:col>5</xdr:col>
                    <xdr:colOff>676275</xdr:colOff>
                    <xdr:row>72</xdr:row>
                    <xdr:rowOff>219075</xdr:rowOff>
                  </to>
                </anchor>
              </controlPr>
            </control>
          </mc:Choice>
        </mc:AlternateContent>
        <mc:AlternateContent xmlns:mc="http://schemas.openxmlformats.org/markup-compatibility/2006">
          <mc:Choice Requires="x14">
            <control shapeId="8304" r:id="rId46" name="Check Box 112">
              <controlPr defaultSize="0" autoFill="0" autoLine="0" autoPict="0">
                <anchor moveWithCells="1">
                  <from>
                    <xdr:col>7</xdr:col>
                    <xdr:colOff>457200</xdr:colOff>
                    <xdr:row>72</xdr:row>
                    <xdr:rowOff>9525</xdr:rowOff>
                  </from>
                  <to>
                    <xdr:col>7</xdr:col>
                    <xdr:colOff>762000</xdr:colOff>
                    <xdr:row>72</xdr:row>
                    <xdr:rowOff>228600</xdr:rowOff>
                  </to>
                </anchor>
              </controlPr>
            </control>
          </mc:Choice>
        </mc:AlternateContent>
        <mc:AlternateContent xmlns:mc="http://schemas.openxmlformats.org/markup-compatibility/2006">
          <mc:Choice Requires="x14">
            <control shapeId="8305" r:id="rId47" name="Check Box 113">
              <controlPr defaultSize="0" autoFill="0" autoLine="0" autoPict="0">
                <anchor moveWithCells="1">
                  <from>
                    <xdr:col>8</xdr:col>
                    <xdr:colOff>457200</xdr:colOff>
                    <xdr:row>72</xdr:row>
                    <xdr:rowOff>9525</xdr:rowOff>
                  </from>
                  <to>
                    <xdr:col>8</xdr:col>
                    <xdr:colOff>762000</xdr:colOff>
                    <xdr:row>72</xdr:row>
                    <xdr:rowOff>228600</xdr:rowOff>
                  </to>
                </anchor>
              </controlPr>
            </control>
          </mc:Choice>
        </mc:AlternateContent>
        <mc:AlternateContent xmlns:mc="http://schemas.openxmlformats.org/markup-compatibility/2006">
          <mc:Choice Requires="x14">
            <control shapeId="8306" r:id="rId48" name="Check Box 114">
              <controlPr defaultSize="0" autoFill="0" autoLine="0" autoPict="0">
                <anchor moveWithCells="1">
                  <from>
                    <xdr:col>9</xdr:col>
                    <xdr:colOff>457200</xdr:colOff>
                    <xdr:row>72</xdr:row>
                    <xdr:rowOff>9525</xdr:rowOff>
                  </from>
                  <to>
                    <xdr:col>9</xdr:col>
                    <xdr:colOff>762000</xdr:colOff>
                    <xdr:row>72</xdr:row>
                    <xdr:rowOff>228600</xdr:rowOff>
                  </to>
                </anchor>
              </controlPr>
            </control>
          </mc:Choice>
        </mc:AlternateContent>
        <mc:AlternateContent xmlns:mc="http://schemas.openxmlformats.org/markup-compatibility/2006">
          <mc:Choice Requires="x14">
            <control shapeId="8307" r:id="rId49" name="Check Box 115">
              <controlPr defaultSize="0" autoFill="0" autoLine="0" autoPict="0">
                <anchor moveWithCells="1">
                  <from>
                    <xdr:col>6</xdr:col>
                    <xdr:colOff>485775</xdr:colOff>
                    <xdr:row>73</xdr:row>
                    <xdr:rowOff>0</xdr:rowOff>
                  </from>
                  <to>
                    <xdr:col>6</xdr:col>
                    <xdr:colOff>790575</xdr:colOff>
                    <xdr:row>73</xdr:row>
                    <xdr:rowOff>219075</xdr:rowOff>
                  </to>
                </anchor>
              </controlPr>
            </control>
          </mc:Choice>
        </mc:AlternateContent>
        <mc:AlternateContent xmlns:mc="http://schemas.openxmlformats.org/markup-compatibility/2006">
          <mc:Choice Requires="x14">
            <control shapeId="8308" r:id="rId50" name="Check Box 116">
              <controlPr defaultSize="0" autoFill="0" autoLine="0" autoPict="0">
                <anchor moveWithCells="1">
                  <from>
                    <xdr:col>5</xdr:col>
                    <xdr:colOff>371475</xdr:colOff>
                    <xdr:row>73</xdr:row>
                    <xdr:rowOff>0</xdr:rowOff>
                  </from>
                  <to>
                    <xdr:col>5</xdr:col>
                    <xdr:colOff>676275</xdr:colOff>
                    <xdr:row>73</xdr:row>
                    <xdr:rowOff>219075</xdr:rowOff>
                  </to>
                </anchor>
              </controlPr>
            </control>
          </mc:Choice>
        </mc:AlternateContent>
        <mc:AlternateContent xmlns:mc="http://schemas.openxmlformats.org/markup-compatibility/2006">
          <mc:Choice Requires="x14">
            <control shapeId="8309" r:id="rId51" name="Check Box 117">
              <controlPr defaultSize="0" autoFill="0" autoLine="0" autoPict="0">
                <anchor moveWithCells="1">
                  <from>
                    <xdr:col>7</xdr:col>
                    <xdr:colOff>457200</xdr:colOff>
                    <xdr:row>73</xdr:row>
                    <xdr:rowOff>9525</xdr:rowOff>
                  </from>
                  <to>
                    <xdr:col>7</xdr:col>
                    <xdr:colOff>762000</xdr:colOff>
                    <xdr:row>73</xdr:row>
                    <xdr:rowOff>228600</xdr:rowOff>
                  </to>
                </anchor>
              </controlPr>
            </control>
          </mc:Choice>
        </mc:AlternateContent>
        <mc:AlternateContent xmlns:mc="http://schemas.openxmlformats.org/markup-compatibility/2006">
          <mc:Choice Requires="x14">
            <control shapeId="8310" r:id="rId52" name="Check Box 118">
              <controlPr defaultSize="0" autoFill="0" autoLine="0" autoPict="0">
                <anchor moveWithCells="1">
                  <from>
                    <xdr:col>8</xdr:col>
                    <xdr:colOff>457200</xdr:colOff>
                    <xdr:row>73</xdr:row>
                    <xdr:rowOff>9525</xdr:rowOff>
                  </from>
                  <to>
                    <xdr:col>8</xdr:col>
                    <xdr:colOff>762000</xdr:colOff>
                    <xdr:row>73</xdr:row>
                    <xdr:rowOff>228600</xdr:rowOff>
                  </to>
                </anchor>
              </controlPr>
            </control>
          </mc:Choice>
        </mc:AlternateContent>
        <mc:AlternateContent xmlns:mc="http://schemas.openxmlformats.org/markup-compatibility/2006">
          <mc:Choice Requires="x14">
            <control shapeId="8311" r:id="rId53" name="Check Box 119">
              <controlPr defaultSize="0" autoFill="0" autoLine="0" autoPict="0">
                <anchor moveWithCells="1">
                  <from>
                    <xdr:col>9</xdr:col>
                    <xdr:colOff>457200</xdr:colOff>
                    <xdr:row>73</xdr:row>
                    <xdr:rowOff>9525</xdr:rowOff>
                  </from>
                  <to>
                    <xdr:col>9</xdr:col>
                    <xdr:colOff>762000</xdr:colOff>
                    <xdr:row>73</xdr:row>
                    <xdr:rowOff>228600</xdr:rowOff>
                  </to>
                </anchor>
              </controlPr>
            </control>
          </mc:Choice>
        </mc:AlternateContent>
        <mc:AlternateContent xmlns:mc="http://schemas.openxmlformats.org/markup-compatibility/2006">
          <mc:Choice Requires="x14">
            <control shapeId="8312" r:id="rId54" name="Check Box 120">
              <controlPr defaultSize="0" autoFill="0" autoLine="0" autoPict="0">
                <anchor moveWithCells="1">
                  <from>
                    <xdr:col>6</xdr:col>
                    <xdr:colOff>485775</xdr:colOff>
                    <xdr:row>74</xdr:row>
                    <xdr:rowOff>0</xdr:rowOff>
                  </from>
                  <to>
                    <xdr:col>6</xdr:col>
                    <xdr:colOff>790575</xdr:colOff>
                    <xdr:row>74</xdr:row>
                    <xdr:rowOff>219075</xdr:rowOff>
                  </to>
                </anchor>
              </controlPr>
            </control>
          </mc:Choice>
        </mc:AlternateContent>
        <mc:AlternateContent xmlns:mc="http://schemas.openxmlformats.org/markup-compatibility/2006">
          <mc:Choice Requires="x14">
            <control shapeId="8313" r:id="rId55" name="Check Box 121">
              <controlPr defaultSize="0" autoFill="0" autoLine="0" autoPict="0">
                <anchor moveWithCells="1">
                  <from>
                    <xdr:col>5</xdr:col>
                    <xdr:colOff>371475</xdr:colOff>
                    <xdr:row>74</xdr:row>
                    <xdr:rowOff>0</xdr:rowOff>
                  </from>
                  <to>
                    <xdr:col>5</xdr:col>
                    <xdr:colOff>676275</xdr:colOff>
                    <xdr:row>74</xdr:row>
                    <xdr:rowOff>219075</xdr:rowOff>
                  </to>
                </anchor>
              </controlPr>
            </control>
          </mc:Choice>
        </mc:AlternateContent>
        <mc:AlternateContent xmlns:mc="http://schemas.openxmlformats.org/markup-compatibility/2006">
          <mc:Choice Requires="x14">
            <control shapeId="8314" r:id="rId56" name="Check Box 122">
              <controlPr defaultSize="0" autoFill="0" autoLine="0" autoPict="0">
                <anchor moveWithCells="1">
                  <from>
                    <xdr:col>7</xdr:col>
                    <xdr:colOff>457200</xdr:colOff>
                    <xdr:row>74</xdr:row>
                    <xdr:rowOff>9525</xdr:rowOff>
                  </from>
                  <to>
                    <xdr:col>7</xdr:col>
                    <xdr:colOff>762000</xdr:colOff>
                    <xdr:row>74</xdr:row>
                    <xdr:rowOff>228600</xdr:rowOff>
                  </to>
                </anchor>
              </controlPr>
            </control>
          </mc:Choice>
        </mc:AlternateContent>
        <mc:AlternateContent xmlns:mc="http://schemas.openxmlformats.org/markup-compatibility/2006">
          <mc:Choice Requires="x14">
            <control shapeId="8315" r:id="rId57" name="Check Box 123">
              <controlPr defaultSize="0" autoFill="0" autoLine="0" autoPict="0">
                <anchor moveWithCells="1">
                  <from>
                    <xdr:col>8</xdr:col>
                    <xdr:colOff>457200</xdr:colOff>
                    <xdr:row>74</xdr:row>
                    <xdr:rowOff>9525</xdr:rowOff>
                  </from>
                  <to>
                    <xdr:col>8</xdr:col>
                    <xdr:colOff>762000</xdr:colOff>
                    <xdr:row>74</xdr:row>
                    <xdr:rowOff>228600</xdr:rowOff>
                  </to>
                </anchor>
              </controlPr>
            </control>
          </mc:Choice>
        </mc:AlternateContent>
        <mc:AlternateContent xmlns:mc="http://schemas.openxmlformats.org/markup-compatibility/2006">
          <mc:Choice Requires="x14">
            <control shapeId="8316" r:id="rId58" name="Check Box 124">
              <controlPr defaultSize="0" autoFill="0" autoLine="0" autoPict="0">
                <anchor moveWithCells="1">
                  <from>
                    <xdr:col>9</xdr:col>
                    <xdr:colOff>457200</xdr:colOff>
                    <xdr:row>74</xdr:row>
                    <xdr:rowOff>9525</xdr:rowOff>
                  </from>
                  <to>
                    <xdr:col>9</xdr:col>
                    <xdr:colOff>762000</xdr:colOff>
                    <xdr:row>74</xdr:row>
                    <xdr:rowOff>228600</xdr:rowOff>
                  </to>
                </anchor>
              </controlPr>
            </control>
          </mc:Choice>
        </mc:AlternateContent>
        <mc:AlternateContent xmlns:mc="http://schemas.openxmlformats.org/markup-compatibility/2006">
          <mc:Choice Requires="x14">
            <control shapeId="8317" r:id="rId59" name="Check Box 125">
              <controlPr defaultSize="0" autoFill="0" autoLine="0" autoPict="0">
                <anchor moveWithCells="1">
                  <from>
                    <xdr:col>6</xdr:col>
                    <xdr:colOff>485775</xdr:colOff>
                    <xdr:row>75</xdr:row>
                    <xdr:rowOff>0</xdr:rowOff>
                  </from>
                  <to>
                    <xdr:col>6</xdr:col>
                    <xdr:colOff>790575</xdr:colOff>
                    <xdr:row>75</xdr:row>
                    <xdr:rowOff>219075</xdr:rowOff>
                  </to>
                </anchor>
              </controlPr>
            </control>
          </mc:Choice>
        </mc:AlternateContent>
        <mc:AlternateContent xmlns:mc="http://schemas.openxmlformats.org/markup-compatibility/2006">
          <mc:Choice Requires="x14">
            <control shapeId="8318" r:id="rId60" name="Check Box 126">
              <controlPr defaultSize="0" autoFill="0" autoLine="0" autoPict="0">
                <anchor moveWithCells="1">
                  <from>
                    <xdr:col>5</xdr:col>
                    <xdr:colOff>371475</xdr:colOff>
                    <xdr:row>75</xdr:row>
                    <xdr:rowOff>0</xdr:rowOff>
                  </from>
                  <to>
                    <xdr:col>5</xdr:col>
                    <xdr:colOff>676275</xdr:colOff>
                    <xdr:row>75</xdr:row>
                    <xdr:rowOff>219075</xdr:rowOff>
                  </to>
                </anchor>
              </controlPr>
            </control>
          </mc:Choice>
        </mc:AlternateContent>
        <mc:AlternateContent xmlns:mc="http://schemas.openxmlformats.org/markup-compatibility/2006">
          <mc:Choice Requires="x14">
            <control shapeId="8319" r:id="rId61" name="Check Box 127">
              <controlPr defaultSize="0" autoFill="0" autoLine="0" autoPict="0">
                <anchor moveWithCells="1">
                  <from>
                    <xdr:col>7</xdr:col>
                    <xdr:colOff>457200</xdr:colOff>
                    <xdr:row>75</xdr:row>
                    <xdr:rowOff>9525</xdr:rowOff>
                  </from>
                  <to>
                    <xdr:col>7</xdr:col>
                    <xdr:colOff>762000</xdr:colOff>
                    <xdr:row>75</xdr:row>
                    <xdr:rowOff>228600</xdr:rowOff>
                  </to>
                </anchor>
              </controlPr>
            </control>
          </mc:Choice>
        </mc:AlternateContent>
        <mc:AlternateContent xmlns:mc="http://schemas.openxmlformats.org/markup-compatibility/2006">
          <mc:Choice Requires="x14">
            <control shapeId="8320" r:id="rId62" name="Check Box 128">
              <controlPr defaultSize="0" autoFill="0" autoLine="0" autoPict="0">
                <anchor moveWithCells="1">
                  <from>
                    <xdr:col>8</xdr:col>
                    <xdr:colOff>457200</xdr:colOff>
                    <xdr:row>75</xdr:row>
                    <xdr:rowOff>9525</xdr:rowOff>
                  </from>
                  <to>
                    <xdr:col>8</xdr:col>
                    <xdr:colOff>762000</xdr:colOff>
                    <xdr:row>75</xdr:row>
                    <xdr:rowOff>228600</xdr:rowOff>
                  </to>
                </anchor>
              </controlPr>
            </control>
          </mc:Choice>
        </mc:AlternateContent>
        <mc:AlternateContent xmlns:mc="http://schemas.openxmlformats.org/markup-compatibility/2006">
          <mc:Choice Requires="x14">
            <control shapeId="8321" r:id="rId63" name="Check Box 129">
              <controlPr defaultSize="0" autoFill="0" autoLine="0" autoPict="0">
                <anchor moveWithCells="1">
                  <from>
                    <xdr:col>9</xdr:col>
                    <xdr:colOff>457200</xdr:colOff>
                    <xdr:row>75</xdr:row>
                    <xdr:rowOff>9525</xdr:rowOff>
                  </from>
                  <to>
                    <xdr:col>9</xdr:col>
                    <xdr:colOff>762000</xdr:colOff>
                    <xdr:row>75</xdr:row>
                    <xdr:rowOff>228600</xdr:rowOff>
                  </to>
                </anchor>
              </controlPr>
            </control>
          </mc:Choice>
        </mc:AlternateContent>
        <mc:AlternateContent xmlns:mc="http://schemas.openxmlformats.org/markup-compatibility/2006">
          <mc:Choice Requires="x14">
            <control shapeId="8322" r:id="rId64" name="Check Box 130">
              <controlPr defaultSize="0" autoFill="0" autoLine="0" autoPict="0">
                <anchor moveWithCells="1">
                  <from>
                    <xdr:col>6</xdr:col>
                    <xdr:colOff>485775</xdr:colOff>
                    <xdr:row>107</xdr:row>
                    <xdr:rowOff>47625</xdr:rowOff>
                  </from>
                  <to>
                    <xdr:col>6</xdr:col>
                    <xdr:colOff>790575</xdr:colOff>
                    <xdr:row>108</xdr:row>
                    <xdr:rowOff>0</xdr:rowOff>
                  </to>
                </anchor>
              </controlPr>
            </control>
          </mc:Choice>
        </mc:AlternateContent>
        <mc:AlternateContent xmlns:mc="http://schemas.openxmlformats.org/markup-compatibility/2006">
          <mc:Choice Requires="x14">
            <control shapeId="8323" r:id="rId65" name="Check Box 131">
              <controlPr defaultSize="0" autoFill="0" autoLine="0" autoPict="0">
                <anchor moveWithCells="1">
                  <from>
                    <xdr:col>5</xdr:col>
                    <xdr:colOff>371475</xdr:colOff>
                    <xdr:row>107</xdr:row>
                    <xdr:rowOff>47625</xdr:rowOff>
                  </from>
                  <to>
                    <xdr:col>5</xdr:col>
                    <xdr:colOff>676275</xdr:colOff>
                    <xdr:row>108</xdr:row>
                    <xdr:rowOff>0</xdr:rowOff>
                  </to>
                </anchor>
              </controlPr>
            </control>
          </mc:Choice>
        </mc:AlternateContent>
        <mc:AlternateContent xmlns:mc="http://schemas.openxmlformats.org/markup-compatibility/2006">
          <mc:Choice Requires="x14">
            <control shapeId="8324" r:id="rId66" name="Check Box 132">
              <controlPr defaultSize="0" autoFill="0" autoLine="0" autoPict="0">
                <anchor moveWithCells="1">
                  <from>
                    <xdr:col>7</xdr:col>
                    <xdr:colOff>457200</xdr:colOff>
                    <xdr:row>107</xdr:row>
                    <xdr:rowOff>57150</xdr:rowOff>
                  </from>
                  <to>
                    <xdr:col>7</xdr:col>
                    <xdr:colOff>762000</xdr:colOff>
                    <xdr:row>108</xdr:row>
                    <xdr:rowOff>0</xdr:rowOff>
                  </to>
                </anchor>
              </controlPr>
            </control>
          </mc:Choice>
        </mc:AlternateContent>
        <mc:AlternateContent xmlns:mc="http://schemas.openxmlformats.org/markup-compatibility/2006">
          <mc:Choice Requires="x14">
            <control shapeId="8325" r:id="rId67" name="Check Box 133">
              <controlPr defaultSize="0" autoFill="0" autoLine="0" autoPict="0">
                <anchor moveWithCells="1">
                  <from>
                    <xdr:col>8</xdr:col>
                    <xdr:colOff>457200</xdr:colOff>
                    <xdr:row>107</xdr:row>
                    <xdr:rowOff>57150</xdr:rowOff>
                  </from>
                  <to>
                    <xdr:col>8</xdr:col>
                    <xdr:colOff>762000</xdr:colOff>
                    <xdr:row>108</xdr:row>
                    <xdr:rowOff>0</xdr:rowOff>
                  </to>
                </anchor>
              </controlPr>
            </control>
          </mc:Choice>
        </mc:AlternateContent>
        <mc:AlternateContent xmlns:mc="http://schemas.openxmlformats.org/markup-compatibility/2006">
          <mc:Choice Requires="x14">
            <control shapeId="8326" r:id="rId68" name="Check Box 134">
              <controlPr defaultSize="0" autoFill="0" autoLine="0" autoPict="0">
                <anchor moveWithCells="1">
                  <from>
                    <xdr:col>9</xdr:col>
                    <xdr:colOff>457200</xdr:colOff>
                    <xdr:row>107</xdr:row>
                    <xdr:rowOff>57150</xdr:rowOff>
                  </from>
                  <to>
                    <xdr:col>9</xdr:col>
                    <xdr:colOff>762000</xdr:colOff>
                    <xdr:row>108</xdr:row>
                    <xdr:rowOff>0</xdr:rowOff>
                  </to>
                </anchor>
              </controlPr>
            </control>
          </mc:Choice>
        </mc:AlternateContent>
        <mc:AlternateContent xmlns:mc="http://schemas.openxmlformats.org/markup-compatibility/2006">
          <mc:Choice Requires="x14">
            <control shapeId="8327" r:id="rId69" name="Check Box 135">
              <controlPr defaultSize="0" autoFill="0" autoLine="0" autoPict="0">
                <anchor moveWithCells="1">
                  <from>
                    <xdr:col>6</xdr:col>
                    <xdr:colOff>485775</xdr:colOff>
                    <xdr:row>108</xdr:row>
                    <xdr:rowOff>0</xdr:rowOff>
                  </from>
                  <to>
                    <xdr:col>6</xdr:col>
                    <xdr:colOff>790575</xdr:colOff>
                    <xdr:row>108</xdr:row>
                    <xdr:rowOff>219075</xdr:rowOff>
                  </to>
                </anchor>
              </controlPr>
            </control>
          </mc:Choice>
        </mc:AlternateContent>
        <mc:AlternateContent xmlns:mc="http://schemas.openxmlformats.org/markup-compatibility/2006">
          <mc:Choice Requires="x14">
            <control shapeId="8328" r:id="rId70" name="Check Box 136">
              <controlPr defaultSize="0" autoFill="0" autoLine="0" autoPict="0">
                <anchor moveWithCells="1">
                  <from>
                    <xdr:col>5</xdr:col>
                    <xdr:colOff>371475</xdr:colOff>
                    <xdr:row>108</xdr:row>
                    <xdr:rowOff>0</xdr:rowOff>
                  </from>
                  <to>
                    <xdr:col>5</xdr:col>
                    <xdr:colOff>676275</xdr:colOff>
                    <xdr:row>108</xdr:row>
                    <xdr:rowOff>219075</xdr:rowOff>
                  </to>
                </anchor>
              </controlPr>
            </control>
          </mc:Choice>
        </mc:AlternateContent>
        <mc:AlternateContent xmlns:mc="http://schemas.openxmlformats.org/markup-compatibility/2006">
          <mc:Choice Requires="x14">
            <control shapeId="8329" r:id="rId71" name="Check Box 137">
              <controlPr defaultSize="0" autoFill="0" autoLine="0" autoPict="0">
                <anchor moveWithCells="1">
                  <from>
                    <xdr:col>7</xdr:col>
                    <xdr:colOff>457200</xdr:colOff>
                    <xdr:row>108</xdr:row>
                    <xdr:rowOff>9525</xdr:rowOff>
                  </from>
                  <to>
                    <xdr:col>7</xdr:col>
                    <xdr:colOff>762000</xdr:colOff>
                    <xdr:row>108</xdr:row>
                    <xdr:rowOff>228600</xdr:rowOff>
                  </to>
                </anchor>
              </controlPr>
            </control>
          </mc:Choice>
        </mc:AlternateContent>
        <mc:AlternateContent xmlns:mc="http://schemas.openxmlformats.org/markup-compatibility/2006">
          <mc:Choice Requires="x14">
            <control shapeId="8330" r:id="rId72" name="Check Box 138">
              <controlPr defaultSize="0" autoFill="0" autoLine="0" autoPict="0">
                <anchor moveWithCells="1">
                  <from>
                    <xdr:col>8</xdr:col>
                    <xdr:colOff>457200</xdr:colOff>
                    <xdr:row>108</xdr:row>
                    <xdr:rowOff>9525</xdr:rowOff>
                  </from>
                  <to>
                    <xdr:col>8</xdr:col>
                    <xdr:colOff>762000</xdr:colOff>
                    <xdr:row>108</xdr:row>
                    <xdr:rowOff>228600</xdr:rowOff>
                  </to>
                </anchor>
              </controlPr>
            </control>
          </mc:Choice>
        </mc:AlternateContent>
        <mc:AlternateContent xmlns:mc="http://schemas.openxmlformats.org/markup-compatibility/2006">
          <mc:Choice Requires="x14">
            <control shapeId="8331" r:id="rId73" name="Check Box 139">
              <controlPr defaultSize="0" autoFill="0" autoLine="0" autoPict="0">
                <anchor moveWithCells="1">
                  <from>
                    <xdr:col>9</xdr:col>
                    <xdr:colOff>457200</xdr:colOff>
                    <xdr:row>108</xdr:row>
                    <xdr:rowOff>9525</xdr:rowOff>
                  </from>
                  <to>
                    <xdr:col>9</xdr:col>
                    <xdr:colOff>762000</xdr:colOff>
                    <xdr:row>108</xdr:row>
                    <xdr:rowOff>228600</xdr:rowOff>
                  </to>
                </anchor>
              </controlPr>
            </control>
          </mc:Choice>
        </mc:AlternateContent>
        <mc:AlternateContent xmlns:mc="http://schemas.openxmlformats.org/markup-compatibility/2006">
          <mc:Choice Requires="x14">
            <control shapeId="8332" r:id="rId74" name="Check Box 140">
              <controlPr defaultSize="0" autoFill="0" autoLine="0" autoPict="0">
                <anchor moveWithCells="1">
                  <from>
                    <xdr:col>6</xdr:col>
                    <xdr:colOff>485775</xdr:colOff>
                    <xdr:row>109</xdr:row>
                    <xdr:rowOff>0</xdr:rowOff>
                  </from>
                  <to>
                    <xdr:col>6</xdr:col>
                    <xdr:colOff>790575</xdr:colOff>
                    <xdr:row>109</xdr:row>
                    <xdr:rowOff>219075</xdr:rowOff>
                  </to>
                </anchor>
              </controlPr>
            </control>
          </mc:Choice>
        </mc:AlternateContent>
        <mc:AlternateContent xmlns:mc="http://schemas.openxmlformats.org/markup-compatibility/2006">
          <mc:Choice Requires="x14">
            <control shapeId="8333" r:id="rId75" name="Check Box 141">
              <controlPr defaultSize="0" autoFill="0" autoLine="0" autoPict="0">
                <anchor moveWithCells="1">
                  <from>
                    <xdr:col>5</xdr:col>
                    <xdr:colOff>371475</xdr:colOff>
                    <xdr:row>109</xdr:row>
                    <xdr:rowOff>0</xdr:rowOff>
                  </from>
                  <to>
                    <xdr:col>5</xdr:col>
                    <xdr:colOff>676275</xdr:colOff>
                    <xdr:row>109</xdr:row>
                    <xdr:rowOff>219075</xdr:rowOff>
                  </to>
                </anchor>
              </controlPr>
            </control>
          </mc:Choice>
        </mc:AlternateContent>
        <mc:AlternateContent xmlns:mc="http://schemas.openxmlformats.org/markup-compatibility/2006">
          <mc:Choice Requires="x14">
            <control shapeId="8334" r:id="rId76" name="Check Box 142">
              <controlPr defaultSize="0" autoFill="0" autoLine="0" autoPict="0">
                <anchor moveWithCells="1">
                  <from>
                    <xdr:col>7</xdr:col>
                    <xdr:colOff>457200</xdr:colOff>
                    <xdr:row>109</xdr:row>
                    <xdr:rowOff>9525</xdr:rowOff>
                  </from>
                  <to>
                    <xdr:col>7</xdr:col>
                    <xdr:colOff>762000</xdr:colOff>
                    <xdr:row>109</xdr:row>
                    <xdr:rowOff>228600</xdr:rowOff>
                  </to>
                </anchor>
              </controlPr>
            </control>
          </mc:Choice>
        </mc:AlternateContent>
        <mc:AlternateContent xmlns:mc="http://schemas.openxmlformats.org/markup-compatibility/2006">
          <mc:Choice Requires="x14">
            <control shapeId="8335" r:id="rId77" name="Check Box 143">
              <controlPr defaultSize="0" autoFill="0" autoLine="0" autoPict="0">
                <anchor moveWithCells="1">
                  <from>
                    <xdr:col>8</xdr:col>
                    <xdr:colOff>457200</xdr:colOff>
                    <xdr:row>109</xdr:row>
                    <xdr:rowOff>9525</xdr:rowOff>
                  </from>
                  <to>
                    <xdr:col>8</xdr:col>
                    <xdr:colOff>762000</xdr:colOff>
                    <xdr:row>109</xdr:row>
                    <xdr:rowOff>228600</xdr:rowOff>
                  </to>
                </anchor>
              </controlPr>
            </control>
          </mc:Choice>
        </mc:AlternateContent>
        <mc:AlternateContent xmlns:mc="http://schemas.openxmlformats.org/markup-compatibility/2006">
          <mc:Choice Requires="x14">
            <control shapeId="8336" r:id="rId78" name="Check Box 144">
              <controlPr defaultSize="0" autoFill="0" autoLine="0" autoPict="0">
                <anchor moveWithCells="1">
                  <from>
                    <xdr:col>9</xdr:col>
                    <xdr:colOff>457200</xdr:colOff>
                    <xdr:row>109</xdr:row>
                    <xdr:rowOff>9525</xdr:rowOff>
                  </from>
                  <to>
                    <xdr:col>9</xdr:col>
                    <xdr:colOff>762000</xdr:colOff>
                    <xdr:row>109</xdr:row>
                    <xdr:rowOff>228600</xdr:rowOff>
                  </to>
                </anchor>
              </controlPr>
            </control>
          </mc:Choice>
        </mc:AlternateContent>
        <mc:AlternateContent xmlns:mc="http://schemas.openxmlformats.org/markup-compatibility/2006">
          <mc:Choice Requires="x14">
            <control shapeId="8337" r:id="rId79" name="Check Box 145">
              <controlPr defaultSize="0" autoFill="0" autoLine="0" autoPict="0">
                <anchor moveWithCells="1">
                  <from>
                    <xdr:col>6</xdr:col>
                    <xdr:colOff>485775</xdr:colOff>
                    <xdr:row>110</xdr:row>
                    <xdr:rowOff>0</xdr:rowOff>
                  </from>
                  <to>
                    <xdr:col>6</xdr:col>
                    <xdr:colOff>790575</xdr:colOff>
                    <xdr:row>110</xdr:row>
                    <xdr:rowOff>219075</xdr:rowOff>
                  </to>
                </anchor>
              </controlPr>
            </control>
          </mc:Choice>
        </mc:AlternateContent>
        <mc:AlternateContent xmlns:mc="http://schemas.openxmlformats.org/markup-compatibility/2006">
          <mc:Choice Requires="x14">
            <control shapeId="8338" r:id="rId80" name="Check Box 146">
              <controlPr defaultSize="0" autoFill="0" autoLine="0" autoPict="0">
                <anchor moveWithCells="1">
                  <from>
                    <xdr:col>5</xdr:col>
                    <xdr:colOff>371475</xdr:colOff>
                    <xdr:row>110</xdr:row>
                    <xdr:rowOff>0</xdr:rowOff>
                  </from>
                  <to>
                    <xdr:col>5</xdr:col>
                    <xdr:colOff>676275</xdr:colOff>
                    <xdr:row>110</xdr:row>
                    <xdr:rowOff>219075</xdr:rowOff>
                  </to>
                </anchor>
              </controlPr>
            </control>
          </mc:Choice>
        </mc:AlternateContent>
        <mc:AlternateContent xmlns:mc="http://schemas.openxmlformats.org/markup-compatibility/2006">
          <mc:Choice Requires="x14">
            <control shapeId="8339" r:id="rId81" name="Check Box 147">
              <controlPr defaultSize="0" autoFill="0" autoLine="0" autoPict="0">
                <anchor moveWithCells="1">
                  <from>
                    <xdr:col>7</xdr:col>
                    <xdr:colOff>457200</xdr:colOff>
                    <xdr:row>110</xdr:row>
                    <xdr:rowOff>9525</xdr:rowOff>
                  </from>
                  <to>
                    <xdr:col>7</xdr:col>
                    <xdr:colOff>762000</xdr:colOff>
                    <xdr:row>110</xdr:row>
                    <xdr:rowOff>228600</xdr:rowOff>
                  </to>
                </anchor>
              </controlPr>
            </control>
          </mc:Choice>
        </mc:AlternateContent>
        <mc:AlternateContent xmlns:mc="http://schemas.openxmlformats.org/markup-compatibility/2006">
          <mc:Choice Requires="x14">
            <control shapeId="8340" r:id="rId82" name="Check Box 148">
              <controlPr defaultSize="0" autoFill="0" autoLine="0" autoPict="0">
                <anchor moveWithCells="1">
                  <from>
                    <xdr:col>8</xdr:col>
                    <xdr:colOff>457200</xdr:colOff>
                    <xdr:row>110</xdr:row>
                    <xdr:rowOff>9525</xdr:rowOff>
                  </from>
                  <to>
                    <xdr:col>8</xdr:col>
                    <xdr:colOff>762000</xdr:colOff>
                    <xdr:row>110</xdr:row>
                    <xdr:rowOff>228600</xdr:rowOff>
                  </to>
                </anchor>
              </controlPr>
            </control>
          </mc:Choice>
        </mc:AlternateContent>
        <mc:AlternateContent xmlns:mc="http://schemas.openxmlformats.org/markup-compatibility/2006">
          <mc:Choice Requires="x14">
            <control shapeId="8341" r:id="rId83" name="Check Box 149">
              <controlPr defaultSize="0" autoFill="0" autoLine="0" autoPict="0">
                <anchor moveWithCells="1">
                  <from>
                    <xdr:col>9</xdr:col>
                    <xdr:colOff>457200</xdr:colOff>
                    <xdr:row>110</xdr:row>
                    <xdr:rowOff>9525</xdr:rowOff>
                  </from>
                  <to>
                    <xdr:col>9</xdr:col>
                    <xdr:colOff>762000</xdr:colOff>
                    <xdr:row>110</xdr:row>
                    <xdr:rowOff>228600</xdr:rowOff>
                  </to>
                </anchor>
              </controlPr>
            </control>
          </mc:Choice>
        </mc:AlternateContent>
        <mc:AlternateContent xmlns:mc="http://schemas.openxmlformats.org/markup-compatibility/2006">
          <mc:Choice Requires="x14">
            <control shapeId="8342" r:id="rId84" name="Check Box 150">
              <controlPr defaultSize="0" autoFill="0" autoLine="0" autoPict="0">
                <anchor moveWithCells="1">
                  <from>
                    <xdr:col>6</xdr:col>
                    <xdr:colOff>485775</xdr:colOff>
                    <xdr:row>111</xdr:row>
                    <xdr:rowOff>0</xdr:rowOff>
                  </from>
                  <to>
                    <xdr:col>6</xdr:col>
                    <xdr:colOff>790575</xdr:colOff>
                    <xdr:row>111</xdr:row>
                    <xdr:rowOff>219075</xdr:rowOff>
                  </to>
                </anchor>
              </controlPr>
            </control>
          </mc:Choice>
        </mc:AlternateContent>
        <mc:AlternateContent xmlns:mc="http://schemas.openxmlformats.org/markup-compatibility/2006">
          <mc:Choice Requires="x14">
            <control shapeId="8343" r:id="rId85" name="Check Box 151">
              <controlPr defaultSize="0" autoFill="0" autoLine="0" autoPict="0">
                <anchor moveWithCells="1">
                  <from>
                    <xdr:col>5</xdr:col>
                    <xdr:colOff>371475</xdr:colOff>
                    <xdr:row>111</xdr:row>
                    <xdr:rowOff>0</xdr:rowOff>
                  </from>
                  <to>
                    <xdr:col>5</xdr:col>
                    <xdr:colOff>676275</xdr:colOff>
                    <xdr:row>111</xdr:row>
                    <xdr:rowOff>219075</xdr:rowOff>
                  </to>
                </anchor>
              </controlPr>
            </control>
          </mc:Choice>
        </mc:AlternateContent>
        <mc:AlternateContent xmlns:mc="http://schemas.openxmlformats.org/markup-compatibility/2006">
          <mc:Choice Requires="x14">
            <control shapeId="8344" r:id="rId86" name="Check Box 152">
              <controlPr defaultSize="0" autoFill="0" autoLine="0" autoPict="0">
                <anchor moveWithCells="1">
                  <from>
                    <xdr:col>7</xdr:col>
                    <xdr:colOff>457200</xdr:colOff>
                    <xdr:row>111</xdr:row>
                    <xdr:rowOff>9525</xdr:rowOff>
                  </from>
                  <to>
                    <xdr:col>7</xdr:col>
                    <xdr:colOff>762000</xdr:colOff>
                    <xdr:row>111</xdr:row>
                    <xdr:rowOff>228600</xdr:rowOff>
                  </to>
                </anchor>
              </controlPr>
            </control>
          </mc:Choice>
        </mc:AlternateContent>
        <mc:AlternateContent xmlns:mc="http://schemas.openxmlformats.org/markup-compatibility/2006">
          <mc:Choice Requires="x14">
            <control shapeId="8345" r:id="rId87" name="Check Box 153">
              <controlPr defaultSize="0" autoFill="0" autoLine="0" autoPict="0">
                <anchor moveWithCells="1">
                  <from>
                    <xdr:col>8</xdr:col>
                    <xdr:colOff>457200</xdr:colOff>
                    <xdr:row>111</xdr:row>
                    <xdr:rowOff>9525</xdr:rowOff>
                  </from>
                  <to>
                    <xdr:col>8</xdr:col>
                    <xdr:colOff>762000</xdr:colOff>
                    <xdr:row>111</xdr:row>
                    <xdr:rowOff>228600</xdr:rowOff>
                  </to>
                </anchor>
              </controlPr>
            </control>
          </mc:Choice>
        </mc:AlternateContent>
        <mc:AlternateContent xmlns:mc="http://schemas.openxmlformats.org/markup-compatibility/2006">
          <mc:Choice Requires="x14">
            <control shapeId="8346" r:id="rId88" name="Check Box 154">
              <controlPr defaultSize="0" autoFill="0" autoLine="0" autoPict="0">
                <anchor moveWithCells="1">
                  <from>
                    <xdr:col>9</xdr:col>
                    <xdr:colOff>457200</xdr:colOff>
                    <xdr:row>111</xdr:row>
                    <xdr:rowOff>9525</xdr:rowOff>
                  </from>
                  <to>
                    <xdr:col>9</xdr:col>
                    <xdr:colOff>762000</xdr:colOff>
                    <xdr:row>111</xdr:row>
                    <xdr:rowOff>228600</xdr:rowOff>
                  </to>
                </anchor>
              </controlPr>
            </control>
          </mc:Choice>
        </mc:AlternateContent>
        <mc:AlternateContent xmlns:mc="http://schemas.openxmlformats.org/markup-compatibility/2006">
          <mc:Choice Requires="x14">
            <control shapeId="8347" r:id="rId89" name="Check Box 155">
              <controlPr defaultSize="0" autoFill="0" autoLine="0" autoPict="0">
                <anchor moveWithCells="1">
                  <from>
                    <xdr:col>6</xdr:col>
                    <xdr:colOff>485775</xdr:colOff>
                    <xdr:row>112</xdr:row>
                    <xdr:rowOff>0</xdr:rowOff>
                  </from>
                  <to>
                    <xdr:col>6</xdr:col>
                    <xdr:colOff>790575</xdr:colOff>
                    <xdr:row>112</xdr:row>
                    <xdr:rowOff>219075</xdr:rowOff>
                  </to>
                </anchor>
              </controlPr>
            </control>
          </mc:Choice>
        </mc:AlternateContent>
        <mc:AlternateContent xmlns:mc="http://schemas.openxmlformats.org/markup-compatibility/2006">
          <mc:Choice Requires="x14">
            <control shapeId="8348" r:id="rId90" name="Check Box 156">
              <controlPr defaultSize="0" autoFill="0" autoLine="0" autoPict="0">
                <anchor moveWithCells="1">
                  <from>
                    <xdr:col>5</xdr:col>
                    <xdr:colOff>371475</xdr:colOff>
                    <xdr:row>112</xdr:row>
                    <xdr:rowOff>0</xdr:rowOff>
                  </from>
                  <to>
                    <xdr:col>5</xdr:col>
                    <xdr:colOff>676275</xdr:colOff>
                    <xdr:row>112</xdr:row>
                    <xdr:rowOff>219075</xdr:rowOff>
                  </to>
                </anchor>
              </controlPr>
            </control>
          </mc:Choice>
        </mc:AlternateContent>
        <mc:AlternateContent xmlns:mc="http://schemas.openxmlformats.org/markup-compatibility/2006">
          <mc:Choice Requires="x14">
            <control shapeId="8349" r:id="rId91" name="Check Box 157">
              <controlPr defaultSize="0" autoFill="0" autoLine="0" autoPict="0">
                <anchor moveWithCells="1">
                  <from>
                    <xdr:col>7</xdr:col>
                    <xdr:colOff>457200</xdr:colOff>
                    <xdr:row>112</xdr:row>
                    <xdr:rowOff>9525</xdr:rowOff>
                  </from>
                  <to>
                    <xdr:col>7</xdr:col>
                    <xdr:colOff>762000</xdr:colOff>
                    <xdr:row>112</xdr:row>
                    <xdr:rowOff>228600</xdr:rowOff>
                  </to>
                </anchor>
              </controlPr>
            </control>
          </mc:Choice>
        </mc:AlternateContent>
        <mc:AlternateContent xmlns:mc="http://schemas.openxmlformats.org/markup-compatibility/2006">
          <mc:Choice Requires="x14">
            <control shapeId="8350" r:id="rId92" name="Check Box 158">
              <controlPr defaultSize="0" autoFill="0" autoLine="0" autoPict="0">
                <anchor moveWithCells="1">
                  <from>
                    <xdr:col>8</xdr:col>
                    <xdr:colOff>457200</xdr:colOff>
                    <xdr:row>112</xdr:row>
                    <xdr:rowOff>9525</xdr:rowOff>
                  </from>
                  <to>
                    <xdr:col>8</xdr:col>
                    <xdr:colOff>762000</xdr:colOff>
                    <xdr:row>112</xdr:row>
                    <xdr:rowOff>228600</xdr:rowOff>
                  </to>
                </anchor>
              </controlPr>
            </control>
          </mc:Choice>
        </mc:AlternateContent>
        <mc:AlternateContent xmlns:mc="http://schemas.openxmlformats.org/markup-compatibility/2006">
          <mc:Choice Requires="x14">
            <control shapeId="8351" r:id="rId93" name="Check Box 159">
              <controlPr defaultSize="0" autoFill="0" autoLine="0" autoPict="0">
                <anchor moveWithCells="1">
                  <from>
                    <xdr:col>9</xdr:col>
                    <xdr:colOff>457200</xdr:colOff>
                    <xdr:row>112</xdr:row>
                    <xdr:rowOff>9525</xdr:rowOff>
                  </from>
                  <to>
                    <xdr:col>9</xdr:col>
                    <xdr:colOff>762000</xdr:colOff>
                    <xdr:row>112</xdr:row>
                    <xdr:rowOff>228600</xdr:rowOff>
                  </to>
                </anchor>
              </controlPr>
            </control>
          </mc:Choice>
        </mc:AlternateContent>
        <mc:AlternateContent xmlns:mc="http://schemas.openxmlformats.org/markup-compatibility/2006">
          <mc:Choice Requires="x14">
            <control shapeId="8352" r:id="rId94" name="Check Box 160">
              <controlPr defaultSize="0" autoFill="0" autoLine="0" autoPict="0">
                <anchor moveWithCells="1">
                  <from>
                    <xdr:col>6</xdr:col>
                    <xdr:colOff>485775</xdr:colOff>
                    <xdr:row>77</xdr:row>
                    <xdr:rowOff>0</xdr:rowOff>
                  </from>
                  <to>
                    <xdr:col>6</xdr:col>
                    <xdr:colOff>790575</xdr:colOff>
                    <xdr:row>77</xdr:row>
                    <xdr:rowOff>219075</xdr:rowOff>
                  </to>
                </anchor>
              </controlPr>
            </control>
          </mc:Choice>
        </mc:AlternateContent>
        <mc:AlternateContent xmlns:mc="http://schemas.openxmlformats.org/markup-compatibility/2006">
          <mc:Choice Requires="x14">
            <control shapeId="8353" r:id="rId95" name="Check Box 161">
              <controlPr defaultSize="0" autoFill="0" autoLine="0" autoPict="0">
                <anchor moveWithCells="1">
                  <from>
                    <xdr:col>5</xdr:col>
                    <xdr:colOff>371475</xdr:colOff>
                    <xdr:row>77</xdr:row>
                    <xdr:rowOff>0</xdr:rowOff>
                  </from>
                  <to>
                    <xdr:col>5</xdr:col>
                    <xdr:colOff>676275</xdr:colOff>
                    <xdr:row>77</xdr:row>
                    <xdr:rowOff>219075</xdr:rowOff>
                  </to>
                </anchor>
              </controlPr>
            </control>
          </mc:Choice>
        </mc:AlternateContent>
        <mc:AlternateContent xmlns:mc="http://schemas.openxmlformats.org/markup-compatibility/2006">
          <mc:Choice Requires="x14">
            <control shapeId="8354" r:id="rId96" name="Check Box 162">
              <controlPr defaultSize="0" autoFill="0" autoLine="0" autoPict="0">
                <anchor moveWithCells="1">
                  <from>
                    <xdr:col>7</xdr:col>
                    <xdr:colOff>457200</xdr:colOff>
                    <xdr:row>77</xdr:row>
                    <xdr:rowOff>9525</xdr:rowOff>
                  </from>
                  <to>
                    <xdr:col>7</xdr:col>
                    <xdr:colOff>762000</xdr:colOff>
                    <xdr:row>77</xdr:row>
                    <xdr:rowOff>228600</xdr:rowOff>
                  </to>
                </anchor>
              </controlPr>
            </control>
          </mc:Choice>
        </mc:AlternateContent>
        <mc:AlternateContent xmlns:mc="http://schemas.openxmlformats.org/markup-compatibility/2006">
          <mc:Choice Requires="x14">
            <control shapeId="8355" r:id="rId97" name="Check Box 163">
              <controlPr defaultSize="0" autoFill="0" autoLine="0" autoPict="0">
                <anchor moveWithCells="1">
                  <from>
                    <xdr:col>8</xdr:col>
                    <xdr:colOff>457200</xdr:colOff>
                    <xdr:row>77</xdr:row>
                    <xdr:rowOff>9525</xdr:rowOff>
                  </from>
                  <to>
                    <xdr:col>8</xdr:col>
                    <xdr:colOff>762000</xdr:colOff>
                    <xdr:row>77</xdr:row>
                    <xdr:rowOff>228600</xdr:rowOff>
                  </to>
                </anchor>
              </controlPr>
            </control>
          </mc:Choice>
        </mc:AlternateContent>
        <mc:AlternateContent xmlns:mc="http://schemas.openxmlformats.org/markup-compatibility/2006">
          <mc:Choice Requires="x14">
            <control shapeId="8356" r:id="rId98" name="Check Box 164">
              <controlPr defaultSize="0" autoFill="0" autoLine="0" autoPict="0">
                <anchor moveWithCells="1">
                  <from>
                    <xdr:col>9</xdr:col>
                    <xdr:colOff>457200</xdr:colOff>
                    <xdr:row>77</xdr:row>
                    <xdr:rowOff>9525</xdr:rowOff>
                  </from>
                  <to>
                    <xdr:col>9</xdr:col>
                    <xdr:colOff>762000</xdr:colOff>
                    <xdr:row>77</xdr:row>
                    <xdr:rowOff>228600</xdr:rowOff>
                  </to>
                </anchor>
              </controlPr>
            </control>
          </mc:Choice>
        </mc:AlternateContent>
        <mc:AlternateContent xmlns:mc="http://schemas.openxmlformats.org/markup-compatibility/2006">
          <mc:Choice Requires="x14">
            <control shapeId="8357" r:id="rId99" name="Check Box 165">
              <controlPr defaultSize="0" autoFill="0" autoLine="0" autoPict="0">
                <anchor moveWithCells="1">
                  <from>
                    <xdr:col>6</xdr:col>
                    <xdr:colOff>485775</xdr:colOff>
                    <xdr:row>78</xdr:row>
                    <xdr:rowOff>0</xdr:rowOff>
                  </from>
                  <to>
                    <xdr:col>6</xdr:col>
                    <xdr:colOff>790575</xdr:colOff>
                    <xdr:row>78</xdr:row>
                    <xdr:rowOff>219075</xdr:rowOff>
                  </to>
                </anchor>
              </controlPr>
            </control>
          </mc:Choice>
        </mc:AlternateContent>
        <mc:AlternateContent xmlns:mc="http://schemas.openxmlformats.org/markup-compatibility/2006">
          <mc:Choice Requires="x14">
            <control shapeId="8358" r:id="rId100" name="Check Box 166">
              <controlPr defaultSize="0" autoFill="0" autoLine="0" autoPict="0">
                <anchor moveWithCells="1">
                  <from>
                    <xdr:col>5</xdr:col>
                    <xdr:colOff>371475</xdr:colOff>
                    <xdr:row>78</xdr:row>
                    <xdr:rowOff>0</xdr:rowOff>
                  </from>
                  <to>
                    <xdr:col>5</xdr:col>
                    <xdr:colOff>676275</xdr:colOff>
                    <xdr:row>78</xdr:row>
                    <xdr:rowOff>219075</xdr:rowOff>
                  </to>
                </anchor>
              </controlPr>
            </control>
          </mc:Choice>
        </mc:AlternateContent>
        <mc:AlternateContent xmlns:mc="http://schemas.openxmlformats.org/markup-compatibility/2006">
          <mc:Choice Requires="x14">
            <control shapeId="8359" r:id="rId101" name="Check Box 167">
              <controlPr defaultSize="0" autoFill="0" autoLine="0" autoPict="0">
                <anchor moveWithCells="1">
                  <from>
                    <xdr:col>7</xdr:col>
                    <xdr:colOff>457200</xdr:colOff>
                    <xdr:row>78</xdr:row>
                    <xdr:rowOff>9525</xdr:rowOff>
                  </from>
                  <to>
                    <xdr:col>7</xdr:col>
                    <xdr:colOff>762000</xdr:colOff>
                    <xdr:row>78</xdr:row>
                    <xdr:rowOff>228600</xdr:rowOff>
                  </to>
                </anchor>
              </controlPr>
            </control>
          </mc:Choice>
        </mc:AlternateContent>
        <mc:AlternateContent xmlns:mc="http://schemas.openxmlformats.org/markup-compatibility/2006">
          <mc:Choice Requires="x14">
            <control shapeId="8360" r:id="rId102" name="Check Box 168">
              <controlPr defaultSize="0" autoFill="0" autoLine="0" autoPict="0">
                <anchor moveWithCells="1">
                  <from>
                    <xdr:col>8</xdr:col>
                    <xdr:colOff>457200</xdr:colOff>
                    <xdr:row>78</xdr:row>
                    <xdr:rowOff>9525</xdr:rowOff>
                  </from>
                  <to>
                    <xdr:col>8</xdr:col>
                    <xdr:colOff>762000</xdr:colOff>
                    <xdr:row>78</xdr:row>
                    <xdr:rowOff>228600</xdr:rowOff>
                  </to>
                </anchor>
              </controlPr>
            </control>
          </mc:Choice>
        </mc:AlternateContent>
        <mc:AlternateContent xmlns:mc="http://schemas.openxmlformats.org/markup-compatibility/2006">
          <mc:Choice Requires="x14">
            <control shapeId="8361" r:id="rId103" name="Check Box 169">
              <controlPr defaultSize="0" autoFill="0" autoLine="0" autoPict="0">
                <anchor moveWithCells="1">
                  <from>
                    <xdr:col>9</xdr:col>
                    <xdr:colOff>457200</xdr:colOff>
                    <xdr:row>78</xdr:row>
                    <xdr:rowOff>9525</xdr:rowOff>
                  </from>
                  <to>
                    <xdr:col>9</xdr:col>
                    <xdr:colOff>762000</xdr:colOff>
                    <xdr:row>78</xdr:row>
                    <xdr:rowOff>228600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499984740745262"/>
  </sheetPr>
  <dimension ref="A1:R73"/>
  <sheetViews>
    <sheetView topLeftCell="A13" zoomScaleNormal="100" workbookViewId="0">
      <selection activeCell="I37" sqref="I37"/>
    </sheetView>
  </sheetViews>
  <sheetFormatPr defaultColWidth="11.42578125" defaultRowHeight="12.75"/>
  <cols>
    <col min="1" max="1" width="9" customWidth="1"/>
    <col min="2" max="2" width="31.85546875" customWidth="1"/>
    <col min="3" max="3" width="18.28515625" customWidth="1"/>
    <col min="4" max="4" width="16.28515625" customWidth="1"/>
    <col min="5" max="5" width="13.140625" customWidth="1"/>
    <col min="6" max="6" width="18.28515625" customWidth="1"/>
    <col min="7" max="7" width="22.7109375" customWidth="1"/>
    <col min="8" max="10" width="11.85546875" customWidth="1"/>
    <col min="11" max="11" width="13.7109375" customWidth="1"/>
    <col min="12" max="13" width="11.85546875" customWidth="1"/>
    <col min="14" max="14" width="10.85546875" customWidth="1"/>
    <col min="15" max="16" width="7.42578125" customWidth="1"/>
    <col min="17" max="17" width="8.140625" bestFit="1" customWidth="1"/>
    <col min="18" max="18" width="12" bestFit="1" customWidth="1"/>
    <col min="19" max="19" width="13.42578125" bestFit="1" customWidth="1"/>
    <col min="20" max="20" width="8.140625" bestFit="1" customWidth="1"/>
    <col min="21" max="21" width="13.42578125" bestFit="1" customWidth="1"/>
    <col min="22" max="22" width="12" bestFit="1" customWidth="1"/>
  </cols>
  <sheetData>
    <row r="1" spans="1:18">
      <c r="B1" s="114"/>
      <c r="C1" s="11" t="s">
        <v>235</v>
      </c>
    </row>
    <row r="2" spans="1:18">
      <c r="B2" s="114"/>
      <c r="C2" s="11"/>
    </row>
    <row r="3" spans="1:18" ht="15.75">
      <c r="A3" s="139" t="s">
        <v>3402</v>
      </c>
      <c r="B3" s="140"/>
      <c r="C3" s="140"/>
      <c r="D3" s="140"/>
      <c r="E3" s="140"/>
      <c r="F3" s="140"/>
      <c r="G3" s="140"/>
      <c r="H3" s="140"/>
      <c r="I3" s="140"/>
      <c r="J3" s="140"/>
      <c r="K3" s="140"/>
      <c r="L3" s="140"/>
      <c r="M3" s="140"/>
      <c r="N3" s="140"/>
      <c r="O3" s="140"/>
      <c r="P3" s="140"/>
      <c r="Q3" s="140"/>
      <c r="R3" s="140"/>
    </row>
    <row r="4" spans="1:18">
      <c r="B4" s="11"/>
    </row>
    <row r="5" spans="1:18">
      <c r="A5" s="13"/>
      <c r="B5" s="11"/>
    </row>
    <row r="6" spans="1:18" ht="15.75" thickBot="1">
      <c r="B6" s="528" t="s">
        <v>248</v>
      </c>
      <c r="C6" s="518"/>
      <c r="D6" s="518"/>
      <c r="E6" s="518"/>
      <c r="F6" s="518"/>
      <c r="G6" s="518"/>
      <c r="H6" s="518"/>
      <c r="I6" s="518"/>
      <c r="J6" s="518"/>
      <c r="K6" s="518"/>
      <c r="L6" s="518"/>
      <c r="M6" s="518"/>
      <c r="N6" s="518"/>
      <c r="O6" s="518"/>
      <c r="P6" s="518"/>
      <c r="Q6" s="518"/>
    </row>
    <row r="7" spans="1:18" ht="14.25" thickTop="1" thickBot="1">
      <c r="B7" s="13"/>
      <c r="E7" s="120" t="s">
        <v>244</v>
      </c>
      <c r="F7" s="13" t="s">
        <v>243</v>
      </c>
      <c r="G7" s="539" t="s">
        <v>3214</v>
      </c>
    </row>
    <row r="8" spans="1:18" ht="41.25" customHeight="1" thickTop="1">
      <c r="B8" s="13"/>
      <c r="E8" s="120"/>
      <c r="F8" s="13"/>
      <c r="G8" s="595" t="s">
        <v>3413</v>
      </c>
    </row>
    <row r="9" spans="1:18" ht="63.75">
      <c r="B9" s="525" t="s">
        <v>228</v>
      </c>
      <c r="C9" s="526" t="s">
        <v>156</v>
      </c>
      <c r="D9" s="525" t="s">
        <v>3262</v>
      </c>
      <c r="E9" s="525" t="s">
        <v>231</v>
      </c>
      <c r="F9" s="525" t="s">
        <v>3209</v>
      </c>
      <c r="G9" s="525" t="s">
        <v>230</v>
      </c>
    </row>
    <row r="10" spans="1:18">
      <c r="A10" s="13"/>
      <c r="B10" s="515" t="s">
        <v>3207</v>
      </c>
      <c r="C10" s="515" t="s">
        <v>249</v>
      </c>
      <c r="D10" s="516">
        <v>10000</v>
      </c>
      <c r="E10" s="516">
        <v>11000</v>
      </c>
      <c r="F10" s="516">
        <v>1000</v>
      </c>
      <c r="G10" s="516">
        <f>D10-E10-F10</f>
        <v>-2000</v>
      </c>
    </row>
    <row r="11" spans="1:18">
      <c r="A11" s="13"/>
      <c r="B11" s="515" t="s">
        <v>3205</v>
      </c>
      <c r="C11" s="515" t="s">
        <v>142</v>
      </c>
      <c r="D11" s="516">
        <v>20000</v>
      </c>
      <c r="E11" s="516">
        <v>8000</v>
      </c>
      <c r="F11" s="516">
        <v>1500</v>
      </c>
      <c r="G11" s="516">
        <f t="shared" ref="G11:G12" si="0">D11-E11-F11</f>
        <v>10500</v>
      </c>
    </row>
    <row r="12" spans="1:18">
      <c r="A12" s="13"/>
      <c r="B12" s="515" t="s">
        <v>3206</v>
      </c>
      <c r="C12" s="515" t="s">
        <v>143</v>
      </c>
      <c r="D12" s="516">
        <v>3000</v>
      </c>
      <c r="E12" s="516">
        <v>1000</v>
      </c>
      <c r="F12" s="516">
        <v>200</v>
      </c>
      <c r="G12" s="516">
        <f t="shared" si="0"/>
        <v>1800</v>
      </c>
    </row>
    <row r="13" spans="1:18">
      <c r="A13" s="13"/>
      <c r="B13" s="515" t="s">
        <v>3208</v>
      </c>
      <c r="C13" s="515" t="s">
        <v>250</v>
      </c>
      <c r="D13" s="516">
        <v>30000</v>
      </c>
      <c r="E13" s="516">
        <v>22000</v>
      </c>
      <c r="F13" s="516">
        <v>3000</v>
      </c>
      <c r="G13" s="516">
        <f>D13-E13-F13</f>
        <v>5000</v>
      </c>
    </row>
    <row r="14" spans="1:18">
      <c r="B14" s="12" t="s">
        <v>245</v>
      </c>
      <c r="C14" s="3"/>
      <c r="D14" s="517">
        <f>SUM(D10:D13)</f>
        <v>63000</v>
      </c>
      <c r="E14" s="517">
        <f t="shared" ref="E14" si="1">SUM(E10:E13)</f>
        <v>42000</v>
      </c>
      <c r="F14" s="517">
        <f>SUM(F10:F13)</f>
        <v>5700</v>
      </c>
      <c r="G14" s="517">
        <f>SUM(G10:G13)</f>
        <v>15300</v>
      </c>
    </row>
    <row r="15" spans="1:18">
      <c r="B15" s="13"/>
    </row>
    <row r="16" spans="1:18">
      <c r="B16" s="13"/>
    </row>
    <row r="17" spans="2:17">
      <c r="B17" s="13"/>
    </row>
    <row r="18" spans="2:17" ht="15">
      <c r="B18" s="528" t="s">
        <v>246</v>
      </c>
      <c r="C18" s="519" t="s">
        <v>3204</v>
      </c>
      <c r="D18" s="518"/>
      <c r="E18" s="518"/>
      <c r="F18" s="518"/>
      <c r="G18" s="518"/>
      <c r="H18" s="518"/>
      <c r="I18" s="518"/>
      <c r="J18" s="518"/>
      <c r="K18" s="518"/>
      <c r="L18" s="518"/>
      <c r="M18" s="518"/>
      <c r="N18" s="518"/>
      <c r="O18" s="518"/>
      <c r="P18" s="518"/>
      <c r="Q18" s="518"/>
    </row>
    <row r="19" spans="2:17" ht="12" customHeight="1">
      <c r="B19" s="13"/>
    </row>
    <row r="20" spans="2:17">
      <c r="C20" s="520">
        <v>45658</v>
      </c>
      <c r="D20" s="520">
        <v>45689</v>
      </c>
      <c r="E20" s="520">
        <v>45717</v>
      </c>
      <c r="F20" s="520">
        <v>45748</v>
      </c>
      <c r="G20" s="520">
        <v>45778</v>
      </c>
      <c r="H20" s="520">
        <v>45809</v>
      </c>
      <c r="I20" s="520">
        <v>45839</v>
      </c>
      <c r="J20" s="520">
        <v>45870</v>
      </c>
      <c r="K20" s="520">
        <v>45901</v>
      </c>
      <c r="L20" s="520">
        <v>45931</v>
      </c>
      <c r="M20" s="520">
        <v>45962</v>
      </c>
      <c r="N20" s="520">
        <v>45992</v>
      </c>
    </row>
    <row r="21" spans="2:17">
      <c r="C21" s="521">
        <v>0.58012516946152448</v>
      </c>
      <c r="D21" s="522">
        <v>0.6395034020877951</v>
      </c>
      <c r="E21" s="522">
        <v>0.66823368330917787</v>
      </c>
      <c r="F21" s="522">
        <v>0.70030637845165589</v>
      </c>
      <c r="G21" s="522">
        <v>0.75341836312589827</v>
      </c>
      <c r="H21" s="522"/>
      <c r="I21" s="3"/>
      <c r="J21" s="3"/>
      <c r="K21" s="3"/>
      <c r="L21" s="3"/>
      <c r="M21" s="3"/>
      <c r="N21" s="3"/>
    </row>
    <row r="22" spans="2:17">
      <c r="B22" s="13"/>
    </row>
    <row r="23" spans="2:17" ht="12" customHeight="1">
      <c r="B23" s="13"/>
    </row>
    <row r="36" spans="1:17">
      <c r="A36" s="170"/>
      <c r="B36" s="532" t="s">
        <v>3210</v>
      </c>
      <c r="C36" s="532" t="s">
        <v>227</v>
      </c>
      <c r="D36" s="532" t="s">
        <v>226</v>
      </c>
      <c r="E36" s="532" t="s">
        <v>224</v>
      </c>
      <c r="F36" s="532" t="s">
        <v>214</v>
      </c>
      <c r="G36" s="532" t="s">
        <v>61</v>
      </c>
    </row>
    <row r="37" spans="1:17" ht="49.5" customHeight="1">
      <c r="A37" s="536">
        <v>1</v>
      </c>
      <c r="B37" s="534" t="s">
        <v>222</v>
      </c>
      <c r="C37" s="535" t="s">
        <v>3406</v>
      </c>
      <c r="D37" s="535" t="s">
        <v>3389</v>
      </c>
      <c r="E37" s="536"/>
      <c r="F37" s="535" t="s">
        <v>3406</v>
      </c>
      <c r="G37" s="533"/>
    </row>
    <row r="38" spans="1:17" ht="25.5">
      <c r="A38" s="536">
        <v>2</v>
      </c>
      <c r="B38" s="534" t="s">
        <v>223</v>
      </c>
      <c r="C38" s="536"/>
      <c r="D38" s="536" t="s">
        <v>233</v>
      </c>
      <c r="E38" s="536"/>
      <c r="F38" s="536" t="s">
        <v>233</v>
      </c>
      <c r="G38" s="537" t="s">
        <v>247</v>
      </c>
    </row>
    <row r="39" spans="1:17" ht="25.5">
      <c r="A39" s="536">
        <v>3</v>
      </c>
      <c r="B39" s="534" t="s">
        <v>225</v>
      </c>
      <c r="C39" s="536"/>
      <c r="D39" s="536"/>
      <c r="E39" s="536" t="s">
        <v>232</v>
      </c>
      <c r="F39" s="536" t="s">
        <v>232</v>
      </c>
      <c r="G39" s="537" t="s">
        <v>247</v>
      </c>
    </row>
    <row r="40" spans="1:17">
      <c r="G40" s="527"/>
    </row>
    <row r="41" spans="1:17" ht="15.75">
      <c r="A41" s="625" t="s">
        <v>3407</v>
      </c>
      <c r="B41" s="523"/>
      <c r="C41" s="524"/>
      <c r="D41" s="524"/>
      <c r="E41" s="524"/>
      <c r="F41" s="524"/>
      <c r="G41" s="524"/>
      <c r="H41" s="524"/>
      <c r="I41" s="524"/>
      <c r="J41" s="524"/>
      <c r="K41" s="524"/>
      <c r="L41" s="524"/>
      <c r="M41" s="524"/>
      <c r="N41" s="524"/>
      <c r="O41" s="524"/>
      <c r="P41" s="524"/>
      <c r="Q41" s="524"/>
    </row>
    <row r="43" spans="1:17" ht="15">
      <c r="B43" s="529" t="s">
        <v>3211</v>
      </c>
      <c r="C43" s="524"/>
      <c r="D43" s="524"/>
      <c r="E43" s="524"/>
      <c r="F43" s="524"/>
      <c r="G43" s="524"/>
      <c r="H43" s="524"/>
      <c r="I43" s="524"/>
      <c r="J43" s="524"/>
      <c r="K43" s="524"/>
      <c r="L43" s="524"/>
      <c r="M43" s="524"/>
      <c r="N43" s="524"/>
      <c r="O43" s="524"/>
      <c r="P43" s="524"/>
      <c r="Q43" s="524"/>
    </row>
    <row r="45" spans="1:17" ht="12" customHeight="1">
      <c r="B45" s="13"/>
      <c r="C45" s="520">
        <v>45658</v>
      </c>
      <c r="D45" s="520">
        <v>45689</v>
      </c>
      <c r="E45" s="520">
        <v>45717</v>
      </c>
      <c r="F45" s="520">
        <v>45748</v>
      </c>
      <c r="G45" s="520">
        <v>45778</v>
      </c>
      <c r="H45" s="520">
        <v>45809</v>
      </c>
      <c r="I45" s="520">
        <v>45839</v>
      </c>
      <c r="J45" s="520">
        <v>45870</v>
      </c>
      <c r="K45" s="520">
        <v>45901</v>
      </c>
      <c r="L45" s="520">
        <v>45931</v>
      </c>
      <c r="M45" s="520">
        <v>45962</v>
      </c>
      <c r="N45" s="520">
        <v>45992</v>
      </c>
    </row>
    <row r="46" spans="1:17">
      <c r="B46" s="11" t="s">
        <v>3212</v>
      </c>
      <c r="C46" s="521">
        <v>0.58012516946152448</v>
      </c>
      <c r="D46" s="522">
        <v>0.6395034020877951</v>
      </c>
      <c r="E46" s="522">
        <v>0.66823368330917787</v>
      </c>
      <c r="F46" s="522">
        <v>0.70030637845165589</v>
      </c>
      <c r="G46" s="522">
        <v>0.75341836312589827</v>
      </c>
      <c r="H46" s="522"/>
      <c r="I46" s="3"/>
      <c r="J46" s="3"/>
      <c r="K46" s="3"/>
      <c r="L46" s="3"/>
      <c r="M46" s="3"/>
      <c r="N46" s="3"/>
    </row>
    <row r="47" spans="1:17">
      <c r="B47" s="668" t="s">
        <v>3215</v>
      </c>
    </row>
    <row r="48" spans="1:17">
      <c r="B48" s="668"/>
    </row>
    <row r="49" spans="2:17">
      <c r="B49" s="11" t="s">
        <v>3213</v>
      </c>
      <c r="C49" s="521">
        <f>C46-10%</f>
        <v>0.4801251694615245</v>
      </c>
      <c r="D49" s="521">
        <f>D46-10%</f>
        <v>0.53950340208779513</v>
      </c>
      <c r="E49" s="521">
        <f>E46-10%</f>
        <v>0.56823368330917789</v>
      </c>
      <c r="F49" s="521">
        <f>F46-10%</f>
        <v>0.60030637845165591</v>
      </c>
      <c r="G49" s="521">
        <f>G46-10%</f>
        <v>0.65341836312589829</v>
      </c>
      <c r="H49" s="522"/>
      <c r="I49" s="3"/>
      <c r="J49" s="3"/>
      <c r="K49" s="3"/>
      <c r="L49" s="3"/>
      <c r="M49" s="3"/>
      <c r="N49" s="3"/>
    </row>
    <row r="50" spans="2:17">
      <c r="B50" s="668" t="s">
        <v>3216</v>
      </c>
    </row>
    <row r="51" spans="2:17">
      <c r="B51" s="668"/>
      <c r="C51" s="635" t="s">
        <v>3434</v>
      </c>
      <c r="Q51" s="11"/>
    </row>
    <row r="52" spans="2:17" ht="12" customHeight="1"/>
    <row r="67" spans="1:17" ht="15.75" thickBot="1">
      <c r="B67" s="529" t="s">
        <v>3263</v>
      </c>
      <c r="C67" s="524"/>
      <c r="D67" s="524"/>
      <c r="E67" s="524"/>
      <c r="F67" s="524"/>
      <c r="G67" s="524"/>
      <c r="H67" s="524"/>
      <c r="I67" s="524"/>
      <c r="J67" s="524"/>
      <c r="K67" s="524"/>
      <c r="L67" s="524"/>
      <c r="M67" s="524"/>
      <c r="N67" s="524"/>
      <c r="O67" s="524"/>
      <c r="P67" s="524"/>
      <c r="Q67" s="524"/>
    </row>
    <row r="68" spans="1:17" ht="14.25" thickTop="1" thickBot="1">
      <c r="B68" s="11"/>
      <c r="K68" s="539" t="s">
        <v>3214</v>
      </c>
    </row>
    <row r="69" spans="1:17" ht="48.75" thickTop="1">
      <c r="B69" s="514" t="s">
        <v>3415</v>
      </c>
      <c r="C69" s="526" t="s">
        <v>3238</v>
      </c>
      <c r="D69" s="526" t="s">
        <v>156</v>
      </c>
      <c r="E69" s="525" t="s">
        <v>229</v>
      </c>
      <c r="F69" s="526" t="s">
        <v>155</v>
      </c>
      <c r="G69" s="525" t="s">
        <v>231</v>
      </c>
      <c r="H69" s="525" t="s">
        <v>3209</v>
      </c>
      <c r="I69" s="525" t="s">
        <v>230</v>
      </c>
      <c r="K69" s="594" t="s">
        <v>3414</v>
      </c>
    </row>
    <row r="70" spans="1:17">
      <c r="A70">
        <v>1</v>
      </c>
      <c r="B70" t="s">
        <v>3207</v>
      </c>
    </row>
    <row r="71" spans="1:17">
      <c r="A71">
        <v>2</v>
      </c>
      <c r="B71" t="s">
        <v>3205</v>
      </c>
    </row>
    <row r="72" spans="1:17">
      <c r="A72">
        <v>3</v>
      </c>
      <c r="B72" t="s">
        <v>3206</v>
      </c>
    </row>
    <row r="73" spans="1:17">
      <c r="B73" t="s">
        <v>3208</v>
      </c>
    </row>
  </sheetData>
  <mergeCells count="2">
    <mergeCell ref="B47:B48"/>
    <mergeCell ref="B50:B5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499984740745262"/>
  </sheetPr>
  <dimension ref="A1:S11"/>
  <sheetViews>
    <sheetView workbookViewId="0">
      <selection activeCell="H24" sqref="H24"/>
    </sheetView>
  </sheetViews>
  <sheetFormatPr defaultRowHeight="12.75"/>
  <cols>
    <col min="7" max="8" width="20.85546875" customWidth="1"/>
    <col min="9" max="10" width="22.140625" customWidth="1"/>
    <col min="11" max="11" width="20.85546875" customWidth="1"/>
  </cols>
  <sheetData>
    <row r="1" spans="1:19">
      <c r="B1" s="114"/>
      <c r="C1" s="11" t="s">
        <v>235</v>
      </c>
    </row>
    <row r="2" spans="1:19">
      <c r="B2" s="114"/>
      <c r="C2" s="11"/>
    </row>
    <row r="3" spans="1:19" ht="15.75">
      <c r="A3" s="139" t="s">
        <v>3217</v>
      </c>
      <c r="B3" s="140"/>
      <c r="C3" s="538" t="s">
        <v>3218</v>
      </c>
      <c r="D3" s="140"/>
      <c r="E3" s="140"/>
      <c r="F3" s="140"/>
      <c r="G3" s="140"/>
      <c r="H3" s="140"/>
      <c r="I3" s="140"/>
      <c r="J3" s="140"/>
      <c r="K3" s="140"/>
      <c r="L3" s="140"/>
      <c r="M3" s="140"/>
      <c r="N3" s="140"/>
      <c r="O3" s="140"/>
      <c r="P3" s="140"/>
      <c r="Q3" s="140"/>
      <c r="R3" s="140"/>
      <c r="S3" s="140"/>
    </row>
    <row r="4" spans="1:19" ht="13.5" thickBot="1"/>
    <row r="5" spans="1:19" ht="37.5" customHeight="1" thickTop="1" thickBot="1">
      <c r="B5" s="11" t="s">
        <v>273</v>
      </c>
      <c r="C5" s="279" t="s">
        <v>195</v>
      </c>
      <c r="G5" s="539" t="s">
        <v>3236</v>
      </c>
      <c r="H5" s="171"/>
      <c r="I5" s="539" t="s">
        <v>3237</v>
      </c>
      <c r="J5" s="539" t="s">
        <v>3404</v>
      </c>
      <c r="K5" s="539" t="s">
        <v>3405</v>
      </c>
    </row>
    <row r="6" spans="1:19" ht="13.5" thickTop="1">
      <c r="B6" s="11"/>
      <c r="D6" s="279"/>
      <c r="G6" s="11" t="s">
        <v>3219</v>
      </c>
      <c r="H6" s="11"/>
      <c r="I6" s="11" t="s">
        <v>3219</v>
      </c>
      <c r="J6" s="11" t="s">
        <v>3219</v>
      </c>
      <c r="K6" s="11" t="s">
        <v>3393</v>
      </c>
    </row>
    <row r="7" spans="1:19">
      <c r="G7" s="171" t="s">
        <v>3385</v>
      </c>
      <c r="H7" s="631" t="s">
        <v>3417</v>
      </c>
      <c r="I7" s="171" t="s">
        <v>3384</v>
      </c>
      <c r="J7" s="171" t="s">
        <v>3390</v>
      </c>
      <c r="K7" s="171" t="s">
        <v>3387</v>
      </c>
    </row>
    <row r="8" spans="1:19">
      <c r="G8" s="171" t="s">
        <v>3386</v>
      </c>
      <c r="H8" s="631" t="s">
        <v>3417</v>
      </c>
      <c r="I8" s="171" t="s">
        <v>3387</v>
      </c>
      <c r="J8" s="171" t="s">
        <v>3391</v>
      </c>
      <c r="K8" s="171"/>
    </row>
    <row r="9" spans="1:19">
      <c r="G9" s="171" t="s">
        <v>3411</v>
      </c>
      <c r="H9" s="631" t="s">
        <v>3418</v>
      </c>
      <c r="I9" s="171"/>
      <c r="J9" s="171" t="s">
        <v>3392</v>
      </c>
      <c r="K9" s="171"/>
    </row>
    <row r="11" spans="1:19">
      <c r="J11" s="1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2"/>
  <sheetViews>
    <sheetView workbookViewId="0">
      <selection activeCell="B25" sqref="B25"/>
    </sheetView>
  </sheetViews>
  <sheetFormatPr defaultColWidth="11.42578125" defaultRowHeight="12.75"/>
  <cols>
    <col min="1" max="1" width="28.42578125" bestFit="1" customWidth="1"/>
    <col min="2" max="2" width="48.140625" bestFit="1" customWidth="1"/>
  </cols>
  <sheetData>
    <row r="1" spans="1:2">
      <c r="A1" s="11" t="s">
        <v>3375</v>
      </c>
      <c r="B1" s="11" t="s">
        <v>3374</v>
      </c>
    </row>
    <row r="2" spans="1:2">
      <c r="A2" s="13" t="s">
        <v>188</v>
      </c>
      <c r="B2" s="11" t="s">
        <v>157</v>
      </c>
    </row>
    <row r="3" spans="1:2">
      <c r="A3" s="13" t="s">
        <v>189</v>
      </c>
      <c r="B3" t="s">
        <v>162</v>
      </c>
    </row>
    <row r="4" spans="1:2">
      <c r="A4" s="13" t="s">
        <v>190</v>
      </c>
      <c r="B4" t="s">
        <v>163</v>
      </c>
    </row>
    <row r="5" spans="1:2">
      <c r="A5" s="13" t="s">
        <v>191</v>
      </c>
      <c r="B5" t="s">
        <v>164</v>
      </c>
    </row>
    <row r="6" spans="1:2">
      <c r="A6" s="13" t="s">
        <v>192</v>
      </c>
      <c r="B6" t="s">
        <v>165</v>
      </c>
    </row>
    <row r="7" spans="1:2">
      <c r="B7" t="s">
        <v>166</v>
      </c>
    </row>
    <row r="8" spans="1:2">
      <c r="B8" t="s">
        <v>167</v>
      </c>
    </row>
    <row r="9" spans="1:2">
      <c r="B9" t="s">
        <v>168</v>
      </c>
    </row>
    <row r="10" spans="1:2">
      <c r="B10" t="s">
        <v>169</v>
      </c>
    </row>
    <row r="11" spans="1:2">
      <c r="B11" t="s">
        <v>170</v>
      </c>
    </row>
    <row r="12" spans="1:2">
      <c r="B12" t="s">
        <v>171</v>
      </c>
    </row>
    <row r="13" spans="1:2">
      <c r="B13" t="s">
        <v>172</v>
      </c>
    </row>
    <row r="14" spans="1:2">
      <c r="B14" t="s">
        <v>173</v>
      </c>
    </row>
    <row r="15" spans="1:2">
      <c r="B15" t="s">
        <v>174</v>
      </c>
    </row>
    <row r="16" spans="1:2">
      <c r="B16" t="s">
        <v>175</v>
      </c>
    </row>
    <row r="17" spans="2:2">
      <c r="B17" t="s">
        <v>176</v>
      </c>
    </row>
    <row r="18" spans="2:2">
      <c r="B18" t="s">
        <v>177</v>
      </c>
    </row>
    <row r="20" spans="2:2">
      <c r="B20" s="11" t="s">
        <v>158</v>
      </c>
    </row>
    <row r="21" spans="2:2">
      <c r="B21" t="s">
        <v>162</v>
      </c>
    </row>
    <row r="22" spans="2:2">
      <c r="B22" t="s">
        <v>163</v>
      </c>
    </row>
    <row r="23" spans="2:2">
      <c r="B23" t="s">
        <v>178</v>
      </c>
    </row>
    <row r="24" spans="2:2">
      <c r="B24" t="s">
        <v>165</v>
      </c>
    </row>
    <row r="25" spans="2:2">
      <c r="B25" t="s">
        <v>169</v>
      </c>
    </row>
    <row r="26" spans="2:2">
      <c r="B26" t="s">
        <v>179</v>
      </c>
    </row>
    <row r="27" spans="2:2">
      <c r="B27" t="s">
        <v>180</v>
      </c>
    </row>
    <row r="28" spans="2:2">
      <c r="B28" t="s">
        <v>181</v>
      </c>
    </row>
    <row r="29" spans="2:2">
      <c r="B29" t="s">
        <v>182</v>
      </c>
    </row>
    <row r="30" spans="2:2">
      <c r="B30" t="s">
        <v>183</v>
      </c>
    </row>
    <row r="31" spans="2:2">
      <c r="B31" t="s">
        <v>184</v>
      </c>
    </row>
    <row r="33" spans="2:2">
      <c r="B33" s="11" t="s">
        <v>159</v>
      </c>
    </row>
    <row r="34" spans="2:2">
      <c r="B34" t="s">
        <v>162</v>
      </c>
    </row>
    <row r="35" spans="2:2">
      <c r="B35" t="s">
        <v>163</v>
      </c>
    </row>
    <row r="36" spans="2:2">
      <c r="B36" t="s">
        <v>185</v>
      </c>
    </row>
    <row r="37" spans="2:2">
      <c r="B37" t="s">
        <v>165</v>
      </c>
    </row>
    <row r="38" spans="2:2">
      <c r="B38" t="s">
        <v>186</v>
      </c>
    </row>
    <row r="39" spans="2:2">
      <c r="B39" t="s">
        <v>187</v>
      </c>
    </row>
    <row r="41" spans="2:2">
      <c r="B41" s="11" t="s">
        <v>160</v>
      </c>
    </row>
    <row r="42" spans="2:2">
      <c r="B42" s="11" t="s">
        <v>161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theme="5" tint="-0.499984740745262"/>
  </sheetPr>
  <dimension ref="A1:Z2503"/>
  <sheetViews>
    <sheetView zoomScale="85" zoomScaleNormal="85" workbookViewId="0">
      <pane xSplit="4" ySplit="14" topLeftCell="E15" activePane="bottomRight" state="frozen"/>
      <selection activeCell="E43" sqref="E43"/>
      <selection pane="topRight" activeCell="E43" sqref="E43"/>
      <selection pane="bottomLeft" activeCell="E43" sqref="E43"/>
      <selection pane="bottomRight" activeCell="D248" sqref="D248"/>
    </sheetView>
  </sheetViews>
  <sheetFormatPr defaultColWidth="9.140625" defaultRowHeight="15"/>
  <cols>
    <col min="1" max="1" width="9.28515625" style="314" bestFit="1" customWidth="1"/>
    <col min="2" max="2" width="9.28515625" style="394" bestFit="1" customWidth="1"/>
    <col min="3" max="3" width="29.85546875" style="314" customWidth="1"/>
    <col min="4" max="4" width="9.28515625" style="314" bestFit="1" customWidth="1"/>
    <col min="5" max="6" width="9.28515625" style="314" customWidth="1"/>
    <col min="7" max="7" width="18.28515625" style="314" customWidth="1"/>
    <col min="8" max="8" width="16.42578125" style="398" customWidth="1"/>
    <col min="9" max="9" width="15.42578125" style="314" customWidth="1"/>
    <col min="10" max="10" width="18.28515625" style="388" customWidth="1"/>
    <col min="11" max="11" width="13.42578125" style="314" customWidth="1"/>
    <col min="12" max="12" width="11.85546875" style="314" customWidth="1"/>
    <col min="13" max="13" width="20" style="388" customWidth="1"/>
    <col min="14" max="14" width="17.85546875" style="388" customWidth="1"/>
    <col min="15" max="15" width="18" style="388" customWidth="1"/>
    <col min="16" max="16" width="15.7109375" style="388" customWidth="1"/>
    <col min="17" max="17" width="14.140625" style="388" customWidth="1"/>
    <col min="18" max="18" width="16.42578125" style="388" customWidth="1"/>
    <col min="19" max="19" width="13.42578125" style="388" customWidth="1"/>
    <col min="20" max="20" width="15.7109375" style="390" customWidth="1"/>
    <col min="21" max="21" width="19.140625" style="399" customWidth="1"/>
    <col min="22" max="22" width="10" style="314" hidden="1" customWidth="1"/>
    <col min="23" max="23" width="23" style="314" customWidth="1"/>
    <col min="24" max="24" width="38.85546875" style="314" customWidth="1"/>
    <col min="25" max="25" width="16.7109375" style="314" customWidth="1"/>
    <col min="26" max="26" width="9.7109375" style="314" bestFit="1" customWidth="1"/>
    <col min="27" max="16384" width="9.140625" style="314"/>
  </cols>
  <sheetData>
    <row r="1" spans="1:26" ht="15.75">
      <c r="A1" s="306"/>
      <c r="B1" s="670" t="s">
        <v>365</v>
      </c>
      <c r="C1" s="670"/>
      <c r="D1" s="670"/>
      <c r="E1" s="670"/>
      <c r="F1" s="670"/>
      <c r="G1" s="670"/>
      <c r="H1" s="307"/>
      <c r="I1" s="306"/>
      <c r="J1" s="308"/>
      <c r="K1" s="306"/>
      <c r="L1" s="306"/>
      <c r="M1" s="309"/>
      <c r="N1" s="309"/>
      <c r="O1" s="309"/>
      <c r="P1" s="671" t="s">
        <v>366</v>
      </c>
      <c r="Q1" s="671"/>
      <c r="R1" s="671"/>
      <c r="S1" s="671"/>
      <c r="T1" s="671"/>
      <c r="U1" s="310"/>
      <c r="V1" s="311"/>
      <c r="W1" s="311"/>
      <c r="X1" s="312"/>
      <c r="Y1" s="313"/>
      <c r="Z1" s="313"/>
    </row>
    <row r="2" spans="1:26" ht="15.75">
      <c r="A2" s="315"/>
      <c r="B2" s="672" t="s">
        <v>367</v>
      </c>
      <c r="C2" s="672"/>
      <c r="D2" s="672"/>
      <c r="E2" s="672"/>
      <c r="F2" s="672"/>
      <c r="G2" s="672"/>
      <c r="H2" s="316"/>
      <c r="I2" s="317"/>
      <c r="J2" s="318"/>
      <c r="K2" s="317"/>
      <c r="L2" s="317"/>
      <c r="M2" s="309"/>
      <c r="N2" s="309"/>
      <c r="O2" s="309"/>
      <c r="P2" s="673" t="s">
        <v>51</v>
      </c>
      <c r="Q2" s="673"/>
      <c r="R2" s="673"/>
      <c r="S2" s="673"/>
      <c r="T2" s="673"/>
      <c r="U2" s="319"/>
      <c r="V2" s="320"/>
      <c r="W2" s="320"/>
      <c r="X2" s="321"/>
      <c r="Y2" s="322"/>
      <c r="Z2" s="323"/>
    </row>
    <row r="3" spans="1:26">
      <c r="A3" s="324"/>
      <c r="B3" s="325"/>
      <c r="C3" s="326"/>
      <c r="D3" s="324"/>
      <c r="E3" s="324"/>
      <c r="F3" s="324"/>
      <c r="G3" s="326"/>
      <c r="H3" s="327"/>
      <c r="I3" s="328"/>
      <c r="J3" s="329"/>
      <c r="K3" s="328"/>
      <c r="L3" s="328"/>
      <c r="M3" s="329"/>
      <c r="N3" s="329"/>
      <c r="O3" s="329"/>
      <c r="P3" s="329"/>
      <c r="Q3" s="329"/>
      <c r="R3" s="329"/>
      <c r="S3" s="329"/>
      <c r="T3" s="330"/>
      <c r="U3" s="331"/>
      <c r="V3" s="311"/>
      <c r="W3" s="311"/>
      <c r="X3" s="321"/>
      <c r="Y3" s="313"/>
      <c r="Z3" s="323"/>
    </row>
    <row r="4" spans="1:26" ht="18.75">
      <c r="A4" s="674" t="s">
        <v>3200</v>
      </c>
      <c r="B4" s="674"/>
      <c r="C4" s="674"/>
      <c r="D4" s="674"/>
      <c r="E4" s="674"/>
      <c r="F4" s="674"/>
      <c r="G4" s="674"/>
      <c r="H4" s="674"/>
      <c r="I4" s="674"/>
      <c r="J4" s="674"/>
      <c r="K4" s="674"/>
      <c r="L4" s="674"/>
      <c r="M4" s="674"/>
      <c r="N4" s="674"/>
      <c r="O4" s="674"/>
      <c r="P4" s="674"/>
      <c r="Q4" s="674"/>
      <c r="R4" s="674"/>
      <c r="S4" s="674"/>
      <c r="T4" s="674"/>
      <c r="U4" s="674"/>
      <c r="V4" s="311"/>
      <c r="W4" s="311"/>
      <c r="X4" s="312"/>
      <c r="Y4" s="313"/>
      <c r="Z4" s="313"/>
    </row>
    <row r="5" spans="1:26" ht="20.25">
      <c r="A5" s="669"/>
      <c r="B5" s="669"/>
      <c r="C5" s="669"/>
      <c r="D5" s="669"/>
      <c r="E5" s="669"/>
      <c r="F5" s="669"/>
      <c r="G5" s="669"/>
      <c r="H5" s="669"/>
      <c r="I5" s="669"/>
      <c r="J5" s="669"/>
      <c r="K5" s="669"/>
      <c r="L5" s="669"/>
      <c r="M5" s="669"/>
      <c r="N5" s="669"/>
      <c r="O5" s="669"/>
      <c r="P5" s="669"/>
      <c r="Q5" s="669"/>
      <c r="R5" s="669"/>
      <c r="S5" s="669"/>
      <c r="T5" s="669"/>
      <c r="U5" s="669"/>
      <c r="V5" s="332"/>
      <c r="W5" s="332"/>
      <c r="X5" s="312"/>
      <c r="Y5" s="333"/>
      <c r="Z5" s="334"/>
    </row>
    <row r="6" spans="1:26" ht="15.75">
      <c r="A6" s="675"/>
      <c r="B6" s="675"/>
      <c r="C6" s="675"/>
      <c r="D6" s="675"/>
      <c r="E6" s="675"/>
      <c r="F6" s="675"/>
      <c r="G6" s="675"/>
      <c r="H6" s="675"/>
      <c r="I6" s="675"/>
      <c r="J6" s="675"/>
      <c r="K6" s="675"/>
      <c r="L6" s="675"/>
      <c r="M6" s="675"/>
      <c r="N6" s="675"/>
      <c r="O6" s="675"/>
      <c r="P6" s="675"/>
      <c r="Q6" s="675"/>
      <c r="R6" s="675"/>
      <c r="S6" s="675"/>
      <c r="T6" s="675"/>
      <c r="U6" s="675"/>
      <c r="V6" s="335"/>
      <c r="W6" s="335"/>
      <c r="X6" s="312"/>
      <c r="Y6" s="333"/>
      <c r="Z6" s="334"/>
    </row>
    <row r="7" spans="1:26" ht="15.75">
      <c r="A7" s="675"/>
      <c r="B7" s="675"/>
      <c r="C7" s="675"/>
      <c r="D7" s="675"/>
      <c r="E7" s="675"/>
      <c r="F7" s="675"/>
      <c r="G7" s="675"/>
      <c r="H7" s="675"/>
      <c r="I7" s="675"/>
      <c r="J7" s="675"/>
      <c r="K7" s="675"/>
      <c r="L7" s="675"/>
      <c r="M7" s="675"/>
      <c r="N7" s="675"/>
      <c r="O7" s="675"/>
      <c r="P7" s="675"/>
      <c r="Q7" s="675"/>
      <c r="R7" s="675"/>
      <c r="S7" s="675"/>
      <c r="T7" s="675"/>
      <c r="U7" s="675"/>
      <c r="V7" s="335"/>
      <c r="W7" s="335"/>
      <c r="X7" s="312"/>
      <c r="Y7" s="333"/>
      <c r="Z7" s="334"/>
    </row>
    <row r="8" spans="1:26" ht="15.75">
      <c r="A8" s="324"/>
      <c r="B8" s="325"/>
      <c r="C8" s="328"/>
      <c r="D8" s="336"/>
      <c r="E8" s="328"/>
      <c r="F8" s="328"/>
      <c r="G8" s="328"/>
      <c r="H8" s="328"/>
      <c r="I8" s="328"/>
      <c r="J8" s="328"/>
      <c r="K8" s="328"/>
      <c r="L8" s="328"/>
      <c r="M8" s="328" t="s">
        <v>368</v>
      </c>
      <c r="N8" s="328" t="s">
        <v>369</v>
      </c>
      <c r="O8" s="328" t="s">
        <v>370</v>
      </c>
      <c r="P8" s="328" t="s">
        <v>371</v>
      </c>
      <c r="Q8" s="328" t="s">
        <v>372</v>
      </c>
      <c r="R8" s="328" t="s">
        <v>373</v>
      </c>
      <c r="S8" s="328" t="s">
        <v>374</v>
      </c>
      <c r="T8" s="337"/>
      <c r="U8" s="338">
        <f>SUM(H14:T14)</f>
        <v>47093365550</v>
      </c>
      <c r="V8" s="335"/>
      <c r="W8" s="335"/>
      <c r="X8" s="335"/>
      <c r="Y8" s="339"/>
      <c r="Z8" s="339"/>
    </row>
    <row r="9" spans="1:26" ht="15" customHeight="1">
      <c r="A9" s="676" t="s">
        <v>375</v>
      </c>
      <c r="B9" s="677" t="s">
        <v>106</v>
      </c>
      <c r="C9" s="676" t="s">
        <v>57</v>
      </c>
      <c r="D9" s="676" t="s">
        <v>376</v>
      </c>
      <c r="E9" s="676" t="s">
        <v>292</v>
      </c>
      <c r="F9" s="676"/>
      <c r="G9" s="678" t="s">
        <v>377</v>
      </c>
      <c r="H9" s="679" t="s">
        <v>378</v>
      </c>
      <c r="I9" s="680" t="s">
        <v>379</v>
      </c>
      <c r="J9" s="682" t="s">
        <v>380</v>
      </c>
      <c r="K9" s="680" t="s">
        <v>381</v>
      </c>
      <c r="L9" s="680" t="s">
        <v>382</v>
      </c>
      <c r="M9" s="681" t="s">
        <v>383</v>
      </c>
      <c r="N9" s="681"/>
      <c r="O9" s="681"/>
      <c r="P9" s="681"/>
      <c r="Q9" s="681"/>
      <c r="R9" s="681"/>
      <c r="S9" s="681"/>
      <c r="T9" s="688" t="s">
        <v>384</v>
      </c>
      <c r="U9" s="689" t="s">
        <v>385</v>
      </c>
      <c r="V9" s="683" t="s">
        <v>386</v>
      </c>
      <c r="W9" s="683" t="s">
        <v>387</v>
      </c>
      <c r="X9" s="684" t="s">
        <v>388</v>
      </c>
      <c r="Y9" s="687" t="s">
        <v>389</v>
      </c>
      <c r="Z9" s="340"/>
    </row>
    <row r="10" spans="1:26">
      <c r="A10" s="676"/>
      <c r="B10" s="677"/>
      <c r="C10" s="676"/>
      <c r="D10" s="676"/>
      <c r="E10" s="676"/>
      <c r="F10" s="676"/>
      <c r="G10" s="678"/>
      <c r="H10" s="679"/>
      <c r="I10" s="680"/>
      <c r="J10" s="682"/>
      <c r="K10" s="680"/>
      <c r="L10" s="680"/>
      <c r="M10" s="681" t="s">
        <v>298</v>
      </c>
      <c r="N10" s="681"/>
      <c r="O10" s="681" t="s">
        <v>299</v>
      </c>
      <c r="P10" s="681"/>
      <c r="Q10" s="681" t="s">
        <v>300</v>
      </c>
      <c r="R10" s="681"/>
      <c r="S10" s="681" t="s">
        <v>301</v>
      </c>
      <c r="T10" s="688"/>
      <c r="U10" s="689"/>
      <c r="V10" s="683"/>
      <c r="W10" s="683"/>
      <c r="X10" s="685"/>
      <c r="Y10" s="687"/>
      <c r="Z10" s="340"/>
    </row>
    <row r="11" spans="1:26">
      <c r="A11" s="676"/>
      <c r="B11" s="677"/>
      <c r="C11" s="676"/>
      <c r="D11" s="676"/>
      <c r="E11" s="676" t="s">
        <v>390</v>
      </c>
      <c r="F11" s="676" t="s">
        <v>303</v>
      </c>
      <c r="G11" s="678"/>
      <c r="H11" s="679"/>
      <c r="I11" s="680"/>
      <c r="J11" s="682"/>
      <c r="K11" s="680"/>
      <c r="L11" s="680"/>
      <c r="M11" s="682" t="s">
        <v>391</v>
      </c>
      <c r="N11" s="682" t="s">
        <v>386</v>
      </c>
      <c r="O11" s="682" t="s">
        <v>391</v>
      </c>
      <c r="P11" s="682" t="s">
        <v>386</v>
      </c>
      <c r="Q11" s="682" t="s">
        <v>391</v>
      </c>
      <c r="R11" s="682" t="s">
        <v>386</v>
      </c>
      <c r="S11" s="681"/>
      <c r="T11" s="688"/>
      <c r="U11" s="689"/>
      <c r="V11" s="683"/>
      <c r="W11" s="683"/>
      <c r="X11" s="685"/>
      <c r="Y11" s="687"/>
      <c r="Z11" s="341"/>
    </row>
    <row r="12" spans="1:26" ht="40.5" customHeight="1">
      <c r="A12" s="676"/>
      <c r="B12" s="677"/>
      <c r="C12" s="676"/>
      <c r="D12" s="676"/>
      <c r="E12" s="676"/>
      <c r="F12" s="676"/>
      <c r="G12" s="678"/>
      <c r="H12" s="679"/>
      <c r="I12" s="680"/>
      <c r="J12" s="682"/>
      <c r="K12" s="680"/>
      <c r="L12" s="680"/>
      <c r="M12" s="682"/>
      <c r="N12" s="682"/>
      <c r="O12" s="682"/>
      <c r="P12" s="682"/>
      <c r="Q12" s="682"/>
      <c r="R12" s="682"/>
      <c r="S12" s="681"/>
      <c r="T12" s="688"/>
      <c r="U12" s="689"/>
      <c r="V12" s="683"/>
      <c r="W12" s="683"/>
      <c r="X12" s="686"/>
      <c r="Y12" s="687"/>
      <c r="Z12" s="342"/>
    </row>
    <row r="13" spans="1:26" ht="40.5" hidden="1" customHeight="1">
      <c r="A13" s="343" t="s">
        <v>36</v>
      </c>
      <c r="B13" s="344" t="s">
        <v>284</v>
      </c>
      <c r="C13" s="343" t="s">
        <v>392</v>
      </c>
      <c r="D13" s="343" t="s">
        <v>376</v>
      </c>
      <c r="E13" s="343" t="s">
        <v>390</v>
      </c>
      <c r="F13" s="343" t="s">
        <v>303</v>
      </c>
      <c r="G13" s="345" t="s">
        <v>377</v>
      </c>
      <c r="H13" s="346" t="s">
        <v>378</v>
      </c>
      <c r="I13" s="347" t="s">
        <v>379</v>
      </c>
      <c r="J13" s="348" t="s">
        <v>380</v>
      </c>
      <c r="K13" s="347" t="s">
        <v>381</v>
      </c>
      <c r="L13" s="347" t="s">
        <v>382</v>
      </c>
      <c r="M13" s="348" t="s">
        <v>391</v>
      </c>
      <c r="N13" s="348" t="s">
        <v>386</v>
      </c>
      <c r="O13" s="348" t="s">
        <v>391</v>
      </c>
      <c r="P13" s="348" t="s">
        <v>386</v>
      </c>
      <c r="Q13" s="348" t="s">
        <v>391</v>
      </c>
      <c r="R13" s="348" t="s">
        <v>386</v>
      </c>
      <c r="S13" s="349" t="s">
        <v>301</v>
      </c>
      <c r="T13" s="350" t="s">
        <v>384</v>
      </c>
      <c r="U13" s="351" t="s">
        <v>393</v>
      </c>
      <c r="V13" s="348" t="s">
        <v>386</v>
      </c>
      <c r="W13" s="348" t="s">
        <v>386</v>
      </c>
      <c r="X13" s="352" t="s">
        <v>394</v>
      </c>
      <c r="Y13" s="353"/>
      <c r="Z13" s="342"/>
    </row>
    <row r="14" spans="1:26" ht="40.5" customHeight="1">
      <c r="A14" s="438"/>
      <c r="B14" s="439"/>
      <c r="C14" s="438" t="s">
        <v>245</v>
      </c>
      <c r="D14" s="438"/>
      <c r="E14" s="438"/>
      <c r="F14" s="438"/>
      <c r="G14" s="440">
        <f t="shared" ref="G14:U14" si="0">SUM(G15:G1048576)</f>
        <v>41712607632</v>
      </c>
      <c r="H14" s="440">
        <f t="shared" si="0"/>
        <v>40342565043</v>
      </c>
      <c r="I14" s="440">
        <f t="shared" si="0"/>
        <v>0</v>
      </c>
      <c r="J14" s="440">
        <f t="shared" si="0"/>
        <v>0</v>
      </c>
      <c r="K14" s="440">
        <f t="shared" si="0"/>
        <v>759073941</v>
      </c>
      <c r="L14" s="440">
        <f t="shared" si="0"/>
        <v>0</v>
      </c>
      <c r="M14" s="440">
        <f t="shared" si="0"/>
        <v>1095926072</v>
      </c>
      <c r="N14" s="440">
        <f t="shared" si="0"/>
        <v>2388761735</v>
      </c>
      <c r="O14" s="440">
        <f t="shared" si="0"/>
        <v>166355061</v>
      </c>
      <c r="P14" s="440">
        <f t="shared" si="0"/>
        <v>332710124</v>
      </c>
      <c r="Q14" s="440">
        <f t="shared" si="0"/>
        <v>107761456</v>
      </c>
      <c r="R14" s="440">
        <f t="shared" si="0"/>
        <v>107761456</v>
      </c>
      <c r="S14" s="440">
        <f t="shared" si="0"/>
        <v>273001342</v>
      </c>
      <c r="T14" s="440">
        <f t="shared" si="0"/>
        <v>1519449320</v>
      </c>
      <c r="U14" s="440">
        <f t="shared" si="0"/>
        <v>47093365550</v>
      </c>
      <c r="V14" s="440">
        <f>SUBTOTAL(9,V15:V1059)</f>
        <v>0</v>
      </c>
      <c r="W14" s="441"/>
      <c r="X14" s="442"/>
      <c r="Y14" s="443"/>
      <c r="Z14" s="444"/>
    </row>
    <row r="15" spans="1:26" ht="15.75" hidden="1">
      <c r="A15" s="354">
        <f>SUBTOTAL(3,$B$15:B15)</f>
        <v>0</v>
      </c>
      <c r="B15" s="355" t="s">
        <v>395</v>
      </c>
      <c r="C15" s="356" t="s">
        <v>396</v>
      </c>
      <c r="D15" s="356" t="s">
        <v>397</v>
      </c>
      <c r="E15" s="357">
        <v>21</v>
      </c>
      <c r="F15" s="357">
        <v>21</v>
      </c>
      <c r="G15" s="358">
        <v>20790517</v>
      </c>
      <c r="H15" s="359">
        <f>+G15-SUM(M15,O15,Q15)</f>
        <v>19410666</v>
      </c>
      <c r="I15" s="360"/>
      <c r="J15" s="361"/>
      <c r="K15" s="362"/>
      <c r="L15" s="362"/>
      <c r="M15" s="361">
        <v>1379851</v>
      </c>
      <c r="N15" s="361">
        <v>3018425</v>
      </c>
      <c r="O15" s="361">
        <v>0</v>
      </c>
      <c r="P15" s="361">
        <v>0</v>
      </c>
      <c r="Q15" s="361">
        <v>0</v>
      </c>
      <c r="R15" s="361">
        <v>0</v>
      </c>
      <c r="S15" s="361">
        <v>344963</v>
      </c>
      <c r="T15" s="363">
        <v>1047000</v>
      </c>
      <c r="U15" s="364">
        <f>+SUM(H15:T15)</f>
        <v>25200905</v>
      </c>
      <c r="V15" s="362"/>
      <c r="W15" s="365" t="str">
        <f>+VLOOKUP($B15,[2]Time_S4!$B:$G,6,0)</f>
        <v>Phòng Nhân sự</v>
      </c>
      <c r="X15" s="365" t="str">
        <f>IF(W15="Phòng Kinh doanh","Trung tâm Kinh doanh - TCT CNC",+VLOOKUP($B15,[2]Time_S4!$B:$G,5,0))</f>
        <v>Khối cơ quan - TCT CNC</v>
      </c>
      <c r="Y15" s="366"/>
      <c r="Z15" s="366"/>
    </row>
    <row r="16" spans="1:26" ht="15.75" hidden="1">
      <c r="A16" s="367">
        <f>SUBTOTAL(3,$B$15:B16)</f>
        <v>0</v>
      </c>
      <c r="B16" s="356" t="s">
        <v>398</v>
      </c>
      <c r="C16" s="356" t="s">
        <v>399</v>
      </c>
      <c r="D16" s="356" t="s">
        <v>400</v>
      </c>
      <c r="E16" s="357">
        <v>21</v>
      </c>
      <c r="F16" s="357">
        <v>21</v>
      </c>
      <c r="G16" s="358">
        <v>25852064</v>
      </c>
      <c r="H16" s="359">
        <f t="shared" ref="H16:H79" si="1">+G16-SUM(M16,O16,Q16)</f>
        <v>24849780</v>
      </c>
      <c r="I16" s="360"/>
      <c r="J16" s="361"/>
      <c r="K16" s="362"/>
      <c r="L16" s="362"/>
      <c r="M16" s="361">
        <v>844029</v>
      </c>
      <c r="N16" s="361">
        <v>1846313</v>
      </c>
      <c r="O16" s="361">
        <v>158255</v>
      </c>
      <c r="P16" s="361">
        <v>316511</v>
      </c>
      <c r="Q16" s="361">
        <v>0</v>
      </c>
      <c r="R16" s="361">
        <v>0</v>
      </c>
      <c r="S16" s="361">
        <v>211007</v>
      </c>
      <c r="T16" s="363">
        <v>930000</v>
      </c>
      <c r="U16" s="364">
        <f t="shared" ref="U16:U79" si="2">+SUM(H16:T16)</f>
        <v>29155895</v>
      </c>
      <c r="V16" s="362"/>
      <c r="W16" s="365" t="str">
        <f>+VLOOKUP($B16,[2]Time_S4!$B:$G,6,0)</f>
        <v>Phòng Kinh doanh</v>
      </c>
      <c r="X16" s="365" t="str">
        <f>IF(W16="Phòng Kinh doanh","Trung tâm Kinh doanh - TCT CNC",+VLOOKUP($B16,[2]Time_S4!$B:$G,5,0))</f>
        <v>Trung tâm Kinh doanh - TCT CNC</v>
      </c>
      <c r="Y16" s="366"/>
      <c r="Z16" s="366"/>
    </row>
    <row r="17" spans="1:26" ht="15.75" hidden="1">
      <c r="A17" s="367">
        <f>SUBTOTAL(3,$B$15:B17)</f>
        <v>0</v>
      </c>
      <c r="B17" s="356" t="s">
        <v>401</v>
      </c>
      <c r="C17" s="356" t="s">
        <v>402</v>
      </c>
      <c r="D17" s="356" t="s">
        <v>397</v>
      </c>
      <c r="E17" s="357">
        <v>21</v>
      </c>
      <c r="F17" s="357">
        <v>21</v>
      </c>
      <c r="G17" s="358">
        <v>68679032</v>
      </c>
      <c r="H17" s="359">
        <f t="shared" si="1"/>
        <v>67077536</v>
      </c>
      <c r="I17" s="360"/>
      <c r="J17" s="361"/>
      <c r="K17" s="362"/>
      <c r="L17" s="362"/>
      <c r="M17" s="361">
        <v>1601496</v>
      </c>
      <c r="N17" s="361">
        <v>3503273</v>
      </c>
      <c r="O17" s="361">
        <v>0</v>
      </c>
      <c r="P17" s="361">
        <v>0</v>
      </c>
      <c r="Q17" s="361">
        <v>0</v>
      </c>
      <c r="R17" s="361">
        <v>0</v>
      </c>
      <c r="S17" s="361">
        <v>400374</v>
      </c>
      <c r="T17" s="363">
        <v>1847000</v>
      </c>
      <c r="U17" s="364">
        <f t="shared" si="2"/>
        <v>74429679</v>
      </c>
      <c r="V17" s="362"/>
      <c r="W17" s="365" t="str">
        <f>+VLOOKUP($B17,[2]Time_S4!$B:$G,6,0)</f>
        <v>Phòng Hành chính</v>
      </c>
      <c r="X17" s="365" t="str">
        <f>IF(W17="Phòng Kinh doanh","Trung tâm Kinh doanh - TCT CNC",+VLOOKUP($B17,[2]Time_S4!$B:$G,5,0))</f>
        <v>Khối cơ quan - TCT CNC</v>
      </c>
      <c r="Y17" s="366"/>
      <c r="Z17" s="366"/>
    </row>
    <row r="18" spans="1:26" ht="14.25" hidden="1" customHeight="1">
      <c r="A18" s="367">
        <f>SUBTOTAL(3,$B$15:B18)</f>
        <v>0</v>
      </c>
      <c r="B18" s="356" t="s">
        <v>403</v>
      </c>
      <c r="C18" s="356" t="s">
        <v>404</v>
      </c>
      <c r="D18" s="356" t="s">
        <v>400</v>
      </c>
      <c r="E18" s="357">
        <v>21</v>
      </c>
      <c r="F18" s="357">
        <v>21</v>
      </c>
      <c r="G18" s="358">
        <v>20131774</v>
      </c>
      <c r="H18" s="359">
        <f t="shared" si="1"/>
        <v>19254934</v>
      </c>
      <c r="I18" s="360"/>
      <c r="J18" s="361"/>
      <c r="K18" s="362"/>
      <c r="L18" s="362"/>
      <c r="M18" s="361">
        <v>738392</v>
      </c>
      <c r="N18" s="361">
        <v>1615232</v>
      </c>
      <c r="O18" s="361">
        <v>138448</v>
      </c>
      <c r="P18" s="361">
        <v>276897</v>
      </c>
      <c r="Q18" s="361">
        <v>0</v>
      </c>
      <c r="R18" s="361">
        <v>0</v>
      </c>
      <c r="S18" s="361">
        <v>184598</v>
      </c>
      <c r="T18" s="363">
        <v>1047000</v>
      </c>
      <c r="U18" s="364">
        <f t="shared" si="2"/>
        <v>23255501</v>
      </c>
      <c r="V18" s="362"/>
      <c r="W18" s="365" t="str">
        <f>+VLOOKUP($B18,[2]Time_S4!$B:$G,6,0)</f>
        <v>Hệ thống Lab dùng chung</v>
      </c>
      <c r="X18" s="365" t="str">
        <f>IF(W18="Phòng Kinh doanh","Trung tâm Kinh doanh - TCT CNC",+VLOOKUP($B18,[2]Time_S4!$B:$G,5,0))</f>
        <v>Trung tâm Quản lý chất lượng - TCT CNC</v>
      </c>
      <c r="Y18" s="366"/>
      <c r="Z18" s="366"/>
    </row>
    <row r="19" spans="1:26" ht="15.75" hidden="1">
      <c r="A19" s="367">
        <f>SUBTOTAL(3,$B$15:B19)</f>
        <v>0</v>
      </c>
      <c r="B19" s="356" t="s">
        <v>405</v>
      </c>
      <c r="C19" s="356" t="s">
        <v>406</v>
      </c>
      <c r="D19" s="356" t="s">
        <v>407</v>
      </c>
      <c r="E19" s="357">
        <v>21</v>
      </c>
      <c r="F19" s="357">
        <v>21</v>
      </c>
      <c r="G19" s="358">
        <v>21013687</v>
      </c>
      <c r="H19" s="359">
        <f t="shared" si="1"/>
        <v>20097079</v>
      </c>
      <c r="I19" s="360"/>
      <c r="J19" s="361"/>
      <c r="K19" s="362"/>
      <c r="L19" s="362"/>
      <c r="M19" s="361">
        <v>698368</v>
      </c>
      <c r="N19" s="361">
        <v>1527680</v>
      </c>
      <c r="O19" s="361">
        <v>130944</v>
      </c>
      <c r="P19" s="361">
        <v>261888</v>
      </c>
      <c r="Q19" s="361">
        <v>87296</v>
      </c>
      <c r="R19" s="361">
        <v>87296</v>
      </c>
      <c r="S19" s="361">
        <v>174592</v>
      </c>
      <c r="T19" s="363">
        <v>1866000</v>
      </c>
      <c r="U19" s="364">
        <f t="shared" si="2"/>
        <v>24931143</v>
      </c>
      <c r="V19" s="362"/>
      <c r="W19" s="365" t="str">
        <f>+VLOOKUP($B19,[2]Time_S4!$B:$G,6,0)</f>
        <v>Trung tâm dịch vụ sau bán hàng</v>
      </c>
      <c r="X19" s="365" t="str">
        <f>IF(W19="Phòng Kinh doanh","Trung tâm Kinh doanh - TCT CNC",+VLOOKUP($B19,[2]Time_S4!$B:$G,5,0))</f>
        <v>Khối 1 - TCT CNC</v>
      </c>
      <c r="Y19" s="366"/>
      <c r="Z19" s="366"/>
    </row>
    <row r="20" spans="1:26" ht="15.75" hidden="1">
      <c r="A20" s="367">
        <f>SUBTOTAL(3,$B$15:B20)</f>
        <v>0</v>
      </c>
      <c r="B20" s="356" t="s">
        <v>408</v>
      </c>
      <c r="C20" s="356" t="s">
        <v>409</v>
      </c>
      <c r="D20" s="356" t="s">
        <v>410</v>
      </c>
      <c r="E20" s="357">
        <v>21</v>
      </c>
      <c r="F20" s="357">
        <v>21</v>
      </c>
      <c r="G20" s="358">
        <v>90999558</v>
      </c>
      <c r="H20" s="359">
        <f t="shared" si="1"/>
        <v>89307270</v>
      </c>
      <c r="I20" s="360"/>
      <c r="J20" s="361"/>
      <c r="K20" s="362"/>
      <c r="L20" s="362"/>
      <c r="M20" s="361">
        <v>1692288</v>
      </c>
      <c r="N20" s="361">
        <v>3701880</v>
      </c>
      <c r="O20" s="361">
        <v>0</v>
      </c>
      <c r="P20" s="361">
        <v>0</v>
      </c>
      <c r="Q20" s="361">
        <v>0</v>
      </c>
      <c r="R20" s="361">
        <v>0</v>
      </c>
      <c r="S20" s="361">
        <v>423072</v>
      </c>
      <c r="T20" s="363">
        <v>1730000</v>
      </c>
      <c r="U20" s="364">
        <f t="shared" si="2"/>
        <v>96854510</v>
      </c>
      <c r="V20" s="362"/>
      <c r="W20" s="365" t="str">
        <f>+VLOOKUP($B20,[2]Time_S4!$B:$G,6,0)</f>
        <v>Trung tâm Nghiên cứu giải pháp tích hợp công nghệ cao</v>
      </c>
      <c r="X20" s="365" t="str">
        <f>IF(W20="Phòng Kinh doanh","Trung tâm Kinh doanh - TCT CNC",+VLOOKUP($B20,[2]Time_S4!$B:$G,5,0))</f>
        <v>Khối 1 - TCT CNC</v>
      </c>
      <c r="Y20" s="366"/>
      <c r="Z20" s="366"/>
    </row>
    <row r="21" spans="1:26" ht="15.75" hidden="1">
      <c r="A21" s="367">
        <f>SUBTOTAL(3,$B$15:B21)</f>
        <v>0</v>
      </c>
      <c r="B21" s="356" t="s">
        <v>411</v>
      </c>
      <c r="C21" s="356" t="s">
        <v>412</v>
      </c>
      <c r="D21" s="356" t="s">
        <v>410</v>
      </c>
      <c r="E21" s="357">
        <v>21</v>
      </c>
      <c r="F21" s="357">
        <v>21</v>
      </c>
      <c r="G21" s="358">
        <v>90999558</v>
      </c>
      <c r="H21" s="359">
        <f t="shared" si="1"/>
        <v>89482676</v>
      </c>
      <c r="I21" s="360"/>
      <c r="J21" s="361"/>
      <c r="K21" s="362"/>
      <c r="L21" s="362"/>
      <c r="M21" s="361">
        <v>1516882</v>
      </c>
      <c r="N21" s="361">
        <v>3318179</v>
      </c>
      <c r="O21" s="361">
        <v>0</v>
      </c>
      <c r="P21" s="361">
        <v>0</v>
      </c>
      <c r="Q21" s="361">
        <v>0</v>
      </c>
      <c r="R21" s="361">
        <v>0</v>
      </c>
      <c r="S21" s="361">
        <v>379220</v>
      </c>
      <c r="T21" s="363">
        <v>1730000</v>
      </c>
      <c r="U21" s="364">
        <f t="shared" si="2"/>
        <v>96426957</v>
      </c>
      <c r="V21" s="362"/>
      <c r="W21" s="365" t="str">
        <f>+VLOOKUP($B21,[2]Time_S4!$B:$G,6,0)</f>
        <v>Phòng Chiến lược - KHCN</v>
      </c>
      <c r="X21" s="365" t="str">
        <f>IF(W21="Phòng Kinh doanh","Trung tâm Kinh doanh - TCT CNC",+VLOOKUP($B21,[2]Time_S4!$B:$G,5,0))</f>
        <v>Khối cơ quan - TCT CNC</v>
      </c>
      <c r="Y21" s="366"/>
      <c r="Z21" s="366"/>
    </row>
    <row r="22" spans="1:26" s="379" customFormat="1" ht="15.75">
      <c r="A22" s="368">
        <f>SUBTOTAL(3,$B$15:B22)</f>
        <v>1</v>
      </c>
      <c r="B22" s="369" t="s">
        <v>413</v>
      </c>
      <c r="C22" s="369" t="s">
        <v>414</v>
      </c>
      <c r="D22" s="369" t="s">
        <v>410</v>
      </c>
      <c r="E22" s="370">
        <v>21</v>
      </c>
      <c r="F22" s="370">
        <v>21</v>
      </c>
      <c r="G22" s="371">
        <v>97935011</v>
      </c>
      <c r="H22" s="372">
        <f t="shared" si="1"/>
        <v>96438909</v>
      </c>
      <c r="I22" s="373"/>
      <c r="J22" s="374"/>
      <c r="K22" s="375"/>
      <c r="L22" s="375"/>
      <c r="M22" s="374">
        <v>1496102</v>
      </c>
      <c r="N22" s="374">
        <v>3272724</v>
      </c>
      <c r="O22" s="374">
        <v>0</v>
      </c>
      <c r="P22" s="374">
        <v>0</v>
      </c>
      <c r="Q22" s="374">
        <v>0</v>
      </c>
      <c r="R22" s="374">
        <v>0</v>
      </c>
      <c r="S22" s="374">
        <v>374026</v>
      </c>
      <c r="T22" s="376">
        <v>1230000</v>
      </c>
      <c r="U22" s="374">
        <f t="shared" si="2"/>
        <v>102811761</v>
      </c>
      <c r="V22" s="375"/>
      <c r="W22" s="377" t="str">
        <f>+VLOOKUP($B22,[2]Time_S4!$B:$G,6,0)</f>
        <v>Trung tâm Chỉ huy điều khiển</v>
      </c>
      <c r="X22" s="377" t="str">
        <f>IF(W22="Phòng Kinh doanh","Trung tâm Kinh doanh - TCT CNC",+VLOOKUP($B22,[2]Time_S4!$B:$G,5,0))</f>
        <v>Khối 1 - TCT CNC</v>
      </c>
      <c r="Y22" s="378"/>
      <c r="Z22" s="378"/>
    </row>
    <row r="23" spans="1:26" ht="15.75" hidden="1">
      <c r="A23" s="367">
        <f>SUBTOTAL(3,$B$15:B23)</f>
        <v>1</v>
      </c>
      <c r="B23" s="356" t="s">
        <v>415</v>
      </c>
      <c r="C23" s="356" t="s">
        <v>416</v>
      </c>
      <c r="D23" s="356" t="s">
        <v>400</v>
      </c>
      <c r="E23" s="357">
        <v>21</v>
      </c>
      <c r="F23" s="357">
        <v>21</v>
      </c>
      <c r="G23" s="358">
        <v>26960570</v>
      </c>
      <c r="H23" s="359">
        <f t="shared" si="1"/>
        <v>25846580</v>
      </c>
      <c r="I23" s="360"/>
      <c r="J23" s="361"/>
      <c r="K23" s="362"/>
      <c r="L23" s="362"/>
      <c r="M23" s="361">
        <v>938097</v>
      </c>
      <c r="N23" s="361">
        <v>2052086</v>
      </c>
      <c r="O23" s="361">
        <v>175893</v>
      </c>
      <c r="P23" s="361">
        <v>351786</v>
      </c>
      <c r="Q23" s="361">
        <v>0</v>
      </c>
      <c r="R23" s="361">
        <v>0</v>
      </c>
      <c r="S23" s="361">
        <v>234524</v>
      </c>
      <c r="T23" s="363">
        <v>930000</v>
      </c>
      <c r="U23" s="364">
        <f t="shared" si="2"/>
        <v>30528966</v>
      </c>
      <c r="V23" s="362"/>
      <c r="W23" s="365" t="str">
        <f>+VLOOKUP($B23,[2]Time_S4!$B:$G,6,0)</f>
        <v>Phòng Công nghệ thông tin</v>
      </c>
      <c r="X23" s="365" t="str">
        <f>IF(W23="Phòng Kinh doanh","Trung tâm Kinh doanh - TCT CNC",+VLOOKUP($B23,[2]Time_S4!$B:$G,5,0))</f>
        <v>Khối cơ quan - TCT CNC</v>
      </c>
      <c r="Y23" s="366"/>
      <c r="Z23" s="366"/>
    </row>
    <row r="24" spans="1:26" ht="15.75" hidden="1">
      <c r="A24" s="367">
        <f>SUBTOTAL(3,$B$15:B24)</f>
        <v>1</v>
      </c>
      <c r="B24" s="356" t="s">
        <v>417</v>
      </c>
      <c r="C24" s="356" t="s">
        <v>418</v>
      </c>
      <c r="D24" s="356" t="s">
        <v>410</v>
      </c>
      <c r="E24" s="357">
        <v>21</v>
      </c>
      <c r="F24" s="357">
        <v>21</v>
      </c>
      <c r="G24" s="358">
        <v>170228538</v>
      </c>
      <c r="H24" s="359">
        <f t="shared" si="1"/>
        <v>168536250</v>
      </c>
      <c r="I24" s="360"/>
      <c r="J24" s="361"/>
      <c r="K24" s="362"/>
      <c r="L24" s="362"/>
      <c r="M24" s="361">
        <v>1692288</v>
      </c>
      <c r="N24" s="361">
        <v>3701880</v>
      </c>
      <c r="O24" s="361">
        <v>0</v>
      </c>
      <c r="P24" s="361">
        <v>0</v>
      </c>
      <c r="Q24" s="361">
        <v>0</v>
      </c>
      <c r="R24" s="361">
        <v>0</v>
      </c>
      <c r="S24" s="361">
        <v>423072</v>
      </c>
      <c r="T24" s="363">
        <v>3432000</v>
      </c>
      <c r="U24" s="364">
        <f t="shared" si="2"/>
        <v>177785490</v>
      </c>
      <c r="V24" s="362"/>
      <c r="W24" s="365" t="str">
        <f>+VLOOKUP($B24,[2]Time_S4!$B:$G,6,0)</f>
        <v>Ban Giám đốc Khối</v>
      </c>
      <c r="X24" s="365" t="str">
        <f>IF(W24="Phòng Kinh doanh","Trung tâm Kinh doanh - TCT CNC",+VLOOKUP($B24,[2]Time_S4!$B:$G,5,0))</f>
        <v>Khối 2 - TCT CNC</v>
      </c>
      <c r="Y24" s="366"/>
      <c r="Z24" s="366"/>
    </row>
    <row r="25" spans="1:26" ht="15.75" hidden="1">
      <c r="A25" s="367">
        <f>SUBTOTAL(3,$B$15:B25)</f>
        <v>1</v>
      </c>
      <c r="B25" s="356" t="s">
        <v>419</v>
      </c>
      <c r="C25" s="356" t="s">
        <v>420</v>
      </c>
      <c r="D25" s="356" t="s">
        <v>410</v>
      </c>
      <c r="E25" s="357">
        <v>21</v>
      </c>
      <c r="F25" s="357">
        <v>21</v>
      </c>
      <c r="G25" s="358">
        <v>152160840</v>
      </c>
      <c r="H25" s="359">
        <f t="shared" si="1"/>
        <v>150643958</v>
      </c>
      <c r="I25" s="360"/>
      <c r="J25" s="361"/>
      <c r="K25" s="362"/>
      <c r="L25" s="362"/>
      <c r="M25" s="361">
        <v>1516882</v>
      </c>
      <c r="N25" s="361">
        <v>3318179</v>
      </c>
      <c r="O25" s="361">
        <v>0</v>
      </c>
      <c r="P25" s="361">
        <v>0</v>
      </c>
      <c r="Q25" s="361">
        <v>0</v>
      </c>
      <c r="R25" s="361">
        <v>0</v>
      </c>
      <c r="S25" s="361">
        <v>379220</v>
      </c>
      <c r="T25" s="363">
        <v>2730000</v>
      </c>
      <c r="U25" s="364">
        <f t="shared" si="2"/>
        <v>158588239</v>
      </c>
      <c r="V25" s="362"/>
      <c r="W25" s="365" t="str">
        <f>+VLOOKUP($B25,[2]Time_S4!$B:$G,6,0)</f>
        <v>Ban Giám đốc</v>
      </c>
      <c r="X25" s="365" t="str">
        <f>IF(W25="Phòng Kinh doanh","Trung tâm Kinh doanh - TCT CNC",+VLOOKUP($B25,[2]Time_S4!$B:$G,5,0))</f>
        <v>Trung tâm Kinh doanh - TCT CNC</v>
      </c>
      <c r="Y25" s="366"/>
      <c r="Z25" s="366"/>
    </row>
    <row r="26" spans="1:26" ht="15.75" hidden="1">
      <c r="A26" s="367">
        <f>SUBTOTAL(3,$B$15:B26)</f>
        <v>1</v>
      </c>
      <c r="B26" s="356" t="s">
        <v>421</v>
      </c>
      <c r="C26" s="356" t="s">
        <v>422</v>
      </c>
      <c r="D26" s="356" t="s">
        <v>407</v>
      </c>
      <c r="E26" s="357">
        <v>21</v>
      </c>
      <c r="F26" s="357">
        <v>21</v>
      </c>
      <c r="G26" s="358">
        <v>78568069</v>
      </c>
      <c r="H26" s="359">
        <f t="shared" si="1"/>
        <v>77120245</v>
      </c>
      <c r="I26" s="360"/>
      <c r="J26" s="361"/>
      <c r="K26" s="362"/>
      <c r="L26" s="362"/>
      <c r="M26" s="361">
        <v>1103104</v>
      </c>
      <c r="N26" s="361">
        <v>2413040</v>
      </c>
      <c r="O26" s="361">
        <v>206832</v>
      </c>
      <c r="P26" s="361">
        <v>413664</v>
      </c>
      <c r="Q26" s="361">
        <v>137888</v>
      </c>
      <c r="R26" s="361">
        <v>137888</v>
      </c>
      <c r="S26" s="361">
        <v>275776</v>
      </c>
      <c r="T26" s="363">
        <v>1230000</v>
      </c>
      <c r="U26" s="364">
        <f t="shared" si="2"/>
        <v>83038437</v>
      </c>
      <c r="V26" s="362"/>
      <c r="W26" s="365" t="str">
        <f>+VLOOKUP($B26,[2]Time_S4!$B:$G,6,0)</f>
        <v>Trung tâm Rada</v>
      </c>
      <c r="X26" s="365" t="str">
        <f>IF(W26="Phòng Kinh doanh","Trung tâm Kinh doanh - TCT CNC",+VLOOKUP($B26,[2]Time_S4!$B:$G,5,0))</f>
        <v>Khối 1 - TCT CNC</v>
      </c>
      <c r="Y26" s="366"/>
      <c r="Z26" s="366"/>
    </row>
    <row r="27" spans="1:26" ht="15.75" hidden="1">
      <c r="A27" s="367">
        <f>SUBTOTAL(3,$B$15:B27)</f>
        <v>1</v>
      </c>
      <c r="B27" s="356" t="s">
        <v>423</v>
      </c>
      <c r="C27" s="356" t="s">
        <v>424</v>
      </c>
      <c r="D27" s="356" t="s">
        <v>397</v>
      </c>
      <c r="E27" s="357">
        <v>21</v>
      </c>
      <c r="F27" s="357">
        <v>21</v>
      </c>
      <c r="G27" s="358">
        <v>43954617</v>
      </c>
      <c r="H27" s="359">
        <f t="shared" si="1"/>
        <v>42516172</v>
      </c>
      <c r="I27" s="360"/>
      <c r="J27" s="361"/>
      <c r="K27" s="362"/>
      <c r="L27" s="362"/>
      <c r="M27" s="361">
        <v>1438445</v>
      </c>
      <c r="N27" s="361">
        <v>3146598</v>
      </c>
      <c r="O27" s="361">
        <v>0</v>
      </c>
      <c r="P27" s="361">
        <v>0</v>
      </c>
      <c r="Q27" s="361">
        <v>0</v>
      </c>
      <c r="R27" s="361">
        <v>0</v>
      </c>
      <c r="S27" s="361">
        <v>359611</v>
      </c>
      <c r="T27" s="363">
        <v>1347000</v>
      </c>
      <c r="U27" s="364">
        <f t="shared" si="2"/>
        <v>48807826</v>
      </c>
      <c r="V27" s="362"/>
      <c r="W27" s="365" t="str">
        <f>+VLOOKUP($B27,[2]Time_S4!$B:$G,6,0)</f>
        <v>Phòng Tổng hợp</v>
      </c>
      <c r="X27" s="365" t="str">
        <f>IF(W27="Phòng Kinh doanh","Trung tâm Kinh doanh - TCT CNC",+VLOOKUP($B27,[2]Time_S4!$B:$G,5,0))</f>
        <v>Khối 1 - TCT CNC</v>
      </c>
      <c r="Y27" s="366"/>
      <c r="Z27" s="366"/>
    </row>
    <row r="28" spans="1:26" ht="15.75" hidden="1">
      <c r="A28" s="367">
        <f>SUBTOTAL(3,$B$15:B28)</f>
        <v>1</v>
      </c>
      <c r="B28" s="356" t="s">
        <v>425</v>
      </c>
      <c r="C28" s="356" t="s">
        <v>426</v>
      </c>
      <c r="D28" s="356" t="s">
        <v>397</v>
      </c>
      <c r="E28" s="357">
        <v>21</v>
      </c>
      <c r="F28" s="357">
        <v>21</v>
      </c>
      <c r="G28" s="358">
        <v>25316044</v>
      </c>
      <c r="H28" s="359">
        <f t="shared" si="1"/>
        <v>23896881</v>
      </c>
      <c r="I28" s="360"/>
      <c r="J28" s="361"/>
      <c r="K28" s="362"/>
      <c r="L28" s="362"/>
      <c r="M28" s="361">
        <v>1419163</v>
      </c>
      <c r="N28" s="361">
        <v>3104420</v>
      </c>
      <c r="O28" s="361">
        <v>0</v>
      </c>
      <c r="P28" s="361">
        <v>0</v>
      </c>
      <c r="Q28" s="361">
        <v>0</v>
      </c>
      <c r="R28" s="361">
        <v>0</v>
      </c>
      <c r="S28" s="361">
        <v>354791</v>
      </c>
      <c r="T28" s="363">
        <v>930000</v>
      </c>
      <c r="U28" s="364">
        <f t="shared" si="2"/>
        <v>29705255</v>
      </c>
      <c r="V28" s="362"/>
      <c r="W28" s="365" t="str">
        <f>+VLOOKUP($B28,[2]Time_S4!$B:$G,6,0)</f>
        <v>Văn phòng</v>
      </c>
      <c r="X28" s="365" t="str">
        <f>IF(W28="Phòng Kinh doanh","Trung tâm Kinh doanh - TCT CNC",+VLOOKUP($B28,[2]Time_S4!$B:$G,5,0))</f>
        <v>Khối cơ quan - TCT CNC</v>
      </c>
      <c r="Y28" s="366"/>
      <c r="Z28" s="366"/>
    </row>
    <row r="29" spans="1:26" ht="15.75" hidden="1">
      <c r="A29" s="367">
        <f>SUBTOTAL(3,$B$15:B29)</f>
        <v>1</v>
      </c>
      <c r="B29" s="356" t="s">
        <v>427</v>
      </c>
      <c r="C29" s="356" t="s">
        <v>428</v>
      </c>
      <c r="D29" s="356" t="s">
        <v>407</v>
      </c>
      <c r="E29" s="357">
        <v>21</v>
      </c>
      <c r="F29" s="357">
        <v>21</v>
      </c>
      <c r="G29" s="358">
        <v>33126632</v>
      </c>
      <c r="H29" s="359">
        <f t="shared" si="1"/>
        <v>32001704</v>
      </c>
      <c r="I29" s="360"/>
      <c r="J29" s="361"/>
      <c r="K29" s="362"/>
      <c r="L29" s="362"/>
      <c r="M29" s="361">
        <v>857088</v>
      </c>
      <c r="N29" s="361">
        <v>1874880</v>
      </c>
      <c r="O29" s="361">
        <v>160704</v>
      </c>
      <c r="P29" s="361">
        <v>321408</v>
      </c>
      <c r="Q29" s="361">
        <v>107136</v>
      </c>
      <c r="R29" s="361">
        <v>107136</v>
      </c>
      <c r="S29" s="361">
        <v>214272</v>
      </c>
      <c r="T29" s="363">
        <v>1030000</v>
      </c>
      <c r="U29" s="364">
        <f t="shared" si="2"/>
        <v>36674328</v>
      </c>
      <c r="V29" s="362"/>
      <c r="W29" s="365" t="str">
        <f>+VLOOKUP($B29,[2]Time_S4!$B:$G,6,0)</f>
        <v>Trung tâm dịch vụ sau bán hàng</v>
      </c>
      <c r="X29" s="365" t="str">
        <f>IF(W29="Phòng Kinh doanh","Trung tâm Kinh doanh - TCT CNC",+VLOOKUP($B29,[2]Time_S4!$B:$G,5,0))</f>
        <v>Khối 2 - TCT CNC</v>
      </c>
      <c r="Y29" s="366"/>
      <c r="Z29" s="366"/>
    </row>
    <row r="30" spans="1:26" ht="15.75" hidden="1">
      <c r="A30" s="367">
        <f>SUBTOTAL(3,$B$15:B30)</f>
        <v>1</v>
      </c>
      <c r="B30" s="356" t="s">
        <v>429</v>
      </c>
      <c r="C30" s="356" t="s">
        <v>430</v>
      </c>
      <c r="D30" s="356" t="s">
        <v>400</v>
      </c>
      <c r="E30" s="357">
        <v>21</v>
      </c>
      <c r="F30" s="357">
        <v>21</v>
      </c>
      <c r="G30" s="358">
        <v>35278920</v>
      </c>
      <c r="H30" s="359">
        <f t="shared" si="1"/>
        <v>34039019</v>
      </c>
      <c r="I30" s="360"/>
      <c r="J30" s="361"/>
      <c r="K30" s="362"/>
      <c r="L30" s="362"/>
      <c r="M30" s="361">
        <v>1044127</v>
      </c>
      <c r="N30" s="361">
        <v>2284027</v>
      </c>
      <c r="O30" s="361">
        <v>195774</v>
      </c>
      <c r="P30" s="361">
        <v>391548</v>
      </c>
      <c r="Q30" s="361">
        <v>0</v>
      </c>
      <c r="R30" s="361">
        <v>0</v>
      </c>
      <c r="S30" s="361">
        <v>261032</v>
      </c>
      <c r="T30" s="363">
        <v>1030000</v>
      </c>
      <c r="U30" s="364">
        <f t="shared" si="2"/>
        <v>39245527</v>
      </c>
      <c r="V30" s="362"/>
      <c r="W30" s="365" t="str">
        <f>+VLOOKUP($B30,[2]Time_S4!$B:$G,6,0)</f>
        <v>Phòng Tài chính</v>
      </c>
      <c r="X30" s="365" t="str">
        <f>IF(W30="Phòng Kinh doanh","Trung tâm Kinh doanh - TCT CNC",+VLOOKUP($B30,[2]Time_S4!$B:$G,5,0))</f>
        <v>Khối cơ quan - TCT CNC</v>
      </c>
      <c r="Y30" s="366"/>
      <c r="Z30" s="366"/>
    </row>
    <row r="31" spans="1:26" ht="15.75" hidden="1">
      <c r="A31" s="367">
        <f>SUBTOTAL(3,$B$15:B31)</f>
        <v>1</v>
      </c>
      <c r="B31" s="356" t="s">
        <v>431</v>
      </c>
      <c r="C31" s="356" t="s">
        <v>432</v>
      </c>
      <c r="D31" s="356" t="s">
        <v>407</v>
      </c>
      <c r="E31" s="357">
        <v>21</v>
      </c>
      <c r="F31" s="357">
        <v>21</v>
      </c>
      <c r="G31" s="358">
        <v>9768706</v>
      </c>
      <c r="H31" s="359">
        <f t="shared" si="1"/>
        <v>9055210</v>
      </c>
      <c r="I31" s="360"/>
      <c r="J31" s="361"/>
      <c r="K31" s="362"/>
      <c r="L31" s="362"/>
      <c r="M31" s="361">
        <v>543616</v>
      </c>
      <c r="N31" s="361">
        <v>1189160</v>
      </c>
      <c r="O31" s="361">
        <v>101928</v>
      </c>
      <c r="P31" s="361">
        <v>203856</v>
      </c>
      <c r="Q31" s="361">
        <v>67952</v>
      </c>
      <c r="R31" s="361">
        <v>67952</v>
      </c>
      <c r="S31" s="361">
        <v>135904</v>
      </c>
      <c r="T31" s="363">
        <v>1805000</v>
      </c>
      <c r="U31" s="364">
        <f t="shared" si="2"/>
        <v>13170578</v>
      </c>
      <c r="V31" s="362"/>
      <c r="W31" s="365" t="str">
        <f>+VLOOKUP($B31,[2]Time_S4!$B:$G,6,0)</f>
        <v>Phòng Hành chính</v>
      </c>
      <c r="X31" s="365" t="str">
        <f>IF(W31="Phòng Kinh doanh","Trung tâm Kinh doanh - TCT CNC",+VLOOKUP($B31,[2]Time_S4!$B:$G,5,0))</f>
        <v>Khối cơ quan - TCT CNC</v>
      </c>
      <c r="Y31" s="366"/>
      <c r="Z31" s="366"/>
    </row>
    <row r="32" spans="1:26" ht="15.75" hidden="1">
      <c r="A32" s="367">
        <f>SUBTOTAL(3,$B$15:B32)</f>
        <v>1</v>
      </c>
      <c r="B32" s="356" t="s">
        <v>433</v>
      </c>
      <c r="C32" s="356" t="s">
        <v>434</v>
      </c>
      <c r="D32" s="356" t="s">
        <v>407</v>
      </c>
      <c r="E32" s="357">
        <v>21</v>
      </c>
      <c r="F32" s="357">
        <v>21</v>
      </c>
      <c r="G32" s="358">
        <v>15307587</v>
      </c>
      <c r="H32" s="359">
        <f t="shared" si="1"/>
        <v>14474307</v>
      </c>
      <c r="I32" s="360"/>
      <c r="J32" s="361"/>
      <c r="K32" s="362"/>
      <c r="L32" s="362"/>
      <c r="M32" s="361">
        <v>634880</v>
      </c>
      <c r="N32" s="361">
        <v>1388800</v>
      </c>
      <c r="O32" s="361">
        <v>119040</v>
      </c>
      <c r="P32" s="361">
        <v>238080</v>
      </c>
      <c r="Q32" s="361">
        <v>79360</v>
      </c>
      <c r="R32" s="361">
        <v>79360</v>
      </c>
      <c r="S32" s="361">
        <v>158720</v>
      </c>
      <c r="T32" s="363">
        <v>930000</v>
      </c>
      <c r="U32" s="364">
        <f t="shared" si="2"/>
        <v>18102547</v>
      </c>
      <c r="V32" s="362"/>
      <c r="W32" s="365" t="str">
        <f>+VLOOKUP($B32,[2]Time_S4!$B:$G,6,0)</f>
        <v>Phòng Hành chính</v>
      </c>
      <c r="X32" s="365" t="str">
        <f>IF(W32="Phòng Kinh doanh","Trung tâm Kinh doanh - TCT CNC",+VLOOKUP($B32,[2]Time_S4!$B:$G,5,0))</f>
        <v>Khối cơ quan - TCT CNC</v>
      </c>
      <c r="Y32" s="366"/>
      <c r="Z32" s="366"/>
    </row>
    <row r="33" spans="1:26" ht="15.75" hidden="1">
      <c r="A33" s="367">
        <f>SUBTOTAL(3,$B$15:B33)</f>
        <v>1</v>
      </c>
      <c r="B33" s="356" t="s">
        <v>435</v>
      </c>
      <c r="C33" s="356" t="s">
        <v>436</v>
      </c>
      <c r="D33" s="356" t="s">
        <v>397</v>
      </c>
      <c r="E33" s="357">
        <v>21</v>
      </c>
      <c r="F33" s="357">
        <v>21</v>
      </c>
      <c r="G33" s="358">
        <v>15643427</v>
      </c>
      <c r="H33" s="359">
        <f t="shared" si="1"/>
        <v>14512926</v>
      </c>
      <c r="I33" s="360"/>
      <c r="J33" s="361"/>
      <c r="K33" s="362"/>
      <c r="L33" s="362"/>
      <c r="M33" s="361">
        <v>1130501</v>
      </c>
      <c r="N33" s="361">
        <v>2472971</v>
      </c>
      <c r="O33" s="361">
        <v>0</v>
      </c>
      <c r="P33" s="361">
        <v>0</v>
      </c>
      <c r="Q33" s="361">
        <v>0</v>
      </c>
      <c r="R33" s="361">
        <v>0</v>
      </c>
      <c r="S33" s="361">
        <v>282625</v>
      </c>
      <c r="T33" s="363">
        <v>1805000</v>
      </c>
      <c r="U33" s="364">
        <f t="shared" si="2"/>
        <v>20204023</v>
      </c>
      <c r="V33" s="362"/>
      <c r="W33" s="365" t="str">
        <f>+VLOOKUP($B33,[2]Time_S4!$B:$G,6,0)</f>
        <v>Phòng Hành chính</v>
      </c>
      <c r="X33" s="365" t="str">
        <f>IF(W33="Phòng Kinh doanh","Trung tâm Kinh doanh - TCT CNC",+VLOOKUP($B33,[2]Time_S4!$B:$G,5,0))</f>
        <v>Khối cơ quan - TCT CNC</v>
      </c>
      <c r="Y33" s="366"/>
      <c r="Z33" s="366"/>
    </row>
    <row r="34" spans="1:26" ht="15.75" hidden="1">
      <c r="A34" s="367">
        <f>SUBTOTAL(3,$B$15:B34)</f>
        <v>1</v>
      </c>
      <c r="B34" s="356" t="s">
        <v>437</v>
      </c>
      <c r="C34" s="356" t="s">
        <v>438</v>
      </c>
      <c r="D34" s="356" t="s">
        <v>397</v>
      </c>
      <c r="E34" s="357">
        <v>21</v>
      </c>
      <c r="F34" s="357">
        <v>21</v>
      </c>
      <c r="G34" s="358">
        <v>33475775</v>
      </c>
      <c r="H34" s="359">
        <f t="shared" si="1"/>
        <v>31932124</v>
      </c>
      <c r="I34" s="360"/>
      <c r="J34" s="361"/>
      <c r="K34" s="362"/>
      <c r="L34" s="362"/>
      <c r="M34" s="361">
        <v>1543651</v>
      </c>
      <c r="N34" s="361">
        <v>3376737</v>
      </c>
      <c r="O34" s="361">
        <v>0</v>
      </c>
      <c r="P34" s="361">
        <v>0</v>
      </c>
      <c r="Q34" s="361">
        <v>0</v>
      </c>
      <c r="R34" s="361">
        <v>0</v>
      </c>
      <c r="S34" s="361">
        <v>385913</v>
      </c>
      <c r="T34" s="363">
        <v>1430000</v>
      </c>
      <c r="U34" s="364">
        <f t="shared" si="2"/>
        <v>38668425</v>
      </c>
      <c r="V34" s="362"/>
      <c r="W34" s="365" t="str">
        <f>+VLOOKUP($B34,[2]Time_S4!$B:$G,6,0)</f>
        <v>Phòng Hành chính</v>
      </c>
      <c r="X34" s="365" t="str">
        <f>IF(W34="Phòng Kinh doanh","Trung tâm Kinh doanh - TCT CNC",+VLOOKUP($B34,[2]Time_S4!$B:$G,5,0))</f>
        <v>Khối cơ quan - TCT CNC</v>
      </c>
      <c r="Y34" s="366"/>
      <c r="Z34" s="366"/>
    </row>
    <row r="35" spans="1:26" ht="15.75" hidden="1">
      <c r="A35" s="367">
        <f>SUBTOTAL(3,$B$15:B35)</f>
        <v>1</v>
      </c>
      <c r="B35" s="356" t="s">
        <v>439</v>
      </c>
      <c r="C35" s="356" t="s">
        <v>440</v>
      </c>
      <c r="D35" s="356" t="s">
        <v>397</v>
      </c>
      <c r="E35" s="357">
        <v>21</v>
      </c>
      <c r="F35" s="357">
        <v>21</v>
      </c>
      <c r="G35" s="358">
        <v>37443970</v>
      </c>
      <c r="H35" s="359">
        <f t="shared" si="1"/>
        <v>35944872</v>
      </c>
      <c r="I35" s="360"/>
      <c r="J35" s="361"/>
      <c r="K35" s="362"/>
      <c r="L35" s="362"/>
      <c r="M35" s="361">
        <v>1499098</v>
      </c>
      <c r="N35" s="361">
        <v>3279276</v>
      </c>
      <c r="O35" s="361">
        <v>0</v>
      </c>
      <c r="P35" s="361">
        <v>0</v>
      </c>
      <c r="Q35" s="361">
        <v>0</v>
      </c>
      <c r="R35" s="361">
        <v>0</v>
      </c>
      <c r="S35" s="361">
        <v>374774</v>
      </c>
      <c r="T35" s="363">
        <v>1230000</v>
      </c>
      <c r="U35" s="364">
        <f t="shared" si="2"/>
        <v>42328020</v>
      </c>
      <c r="V35" s="362"/>
      <c r="W35" s="365" t="str">
        <f>+VLOOKUP($B35,[2]Time_S4!$B:$G,6,0)</f>
        <v>Phòng Kinh doanh</v>
      </c>
      <c r="X35" s="365" t="str">
        <f>IF(W35="Phòng Kinh doanh","Trung tâm Kinh doanh - TCT CNC",+VLOOKUP($B35,[2]Time_S4!$B:$G,5,0))</f>
        <v>Trung tâm Kinh doanh - TCT CNC</v>
      </c>
      <c r="Y35" s="366"/>
      <c r="Z35" s="366"/>
    </row>
    <row r="36" spans="1:26" ht="15.75" hidden="1">
      <c r="A36" s="367">
        <f>SUBTOTAL(3,$B$15:B36)</f>
        <v>1</v>
      </c>
      <c r="B36" s="356" t="s">
        <v>441</v>
      </c>
      <c r="C36" s="356" t="s">
        <v>442</v>
      </c>
      <c r="D36" s="356" t="s">
        <v>397</v>
      </c>
      <c r="E36" s="357">
        <v>21</v>
      </c>
      <c r="F36" s="357">
        <v>21</v>
      </c>
      <c r="G36" s="358">
        <v>16655667</v>
      </c>
      <c r="H36" s="359">
        <f t="shared" si="1"/>
        <v>15419398</v>
      </c>
      <c r="I36" s="360"/>
      <c r="J36" s="361"/>
      <c r="K36" s="362"/>
      <c r="L36" s="362"/>
      <c r="M36" s="361">
        <v>1236269</v>
      </c>
      <c r="N36" s="361">
        <v>2704338</v>
      </c>
      <c r="O36" s="361">
        <v>0</v>
      </c>
      <c r="P36" s="361">
        <v>0</v>
      </c>
      <c r="Q36" s="361">
        <v>0</v>
      </c>
      <c r="R36" s="361">
        <v>0</v>
      </c>
      <c r="S36" s="361">
        <v>309067</v>
      </c>
      <c r="T36" s="363">
        <v>1805000</v>
      </c>
      <c r="U36" s="364">
        <f t="shared" si="2"/>
        <v>21474072</v>
      </c>
      <c r="V36" s="362"/>
      <c r="W36" s="365" t="str">
        <f>+VLOOKUP($B36,[2]Time_S4!$B:$G,6,0)</f>
        <v>Phòng Hành chính</v>
      </c>
      <c r="X36" s="365" t="str">
        <f>IF(W36="Phòng Kinh doanh","Trung tâm Kinh doanh - TCT CNC",+VLOOKUP($B36,[2]Time_S4!$B:$G,5,0))</f>
        <v>Khối cơ quan - TCT CNC</v>
      </c>
      <c r="Y36" s="366"/>
      <c r="Z36" s="366"/>
    </row>
    <row r="37" spans="1:26" ht="15.75" hidden="1">
      <c r="A37" s="367">
        <f>SUBTOTAL(3,$B$15:B37)</f>
        <v>1</v>
      </c>
      <c r="B37" s="356" t="s">
        <v>443</v>
      </c>
      <c r="C37" s="356" t="s">
        <v>444</v>
      </c>
      <c r="D37" s="356" t="s">
        <v>397</v>
      </c>
      <c r="E37" s="357">
        <v>21</v>
      </c>
      <c r="F37" s="357">
        <v>21</v>
      </c>
      <c r="G37" s="358">
        <v>16533987</v>
      </c>
      <c r="H37" s="359">
        <f t="shared" si="1"/>
        <v>15307453</v>
      </c>
      <c r="I37" s="360"/>
      <c r="J37" s="361"/>
      <c r="K37" s="362"/>
      <c r="L37" s="362"/>
      <c r="M37" s="361">
        <v>1226534</v>
      </c>
      <c r="N37" s="361">
        <v>2683044</v>
      </c>
      <c r="O37" s="361">
        <v>0</v>
      </c>
      <c r="P37" s="361">
        <v>0</v>
      </c>
      <c r="Q37" s="361">
        <v>0</v>
      </c>
      <c r="R37" s="361">
        <v>0</v>
      </c>
      <c r="S37" s="361">
        <v>306634</v>
      </c>
      <c r="T37" s="363">
        <v>1780000</v>
      </c>
      <c r="U37" s="364">
        <f t="shared" si="2"/>
        <v>21303665</v>
      </c>
      <c r="V37" s="362"/>
      <c r="W37" s="365" t="str">
        <f>+VLOOKUP($B37,[2]Time_S4!$B:$G,6,0)</f>
        <v>Phòng Hành chính</v>
      </c>
      <c r="X37" s="365" t="str">
        <f>IF(W37="Phòng Kinh doanh","Trung tâm Kinh doanh - TCT CNC",+VLOOKUP($B37,[2]Time_S4!$B:$G,5,0))</f>
        <v>Khối cơ quan - TCT CNC</v>
      </c>
      <c r="Y37" s="366"/>
      <c r="Z37" s="366"/>
    </row>
    <row r="38" spans="1:26" ht="15.75" hidden="1">
      <c r="A38" s="367">
        <f>SUBTOTAL(3,$B$15:B38)</f>
        <v>1</v>
      </c>
      <c r="B38" s="356" t="s">
        <v>445</v>
      </c>
      <c r="C38" s="356" t="s">
        <v>446</v>
      </c>
      <c r="D38" s="356" t="s">
        <v>397</v>
      </c>
      <c r="E38" s="357">
        <v>21</v>
      </c>
      <c r="F38" s="357">
        <v>21</v>
      </c>
      <c r="G38" s="358">
        <v>76134097</v>
      </c>
      <c r="H38" s="359">
        <f t="shared" si="1"/>
        <v>74375540</v>
      </c>
      <c r="I38" s="360"/>
      <c r="J38" s="361"/>
      <c r="K38" s="362"/>
      <c r="L38" s="362"/>
      <c r="M38" s="361">
        <v>1758557</v>
      </c>
      <c r="N38" s="361">
        <v>3846843</v>
      </c>
      <c r="O38" s="361">
        <v>0</v>
      </c>
      <c r="P38" s="361">
        <v>0</v>
      </c>
      <c r="Q38" s="361">
        <v>0</v>
      </c>
      <c r="R38" s="361">
        <v>0</v>
      </c>
      <c r="S38" s="361">
        <v>439639</v>
      </c>
      <c r="T38" s="363">
        <v>1847000</v>
      </c>
      <c r="U38" s="364">
        <f t="shared" si="2"/>
        <v>82267579</v>
      </c>
      <c r="V38" s="362"/>
      <c r="W38" s="365" t="str">
        <f>+VLOOKUP($B38,[2]Time_S4!$B:$G,6,0)</f>
        <v>Phòng Tài chính</v>
      </c>
      <c r="X38" s="365" t="str">
        <f>IF(W38="Phòng Kinh doanh","Trung tâm Kinh doanh - TCT CNC",+VLOOKUP($B38,[2]Time_S4!$B:$G,5,0))</f>
        <v>Khối cơ quan - TCT CNC</v>
      </c>
      <c r="Y38" s="366"/>
      <c r="Z38" s="366"/>
    </row>
    <row r="39" spans="1:26" ht="15.75" hidden="1">
      <c r="A39" s="367">
        <f>SUBTOTAL(3,$B$15:B39)</f>
        <v>1</v>
      </c>
      <c r="B39" s="356" t="s">
        <v>447</v>
      </c>
      <c r="C39" s="356" t="s">
        <v>448</v>
      </c>
      <c r="D39" s="356" t="s">
        <v>400</v>
      </c>
      <c r="E39" s="357">
        <v>21</v>
      </c>
      <c r="F39" s="357">
        <v>21</v>
      </c>
      <c r="G39" s="358">
        <v>15643427</v>
      </c>
      <c r="H39" s="359">
        <f t="shared" si="1"/>
        <v>14684870</v>
      </c>
      <c r="I39" s="360"/>
      <c r="J39" s="361"/>
      <c r="K39" s="362"/>
      <c r="L39" s="362"/>
      <c r="M39" s="361">
        <v>807206</v>
      </c>
      <c r="N39" s="361">
        <v>1765764</v>
      </c>
      <c r="O39" s="361">
        <v>151351</v>
      </c>
      <c r="P39" s="361">
        <v>302702</v>
      </c>
      <c r="Q39" s="361">
        <v>0</v>
      </c>
      <c r="R39" s="361">
        <v>0</v>
      </c>
      <c r="S39" s="361">
        <v>201802</v>
      </c>
      <c r="T39" s="363">
        <v>1530000</v>
      </c>
      <c r="U39" s="364">
        <f t="shared" si="2"/>
        <v>19443695</v>
      </c>
      <c r="V39" s="362"/>
      <c r="W39" s="365" t="str">
        <f>+VLOOKUP($B39,[2]Time_S4!$B:$G,6,0)</f>
        <v>Phòng Hành chính</v>
      </c>
      <c r="X39" s="365" t="str">
        <f>IF(W39="Phòng Kinh doanh","Trung tâm Kinh doanh - TCT CNC",+VLOOKUP($B39,[2]Time_S4!$B:$G,5,0))</f>
        <v>Khối cơ quan - TCT CNC</v>
      </c>
      <c r="Y39" s="366"/>
      <c r="Z39" s="366"/>
    </row>
    <row r="40" spans="1:26" ht="15.75" hidden="1">
      <c r="A40" s="367">
        <f>SUBTOTAL(3,$B$15:B40)</f>
        <v>1</v>
      </c>
      <c r="B40" s="356" t="s">
        <v>449</v>
      </c>
      <c r="C40" s="356" t="s">
        <v>450</v>
      </c>
      <c r="D40" s="356" t="s">
        <v>407</v>
      </c>
      <c r="E40" s="357">
        <v>21</v>
      </c>
      <c r="F40" s="357">
        <v>21</v>
      </c>
      <c r="G40" s="358">
        <v>15307587</v>
      </c>
      <c r="H40" s="359">
        <f t="shared" si="1"/>
        <v>14474307</v>
      </c>
      <c r="I40" s="360"/>
      <c r="J40" s="361"/>
      <c r="K40" s="362"/>
      <c r="L40" s="362"/>
      <c r="M40" s="361">
        <v>634880</v>
      </c>
      <c r="N40" s="361">
        <v>1388800</v>
      </c>
      <c r="O40" s="361">
        <v>119040</v>
      </c>
      <c r="P40" s="361">
        <v>238080</v>
      </c>
      <c r="Q40" s="361">
        <v>79360</v>
      </c>
      <c r="R40" s="361">
        <v>79360</v>
      </c>
      <c r="S40" s="361">
        <v>158720</v>
      </c>
      <c r="T40" s="363">
        <v>1047000</v>
      </c>
      <c r="U40" s="364">
        <f t="shared" si="2"/>
        <v>18219547</v>
      </c>
      <c r="V40" s="362"/>
      <c r="W40" s="365" t="str">
        <f>+VLOOKUP($B40,[2]Time_S4!$B:$G,6,0)</f>
        <v>Phòng Tổng hợp</v>
      </c>
      <c r="X40" s="365" t="str">
        <f>IF(W40="Phòng Kinh doanh","Trung tâm Kinh doanh - TCT CNC",+VLOOKUP($B40,[2]Time_S4!$B:$G,5,0))</f>
        <v>Khối 2 - TCT CNC</v>
      </c>
      <c r="Y40" s="366"/>
      <c r="Z40" s="366"/>
    </row>
    <row r="41" spans="1:26" ht="15.75" hidden="1">
      <c r="A41" s="367">
        <f>SUBTOTAL(3,$B$15:B41)</f>
        <v>1</v>
      </c>
      <c r="B41" s="356" t="s">
        <v>451</v>
      </c>
      <c r="C41" s="356" t="s">
        <v>452</v>
      </c>
      <c r="D41" s="356" t="s">
        <v>397</v>
      </c>
      <c r="E41" s="357">
        <v>21</v>
      </c>
      <c r="F41" s="357">
        <v>21</v>
      </c>
      <c r="G41" s="358">
        <v>15643427</v>
      </c>
      <c r="H41" s="359">
        <f t="shared" si="1"/>
        <v>14490556</v>
      </c>
      <c r="I41" s="360"/>
      <c r="J41" s="361"/>
      <c r="K41" s="362"/>
      <c r="L41" s="362"/>
      <c r="M41" s="361">
        <v>1152871</v>
      </c>
      <c r="N41" s="361">
        <v>2521906</v>
      </c>
      <c r="O41" s="361">
        <v>0</v>
      </c>
      <c r="P41" s="361">
        <v>0</v>
      </c>
      <c r="Q41" s="361">
        <v>0</v>
      </c>
      <c r="R41" s="361">
        <v>0</v>
      </c>
      <c r="S41" s="361">
        <v>288218</v>
      </c>
      <c r="T41" s="363">
        <v>1730000</v>
      </c>
      <c r="U41" s="364">
        <f t="shared" si="2"/>
        <v>20183551</v>
      </c>
      <c r="V41" s="362"/>
      <c r="W41" s="365" t="str">
        <f>+VLOOKUP($B41,[2]Time_S4!$B:$G,6,0)</f>
        <v>Phòng Hành chính</v>
      </c>
      <c r="X41" s="365" t="str">
        <f>IF(W41="Phòng Kinh doanh","Trung tâm Kinh doanh - TCT CNC",+VLOOKUP($B41,[2]Time_S4!$B:$G,5,0))</f>
        <v>Khối cơ quan - TCT CNC</v>
      </c>
      <c r="Y41" s="366"/>
      <c r="Z41" s="366"/>
    </row>
    <row r="42" spans="1:26" ht="15.75" hidden="1">
      <c r="A42" s="367">
        <f>SUBTOTAL(3,$B$15:B42)</f>
        <v>1</v>
      </c>
      <c r="B42" s="356" t="s">
        <v>453</v>
      </c>
      <c r="C42" s="356" t="s">
        <v>454</v>
      </c>
      <c r="D42" s="356" t="s">
        <v>400</v>
      </c>
      <c r="E42" s="357">
        <v>21</v>
      </c>
      <c r="F42" s="357">
        <v>21</v>
      </c>
      <c r="G42" s="358">
        <v>32765639</v>
      </c>
      <c r="H42" s="359">
        <f t="shared" si="1"/>
        <v>31647848</v>
      </c>
      <c r="I42" s="360"/>
      <c r="J42" s="361"/>
      <c r="K42" s="362"/>
      <c r="L42" s="362"/>
      <c r="M42" s="361">
        <v>941298</v>
      </c>
      <c r="N42" s="361">
        <v>2059089</v>
      </c>
      <c r="O42" s="361">
        <v>176493</v>
      </c>
      <c r="P42" s="361">
        <v>352987</v>
      </c>
      <c r="Q42" s="361">
        <v>0</v>
      </c>
      <c r="R42" s="361">
        <v>0</v>
      </c>
      <c r="S42" s="361">
        <v>235324</v>
      </c>
      <c r="T42" s="363">
        <v>2166000</v>
      </c>
      <c r="U42" s="364">
        <f t="shared" si="2"/>
        <v>37579039</v>
      </c>
      <c r="V42" s="362"/>
      <c r="W42" s="365" t="str">
        <f>+VLOOKUP($B42,[2]Time_S4!$B:$G,6,0)</f>
        <v>Phòng Hành chính</v>
      </c>
      <c r="X42" s="365" t="str">
        <f>IF(W42="Phòng Kinh doanh","Trung tâm Kinh doanh - TCT CNC",+VLOOKUP($B42,[2]Time_S4!$B:$G,5,0))</f>
        <v>Khối cơ quan - TCT CNC</v>
      </c>
      <c r="Y42" s="366"/>
      <c r="Z42" s="366"/>
    </row>
    <row r="43" spans="1:26" ht="15.75" hidden="1">
      <c r="A43" s="367">
        <f>SUBTOTAL(3,$B$15:B43)</f>
        <v>1</v>
      </c>
      <c r="B43" s="356" t="s">
        <v>455</v>
      </c>
      <c r="C43" s="356" t="s">
        <v>456</v>
      </c>
      <c r="D43" s="356" t="s">
        <v>407</v>
      </c>
      <c r="E43" s="357">
        <v>21</v>
      </c>
      <c r="F43" s="357">
        <v>21</v>
      </c>
      <c r="G43" s="358">
        <v>11808030</v>
      </c>
      <c r="H43" s="359">
        <f t="shared" si="1"/>
        <v>11058078</v>
      </c>
      <c r="I43" s="360"/>
      <c r="J43" s="361"/>
      <c r="K43" s="362"/>
      <c r="L43" s="362"/>
      <c r="M43" s="361">
        <v>571392</v>
      </c>
      <c r="N43" s="361">
        <v>1249920</v>
      </c>
      <c r="O43" s="361">
        <v>107136</v>
      </c>
      <c r="P43" s="361">
        <v>214272</v>
      </c>
      <c r="Q43" s="361">
        <v>71424</v>
      </c>
      <c r="R43" s="361">
        <v>71424</v>
      </c>
      <c r="S43" s="361">
        <v>142848</v>
      </c>
      <c r="T43" s="363">
        <v>1047000</v>
      </c>
      <c r="U43" s="364">
        <f t="shared" si="2"/>
        <v>14533494</v>
      </c>
      <c r="V43" s="362"/>
      <c r="W43" s="365" t="str">
        <f>+VLOOKUP($B43,[2]Time_S4!$B:$G,6,0)</f>
        <v>Phòng Hành chính</v>
      </c>
      <c r="X43" s="365" t="str">
        <f>IF(W43="Phòng Kinh doanh","Trung tâm Kinh doanh - TCT CNC",+VLOOKUP($B43,[2]Time_S4!$B:$G,5,0))</f>
        <v>Khối cơ quan - TCT CNC</v>
      </c>
      <c r="Y43" s="366"/>
      <c r="Z43" s="366"/>
    </row>
    <row r="44" spans="1:26" ht="15.75" hidden="1">
      <c r="A44" s="367">
        <f>SUBTOTAL(3,$B$15:B44)</f>
        <v>1</v>
      </c>
      <c r="B44" s="356" t="s">
        <v>457</v>
      </c>
      <c r="C44" s="356" t="s">
        <v>458</v>
      </c>
      <c r="D44" s="356" t="s">
        <v>397</v>
      </c>
      <c r="E44" s="357">
        <v>21</v>
      </c>
      <c r="F44" s="357">
        <v>21</v>
      </c>
      <c r="G44" s="358">
        <v>27552070</v>
      </c>
      <c r="H44" s="359">
        <f t="shared" si="1"/>
        <v>26297583</v>
      </c>
      <c r="I44" s="360"/>
      <c r="J44" s="361"/>
      <c r="K44" s="362"/>
      <c r="L44" s="362"/>
      <c r="M44" s="361">
        <v>1254487</v>
      </c>
      <c r="N44" s="361">
        <v>2744191</v>
      </c>
      <c r="O44" s="361">
        <v>0</v>
      </c>
      <c r="P44" s="361">
        <v>0</v>
      </c>
      <c r="Q44" s="361">
        <v>0</v>
      </c>
      <c r="R44" s="361">
        <v>0</v>
      </c>
      <c r="S44" s="361">
        <v>313622</v>
      </c>
      <c r="T44" s="363">
        <v>930000</v>
      </c>
      <c r="U44" s="364">
        <f t="shared" si="2"/>
        <v>31539883</v>
      </c>
      <c r="V44" s="362"/>
      <c r="W44" s="365" t="str">
        <f>+VLOOKUP($B44,[2]Time_S4!$B:$G,6,0)</f>
        <v>Phòng Hành chính</v>
      </c>
      <c r="X44" s="365" t="str">
        <f>IF(W44="Phòng Kinh doanh","Trung tâm Kinh doanh - TCT CNC",+VLOOKUP($B44,[2]Time_S4!$B:$G,5,0))</f>
        <v>Khối cơ quan - TCT CNC</v>
      </c>
      <c r="Y44" s="366"/>
      <c r="Z44" s="366"/>
    </row>
    <row r="45" spans="1:26" ht="15.75" hidden="1">
      <c r="A45" s="367">
        <f>SUBTOTAL(3,$B$15:B45)</f>
        <v>1</v>
      </c>
      <c r="B45" s="356" t="s">
        <v>459</v>
      </c>
      <c r="C45" s="356" t="s">
        <v>460</v>
      </c>
      <c r="D45" s="356" t="s">
        <v>397</v>
      </c>
      <c r="E45" s="357">
        <v>21</v>
      </c>
      <c r="F45" s="357">
        <v>21</v>
      </c>
      <c r="G45" s="358">
        <v>16036177</v>
      </c>
      <c r="H45" s="359">
        <f t="shared" si="1"/>
        <v>14862901</v>
      </c>
      <c r="I45" s="360"/>
      <c r="J45" s="361"/>
      <c r="K45" s="362"/>
      <c r="L45" s="362"/>
      <c r="M45" s="361">
        <v>1173276</v>
      </c>
      <c r="N45" s="361">
        <v>2566541</v>
      </c>
      <c r="O45" s="361">
        <v>0</v>
      </c>
      <c r="P45" s="361">
        <v>0</v>
      </c>
      <c r="Q45" s="361">
        <v>0</v>
      </c>
      <c r="R45" s="361">
        <v>0</v>
      </c>
      <c r="S45" s="361">
        <v>293319</v>
      </c>
      <c r="T45" s="363">
        <v>1730000</v>
      </c>
      <c r="U45" s="364">
        <f t="shared" si="2"/>
        <v>20626037</v>
      </c>
      <c r="V45" s="362"/>
      <c r="W45" s="365" t="str">
        <f>+VLOOKUP($B45,[2]Time_S4!$B:$G,6,0)</f>
        <v>Phòng Hành chính</v>
      </c>
      <c r="X45" s="365" t="str">
        <f>IF(W45="Phòng Kinh doanh","Trung tâm Kinh doanh - TCT CNC",+VLOOKUP($B45,[2]Time_S4!$B:$G,5,0))</f>
        <v>Khối cơ quan - TCT CNC</v>
      </c>
      <c r="Y45" s="366"/>
      <c r="Z45" s="366"/>
    </row>
    <row r="46" spans="1:26" ht="15.75" hidden="1">
      <c r="A46" s="367">
        <f>SUBTOTAL(3,$B$15:B46)</f>
        <v>1</v>
      </c>
      <c r="B46" s="356" t="s">
        <v>461</v>
      </c>
      <c r="C46" s="356" t="s">
        <v>462</v>
      </c>
      <c r="D46" s="356" t="s">
        <v>410</v>
      </c>
      <c r="E46" s="357">
        <v>21</v>
      </c>
      <c r="F46" s="357">
        <v>21</v>
      </c>
      <c r="G46" s="358">
        <v>75339182</v>
      </c>
      <c r="H46" s="359">
        <f t="shared" si="1"/>
        <v>73189377</v>
      </c>
      <c r="I46" s="360"/>
      <c r="J46" s="361"/>
      <c r="K46" s="362"/>
      <c r="L46" s="362"/>
      <c r="M46" s="361">
        <v>2149805</v>
      </c>
      <c r="N46" s="361">
        <v>4702698</v>
      </c>
      <c r="O46" s="361">
        <v>0</v>
      </c>
      <c r="P46" s="361">
        <v>0</v>
      </c>
      <c r="Q46" s="361">
        <v>0</v>
      </c>
      <c r="R46" s="361">
        <v>0</v>
      </c>
      <c r="S46" s="361">
        <v>537451</v>
      </c>
      <c r="T46" s="363">
        <v>1730000</v>
      </c>
      <c r="U46" s="364">
        <f t="shared" si="2"/>
        <v>82309331</v>
      </c>
      <c r="V46" s="362"/>
      <c r="W46" s="365" t="str">
        <f>+VLOOKUP($B46,[2]Time_S4!$B:$G,6,0)</f>
        <v>Phòng Chính trị</v>
      </c>
      <c r="X46" s="365" t="str">
        <f>IF(W46="Phòng Kinh doanh","Trung tâm Kinh doanh - TCT CNC",+VLOOKUP($B46,[2]Time_S4!$B:$G,5,0))</f>
        <v>Khối cơ quan - TCT CNC</v>
      </c>
      <c r="Y46" s="366"/>
      <c r="Z46" s="366"/>
    </row>
    <row r="47" spans="1:26" ht="15.75" hidden="1">
      <c r="A47" s="367">
        <f>SUBTOTAL(3,$B$15:B47)</f>
        <v>1</v>
      </c>
      <c r="B47" s="356" t="s">
        <v>463</v>
      </c>
      <c r="C47" s="356" t="s">
        <v>464</v>
      </c>
      <c r="D47" s="356" t="s">
        <v>407</v>
      </c>
      <c r="E47" s="357">
        <v>21</v>
      </c>
      <c r="F47" s="357">
        <v>21</v>
      </c>
      <c r="G47" s="358">
        <v>27847820</v>
      </c>
      <c r="H47" s="359">
        <f t="shared" si="1"/>
        <v>26832260</v>
      </c>
      <c r="I47" s="360"/>
      <c r="J47" s="361"/>
      <c r="K47" s="362"/>
      <c r="L47" s="362"/>
      <c r="M47" s="361">
        <v>773760</v>
      </c>
      <c r="N47" s="361">
        <v>1692600</v>
      </c>
      <c r="O47" s="361">
        <v>145080</v>
      </c>
      <c r="P47" s="361">
        <v>290160</v>
      </c>
      <c r="Q47" s="361">
        <v>96720</v>
      </c>
      <c r="R47" s="361">
        <v>96720</v>
      </c>
      <c r="S47" s="361">
        <v>193440</v>
      </c>
      <c r="T47" s="363">
        <v>1047000</v>
      </c>
      <c r="U47" s="364">
        <f t="shared" si="2"/>
        <v>31167740</v>
      </c>
      <c r="V47" s="362"/>
      <c r="W47" s="365" t="str">
        <f>+VLOOKUP($B47,[2]Time_S4!$B:$G,6,0)</f>
        <v>Phòng Tài chính</v>
      </c>
      <c r="X47" s="365" t="str">
        <f>IF(W47="Phòng Kinh doanh","Trung tâm Kinh doanh - TCT CNC",+VLOOKUP($B47,[2]Time_S4!$B:$G,5,0))</f>
        <v>Khối cơ quan - TCT CNC</v>
      </c>
      <c r="Y47" s="366"/>
      <c r="Z47" s="366"/>
    </row>
    <row r="48" spans="1:26" ht="15.75" hidden="1">
      <c r="A48" s="367">
        <f>SUBTOTAL(3,$B$15:B48)</f>
        <v>1</v>
      </c>
      <c r="B48" s="356" t="s">
        <v>465</v>
      </c>
      <c r="C48" s="356" t="s">
        <v>466</v>
      </c>
      <c r="D48" s="356" t="s">
        <v>400</v>
      </c>
      <c r="E48" s="357">
        <v>21</v>
      </c>
      <c r="F48" s="357">
        <v>21</v>
      </c>
      <c r="G48" s="358">
        <v>28143570</v>
      </c>
      <c r="H48" s="359">
        <f t="shared" si="1"/>
        <v>27067994</v>
      </c>
      <c r="I48" s="360"/>
      <c r="J48" s="361"/>
      <c r="K48" s="362"/>
      <c r="L48" s="362"/>
      <c r="M48" s="361">
        <v>905748</v>
      </c>
      <c r="N48" s="361">
        <v>1981325</v>
      </c>
      <c r="O48" s="361">
        <v>169828</v>
      </c>
      <c r="P48" s="361">
        <v>339656</v>
      </c>
      <c r="Q48" s="361">
        <v>0</v>
      </c>
      <c r="R48" s="361">
        <v>0</v>
      </c>
      <c r="S48" s="361">
        <v>226437</v>
      </c>
      <c r="T48" s="363">
        <v>1047000</v>
      </c>
      <c r="U48" s="364">
        <f t="shared" si="2"/>
        <v>31737988</v>
      </c>
      <c r="V48" s="362"/>
      <c r="W48" s="365" t="str">
        <f>+VLOOKUP($B48,[2]Time_S4!$B:$G,6,0)</f>
        <v>Phòng Tài chính</v>
      </c>
      <c r="X48" s="365" t="str">
        <f>IF(W48="Phòng Kinh doanh","Trung tâm Kinh doanh - TCT CNC",+VLOOKUP($B48,[2]Time_S4!$B:$G,5,0))</f>
        <v>Khối cơ quan - TCT CNC</v>
      </c>
      <c r="Y48" s="366"/>
      <c r="Z48" s="366"/>
    </row>
    <row r="49" spans="1:26" ht="15.75" hidden="1">
      <c r="A49" s="367">
        <f>SUBTOTAL(3,$B$15:B49)</f>
        <v>1</v>
      </c>
      <c r="B49" s="356" t="s">
        <v>467</v>
      </c>
      <c r="C49" s="356" t="s">
        <v>468</v>
      </c>
      <c r="D49" s="356" t="s">
        <v>407</v>
      </c>
      <c r="E49" s="357">
        <v>21</v>
      </c>
      <c r="F49" s="357">
        <v>21</v>
      </c>
      <c r="G49" s="358">
        <v>27847820</v>
      </c>
      <c r="H49" s="359">
        <f t="shared" si="1"/>
        <v>26832260</v>
      </c>
      <c r="I49" s="360"/>
      <c r="J49" s="361"/>
      <c r="K49" s="362"/>
      <c r="L49" s="362"/>
      <c r="M49" s="361">
        <v>773760</v>
      </c>
      <c r="N49" s="361">
        <v>1692600</v>
      </c>
      <c r="O49" s="361">
        <v>145080</v>
      </c>
      <c r="P49" s="361">
        <v>290160</v>
      </c>
      <c r="Q49" s="361">
        <v>96720</v>
      </c>
      <c r="R49" s="361">
        <v>96720</v>
      </c>
      <c r="S49" s="361">
        <v>193440</v>
      </c>
      <c r="T49" s="363">
        <v>1047000</v>
      </c>
      <c r="U49" s="364">
        <f t="shared" si="2"/>
        <v>31167740</v>
      </c>
      <c r="V49" s="362"/>
      <c r="W49" s="365" t="str">
        <f>+VLOOKUP($B49,[2]Time_S4!$B:$G,6,0)</f>
        <v>Phòng Tài chính</v>
      </c>
      <c r="X49" s="365" t="str">
        <f>IF(W49="Phòng Kinh doanh","Trung tâm Kinh doanh - TCT CNC",+VLOOKUP($B49,[2]Time_S4!$B:$G,5,0))</f>
        <v>Khối cơ quan - TCT CNC</v>
      </c>
      <c r="Y49" s="366"/>
      <c r="Z49" s="366"/>
    </row>
    <row r="50" spans="1:26" ht="15.75" hidden="1">
      <c r="A50" s="367">
        <f>SUBTOTAL(3,$B$15:B50)</f>
        <v>1</v>
      </c>
      <c r="B50" s="356" t="s">
        <v>469</v>
      </c>
      <c r="C50" s="356" t="s">
        <v>470</v>
      </c>
      <c r="D50" s="356" t="s">
        <v>407</v>
      </c>
      <c r="E50" s="357">
        <v>21</v>
      </c>
      <c r="F50" s="357">
        <v>21</v>
      </c>
      <c r="G50" s="358">
        <v>20790517</v>
      </c>
      <c r="H50" s="359">
        <f t="shared" si="1"/>
        <v>19873909</v>
      </c>
      <c r="I50" s="360"/>
      <c r="J50" s="361"/>
      <c r="K50" s="362"/>
      <c r="L50" s="362"/>
      <c r="M50" s="361">
        <v>698368</v>
      </c>
      <c r="N50" s="361">
        <v>1527680</v>
      </c>
      <c r="O50" s="361">
        <v>130944</v>
      </c>
      <c r="P50" s="361">
        <v>261888</v>
      </c>
      <c r="Q50" s="361">
        <v>87296</v>
      </c>
      <c r="R50" s="361">
        <v>87296</v>
      </c>
      <c r="S50" s="361">
        <v>174592</v>
      </c>
      <c r="T50" s="363">
        <v>1047000</v>
      </c>
      <c r="U50" s="364">
        <f t="shared" si="2"/>
        <v>23888973</v>
      </c>
      <c r="V50" s="362"/>
      <c r="W50" s="365" t="str">
        <f>+VLOOKUP($B50,[2]Time_S4!$B:$G,6,0)</f>
        <v>Phòng Tổng hợp</v>
      </c>
      <c r="X50" s="365" t="str">
        <f>IF(W50="Phòng Kinh doanh","Trung tâm Kinh doanh - TCT CNC",+VLOOKUP($B50,[2]Time_S4!$B:$G,5,0))</f>
        <v>Khối 3 - TCT CNC</v>
      </c>
      <c r="Y50" s="366"/>
      <c r="Z50" s="366"/>
    </row>
    <row r="51" spans="1:26" ht="15.75" hidden="1">
      <c r="A51" s="367">
        <f>SUBTOTAL(3,$B$15:B51)</f>
        <v>1</v>
      </c>
      <c r="B51" s="356" t="s">
        <v>471</v>
      </c>
      <c r="C51" s="356" t="s">
        <v>472</v>
      </c>
      <c r="D51" s="356" t="s">
        <v>400</v>
      </c>
      <c r="E51" s="357">
        <v>21</v>
      </c>
      <c r="F51" s="357">
        <v>21</v>
      </c>
      <c r="G51" s="358">
        <v>33829476</v>
      </c>
      <c r="H51" s="359">
        <f t="shared" si="1"/>
        <v>32753900</v>
      </c>
      <c r="I51" s="360"/>
      <c r="J51" s="361"/>
      <c r="K51" s="362"/>
      <c r="L51" s="362"/>
      <c r="M51" s="361">
        <v>905748</v>
      </c>
      <c r="N51" s="361">
        <v>1981325</v>
      </c>
      <c r="O51" s="361">
        <v>169828</v>
      </c>
      <c r="P51" s="361">
        <v>339656</v>
      </c>
      <c r="Q51" s="361">
        <v>0</v>
      </c>
      <c r="R51" s="361">
        <v>0</v>
      </c>
      <c r="S51" s="361">
        <v>226437</v>
      </c>
      <c r="T51" s="363">
        <v>1030000</v>
      </c>
      <c r="U51" s="364">
        <f t="shared" si="2"/>
        <v>37406894</v>
      </c>
      <c r="V51" s="362"/>
      <c r="W51" s="365" t="str">
        <f>+VLOOKUP($B51,[2]Time_S4!$B:$G,6,0)</f>
        <v>Trung tâm dịch vụ sau bán hàng</v>
      </c>
      <c r="X51" s="365" t="str">
        <f>IF(W51="Phòng Kinh doanh","Trung tâm Kinh doanh - TCT CNC",+VLOOKUP($B51,[2]Time_S4!$B:$G,5,0))</f>
        <v>Khối 2 - TCT CNC</v>
      </c>
      <c r="Y51" s="366"/>
      <c r="Z51" s="366"/>
    </row>
    <row r="52" spans="1:26" ht="15.75" hidden="1">
      <c r="A52" s="367">
        <f>SUBTOTAL(3,$B$15:B52)</f>
        <v>1</v>
      </c>
      <c r="B52" s="356" t="s">
        <v>473</v>
      </c>
      <c r="C52" s="356" t="s">
        <v>474</v>
      </c>
      <c r="D52" s="356" t="s">
        <v>397</v>
      </c>
      <c r="E52" s="357">
        <v>21</v>
      </c>
      <c r="F52" s="357">
        <v>21</v>
      </c>
      <c r="G52" s="358">
        <v>42467798</v>
      </c>
      <c r="H52" s="359">
        <f t="shared" si="1"/>
        <v>40955316</v>
      </c>
      <c r="I52" s="360"/>
      <c r="J52" s="361">
        <v>0</v>
      </c>
      <c r="K52" s="362"/>
      <c r="L52" s="362">
        <v>0</v>
      </c>
      <c r="M52" s="361">
        <v>1512482</v>
      </c>
      <c r="N52" s="361">
        <v>3308555</v>
      </c>
      <c r="O52" s="361">
        <v>0</v>
      </c>
      <c r="P52" s="361">
        <v>0</v>
      </c>
      <c r="Q52" s="361">
        <v>0</v>
      </c>
      <c r="R52" s="361">
        <v>0</v>
      </c>
      <c r="S52" s="361">
        <v>378121</v>
      </c>
      <c r="T52" s="363">
        <v>1347000</v>
      </c>
      <c r="U52" s="364">
        <f t="shared" si="2"/>
        <v>47501474</v>
      </c>
      <c r="V52" s="362"/>
      <c r="W52" s="365" t="str">
        <f>+VLOOKUP($B52,[2]Time_S4!$B:$G,6,0)</f>
        <v>Phòng Thương hiệu và truyền thông</v>
      </c>
      <c r="X52" s="365" t="str">
        <f>IF(W52="Phòng Kinh doanh","Trung tâm Kinh doanh - TCT CNC",+VLOOKUP($B52,[2]Time_S4!$B:$G,5,0))</f>
        <v>Trung tâm Kinh doanh - TCT CNC</v>
      </c>
      <c r="Y52" s="366"/>
      <c r="Z52" s="366"/>
    </row>
    <row r="53" spans="1:26" ht="15.75" hidden="1">
      <c r="A53" s="367">
        <f>SUBTOTAL(3,$B$15:B53)</f>
        <v>1</v>
      </c>
      <c r="B53" s="356" t="s">
        <v>475</v>
      </c>
      <c r="C53" s="356" t="s">
        <v>476</v>
      </c>
      <c r="D53" s="356" t="s">
        <v>410</v>
      </c>
      <c r="E53" s="357">
        <v>21</v>
      </c>
      <c r="F53" s="357">
        <v>21</v>
      </c>
      <c r="G53" s="358">
        <v>100964258</v>
      </c>
      <c r="H53" s="359">
        <f t="shared" si="1"/>
        <v>99365383</v>
      </c>
      <c r="I53" s="360"/>
      <c r="J53" s="361">
        <v>0</v>
      </c>
      <c r="K53" s="362"/>
      <c r="L53" s="362">
        <v>0</v>
      </c>
      <c r="M53" s="361">
        <v>1598875</v>
      </c>
      <c r="N53" s="361">
        <v>3497540</v>
      </c>
      <c r="O53" s="361">
        <v>0</v>
      </c>
      <c r="P53" s="361">
        <v>0</v>
      </c>
      <c r="Q53" s="361">
        <v>0</v>
      </c>
      <c r="R53" s="361">
        <v>0</v>
      </c>
      <c r="S53" s="361">
        <v>399719</v>
      </c>
      <c r="T53" s="363">
        <v>2730000</v>
      </c>
      <c r="U53" s="364">
        <f t="shared" si="2"/>
        <v>107591517</v>
      </c>
      <c r="V53" s="362"/>
      <c r="W53" s="365" t="str">
        <f>+VLOOKUP($B53,[2]Time_S4!$B:$G,6,0)</f>
        <v>Ban Giám đốc</v>
      </c>
      <c r="X53" s="365" t="str">
        <f>IF(W53="Phòng Kinh doanh","Trung tâm Kinh doanh - TCT CNC",+VLOOKUP($B53,[2]Time_S4!$B:$G,5,0))</f>
        <v>Khối 3 - TCT CNC</v>
      </c>
      <c r="Y53" s="366"/>
      <c r="Z53" s="366"/>
    </row>
    <row r="54" spans="1:26" ht="15.75" hidden="1">
      <c r="A54" s="367">
        <f>SUBTOTAL(3,$B$15:B54)</f>
        <v>1</v>
      </c>
      <c r="B54" s="356" t="s">
        <v>477</v>
      </c>
      <c r="C54" s="356" t="s">
        <v>478</v>
      </c>
      <c r="D54" s="356" t="s">
        <v>397</v>
      </c>
      <c r="E54" s="357">
        <v>21</v>
      </c>
      <c r="F54" s="357">
        <v>21</v>
      </c>
      <c r="G54" s="358">
        <v>31091030</v>
      </c>
      <c r="H54" s="359">
        <f t="shared" si="1"/>
        <v>29696764</v>
      </c>
      <c r="I54" s="360"/>
      <c r="J54" s="361">
        <v>0</v>
      </c>
      <c r="K54" s="362"/>
      <c r="L54" s="362">
        <v>0</v>
      </c>
      <c r="M54" s="361">
        <v>1394266</v>
      </c>
      <c r="N54" s="361">
        <v>3049956</v>
      </c>
      <c r="O54" s="361">
        <v>0</v>
      </c>
      <c r="P54" s="361">
        <v>0</v>
      </c>
      <c r="Q54" s="361">
        <v>0</v>
      </c>
      <c r="R54" s="361">
        <v>0</v>
      </c>
      <c r="S54" s="361">
        <v>348566</v>
      </c>
      <c r="T54" s="363">
        <v>1381000</v>
      </c>
      <c r="U54" s="364">
        <f t="shared" si="2"/>
        <v>35870552</v>
      </c>
      <c r="V54" s="362"/>
      <c r="W54" s="365" t="str">
        <f>+VLOOKUP($B54,[2]Time_S4!$B:$G,6,0)</f>
        <v>Văn phòng</v>
      </c>
      <c r="X54" s="365" t="str">
        <f>IF(W54="Phòng Kinh doanh","Trung tâm Kinh doanh - TCT CNC",+VLOOKUP($B54,[2]Time_S4!$B:$G,5,0))</f>
        <v>Khối cơ quan - TCT CNC</v>
      </c>
      <c r="Y54" s="366"/>
      <c r="Z54" s="366"/>
    </row>
    <row r="55" spans="1:26" ht="15.75" hidden="1">
      <c r="A55" s="367">
        <f>SUBTOTAL(3,$B$15:B55)</f>
        <v>1</v>
      </c>
      <c r="B55" s="356" t="s">
        <v>479</v>
      </c>
      <c r="C55" s="356" t="s">
        <v>480</v>
      </c>
      <c r="D55" s="356" t="s">
        <v>410</v>
      </c>
      <c r="E55" s="357">
        <v>21</v>
      </c>
      <c r="F55" s="357">
        <v>21</v>
      </c>
      <c r="G55" s="358">
        <v>72242477</v>
      </c>
      <c r="H55" s="359">
        <f t="shared" si="1"/>
        <v>70385453</v>
      </c>
      <c r="I55" s="360"/>
      <c r="J55" s="361"/>
      <c r="K55" s="362"/>
      <c r="L55" s="362"/>
      <c r="M55" s="361">
        <v>1857024</v>
      </c>
      <c r="N55" s="361">
        <v>4062240</v>
      </c>
      <c r="O55" s="361">
        <v>0</v>
      </c>
      <c r="P55" s="361">
        <v>0</v>
      </c>
      <c r="Q55" s="361">
        <v>0</v>
      </c>
      <c r="R55" s="361">
        <v>0</v>
      </c>
      <c r="S55" s="361">
        <v>464256</v>
      </c>
      <c r="T55" s="363">
        <v>2432000</v>
      </c>
      <c r="U55" s="364">
        <f t="shared" si="2"/>
        <v>79200973</v>
      </c>
      <c r="V55" s="362"/>
      <c r="W55" s="365" t="str">
        <f>+VLOOKUP($B55,[2]Time_S4!$B:$G,6,0)</f>
        <v>Văn phòng</v>
      </c>
      <c r="X55" s="365" t="str">
        <f>IF(W55="Phòng Kinh doanh","Trung tâm Kinh doanh - TCT CNC",+VLOOKUP($B55,[2]Time_S4!$B:$G,5,0))</f>
        <v>Khối cơ quan - TCT CNC</v>
      </c>
      <c r="Y55" s="366"/>
      <c r="Z55" s="366"/>
    </row>
    <row r="56" spans="1:26" ht="15.75" hidden="1">
      <c r="A56" s="367">
        <f>SUBTOTAL(3,$B$15:B56)</f>
        <v>1</v>
      </c>
      <c r="B56" s="356" t="s">
        <v>481</v>
      </c>
      <c r="C56" s="356" t="s">
        <v>482</v>
      </c>
      <c r="D56" s="356" t="s">
        <v>397</v>
      </c>
      <c r="E56" s="357">
        <v>21</v>
      </c>
      <c r="F56" s="357">
        <v>21</v>
      </c>
      <c r="G56" s="358">
        <v>16076467</v>
      </c>
      <c r="H56" s="359">
        <f t="shared" si="1"/>
        <v>14859667</v>
      </c>
      <c r="I56" s="360"/>
      <c r="J56" s="361"/>
      <c r="K56" s="362"/>
      <c r="L56" s="362"/>
      <c r="M56" s="361">
        <v>1216800</v>
      </c>
      <c r="N56" s="361">
        <v>2661750</v>
      </c>
      <c r="O56" s="361">
        <v>0</v>
      </c>
      <c r="P56" s="361">
        <v>0</v>
      </c>
      <c r="Q56" s="361">
        <v>0</v>
      </c>
      <c r="R56" s="361">
        <v>0</v>
      </c>
      <c r="S56" s="361">
        <v>304200</v>
      </c>
      <c r="T56" s="363">
        <v>930000</v>
      </c>
      <c r="U56" s="364">
        <f t="shared" si="2"/>
        <v>19972417</v>
      </c>
      <c r="V56" s="362"/>
      <c r="W56" s="365" t="str">
        <f>+VLOOKUP($B56,[2]Time_S4!$B:$G,6,0)</f>
        <v>Phòng Hành chính</v>
      </c>
      <c r="X56" s="365" t="str">
        <f>IF(W56="Phòng Kinh doanh","Trung tâm Kinh doanh - TCT CNC",+VLOOKUP($B56,[2]Time_S4!$B:$G,5,0))</f>
        <v>Khối cơ quan - TCT CNC</v>
      </c>
      <c r="Y56" s="366"/>
      <c r="Z56" s="366"/>
    </row>
    <row r="57" spans="1:26" ht="15.75" hidden="1">
      <c r="A57" s="367">
        <f>SUBTOTAL(3,$B$15:B57)</f>
        <v>1</v>
      </c>
      <c r="B57" s="356" t="s">
        <v>483</v>
      </c>
      <c r="C57" s="356" t="s">
        <v>484</v>
      </c>
      <c r="D57" s="356" t="s">
        <v>397</v>
      </c>
      <c r="E57" s="357">
        <v>21</v>
      </c>
      <c r="F57" s="357">
        <v>0</v>
      </c>
      <c r="G57" s="358">
        <v>19322071</v>
      </c>
      <c r="H57" s="359">
        <f t="shared" si="1"/>
        <v>18054321</v>
      </c>
      <c r="I57" s="360"/>
      <c r="J57" s="361"/>
      <c r="K57" s="362"/>
      <c r="L57" s="362"/>
      <c r="M57" s="361">
        <v>1267750</v>
      </c>
      <c r="N57" s="361">
        <v>2773204</v>
      </c>
      <c r="O57" s="361">
        <v>0</v>
      </c>
      <c r="P57" s="361">
        <v>0</v>
      </c>
      <c r="Q57" s="361">
        <v>0</v>
      </c>
      <c r="R57" s="361">
        <v>0</v>
      </c>
      <c r="S57" s="361">
        <v>316938</v>
      </c>
      <c r="T57" s="363">
        <v>0</v>
      </c>
      <c r="U57" s="364">
        <f t="shared" si="2"/>
        <v>22412213</v>
      </c>
      <c r="V57" s="362"/>
      <c r="W57" s="365" t="str">
        <f>+VLOOKUP($B57,[2]Time_S4!$B:$G,6,0)</f>
        <v>Phòng Hành chính</v>
      </c>
      <c r="X57" s="365" t="str">
        <f>IF(W57="Phòng Kinh doanh","Trung tâm Kinh doanh - TCT CNC",+VLOOKUP($B57,[2]Time_S4!$B:$G,5,0))</f>
        <v>Khối cơ quan - TCT CNC</v>
      </c>
      <c r="Y57" s="366"/>
      <c r="Z57" s="366"/>
    </row>
    <row r="58" spans="1:26" ht="15.75" hidden="1">
      <c r="A58" s="367">
        <f>SUBTOTAL(3,$B$15:B58)</f>
        <v>1</v>
      </c>
      <c r="B58" s="356" t="s">
        <v>485</v>
      </c>
      <c r="C58" s="356" t="s">
        <v>486</v>
      </c>
      <c r="D58" s="356" t="s">
        <v>397</v>
      </c>
      <c r="E58" s="357">
        <v>21</v>
      </c>
      <c r="F58" s="357">
        <v>21</v>
      </c>
      <c r="G58" s="358">
        <v>27552070</v>
      </c>
      <c r="H58" s="359">
        <f t="shared" si="1"/>
        <v>26145356</v>
      </c>
      <c r="I58" s="360"/>
      <c r="J58" s="361"/>
      <c r="K58" s="362"/>
      <c r="L58" s="362"/>
      <c r="M58" s="361">
        <v>1406714</v>
      </c>
      <c r="N58" s="361">
        <v>3077188</v>
      </c>
      <c r="O58" s="361">
        <v>0</v>
      </c>
      <c r="P58" s="361">
        <v>0</v>
      </c>
      <c r="Q58" s="361">
        <v>0</v>
      </c>
      <c r="R58" s="361">
        <v>0</v>
      </c>
      <c r="S58" s="361">
        <v>351679</v>
      </c>
      <c r="T58" s="363">
        <v>1398000</v>
      </c>
      <c r="U58" s="364">
        <f t="shared" si="2"/>
        <v>32378937</v>
      </c>
      <c r="V58" s="362"/>
      <c r="W58" s="365" t="str">
        <f>+VLOOKUP($B58,[2]Time_S4!$B:$G,6,0)</f>
        <v>Phòng Hợp đồng</v>
      </c>
      <c r="X58" s="365" t="str">
        <f>IF(W58="Phòng Kinh doanh","Trung tâm Kinh doanh - TCT CNC",+VLOOKUP($B58,[2]Time_S4!$B:$G,5,0))</f>
        <v>Trung tâm Mua sắm - TCT CNC</v>
      </c>
      <c r="Y58" s="366"/>
      <c r="Z58" s="366"/>
    </row>
    <row r="59" spans="1:26" ht="15.75" hidden="1">
      <c r="A59" s="367">
        <f>SUBTOTAL(3,$B$15:B59)</f>
        <v>1</v>
      </c>
      <c r="B59" s="356" t="s">
        <v>487</v>
      </c>
      <c r="C59" s="356" t="s">
        <v>488</v>
      </c>
      <c r="D59" s="356" t="s">
        <v>397</v>
      </c>
      <c r="E59" s="357">
        <v>21</v>
      </c>
      <c r="F59" s="357">
        <v>21</v>
      </c>
      <c r="G59" s="358">
        <v>17142387</v>
      </c>
      <c r="H59" s="359">
        <f t="shared" si="1"/>
        <v>15867181</v>
      </c>
      <c r="I59" s="360"/>
      <c r="J59" s="361"/>
      <c r="K59" s="362"/>
      <c r="L59" s="362"/>
      <c r="M59" s="361">
        <v>1275206</v>
      </c>
      <c r="N59" s="361">
        <v>2789514</v>
      </c>
      <c r="O59" s="361">
        <v>0</v>
      </c>
      <c r="P59" s="361">
        <v>0</v>
      </c>
      <c r="Q59" s="361">
        <v>0</v>
      </c>
      <c r="R59" s="361">
        <v>0</v>
      </c>
      <c r="S59" s="361">
        <v>318802</v>
      </c>
      <c r="T59" s="363">
        <v>1530000</v>
      </c>
      <c r="U59" s="364">
        <f t="shared" si="2"/>
        <v>21780703</v>
      </c>
      <c r="V59" s="362"/>
      <c r="W59" s="365" t="str">
        <f>+VLOOKUP($B59,[2]Time_S4!$B:$G,6,0)</f>
        <v>Phòng Hành chính</v>
      </c>
      <c r="X59" s="365" t="str">
        <f>IF(W59="Phòng Kinh doanh","Trung tâm Kinh doanh - TCT CNC",+VLOOKUP($B59,[2]Time_S4!$B:$G,5,0))</f>
        <v>Khối cơ quan - TCT CNC</v>
      </c>
      <c r="Y59" s="366"/>
      <c r="Z59" s="366"/>
    </row>
    <row r="60" spans="1:26" ht="15.75" hidden="1">
      <c r="A60" s="367">
        <f>SUBTOTAL(3,$B$15:B60)</f>
        <v>1</v>
      </c>
      <c r="B60" s="356" t="s">
        <v>489</v>
      </c>
      <c r="C60" s="356" t="s">
        <v>490</v>
      </c>
      <c r="D60" s="356" t="s">
        <v>407</v>
      </c>
      <c r="E60" s="357">
        <v>21</v>
      </c>
      <c r="F60" s="357">
        <v>21</v>
      </c>
      <c r="G60" s="358">
        <v>27552070</v>
      </c>
      <c r="H60" s="359">
        <f t="shared" si="1"/>
        <v>26536510</v>
      </c>
      <c r="I60" s="360"/>
      <c r="J60" s="361"/>
      <c r="K60" s="362"/>
      <c r="L60" s="362"/>
      <c r="M60" s="361">
        <v>773760</v>
      </c>
      <c r="N60" s="361">
        <v>1692600</v>
      </c>
      <c r="O60" s="361">
        <v>145080</v>
      </c>
      <c r="P60" s="361">
        <v>290160</v>
      </c>
      <c r="Q60" s="361">
        <v>96720</v>
      </c>
      <c r="R60" s="361">
        <v>96720</v>
      </c>
      <c r="S60" s="361">
        <v>193440</v>
      </c>
      <c r="T60" s="363">
        <v>1047000</v>
      </c>
      <c r="U60" s="364">
        <f t="shared" si="2"/>
        <v>30871990</v>
      </c>
      <c r="V60" s="362"/>
      <c r="W60" s="365" t="str">
        <f>+VLOOKUP($B60,[2]Time_S4!$B:$G,6,0)</f>
        <v>Phòng Đảm bảo chất lượng</v>
      </c>
      <c r="X60" s="365" t="str">
        <f>IF(W60="Phòng Kinh doanh","Trung tâm Kinh doanh - TCT CNC",+VLOOKUP($B60,[2]Time_S4!$B:$G,5,0))</f>
        <v>Trung tâm Quản lý chất lượng - TCT CNC</v>
      </c>
      <c r="Y60" s="366"/>
      <c r="Z60" s="366"/>
    </row>
    <row r="61" spans="1:26" ht="15.75" hidden="1">
      <c r="A61" s="367">
        <f>SUBTOTAL(3,$B$15:B61)</f>
        <v>1</v>
      </c>
      <c r="B61" s="356" t="s">
        <v>491</v>
      </c>
      <c r="C61" s="356" t="s">
        <v>492</v>
      </c>
      <c r="D61" s="356" t="s">
        <v>407</v>
      </c>
      <c r="E61" s="357">
        <v>21</v>
      </c>
      <c r="F61" s="357">
        <v>21</v>
      </c>
      <c r="G61" s="358">
        <v>20344177</v>
      </c>
      <c r="H61" s="359">
        <f t="shared" si="1"/>
        <v>19427569</v>
      </c>
      <c r="I61" s="360"/>
      <c r="J61" s="361"/>
      <c r="K61" s="362"/>
      <c r="L61" s="362"/>
      <c r="M61" s="361">
        <v>698368</v>
      </c>
      <c r="N61" s="361">
        <v>1527680</v>
      </c>
      <c r="O61" s="361">
        <v>130944</v>
      </c>
      <c r="P61" s="361">
        <v>261888</v>
      </c>
      <c r="Q61" s="361">
        <v>87296</v>
      </c>
      <c r="R61" s="361">
        <v>87296</v>
      </c>
      <c r="S61" s="361">
        <v>174592</v>
      </c>
      <c r="T61" s="363">
        <v>1047000</v>
      </c>
      <c r="U61" s="364">
        <f t="shared" si="2"/>
        <v>23442633</v>
      </c>
      <c r="V61" s="362"/>
      <c r="W61" s="365" t="str">
        <f>+VLOOKUP($B61,[2]Time_S4!$B:$G,6,0)</f>
        <v>Phòng Tổng hợp</v>
      </c>
      <c r="X61" s="365" t="str">
        <f>IF(W61="Phòng Kinh doanh","Trung tâm Kinh doanh - TCT CNC",+VLOOKUP($B61,[2]Time_S4!$B:$G,5,0))</f>
        <v>Khối 1 - TCT CNC</v>
      </c>
      <c r="Y61" s="366"/>
      <c r="Z61" s="366"/>
    </row>
    <row r="62" spans="1:26" ht="15.75" hidden="1">
      <c r="A62" s="367">
        <f>SUBTOTAL(3,$B$15:B62)</f>
        <v>1</v>
      </c>
      <c r="B62" s="356" t="s">
        <v>493</v>
      </c>
      <c r="C62" s="356" t="s">
        <v>494</v>
      </c>
      <c r="D62" s="356" t="s">
        <v>397</v>
      </c>
      <c r="E62" s="357">
        <v>21</v>
      </c>
      <c r="F62" s="357">
        <v>21</v>
      </c>
      <c r="G62" s="358">
        <v>69403754</v>
      </c>
      <c r="H62" s="359">
        <f t="shared" si="1"/>
        <v>67923002</v>
      </c>
      <c r="I62" s="360"/>
      <c r="J62" s="361"/>
      <c r="K62" s="362"/>
      <c r="L62" s="362"/>
      <c r="M62" s="361">
        <v>1480752</v>
      </c>
      <c r="N62" s="361">
        <v>3239145</v>
      </c>
      <c r="O62" s="361">
        <v>0</v>
      </c>
      <c r="P62" s="361">
        <v>0</v>
      </c>
      <c r="Q62" s="361">
        <v>0</v>
      </c>
      <c r="R62" s="361">
        <v>0</v>
      </c>
      <c r="S62" s="361">
        <v>370188</v>
      </c>
      <c r="T62" s="363">
        <v>1730000</v>
      </c>
      <c r="U62" s="364">
        <f t="shared" si="2"/>
        <v>74743087</v>
      </c>
      <c r="V62" s="362"/>
      <c r="W62" s="365" t="str">
        <f>+VLOOKUP($B62,[2]Time_S4!$B:$G,6,0)</f>
        <v>Phòng Công nghệ thông tin</v>
      </c>
      <c r="X62" s="365" t="str">
        <f>IF(W62="Phòng Kinh doanh","Trung tâm Kinh doanh - TCT CNC",+VLOOKUP($B62,[2]Time_S4!$B:$G,5,0))</f>
        <v>Khối cơ quan - TCT CNC</v>
      </c>
      <c r="Y62" s="366"/>
      <c r="Z62" s="366"/>
    </row>
    <row r="63" spans="1:26" ht="15.75" hidden="1">
      <c r="A63" s="367">
        <f>SUBTOTAL(3,$B$15:B63)</f>
        <v>1</v>
      </c>
      <c r="B63" s="356" t="s">
        <v>495</v>
      </c>
      <c r="C63" s="356" t="s">
        <v>496</v>
      </c>
      <c r="D63" s="356" t="s">
        <v>407</v>
      </c>
      <c r="E63" s="357">
        <v>21</v>
      </c>
      <c r="F63" s="357">
        <v>21</v>
      </c>
      <c r="G63" s="358">
        <v>21857433</v>
      </c>
      <c r="H63" s="359">
        <f t="shared" si="1"/>
        <v>20940825</v>
      </c>
      <c r="I63" s="360"/>
      <c r="J63" s="361"/>
      <c r="K63" s="362"/>
      <c r="L63" s="362"/>
      <c r="M63" s="361">
        <v>698368</v>
      </c>
      <c r="N63" s="361">
        <v>1527680</v>
      </c>
      <c r="O63" s="361">
        <v>130944</v>
      </c>
      <c r="P63" s="361">
        <v>261888</v>
      </c>
      <c r="Q63" s="361">
        <v>87296</v>
      </c>
      <c r="R63" s="361">
        <v>87296</v>
      </c>
      <c r="S63" s="361">
        <v>174592</v>
      </c>
      <c r="T63" s="363">
        <v>1515000</v>
      </c>
      <c r="U63" s="364">
        <f t="shared" si="2"/>
        <v>25423889</v>
      </c>
      <c r="V63" s="362"/>
      <c r="W63" s="365" t="str">
        <f>+VLOOKUP($B63,[2]Time_S4!$B:$G,6,0)</f>
        <v>Bộ phận Hỗ trợ nghiệp vụ</v>
      </c>
      <c r="X63" s="365" t="str">
        <f>IF(W63="Phòng Kinh doanh","Trung tâm Kinh doanh - TCT CNC",+VLOOKUP($B63,[2]Time_S4!$B:$G,5,0))</f>
        <v>Trung tâm Kinh doanh - TCT CNC</v>
      </c>
      <c r="Y63" s="366"/>
      <c r="Z63" s="366"/>
    </row>
    <row r="64" spans="1:26" ht="15.75" hidden="1">
      <c r="A64" s="367">
        <f>SUBTOTAL(3,$B$15:B64)</f>
        <v>1</v>
      </c>
      <c r="B64" s="356" t="s">
        <v>497</v>
      </c>
      <c r="C64" s="356" t="s">
        <v>498</v>
      </c>
      <c r="D64" s="356" t="s">
        <v>400</v>
      </c>
      <c r="E64" s="357">
        <v>21</v>
      </c>
      <c r="F64" s="357">
        <v>21</v>
      </c>
      <c r="G64" s="358">
        <v>20790517</v>
      </c>
      <c r="H64" s="359">
        <f t="shared" si="1"/>
        <v>19797103</v>
      </c>
      <c r="I64" s="360"/>
      <c r="J64" s="361"/>
      <c r="K64" s="362"/>
      <c r="L64" s="362"/>
      <c r="M64" s="361">
        <v>836559</v>
      </c>
      <c r="N64" s="361">
        <v>1829974</v>
      </c>
      <c r="O64" s="361">
        <v>156855</v>
      </c>
      <c r="P64" s="361">
        <v>313710</v>
      </c>
      <c r="Q64" s="361">
        <v>0</v>
      </c>
      <c r="R64" s="361">
        <v>0</v>
      </c>
      <c r="S64" s="361">
        <v>209140</v>
      </c>
      <c r="T64" s="363">
        <v>1047000</v>
      </c>
      <c r="U64" s="364">
        <f t="shared" si="2"/>
        <v>24190341</v>
      </c>
      <c r="V64" s="362"/>
      <c r="W64" s="365" t="str">
        <f>+VLOOKUP($B64,[2]Time_S4!$B:$G,6,0)</f>
        <v>Phòng Đảm bảo hàng hóa</v>
      </c>
      <c r="X64" s="365" t="str">
        <f>IF(W64="Phòng Kinh doanh","Trung tâm Kinh doanh - TCT CNC",+VLOOKUP($B64,[2]Time_S4!$B:$G,5,0))</f>
        <v>Trung tâm Mua sắm - TCT CNC</v>
      </c>
      <c r="Y64" s="366"/>
      <c r="Z64" s="366"/>
    </row>
    <row r="65" spans="1:26" ht="15.75" hidden="1">
      <c r="A65" s="367">
        <f>SUBTOTAL(3,$B$15:B65)</f>
        <v>1</v>
      </c>
      <c r="B65" s="356" t="s">
        <v>499</v>
      </c>
      <c r="C65" s="356" t="s">
        <v>500</v>
      </c>
      <c r="D65" s="356" t="s">
        <v>410</v>
      </c>
      <c r="E65" s="357">
        <v>21</v>
      </c>
      <c r="F65" s="357">
        <v>21</v>
      </c>
      <c r="G65" s="358">
        <v>132630507</v>
      </c>
      <c r="H65" s="359">
        <f t="shared" si="1"/>
        <v>131301013</v>
      </c>
      <c r="I65" s="360"/>
      <c r="J65" s="361"/>
      <c r="K65" s="362"/>
      <c r="L65" s="362"/>
      <c r="M65" s="361">
        <v>1329494</v>
      </c>
      <c r="N65" s="361">
        <v>2908269</v>
      </c>
      <c r="O65" s="361">
        <v>0</v>
      </c>
      <c r="P65" s="361">
        <v>0</v>
      </c>
      <c r="Q65" s="361">
        <v>0</v>
      </c>
      <c r="R65" s="361">
        <v>0</v>
      </c>
      <c r="S65" s="361">
        <v>332374</v>
      </c>
      <c r="T65" s="363">
        <v>3432000</v>
      </c>
      <c r="U65" s="364">
        <f t="shared" si="2"/>
        <v>139303150</v>
      </c>
      <c r="V65" s="362"/>
      <c r="W65" s="365" t="str">
        <f>+VLOOKUP($B65,[2]Time_S4!$B:$G,6,0)</f>
        <v>Ban Giám đốc Khối</v>
      </c>
      <c r="X65" s="365" t="str">
        <f>IF(W65="Phòng Kinh doanh","Trung tâm Kinh doanh - TCT CNC",+VLOOKUP($B65,[2]Time_S4!$B:$G,5,0))</f>
        <v>Khối 2 - TCT CNC</v>
      </c>
      <c r="Y65" s="366"/>
      <c r="Z65" s="366"/>
    </row>
    <row r="66" spans="1:26" ht="15.75" hidden="1">
      <c r="A66" s="367">
        <f>SUBTOTAL(3,$B$15:B66)</f>
        <v>1</v>
      </c>
      <c r="B66" s="356" t="s">
        <v>501</v>
      </c>
      <c r="C66" s="356" t="s">
        <v>502</v>
      </c>
      <c r="D66" s="356" t="s">
        <v>407</v>
      </c>
      <c r="E66" s="357">
        <v>21</v>
      </c>
      <c r="F66" s="357">
        <v>21</v>
      </c>
      <c r="G66" s="358">
        <v>48861507</v>
      </c>
      <c r="H66" s="359">
        <f t="shared" si="1"/>
        <v>47616795</v>
      </c>
      <c r="I66" s="360"/>
      <c r="J66" s="361"/>
      <c r="K66" s="362"/>
      <c r="L66" s="362"/>
      <c r="M66" s="361">
        <v>948352</v>
      </c>
      <c r="N66" s="361">
        <v>2074520</v>
      </c>
      <c r="O66" s="361">
        <v>177816</v>
      </c>
      <c r="P66" s="361">
        <v>355632</v>
      </c>
      <c r="Q66" s="361">
        <v>118544</v>
      </c>
      <c r="R66" s="361">
        <v>118544</v>
      </c>
      <c r="S66" s="361">
        <v>237088</v>
      </c>
      <c r="T66" s="363">
        <v>1030000</v>
      </c>
      <c r="U66" s="364">
        <f t="shared" si="2"/>
        <v>52677291</v>
      </c>
      <c r="V66" s="362"/>
      <c r="W66" s="365" t="str">
        <f>+VLOOKUP($B66,[2]Time_S4!$B:$G,6,0)</f>
        <v>Trung tâm Nghiên cứu thiết bị vô tuyến băng rộng</v>
      </c>
      <c r="X66" s="365" t="str">
        <f>IF(W66="Phòng Kinh doanh","Trung tâm Kinh doanh - TCT CNC",+VLOOKUP($B66,[2]Time_S4!$B:$G,5,0))</f>
        <v>Khối 2 - TCT CNC</v>
      </c>
      <c r="Y66" s="366"/>
      <c r="Z66" s="366"/>
    </row>
    <row r="67" spans="1:26" ht="15.75" hidden="1">
      <c r="A67" s="367">
        <f>SUBTOTAL(3,$B$15:B67)</f>
        <v>1</v>
      </c>
      <c r="B67" s="356" t="s">
        <v>503</v>
      </c>
      <c r="C67" s="356" t="s">
        <v>504</v>
      </c>
      <c r="D67" s="356" t="s">
        <v>400</v>
      </c>
      <c r="E67" s="357">
        <v>21</v>
      </c>
      <c r="F67" s="357">
        <v>21</v>
      </c>
      <c r="G67" s="358">
        <v>28143570</v>
      </c>
      <c r="H67" s="359">
        <f t="shared" si="1"/>
        <v>26996168</v>
      </c>
      <c r="I67" s="360"/>
      <c r="J67" s="361"/>
      <c r="K67" s="362"/>
      <c r="L67" s="362"/>
      <c r="M67" s="361">
        <v>966233</v>
      </c>
      <c r="N67" s="361">
        <v>2113634</v>
      </c>
      <c r="O67" s="361">
        <v>181169</v>
      </c>
      <c r="P67" s="361">
        <v>362337</v>
      </c>
      <c r="Q67" s="361">
        <v>0</v>
      </c>
      <c r="R67" s="361">
        <v>0</v>
      </c>
      <c r="S67" s="361">
        <v>241558</v>
      </c>
      <c r="T67" s="363">
        <v>1047000</v>
      </c>
      <c r="U67" s="364">
        <f t="shared" si="2"/>
        <v>31908099</v>
      </c>
      <c r="V67" s="362"/>
      <c r="W67" s="365" t="str">
        <f>+VLOOKUP($B67,[2]Time_S4!$B:$G,6,0)</f>
        <v>Phòng Tài chính</v>
      </c>
      <c r="X67" s="365" t="str">
        <f>IF(W67="Phòng Kinh doanh","Trung tâm Kinh doanh - TCT CNC",+VLOOKUP($B67,[2]Time_S4!$B:$G,5,0))</f>
        <v>Khối cơ quan - TCT CNC</v>
      </c>
      <c r="Y67" s="366"/>
      <c r="Z67" s="366"/>
    </row>
    <row r="68" spans="1:26" ht="15.75" hidden="1">
      <c r="A68" s="367">
        <f>SUBTOTAL(3,$B$15:B68)</f>
        <v>1</v>
      </c>
      <c r="B68" s="356" t="s">
        <v>505</v>
      </c>
      <c r="C68" s="356" t="s">
        <v>506</v>
      </c>
      <c r="D68" s="356" t="s">
        <v>407</v>
      </c>
      <c r="E68" s="357">
        <v>21</v>
      </c>
      <c r="F68" s="357">
        <v>21</v>
      </c>
      <c r="G68" s="358">
        <v>17200069</v>
      </c>
      <c r="H68" s="359">
        <f t="shared" si="1"/>
        <v>16330333</v>
      </c>
      <c r="I68" s="360"/>
      <c r="J68" s="361"/>
      <c r="K68" s="362"/>
      <c r="L68" s="362"/>
      <c r="M68" s="361">
        <v>662656</v>
      </c>
      <c r="N68" s="361">
        <v>1449560</v>
      </c>
      <c r="O68" s="361">
        <v>124248</v>
      </c>
      <c r="P68" s="361">
        <v>248496</v>
      </c>
      <c r="Q68" s="361">
        <v>82832</v>
      </c>
      <c r="R68" s="361">
        <v>82832</v>
      </c>
      <c r="S68" s="361">
        <v>165664</v>
      </c>
      <c r="T68" s="363">
        <v>1398000</v>
      </c>
      <c r="U68" s="364">
        <f t="shared" si="2"/>
        <v>20544621</v>
      </c>
      <c r="V68" s="362"/>
      <c r="W68" s="365" t="str">
        <f>+VLOOKUP($B68,[2]Time_S4!$B:$G,6,0)</f>
        <v>Phòng Tổng hợp</v>
      </c>
      <c r="X68" s="365" t="str">
        <f>IF(W68="Phòng Kinh doanh","Trung tâm Kinh doanh - TCT CNC",+VLOOKUP($B68,[2]Time_S4!$B:$G,5,0))</f>
        <v>Khối 3 - TCT CNC</v>
      </c>
      <c r="Y68" s="366"/>
      <c r="Z68" s="366"/>
    </row>
    <row r="69" spans="1:26" ht="15.75" hidden="1">
      <c r="A69" s="367">
        <f>SUBTOTAL(3,$B$15:B69)</f>
        <v>1</v>
      </c>
      <c r="B69" s="356" t="s">
        <v>507</v>
      </c>
      <c r="C69" s="356" t="s">
        <v>508</v>
      </c>
      <c r="D69" s="356" t="s">
        <v>407</v>
      </c>
      <c r="E69" s="357">
        <v>21</v>
      </c>
      <c r="F69" s="357">
        <v>21</v>
      </c>
      <c r="G69" s="358">
        <v>25051680</v>
      </c>
      <c r="H69" s="359">
        <f t="shared" si="1"/>
        <v>24036120</v>
      </c>
      <c r="I69" s="360"/>
      <c r="J69" s="361"/>
      <c r="K69" s="362"/>
      <c r="L69" s="362"/>
      <c r="M69" s="361">
        <v>773760</v>
      </c>
      <c r="N69" s="361">
        <v>1692600</v>
      </c>
      <c r="O69" s="361">
        <v>145080</v>
      </c>
      <c r="P69" s="361">
        <v>290160</v>
      </c>
      <c r="Q69" s="361">
        <v>96720</v>
      </c>
      <c r="R69" s="361">
        <v>96720</v>
      </c>
      <c r="S69" s="361">
        <v>193440</v>
      </c>
      <c r="T69" s="363">
        <v>1047000</v>
      </c>
      <c r="U69" s="364">
        <f t="shared" si="2"/>
        <v>28371600</v>
      </c>
      <c r="V69" s="362"/>
      <c r="W69" s="365" t="str">
        <f>+VLOOKUP($B69,[2]Time_S4!$B:$G,6,0)</f>
        <v>Phòng Đầu tư</v>
      </c>
      <c r="X69" s="365" t="str">
        <f>IF(W69="Phòng Kinh doanh","Trung tâm Kinh doanh - TCT CNC",+VLOOKUP($B69,[2]Time_S4!$B:$G,5,0))</f>
        <v>Trung tâm Mua sắm - TCT CNC</v>
      </c>
      <c r="Y69" s="366"/>
      <c r="Z69" s="366"/>
    </row>
    <row r="70" spans="1:26" ht="15.75" hidden="1">
      <c r="A70" s="367">
        <f>SUBTOTAL(3,$B$15:B70)</f>
        <v>1</v>
      </c>
      <c r="B70" s="356" t="s">
        <v>509</v>
      </c>
      <c r="C70" s="356" t="s">
        <v>510</v>
      </c>
      <c r="D70" s="356" t="s">
        <v>407</v>
      </c>
      <c r="E70" s="357">
        <v>21</v>
      </c>
      <c r="F70" s="357">
        <v>21</v>
      </c>
      <c r="G70" s="358">
        <v>26125544</v>
      </c>
      <c r="H70" s="359">
        <f t="shared" si="1"/>
        <v>25109984</v>
      </c>
      <c r="I70" s="360"/>
      <c r="J70" s="361"/>
      <c r="K70" s="362"/>
      <c r="L70" s="362"/>
      <c r="M70" s="361">
        <v>773760</v>
      </c>
      <c r="N70" s="361">
        <v>1692600</v>
      </c>
      <c r="O70" s="361">
        <v>145080</v>
      </c>
      <c r="P70" s="361">
        <v>290160</v>
      </c>
      <c r="Q70" s="361">
        <v>96720</v>
      </c>
      <c r="R70" s="361">
        <v>96720</v>
      </c>
      <c r="S70" s="361">
        <v>193440</v>
      </c>
      <c r="T70" s="363">
        <v>1047000</v>
      </c>
      <c r="U70" s="364">
        <f t="shared" si="2"/>
        <v>29445464</v>
      </c>
      <c r="V70" s="362"/>
      <c r="W70" s="365" t="str">
        <f>+VLOOKUP($B70,[2]Time_S4!$B:$G,6,0)</f>
        <v>Phòng Tài chính</v>
      </c>
      <c r="X70" s="365" t="str">
        <f>IF(W70="Phòng Kinh doanh","Trung tâm Kinh doanh - TCT CNC",+VLOOKUP($B70,[2]Time_S4!$B:$G,5,0))</f>
        <v>Khối cơ quan - TCT CNC</v>
      </c>
      <c r="Y70" s="366"/>
      <c r="Z70" s="366"/>
    </row>
    <row r="71" spans="1:26" ht="15.75" hidden="1">
      <c r="A71" s="367">
        <f>SUBTOTAL(3,$B$15:B71)</f>
        <v>1</v>
      </c>
      <c r="B71" s="356" t="s">
        <v>511</v>
      </c>
      <c r="C71" s="356" t="s">
        <v>512</v>
      </c>
      <c r="D71" s="356" t="s">
        <v>407</v>
      </c>
      <c r="E71" s="357">
        <v>21</v>
      </c>
      <c r="F71" s="357">
        <v>21</v>
      </c>
      <c r="G71" s="358">
        <v>32781136</v>
      </c>
      <c r="H71" s="359">
        <f t="shared" si="1"/>
        <v>31656208</v>
      </c>
      <c r="I71" s="360"/>
      <c r="J71" s="361"/>
      <c r="K71" s="362"/>
      <c r="L71" s="362"/>
      <c r="M71" s="361">
        <v>857088</v>
      </c>
      <c r="N71" s="361">
        <v>1874880</v>
      </c>
      <c r="O71" s="361">
        <v>160704</v>
      </c>
      <c r="P71" s="361">
        <v>321408</v>
      </c>
      <c r="Q71" s="361">
        <v>107136</v>
      </c>
      <c r="R71" s="361">
        <v>107136</v>
      </c>
      <c r="S71" s="361">
        <v>214272</v>
      </c>
      <c r="T71" s="363">
        <v>1030000</v>
      </c>
      <c r="U71" s="364">
        <f t="shared" si="2"/>
        <v>36328832</v>
      </c>
      <c r="V71" s="362"/>
      <c r="W71" s="365" t="str">
        <f>+VLOOKUP($B71,[2]Time_S4!$B:$G,6,0)</f>
        <v>Trung tâm Nghiên cứu Công nghệ truyền dẫn</v>
      </c>
      <c r="X71" s="365" t="str">
        <f>IF(W71="Phòng Kinh doanh","Trung tâm Kinh doanh - TCT CNC",+VLOOKUP($B71,[2]Time_S4!$B:$G,5,0))</f>
        <v>Khối 2 - TCT CNC</v>
      </c>
      <c r="Y71" s="366"/>
      <c r="Z71" s="366"/>
    </row>
    <row r="72" spans="1:26" ht="15.75" hidden="1">
      <c r="A72" s="367">
        <f>SUBTOTAL(3,$B$15:B72)</f>
        <v>1</v>
      </c>
      <c r="B72" s="356" t="s">
        <v>513</v>
      </c>
      <c r="C72" s="356" t="s">
        <v>514</v>
      </c>
      <c r="D72" s="356" t="s">
        <v>407</v>
      </c>
      <c r="E72" s="357">
        <v>21</v>
      </c>
      <c r="F72" s="357">
        <v>21</v>
      </c>
      <c r="G72" s="358">
        <v>15576259</v>
      </c>
      <c r="H72" s="359">
        <f t="shared" si="1"/>
        <v>14742979</v>
      </c>
      <c r="I72" s="360"/>
      <c r="J72" s="361"/>
      <c r="K72" s="362"/>
      <c r="L72" s="362"/>
      <c r="M72" s="361">
        <v>634880</v>
      </c>
      <c r="N72" s="361">
        <v>1388800</v>
      </c>
      <c r="O72" s="361">
        <v>119040</v>
      </c>
      <c r="P72" s="361">
        <v>238080</v>
      </c>
      <c r="Q72" s="361">
        <v>79360</v>
      </c>
      <c r="R72" s="361">
        <v>79360</v>
      </c>
      <c r="S72" s="361">
        <v>158720</v>
      </c>
      <c r="T72" s="363">
        <v>1530000</v>
      </c>
      <c r="U72" s="364">
        <f t="shared" si="2"/>
        <v>18971219</v>
      </c>
      <c r="V72" s="362"/>
      <c r="W72" s="365" t="str">
        <f>+VLOOKUP($B72,[2]Time_S4!$B:$G,6,0)</f>
        <v>Phòng Hành chính</v>
      </c>
      <c r="X72" s="365" t="str">
        <f>IF(W72="Phòng Kinh doanh","Trung tâm Kinh doanh - TCT CNC",+VLOOKUP($B72,[2]Time_S4!$B:$G,5,0))</f>
        <v>Khối cơ quan - TCT CNC</v>
      </c>
      <c r="Y72" s="366"/>
      <c r="Z72" s="366"/>
    </row>
    <row r="73" spans="1:26" ht="15.75" hidden="1">
      <c r="A73" s="367">
        <f>SUBTOTAL(3,$B$15:B73)</f>
        <v>1</v>
      </c>
      <c r="B73" s="356" t="s">
        <v>515</v>
      </c>
      <c r="C73" s="356" t="s">
        <v>516</v>
      </c>
      <c r="D73" s="356" t="s">
        <v>407</v>
      </c>
      <c r="E73" s="357">
        <v>21</v>
      </c>
      <c r="F73" s="357">
        <v>21</v>
      </c>
      <c r="G73" s="358">
        <v>33829476</v>
      </c>
      <c r="H73" s="359">
        <f t="shared" si="1"/>
        <v>32704548</v>
      </c>
      <c r="I73" s="360"/>
      <c r="J73" s="361"/>
      <c r="K73" s="362"/>
      <c r="L73" s="362"/>
      <c r="M73" s="361">
        <v>857088</v>
      </c>
      <c r="N73" s="361">
        <v>1874880</v>
      </c>
      <c r="O73" s="361">
        <v>160704</v>
      </c>
      <c r="P73" s="361">
        <v>321408</v>
      </c>
      <c r="Q73" s="361">
        <v>107136</v>
      </c>
      <c r="R73" s="361">
        <v>107136</v>
      </c>
      <c r="S73" s="361">
        <v>214272</v>
      </c>
      <c r="T73" s="363">
        <v>1147000</v>
      </c>
      <c r="U73" s="364">
        <f t="shared" si="2"/>
        <v>37494172</v>
      </c>
      <c r="V73" s="362"/>
      <c r="W73" s="365" t="str">
        <f>+VLOOKUP($B73,[2]Time_S4!$B:$G,6,0)</f>
        <v>Trung tâm Chỉ huy điều khiển</v>
      </c>
      <c r="X73" s="365" t="str">
        <f>IF(W73="Phòng Kinh doanh","Trung tâm Kinh doanh - TCT CNC",+VLOOKUP($B73,[2]Time_S4!$B:$G,5,0))</f>
        <v>Khối 1 - TCT CNC</v>
      </c>
      <c r="Y73" s="366"/>
      <c r="Z73" s="366"/>
    </row>
    <row r="74" spans="1:26" ht="15.75" hidden="1">
      <c r="A74" s="367">
        <f>SUBTOTAL(3,$B$15:B74)</f>
        <v>1</v>
      </c>
      <c r="B74" s="356" t="s">
        <v>517</v>
      </c>
      <c r="C74" s="356" t="s">
        <v>518</v>
      </c>
      <c r="D74" s="356" t="s">
        <v>410</v>
      </c>
      <c r="E74" s="357">
        <v>21</v>
      </c>
      <c r="F74" s="357">
        <v>21</v>
      </c>
      <c r="G74" s="358">
        <v>201093490</v>
      </c>
      <c r="H74" s="359">
        <f t="shared" si="1"/>
        <v>199380048</v>
      </c>
      <c r="I74" s="360"/>
      <c r="J74" s="361"/>
      <c r="K74" s="362"/>
      <c r="L74" s="362"/>
      <c r="M74" s="361">
        <v>1713442</v>
      </c>
      <c r="N74" s="361">
        <v>3748154</v>
      </c>
      <c r="O74" s="361">
        <v>0</v>
      </c>
      <c r="P74" s="361">
        <v>0</v>
      </c>
      <c r="Q74" s="361">
        <v>0</v>
      </c>
      <c r="R74" s="361">
        <v>0</v>
      </c>
      <c r="S74" s="361">
        <v>428360</v>
      </c>
      <c r="T74" s="363">
        <v>3932000</v>
      </c>
      <c r="U74" s="364">
        <f t="shared" si="2"/>
        <v>209202004</v>
      </c>
      <c r="V74" s="362"/>
      <c r="W74" s="365" t="str">
        <f>+VLOOKUP($B74,[2]Time_S4!$B:$G,6,0)</f>
        <v>Ban Giám đốc</v>
      </c>
      <c r="X74" s="365" t="str">
        <f>IF(W74="Phòng Kinh doanh","Trung tâm Kinh doanh - TCT CNC",+VLOOKUP($B74,[2]Time_S4!$B:$G,5,0))</f>
        <v>Khối cơ quan - TCT CNC</v>
      </c>
      <c r="Y74" s="366"/>
      <c r="Z74" s="366"/>
    </row>
    <row r="75" spans="1:26" ht="15.75" hidden="1">
      <c r="A75" s="367">
        <f>SUBTOTAL(3,$B$15:B75)</f>
        <v>1</v>
      </c>
      <c r="B75" s="356" t="s">
        <v>519</v>
      </c>
      <c r="C75" s="356" t="s">
        <v>520</v>
      </c>
      <c r="D75" s="356" t="s">
        <v>407</v>
      </c>
      <c r="E75" s="357">
        <v>21</v>
      </c>
      <c r="F75" s="357">
        <v>21</v>
      </c>
      <c r="G75" s="358">
        <v>15643427</v>
      </c>
      <c r="H75" s="359">
        <f t="shared" si="1"/>
        <v>14810147</v>
      </c>
      <c r="I75" s="360"/>
      <c r="J75" s="361"/>
      <c r="K75" s="362"/>
      <c r="L75" s="362"/>
      <c r="M75" s="361">
        <v>634880</v>
      </c>
      <c r="N75" s="361">
        <v>1388800</v>
      </c>
      <c r="O75" s="361">
        <v>119040</v>
      </c>
      <c r="P75" s="361">
        <v>238080</v>
      </c>
      <c r="Q75" s="361">
        <v>79360</v>
      </c>
      <c r="R75" s="361">
        <v>79360</v>
      </c>
      <c r="S75" s="361">
        <v>158720</v>
      </c>
      <c r="T75" s="363">
        <v>930000</v>
      </c>
      <c r="U75" s="364">
        <f t="shared" si="2"/>
        <v>18438387</v>
      </c>
      <c r="V75" s="362"/>
      <c r="W75" s="365" t="str">
        <f>+VLOOKUP($B75,[2]Time_S4!$B:$G,6,0)</f>
        <v>Phòng Hành chính</v>
      </c>
      <c r="X75" s="365" t="str">
        <f>IF(W75="Phòng Kinh doanh","Trung tâm Kinh doanh - TCT CNC",+VLOOKUP($B75,[2]Time_S4!$B:$G,5,0))</f>
        <v>Khối cơ quan - TCT CNC</v>
      </c>
      <c r="Y75" s="366"/>
      <c r="Z75" s="366"/>
    </row>
    <row r="76" spans="1:26" ht="15.75" hidden="1">
      <c r="A76" s="367">
        <f>SUBTOTAL(3,$B$15:B76)</f>
        <v>1</v>
      </c>
      <c r="B76" s="356" t="s">
        <v>521</v>
      </c>
      <c r="C76" s="356" t="s">
        <v>522</v>
      </c>
      <c r="D76" s="356" t="s">
        <v>410</v>
      </c>
      <c r="E76" s="357">
        <v>21</v>
      </c>
      <c r="F76" s="357">
        <v>21</v>
      </c>
      <c r="G76" s="358">
        <v>131245787</v>
      </c>
      <c r="H76" s="359">
        <f t="shared" si="1"/>
        <v>129715240</v>
      </c>
      <c r="I76" s="360"/>
      <c r="J76" s="361"/>
      <c r="K76" s="362"/>
      <c r="L76" s="362"/>
      <c r="M76" s="361">
        <v>1530547</v>
      </c>
      <c r="N76" s="361">
        <v>3348072</v>
      </c>
      <c r="O76" s="361">
        <v>0</v>
      </c>
      <c r="P76" s="361">
        <v>0</v>
      </c>
      <c r="Q76" s="361">
        <v>0</v>
      </c>
      <c r="R76" s="361">
        <v>0</v>
      </c>
      <c r="S76" s="361">
        <v>382637</v>
      </c>
      <c r="T76" s="363">
        <v>1730000</v>
      </c>
      <c r="U76" s="364">
        <f t="shared" si="2"/>
        <v>136706496</v>
      </c>
      <c r="V76" s="362"/>
      <c r="W76" s="365" t="str">
        <f>+VLOOKUP($B76,[2]Time_S4!$B:$G,6,0)</f>
        <v>Trung tâm Quang điện tử</v>
      </c>
      <c r="X76" s="365" t="str">
        <f>IF(W76="Phòng Kinh doanh","Trung tâm Kinh doanh - TCT CNC",+VLOOKUP($B76,[2]Time_S4!$B:$G,5,0))</f>
        <v>Khối 1 - TCT CNC</v>
      </c>
      <c r="Y76" s="366"/>
      <c r="Z76" s="380"/>
    </row>
    <row r="77" spans="1:26" ht="15.75" hidden="1">
      <c r="A77" s="367">
        <f>SUBTOTAL(3,$B$15:B77)</f>
        <v>1</v>
      </c>
      <c r="B77" s="356" t="s">
        <v>523</v>
      </c>
      <c r="C77" s="356" t="s">
        <v>524</v>
      </c>
      <c r="D77" s="356" t="s">
        <v>407</v>
      </c>
      <c r="E77" s="357">
        <v>21</v>
      </c>
      <c r="F77" s="357">
        <v>21</v>
      </c>
      <c r="G77" s="358">
        <v>36824093</v>
      </c>
      <c r="H77" s="359">
        <f t="shared" si="1"/>
        <v>35699165</v>
      </c>
      <c r="I77" s="360"/>
      <c r="J77" s="361"/>
      <c r="K77" s="362"/>
      <c r="L77" s="362"/>
      <c r="M77" s="361">
        <v>857088</v>
      </c>
      <c r="N77" s="361">
        <v>1874880</v>
      </c>
      <c r="O77" s="361">
        <v>160704</v>
      </c>
      <c r="P77" s="361">
        <v>321408</v>
      </c>
      <c r="Q77" s="361">
        <v>107136</v>
      </c>
      <c r="R77" s="361">
        <v>107136</v>
      </c>
      <c r="S77" s="361">
        <v>214272</v>
      </c>
      <c r="T77" s="363">
        <v>1247000</v>
      </c>
      <c r="U77" s="364">
        <f t="shared" si="2"/>
        <v>40588789</v>
      </c>
      <c r="V77" s="362"/>
      <c r="W77" s="365" t="str">
        <f>+VLOOKUP($B77,[2]Time_S4!$B:$G,6,0)</f>
        <v>Phòng Tổng hợp</v>
      </c>
      <c r="X77" s="365" t="str">
        <f>IF(W77="Phòng Kinh doanh","Trung tâm Kinh doanh - TCT CNC",+VLOOKUP($B77,[2]Time_S4!$B:$G,5,0))</f>
        <v>Khối 1 - TCT CNC</v>
      </c>
      <c r="Y77" s="366"/>
      <c r="Z77" s="366"/>
    </row>
    <row r="78" spans="1:26" ht="15.75" hidden="1">
      <c r="A78" s="367">
        <f>SUBTOTAL(3,$B$15:B78)</f>
        <v>1</v>
      </c>
      <c r="B78" s="356" t="s">
        <v>525</v>
      </c>
      <c r="C78" s="356" t="s">
        <v>526</v>
      </c>
      <c r="D78" s="356" t="s">
        <v>397</v>
      </c>
      <c r="E78" s="357">
        <v>21</v>
      </c>
      <c r="F78" s="357">
        <v>21</v>
      </c>
      <c r="G78" s="358">
        <v>36824093</v>
      </c>
      <c r="H78" s="359">
        <f t="shared" si="1"/>
        <v>35660458</v>
      </c>
      <c r="I78" s="360"/>
      <c r="J78" s="361"/>
      <c r="K78" s="362"/>
      <c r="L78" s="362"/>
      <c r="M78" s="361">
        <v>1163635</v>
      </c>
      <c r="N78" s="361">
        <v>2545452</v>
      </c>
      <c r="O78" s="361">
        <v>0</v>
      </c>
      <c r="P78" s="361">
        <v>0</v>
      </c>
      <c r="Q78" s="361">
        <v>0</v>
      </c>
      <c r="R78" s="361">
        <v>0</v>
      </c>
      <c r="S78" s="361">
        <v>290909</v>
      </c>
      <c r="T78" s="363">
        <v>1030000</v>
      </c>
      <c r="U78" s="364">
        <f t="shared" si="2"/>
        <v>40690454</v>
      </c>
      <c r="V78" s="362"/>
      <c r="W78" s="365" t="str">
        <f>+VLOOKUP($B78,[2]Time_S4!$B:$G,6,0)</f>
        <v>Trung tâm dịch vụ sau bán hàng</v>
      </c>
      <c r="X78" s="365" t="str">
        <f>IF(W78="Phòng Kinh doanh","Trung tâm Kinh doanh - TCT CNC",+VLOOKUP($B78,[2]Time_S4!$B:$G,5,0))</f>
        <v>Khối 1 - TCT CNC</v>
      </c>
      <c r="Y78" s="366"/>
      <c r="Z78" s="366"/>
    </row>
    <row r="79" spans="1:26" ht="15.75" hidden="1">
      <c r="A79" s="367">
        <f>SUBTOTAL(3,$B$15:B79)</f>
        <v>1</v>
      </c>
      <c r="B79" s="356" t="s">
        <v>527</v>
      </c>
      <c r="C79" s="356" t="s">
        <v>528</v>
      </c>
      <c r="D79" s="356" t="s">
        <v>410</v>
      </c>
      <c r="E79" s="357">
        <v>21</v>
      </c>
      <c r="F79" s="357">
        <v>21</v>
      </c>
      <c r="G79" s="358">
        <v>85685600</v>
      </c>
      <c r="H79" s="359">
        <f t="shared" si="1"/>
        <v>84155053</v>
      </c>
      <c r="I79" s="360"/>
      <c r="J79" s="361"/>
      <c r="K79" s="362"/>
      <c r="L79" s="362"/>
      <c r="M79" s="361">
        <v>1530547</v>
      </c>
      <c r="N79" s="361">
        <v>3348072</v>
      </c>
      <c r="O79" s="361">
        <v>0</v>
      </c>
      <c r="P79" s="361">
        <v>0</v>
      </c>
      <c r="Q79" s="361">
        <v>0</v>
      </c>
      <c r="R79" s="361">
        <v>0</v>
      </c>
      <c r="S79" s="361">
        <v>382637</v>
      </c>
      <c r="T79" s="363">
        <v>1730000</v>
      </c>
      <c r="U79" s="364">
        <f t="shared" si="2"/>
        <v>91146309</v>
      </c>
      <c r="V79" s="362"/>
      <c r="W79" s="365" t="str">
        <f>+VLOOKUP($B79,[2]Time_S4!$B:$G,6,0)</f>
        <v>Trung tâm dịch vụ sau bán hàng</v>
      </c>
      <c r="X79" s="365" t="str">
        <f>IF(W79="Phòng Kinh doanh","Trung tâm Kinh doanh - TCT CNC",+VLOOKUP($B79,[2]Time_S4!$B:$G,5,0))</f>
        <v>Khối 1 - TCT CNC</v>
      </c>
      <c r="Y79" s="366"/>
      <c r="Z79" s="366"/>
    </row>
    <row r="80" spans="1:26" ht="15.75" hidden="1">
      <c r="A80" s="367">
        <f>SUBTOTAL(3,$B$15:B80)</f>
        <v>1</v>
      </c>
      <c r="B80" s="356" t="s">
        <v>529</v>
      </c>
      <c r="C80" s="356" t="s">
        <v>530</v>
      </c>
      <c r="D80" s="356" t="s">
        <v>410</v>
      </c>
      <c r="E80" s="357">
        <v>21</v>
      </c>
      <c r="F80" s="357">
        <v>21</v>
      </c>
      <c r="G80" s="358">
        <v>63985083</v>
      </c>
      <c r="H80" s="359">
        <f t="shared" ref="H80:H143" si="3">+G80-SUM(M80,O80,Q80)</f>
        <v>62613656</v>
      </c>
      <c r="I80" s="360"/>
      <c r="J80" s="361"/>
      <c r="K80" s="362"/>
      <c r="L80" s="362"/>
      <c r="M80" s="361">
        <v>1371427</v>
      </c>
      <c r="N80" s="361">
        <v>2999997</v>
      </c>
      <c r="O80" s="361">
        <v>0</v>
      </c>
      <c r="P80" s="361">
        <v>0</v>
      </c>
      <c r="Q80" s="361">
        <v>0</v>
      </c>
      <c r="R80" s="361">
        <v>0</v>
      </c>
      <c r="S80" s="361">
        <v>342857</v>
      </c>
      <c r="T80" s="363">
        <v>1230000</v>
      </c>
      <c r="U80" s="364">
        <f t="shared" ref="U80:U143" si="4">+SUM(H80:T80)</f>
        <v>68557937</v>
      </c>
      <c r="V80" s="362"/>
      <c r="W80" s="365" t="str">
        <f>+VLOOKUP($B80,[2]Time_S4!$B:$G,6,0)</f>
        <v>Phòng Chiến lược - KHCN</v>
      </c>
      <c r="X80" s="365" t="str">
        <f>IF(W80="Phòng Kinh doanh","Trung tâm Kinh doanh - TCT CNC",+VLOOKUP($B80,[2]Time_S4!$B:$G,5,0))</f>
        <v>Khối cơ quan - TCT CNC</v>
      </c>
      <c r="Y80" s="366"/>
      <c r="Z80" s="366"/>
    </row>
    <row r="81" spans="1:26" ht="15.75" hidden="1">
      <c r="A81" s="367">
        <f>SUBTOTAL(3,$B$15:B81)</f>
        <v>1</v>
      </c>
      <c r="B81" s="356" t="s">
        <v>531</v>
      </c>
      <c r="C81" s="356" t="s">
        <v>532</v>
      </c>
      <c r="D81" s="356" t="s">
        <v>397</v>
      </c>
      <c r="E81" s="357">
        <v>21</v>
      </c>
      <c r="F81" s="357">
        <v>21</v>
      </c>
      <c r="G81" s="358">
        <v>77081250</v>
      </c>
      <c r="H81" s="359">
        <f t="shared" si="3"/>
        <v>75792940</v>
      </c>
      <c r="I81" s="360"/>
      <c r="J81" s="361"/>
      <c r="K81" s="362"/>
      <c r="L81" s="362"/>
      <c r="M81" s="361">
        <v>1288310</v>
      </c>
      <c r="N81" s="361">
        <v>2818179</v>
      </c>
      <c r="O81" s="361">
        <v>0</v>
      </c>
      <c r="P81" s="361">
        <v>0</v>
      </c>
      <c r="Q81" s="361">
        <v>0</v>
      </c>
      <c r="R81" s="361">
        <v>0</v>
      </c>
      <c r="S81" s="361">
        <v>322078</v>
      </c>
      <c r="T81" s="363">
        <v>1730000</v>
      </c>
      <c r="U81" s="364">
        <f t="shared" si="4"/>
        <v>81951507</v>
      </c>
      <c r="V81" s="362"/>
      <c r="W81" s="365" t="str">
        <f>+VLOOKUP($B81,[2]Time_S4!$B:$G,6,0)</f>
        <v>Ban Giám đốc</v>
      </c>
      <c r="X81" s="365" t="str">
        <f>IF(W81="Phòng Kinh doanh","Trung tâm Kinh doanh - TCT CNC",+VLOOKUP($B81,[2]Time_S4!$B:$G,5,0))</f>
        <v>Trung tâm Kinh doanh - TCT CNC</v>
      </c>
      <c r="Y81" s="366"/>
      <c r="Z81" s="366"/>
    </row>
    <row r="82" spans="1:26" ht="15.75" hidden="1">
      <c r="A82" s="367">
        <f>SUBTOTAL(3,$B$15:B82)</f>
        <v>1</v>
      </c>
      <c r="B82" s="356" t="s">
        <v>533</v>
      </c>
      <c r="C82" s="356" t="s">
        <v>534</v>
      </c>
      <c r="D82" s="356" t="s">
        <v>397</v>
      </c>
      <c r="E82" s="357">
        <v>21</v>
      </c>
      <c r="F82" s="357">
        <v>21</v>
      </c>
      <c r="G82" s="358">
        <v>123238292</v>
      </c>
      <c r="H82" s="359">
        <f t="shared" si="3"/>
        <v>121993412</v>
      </c>
      <c r="I82" s="360"/>
      <c r="J82" s="361"/>
      <c r="K82" s="362"/>
      <c r="L82" s="362"/>
      <c r="M82" s="361">
        <v>1244880</v>
      </c>
      <c r="N82" s="361">
        <v>2723175</v>
      </c>
      <c r="O82" s="361">
        <v>0</v>
      </c>
      <c r="P82" s="361">
        <v>0</v>
      </c>
      <c r="Q82" s="361">
        <v>0</v>
      </c>
      <c r="R82" s="361">
        <v>0</v>
      </c>
      <c r="S82" s="361">
        <v>311220</v>
      </c>
      <c r="T82" s="363">
        <v>1730000</v>
      </c>
      <c r="U82" s="364">
        <f t="shared" si="4"/>
        <v>128002687</v>
      </c>
      <c r="V82" s="362"/>
      <c r="W82" s="365" t="str">
        <f>+VLOOKUP($B82,[2]Time_S4!$B:$G,6,0)</f>
        <v>Trung tâm Nghiên cứu Công nghệ chuyển mạch</v>
      </c>
      <c r="X82" s="365" t="str">
        <f>IF(W82="Phòng Kinh doanh","Trung tâm Kinh doanh - TCT CNC",+VLOOKUP($B82,[2]Time_S4!$B:$G,5,0))</f>
        <v>Khối 2 - TCT CNC</v>
      </c>
      <c r="Y82" s="366"/>
      <c r="Z82" s="366"/>
    </row>
    <row r="83" spans="1:26" ht="15.75" hidden="1">
      <c r="A83" s="367">
        <f>SUBTOTAL(3,$B$15:B83)</f>
        <v>1</v>
      </c>
      <c r="B83" s="356" t="s">
        <v>535</v>
      </c>
      <c r="C83" s="356" t="s">
        <v>536</v>
      </c>
      <c r="D83" s="356" t="s">
        <v>407</v>
      </c>
      <c r="E83" s="357">
        <v>21</v>
      </c>
      <c r="F83" s="357">
        <v>21</v>
      </c>
      <c r="G83" s="358">
        <v>47663006</v>
      </c>
      <c r="H83" s="359">
        <f t="shared" si="3"/>
        <v>46418294</v>
      </c>
      <c r="I83" s="360"/>
      <c r="J83" s="361"/>
      <c r="K83" s="362"/>
      <c r="L83" s="362"/>
      <c r="M83" s="361">
        <v>948352</v>
      </c>
      <c r="N83" s="361">
        <v>2074520</v>
      </c>
      <c r="O83" s="361">
        <v>177816</v>
      </c>
      <c r="P83" s="361">
        <v>355632</v>
      </c>
      <c r="Q83" s="361">
        <v>118544</v>
      </c>
      <c r="R83" s="361">
        <v>118544</v>
      </c>
      <c r="S83" s="361">
        <v>237088</v>
      </c>
      <c r="T83" s="363">
        <v>1247000</v>
      </c>
      <c r="U83" s="364">
        <f t="shared" si="4"/>
        <v>51695790</v>
      </c>
      <c r="V83" s="362"/>
      <c r="W83" s="365" t="str">
        <f>+VLOOKUP($B83,[2]Time_S4!$B:$G,6,0)</f>
        <v>Trung tâm Đảm bảo chất lượng</v>
      </c>
      <c r="X83" s="365" t="str">
        <f>IF(W83="Phòng Kinh doanh","Trung tâm Kinh doanh - TCT CNC",+VLOOKUP($B83,[2]Time_S4!$B:$G,5,0))</f>
        <v>Khối 1 - TCT CNC</v>
      </c>
      <c r="Y83" s="366"/>
      <c r="Z83" s="366"/>
    </row>
    <row r="84" spans="1:26" ht="15.75" hidden="1">
      <c r="A84" s="367">
        <f>SUBTOTAL(3,$B$15:B84)</f>
        <v>1</v>
      </c>
      <c r="B84" s="356" t="s">
        <v>537</v>
      </c>
      <c r="C84" s="356" t="s">
        <v>538</v>
      </c>
      <c r="D84" s="356" t="s">
        <v>410</v>
      </c>
      <c r="E84" s="357">
        <v>21</v>
      </c>
      <c r="F84" s="357">
        <v>21</v>
      </c>
      <c r="G84" s="358">
        <v>112133181</v>
      </c>
      <c r="H84" s="359">
        <f t="shared" si="3"/>
        <v>110455869</v>
      </c>
      <c r="I84" s="360"/>
      <c r="J84" s="361"/>
      <c r="K84" s="362"/>
      <c r="L84" s="362"/>
      <c r="M84" s="361">
        <v>1677312</v>
      </c>
      <c r="N84" s="361">
        <v>3669120</v>
      </c>
      <c r="O84" s="361">
        <v>0</v>
      </c>
      <c r="P84" s="361">
        <v>0</v>
      </c>
      <c r="Q84" s="361">
        <v>0</v>
      </c>
      <c r="R84" s="361">
        <v>0</v>
      </c>
      <c r="S84" s="361">
        <v>419328</v>
      </c>
      <c r="T84" s="363">
        <v>1730000</v>
      </c>
      <c r="U84" s="364">
        <f t="shared" si="4"/>
        <v>117951629</v>
      </c>
      <c r="V84" s="362"/>
      <c r="W84" s="365" t="str">
        <f>+VLOOKUP($B84,[2]Time_S4!$B:$G,6,0)</f>
        <v>Trung tâm sản xuất</v>
      </c>
      <c r="X84" s="365" t="str">
        <f>IF(W84="Phòng Kinh doanh","Trung tâm Kinh doanh - TCT CNC",+VLOOKUP($B84,[2]Time_S4!$B:$G,5,0))</f>
        <v>Khối 1 - TCT CNC</v>
      </c>
      <c r="Y84" s="366"/>
      <c r="Z84" s="366"/>
    </row>
    <row r="85" spans="1:26" ht="15.75" hidden="1">
      <c r="A85" s="367">
        <f>SUBTOTAL(3,$B$15:B85)</f>
        <v>1</v>
      </c>
      <c r="B85" s="356" t="s">
        <v>539</v>
      </c>
      <c r="C85" s="356" t="s">
        <v>540</v>
      </c>
      <c r="D85" s="356" t="s">
        <v>407</v>
      </c>
      <c r="E85" s="357">
        <v>21</v>
      </c>
      <c r="F85" s="357">
        <v>21</v>
      </c>
      <c r="G85" s="358">
        <v>37546905</v>
      </c>
      <c r="H85" s="359">
        <f t="shared" si="3"/>
        <v>36421977</v>
      </c>
      <c r="I85" s="360"/>
      <c r="J85" s="361"/>
      <c r="K85" s="362"/>
      <c r="L85" s="362"/>
      <c r="M85" s="361">
        <v>857088</v>
      </c>
      <c r="N85" s="361">
        <v>1874880</v>
      </c>
      <c r="O85" s="361">
        <v>160704</v>
      </c>
      <c r="P85" s="361">
        <v>321408</v>
      </c>
      <c r="Q85" s="361">
        <v>107136</v>
      </c>
      <c r="R85" s="361">
        <v>107136</v>
      </c>
      <c r="S85" s="361">
        <v>214272</v>
      </c>
      <c r="T85" s="363">
        <v>1030000</v>
      </c>
      <c r="U85" s="364">
        <f t="shared" si="4"/>
        <v>41094601</v>
      </c>
      <c r="V85" s="362"/>
      <c r="W85" s="365" t="str">
        <f>+VLOOKUP($B85,[2]Time_S4!$B:$G,6,0)</f>
        <v>Trung tâm Camera</v>
      </c>
      <c r="X85" s="365" t="str">
        <f>IF(W85="Phòng Kinh doanh","Trung tâm Kinh doanh - TCT CNC",+VLOOKUP($B85,[2]Time_S4!$B:$G,5,0))</f>
        <v>Khối 3 - TCT CNC</v>
      </c>
      <c r="Y85" s="366"/>
      <c r="Z85" s="366"/>
    </row>
    <row r="86" spans="1:26" ht="15.75" hidden="1">
      <c r="A86" s="367">
        <f>SUBTOTAL(3,$B$15:B86)</f>
        <v>1</v>
      </c>
      <c r="B86" s="356" t="s">
        <v>541</v>
      </c>
      <c r="C86" s="356" t="s">
        <v>542</v>
      </c>
      <c r="D86" s="356" t="s">
        <v>407</v>
      </c>
      <c r="E86" s="357">
        <v>21</v>
      </c>
      <c r="F86" s="357">
        <v>21</v>
      </c>
      <c r="G86" s="358">
        <v>26678886</v>
      </c>
      <c r="H86" s="359">
        <f t="shared" si="3"/>
        <v>25663326</v>
      </c>
      <c r="I86" s="360"/>
      <c r="J86" s="361"/>
      <c r="K86" s="362"/>
      <c r="L86" s="362"/>
      <c r="M86" s="361">
        <v>773760</v>
      </c>
      <c r="N86" s="361">
        <v>1692600</v>
      </c>
      <c r="O86" s="361">
        <v>145080</v>
      </c>
      <c r="P86" s="361">
        <v>290160</v>
      </c>
      <c r="Q86" s="361">
        <v>96720</v>
      </c>
      <c r="R86" s="361">
        <v>96720</v>
      </c>
      <c r="S86" s="361">
        <v>193440</v>
      </c>
      <c r="T86" s="363">
        <v>1047000</v>
      </c>
      <c r="U86" s="364">
        <f t="shared" si="4"/>
        <v>29998806</v>
      </c>
      <c r="V86" s="381"/>
      <c r="W86" s="365" t="str">
        <f>+VLOOKUP($B86,[2]Time_S4!$B:$G,6,0)</f>
        <v>Phòng Chiến lược - KHCN</v>
      </c>
      <c r="X86" s="365" t="str">
        <f>IF(W86="Phòng Kinh doanh","Trung tâm Kinh doanh - TCT CNC",+VLOOKUP($B86,[2]Time_S4!$B:$G,5,0))</f>
        <v>Khối cơ quan - TCT CNC</v>
      </c>
      <c r="Y86" s="366"/>
      <c r="Z86" s="366"/>
    </row>
    <row r="87" spans="1:26" ht="15.75" hidden="1">
      <c r="A87" s="367">
        <f>SUBTOTAL(3,$B$15:B87)</f>
        <v>1</v>
      </c>
      <c r="B87" s="356" t="s">
        <v>543</v>
      </c>
      <c r="C87" s="356" t="s">
        <v>544</v>
      </c>
      <c r="D87" s="356" t="s">
        <v>407</v>
      </c>
      <c r="E87" s="357">
        <v>21</v>
      </c>
      <c r="F87" s="357">
        <v>21</v>
      </c>
      <c r="G87" s="358">
        <v>64671913</v>
      </c>
      <c r="H87" s="359">
        <f t="shared" si="3"/>
        <v>63297001</v>
      </c>
      <c r="I87" s="360"/>
      <c r="J87" s="361"/>
      <c r="K87" s="362"/>
      <c r="L87" s="362"/>
      <c r="M87" s="361">
        <v>1047552</v>
      </c>
      <c r="N87" s="361">
        <v>2291520</v>
      </c>
      <c r="O87" s="361">
        <v>196416</v>
      </c>
      <c r="P87" s="361">
        <v>392832</v>
      </c>
      <c r="Q87" s="361">
        <v>130944</v>
      </c>
      <c r="R87" s="361">
        <v>130944</v>
      </c>
      <c r="S87" s="361">
        <v>261888</v>
      </c>
      <c r="T87" s="363">
        <v>1230000</v>
      </c>
      <c r="U87" s="364">
        <f t="shared" si="4"/>
        <v>68979097</v>
      </c>
      <c r="V87" s="362"/>
      <c r="W87" s="365" t="str">
        <f>+VLOOKUP($B87,[2]Time_S4!$B:$G,6,0)</f>
        <v>Trung tâm dịch vụ sau bán hàng</v>
      </c>
      <c r="X87" s="365" t="str">
        <f>IF(W87="Phòng Kinh doanh","Trung tâm Kinh doanh - TCT CNC",+VLOOKUP($B87,[2]Time_S4!$B:$G,5,0))</f>
        <v>Khối 1 - TCT CNC</v>
      </c>
      <c r="Y87" s="366"/>
      <c r="Z87" s="366"/>
    </row>
    <row r="88" spans="1:26" ht="15.75" hidden="1">
      <c r="A88" s="367">
        <f>SUBTOTAL(3,$B$15:B88)</f>
        <v>1</v>
      </c>
      <c r="B88" s="356" t="s">
        <v>545</v>
      </c>
      <c r="C88" s="356" t="s">
        <v>546</v>
      </c>
      <c r="D88" s="356" t="s">
        <v>400</v>
      </c>
      <c r="E88" s="357">
        <v>21</v>
      </c>
      <c r="F88" s="357">
        <v>21</v>
      </c>
      <c r="G88" s="358">
        <v>20790517</v>
      </c>
      <c r="H88" s="359">
        <f t="shared" si="3"/>
        <v>19797103</v>
      </c>
      <c r="I88" s="360"/>
      <c r="J88" s="361"/>
      <c r="K88" s="362"/>
      <c r="L88" s="362"/>
      <c r="M88" s="361">
        <v>836559</v>
      </c>
      <c r="N88" s="361">
        <v>1829974</v>
      </c>
      <c r="O88" s="361">
        <v>156855</v>
      </c>
      <c r="P88" s="361">
        <v>313710</v>
      </c>
      <c r="Q88" s="361">
        <v>0</v>
      </c>
      <c r="R88" s="361">
        <v>0</v>
      </c>
      <c r="S88" s="361">
        <v>209140</v>
      </c>
      <c r="T88" s="363">
        <v>930000</v>
      </c>
      <c r="U88" s="364">
        <f t="shared" si="4"/>
        <v>24073341</v>
      </c>
      <c r="V88" s="362"/>
      <c r="W88" s="365" t="str">
        <f>+VLOOKUP($B88,[2]Time_S4!$B:$G,6,0)</f>
        <v>Phòng Tổng hợp</v>
      </c>
      <c r="X88" s="365" t="str">
        <f>IF(W88="Phòng Kinh doanh","Trung tâm Kinh doanh - TCT CNC",+VLOOKUP($B88,[2]Time_S4!$B:$G,5,0))</f>
        <v>Khối 3 - TCT CNC</v>
      </c>
      <c r="Y88" s="366"/>
      <c r="Z88" s="366"/>
    </row>
    <row r="89" spans="1:26" ht="15.75" hidden="1">
      <c r="A89" s="367">
        <f>SUBTOTAL(3,$B$15:B89)</f>
        <v>1</v>
      </c>
      <c r="B89" s="356" t="s">
        <v>547</v>
      </c>
      <c r="C89" s="356" t="s">
        <v>548</v>
      </c>
      <c r="D89" s="356" t="s">
        <v>407</v>
      </c>
      <c r="E89" s="357">
        <v>21</v>
      </c>
      <c r="F89" s="357">
        <v>21</v>
      </c>
      <c r="G89" s="358">
        <v>66732403</v>
      </c>
      <c r="H89" s="359">
        <f t="shared" si="3"/>
        <v>65357491</v>
      </c>
      <c r="I89" s="360"/>
      <c r="J89" s="361"/>
      <c r="K89" s="362"/>
      <c r="L89" s="362"/>
      <c r="M89" s="361">
        <v>1047552</v>
      </c>
      <c r="N89" s="361">
        <v>2291520</v>
      </c>
      <c r="O89" s="361">
        <v>196416</v>
      </c>
      <c r="P89" s="361">
        <v>392832</v>
      </c>
      <c r="Q89" s="361">
        <v>130944</v>
      </c>
      <c r="R89" s="361">
        <v>130944</v>
      </c>
      <c r="S89" s="361">
        <v>261888</v>
      </c>
      <c r="T89" s="363">
        <v>1130000</v>
      </c>
      <c r="U89" s="364">
        <f t="shared" si="4"/>
        <v>70939587</v>
      </c>
      <c r="V89" s="362"/>
      <c r="W89" s="365" t="str">
        <f>+VLOOKUP($B89,[2]Time_S4!$B:$G,6,0)</f>
        <v>Trung tâm Kỹ thuật công nghệ - TCT CNC</v>
      </c>
      <c r="X89" s="365" t="str">
        <f>IF(W89="Phòng Kinh doanh","Trung tâm Kinh doanh - TCT CNC",+VLOOKUP($B89,[2]Time_S4!$B:$G,5,0))</f>
        <v>Khối 2 - TCT CNC</v>
      </c>
      <c r="Y89" s="366"/>
      <c r="Z89" s="366"/>
    </row>
    <row r="90" spans="1:26" ht="15.75" hidden="1">
      <c r="A90" s="367">
        <f>SUBTOTAL(3,$B$15:B90)</f>
        <v>1</v>
      </c>
      <c r="B90" s="356" t="s">
        <v>549</v>
      </c>
      <c r="C90" s="356" t="s">
        <v>550</v>
      </c>
      <c r="D90" s="356" t="s">
        <v>407</v>
      </c>
      <c r="E90" s="357">
        <v>21</v>
      </c>
      <c r="F90" s="357">
        <v>21</v>
      </c>
      <c r="G90" s="358">
        <v>25316044</v>
      </c>
      <c r="H90" s="359">
        <f t="shared" si="3"/>
        <v>24300484</v>
      </c>
      <c r="I90" s="360"/>
      <c r="J90" s="361"/>
      <c r="K90" s="362"/>
      <c r="L90" s="362"/>
      <c r="M90" s="361">
        <v>773760</v>
      </c>
      <c r="N90" s="361">
        <v>1692600</v>
      </c>
      <c r="O90" s="361">
        <v>145080</v>
      </c>
      <c r="P90" s="361">
        <v>290160</v>
      </c>
      <c r="Q90" s="361">
        <v>96720</v>
      </c>
      <c r="R90" s="361">
        <v>96720</v>
      </c>
      <c r="S90" s="361">
        <v>193440</v>
      </c>
      <c r="T90" s="363">
        <v>1515000</v>
      </c>
      <c r="U90" s="364">
        <f t="shared" si="4"/>
        <v>29103964</v>
      </c>
      <c r="V90" s="362"/>
      <c r="W90" s="365" t="str">
        <f>+VLOOKUP($B90,[2]Time_S4!$B:$G,6,0)</f>
        <v>Phòng Thương hiệu và truyền thông</v>
      </c>
      <c r="X90" s="365" t="str">
        <f>IF(W90="Phòng Kinh doanh","Trung tâm Kinh doanh - TCT CNC",+VLOOKUP($B90,[2]Time_S4!$B:$G,5,0))</f>
        <v>Trung tâm Kinh doanh - TCT CNC</v>
      </c>
      <c r="Y90" s="366"/>
      <c r="Z90" s="366"/>
    </row>
    <row r="91" spans="1:26" ht="15.75" hidden="1">
      <c r="A91" s="367">
        <f>SUBTOTAL(3,$B$15:B91)</f>
        <v>1</v>
      </c>
      <c r="B91" s="356" t="s">
        <v>551</v>
      </c>
      <c r="C91" s="356" t="s">
        <v>552</v>
      </c>
      <c r="D91" s="356" t="s">
        <v>400</v>
      </c>
      <c r="E91" s="357">
        <v>21</v>
      </c>
      <c r="F91" s="357">
        <v>21</v>
      </c>
      <c r="G91" s="358">
        <v>20790517</v>
      </c>
      <c r="H91" s="359">
        <f t="shared" si="3"/>
        <v>19779363</v>
      </c>
      <c r="I91" s="360"/>
      <c r="J91" s="361"/>
      <c r="K91" s="362"/>
      <c r="L91" s="362"/>
      <c r="M91" s="361">
        <v>851498</v>
      </c>
      <c r="N91" s="361">
        <v>1862652</v>
      </c>
      <c r="O91" s="361">
        <v>159656</v>
      </c>
      <c r="P91" s="361">
        <v>319312</v>
      </c>
      <c r="Q91" s="361">
        <v>0</v>
      </c>
      <c r="R91" s="361">
        <v>0</v>
      </c>
      <c r="S91" s="361">
        <v>212874</v>
      </c>
      <c r="T91" s="363">
        <v>1047000</v>
      </c>
      <c r="U91" s="364">
        <f t="shared" si="4"/>
        <v>24232355</v>
      </c>
      <c r="V91" s="362"/>
      <c r="W91" s="365" t="str">
        <f>+VLOOKUP($B91,[2]Time_S4!$B:$G,6,0)</f>
        <v>Phòng Đảm bảo hàng hóa</v>
      </c>
      <c r="X91" s="365" t="str">
        <f>IF(W91="Phòng Kinh doanh","Trung tâm Kinh doanh - TCT CNC",+VLOOKUP($B91,[2]Time_S4!$B:$G,5,0))</f>
        <v>Trung tâm Mua sắm - TCT CNC</v>
      </c>
      <c r="Y91" s="366"/>
      <c r="Z91" s="366"/>
    </row>
    <row r="92" spans="1:26" ht="15.75" hidden="1">
      <c r="A92" s="367">
        <f>SUBTOTAL(3,$B$15:B92)</f>
        <v>1</v>
      </c>
      <c r="B92" s="356" t="s">
        <v>553</v>
      </c>
      <c r="C92" s="356" t="s">
        <v>554</v>
      </c>
      <c r="D92" s="356" t="s">
        <v>407</v>
      </c>
      <c r="E92" s="357">
        <v>21</v>
      </c>
      <c r="F92" s="357">
        <v>21</v>
      </c>
      <c r="G92" s="358">
        <v>50759711</v>
      </c>
      <c r="H92" s="359">
        <f t="shared" si="3"/>
        <v>49514999</v>
      </c>
      <c r="I92" s="360"/>
      <c r="J92" s="361"/>
      <c r="K92" s="362"/>
      <c r="L92" s="362"/>
      <c r="M92" s="361">
        <v>948352</v>
      </c>
      <c r="N92" s="361">
        <v>2074520</v>
      </c>
      <c r="O92" s="361">
        <v>177816</v>
      </c>
      <c r="P92" s="361">
        <v>355632</v>
      </c>
      <c r="Q92" s="361">
        <v>118544</v>
      </c>
      <c r="R92" s="361">
        <v>118544</v>
      </c>
      <c r="S92" s="361">
        <v>237088</v>
      </c>
      <c r="T92" s="363">
        <v>1130000</v>
      </c>
      <c r="U92" s="364">
        <f t="shared" si="4"/>
        <v>54675495</v>
      </c>
      <c r="V92" s="362"/>
      <c r="W92" s="365" t="str">
        <f>+VLOOKUP($B92,[2]Time_S4!$B:$G,6,0)</f>
        <v>Trung tâm Khí cụ bay</v>
      </c>
      <c r="X92" s="365" t="str">
        <f>IF(W92="Phòng Kinh doanh","Trung tâm Kinh doanh - TCT CNC",+VLOOKUP($B92,[2]Time_S4!$B:$G,5,0))</f>
        <v>Khối 1 - TCT CNC</v>
      </c>
      <c r="Y92" s="366"/>
      <c r="Z92" s="366"/>
    </row>
    <row r="93" spans="1:26" ht="15.75" hidden="1">
      <c r="A93" s="367">
        <f>SUBTOTAL(3,$B$15:B93)</f>
        <v>1</v>
      </c>
      <c r="B93" s="356" t="s">
        <v>555</v>
      </c>
      <c r="C93" s="356" t="s">
        <v>556</v>
      </c>
      <c r="D93" s="356" t="s">
        <v>407</v>
      </c>
      <c r="E93" s="357">
        <v>21</v>
      </c>
      <c r="F93" s="357">
        <v>21</v>
      </c>
      <c r="G93" s="358">
        <v>35650853</v>
      </c>
      <c r="H93" s="359">
        <f t="shared" si="3"/>
        <v>34525925</v>
      </c>
      <c r="I93" s="360"/>
      <c r="J93" s="361"/>
      <c r="K93" s="362"/>
      <c r="L93" s="362"/>
      <c r="M93" s="361">
        <v>857088</v>
      </c>
      <c r="N93" s="361">
        <v>1874880</v>
      </c>
      <c r="O93" s="361">
        <v>160704</v>
      </c>
      <c r="P93" s="361">
        <v>321408</v>
      </c>
      <c r="Q93" s="361">
        <v>107136</v>
      </c>
      <c r="R93" s="361">
        <v>107136</v>
      </c>
      <c r="S93" s="361">
        <v>214272</v>
      </c>
      <c r="T93" s="363">
        <v>1030000</v>
      </c>
      <c r="U93" s="364">
        <f t="shared" si="4"/>
        <v>39198549</v>
      </c>
      <c r="V93" s="362"/>
      <c r="W93" s="365" t="str">
        <f>+VLOOKUP($B93,[2]Time_S4!$B:$G,6,0)</f>
        <v>Trung tâm Khí cụ bay</v>
      </c>
      <c r="X93" s="365" t="str">
        <f>IF(W93="Phòng Kinh doanh","Trung tâm Kinh doanh - TCT CNC",+VLOOKUP($B93,[2]Time_S4!$B:$G,5,0))</f>
        <v>Khối 1 - TCT CNC</v>
      </c>
      <c r="Y93" s="366"/>
      <c r="Z93" s="366"/>
    </row>
    <row r="94" spans="1:26" ht="15.75" hidden="1">
      <c r="A94" s="367">
        <f>SUBTOTAL(3,$B$15:B94)</f>
        <v>1</v>
      </c>
      <c r="B94" s="356" t="s">
        <v>557</v>
      </c>
      <c r="C94" s="356" t="s">
        <v>558</v>
      </c>
      <c r="D94" s="356" t="s">
        <v>397</v>
      </c>
      <c r="E94" s="357">
        <v>21</v>
      </c>
      <c r="F94" s="357">
        <v>21</v>
      </c>
      <c r="G94" s="358">
        <v>17445367</v>
      </c>
      <c r="H94" s="359">
        <f t="shared" si="3"/>
        <v>16119055</v>
      </c>
      <c r="I94" s="360"/>
      <c r="J94" s="361"/>
      <c r="K94" s="362"/>
      <c r="L94" s="362"/>
      <c r="M94" s="361">
        <v>1326312</v>
      </c>
      <c r="N94" s="361">
        <v>2901308</v>
      </c>
      <c r="O94" s="361">
        <v>0</v>
      </c>
      <c r="P94" s="361">
        <v>0</v>
      </c>
      <c r="Q94" s="361">
        <v>0</v>
      </c>
      <c r="R94" s="361">
        <v>0</v>
      </c>
      <c r="S94" s="361">
        <v>331578</v>
      </c>
      <c r="T94" s="363">
        <v>1805000</v>
      </c>
      <c r="U94" s="364">
        <f t="shared" si="4"/>
        <v>22483253</v>
      </c>
      <c r="V94" s="362"/>
      <c r="W94" s="365" t="str">
        <f>+VLOOKUP($B94,[2]Time_S4!$B:$G,6,0)</f>
        <v>Phòng Hành chính</v>
      </c>
      <c r="X94" s="365" t="str">
        <f>IF(W94="Phòng Kinh doanh","Trung tâm Kinh doanh - TCT CNC",+VLOOKUP($B94,[2]Time_S4!$B:$G,5,0))</f>
        <v>Khối cơ quan - TCT CNC</v>
      </c>
      <c r="Y94" s="366"/>
      <c r="Z94" s="366"/>
    </row>
    <row r="95" spans="1:26" ht="15.75" hidden="1">
      <c r="A95" s="367">
        <f>SUBTOTAL(3,$B$15:B95)</f>
        <v>1</v>
      </c>
      <c r="B95" s="356" t="s">
        <v>559</v>
      </c>
      <c r="C95" s="356" t="s">
        <v>560</v>
      </c>
      <c r="D95" s="356" t="s">
        <v>397</v>
      </c>
      <c r="E95" s="357">
        <v>21</v>
      </c>
      <c r="F95" s="357">
        <v>21</v>
      </c>
      <c r="G95" s="358">
        <v>28143570</v>
      </c>
      <c r="H95" s="359">
        <f t="shared" si="3"/>
        <v>26801720</v>
      </c>
      <c r="I95" s="360"/>
      <c r="J95" s="361"/>
      <c r="K95" s="362"/>
      <c r="L95" s="362"/>
      <c r="M95" s="361">
        <v>1341850</v>
      </c>
      <c r="N95" s="361">
        <v>2935296</v>
      </c>
      <c r="O95" s="361">
        <v>0</v>
      </c>
      <c r="P95" s="361">
        <v>0</v>
      </c>
      <c r="Q95" s="361">
        <v>0</v>
      </c>
      <c r="R95" s="361">
        <v>0</v>
      </c>
      <c r="S95" s="361">
        <v>335462</v>
      </c>
      <c r="T95" s="363">
        <v>930000</v>
      </c>
      <c r="U95" s="364">
        <f t="shared" si="4"/>
        <v>32344328</v>
      </c>
      <c r="V95" s="362"/>
      <c r="W95" s="365" t="str">
        <f>+VLOOKUP($B95,[2]Time_S4!$B:$G,6,0)</f>
        <v>Phòng Chính trị</v>
      </c>
      <c r="X95" s="365" t="str">
        <f>IF(W95="Phòng Kinh doanh","Trung tâm Kinh doanh - TCT CNC",+VLOOKUP($B95,[2]Time_S4!$B:$G,5,0))</f>
        <v>Khối cơ quan - TCT CNC</v>
      </c>
      <c r="Y95" s="366"/>
      <c r="Z95" s="366"/>
    </row>
    <row r="96" spans="1:26" ht="15.75" hidden="1">
      <c r="A96" s="367">
        <f>SUBTOTAL(3,$B$15:B96)</f>
        <v>1</v>
      </c>
      <c r="B96" s="356" t="s">
        <v>561</v>
      </c>
      <c r="C96" s="356" t="s">
        <v>562</v>
      </c>
      <c r="D96" s="356" t="s">
        <v>397</v>
      </c>
      <c r="E96" s="357">
        <v>21</v>
      </c>
      <c r="F96" s="357">
        <v>21</v>
      </c>
      <c r="G96" s="358">
        <v>35650853</v>
      </c>
      <c r="H96" s="359">
        <f t="shared" si="3"/>
        <v>34269036</v>
      </c>
      <c r="I96" s="360"/>
      <c r="J96" s="361"/>
      <c r="K96" s="362"/>
      <c r="L96" s="362"/>
      <c r="M96" s="361">
        <v>1381817</v>
      </c>
      <c r="N96" s="361">
        <v>3022724</v>
      </c>
      <c r="O96" s="361">
        <v>0</v>
      </c>
      <c r="P96" s="361">
        <v>0</v>
      </c>
      <c r="Q96" s="361">
        <v>0</v>
      </c>
      <c r="R96" s="361">
        <v>0</v>
      </c>
      <c r="S96" s="361">
        <v>345454</v>
      </c>
      <c r="T96" s="363">
        <v>1147000</v>
      </c>
      <c r="U96" s="364">
        <f t="shared" si="4"/>
        <v>40166031</v>
      </c>
      <c r="V96" s="362"/>
      <c r="W96" s="365" t="str">
        <f>+VLOOKUP($B96,[2]Time_S4!$B:$G,6,0)</f>
        <v>Phòng Dự án</v>
      </c>
      <c r="X96" s="365" t="str">
        <f>IF(W96="Phòng Kinh doanh","Trung tâm Kinh doanh - TCT CNC",+VLOOKUP($B96,[2]Time_S4!$B:$G,5,0))</f>
        <v>Trung tâm Mua sắm - TCT CNC</v>
      </c>
      <c r="Y96" s="366"/>
      <c r="Z96" s="366"/>
    </row>
    <row r="97" spans="1:26" ht="15.75" hidden="1">
      <c r="A97" s="367">
        <f>SUBTOTAL(3,$B$15:B97)</f>
        <v>1</v>
      </c>
      <c r="B97" s="356" t="s">
        <v>563</v>
      </c>
      <c r="C97" s="356" t="s">
        <v>564</v>
      </c>
      <c r="D97" s="356" t="s">
        <v>400</v>
      </c>
      <c r="E97" s="357">
        <v>21</v>
      </c>
      <c r="F97" s="357">
        <v>21</v>
      </c>
      <c r="G97" s="358">
        <v>62611423</v>
      </c>
      <c r="H97" s="359">
        <f t="shared" si="3"/>
        <v>61724446</v>
      </c>
      <c r="I97" s="360"/>
      <c r="J97" s="361"/>
      <c r="K97" s="362"/>
      <c r="L97" s="362"/>
      <c r="M97" s="361">
        <v>746928</v>
      </c>
      <c r="N97" s="361">
        <v>1633905</v>
      </c>
      <c r="O97" s="361">
        <v>140049</v>
      </c>
      <c r="P97" s="361">
        <v>280098</v>
      </c>
      <c r="Q97" s="361">
        <v>0</v>
      </c>
      <c r="R97" s="361">
        <v>0</v>
      </c>
      <c r="S97" s="361">
        <v>186732</v>
      </c>
      <c r="T97" s="363">
        <v>1230000</v>
      </c>
      <c r="U97" s="364">
        <f t="shared" si="4"/>
        <v>65942158</v>
      </c>
      <c r="V97" s="362"/>
      <c r="W97" s="365" t="str">
        <f>+VLOOKUP($B97,[2]Time_S4!$B:$G,6,0)</f>
        <v>Trung tâm Quang điện tử</v>
      </c>
      <c r="X97" s="365" t="str">
        <f>IF(W97="Phòng Kinh doanh","Trung tâm Kinh doanh - TCT CNC",+VLOOKUP($B97,[2]Time_S4!$B:$G,5,0))</f>
        <v>Khối 1 - TCT CNC</v>
      </c>
      <c r="Y97" s="366"/>
      <c r="Z97" s="366"/>
    </row>
    <row r="98" spans="1:26" ht="15.75" hidden="1">
      <c r="A98" s="367">
        <f>SUBTOTAL(3,$B$15:B98)</f>
        <v>1</v>
      </c>
      <c r="B98" s="356" t="s">
        <v>565</v>
      </c>
      <c r="C98" s="356" t="s">
        <v>566</v>
      </c>
      <c r="D98" s="356" t="s">
        <v>410</v>
      </c>
      <c r="E98" s="357">
        <v>21</v>
      </c>
      <c r="F98" s="357">
        <v>21</v>
      </c>
      <c r="G98" s="358">
        <v>173621513</v>
      </c>
      <c r="H98" s="359">
        <f t="shared" si="3"/>
        <v>172097705</v>
      </c>
      <c r="I98" s="360"/>
      <c r="J98" s="361"/>
      <c r="K98" s="362"/>
      <c r="L98" s="362"/>
      <c r="M98" s="361">
        <v>1523808</v>
      </c>
      <c r="N98" s="361">
        <v>3333330</v>
      </c>
      <c r="O98" s="361">
        <v>0</v>
      </c>
      <c r="P98" s="361">
        <v>0</v>
      </c>
      <c r="Q98" s="361">
        <v>0</v>
      </c>
      <c r="R98" s="361">
        <v>0</v>
      </c>
      <c r="S98" s="361">
        <v>380952</v>
      </c>
      <c r="T98" s="363">
        <v>3932000</v>
      </c>
      <c r="U98" s="364">
        <f t="shared" si="4"/>
        <v>181267795</v>
      </c>
      <c r="V98" s="362"/>
      <c r="W98" s="365" t="str">
        <f>+VLOOKUP($B98,[2]Time_S4!$B:$G,6,0)</f>
        <v>Ban Giám đốc</v>
      </c>
      <c r="X98" s="365" t="str">
        <f>IF(W98="Phòng Kinh doanh","Trung tâm Kinh doanh - TCT CNC",+VLOOKUP($B98,[2]Time_S4!$B:$G,5,0))</f>
        <v>Khối cơ quan - TCT CNC</v>
      </c>
      <c r="Y98" s="366"/>
      <c r="Z98" s="366"/>
    </row>
    <row r="99" spans="1:26" ht="15.75" hidden="1">
      <c r="A99" s="367">
        <f>SUBTOTAL(3,$B$15:B99)</f>
        <v>1</v>
      </c>
      <c r="B99" s="356" t="s">
        <v>567</v>
      </c>
      <c r="C99" s="356" t="s">
        <v>568</v>
      </c>
      <c r="D99" s="356" t="s">
        <v>407</v>
      </c>
      <c r="E99" s="357">
        <v>21</v>
      </c>
      <c r="F99" s="357">
        <v>21</v>
      </c>
      <c r="G99" s="358">
        <v>20344177</v>
      </c>
      <c r="H99" s="359">
        <f t="shared" si="3"/>
        <v>19427569</v>
      </c>
      <c r="I99" s="360"/>
      <c r="J99" s="361"/>
      <c r="K99" s="362"/>
      <c r="L99" s="362"/>
      <c r="M99" s="361">
        <v>698368</v>
      </c>
      <c r="N99" s="361">
        <v>1527680</v>
      </c>
      <c r="O99" s="361">
        <v>130944</v>
      </c>
      <c r="P99" s="361">
        <v>261888</v>
      </c>
      <c r="Q99" s="361">
        <v>87296</v>
      </c>
      <c r="R99" s="361">
        <v>87296</v>
      </c>
      <c r="S99" s="361">
        <v>174592</v>
      </c>
      <c r="T99" s="363">
        <v>930000</v>
      </c>
      <c r="U99" s="364">
        <f t="shared" si="4"/>
        <v>23325633</v>
      </c>
      <c r="V99" s="362"/>
      <c r="W99" s="365" t="str">
        <f>+VLOOKUP($B99,[2]Time_S4!$B:$G,6,0)</f>
        <v>Phòng Đảm bảo hàng hóa</v>
      </c>
      <c r="X99" s="365" t="str">
        <f>IF(W99="Phòng Kinh doanh","Trung tâm Kinh doanh - TCT CNC",+VLOOKUP($B99,[2]Time_S4!$B:$G,5,0))</f>
        <v>Trung tâm Mua sắm - TCT CNC</v>
      </c>
      <c r="Y99" s="366"/>
      <c r="Z99" s="366"/>
    </row>
    <row r="100" spans="1:26" ht="15.75" hidden="1">
      <c r="A100" s="367">
        <f>SUBTOTAL(3,$B$15:B100)</f>
        <v>1</v>
      </c>
      <c r="B100" s="356" t="s">
        <v>569</v>
      </c>
      <c r="C100" s="356" t="s">
        <v>570</v>
      </c>
      <c r="D100" s="356" t="s">
        <v>407</v>
      </c>
      <c r="E100" s="357">
        <v>21</v>
      </c>
      <c r="F100" s="357">
        <v>21</v>
      </c>
      <c r="G100" s="358">
        <v>30142054</v>
      </c>
      <c r="H100" s="359">
        <f t="shared" si="3"/>
        <v>29074414</v>
      </c>
      <c r="I100" s="360"/>
      <c r="J100" s="361"/>
      <c r="K100" s="362"/>
      <c r="L100" s="362"/>
      <c r="M100" s="361">
        <v>813440</v>
      </c>
      <c r="N100" s="361">
        <v>1779400</v>
      </c>
      <c r="O100" s="361">
        <v>152520</v>
      </c>
      <c r="P100" s="361">
        <v>305040</v>
      </c>
      <c r="Q100" s="361">
        <v>101680</v>
      </c>
      <c r="R100" s="361">
        <v>101680</v>
      </c>
      <c r="S100" s="361">
        <v>203360</v>
      </c>
      <c r="T100" s="363">
        <v>1030000</v>
      </c>
      <c r="U100" s="364">
        <f t="shared" si="4"/>
        <v>33561534</v>
      </c>
      <c r="V100" s="362"/>
      <c r="W100" s="365" t="str">
        <f>+VLOOKUP($B100,[2]Time_S4!$B:$G,6,0)</f>
        <v>Trung tâm Camera</v>
      </c>
      <c r="X100" s="365" t="str">
        <f>IF(W100="Phòng Kinh doanh","Trung tâm Kinh doanh - TCT CNC",+VLOOKUP($B100,[2]Time_S4!$B:$G,5,0))</f>
        <v>Khối 3 - TCT CNC</v>
      </c>
      <c r="Y100" s="366"/>
      <c r="Z100" s="366"/>
    </row>
    <row r="101" spans="1:26" ht="15.75" hidden="1">
      <c r="A101" s="367">
        <f>SUBTOTAL(3,$B$15:B101)</f>
        <v>1</v>
      </c>
      <c r="B101" s="356" t="s">
        <v>571</v>
      </c>
      <c r="C101" s="356" t="s">
        <v>572</v>
      </c>
      <c r="D101" s="356" t="s">
        <v>407</v>
      </c>
      <c r="E101" s="357">
        <v>21</v>
      </c>
      <c r="F101" s="357">
        <v>21</v>
      </c>
      <c r="G101" s="358">
        <v>30459291</v>
      </c>
      <c r="H101" s="359">
        <f t="shared" si="3"/>
        <v>29391651</v>
      </c>
      <c r="I101" s="360"/>
      <c r="J101" s="361"/>
      <c r="K101" s="362"/>
      <c r="L101" s="362"/>
      <c r="M101" s="361">
        <v>813440</v>
      </c>
      <c r="N101" s="361">
        <v>1779400</v>
      </c>
      <c r="O101" s="361">
        <v>152520</v>
      </c>
      <c r="P101" s="361">
        <v>305040</v>
      </c>
      <c r="Q101" s="361">
        <v>101680</v>
      </c>
      <c r="R101" s="361">
        <v>101680</v>
      </c>
      <c r="S101" s="361">
        <v>203360</v>
      </c>
      <c r="T101" s="363">
        <v>1147000</v>
      </c>
      <c r="U101" s="364">
        <f t="shared" si="4"/>
        <v>33995771</v>
      </c>
      <c r="V101" s="362"/>
      <c r="W101" s="365" t="str">
        <f>+VLOOKUP($B101,[2]Time_S4!$B:$G,6,0)</f>
        <v>Phòng Chiến lược - KHCN</v>
      </c>
      <c r="X101" s="365" t="str">
        <f>IF(W101="Phòng Kinh doanh","Trung tâm Kinh doanh - TCT CNC",+VLOOKUP($B101,[2]Time_S4!$B:$G,5,0))</f>
        <v>Khối cơ quan - TCT CNC</v>
      </c>
      <c r="Y101" s="366"/>
      <c r="Z101" s="366"/>
    </row>
    <row r="102" spans="1:26" ht="15.75" hidden="1">
      <c r="A102" s="367">
        <f>SUBTOTAL(3,$B$15:B102)</f>
        <v>1</v>
      </c>
      <c r="B102" s="356" t="s">
        <v>573</v>
      </c>
      <c r="C102" s="356" t="s">
        <v>574</v>
      </c>
      <c r="D102" s="356" t="s">
        <v>407</v>
      </c>
      <c r="E102" s="357">
        <v>21</v>
      </c>
      <c r="F102" s="357">
        <v>21</v>
      </c>
      <c r="G102" s="358">
        <v>20790517</v>
      </c>
      <c r="H102" s="359">
        <f t="shared" si="3"/>
        <v>19873909</v>
      </c>
      <c r="I102" s="360"/>
      <c r="J102" s="361"/>
      <c r="K102" s="362"/>
      <c r="L102" s="362"/>
      <c r="M102" s="361">
        <v>698368</v>
      </c>
      <c r="N102" s="361">
        <v>1527680</v>
      </c>
      <c r="O102" s="361">
        <v>130944</v>
      </c>
      <c r="P102" s="361">
        <v>261888</v>
      </c>
      <c r="Q102" s="361">
        <v>87296</v>
      </c>
      <c r="R102" s="361">
        <v>87296</v>
      </c>
      <c r="S102" s="361">
        <v>174592</v>
      </c>
      <c r="T102" s="363">
        <v>1047000</v>
      </c>
      <c r="U102" s="364">
        <f t="shared" si="4"/>
        <v>23888973</v>
      </c>
      <c r="V102" s="362"/>
      <c r="W102" s="365" t="str">
        <f>+VLOOKUP($B102,[2]Time_S4!$B:$G,6,0)</f>
        <v>Phòng Tổng hợp</v>
      </c>
      <c r="X102" s="365" t="str">
        <f>IF(W102="Phòng Kinh doanh","Trung tâm Kinh doanh - TCT CNC",+VLOOKUP($B102,[2]Time_S4!$B:$G,5,0))</f>
        <v>Khối 1 - TCT CNC</v>
      </c>
      <c r="Y102" s="366"/>
      <c r="Z102" s="366"/>
    </row>
    <row r="103" spans="1:26" ht="15.75" hidden="1">
      <c r="A103" s="367">
        <f>SUBTOTAL(3,$B$15:B103)</f>
        <v>1</v>
      </c>
      <c r="B103" s="356" t="s">
        <v>575</v>
      </c>
      <c r="C103" s="356" t="s">
        <v>576</v>
      </c>
      <c r="D103" s="356" t="s">
        <v>407</v>
      </c>
      <c r="E103" s="357">
        <v>21</v>
      </c>
      <c r="F103" s="357">
        <v>21</v>
      </c>
      <c r="G103" s="358">
        <v>46810660</v>
      </c>
      <c r="H103" s="359">
        <f t="shared" si="3"/>
        <v>45565948</v>
      </c>
      <c r="I103" s="360"/>
      <c r="J103" s="361"/>
      <c r="K103" s="362"/>
      <c r="L103" s="362"/>
      <c r="M103" s="361">
        <v>948352</v>
      </c>
      <c r="N103" s="361">
        <v>2074520</v>
      </c>
      <c r="O103" s="361">
        <v>177816</v>
      </c>
      <c r="P103" s="361">
        <v>355632</v>
      </c>
      <c r="Q103" s="361">
        <v>118544</v>
      </c>
      <c r="R103" s="361">
        <v>118544</v>
      </c>
      <c r="S103" s="361">
        <v>237088</v>
      </c>
      <c r="T103" s="363">
        <v>1030000</v>
      </c>
      <c r="U103" s="364">
        <f t="shared" si="4"/>
        <v>50626444</v>
      </c>
      <c r="V103" s="362"/>
      <c r="W103" s="365" t="str">
        <f>+VLOOKUP($B103,[2]Time_S4!$B:$G,6,0)</f>
        <v>Trung tâm Nghiên cứu thiết bị vô tuyến băng rộng</v>
      </c>
      <c r="X103" s="365" t="str">
        <f>IF(W103="Phòng Kinh doanh","Trung tâm Kinh doanh - TCT CNC",+VLOOKUP($B103,[2]Time_S4!$B:$G,5,0))</f>
        <v>Khối 2 - TCT CNC</v>
      </c>
      <c r="Y103" s="366"/>
      <c r="Z103" s="366"/>
    </row>
    <row r="104" spans="1:26" ht="15.75" hidden="1">
      <c r="A104" s="367">
        <f>SUBTOTAL(3,$B$15:B104)</f>
        <v>1</v>
      </c>
      <c r="B104" s="356" t="s">
        <v>577</v>
      </c>
      <c r="C104" s="356" t="s">
        <v>578</v>
      </c>
      <c r="D104" s="356" t="s">
        <v>407</v>
      </c>
      <c r="E104" s="357">
        <v>21</v>
      </c>
      <c r="F104" s="357">
        <v>21</v>
      </c>
      <c r="G104" s="358">
        <v>11554530</v>
      </c>
      <c r="H104" s="359">
        <f t="shared" si="3"/>
        <v>10804578</v>
      </c>
      <c r="I104" s="360"/>
      <c r="J104" s="361"/>
      <c r="K104" s="362"/>
      <c r="L104" s="362"/>
      <c r="M104" s="361">
        <v>571392</v>
      </c>
      <c r="N104" s="361">
        <v>1249920</v>
      </c>
      <c r="O104" s="361">
        <v>107136</v>
      </c>
      <c r="P104" s="361">
        <v>214272</v>
      </c>
      <c r="Q104" s="361">
        <v>71424</v>
      </c>
      <c r="R104" s="361">
        <v>71424</v>
      </c>
      <c r="S104" s="361">
        <v>142848</v>
      </c>
      <c r="T104" s="363">
        <v>1047000</v>
      </c>
      <c r="U104" s="364">
        <f t="shared" si="4"/>
        <v>14279994</v>
      </c>
      <c r="V104" s="362"/>
      <c r="W104" s="365" t="str">
        <f>+VLOOKUP($B104,[2]Time_S4!$B:$G,6,0)</f>
        <v>Phòng Hành chính</v>
      </c>
      <c r="X104" s="365" t="str">
        <f>IF(W104="Phòng Kinh doanh","Trung tâm Kinh doanh - TCT CNC",+VLOOKUP($B104,[2]Time_S4!$B:$G,5,0))</f>
        <v>Khối cơ quan - TCT CNC</v>
      </c>
      <c r="Y104" s="366"/>
      <c r="Z104" s="366"/>
    </row>
    <row r="105" spans="1:26" ht="15.75" hidden="1">
      <c r="A105" s="367">
        <f>SUBTOTAL(3,$B$15:B105)</f>
        <v>1</v>
      </c>
      <c r="B105" s="356" t="s">
        <v>579</v>
      </c>
      <c r="C105" s="356" t="s">
        <v>580</v>
      </c>
      <c r="D105" s="356" t="s">
        <v>407</v>
      </c>
      <c r="E105" s="357">
        <v>21</v>
      </c>
      <c r="F105" s="357">
        <v>21</v>
      </c>
      <c r="G105" s="358">
        <v>15307587</v>
      </c>
      <c r="H105" s="359">
        <f t="shared" si="3"/>
        <v>14474307</v>
      </c>
      <c r="I105" s="360"/>
      <c r="J105" s="361"/>
      <c r="K105" s="362"/>
      <c r="L105" s="362"/>
      <c r="M105" s="361">
        <v>634880</v>
      </c>
      <c r="N105" s="361">
        <v>1388800</v>
      </c>
      <c r="O105" s="361">
        <v>119040</v>
      </c>
      <c r="P105" s="361">
        <v>238080</v>
      </c>
      <c r="Q105" s="361">
        <v>79360</v>
      </c>
      <c r="R105" s="361">
        <v>79360</v>
      </c>
      <c r="S105" s="361">
        <v>158720</v>
      </c>
      <c r="T105" s="363">
        <v>1530000</v>
      </c>
      <c r="U105" s="364">
        <f t="shared" si="4"/>
        <v>18702547</v>
      </c>
      <c r="V105" s="362"/>
      <c r="W105" s="365" t="str">
        <f>+VLOOKUP($B105,[2]Time_S4!$B:$G,6,0)</f>
        <v>Phòng Hành chính</v>
      </c>
      <c r="X105" s="365" t="str">
        <f>IF(W105="Phòng Kinh doanh","Trung tâm Kinh doanh - TCT CNC",+VLOOKUP($B105,[2]Time_S4!$B:$G,5,0))</f>
        <v>Khối cơ quan - TCT CNC</v>
      </c>
      <c r="Y105" s="366"/>
      <c r="Z105" s="366"/>
    </row>
    <row r="106" spans="1:26" ht="15.75" hidden="1">
      <c r="A106" s="367">
        <f>SUBTOTAL(3,$B$15:B106)</f>
        <v>1</v>
      </c>
      <c r="B106" s="356" t="s">
        <v>581</v>
      </c>
      <c r="C106" s="356" t="s">
        <v>582</v>
      </c>
      <c r="D106" s="356" t="s">
        <v>407</v>
      </c>
      <c r="E106" s="357">
        <v>21</v>
      </c>
      <c r="F106" s="357">
        <v>21</v>
      </c>
      <c r="G106" s="358">
        <v>30459291</v>
      </c>
      <c r="H106" s="359">
        <f t="shared" si="3"/>
        <v>29391651</v>
      </c>
      <c r="I106" s="360"/>
      <c r="J106" s="361"/>
      <c r="K106" s="362"/>
      <c r="L106" s="362"/>
      <c r="M106" s="361">
        <v>813440</v>
      </c>
      <c r="N106" s="361">
        <v>1779400</v>
      </c>
      <c r="O106" s="361">
        <v>152520</v>
      </c>
      <c r="P106" s="361">
        <v>305040</v>
      </c>
      <c r="Q106" s="361">
        <v>101680</v>
      </c>
      <c r="R106" s="361">
        <v>101680</v>
      </c>
      <c r="S106" s="361">
        <v>203360</v>
      </c>
      <c r="T106" s="363">
        <v>1030000</v>
      </c>
      <c r="U106" s="364">
        <f t="shared" si="4"/>
        <v>33878771</v>
      </c>
      <c r="V106" s="362"/>
      <c r="W106" s="365" t="str">
        <f>+VLOOKUP($B106,[2]Time_S4!$B:$G,6,0)</f>
        <v>Phòng Đầu tư</v>
      </c>
      <c r="X106" s="365" t="str">
        <f>IF(W106="Phòng Kinh doanh","Trung tâm Kinh doanh - TCT CNC",+VLOOKUP($B106,[2]Time_S4!$B:$G,5,0))</f>
        <v>Trung tâm Mua sắm - TCT CNC</v>
      </c>
      <c r="Y106" s="366"/>
      <c r="Z106" s="366"/>
    </row>
    <row r="107" spans="1:26" ht="15.75" hidden="1">
      <c r="A107" s="367">
        <f>SUBTOTAL(3,$B$15:B107)</f>
        <v>1</v>
      </c>
      <c r="B107" s="356" t="s">
        <v>583</v>
      </c>
      <c r="C107" s="356" t="s">
        <v>584</v>
      </c>
      <c r="D107" s="356" t="s">
        <v>407</v>
      </c>
      <c r="E107" s="357">
        <v>21</v>
      </c>
      <c r="F107" s="357">
        <v>21</v>
      </c>
      <c r="G107" s="358">
        <v>31105615</v>
      </c>
      <c r="H107" s="359">
        <f t="shared" si="3"/>
        <v>30037975</v>
      </c>
      <c r="I107" s="360"/>
      <c r="J107" s="361"/>
      <c r="K107" s="362"/>
      <c r="L107" s="362"/>
      <c r="M107" s="361">
        <v>813440</v>
      </c>
      <c r="N107" s="361">
        <v>1779400</v>
      </c>
      <c r="O107" s="361">
        <v>152520</v>
      </c>
      <c r="P107" s="361">
        <v>305040</v>
      </c>
      <c r="Q107" s="361">
        <v>101680</v>
      </c>
      <c r="R107" s="361">
        <v>101680</v>
      </c>
      <c r="S107" s="361">
        <v>203360</v>
      </c>
      <c r="T107" s="363">
        <v>1030000</v>
      </c>
      <c r="U107" s="364">
        <f t="shared" si="4"/>
        <v>34525095</v>
      </c>
      <c r="V107" s="362"/>
      <c r="W107" s="365" t="str">
        <f>+VLOOKUP($B107,[2]Time_S4!$B:$G,6,0)</f>
        <v>Phòng Kinh doanh</v>
      </c>
      <c r="X107" s="365" t="str">
        <f>IF(W107="Phòng Kinh doanh","Trung tâm Kinh doanh - TCT CNC",+VLOOKUP($B107,[2]Time_S4!$B:$G,5,0))</f>
        <v>Trung tâm Kinh doanh - TCT CNC</v>
      </c>
      <c r="Y107" s="366"/>
      <c r="Z107" s="366"/>
    </row>
    <row r="108" spans="1:26" ht="15.75" hidden="1">
      <c r="A108" s="367">
        <f>SUBTOTAL(3,$B$15:B108)</f>
        <v>1</v>
      </c>
      <c r="B108" s="356" t="s">
        <v>585</v>
      </c>
      <c r="C108" s="356" t="s">
        <v>586</v>
      </c>
      <c r="D108" s="356" t="s">
        <v>410</v>
      </c>
      <c r="E108" s="357">
        <v>21</v>
      </c>
      <c r="F108" s="357">
        <v>21</v>
      </c>
      <c r="G108" s="358">
        <v>92929416</v>
      </c>
      <c r="H108" s="359">
        <f t="shared" si="3"/>
        <v>91012488</v>
      </c>
      <c r="I108" s="360"/>
      <c r="J108" s="361"/>
      <c r="K108" s="362"/>
      <c r="L108" s="362"/>
      <c r="M108" s="361">
        <v>1916928</v>
      </c>
      <c r="N108" s="361">
        <v>4193280</v>
      </c>
      <c r="O108" s="361">
        <v>0</v>
      </c>
      <c r="P108" s="361">
        <v>0</v>
      </c>
      <c r="Q108" s="361">
        <v>0</v>
      </c>
      <c r="R108" s="361">
        <v>0</v>
      </c>
      <c r="S108" s="361">
        <v>479232</v>
      </c>
      <c r="T108" s="363">
        <v>1730000</v>
      </c>
      <c r="U108" s="364">
        <f t="shared" si="4"/>
        <v>99331928</v>
      </c>
      <c r="V108" s="362"/>
      <c r="W108" s="365" t="str">
        <f>+VLOOKUP($B108,[2]Time_S4!$B:$G,6,0)</f>
        <v>Ban Giám đốc</v>
      </c>
      <c r="X108" s="365" t="str">
        <f>IF(W108="Phòng Kinh doanh","Trung tâm Kinh doanh - TCT CNC",+VLOOKUP($B108,[2]Time_S4!$B:$G,5,0))</f>
        <v>Khối cơ quan - TCT CNC</v>
      </c>
      <c r="Y108" s="366"/>
      <c r="Z108" s="366"/>
    </row>
    <row r="109" spans="1:26" ht="15.75" hidden="1">
      <c r="A109" s="367">
        <f>SUBTOTAL(3,$B$15:B109)</f>
        <v>1</v>
      </c>
      <c r="B109" s="356" t="s">
        <v>587</v>
      </c>
      <c r="C109" s="356" t="s">
        <v>588</v>
      </c>
      <c r="D109" s="356" t="s">
        <v>410</v>
      </c>
      <c r="E109" s="357">
        <v>21</v>
      </c>
      <c r="F109" s="357">
        <v>21</v>
      </c>
      <c r="G109" s="358">
        <v>158174451</v>
      </c>
      <c r="H109" s="359">
        <f t="shared" si="3"/>
        <v>156671235</v>
      </c>
      <c r="I109" s="360"/>
      <c r="J109" s="361"/>
      <c r="K109" s="362"/>
      <c r="L109" s="362"/>
      <c r="M109" s="361">
        <v>1503216</v>
      </c>
      <c r="N109" s="361">
        <v>3288285</v>
      </c>
      <c r="O109" s="361">
        <v>0</v>
      </c>
      <c r="P109" s="361">
        <v>0</v>
      </c>
      <c r="Q109" s="361">
        <v>0</v>
      </c>
      <c r="R109" s="361">
        <v>0</v>
      </c>
      <c r="S109" s="361">
        <v>375804</v>
      </c>
      <c r="T109" s="363">
        <v>2730000</v>
      </c>
      <c r="U109" s="364">
        <f t="shared" si="4"/>
        <v>164568540</v>
      </c>
      <c r="V109" s="362"/>
      <c r="W109" s="365" t="str">
        <f>+VLOOKUP($B109,[2]Time_S4!$B:$G,6,0)</f>
        <v>Ban Giám đốc</v>
      </c>
      <c r="X109" s="365" t="str">
        <f>IF(W109="Phòng Kinh doanh","Trung tâm Kinh doanh - TCT CNC",+VLOOKUP($B109,[2]Time_S4!$B:$G,5,0))</f>
        <v>Khối cơ quan - TCT CNC</v>
      </c>
      <c r="Y109" s="366"/>
      <c r="Z109" s="366"/>
    </row>
    <row r="110" spans="1:26" ht="15.75" hidden="1">
      <c r="A110" s="367">
        <f>SUBTOTAL(3,$B$15:B110)</f>
        <v>1</v>
      </c>
      <c r="B110" s="356" t="s">
        <v>589</v>
      </c>
      <c r="C110" s="356" t="s">
        <v>590</v>
      </c>
      <c r="D110" s="356" t="s">
        <v>397</v>
      </c>
      <c r="E110" s="357">
        <v>21</v>
      </c>
      <c r="F110" s="357">
        <v>21</v>
      </c>
      <c r="G110" s="358">
        <v>54057880</v>
      </c>
      <c r="H110" s="359">
        <f t="shared" si="3"/>
        <v>52821518</v>
      </c>
      <c r="I110" s="360"/>
      <c r="J110" s="361"/>
      <c r="K110" s="362"/>
      <c r="L110" s="362"/>
      <c r="M110" s="361">
        <v>1236362</v>
      </c>
      <c r="N110" s="361">
        <v>2704543</v>
      </c>
      <c r="O110" s="361">
        <v>0</v>
      </c>
      <c r="P110" s="361">
        <v>0</v>
      </c>
      <c r="Q110" s="361">
        <v>0</v>
      </c>
      <c r="R110" s="361">
        <v>0</v>
      </c>
      <c r="S110" s="361">
        <v>309091</v>
      </c>
      <c r="T110" s="363">
        <v>1230000</v>
      </c>
      <c r="U110" s="364">
        <f t="shared" si="4"/>
        <v>58301514</v>
      </c>
      <c r="V110" s="362"/>
      <c r="W110" s="365" t="str">
        <f>+VLOOKUP($B110,[2]Time_S4!$B:$G,6,0)</f>
        <v>Trung tâm Camera</v>
      </c>
      <c r="X110" s="365" t="str">
        <f>IF(W110="Phòng Kinh doanh","Trung tâm Kinh doanh - TCT CNC",+VLOOKUP($B110,[2]Time_S4!$B:$G,5,0))</f>
        <v>Khối 3 - TCT CNC</v>
      </c>
      <c r="Y110" s="366"/>
      <c r="Z110" s="366"/>
    </row>
    <row r="111" spans="1:26" ht="15.75" hidden="1">
      <c r="A111" s="367">
        <f>SUBTOTAL(3,$B$15:B111)</f>
        <v>1</v>
      </c>
      <c r="B111" s="356" t="s">
        <v>591</v>
      </c>
      <c r="C111" s="356" t="s">
        <v>592</v>
      </c>
      <c r="D111" s="356" t="s">
        <v>397</v>
      </c>
      <c r="E111" s="357">
        <v>21</v>
      </c>
      <c r="F111" s="357">
        <v>21</v>
      </c>
      <c r="G111" s="358">
        <v>27139244</v>
      </c>
      <c r="H111" s="359">
        <f t="shared" si="3"/>
        <v>25881260</v>
      </c>
      <c r="I111" s="360"/>
      <c r="J111" s="361"/>
      <c r="K111" s="362"/>
      <c r="L111" s="362"/>
      <c r="M111" s="361">
        <v>1257984</v>
      </c>
      <c r="N111" s="361">
        <v>2751840</v>
      </c>
      <c r="O111" s="361">
        <v>0</v>
      </c>
      <c r="P111" s="361">
        <v>0</v>
      </c>
      <c r="Q111" s="361">
        <v>0</v>
      </c>
      <c r="R111" s="361">
        <v>0</v>
      </c>
      <c r="S111" s="361">
        <v>314496</v>
      </c>
      <c r="T111" s="363">
        <v>1030000</v>
      </c>
      <c r="U111" s="364">
        <f t="shared" si="4"/>
        <v>31235580</v>
      </c>
      <c r="V111" s="362"/>
      <c r="W111" s="365" t="str">
        <f>+VLOOKUP($B111,[2]Time_S4!$B:$G,6,0)</f>
        <v>Trung tâm dịch vụ sau bán hàng</v>
      </c>
      <c r="X111" s="365" t="str">
        <f>IF(W111="Phòng Kinh doanh","Trung tâm Kinh doanh - TCT CNC",+VLOOKUP($B111,[2]Time_S4!$B:$G,5,0))</f>
        <v>Khối 2 - TCT CNC</v>
      </c>
      <c r="Y111" s="366"/>
      <c r="Z111" s="366"/>
    </row>
    <row r="112" spans="1:26" ht="15.75" hidden="1">
      <c r="A112" s="367">
        <f>SUBTOTAL(3,$B$15:B112)</f>
        <v>1</v>
      </c>
      <c r="B112" s="356" t="s">
        <v>593</v>
      </c>
      <c r="C112" s="356" t="s">
        <v>594</v>
      </c>
      <c r="D112" s="356" t="s">
        <v>410</v>
      </c>
      <c r="E112" s="357">
        <v>21</v>
      </c>
      <c r="F112" s="357">
        <v>21</v>
      </c>
      <c r="G112" s="358">
        <v>145439399</v>
      </c>
      <c r="H112" s="359">
        <f t="shared" si="3"/>
        <v>143922517</v>
      </c>
      <c r="I112" s="360"/>
      <c r="J112" s="361"/>
      <c r="K112" s="362"/>
      <c r="L112" s="362"/>
      <c r="M112" s="361">
        <v>1516882</v>
      </c>
      <c r="N112" s="361">
        <v>3318179</v>
      </c>
      <c r="O112" s="361">
        <v>0</v>
      </c>
      <c r="P112" s="361">
        <v>0</v>
      </c>
      <c r="Q112" s="361">
        <v>0</v>
      </c>
      <c r="R112" s="361">
        <v>0</v>
      </c>
      <c r="S112" s="361">
        <v>379220</v>
      </c>
      <c r="T112" s="363">
        <v>3432000</v>
      </c>
      <c r="U112" s="364">
        <f t="shared" si="4"/>
        <v>152568798</v>
      </c>
      <c r="V112" s="362"/>
      <c r="W112" s="365" t="str">
        <f>+VLOOKUP($B112,[2]Time_S4!$B:$G,6,0)</f>
        <v>Ban Giám đốc Khối</v>
      </c>
      <c r="X112" s="365" t="str">
        <f>IF(W112="Phòng Kinh doanh","Trung tâm Kinh doanh - TCT CNC",+VLOOKUP($B112,[2]Time_S4!$B:$G,5,0))</f>
        <v>Khối 1 - TCT CNC</v>
      </c>
      <c r="Y112" s="366"/>
      <c r="Z112" s="366"/>
    </row>
    <row r="113" spans="1:26" ht="15.75" hidden="1">
      <c r="A113" s="367">
        <f>SUBTOTAL(3,$B$15:B113)</f>
        <v>1</v>
      </c>
      <c r="B113" s="356" t="s">
        <v>595</v>
      </c>
      <c r="C113" s="356" t="s">
        <v>596</v>
      </c>
      <c r="D113" s="356" t="s">
        <v>410</v>
      </c>
      <c r="E113" s="357">
        <v>21</v>
      </c>
      <c r="F113" s="357">
        <v>21</v>
      </c>
      <c r="G113" s="358">
        <v>63985083</v>
      </c>
      <c r="H113" s="359">
        <f t="shared" si="3"/>
        <v>62502459</v>
      </c>
      <c r="I113" s="360"/>
      <c r="J113" s="361"/>
      <c r="K113" s="362"/>
      <c r="L113" s="362"/>
      <c r="M113" s="361">
        <v>1482624</v>
      </c>
      <c r="N113" s="361">
        <v>3243240</v>
      </c>
      <c r="O113" s="361">
        <v>0</v>
      </c>
      <c r="P113" s="361">
        <v>0</v>
      </c>
      <c r="Q113" s="361">
        <v>0</v>
      </c>
      <c r="R113" s="361">
        <v>0</v>
      </c>
      <c r="S113" s="361">
        <v>370656</v>
      </c>
      <c r="T113" s="363">
        <v>1230000</v>
      </c>
      <c r="U113" s="364">
        <f t="shared" si="4"/>
        <v>68828979</v>
      </c>
      <c r="V113" s="362"/>
      <c r="W113" s="365" t="str">
        <f>+VLOOKUP($B113,[2]Time_S4!$B:$G,6,0)</f>
        <v>Văn phòng</v>
      </c>
      <c r="X113" s="365" t="str">
        <f>IF(W113="Phòng Kinh doanh","Trung tâm Kinh doanh - TCT CNC",+VLOOKUP($B113,[2]Time_S4!$B:$G,5,0))</f>
        <v>Khối cơ quan - TCT CNC</v>
      </c>
      <c r="Y113" s="366"/>
      <c r="Z113" s="366"/>
    </row>
    <row r="114" spans="1:26" ht="15.75" hidden="1">
      <c r="A114" s="367">
        <f>SUBTOTAL(3,$B$15:B114)</f>
        <v>1</v>
      </c>
      <c r="B114" s="356" t="s">
        <v>597</v>
      </c>
      <c r="C114" s="356" t="s">
        <v>598</v>
      </c>
      <c r="D114" s="356" t="s">
        <v>407</v>
      </c>
      <c r="E114" s="357">
        <v>21</v>
      </c>
      <c r="F114" s="357">
        <v>21</v>
      </c>
      <c r="G114" s="358">
        <v>21013687</v>
      </c>
      <c r="H114" s="359">
        <f t="shared" si="3"/>
        <v>20097079</v>
      </c>
      <c r="I114" s="360"/>
      <c r="J114" s="361"/>
      <c r="K114" s="362"/>
      <c r="L114" s="362"/>
      <c r="M114" s="361">
        <v>698368</v>
      </c>
      <c r="N114" s="361">
        <v>1527680</v>
      </c>
      <c r="O114" s="361">
        <v>130944</v>
      </c>
      <c r="P114" s="361">
        <v>261888</v>
      </c>
      <c r="Q114" s="361">
        <v>87296</v>
      </c>
      <c r="R114" s="361">
        <v>87296</v>
      </c>
      <c r="S114" s="361">
        <v>174592</v>
      </c>
      <c r="T114" s="363">
        <v>1749000</v>
      </c>
      <c r="U114" s="364">
        <f t="shared" si="4"/>
        <v>24814143</v>
      </c>
      <c r="V114" s="362"/>
      <c r="W114" s="365" t="str">
        <f>+VLOOKUP($B114,[2]Time_S4!$B:$G,6,0)</f>
        <v>Văn phòng</v>
      </c>
      <c r="X114" s="365" t="str">
        <f>IF(W114="Phòng Kinh doanh","Trung tâm Kinh doanh - TCT CNC",+VLOOKUP($B114,[2]Time_S4!$B:$G,5,0))</f>
        <v>Khối cơ quan - TCT CNC</v>
      </c>
      <c r="Y114" s="366"/>
      <c r="Z114" s="366"/>
    </row>
    <row r="115" spans="1:26" ht="15.75" hidden="1">
      <c r="A115" s="367">
        <f>SUBTOTAL(3,$B$15:B115)</f>
        <v>1</v>
      </c>
      <c r="B115" s="356" t="s">
        <v>599</v>
      </c>
      <c r="C115" s="356" t="s">
        <v>600</v>
      </c>
      <c r="D115" s="356" t="s">
        <v>397</v>
      </c>
      <c r="E115" s="357">
        <v>21</v>
      </c>
      <c r="F115" s="357">
        <v>21</v>
      </c>
      <c r="G115" s="358">
        <v>52383271</v>
      </c>
      <c r="H115" s="359">
        <f t="shared" si="3"/>
        <v>50849635</v>
      </c>
      <c r="I115" s="360"/>
      <c r="J115" s="361"/>
      <c r="K115" s="362"/>
      <c r="L115" s="362"/>
      <c r="M115" s="361">
        <v>1533636</v>
      </c>
      <c r="N115" s="361">
        <v>3354829</v>
      </c>
      <c r="O115" s="361">
        <v>0</v>
      </c>
      <c r="P115" s="361">
        <v>0</v>
      </c>
      <c r="Q115" s="361">
        <v>0</v>
      </c>
      <c r="R115" s="361">
        <v>0</v>
      </c>
      <c r="S115" s="361">
        <v>383409</v>
      </c>
      <c r="T115" s="363">
        <v>1847000</v>
      </c>
      <c r="U115" s="364">
        <f t="shared" si="4"/>
        <v>57968509</v>
      </c>
      <c r="V115" s="362"/>
      <c r="W115" s="365" t="str">
        <f>+VLOOKUP($B115,[2]Time_S4!$B:$G,6,0)</f>
        <v>Ban Giám đốc</v>
      </c>
      <c r="X115" s="365" t="str">
        <f>IF(W115="Phòng Kinh doanh","Trung tâm Kinh doanh - TCT CNC",+VLOOKUP($B115,[2]Time_S4!$B:$G,5,0))</f>
        <v>Trung tâm Mua sắm - TCT CNC</v>
      </c>
      <c r="Y115" s="366"/>
      <c r="Z115" s="366"/>
    </row>
    <row r="116" spans="1:26" ht="15.75" hidden="1">
      <c r="A116" s="367">
        <f>SUBTOTAL(3,$B$15:B116)</f>
        <v>1</v>
      </c>
      <c r="B116" s="356" t="s">
        <v>601</v>
      </c>
      <c r="C116" s="356" t="s">
        <v>602</v>
      </c>
      <c r="D116" s="356" t="s">
        <v>407</v>
      </c>
      <c r="E116" s="357">
        <v>21</v>
      </c>
      <c r="F116" s="357">
        <v>21</v>
      </c>
      <c r="G116" s="358">
        <v>20790517</v>
      </c>
      <c r="H116" s="359">
        <f t="shared" si="3"/>
        <v>19873909</v>
      </c>
      <c r="I116" s="360"/>
      <c r="J116" s="361"/>
      <c r="K116" s="362"/>
      <c r="L116" s="362"/>
      <c r="M116" s="361">
        <v>698368</v>
      </c>
      <c r="N116" s="361">
        <v>1527680</v>
      </c>
      <c r="O116" s="361">
        <v>130944</v>
      </c>
      <c r="P116" s="361">
        <v>261888</v>
      </c>
      <c r="Q116" s="361">
        <v>87296</v>
      </c>
      <c r="R116" s="361">
        <v>87296</v>
      </c>
      <c r="S116" s="361">
        <v>174592</v>
      </c>
      <c r="T116" s="363">
        <v>1047000</v>
      </c>
      <c r="U116" s="364">
        <f t="shared" si="4"/>
        <v>23888973</v>
      </c>
      <c r="V116" s="362"/>
      <c r="W116" s="365" t="str">
        <f>+VLOOKUP($B116,[2]Time_S4!$B:$G,6,0)</f>
        <v>Phòng Tổng hợp</v>
      </c>
      <c r="X116" s="365" t="str">
        <f>IF(W116="Phòng Kinh doanh","Trung tâm Kinh doanh - TCT CNC",+VLOOKUP($B116,[2]Time_S4!$B:$G,5,0))</f>
        <v>Khối 2 - TCT CNC</v>
      </c>
      <c r="Y116" s="366"/>
      <c r="Z116" s="366"/>
    </row>
    <row r="117" spans="1:26" ht="15.75" hidden="1">
      <c r="A117" s="367">
        <f>SUBTOTAL(3,$B$15:B117)</f>
        <v>1</v>
      </c>
      <c r="B117" s="356" t="s">
        <v>603</v>
      </c>
      <c r="C117" s="356" t="s">
        <v>604</v>
      </c>
      <c r="D117" s="356" t="s">
        <v>407</v>
      </c>
      <c r="E117" s="357">
        <v>21</v>
      </c>
      <c r="F117" s="357">
        <v>21</v>
      </c>
      <c r="G117" s="358">
        <v>28143570</v>
      </c>
      <c r="H117" s="359">
        <f t="shared" si="3"/>
        <v>27128010</v>
      </c>
      <c r="I117" s="360"/>
      <c r="J117" s="361"/>
      <c r="K117" s="362"/>
      <c r="L117" s="362"/>
      <c r="M117" s="361">
        <v>773760</v>
      </c>
      <c r="N117" s="361">
        <v>1692600</v>
      </c>
      <c r="O117" s="361">
        <v>145080</v>
      </c>
      <c r="P117" s="361">
        <v>290160</v>
      </c>
      <c r="Q117" s="361">
        <v>96720</v>
      </c>
      <c r="R117" s="361">
        <v>96720</v>
      </c>
      <c r="S117" s="361">
        <v>193440</v>
      </c>
      <c r="T117" s="363">
        <v>1047000</v>
      </c>
      <c r="U117" s="364">
        <f t="shared" si="4"/>
        <v>31463490</v>
      </c>
      <c r="V117" s="362"/>
      <c r="W117" s="365" t="str">
        <f>+VLOOKUP($B117,[2]Time_S4!$B:$G,6,0)</f>
        <v>Bộ phận Hỗ trợ nghiệp vụ</v>
      </c>
      <c r="X117" s="365" t="str">
        <f>IF(W117="Phòng Kinh doanh","Trung tâm Kinh doanh - TCT CNC",+VLOOKUP($B117,[2]Time_S4!$B:$G,5,0))</f>
        <v>Trung tâm Kinh doanh - TCT CNC</v>
      </c>
      <c r="Y117" s="366"/>
      <c r="Z117" s="366"/>
    </row>
    <row r="118" spans="1:26" ht="15.75" hidden="1">
      <c r="A118" s="367">
        <f>SUBTOTAL(3,$B$15:B118)</f>
        <v>1</v>
      </c>
      <c r="B118" s="356" t="s">
        <v>605</v>
      </c>
      <c r="C118" s="356" t="s">
        <v>606</v>
      </c>
      <c r="D118" s="356" t="s">
        <v>407</v>
      </c>
      <c r="E118" s="357">
        <v>21</v>
      </c>
      <c r="F118" s="357">
        <v>21</v>
      </c>
      <c r="G118" s="358">
        <v>23522926</v>
      </c>
      <c r="H118" s="359">
        <f t="shared" si="3"/>
        <v>22559446</v>
      </c>
      <c r="I118" s="360"/>
      <c r="J118" s="361"/>
      <c r="K118" s="362"/>
      <c r="L118" s="362"/>
      <c r="M118" s="361">
        <v>734080</v>
      </c>
      <c r="N118" s="361">
        <v>1605800</v>
      </c>
      <c r="O118" s="361">
        <v>137640</v>
      </c>
      <c r="P118" s="361">
        <v>275280</v>
      </c>
      <c r="Q118" s="361">
        <v>91760</v>
      </c>
      <c r="R118" s="361">
        <v>91760</v>
      </c>
      <c r="S118" s="361">
        <v>183520</v>
      </c>
      <c r="T118" s="363">
        <v>930000</v>
      </c>
      <c r="U118" s="364">
        <f t="shared" si="4"/>
        <v>26609286</v>
      </c>
      <c r="V118" s="362"/>
      <c r="W118" s="365" t="str">
        <f>+VLOOKUP($B118,[2]Time_S4!$B:$G,6,0)</f>
        <v>Phòng Công nghệ thông tin</v>
      </c>
      <c r="X118" s="365" t="str">
        <f>IF(W118="Phòng Kinh doanh","Trung tâm Kinh doanh - TCT CNC",+VLOOKUP($B118,[2]Time_S4!$B:$G,5,0))</f>
        <v>Khối cơ quan - TCT CNC</v>
      </c>
      <c r="Y118" s="366"/>
      <c r="Z118" s="366"/>
    </row>
    <row r="119" spans="1:26" ht="15.75" hidden="1">
      <c r="A119" s="367">
        <f>SUBTOTAL(3,$B$15:B119)</f>
        <v>1</v>
      </c>
      <c r="B119" s="356" t="s">
        <v>607</v>
      </c>
      <c r="C119" s="356" t="s">
        <v>608</v>
      </c>
      <c r="D119" s="356" t="s">
        <v>407</v>
      </c>
      <c r="E119" s="357">
        <v>21</v>
      </c>
      <c r="F119" s="357">
        <v>21</v>
      </c>
      <c r="G119" s="358">
        <v>20790517</v>
      </c>
      <c r="H119" s="359">
        <f t="shared" si="3"/>
        <v>19873909</v>
      </c>
      <c r="I119" s="360"/>
      <c r="J119" s="361"/>
      <c r="K119" s="362"/>
      <c r="L119" s="362"/>
      <c r="M119" s="361">
        <v>698368</v>
      </c>
      <c r="N119" s="361">
        <v>1527680</v>
      </c>
      <c r="O119" s="361">
        <v>130944</v>
      </c>
      <c r="P119" s="361">
        <v>261888</v>
      </c>
      <c r="Q119" s="361">
        <v>87296</v>
      </c>
      <c r="R119" s="361">
        <v>87296</v>
      </c>
      <c r="S119" s="361">
        <v>174592</v>
      </c>
      <c r="T119" s="363">
        <v>930000</v>
      </c>
      <c r="U119" s="364">
        <f t="shared" si="4"/>
        <v>23771973</v>
      </c>
      <c r="V119" s="362"/>
      <c r="W119" s="365" t="str">
        <f>+VLOOKUP($B119,[2]Time_S4!$B:$G,6,0)</f>
        <v>Phòng Tài chính</v>
      </c>
      <c r="X119" s="365" t="str">
        <f>IF(W119="Phòng Kinh doanh","Trung tâm Kinh doanh - TCT CNC",+VLOOKUP($B119,[2]Time_S4!$B:$G,5,0))</f>
        <v>Khối cơ quan - TCT CNC</v>
      </c>
      <c r="Y119" s="366"/>
      <c r="Z119" s="366"/>
    </row>
    <row r="120" spans="1:26" ht="15.75" hidden="1">
      <c r="A120" s="367">
        <f>SUBTOTAL(3,$B$15:B120)</f>
        <v>1</v>
      </c>
      <c r="B120" s="356" t="s">
        <v>609</v>
      </c>
      <c r="C120" s="356" t="s">
        <v>610</v>
      </c>
      <c r="D120" s="356" t="s">
        <v>397</v>
      </c>
      <c r="E120" s="357">
        <v>21</v>
      </c>
      <c r="F120" s="357">
        <v>21</v>
      </c>
      <c r="G120" s="358">
        <v>15811347</v>
      </c>
      <c r="H120" s="359">
        <f t="shared" si="3"/>
        <v>14690113</v>
      </c>
      <c r="I120" s="360"/>
      <c r="J120" s="361"/>
      <c r="K120" s="362"/>
      <c r="L120" s="362"/>
      <c r="M120" s="361">
        <v>1121234</v>
      </c>
      <c r="N120" s="361">
        <v>2452700</v>
      </c>
      <c r="O120" s="361">
        <v>0</v>
      </c>
      <c r="P120" s="361">
        <v>0</v>
      </c>
      <c r="Q120" s="361">
        <v>0</v>
      </c>
      <c r="R120" s="361">
        <v>0</v>
      </c>
      <c r="S120" s="361">
        <v>280309</v>
      </c>
      <c r="T120" s="363">
        <v>1530000</v>
      </c>
      <c r="U120" s="364">
        <f t="shared" si="4"/>
        <v>20074356</v>
      </c>
      <c r="V120" s="362"/>
      <c r="W120" s="365" t="str">
        <f>+VLOOKUP($B120,[2]Time_S4!$B:$G,6,0)</f>
        <v>Phòng Hành chính</v>
      </c>
      <c r="X120" s="365" t="str">
        <f>IF(W120="Phòng Kinh doanh","Trung tâm Kinh doanh - TCT CNC",+VLOOKUP($B120,[2]Time_S4!$B:$G,5,0))</f>
        <v>Khối cơ quan - TCT CNC</v>
      </c>
      <c r="Y120" s="366"/>
      <c r="Z120" s="366"/>
    </row>
    <row r="121" spans="1:26" ht="15.75" hidden="1">
      <c r="A121" s="367">
        <f>SUBTOTAL(3,$B$15:B121)</f>
        <v>1</v>
      </c>
      <c r="B121" s="356" t="s">
        <v>611</v>
      </c>
      <c r="C121" s="356" t="s">
        <v>612</v>
      </c>
      <c r="D121" s="356" t="s">
        <v>410</v>
      </c>
      <c r="E121" s="357">
        <v>21</v>
      </c>
      <c r="F121" s="357">
        <v>21</v>
      </c>
      <c r="G121" s="358">
        <v>370509792</v>
      </c>
      <c r="H121" s="359">
        <f t="shared" si="3"/>
        <v>368477174</v>
      </c>
      <c r="I121" s="360"/>
      <c r="J121" s="361"/>
      <c r="K121" s="362"/>
      <c r="L121" s="362"/>
      <c r="M121" s="361">
        <v>2032618</v>
      </c>
      <c r="N121" s="361">
        <v>4446351</v>
      </c>
      <c r="O121" s="361">
        <v>0</v>
      </c>
      <c r="P121" s="361">
        <v>0</v>
      </c>
      <c r="Q121" s="361">
        <v>0</v>
      </c>
      <c r="R121" s="361">
        <v>0</v>
      </c>
      <c r="S121" s="361">
        <v>508154</v>
      </c>
      <c r="T121" s="363">
        <v>4932000</v>
      </c>
      <c r="U121" s="364">
        <f t="shared" si="4"/>
        <v>380396297</v>
      </c>
      <c r="V121" s="362"/>
      <c r="W121" s="365" t="str">
        <f>+VLOOKUP($B121,[2]Time_S4!$B:$G,6,0)</f>
        <v>Ban Giám đốc</v>
      </c>
      <c r="X121" s="365" t="str">
        <f>IF(W121="Phòng Kinh doanh","Trung tâm Kinh doanh - TCT CNC",+VLOOKUP($B121,[2]Time_S4!$B:$G,5,0))</f>
        <v>Khối cơ quan - TCT CNC</v>
      </c>
      <c r="Y121" s="366"/>
      <c r="Z121" s="366"/>
    </row>
    <row r="122" spans="1:26" ht="15.75" hidden="1">
      <c r="A122" s="367">
        <f>SUBTOTAL(3,$B$15:B122)</f>
        <v>1</v>
      </c>
      <c r="B122" s="356" t="s">
        <v>613</v>
      </c>
      <c r="C122" s="356" t="s">
        <v>614</v>
      </c>
      <c r="D122" s="356" t="s">
        <v>407</v>
      </c>
      <c r="E122" s="357">
        <v>21</v>
      </c>
      <c r="F122" s="357">
        <v>0</v>
      </c>
      <c r="G122" s="358">
        <v>8225409</v>
      </c>
      <c r="H122" s="359">
        <f t="shared" si="3"/>
        <v>8225409</v>
      </c>
      <c r="I122" s="360"/>
      <c r="J122" s="361"/>
      <c r="K122" s="362"/>
      <c r="L122" s="362"/>
      <c r="M122" s="361">
        <v>0</v>
      </c>
      <c r="N122" s="361">
        <v>0</v>
      </c>
      <c r="O122" s="361">
        <v>0</v>
      </c>
      <c r="P122" s="361">
        <v>0</v>
      </c>
      <c r="Q122" s="361">
        <v>0</v>
      </c>
      <c r="R122" s="361">
        <v>0</v>
      </c>
      <c r="S122" s="361">
        <v>0</v>
      </c>
      <c r="T122" s="363">
        <v>0</v>
      </c>
      <c r="U122" s="364">
        <f t="shared" si="4"/>
        <v>8225409</v>
      </c>
      <c r="V122" s="362"/>
      <c r="W122" s="365" t="str">
        <f>+VLOOKUP($B122,[2]Time_S4!$B:$G,6,0)</f>
        <v>Phòng Tổng hợp</v>
      </c>
      <c r="X122" s="365" t="str">
        <f>IF(W122="Phòng Kinh doanh","Trung tâm Kinh doanh - TCT CNC",+VLOOKUP($B122,[2]Time_S4!$B:$G,5,0))</f>
        <v>Khối 1 - TCT CNC</v>
      </c>
      <c r="Y122" s="366"/>
      <c r="Z122" s="366"/>
    </row>
    <row r="123" spans="1:26" ht="15.75" hidden="1">
      <c r="A123" s="367">
        <f>SUBTOTAL(3,$B$15:B123)</f>
        <v>1</v>
      </c>
      <c r="B123" s="356" t="s">
        <v>615</v>
      </c>
      <c r="C123" s="356" t="s">
        <v>616</v>
      </c>
      <c r="D123" s="356" t="s">
        <v>397</v>
      </c>
      <c r="E123" s="357">
        <v>21</v>
      </c>
      <c r="F123" s="357">
        <v>21</v>
      </c>
      <c r="G123" s="358">
        <v>58178312</v>
      </c>
      <c r="H123" s="359">
        <f t="shared" si="3"/>
        <v>56658248</v>
      </c>
      <c r="I123" s="360"/>
      <c r="J123" s="361"/>
      <c r="K123" s="362"/>
      <c r="L123" s="362"/>
      <c r="M123" s="361">
        <v>1520064</v>
      </c>
      <c r="N123" s="361">
        <v>3325140</v>
      </c>
      <c r="O123" s="361">
        <v>0</v>
      </c>
      <c r="P123" s="361">
        <v>0</v>
      </c>
      <c r="Q123" s="361">
        <v>0</v>
      </c>
      <c r="R123" s="361">
        <v>0</v>
      </c>
      <c r="S123" s="361">
        <v>380016</v>
      </c>
      <c r="T123" s="363">
        <v>1730000</v>
      </c>
      <c r="U123" s="364">
        <f t="shared" si="4"/>
        <v>63613468</v>
      </c>
      <c r="V123" s="362"/>
      <c r="W123" s="365" t="str">
        <f>+VLOOKUP($B123,[2]Time_S4!$B:$G,6,0)</f>
        <v>Ban Giám đốc</v>
      </c>
      <c r="X123" s="365" t="str">
        <f>IF(W123="Phòng Kinh doanh","Trung tâm Kinh doanh - TCT CNC",+VLOOKUP($B123,[2]Time_S4!$B:$G,5,0))</f>
        <v>Trung tâm Quản lý chất lượng - TCT CNC</v>
      </c>
      <c r="Y123" s="366"/>
      <c r="Z123" s="366"/>
    </row>
    <row r="124" spans="1:26" ht="15.75" hidden="1">
      <c r="A124" s="367">
        <f>SUBTOTAL(3,$B$15:B124)</f>
        <v>1</v>
      </c>
      <c r="B124" s="356" t="s">
        <v>328</v>
      </c>
      <c r="C124" s="356" t="s">
        <v>329</v>
      </c>
      <c r="D124" s="356" t="s">
        <v>407</v>
      </c>
      <c r="E124" s="357">
        <v>21</v>
      </c>
      <c r="F124" s="357">
        <v>21</v>
      </c>
      <c r="G124" s="358">
        <v>25582231</v>
      </c>
      <c r="H124" s="359">
        <f t="shared" si="3"/>
        <v>24566671</v>
      </c>
      <c r="I124" s="360"/>
      <c r="J124" s="361"/>
      <c r="K124" s="362"/>
      <c r="L124" s="362"/>
      <c r="M124" s="361">
        <v>773760</v>
      </c>
      <c r="N124" s="361">
        <v>1692600</v>
      </c>
      <c r="O124" s="361">
        <v>145080</v>
      </c>
      <c r="P124" s="361">
        <v>290160</v>
      </c>
      <c r="Q124" s="361">
        <v>96720</v>
      </c>
      <c r="R124" s="361">
        <v>96720</v>
      </c>
      <c r="S124" s="361">
        <v>193440</v>
      </c>
      <c r="T124" s="363">
        <v>930000</v>
      </c>
      <c r="U124" s="364">
        <f t="shared" si="4"/>
        <v>28785151</v>
      </c>
      <c r="V124" s="362"/>
      <c r="W124" s="365" t="str">
        <f>+VLOOKUP($B124,[2]Time_S4!$B:$G,6,0)</f>
        <v>Trung tâm Mô hình mô phỏng</v>
      </c>
      <c r="X124" s="365" t="str">
        <f>IF(W124="Phòng Kinh doanh","Trung tâm Kinh doanh - TCT CNC",+VLOOKUP($B124,[2]Time_S4!$B:$G,5,0))</f>
        <v>Khối 1 - TCT CNC</v>
      </c>
      <c r="Y124" s="366"/>
      <c r="Z124" s="366"/>
    </row>
    <row r="125" spans="1:26" ht="15.75" hidden="1">
      <c r="A125" s="367">
        <f>SUBTOTAL(3,$B$15:B125)</f>
        <v>1</v>
      </c>
      <c r="B125" s="356" t="s">
        <v>617</v>
      </c>
      <c r="C125" s="356" t="s">
        <v>618</v>
      </c>
      <c r="D125" s="356" t="s">
        <v>407</v>
      </c>
      <c r="E125" s="357">
        <v>21</v>
      </c>
      <c r="F125" s="357">
        <v>21</v>
      </c>
      <c r="G125" s="358">
        <v>11655930</v>
      </c>
      <c r="H125" s="359">
        <f t="shared" si="3"/>
        <v>10905978</v>
      </c>
      <c r="I125" s="360"/>
      <c r="J125" s="361"/>
      <c r="K125" s="362"/>
      <c r="L125" s="362"/>
      <c r="M125" s="361">
        <v>571392</v>
      </c>
      <c r="N125" s="361">
        <v>1249920</v>
      </c>
      <c r="O125" s="361">
        <v>107136</v>
      </c>
      <c r="P125" s="361">
        <v>214272</v>
      </c>
      <c r="Q125" s="361">
        <v>71424</v>
      </c>
      <c r="R125" s="361">
        <v>71424</v>
      </c>
      <c r="S125" s="361">
        <v>142848</v>
      </c>
      <c r="T125" s="363">
        <v>1047000</v>
      </c>
      <c r="U125" s="364">
        <f t="shared" si="4"/>
        <v>14381394</v>
      </c>
      <c r="V125" s="362"/>
      <c r="W125" s="365" t="str">
        <f>+VLOOKUP($B125,[2]Time_S4!$B:$G,6,0)</f>
        <v>Phòng Hành chính</v>
      </c>
      <c r="X125" s="365" t="str">
        <f>IF(W125="Phòng Kinh doanh","Trung tâm Kinh doanh - TCT CNC",+VLOOKUP($B125,[2]Time_S4!$B:$G,5,0))</f>
        <v>Khối cơ quan - TCT CNC</v>
      </c>
      <c r="Y125" s="366"/>
      <c r="Z125" s="366"/>
    </row>
    <row r="126" spans="1:26" ht="15.75" hidden="1">
      <c r="A126" s="367">
        <f>SUBTOTAL(3,$B$15:B126)</f>
        <v>1</v>
      </c>
      <c r="B126" s="356" t="s">
        <v>619</v>
      </c>
      <c r="C126" s="356" t="s">
        <v>620</v>
      </c>
      <c r="D126" s="356" t="s">
        <v>407</v>
      </c>
      <c r="E126" s="357">
        <v>21</v>
      </c>
      <c r="F126" s="357">
        <v>21</v>
      </c>
      <c r="G126" s="358">
        <v>44163248</v>
      </c>
      <c r="H126" s="359">
        <f t="shared" si="3"/>
        <v>42981032</v>
      </c>
      <c r="I126" s="360"/>
      <c r="J126" s="361"/>
      <c r="K126" s="362"/>
      <c r="L126" s="362"/>
      <c r="M126" s="361">
        <v>900736</v>
      </c>
      <c r="N126" s="361">
        <v>1970360</v>
      </c>
      <c r="O126" s="361">
        <v>168888</v>
      </c>
      <c r="P126" s="361">
        <v>337776</v>
      </c>
      <c r="Q126" s="361">
        <v>112592</v>
      </c>
      <c r="R126" s="361">
        <v>112592</v>
      </c>
      <c r="S126" s="361">
        <v>225184</v>
      </c>
      <c r="T126" s="363">
        <v>1130000</v>
      </c>
      <c r="U126" s="364">
        <f t="shared" si="4"/>
        <v>47939160</v>
      </c>
      <c r="V126" s="362"/>
      <c r="W126" s="365" t="str">
        <f>+VLOOKUP($B126,[2]Time_S4!$B:$G,6,0)</f>
        <v>Trung tâm Nghiên cứu Công nghệ chuyển mạch</v>
      </c>
      <c r="X126" s="365" t="str">
        <f>IF(W126="Phòng Kinh doanh","Trung tâm Kinh doanh - TCT CNC",+VLOOKUP($B126,[2]Time_S4!$B:$G,5,0))</f>
        <v>Khối 2 - TCT CNC</v>
      </c>
      <c r="Y126" s="366"/>
      <c r="Z126" s="366"/>
    </row>
    <row r="127" spans="1:26" ht="15.75" hidden="1">
      <c r="A127" s="367">
        <f>SUBTOTAL(3,$B$15:B127)</f>
        <v>1</v>
      </c>
      <c r="B127" s="356" t="s">
        <v>621</v>
      </c>
      <c r="C127" s="356" t="s">
        <v>622</v>
      </c>
      <c r="D127" s="356" t="s">
        <v>397</v>
      </c>
      <c r="E127" s="357">
        <v>21</v>
      </c>
      <c r="F127" s="357">
        <v>21</v>
      </c>
      <c r="G127" s="358">
        <v>15643427</v>
      </c>
      <c r="H127" s="359">
        <f t="shared" si="3"/>
        <v>14494393</v>
      </c>
      <c r="I127" s="360"/>
      <c r="J127" s="361"/>
      <c r="K127" s="362"/>
      <c r="L127" s="362"/>
      <c r="M127" s="361">
        <v>1149034</v>
      </c>
      <c r="N127" s="361">
        <v>2513511</v>
      </c>
      <c r="O127" s="361">
        <v>0</v>
      </c>
      <c r="P127" s="361">
        <v>0</v>
      </c>
      <c r="Q127" s="361">
        <v>0</v>
      </c>
      <c r="R127" s="361">
        <v>0</v>
      </c>
      <c r="S127" s="361">
        <v>287258</v>
      </c>
      <c r="T127" s="363">
        <v>1805000</v>
      </c>
      <c r="U127" s="364">
        <f t="shared" si="4"/>
        <v>20249196</v>
      </c>
      <c r="V127" s="362"/>
      <c r="W127" s="365" t="str">
        <f>+VLOOKUP($B127,[2]Time_S4!$B:$G,6,0)</f>
        <v>Phòng Hành chính</v>
      </c>
      <c r="X127" s="365" t="str">
        <f>IF(W127="Phòng Kinh doanh","Trung tâm Kinh doanh - TCT CNC",+VLOOKUP($B127,[2]Time_S4!$B:$G,5,0))</f>
        <v>Khối cơ quan - TCT CNC</v>
      </c>
      <c r="Y127" s="366"/>
      <c r="Z127" s="366"/>
    </row>
    <row r="128" spans="1:26" ht="15.75" hidden="1">
      <c r="A128" s="367">
        <f>SUBTOTAL(3,$B$15:B128)</f>
        <v>1</v>
      </c>
      <c r="B128" s="356" t="s">
        <v>623</v>
      </c>
      <c r="C128" s="356" t="s">
        <v>624</v>
      </c>
      <c r="D128" s="356" t="s">
        <v>407</v>
      </c>
      <c r="E128" s="357">
        <v>21</v>
      </c>
      <c r="F128" s="357">
        <v>21</v>
      </c>
      <c r="G128" s="358">
        <v>62611423</v>
      </c>
      <c r="H128" s="359">
        <f t="shared" si="3"/>
        <v>61236511</v>
      </c>
      <c r="I128" s="360"/>
      <c r="J128" s="361"/>
      <c r="K128" s="362"/>
      <c r="L128" s="362"/>
      <c r="M128" s="361">
        <v>1047552</v>
      </c>
      <c r="N128" s="361">
        <v>2291520</v>
      </c>
      <c r="O128" s="361">
        <v>196416</v>
      </c>
      <c r="P128" s="361">
        <v>392832</v>
      </c>
      <c r="Q128" s="361">
        <v>130944</v>
      </c>
      <c r="R128" s="361">
        <v>130944</v>
      </c>
      <c r="S128" s="361">
        <v>261888</v>
      </c>
      <c r="T128" s="363">
        <v>1247000</v>
      </c>
      <c r="U128" s="364">
        <f t="shared" si="4"/>
        <v>66935607</v>
      </c>
      <c r="V128" s="362"/>
      <c r="W128" s="365" t="str">
        <f>+VLOOKUP($B128,[2]Time_S4!$B:$G,6,0)</f>
        <v>Trung tâm Kỹ thuật công nghệ - TCT CNC</v>
      </c>
      <c r="X128" s="365" t="str">
        <f>IF(W128="Phòng Kinh doanh","Trung tâm Kinh doanh - TCT CNC",+VLOOKUP($B128,[2]Time_S4!$B:$G,5,0))</f>
        <v>Khối 2 - TCT CNC</v>
      </c>
      <c r="Y128" s="366"/>
      <c r="Z128" s="366"/>
    </row>
    <row r="129" spans="1:26" ht="15.75" hidden="1">
      <c r="A129" s="367">
        <f>SUBTOTAL(3,$B$15:B129)</f>
        <v>1</v>
      </c>
      <c r="B129" s="356" t="s">
        <v>625</v>
      </c>
      <c r="C129" s="356" t="s">
        <v>626</v>
      </c>
      <c r="D129" s="356" t="s">
        <v>407</v>
      </c>
      <c r="E129" s="357">
        <v>21</v>
      </c>
      <c r="F129" s="357">
        <v>21</v>
      </c>
      <c r="G129" s="358">
        <v>15643427</v>
      </c>
      <c r="H129" s="359">
        <f t="shared" si="3"/>
        <v>14810147</v>
      </c>
      <c r="I129" s="360"/>
      <c r="J129" s="361"/>
      <c r="K129" s="362"/>
      <c r="L129" s="362"/>
      <c r="M129" s="361">
        <v>634880</v>
      </c>
      <c r="N129" s="361">
        <v>1388800</v>
      </c>
      <c r="O129" s="361">
        <v>119040</v>
      </c>
      <c r="P129" s="361">
        <v>238080</v>
      </c>
      <c r="Q129" s="361">
        <v>79360</v>
      </c>
      <c r="R129" s="361">
        <v>79360</v>
      </c>
      <c r="S129" s="361">
        <v>158720</v>
      </c>
      <c r="T129" s="363">
        <v>930000</v>
      </c>
      <c r="U129" s="364">
        <f t="shared" si="4"/>
        <v>18438387</v>
      </c>
      <c r="V129" s="362"/>
      <c r="W129" s="365" t="str">
        <f>+VLOOKUP($B129,[2]Time_S4!$B:$G,6,0)</f>
        <v>Phòng Hành chính</v>
      </c>
      <c r="X129" s="365" t="str">
        <f>IF(W129="Phòng Kinh doanh","Trung tâm Kinh doanh - TCT CNC",+VLOOKUP($B129,[2]Time_S4!$B:$G,5,0))</f>
        <v>Khối cơ quan - TCT CNC</v>
      </c>
      <c r="Y129" s="366"/>
      <c r="Z129" s="366"/>
    </row>
    <row r="130" spans="1:26" ht="15.75" hidden="1">
      <c r="A130" s="367">
        <f>SUBTOTAL(3,$B$15:B130)</f>
        <v>1</v>
      </c>
      <c r="B130" s="356" t="s">
        <v>627</v>
      </c>
      <c r="C130" s="356" t="s">
        <v>628</v>
      </c>
      <c r="D130" s="356" t="s">
        <v>400</v>
      </c>
      <c r="E130" s="357">
        <v>21</v>
      </c>
      <c r="F130" s="357">
        <v>21</v>
      </c>
      <c r="G130" s="358">
        <v>25582231</v>
      </c>
      <c r="H130" s="359">
        <f t="shared" si="3"/>
        <v>24516258</v>
      </c>
      <c r="I130" s="360"/>
      <c r="J130" s="361"/>
      <c r="K130" s="362"/>
      <c r="L130" s="362"/>
      <c r="M130" s="361">
        <v>897661</v>
      </c>
      <c r="N130" s="361">
        <v>1963634</v>
      </c>
      <c r="O130" s="361">
        <v>168312</v>
      </c>
      <c r="P130" s="361">
        <v>336623</v>
      </c>
      <c r="Q130" s="361">
        <v>0</v>
      </c>
      <c r="R130" s="361">
        <v>0</v>
      </c>
      <c r="S130" s="361">
        <v>224415</v>
      </c>
      <c r="T130" s="363">
        <v>1398000</v>
      </c>
      <c r="U130" s="364">
        <f t="shared" si="4"/>
        <v>29504903</v>
      </c>
      <c r="V130" s="362"/>
      <c r="W130" s="365" t="str">
        <f>+VLOOKUP($B130,[2]Time_S4!$B:$G,6,0)</f>
        <v>Phòng Dự án</v>
      </c>
      <c r="X130" s="365" t="str">
        <f>IF(W130="Phòng Kinh doanh","Trung tâm Kinh doanh - TCT CNC",+VLOOKUP($B130,[2]Time_S4!$B:$G,5,0))</f>
        <v>Trung tâm Mua sắm - TCT CNC</v>
      </c>
      <c r="Y130" s="366"/>
      <c r="Z130" s="366"/>
    </row>
    <row r="131" spans="1:26" ht="15.75" hidden="1">
      <c r="A131" s="367">
        <f>SUBTOTAL(3,$B$15:B131)</f>
        <v>1</v>
      </c>
      <c r="B131" s="356" t="s">
        <v>629</v>
      </c>
      <c r="C131" s="356" t="s">
        <v>630</v>
      </c>
      <c r="D131" s="356" t="s">
        <v>407</v>
      </c>
      <c r="E131" s="357">
        <v>21</v>
      </c>
      <c r="F131" s="357">
        <v>21</v>
      </c>
      <c r="G131" s="358">
        <v>26125544</v>
      </c>
      <c r="H131" s="359">
        <f t="shared" si="3"/>
        <v>25109984</v>
      </c>
      <c r="I131" s="360"/>
      <c r="J131" s="361"/>
      <c r="K131" s="362"/>
      <c r="L131" s="362"/>
      <c r="M131" s="361">
        <v>773760</v>
      </c>
      <c r="N131" s="361">
        <v>1692600</v>
      </c>
      <c r="O131" s="361">
        <v>145080</v>
      </c>
      <c r="P131" s="361">
        <v>290160</v>
      </c>
      <c r="Q131" s="361">
        <v>96720</v>
      </c>
      <c r="R131" s="361">
        <v>96720</v>
      </c>
      <c r="S131" s="361">
        <v>193440</v>
      </c>
      <c r="T131" s="363">
        <v>930000</v>
      </c>
      <c r="U131" s="364">
        <f t="shared" si="4"/>
        <v>29328464</v>
      </c>
      <c r="V131" s="362"/>
      <c r="W131" s="365" t="str">
        <f>+VLOOKUP($B131,[2]Time_S4!$B:$G,6,0)</f>
        <v>Trung tâm dịch vụ sau bán hàng</v>
      </c>
      <c r="X131" s="365" t="str">
        <f>IF(W131="Phòng Kinh doanh","Trung tâm Kinh doanh - TCT CNC",+VLOOKUP($B131,[2]Time_S4!$B:$G,5,0))</f>
        <v>Khối 1 - TCT CNC</v>
      </c>
      <c r="Y131" s="366"/>
      <c r="Z131" s="366"/>
    </row>
    <row r="132" spans="1:26" ht="15.75" hidden="1">
      <c r="A132" s="367">
        <f>SUBTOTAL(3,$B$15:B132)</f>
        <v>1</v>
      </c>
      <c r="B132" s="356" t="s">
        <v>631</v>
      </c>
      <c r="C132" s="356" t="s">
        <v>632</v>
      </c>
      <c r="D132" s="356" t="s">
        <v>397</v>
      </c>
      <c r="E132" s="357">
        <v>21</v>
      </c>
      <c r="F132" s="357">
        <v>21</v>
      </c>
      <c r="G132" s="358">
        <v>77081250</v>
      </c>
      <c r="H132" s="359">
        <f t="shared" si="3"/>
        <v>75720212</v>
      </c>
      <c r="I132" s="360"/>
      <c r="J132" s="361"/>
      <c r="K132" s="362"/>
      <c r="L132" s="362"/>
      <c r="M132" s="361">
        <v>1361038</v>
      </c>
      <c r="N132" s="361">
        <v>2977270</v>
      </c>
      <c r="O132" s="361">
        <v>0</v>
      </c>
      <c r="P132" s="361">
        <v>0</v>
      </c>
      <c r="Q132" s="361">
        <v>0</v>
      </c>
      <c r="R132" s="361">
        <v>0</v>
      </c>
      <c r="S132" s="361">
        <v>340259</v>
      </c>
      <c r="T132" s="363">
        <v>1730000</v>
      </c>
      <c r="U132" s="364">
        <f t="shared" si="4"/>
        <v>82128779</v>
      </c>
      <c r="V132" s="362"/>
      <c r="W132" s="365" t="str">
        <f>+VLOOKUP($B132,[2]Time_S4!$B:$G,6,0)</f>
        <v>Trung tâm dịch vụ sau bán hàng</v>
      </c>
      <c r="X132" s="365" t="str">
        <f>IF(W132="Phòng Kinh doanh","Trung tâm Kinh doanh - TCT CNC",+VLOOKUP($B132,[2]Time_S4!$B:$G,5,0))</f>
        <v>Khối 2 - TCT CNC</v>
      </c>
      <c r="Y132" s="366"/>
      <c r="Z132" s="366"/>
    </row>
    <row r="133" spans="1:26" ht="15.75" hidden="1">
      <c r="A133" s="367">
        <f>SUBTOTAL(3,$B$15:B133)</f>
        <v>1</v>
      </c>
      <c r="B133" s="356" t="s">
        <v>633</v>
      </c>
      <c r="C133" s="356" t="s">
        <v>634</v>
      </c>
      <c r="D133" s="356" t="s">
        <v>407</v>
      </c>
      <c r="E133" s="357">
        <v>21</v>
      </c>
      <c r="F133" s="357">
        <v>21</v>
      </c>
      <c r="G133" s="358">
        <v>20790517</v>
      </c>
      <c r="H133" s="359">
        <f t="shared" si="3"/>
        <v>19873909</v>
      </c>
      <c r="I133" s="360"/>
      <c r="J133" s="361"/>
      <c r="K133" s="362"/>
      <c r="L133" s="362"/>
      <c r="M133" s="361">
        <v>698368</v>
      </c>
      <c r="N133" s="361">
        <v>1527680</v>
      </c>
      <c r="O133" s="361">
        <v>130944</v>
      </c>
      <c r="P133" s="361">
        <v>261888</v>
      </c>
      <c r="Q133" s="361">
        <v>87296</v>
      </c>
      <c r="R133" s="361">
        <v>87296</v>
      </c>
      <c r="S133" s="361">
        <v>174592</v>
      </c>
      <c r="T133" s="363">
        <v>930000</v>
      </c>
      <c r="U133" s="364">
        <f t="shared" si="4"/>
        <v>23771973</v>
      </c>
      <c r="V133" s="362"/>
      <c r="W133" s="365" t="str">
        <f>+VLOOKUP($B133,[2]Time_S4!$B:$G,6,0)</f>
        <v>Phòng Tài chính</v>
      </c>
      <c r="X133" s="365" t="str">
        <f>IF(W133="Phòng Kinh doanh","Trung tâm Kinh doanh - TCT CNC",+VLOOKUP($B133,[2]Time_S4!$B:$G,5,0))</f>
        <v>Khối cơ quan - TCT CNC</v>
      </c>
      <c r="Y133" s="366"/>
      <c r="Z133" s="366"/>
    </row>
    <row r="134" spans="1:26" ht="15.75" hidden="1">
      <c r="A134" s="367">
        <f>SUBTOTAL(3,$B$15:B134)</f>
        <v>1</v>
      </c>
      <c r="B134" s="356" t="s">
        <v>635</v>
      </c>
      <c r="C134" s="356" t="s">
        <v>636</v>
      </c>
      <c r="D134" s="356" t="s">
        <v>397</v>
      </c>
      <c r="E134" s="357">
        <v>21</v>
      </c>
      <c r="F134" s="357">
        <v>21</v>
      </c>
      <c r="G134" s="358">
        <v>15643427</v>
      </c>
      <c r="H134" s="359">
        <f t="shared" si="3"/>
        <v>14531459</v>
      </c>
      <c r="I134" s="360"/>
      <c r="J134" s="361"/>
      <c r="K134" s="362"/>
      <c r="L134" s="362"/>
      <c r="M134" s="361">
        <v>1111968</v>
      </c>
      <c r="N134" s="361">
        <v>2432430</v>
      </c>
      <c r="O134" s="361">
        <v>0</v>
      </c>
      <c r="P134" s="361">
        <v>0</v>
      </c>
      <c r="Q134" s="361">
        <v>0</v>
      </c>
      <c r="R134" s="361">
        <v>0</v>
      </c>
      <c r="S134" s="361">
        <v>277992</v>
      </c>
      <c r="T134" s="363">
        <v>1780000</v>
      </c>
      <c r="U134" s="364">
        <f t="shared" si="4"/>
        <v>20133849</v>
      </c>
      <c r="V134" s="362"/>
      <c r="W134" s="365" t="str">
        <f>+VLOOKUP($B134,[2]Time_S4!$B:$G,6,0)</f>
        <v>Phòng Hành chính</v>
      </c>
      <c r="X134" s="365" t="str">
        <f>IF(W134="Phòng Kinh doanh","Trung tâm Kinh doanh - TCT CNC",+VLOOKUP($B134,[2]Time_S4!$B:$G,5,0))</f>
        <v>Khối cơ quan - TCT CNC</v>
      </c>
      <c r="Y134" s="366"/>
      <c r="Z134" s="366"/>
    </row>
    <row r="135" spans="1:26" ht="15.75" hidden="1">
      <c r="A135" s="367">
        <f>SUBTOTAL(3,$B$15:B135)</f>
        <v>1</v>
      </c>
      <c r="B135" s="356" t="s">
        <v>637</v>
      </c>
      <c r="C135" s="356" t="s">
        <v>638</v>
      </c>
      <c r="D135" s="356" t="s">
        <v>397</v>
      </c>
      <c r="E135" s="357">
        <v>21</v>
      </c>
      <c r="F135" s="357">
        <v>21</v>
      </c>
      <c r="G135" s="358">
        <v>109916170</v>
      </c>
      <c r="H135" s="359">
        <f t="shared" si="3"/>
        <v>108671290</v>
      </c>
      <c r="I135" s="360"/>
      <c r="J135" s="361"/>
      <c r="K135" s="362"/>
      <c r="L135" s="362"/>
      <c r="M135" s="361">
        <v>1244880</v>
      </c>
      <c r="N135" s="361">
        <v>2723175</v>
      </c>
      <c r="O135" s="361">
        <v>0</v>
      </c>
      <c r="P135" s="361">
        <v>0</v>
      </c>
      <c r="Q135" s="361">
        <v>0</v>
      </c>
      <c r="R135" s="361">
        <v>0</v>
      </c>
      <c r="S135" s="361">
        <v>311220</v>
      </c>
      <c r="T135" s="363">
        <v>1730000</v>
      </c>
      <c r="U135" s="364">
        <f t="shared" si="4"/>
        <v>114680565</v>
      </c>
      <c r="V135" s="362"/>
      <c r="W135" s="365" t="str">
        <f>+VLOOKUP($B135,[2]Time_S4!$B:$G,6,0)</f>
        <v>Trung tâm Nghiên cứu công nghệ Đa phương tiện</v>
      </c>
      <c r="X135" s="365" t="str">
        <f>IF(W135="Phòng Kinh doanh","Trung tâm Kinh doanh - TCT CNC",+VLOOKUP($B135,[2]Time_S4!$B:$G,5,0))</f>
        <v>Khối 2 - TCT CNC</v>
      </c>
      <c r="Y135" s="366"/>
      <c r="Z135" s="366"/>
    </row>
    <row r="136" spans="1:26" ht="15.75" hidden="1">
      <c r="A136" s="367">
        <f>SUBTOTAL(3,$B$15:B136)</f>
        <v>1</v>
      </c>
      <c r="B136" s="356" t="s">
        <v>639</v>
      </c>
      <c r="C136" s="356" t="s">
        <v>640</v>
      </c>
      <c r="D136" s="356" t="s">
        <v>407</v>
      </c>
      <c r="E136" s="357">
        <v>21</v>
      </c>
      <c r="F136" s="357">
        <v>21</v>
      </c>
      <c r="G136" s="358">
        <v>15643427</v>
      </c>
      <c r="H136" s="359">
        <f t="shared" si="3"/>
        <v>14810147</v>
      </c>
      <c r="I136" s="360"/>
      <c r="J136" s="361"/>
      <c r="K136" s="362"/>
      <c r="L136" s="362"/>
      <c r="M136" s="361">
        <v>634880</v>
      </c>
      <c r="N136" s="361">
        <v>1388800</v>
      </c>
      <c r="O136" s="361">
        <v>119040</v>
      </c>
      <c r="P136" s="361">
        <v>238080</v>
      </c>
      <c r="Q136" s="361">
        <v>79360</v>
      </c>
      <c r="R136" s="361">
        <v>79360</v>
      </c>
      <c r="S136" s="361">
        <v>158720</v>
      </c>
      <c r="T136" s="363">
        <v>1530000</v>
      </c>
      <c r="U136" s="364">
        <f t="shared" si="4"/>
        <v>19038387</v>
      </c>
      <c r="V136" s="362"/>
      <c r="W136" s="365" t="str">
        <f>+VLOOKUP($B136,[2]Time_S4!$B:$G,6,0)</f>
        <v>Phòng Hành chính</v>
      </c>
      <c r="X136" s="365" t="str">
        <f>IF(W136="Phòng Kinh doanh","Trung tâm Kinh doanh - TCT CNC",+VLOOKUP($B136,[2]Time_S4!$B:$G,5,0))</f>
        <v>Khối cơ quan - TCT CNC</v>
      </c>
      <c r="Y136" s="366"/>
      <c r="Z136" s="380"/>
    </row>
    <row r="137" spans="1:26" ht="15.75" hidden="1">
      <c r="A137" s="367">
        <f>SUBTOTAL(3,$B$15:B137)</f>
        <v>1</v>
      </c>
      <c r="B137" s="356" t="s">
        <v>641</v>
      </c>
      <c r="C137" s="356" t="s">
        <v>642</v>
      </c>
      <c r="D137" s="356" t="s">
        <v>407</v>
      </c>
      <c r="E137" s="357">
        <v>21</v>
      </c>
      <c r="F137" s="357">
        <v>21</v>
      </c>
      <c r="G137" s="358">
        <v>15643427</v>
      </c>
      <c r="H137" s="359">
        <f t="shared" si="3"/>
        <v>14810147</v>
      </c>
      <c r="I137" s="360"/>
      <c r="J137" s="361"/>
      <c r="K137" s="362"/>
      <c r="L137" s="362"/>
      <c r="M137" s="361">
        <v>634880</v>
      </c>
      <c r="N137" s="361">
        <v>1388800</v>
      </c>
      <c r="O137" s="361">
        <v>119040</v>
      </c>
      <c r="P137" s="361">
        <v>238080</v>
      </c>
      <c r="Q137" s="361">
        <v>79360</v>
      </c>
      <c r="R137" s="361">
        <v>79360</v>
      </c>
      <c r="S137" s="361">
        <v>158720</v>
      </c>
      <c r="T137" s="363">
        <v>930000</v>
      </c>
      <c r="U137" s="364">
        <f t="shared" si="4"/>
        <v>18438387</v>
      </c>
      <c r="V137" s="362"/>
      <c r="W137" s="365" t="str">
        <f>+VLOOKUP($B137,[2]Time_S4!$B:$G,6,0)</f>
        <v>Phòng Hành chính</v>
      </c>
      <c r="X137" s="365" t="str">
        <f>IF(W137="Phòng Kinh doanh","Trung tâm Kinh doanh - TCT CNC",+VLOOKUP($B137,[2]Time_S4!$B:$G,5,0))</f>
        <v>Khối cơ quan - TCT CNC</v>
      </c>
      <c r="Y137" s="366"/>
      <c r="Z137" s="366"/>
    </row>
    <row r="138" spans="1:26" ht="15.75" hidden="1">
      <c r="A138" s="367">
        <f>SUBTOTAL(3,$B$15:B138)</f>
        <v>1</v>
      </c>
      <c r="B138" s="356" t="s">
        <v>643</v>
      </c>
      <c r="C138" s="356" t="s">
        <v>644</v>
      </c>
      <c r="D138" s="356" t="s">
        <v>407</v>
      </c>
      <c r="E138" s="357">
        <v>21</v>
      </c>
      <c r="F138" s="357">
        <v>21</v>
      </c>
      <c r="G138" s="358">
        <v>26960570</v>
      </c>
      <c r="H138" s="359">
        <f t="shared" si="3"/>
        <v>25945010</v>
      </c>
      <c r="I138" s="360"/>
      <c r="J138" s="361"/>
      <c r="K138" s="362"/>
      <c r="L138" s="362"/>
      <c r="M138" s="361">
        <v>773760</v>
      </c>
      <c r="N138" s="361">
        <v>1692600</v>
      </c>
      <c r="O138" s="361">
        <v>145080</v>
      </c>
      <c r="P138" s="361">
        <v>290160</v>
      </c>
      <c r="Q138" s="361">
        <v>96720</v>
      </c>
      <c r="R138" s="361">
        <v>96720</v>
      </c>
      <c r="S138" s="361">
        <v>193440</v>
      </c>
      <c r="T138" s="363">
        <v>1047000</v>
      </c>
      <c r="U138" s="364">
        <f t="shared" si="4"/>
        <v>30280490</v>
      </c>
      <c r="V138" s="362"/>
      <c r="W138" s="365" t="str">
        <f>+VLOOKUP($B138,[2]Time_S4!$B:$G,6,0)</f>
        <v>Trung tâm Nghiên cứu Công nghệ chuyển mạch</v>
      </c>
      <c r="X138" s="365" t="str">
        <f>IF(W138="Phòng Kinh doanh","Trung tâm Kinh doanh - TCT CNC",+VLOOKUP($B138,[2]Time_S4!$B:$G,5,0))</f>
        <v>Khối 2 - TCT CNC</v>
      </c>
      <c r="Y138" s="366"/>
      <c r="Z138" s="366"/>
    </row>
    <row r="139" spans="1:26" ht="15.75" hidden="1">
      <c r="A139" s="367">
        <f>SUBTOTAL(3,$B$15:B139)</f>
        <v>1</v>
      </c>
      <c r="B139" s="356" t="s">
        <v>645</v>
      </c>
      <c r="C139" s="356" t="s">
        <v>646</v>
      </c>
      <c r="D139" s="356" t="s">
        <v>397</v>
      </c>
      <c r="E139" s="357">
        <v>21</v>
      </c>
      <c r="F139" s="357">
        <v>21</v>
      </c>
      <c r="G139" s="358">
        <v>23034309</v>
      </c>
      <c r="H139" s="359">
        <f t="shared" si="3"/>
        <v>21835293</v>
      </c>
      <c r="I139" s="360"/>
      <c r="J139" s="361"/>
      <c r="K139" s="362"/>
      <c r="L139" s="362"/>
      <c r="M139" s="361">
        <v>1199016</v>
      </c>
      <c r="N139" s="361">
        <v>2622848</v>
      </c>
      <c r="O139" s="361">
        <v>0</v>
      </c>
      <c r="P139" s="361">
        <v>0</v>
      </c>
      <c r="Q139" s="361">
        <v>0</v>
      </c>
      <c r="R139" s="361">
        <v>0</v>
      </c>
      <c r="S139" s="361">
        <v>299754</v>
      </c>
      <c r="T139" s="363">
        <v>1632000</v>
      </c>
      <c r="U139" s="364">
        <f t="shared" si="4"/>
        <v>27588911</v>
      </c>
      <c r="V139" s="381"/>
      <c r="W139" s="365" t="str">
        <f>+VLOOKUP($B139,[2]Time_S4!$B:$G,6,0)</f>
        <v>Phòng Chính trị</v>
      </c>
      <c r="X139" s="365" t="str">
        <f>IF(W139="Phòng Kinh doanh","Trung tâm Kinh doanh - TCT CNC",+VLOOKUP($B139,[2]Time_S4!$B:$G,5,0))</f>
        <v>Khối cơ quan - TCT CNC</v>
      </c>
      <c r="Y139" s="366"/>
      <c r="Z139" s="366"/>
    </row>
    <row r="140" spans="1:26" ht="15.75" hidden="1">
      <c r="A140" s="367">
        <f>SUBTOTAL(3,$B$15:B140)</f>
        <v>1</v>
      </c>
      <c r="B140" s="356" t="s">
        <v>647</v>
      </c>
      <c r="C140" s="356" t="s">
        <v>648</v>
      </c>
      <c r="D140" s="356" t="s">
        <v>407</v>
      </c>
      <c r="E140" s="357">
        <v>21</v>
      </c>
      <c r="F140" s="357">
        <v>21</v>
      </c>
      <c r="G140" s="358">
        <v>35650853</v>
      </c>
      <c r="H140" s="359">
        <f t="shared" si="3"/>
        <v>34525925</v>
      </c>
      <c r="I140" s="360"/>
      <c r="J140" s="361"/>
      <c r="K140" s="362"/>
      <c r="L140" s="362"/>
      <c r="M140" s="361">
        <v>857088</v>
      </c>
      <c r="N140" s="361">
        <v>1874880</v>
      </c>
      <c r="O140" s="361">
        <v>160704</v>
      </c>
      <c r="P140" s="361">
        <v>321408</v>
      </c>
      <c r="Q140" s="361">
        <v>107136</v>
      </c>
      <c r="R140" s="361">
        <v>107136</v>
      </c>
      <c r="S140" s="361">
        <v>214272</v>
      </c>
      <c r="T140" s="363">
        <v>1030000</v>
      </c>
      <c r="U140" s="364">
        <f t="shared" si="4"/>
        <v>39198549</v>
      </c>
      <c r="V140" s="362"/>
      <c r="W140" s="365" t="str">
        <f>+VLOOKUP($B140,[2]Time_S4!$B:$G,6,0)</f>
        <v>Phòng Công nghệ thông tin</v>
      </c>
      <c r="X140" s="365" t="str">
        <f>IF(W140="Phòng Kinh doanh","Trung tâm Kinh doanh - TCT CNC",+VLOOKUP($B140,[2]Time_S4!$B:$G,5,0))</f>
        <v>Khối cơ quan - TCT CNC</v>
      </c>
      <c r="Y140" s="366"/>
      <c r="Z140" s="366"/>
    </row>
    <row r="141" spans="1:26" ht="15.75" hidden="1">
      <c r="A141" s="367">
        <f>SUBTOTAL(3,$B$15:B141)</f>
        <v>1</v>
      </c>
      <c r="B141" s="356" t="s">
        <v>649</v>
      </c>
      <c r="C141" s="356" t="s">
        <v>650</v>
      </c>
      <c r="D141" s="356" t="s">
        <v>407</v>
      </c>
      <c r="E141" s="357">
        <v>21</v>
      </c>
      <c r="F141" s="357">
        <v>21</v>
      </c>
      <c r="G141" s="358">
        <v>34894225</v>
      </c>
      <c r="H141" s="359">
        <f t="shared" si="3"/>
        <v>33769297</v>
      </c>
      <c r="I141" s="360"/>
      <c r="J141" s="361"/>
      <c r="K141" s="362"/>
      <c r="L141" s="362"/>
      <c r="M141" s="361">
        <v>857088</v>
      </c>
      <c r="N141" s="361">
        <v>1874880</v>
      </c>
      <c r="O141" s="361">
        <v>160704</v>
      </c>
      <c r="P141" s="361">
        <v>321408</v>
      </c>
      <c r="Q141" s="361">
        <v>107136</v>
      </c>
      <c r="R141" s="361">
        <v>107136</v>
      </c>
      <c r="S141" s="361">
        <v>214272</v>
      </c>
      <c r="T141" s="363">
        <v>1130000</v>
      </c>
      <c r="U141" s="364">
        <f t="shared" si="4"/>
        <v>38541921</v>
      </c>
      <c r="V141" s="362"/>
      <c r="W141" s="365" t="str">
        <f>+VLOOKUP($B141,[2]Time_S4!$B:$G,6,0)</f>
        <v>Phòng Tổng hợp</v>
      </c>
      <c r="X141" s="365" t="str">
        <f>IF(W141="Phòng Kinh doanh","Trung tâm Kinh doanh - TCT CNC",+VLOOKUP($B141,[2]Time_S4!$B:$G,5,0))</f>
        <v>Khối 2 - TCT CNC</v>
      </c>
      <c r="Y141" s="366"/>
      <c r="Z141" s="366"/>
    </row>
    <row r="142" spans="1:26" ht="15.75" hidden="1">
      <c r="A142" s="367">
        <f>SUBTOTAL(3,$B$15:B142)</f>
        <v>1</v>
      </c>
      <c r="B142" s="356" t="s">
        <v>651</v>
      </c>
      <c r="C142" s="356" t="s">
        <v>652</v>
      </c>
      <c r="D142" s="356" t="s">
        <v>407</v>
      </c>
      <c r="E142" s="357">
        <v>21</v>
      </c>
      <c r="F142" s="357">
        <v>21</v>
      </c>
      <c r="G142" s="358">
        <v>32100171</v>
      </c>
      <c r="H142" s="359">
        <f t="shared" si="3"/>
        <v>31032531</v>
      </c>
      <c r="I142" s="360"/>
      <c r="J142" s="361"/>
      <c r="K142" s="362"/>
      <c r="L142" s="362"/>
      <c r="M142" s="361">
        <v>813440</v>
      </c>
      <c r="N142" s="361">
        <v>1779400</v>
      </c>
      <c r="O142" s="361">
        <v>152520</v>
      </c>
      <c r="P142" s="361">
        <v>305040</v>
      </c>
      <c r="Q142" s="361">
        <v>101680</v>
      </c>
      <c r="R142" s="361">
        <v>101680</v>
      </c>
      <c r="S142" s="361">
        <v>203360</v>
      </c>
      <c r="T142" s="363">
        <v>1030000</v>
      </c>
      <c r="U142" s="364">
        <f t="shared" si="4"/>
        <v>35519651</v>
      </c>
      <c r="V142" s="362"/>
      <c r="W142" s="365" t="str">
        <f>+VLOOKUP($B142,[2]Time_S4!$B:$G,6,0)</f>
        <v>Trung tâm dịch vụ sau bán hàng</v>
      </c>
      <c r="X142" s="365" t="str">
        <f>IF(W142="Phòng Kinh doanh","Trung tâm Kinh doanh - TCT CNC",+VLOOKUP($B142,[2]Time_S4!$B:$G,5,0))</f>
        <v>Khối 2 - TCT CNC</v>
      </c>
      <c r="Y142" s="366"/>
      <c r="Z142" s="366"/>
    </row>
    <row r="143" spans="1:26" ht="15.75" hidden="1">
      <c r="A143" s="367">
        <f>SUBTOTAL(3,$B$15:B143)</f>
        <v>1</v>
      </c>
      <c r="B143" s="356" t="s">
        <v>653</v>
      </c>
      <c r="C143" s="356" t="s">
        <v>654</v>
      </c>
      <c r="D143" s="356" t="s">
        <v>407</v>
      </c>
      <c r="E143" s="357">
        <v>21</v>
      </c>
      <c r="F143" s="357">
        <v>21</v>
      </c>
      <c r="G143" s="358">
        <v>20344177</v>
      </c>
      <c r="H143" s="359">
        <f t="shared" si="3"/>
        <v>19427569</v>
      </c>
      <c r="I143" s="360"/>
      <c r="J143" s="361"/>
      <c r="K143" s="362"/>
      <c r="L143" s="362"/>
      <c r="M143" s="361">
        <v>698368</v>
      </c>
      <c r="N143" s="361">
        <v>1527680</v>
      </c>
      <c r="O143" s="361">
        <v>130944</v>
      </c>
      <c r="P143" s="361">
        <v>261888</v>
      </c>
      <c r="Q143" s="361">
        <v>87296</v>
      </c>
      <c r="R143" s="361">
        <v>87296</v>
      </c>
      <c r="S143" s="361">
        <v>174592</v>
      </c>
      <c r="T143" s="363">
        <v>930000</v>
      </c>
      <c r="U143" s="364">
        <f t="shared" si="4"/>
        <v>23325633</v>
      </c>
      <c r="V143" s="362"/>
      <c r="W143" s="365" t="str">
        <f>+VLOOKUP($B143,[2]Time_S4!$B:$G,6,0)</f>
        <v>Phòng Hợp đồng</v>
      </c>
      <c r="X143" s="365" t="str">
        <f>IF(W143="Phòng Kinh doanh","Trung tâm Kinh doanh - TCT CNC",+VLOOKUP($B143,[2]Time_S4!$B:$G,5,0))</f>
        <v>Trung tâm Mua sắm - TCT CNC</v>
      </c>
      <c r="Y143" s="366"/>
      <c r="Z143" s="366"/>
    </row>
    <row r="144" spans="1:26" ht="15.75" hidden="1">
      <c r="A144" s="367">
        <f>SUBTOTAL(3,$B$15:B144)</f>
        <v>1</v>
      </c>
      <c r="B144" s="356" t="s">
        <v>655</v>
      </c>
      <c r="C144" s="356" t="s">
        <v>656</v>
      </c>
      <c r="D144" s="356" t="s">
        <v>407</v>
      </c>
      <c r="E144" s="357">
        <v>21</v>
      </c>
      <c r="F144" s="357">
        <v>21</v>
      </c>
      <c r="G144" s="358">
        <v>37162286</v>
      </c>
      <c r="H144" s="359">
        <f t="shared" ref="H144:H207" si="5">+G144-SUM(M144,O144,Q144)</f>
        <v>36037358</v>
      </c>
      <c r="I144" s="360"/>
      <c r="J144" s="361"/>
      <c r="K144" s="362"/>
      <c r="L144" s="362"/>
      <c r="M144" s="361">
        <v>857088</v>
      </c>
      <c r="N144" s="361">
        <v>1874880</v>
      </c>
      <c r="O144" s="361">
        <v>160704</v>
      </c>
      <c r="P144" s="361">
        <v>321408</v>
      </c>
      <c r="Q144" s="361">
        <v>107136</v>
      </c>
      <c r="R144" s="361">
        <v>107136</v>
      </c>
      <c r="S144" s="361">
        <v>214272</v>
      </c>
      <c r="T144" s="363">
        <v>1030000</v>
      </c>
      <c r="U144" s="364">
        <f t="shared" ref="U144:U207" si="6">+SUM(H144:T144)</f>
        <v>40709982</v>
      </c>
      <c r="V144" s="362"/>
      <c r="W144" s="365" t="str">
        <f>+VLOOKUP($B144,[2]Time_S4!$B:$G,6,0)</f>
        <v>Trung tâm Kỹ thuật công nghệ - TCT CNC</v>
      </c>
      <c r="X144" s="365" t="str">
        <f>IF(W144="Phòng Kinh doanh","Trung tâm Kinh doanh - TCT CNC",+VLOOKUP($B144,[2]Time_S4!$B:$G,5,0))</f>
        <v>Khối 2 - TCT CNC</v>
      </c>
      <c r="Y144" s="366"/>
      <c r="Z144" s="366"/>
    </row>
    <row r="145" spans="1:26" ht="15.75" hidden="1">
      <c r="A145" s="367">
        <f>SUBTOTAL(3,$B$15:B145)</f>
        <v>1</v>
      </c>
      <c r="B145" s="356" t="s">
        <v>657</v>
      </c>
      <c r="C145" s="356" t="s">
        <v>658</v>
      </c>
      <c r="D145" s="356" t="s">
        <v>407</v>
      </c>
      <c r="E145" s="357">
        <v>21</v>
      </c>
      <c r="F145" s="357">
        <v>21</v>
      </c>
      <c r="G145" s="358">
        <v>31433791</v>
      </c>
      <c r="H145" s="359">
        <f t="shared" si="5"/>
        <v>30366151</v>
      </c>
      <c r="I145" s="360"/>
      <c r="J145" s="361"/>
      <c r="K145" s="362"/>
      <c r="L145" s="362"/>
      <c r="M145" s="361">
        <v>813440</v>
      </c>
      <c r="N145" s="361">
        <v>1779400</v>
      </c>
      <c r="O145" s="361">
        <v>152520</v>
      </c>
      <c r="P145" s="361">
        <v>305040</v>
      </c>
      <c r="Q145" s="361">
        <v>101680</v>
      </c>
      <c r="R145" s="361">
        <v>101680</v>
      </c>
      <c r="S145" s="361">
        <v>203360</v>
      </c>
      <c r="T145" s="363">
        <v>1030000</v>
      </c>
      <c r="U145" s="364">
        <f t="shared" si="6"/>
        <v>34853271</v>
      </c>
      <c r="V145" s="362"/>
      <c r="W145" s="365" t="str">
        <f>+VLOOKUP($B145,[2]Time_S4!$B:$G,6,0)</f>
        <v>Trung tâm Khí cụ bay</v>
      </c>
      <c r="X145" s="365" t="str">
        <f>IF(W145="Phòng Kinh doanh","Trung tâm Kinh doanh - TCT CNC",+VLOOKUP($B145,[2]Time_S4!$B:$G,5,0))</f>
        <v>Khối 1 - TCT CNC</v>
      </c>
      <c r="Y145" s="366"/>
      <c r="Z145" s="366"/>
    </row>
    <row r="146" spans="1:26" ht="15.75" hidden="1">
      <c r="A146" s="367">
        <f>SUBTOTAL(3,$B$15:B146)</f>
        <v>1</v>
      </c>
      <c r="B146" s="356" t="s">
        <v>659</v>
      </c>
      <c r="C146" s="356" t="s">
        <v>660</v>
      </c>
      <c r="D146" s="356" t="s">
        <v>397</v>
      </c>
      <c r="E146" s="357">
        <v>21</v>
      </c>
      <c r="F146" s="357">
        <v>21</v>
      </c>
      <c r="G146" s="358">
        <v>67611423</v>
      </c>
      <c r="H146" s="359">
        <f t="shared" si="5"/>
        <v>66332473</v>
      </c>
      <c r="I146" s="360"/>
      <c r="J146" s="361"/>
      <c r="K146" s="362"/>
      <c r="L146" s="362"/>
      <c r="M146" s="361">
        <v>1278950</v>
      </c>
      <c r="N146" s="361">
        <v>2797704</v>
      </c>
      <c r="O146" s="361">
        <v>0</v>
      </c>
      <c r="P146" s="361">
        <v>0</v>
      </c>
      <c r="Q146" s="361">
        <v>0</v>
      </c>
      <c r="R146" s="361">
        <v>0</v>
      </c>
      <c r="S146" s="361">
        <v>319738</v>
      </c>
      <c r="T146" s="363">
        <v>1230000</v>
      </c>
      <c r="U146" s="364">
        <f t="shared" si="6"/>
        <v>71958865</v>
      </c>
      <c r="V146" s="362"/>
      <c r="W146" s="365" t="str">
        <f>+VLOOKUP($B146,[2]Time_S4!$B:$G,6,0)</f>
        <v>Trung tâm Thông tin Quân sự</v>
      </c>
      <c r="X146" s="365" t="str">
        <f>IF(W146="Phòng Kinh doanh","Trung tâm Kinh doanh - TCT CNC",+VLOOKUP($B146,[2]Time_S4!$B:$G,5,0))</f>
        <v>Khối 1 - TCT CNC</v>
      </c>
      <c r="Y146" s="366"/>
      <c r="Z146" s="366"/>
    </row>
    <row r="147" spans="1:26" ht="15.75" hidden="1">
      <c r="A147" s="367">
        <f>SUBTOTAL(3,$B$15:B147)</f>
        <v>1</v>
      </c>
      <c r="B147" s="356" t="s">
        <v>661</v>
      </c>
      <c r="C147" s="356" t="s">
        <v>662</v>
      </c>
      <c r="D147" s="356" t="s">
        <v>407</v>
      </c>
      <c r="E147" s="357">
        <v>21</v>
      </c>
      <c r="F147" s="357">
        <v>21</v>
      </c>
      <c r="G147" s="358">
        <v>28903190</v>
      </c>
      <c r="H147" s="359">
        <f t="shared" si="5"/>
        <v>27887630</v>
      </c>
      <c r="I147" s="360"/>
      <c r="J147" s="361"/>
      <c r="K147" s="362"/>
      <c r="L147" s="362"/>
      <c r="M147" s="361">
        <v>773760</v>
      </c>
      <c r="N147" s="361">
        <v>1692600</v>
      </c>
      <c r="O147" s="361">
        <v>145080</v>
      </c>
      <c r="P147" s="361">
        <v>290160</v>
      </c>
      <c r="Q147" s="361">
        <v>96720</v>
      </c>
      <c r="R147" s="361">
        <v>96720</v>
      </c>
      <c r="S147" s="361">
        <v>193440</v>
      </c>
      <c r="T147" s="363">
        <v>1030000</v>
      </c>
      <c r="U147" s="364">
        <f t="shared" si="6"/>
        <v>32206110</v>
      </c>
      <c r="V147" s="362"/>
      <c r="W147" s="365" t="str">
        <f>+VLOOKUP($B147,[2]Time_S4!$B:$G,6,0)</f>
        <v>Trung tâm Tác chiến điện tử</v>
      </c>
      <c r="X147" s="365" t="str">
        <f>IF(W147="Phòng Kinh doanh","Trung tâm Kinh doanh - TCT CNC",+VLOOKUP($B147,[2]Time_S4!$B:$G,5,0))</f>
        <v>Khối 1 - TCT CNC</v>
      </c>
      <c r="Y147" s="366"/>
      <c r="Z147" s="366"/>
    </row>
    <row r="148" spans="1:26" ht="15.75" hidden="1">
      <c r="A148" s="367">
        <f>SUBTOTAL(3,$B$15:B148)</f>
        <v>1</v>
      </c>
      <c r="B148" s="356" t="s">
        <v>663</v>
      </c>
      <c r="C148" s="356" t="s">
        <v>664</v>
      </c>
      <c r="D148" s="356" t="s">
        <v>407</v>
      </c>
      <c r="E148" s="357">
        <v>21</v>
      </c>
      <c r="F148" s="357">
        <v>21</v>
      </c>
      <c r="G148" s="358">
        <v>15643427</v>
      </c>
      <c r="H148" s="359">
        <f t="shared" si="5"/>
        <v>14810147</v>
      </c>
      <c r="I148" s="360"/>
      <c r="J148" s="361"/>
      <c r="K148" s="362"/>
      <c r="L148" s="362"/>
      <c r="M148" s="361">
        <v>634880</v>
      </c>
      <c r="N148" s="361">
        <v>1388800</v>
      </c>
      <c r="O148" s="361">
        <v>119040</v>
      </c>
      <c r="P148" s="361">
        <v>238080</v>
      </c>
      <c r="Q148" s="361">
        <v>79360</v>
      </c>
      <c r="R148" s="361">
        <v>79360</v>
      </c>
      <c r="S148" s="361">
        <v>158720</v>
      </c>
      <c r="T148" s="363">
        <v>1530000</v>
      </c>
      <c r="U148" s="364">
        <f t="shared" si="6"/>
        <v>19038387</v>
      </c>
      <c r="V148" s="362"/>
      <c r="W148" s="365" t="str">
        <f>+VLOOKUP($B148,[2]Time_S4!$B:$G,6,0)</f>
        <v>Phòng Hành chính</v>
      </c>
      <c r="X148" s="365" t="str">
        <f>IF(W148="Phòng Kinh doanh","Trung tâm Kinh doanh - TCT CNC",+VLOOKUP($B148,[2]Time_S4!$B:$G,5,0))</f>
        <v>Khối cơ quan - TCT CNC</v>
      </c>
      <c r="Y148" s="366"/>
      <c r="Z148" s="366"/>
    </row>
    <row r="149" spans="1:26" ht="15.75" hidden="1">
      <c r="A149" s="367">
        <f>SUBTOTAL(3,$B$15:B149)</f>
        <v>1</v>
      </c>
      <c r="B149" s="356" t="s">
        <v>665</v>
      </c>
      <c r="C149" s="356" t="s">
        <v>666</v>
      </c>
      <c r="D149" s="356" t="s">
        <v>397</v>
      </c>
      <c r="E149" s="357">
        <v>21</v>
      </c>
      <c r="F149" s="357">
        <v>21</v>
      </c>
      <c r="G149" s="358">
        <v>49380427</v>
      </c>
      <c r="H149" s="359">
        <f t="shared" si="5"/>
        <v>47899675</v>
      </c>
      <c r="I149" s="360"/>
      <c r="J149" s="361"/>
      <c r="K149" s="362"/>
      <c r="L149" s="362"/>
      <c r="M149" s="361">
        <v>1480752</v>
      </c>
      <c r="N149" s="361">
        <v>3239145</v>
      </c>
      <c r="O149" s="361">
        <v>0</v>
      </c>
      <c r="P149" s="361">
        <v>0</v>
      </c>
      <c r="Q149" s="361">
        <v>0</v>
      </c>
      <c r="R149" s="361">
        <v>0</v>
      </c>
      <c r="S149" s="361">
        <v>370188</v>
      </c>
      <c r="T149" s="363">
        <v>1030000</v>
      </c>
      <c r="U149" s="364">
        <f t="shared" si="6"/>
        <v>54019760</v>
      </c>
      <c r="V149" s="362"/>
      <c r="W149" s="365" t="str">
        <f>+VLOOKUP($B149,[2]Time_S4!$B:$G,6,0)</f>
        <v>Phòng Kinh doanh</v>
      </c>
      <c r="X149" s="365" t="str">
        <f>IF(W149="Phòng Kinh doanh","Trung tâm Kinh doanh - TCT CNC",+VLOOKUP($B149,[2]Time_S4!$B:$G,5,0))</f>
        <v>Trung tâm Kinh doanh - TCT CNC</v>
      </c>
      <c r="Y149" s="366"/>
      <c r="Z149" s="366"/>
    </row>
    <row r="150" spans="1:26" ht="15.75" hidden="1">
      <c r="A150" s="367">
        <f>SUBTOTAL(3,$B$15:B150)</f>
        <v>1</v>
      </c>
      <c r="B150" s="356" t="s">
        <v>667</v>
      </c>
      <c r="C150" s="356" t="s">
        <v>668</v>
      </c>
      <c r="D150" s="356" t="s">
        <v>407</v>
      </c>
      <c r="E150" s="357">
        <v>21</v>
      </c>
      <c r="F150" s="357">
        <v>21</v>
      </c>
      <c r="G150" s="358">
        <v>30459291</v>
      </c>
      <c r="H150" s="359">
        <f t="shared" si="5"/>
        <v>29391651</v>
      </c>
      <c r="I150" s="360"/>
      <c r="J150" s="361"/>
      <c r="K150" s="362"/>
      <c r="L150" s="362"/>
      <c r="M150" s="361">
        <v>813440</v>
      </c>
      <c r="N150" s="361">
        <v>1779400</v>
      </c>
      <c r="O150" s="361">
        <v>152520</v>
      </c>
      <c r="P150" s="361">
        <v>305040</v>
      </c>
      <c r="Q150" s="361">
        <v>101680</v>
      </c>
      <c r="R150" s="361">
        <v>101680</v>
      </c>
      <c r="S150" s="361">
        <v>203360</v>
      </c>
      <c r="T150" s="363">
        <v>1030000</v>
      </c>
      <c r="U150" s="364">
        <f t="shared" si="6"/>
        <v>33878771</v>
      </c>
      <c r="V150" s="362"/>
      <c r="W150" s="365" t="str">
        <f>+VLOOKUP($B150,[2]Time_S4!$B:$G,6,0)</f>
        <v>Phòng Đảm bảo hàng hóa</v>
      </c>
      <c r="X150" s="365" t="str">
        <f>IF(W150="Phòng Kinh doanh","Trung tâm Kinh doanh - TCT CNC",+VLOOKUP($B150,[2]Time_S4!$B:$G,5,0))</f>
        <v>Trung tâm Mua sắm - TCT CNC</v>
      </c>
      <c r="Y150" s="366"/>
      <c r="Z150" s="366"/>
    </row>
    <row r="151" spans="1:26" ht="15.75" hidden="1">
      <c r="A151" s="367">
        <f>SUBTOTAL(3,$B$15:B151)</f>
        <v>1</v>
      </c>
      <c r="B151" s="356" t="s">
        <v>669</v>
      </c>
      <c r="C151" s="356" t="s">
        <v>670</v>
      </c>
      <c r="D151" s="356" t="s">
        <v>407</v>
      </c>
      <c r="E151" s="357">
        <v>21</v>
      </c>
      <c r="F151" s="357">
        <v>21</v>
      </c>
      <c r="G151" s="358">
        <v>62611423</v>
      </c>
      <c r="H151" s="359">
        <f t="shared" si="5"/>
        <v>61236511</v>
      </c>
      <c r="I151" s="360"/>
      <c r="J151" s="361"/>
      <c r="K151" s="362"/>
      <c r="L151" s="362"/>
      <c r="M151" s="361">
        <v>1047552</v>
      </c>
      <c r="N151" s="361">
        <v>2291520</v>
      </c>
      <c r="O151" s="361">
        <v>196416</v>
      </c>
      <c r="P151" s="361">
        <v>392832</v>
      </c>
      <c r="Q151" s="361">
        <v>130944</v>
      </c>
      <c r="R151" s="361">
        <v>130944</v>
      </c>
      <c r="S151" s="361">
        <v>261888</v>
      </c>
      <c r="T151" s="363">
        <v>1230000</v>
      </c>
      <c r="U151" s="364">
        <f t="shared" si="6"/>
        <v>66918607</v>
      </c>
      <c r="V151" s="362"/>
      <c r="W151" s="365" t="str">
        <f>+VLOOKUP($B151,[2]Time_S4!$B:$G,6,0)</f>
        <v>Trung tâm Phát triển nền tảng thanh toán</v>
      </c>
      <c r="X151" s="365" t="str">
        <f>IF(W151="Phòng Kinh doanh","Trung tâm Kinh doanh - TCT CNC",+VLOOKUP($B151,[2]Time_S4!$B:$G,5,0))</f>
        <v>Khối 2 - TCT CNC</v>
      </c>
      <c r="Y151" s="366"/>
      <c r="Z151" s="366"/>
    </row>
    <row r="152" spans="1:26" ht="15.75" hidden="1">
      <c r="A152" s="367">
        <f>SUBTOTAL(3,$B$15:B152)</f>
        <v>1</v>
      </c>
      <c r="B152" s="356" t="s">
        <v>671</v>
      </c>
      <c r="C152" s="356" t="s">
        <v>672</v>
      </c>
      <c r="D152" s="356" t="s">
        <v>407</v>
      </c>
      <c r="E152" s="357">
        <v>21</v>
      </c>
      <c r="F152" s="357">
        <v>21</v>
      </c>
      <c r="G152" s="358">
        <v>35650853</v>
      </c>
      <c r="H152" s="359">
        <f t="shared" si="5"/>
        <v>34525925</v>
      </c>
      <c r="I152" s="360"/>
      <c r="J152" s="361"/>
      <c r="K152" s="362"/>
      <c r="L152" s="362"/>
      <c r="M152" s="361">
        <v>857088</v>
      </c>
      <c r="N152" s="361">
        <v>1874880</v>
      </c>
      <c r="O152" s="361">
        <v>160704</v>
      </c>
      <c r="P152" s="361">
        <v>321408</v>
      </c>
      <c r="Q152" s="361">
        <v>107136</v>
      </c>
      <c r="R152" s="361">
        <v>107136</v>
      </c>
      <c r="S152" s="361">
        <v>214272</v>
      </c>
      <c r="T152" s="363">
        <v>1030000</v>
      </c>
      <c r="U152" s="364">
        <f t="shared" si="6"/>
        <v>39198549</v>
      </c>
      <c r="V152" s="362"/>
      <c r="W152" s="365" t="str">
        <f>+VLOOKUP($B152,[2]Time_S4!$B:$G,6,0)</f>
        <v>Phòng Kinh doanh</v>
      </c>
      <c r="X152" s="365" t="str">
        <f>IF(W152="Phòng Kinh doanh","Trung tâm Kinh doanh - TCT CNC",+VLOOKUP($B152,[2]Time_S4!$B:$G,5,0))</f>
        <v>Trung tâm Kinh doanh - TCT CNC</v>
      </c>
      <c r="Y152" s="366"/>
      <c r="Z152" s="366"/>
    </row>
    <row r="153" spans="1:26" ht="15.75" hidden="1">
      <c r="A153" s="367">
        <f>SUBTOTAL(3,$B$15:B153)</f>
        <v>1</v>
      </c>
      <c r="B153" s="356" t="s">
        <v>673</v>
      </c>
      <c r="C153" s="356" t="s">
        <v>674</v>
      </c>
      <c r="D153" s="356" t="s">
        <v>407</v>
      </c>
      <c r="E153" s="357">
        <v>21</v>
      </c>
      <c r="F153" s="357">
        <v>21</v>
      </c>
      <c r="G153" s="358">
        <v>45360304</v>
      </c>
      <c r="H153" s="359">
        <f t="shared" si="5"/>
        <v>44115592</v>
      </c>
      <c r="I153" s="360"/>
      <c r="J153" s="361"/>
      <c r="K153" s="362"/>
      <c r="L153" s="362"/>
      <c r="M153" s="361">
        <v>948352</v>
      </c>
      <c r="N153" s="361">
        <v>2074520</v>
      </c>
      <c r="O153" s="361">
        <v>177816</v>
      </c>
      <c r="P153" s="361">
        <v>355632</v>
      </c>
      <c r="Q153" s="361">
        <v>118544</v>
      </c>
      <c r="R153" s="361">
        <v>118544</v>
      </c>
      <c r="S153" s="361">
        <v>237088</v>
      </c>
      <c r="T153" s="363">
        <v>1030000</v>
      </c>
      <c r="U153" s="364">
        <f t="shared" si="6"/>
        <v>49176088</v>
      </c>
      <c r="V153" s="362"/>
      <c r="W153" s="365" t="str">
        <f>+VLOOKUP($B153,[2]Time_S4!$B:$G,6,0)</f>
        <v>Trung tâm Nghiên cứu thiết bị vô tuyến băng rộng</v>
      </c>
      <c r="X153" s="365" t="str">
        <f>IF(W153="Phòng Kinh doanh","Trung tâm Kinh doanh - TCT CNC",+VLOOKUP($B153,[2]Time_S4!$B:$G,5,0))</f>
        <v>Khối 2 - TCT CNC</v>
      </c>
      <c r="Y153" s="366"/>
      <c r="Z153" s="366"/>
    </row>
    <row r="154" spans="1:26" ht="15.75" hidden="1">
      <c r="A154" s="367">
        <f>SUBTOTAL(3,$B$15:B154)</f>
        <v>1</v>
      </c>
      <c r="B154" s="356" t="s">
        <v>675</v>
      </c>
      <c r="C154" s="356" t="s">
        <v>676</v>
      </c>
      <c r="D154" s="356" t="s">
        <v>407</v>
      </c>
      <c r="E154" s="357">
        <v>21</v>
      </c>
      <c r="F154" s="357">
        <v>21</v>
      </c>
      <c r="G154" s="358">
        <v>34185912</v>
      </c>
      <c r="H154" s="359">
        <f t="shared" si="5"/>
        <v>33060984</v>
      </c>
      <c r="I154" s="360"/>
      <c r="J154" s="361"/>
      <c r="K154" s="362"/>
      <c r="L154" s="362"/>
      <c r="M154" s="361">
        <v>857088</v>
      </c>
      <c r="N154" s="361">
        <v>1874880</v>
      </c>
      <c r="O154" s="361">
        <v>160704</v>
      </c>
      <c r="P154" s="361">
        <v>321408</v>
      </c>
      <c r="Q154" s="361">
        <v>107136</v>
      </c>
      <c r="R154" s="361">
        <v>107136</v>
      </c>
      <c r="S154" s="361">
        <v>214272</v>
      </c>
      <c r="T154" s="363">
        <v>1030000</v>
      </c>
      <c r="U154" s="364">
        <f t="shared" si="6"/>
        <v>37733608</v>
      </c>
      <c r="V154" s="362"/>
      <c r="W154" s="365" t="str">
        <f>+VLOOKUP($B154,[2]Time_S4!$B:$G,6,0)</f>
        <v>Trung tâm Khí cụ bay</v>
      </c>
      <c r="X154" s="365" t="str">
        <f>IF(W154="Phòng Kinh doanh","Trung tâm Kinh doanh - TCT CNC",+VLOOKUP($B154,[2]Time_S4!$B:$G,5,0))</f>
        <v>Khối 1 - TCT CNC</v>
      </c>
      <c r="Y154" s="366"/>
      <c r="Z154" s="366"/>
    </row>
    <row r="155" spans="1:26" ht="15.75" hidden="1">
      <c r="A155" s="367">
        <f>SUBTOTAL(3,$B$15:B155)</f>
        <v>1</v>
      </c>
      <c r="B155" s="356" t="s">
        <v>677</v>
      </c>
      <c r="C155" s="356" t="s">
        <v>678</v>
      </c>
      <c r="D155" s="356" t="s">
        <v>410</v>
      </c>
      <c r="E155" s="357">
        <v>21</v>
      </c>
      <c r="F155" s="357">
        <v>21</v>
      </c>
      <c r="G155" s="358">
        <v>90999558</v>
      </c>
      <c r="H155" s="359">
        <f t="shared" si="5"/>
        <v>89322246</v>
      </c>
      <c r="I155" s="360"/>
      <c r="J155" s="361"/>
      <c r="K155" s="362"/>
      <c r="L155" s="362"/>
      <c r="M155" s="361">
        <v>1677312</v>
      </c>
      <c r="N155" s="361">
        <v>3669120</v>
      </c>
      <c r="O155" s="361">
        <v>0</v>
      </c>
      <c r="P155" s="361">
        <v>0</v>
      </c>
      <c r="Q155" s="361">
        <v>0</v>
      </c>
      <c r="R155" s="361">
        <v>0</v>
      </c>
      <c r="S155" s="361">
        <v>419328</v>
      </c>
      <c r="T155" s="363">
        <v>2730000</v>
      </c>
      <c r="U155" s="364">
        <f t="shared" si="6"/>
        <v>97818006</v>
      </c>
      <c r="V155" s="362"/>
      <c r="W155" s="365" t="str">
        <f>+VLOOKUP($B155,[2]Time_S4!$B:$G,6,0)</f>
        <v>Ban Giám đốc</v>
      </c>
      <c r="X155" s="365" t="str">
        <f>IF(W155="Phòng Kinh doanh","Trung tâm Kinh doanh - TCT CNC",+VLOOKUP($B155,[2]Time_S4!$B:$G,5,0))</f>
        <v>Trung tâm Mua sắm - TCT CNC</v>
      </c>
      <c r="Y155" s="366"/>
      <c r="Z155" s="366"/>
    </row>
    <row r="156" spans="1:26" ht="15.75" hidden="1">
      <c r="A156" s="367">
        <f>SUBTOTAL(3,$B$15:B156)</f>
        <v>1</v>
      </c>
      <c r="B156" s="356" t="s">
        <v>679</v>
      </c>
      <c r="C156" s="356" t="s">
        <v>680</v>
      </c>
      <c r="D156" s="356" t="s">
        <v>407</v>
      </c>
      <c r="E156" s="357">
        <v>21</v>
      </c>
      <c r="F156" s="357">
        <v>21</v>
      </c>
      <c r="G156" s="358">
        <v>32100171</v>
      </c>
      <c r="H156" s="359">
        <f t="shared" si="5"/>
        <v>31032531</v>
      </c>
      <c r="I156" s="360"/>
      <c r="J156" s="361"/>
      <c r="K156" s="362"/>
      <c r="L156" s="362"/>
      <c r="M156" s="361">
        <v>813440</v>
      </c>
      <c r="N156" s="361">
        <v>1779400</v>
      </c>
      <c r="O156" s="361">
        <v>152520</v>
      </c>
      <c r="P156" s="361">
        <v>305040</v>
      </c>
      <c r="Q156" s="361">
        <v>101680</v>
      </c>
      <c r="R156" s="361">
        <v>101680</v>
      </c>
      <c r="S156" s="361">
        <v>203360</v>
      </c>
      <c r="T156" s="363">
        <v>1147000</v>
      </c>
      <c r="U156" s="364">
        <f t="shared" si="6"/>
        <v>35636651</v>
      </c>
      <c r="V156" s="362"/>
      <c r="W156" s="365" t="str">
        <f>+VLOOKUP($B156,[2]Time_S4!$B:$G,6,0)</f>
        <v>Phòng Nhân sự</v>
      </c>
      <c r="X156" s="365" t="str">
        <f>IF(W156="Phòng Kinh doanh","Trung tâm Kinh doanh - TCT CNC",+VLOOKUP($B156,[2]Time_S4!$B:$G,5,0))</f>
        <v>Khối cơ quan - TCT CNC</v>
      </c>
      <c r="Y156" s="366"/>
      <c r="Z156" s="366"/>
    </row>
    <row r="157" spans="1:26" ht="15.75" hidden="1">
      <c r="A157" s="367">
        <f>SUBTOTAL(3,$B$15:B157)</f>
        <v>1</v>
      </c>
      <c r="B157" s="356" t="s">
        <v>681</v>
      </c>
      <c r="C157" s="356" t="s">
        <v>682</v>
      </c>
      <c r="D157" s="356" t="s">
        <v>400</v>
      </c>
      <c r="E157" s="357">
        <v>21</v>
      </c>
      <c r="F157" s="357">
        <v>21</v>
      </c>
      <c r="G157" s="358">
        <v>44288263</v>
      </c>
      <c r="H157" s="359">
        <f t="shared" si="5"/>
        <v>43267906</v>
      </c>
      <c r="I157" s="360"/>
      <c r="J157" s="361"/>
      <c r="K157" s="362"/>
      <c r="L157" s="362"/>
      <c r="M157" s="361">
        <v>859248</v>
      </c>
      <c r="N157" s="361">
        <v>1879605</v>
      </c>
      <c r="O157" s="361">
        <v>161109</v>
      </c>
      <c r="P157" s="361">
        <v>322218</v>
      </c>
      <c r="Q157" s="361">
        <v>0</v>
      </c>
      <c r="R157" s="361">
        <v>0</v>
      </c>
      <c r="S157" s="361">
        <v>214812</v>
      </c>
      <c r="T157" s="363">
        <v>1230000</v>
      </c>
      <c r="U157" s="364">
        <f t="shared" si="6"/>
        <v>47934898</v>
      </c>
      <c r="V157" s="362"/>
      <c r="W157" s="365" t="str">
        <f>+VLOOKUP($B157,[2]Time_S4!$B:$G,6,0)</f>
        <v>Phòng Tài chính</v>
      </c>
      <c r="X157" s="365" t="str">
        <f>IF(W157="Phòng Kinh doanh","Trung tâm Kinh doanh - TCT CNC",+VLOOKUP($B157,[2]Time_S4!$B:$G,5,0))</f>
        <v>Khối cơ quan - TCT CNC</v>
      </c>
      <c r="Y157" s="366"/>
      <c r="Z157" s="366"/>
    </row>
    <row r="158" spans="1:26" ht="15.75" hidden="1">
      <c r="A158" s="367">
        <f>SUBTOTAL(3,$B$15:B158)</f>
        <v>1</v>
      </c>
      <c r="B158" s="356" t="s">
        <v>683</v>
      </c>
      <c r="C158" s="356" t="s">
        <v>684</v>
      </c>
      <c r="D158" s="356" t="s">
        <v>407</v>
      </c>
      <c r="E158" s="357">
        <v>21</v>
      </c>
      <c r="F158" s="357">
        <v>21</v>
      </c>
      <c r="G158" s="358">
        <v>36824093</v>
      </c>
      <c r="H158" s="359">
        <f t="shared" si="5"/>
        <v>35699165</v>
      </c>
      <c r="I158" s="360"/>
      <c r="J158" s="361"/>
      <c r="K158" s="362"/>
      <c r="L158" s="362"/>
      <c r="M158" s="361">
        <v>857088</v>
      </c>
      <c r="N158" s="361">
        <v>1874880</v>
      </c>
      <c r="O158" s="361">
        <v>160704</v>
      </c>
      <c r="P158" s="361">
        <v>321408</v>
      </c>
      <c r="Q158" s="361">
        <v>107136</v>
      </c>
      <c r="R158" s="361">
        <v>107136</v>
      </c>
      <c r="S158" s="361">
        <v>214272</v>
      </c>
      <c r="T158" s="363">
        <v>1030000</v>
      </c>
      <c r="U158" s="364">
        <f t="shared" si="6"/>
        <v>40371789</v>
      </c>
      <c r="V158" s="362"/>
      <c r="W158" s="365" t="str">
        <f>+VLOOKUP($B158,[2]Time_S4!$B:$G,6,0)</f>
        <v>Phòng Công nghệ thông tin</v>
      </c>
      <c r="X158" s="365" t="str">
        <f>IF(W158="Phòng Kinh doanh","Trung tâm Kinh doanh - TCT CNC",+VLOOKUP($B158,[2]Time_S4!$B:$G,5,0))</f>
        <v>Khối cơ quan - TCT CNC</v>
      </c>
      <c r="Y158" s="366"/>
      <c r="Z158" s="366"/>
    </row>
    <row r="159" spans="1:26" ht="15.75" hidden="1">
      <c r="A159" s="367">
        <f>SUBTOTAL(3,$B$15:B159)</f>
        <v>1</v>
      </c>
      <c r="B159" s="356" t="s">
        <v>685</v>
      </c>
      <c r="C159" s="356" t="s">
        <v>686</v>
      </c>
      <c r="D159" s="356" t="s">
        <v>397</v>
      </c>
      <c r="E159" s="357">
        <v>21</v>
      </c>
      <c r="F159" s="357">
        <v>21</v>
      </c>
      <c r="G159" s="358">
        <v>48861507</v>
      </c>
      <c r="H159" s="359">
        <f t="shared" si="5"/>
        <v>47540624</v>
      </c>
      <c r="I159" s="360"/>
      <c r="J159" s="361"/>
      <c r="K159" s="362"/>
      <c r="L159" s="362"/>
      <c r="M159" s="361">
        <v>1320883</v>
      </c>
      <c r="N159" s="361">
        <v>2889432</v>
      </c>
      <c r="O159" s="361">
        <v>0</v>
      </c>
      <c r="P159" s="361">
        <v>0</v>
      </c>
      <c r="Q159" s="361">
        <v>0</v>
      </c>
      <c r="R159" s="361">
        <v>0</v>
      </c>
      <c r="S159" s="361">
        <v>330221</v>
      </c>
      <c r="T159" s="363">
        <v>1147000</v>
      </c>
      <c r="U159" s="364">
        <f t="shared" si="6"/>
        <v>53228160</v>
      </c>
      <c r="V159" s="362"/>
      <c r="W159" s="365" t="str">
        <f>+VLOOKUP($B159,[2]Time_S4!$B:$G,6,0)</f>
        <v>Trung tâm Thông tin Quân sự</v>
      </c>
      <c r="X159" s="365" t="str">
        <f>IF(W159="Phòng Kinh doanh","Trung tâm Kinh doanh - TCT CNC",+VLOOKUP($B159,[2]Time_S4!$B:$G,5,0))</f>
        <v>Khối 1 - TCT CNC</v>
      </c>
      <c r="Y159" s="366"/>
      <c r="Z159" s="366"/>
    </row>
    <row r="160" spans="1:26" ht="15.75" hidden="1">
      <c r="A160" s="367">
        <f>SUBTOTAL(3,$B$15:B160)</f>
        <v>1</v>
      </c>
      <c r="B160" s="356" t="s">
        <v>687</v>
      </c>
      <c r="C160" s="356" t="s">
        <v>688</v>
      </c>
      <c r="D160" s="356" t="s">
        <v>397</v>
      </c>
      <c r="E160" s="357">
        <v>21</v>
      </c>
      <c r="F160" s="357">
        <v>21</v>
      </c>
      <c r="G160" s="358">
        <v>85685600</v>
      </c>
      <c r="H160" s="359">
        <f t="shared" si="5"/>
        <v>84159733</v>
      </c>
      <c r="I160" s="360"/>
      <c r="J160" s="361"/>
      <c r="K160" s="362"/>
      <c r="L160" s="362"/>
      <c r="M160" s="361">
        <v>1525867</v>
      </c>
      <c r="N160" s="361">
        <v>3337835</v>
      </c>
      <c r="O160" s="361">
        <v>0</v>
      </c>
      <c r="P160" s="361">
        <v>0</v>
      </c>
      <c r="Q160" s="361">
        <v>0</v>
      </c>
      <c r="R160" s="361">
        <v>0</v>
      </c>
      <c r="S160" s="361">
        <v>381467</v>
      </c>
      <c r="T160" s="363">
        <v>1130000</v>
      </c>
      <c r="U160" s="364">
        <f t="shared" si="6"/>
        <v>90534902</v>
      </c>
      <c r="V160" s="362"/>
      <c r="W160" s="365" t="str">
        <f>+VLOOKUP($B160,[2]Time_S4!$B:$G,6,0)</f>
        <v>Trung tâm Thông tin Quân sự</v>
      </c>
      <c r="X160" s="365" t="str">
        <f>IF(W160="Phòng Kinh doanh","Trung tâm Kinh doanh - TCT CNC",+VLOOKUP($B160,[2]Time_S4!$B:$G,5,0))</f>
        <v>Khối 1 - TCT CNC</v>
      </c>
      <c r="Y160" s="366"/>
      <c r="Z160" s="366"/>
    </row>
    <row r="161" spans="1:26" ht="15.75" hidden="1">
      <c r="A161" s="367">
        <f>SUBTOTAL(3,$B$15:B161)</f>
        <v>1</v>
      </c>
      <c r="B161" s="356" t="s">
        <v>689</v>
      </c>
      <c r="C161" s="356" t="s">
        <v>690</v>
      </c>
      <c r="D161" s="356" t="s">
        <v>407</v>
      </c>
      <c r="E161" s="357">
        <v>21</v>
      </c>
      <c r="F161" s="357">
        <v>21</v>
      </c>
      <c r="G161" s="358">
        <v>47304747</v>
      </c>
      <c r="H161" s="359">
        <f t="shared" si="5"/>
        <v>46060035</v>
      </c>
      <c r="I161" s="360"/>
      <c r="J161" s="361"/>
      <c r="K161" s="362"/>
      <c r="L161" s="362"/>
      <c r="M161" s="361">
        <v>948352</v>
      </c>
      <c r="N161" s="361">
        <v>2074520</v>
      </c>
      <c r="O161" s="361">
        <v>177816</v>
      </c>
      <c r="P161" s="361">
        <v>355632</v>
      </c>
      <c r="Q161" s="361">
        <v>118544</v>
      </c>
      <c r="R161" s="361">
        <v>118544</v>
      </c>
      <c r="S161" s="361">
        <v>237088</v>
      </c>
      <c r="T161" s="363">
        <v>1130000</v>
      </c>
      <c r="U161" s="364">
        <f t="shared" si="6"/>
        <v>51220531</v>
      </c>
      <c r="V161" s="362"/>
      <c r="W161" s="365" t="str">
        <f>+VLOOKUP($B161,[2]Time_S4!$B:$G,6,0)</f>
        <v>Trung tâm dịch vụ sau bán hàng</v>
      </c>
      <c r="X161" s="365" t="str">
        <f>IF(W161="Phòng Kinh doanh","Trung tâm Kinh doanh - TCT CNC",+VLOOKUP($B161,[2]Time_S4!$B:$G,5,0))</f>
        <v>Khối 2 - TCT CNC</v>
      </c>
      <c r="Y161" s="366"/>
      <c r="Z161" s="366"/>
    </row>
    <row r="162" spans="1:26" ht="15.75" hidden="1">
      <c r="A162" s="367">
        <f>SUBTOTAL(3,$B$15:B162)</f>
        <v>1</v>
      </c>
      <c r="B162" s="356" t="s">
        <v>691</v>
      </c>
      <c r="C162" s="356" t="s">
        <v>692</v>
      </c>
      <c r="D162" s="356" t="s">
        <v>410</v>
      </c>
      <c r="E162" s="357">
        <v>21</v>
      </c>
      <c r="F162" s="357">
        <v>21</v>
      </c>
      <c r="G162" s="358">
        <v>92929415</v>
      </c>
      <c r="H162" s="359">
        <f t="shared" si="5"/>
        <v>91514183</v>
      </c>
      <c r="I162" s="360"/>
      <c r="J162" s="361"/>
      <c r="K162" s="362"/>
      <c r="L162" s="362"/>
      <c r="M162" s="361">
        <v>1415232</v>
      </c>
      <c r="N162" s="361">
        <v>3095820</v>
      </c>
      <c r="O162" s="361">
        <v>0</v>
      </c>
      <c r="P162" s="361">
        <v>0</v>
      </c>
      <c r="Q162" s="361">
        <v>0</v>
      </c>
      <c r="R162" s="361">
        <v>0</v>
      </c>
      <c r="S162" s="361">
        <v>353808</v>
      </c>
      <c r="T162" s="363">
        <v>1230000</v>
      </c>
      <c r="U162" s="364">
        <f t="shared" si="6"/>
        <v>97609043</v>
      </c>
      <c r="V162" s="362"/>
      <c r="W162" s="365" t="str">
        <f>+VLOOKUP($B162,[2]Time_S4!$B:$G,6,0)</f>
        <v>Trung tâm Nghiên cứu thiết bị vô tuyến băng rộng</v>
      </c>
      <c r="X162" s="365" t="str">
        <f>IF(W162="Phòng Kinh doanh","Trung tâm Kinh doanh - TCT CNC",+VLOOKUP($B162,[2]Time_S4!$B:$G,5,0))</f>
        <v>Khối 2 - TCT CNC</v>
      </c>
      <c r="Y162" s="366"/>
      <c r="Z162" s="380"/>
    </row>
    <row r="163" spans="1:26" ht="15.75" hidden="1">
      <c r="A163" s="367">
        <f>SUBTOTAL(3,$B$15:B163)</f>
        <v>1</v>
      </c>
      <c r="B163" s="356" t="s">
        <v>693</v>
      </c>
      <c r="C163" s="356" t="s">
        <v>694</v>
      </c>
      <c r="D163" s="356" t="s">
        <v>400</v>
      </c>
      <c r="E163" s="357">
        <v>21</v>
      </c>
      <c r="F163" s="357">
        <v>21</v>
      </c>
      <c r="G163" s="358">
        <v>23522926</v>
      </c>
      <c r="H163" s="359">
        <f t="shared" si="5"/>
        <v>22603537</v>
      </c>
      <c r="I163" s="360"/>
      <c r="J163" s="361"/>
      <c r="K163" s="362"/>
      <c r="L163" s="362"/>
      <c r="M163" s="361">
        <v>774222</v>
      </c>
      <c r="N163" s="361">
        <v>1693610</v>
      </c>
      <c r="O163" s="361">
        <v>145167</v>
      </c>
      <c r="P163" s="361">
        <v>290333</v>
      </c>
      <c r="Q163" s="361">
        <v>0</v>
      </c>
      <c r="R163" s="361">
        <v>0</v>
      </c>
      <c r="S163" s="361">
        <v>193555</v>
      </c>
      <c r="T163" s="363">
        <v>930000</v>
      </c>
      <c r="U163" s="364">
        <f t="shared" si="6"/>
        <v>26630424</v>
      </c>
      <c r="V163" s="362"/>
      <c r="W163" s="365" t="str">
        <f>+VLOOKUP($B163,[2]Time_S4!$B:$G,6,0)</f>
        <v>Trung tâm dịch vụ sau bán hàng</v>
      </c>
      <c r="X163" s="365" t="str">
        <f>IF(W163="Phòng Kinh doanh","Trung tâm Kinh doanh - TCT CNC",+VLOOKUP($B163,[2]Time_S4!$B:$G,5,0))</f>
        <v>Khối 1 - TCT CNC</v>
      </c>
      <c r="Y163" s="366"/>
      <c r="Z163" s="366"/>
    </row>
    <row r="164" spans="1:26" ht="15.75" hidden="1">
      <c r="A164" s="367">
        <f>SUBTOTAL(3,$B$15:B164)</f>
        <v>1</v>
      </c>
      <c r="B164" s="356" t="s">
        <v>695</v>
      </c>
      <c r="C164" s="356" t="s">
        <v>696</v>
      </c>
      <c r="D164" s="356" t="s">
        <v>397</v>
      </c>
      <c r="E164" s="357">
        <v>21</v>
      </c>
      <c r="F164" s="357">
        <v>21</v>
      </c>
      <c r="G164" s="358">
        <v>15796887</v>
      </c>
      <c r="H164" s="359">
        <f t="shared" si="5"/>
        <v>14629321</v>
      </c>
      <c r="I164" s="360"/>
      <c r="J164" s="361"/>
      <c r="K164" s="362"/>
      <c r="L164" s="362"/>
      <c r="M164" s="361">
        <v>1167566</v>
      </c>
      <c r="N164" s="361">
        <v>2554052</v>
      </c>
      <c r="O164" s="361">
        <v>0</v>
      </c>
      <c r="P164" s="361">
        <v>0</v>
      </c>
      <c r="Q164" s="361">
        <v>0</v>
      </c>
      <c r="R164" s="361">
        <v>0</v>
      </c>
      <c r="S164" s="361">
        <v>291892</v>
      </c>
      <c r="T164" s="363">
        <v>930000</v>
      </c>
      <c r="U164" s="364">
        <f t="shared" si="6"/>
        <v>19572831</v>
      </c>
      <c r="V164" s="362"/>
      <c r="W164" s="365" t="str">
        <f>+VLOOKUP($B164,[2]Time_S4!$B:$G,6,0)</f>
        <v>Phòng Hành chính</v>
      </c>
      <c r="X164" s="365" t="str">
        <f>IF(W164="Phòng Kinh doanh","Trung tâm Kinh doanh - TCT CNC",+VLOOKUP($B164,[2]Time_S4!$B:$G,5,0))</f>
        <v>Khối cơ quan - TCT CNC</v>
      </c>
      <c r="Y164" s="366"/>
      <c r="Z164" s="366"/>
    </row>
    <row r="165" spans="1:26" ht="15.75" hidden="1">
      <c r="A165" s="367">
        <f>SUBTOTAL(3,$B$15:B165)</f>
        <v>1</v>
      </c>
      <c r="B165" s="356" t="s">
        <v>697</v>
      </c>
      <c r="C165" s="356" t="s">
        <v>698</v>
      </c>
      <c r="D165" s="356" t="s">
        <v>407</v>
      </c>
      <c r="E165" s="357">
        <v>21</v>
      </c>
      <c r="F165" s="357">
        <v>21</v>
      </c>
      <c r="G165" s="358">
        <v>25483778</v>
      </c>
      <c r="H165" s="359">
        <f t="shared" si="5"/>
        <v>24520298</v>
      </c>
      <c r="I165" s="360"/>
      <c r="J165" s="361"/>
      <c r="K165" s="362"/>
      <c r="L165" s="362"/>
      <c r="M165" s="361">
        <v>734080</v>
      </c>
      <c r="N165" s="361">
        <v>1605800</v>
      </c>
      <c r="O165" s="361">
        <v>137640</v>
      </c>
      <c r="P165" s="361">
        <v>275280</v>
      </c>
      <c r="Q165" s="361">
        <v>91760</v>
      </c>
      <c r="R165" s="361">
        <v>91760</v>
      </c>
      <c r="S165" s="361">
        <v>183520</v>
      </c>
      <c r="T165" s="363">
        <v>1966000</v>
      </c>
      <c r="U165" s="364">
        <f t="shared" si="6"/>
        <v>29606138</v>
      </c>
      <c r="V165" s="362"/>
      <c r="W165" s="365" t="str">
        <f>+VLOOKUP($B165,[2]Time_S4!$B:$G,6,0)</f>
        <v>Phòng Quản lý tiêu chuẩn và quy trình</v>
      </c>
      <c r="X165" s="365" t="str">
        <f>IF(W165="Phòng Kinh doanh","Trung tâm Kinh doanh - TCT CNC",+VLOOKUP($B165,[2]Time_S4!$B:$G,5,0))</f>
        <v>Trung tâm Quản lý chất lượng - TCT CNC</v>
      </c>
      <c r="Y165" s="366"/>
      <c r="Z165" s="366"/>
    </row>
    <row r="166" spans="1:26" ht="15.75" hidden="1">
      <c r="A166" s="367">
        <f>SUBTOTAL(3,$B$15:B166)</f>
        <v>1</v>
      </c>
      <c r="B166" s="356" t="s">
        <v>699</v>
      </c>
      <c r="C166" s="356" t="s">
        <v>700</v>
      </c>
      <c r="D166" s="356" t="s">
        <v>407</v>
      </c>
      <c r="E166" s="357">
        <v>21</v>
      </c>
      <c r="F166" s="357">
        <v>21</v>
      </c>
      <c r="G166" s="358">
        <v>20344177</v>
      </c>
      <c r="H166" s="359">
        <f t="shared" si="5"/>
        <v>19427569</v>
      </c>
      <c r="I166" s="360"/>
      <c r="J166" s="361"/>
      <c r="K166" s="362"/>
      <c r="L166" s="362"/>
      <c r="M166" s="361">
        <v>698368</v>
      </c>
      <c r="N166" s="361">
        <v>1527680</v>
      </c>
      <c r="O166" s="361">
        <v>130944</v>
      </c>
      <c r="P166" s="361">
        <v>261888</v>
      </c>
      <c r="Q166" s="361">
        <v>87296</v>
      </c>
      <c r="R166" s="361">
        <v>87296</v>
      </c>
      <c r="S166" s="361">
        <v>174592</v>
      </c>
      <c r="T166" s="363">
        <v>1047000</v>
      </c>
      <c r="U166" s="364">
        <f t="shared" si="6"/>
        <v>23442633</v>
      </c>
      <c r="V166" s="362"/>
      <c r="W166" s="365" t="str">
        <f>+VLOOKUP($B166,[2]Time_S4!$B:$G,6,0)</f>
        <v>Trung tâm Kỹ thuật công nghệ - TCT CNC</v>
      </c>
      <c r="X166" s="365" t="str">
        <f>IF(W166="Phòng Kinh doanh","Trung tâm Kinh doanh - TCT CNC",+VLOOKUP($B166,[2]Time_S4!$B:$G,5,0))</f>
        <v>Khối 2 - TCT CNC</v>
      </c>
      <c r="Y166" s="366"/>
      <c r="Z166" s="366"/>
    </row>
    <row r="167" spans="1:26" ht="15.75" hidden="1">
      <c r="A167" s="367">
        <f>SUBTOTAL(3,$B$15:B167)</f>
        <v>1</v>
      </c>
      <c r="B167" s="356" t="s">
        <v>701</v>
      </c>
      <c r="C167" s="356" t="s">
        <v>702</v>
      </c>
      <c r="D167" s="356" t="s">
        <v>407</v>
      </c>
      <c r="E167" s="357">
        <v>21</v>
      </c>
      <c r="F167" s="357">
        <v>21</v>
      </c>
      <c r="G167" s="358">
        <v>15643427</v>
      </c>
      <c r="H167" s="359">
        <f t="shared" si="5"/>
        <v>14810147</v>
      </c>
      <c r="I167" s="360"/>
      <c r="J167" s="361"/>
      <c r="K167" s="362"/>
      <c r="L167" s="362"/>
      <c r="M167" s="361">
        <v>634880</v>
      </c>
      <c r="N167" s="361">
        <v>1388800</v>
      </c>
      <c r="O167" s="361">
        <v>119040</v>
      </c>
      <c r="P167" s="361">
        <v>238080</v>
      </c>
      <c r="Q167" s="361">
        <v>79360</v>
      </c>
      <c r="R167" s="361">
        <v>79360</v>
      </c>
      <c r="S167" s="361">
        <v>158720</v>
      </c>
      <c r="T167" s="363">
        <v>930000</v>
      </c>
      <c r="U167" s="364">
        <f t="shared" si="6"/>
        <v>18438387</v>
      </c>
      <c r="V167" s="362"/>
      <c r="W167" s="365" t="str">
        <f>+VLOOKUP($B167,[2]Time_S4!$B:$G,6,0)</f>
        <v>Phòng Hành chính</v>
      </c>
      <c r="X167" s="365" t="str">
        <f>IF(W167="Phòng Kinh doanh","Trung tâm Kinh doanh - TCT CNC",+VLOOKUP($B167,[2]Time_S4!$B:$G,5,0))</f>
        <v>Khối cơ quan - TCT CNC</v>
      </c>
      <c r="Y167" s="366"/>
      <c r="Z167" s="366"/>
    </row>
    <row r="168" spans="1:26" ht="15.75" hidden="1">
      <c r="A168" s="367">
        <f>SUBTOTAL(3,$B$15:B168)</f>
        <v>1</v>
      </c>
      <c r="B168" s="356" t="s">
        <v>703</v>
      </c>
      <c r="C168" s="356" t="s">
        <v>704</v>
      </c>
      <c r="D168" s="356" t="s">
        <v>397</v>
      </c>
      <c r="E168" s="357">
        <v>21</v>
      </c>
      <c r="F168" s="357">
        <v>21</v>
      </c>
      <c r="G168" s="358">
        <v>27847820</v>
      </c>
      <c r="H168" s="359">
        <f t="shared" si="5"/>
        <v>26204578</v>
      </c>
      <c r="I168" s="360"/>
      <c r="J168" s="361"/>
      <c r="K168" s="362"/>
      <c r="L168" s="362"/>
      <c r="M168" s="361">
        <v>1643242</v>
      </c>
      <c r="N168" s="361">
        <v>3594591</v>
      </c>
      <c r="O168" s="361">
        <v>0</v>
      </c>
      <c r="P168" s="361">
        <v>0</v>
      </c>
      <c r="Q168" s="361">
        <v>0</v>
      </c>
      <c r="R168" s="361">
        <v>0</v>
      </c>
      <c r="S168" s="361">
        <v>410810</v>
      </c>
      <c r="T168" s="363">
        <v>1047000</v>
      </c>
      <c r="U168" s="364">
        <f t="shared" si="6"/>
        <v>32900221</v>
      </c>
      <c r="V168" s="362"/>
      <c r="W168" s="365" t="str">
        <f>+VLOOKUP($B168,[2]Time_S4!$B:$G,6,0)</f>
        <v>Phòng Chính trị</v>
      </c>
      <c r="X168" s="365" t="str">
        <f>IF(W168="Phòng Kinh doanh","Trung tâm Kinh doanh - TCT CNC",+VLOOKUP($B168,[2]Time_S4!$B:$G,5,0))</f>
        <v>Khối cơ quan - TCT CNC</v>
      </c>
      <c r="Y168" s="366"/>
      <c r="Z168" s="366"/>
    </row>
    <row r="169" spans="1:26" ht="15.75" hidden="1">
      <c r="A169" s="367">
        <f>SUBTOTAL(3,$B$15:B169)</f>
        <v>1</v>
      </c>
      <c r="B169" s="356" t="s">
        <v>705</v>
      </c>
      <c r="C169" s="356" t="s">
        <v>706</v>
      </c>
      <c r="D169" s="356" t="s">
        <v>397</v>
      </c>
      <c r="E169" s="357">
        <v>21</v>
      </c>
      <c r="F169" s="357">
        <v>21</v>
      </c>
      <c r="G169" s="358">
        <v>19507328</v>
      </c>
      <c r="H169" s="359">
        <f t="shared" si="5"/>
        <v>18115028</v>
      </c>
      <c r="I169" s="360"/>
      <c r="J169" s="361"/>
      <c r="K169" s="362"/>
      <c r="L169" s="362"/>
      <c r="M169" s="361">
        <v>1392300</v>
      </c>
      <c r="N169" s="361">
        <v>3045656</v>
      </c>
      <c r="O169" s="361">
        <v>0</v>
      </c>
      <c r="P169" s="361">
        <v>0</v>
      </c>
      <c r="Q169" s="361">
        <v>0</v>
      </c>
      <c r="R169" s="361">
        <v>0</v>
      </c>
      <c r="S169" s="361">
        <v>348075</v>
      </c>
      <c r="T169" s="363">
        <v>1530000</v>
      </c>
      <c r="U169" s="364">
        <f t="shared" si="6"/>
        <v>24431059</v>
      </c>
      <c r="V169" s="362"/>
      <c r="W169" s="365" t="str">
        <f>+VLOOKUP($B169,[2]Time_S4!$B:$G,6,0)</f>
        <v>Phòng Hành chính</v>
      </c>
      <c r="X169" s="365" t="str">
        <f>IF(W169="Phòng Kinh doanh","Trung tâm Kinh doanh - TCT CNC",+VLOOKUP($B169,[2]Time_S4!$B:$G,5,0))</f>
        <v>Khối cơ quan - TCT CNC</v>
      </c>
      <c r="Y169" s="366"/>
      <c r="Z169" s="366"/>
    </row>
    <row r="170" spans="1:26" ht="15.75" hidden="1">
      <c r="A170" s="367">
        <f>SUBTOTAL(3,$B$15:B170)</f>
        <v>1</v>
      </c>
      <c r="B170" s="356" t="s">
        <v>707</v>
      </c>
      <c r="C170" s="356" t="s">
        <v>708</v>
      </c>
      <c r="D170" s="356" t="s">
        <v>397</v>
      </c>
      <c r="E170" s="357">
        <v>21</v>
      </c>
      <c r="F170" s="357">
        <v>21</v>
      </c>
      <c r="G170" s="358">
        <v>15811347</v>
      </c>
      <c r="H170" s="359">
        <f t="shared" si="5"/>
        <v>14680846</v>
      </c>
      <c r="I170" s="360"/>
      <c r="J170" s="361"/>
      <c r="K170" s="362"/>
      <c r="L170" s="362"/>
      <c r="M170" s="361">
        <v>1130501</v>
      </c>
      <c r="N170" s="361">
        <v>2472971</v>
      </c>
      <c r="O170" s="361">
        <v>0</v>
      </c>
      <c r="P170" s="361">
        <v>0</v>
      </c>
      <c r="Q170" s="361">
        <v>0</v>
      </c>
      <c r="R170" s="361">
        <v>0</v>
      </c>
      <c r="S170" s="361">
        <v>282625</v>
      </c>
      <c r="T170" s="363">
        <v>1780000</v>
      </c>
      <c r="U170" s="364">
        <f t="shared" si="6"/>
        <v>20346943</v>
      </c>
      <c r="V170" s="362"/>
      <c r="W170" s="365" t="str">
        <f>+VLOOKUP($B170,[2]Time_S4!$B:$G,6,0)</f>
        <v>Phòng Hành chính</v>
      </c>
      <c r="X170" s="365" t="str">
        <f>IF(W170="Phòng Kinh doanh","Trung tâm Kinh doanh - TCT CNC",+VLOOKUP($B170,[2]Time_S4!$B:$G,5,0))</f>
        <v>Khối cơ quan - TCT CNC</v>
      </c>
      <c r="Y170" s="366"/>
      <c r="Z170" s="366"/>
    </row>
    <row r="171" spans="1:26" ht="15.75" hidden="1">
      <c r="A171" s="367">
        <f>SUBTOTAL(3,$B$15:B171)</f>
        <v>1</v>
      </c>
      <c r="B171" s="356" t="s">
        <v>709</v>
      </c>
      <c r="C171" s="356" t="s">
        <v>710</v>
      </c>
      <c r="D171" s="356" t="s">
        <v>410</v>
      </c>
      <c r="E171" s="357">
        <v>21</v>
      </c>
      <c r="F171" s="357">
        <v>21</v>
      </c>
      <c r="G171" s="358">
        <v>89780600</v>
      </c>
      <c r="H171" s="359">
        <f t="shared" si="5"/>
        <v>88311454</v>
      </c>
      <c r="I171" s="360"/>
      <c r="J171" s="361"/>
      <c r="K171" s="362"/>
      <c r="L171" s="362"/>
      <c r="M171" s="361">
        <v>1469146</v>
      </c>
      <c r="N171" s="361">
        <v>3213756</v>
      </c>
      <c r="O171" s="361">
        <v>0</v>
      </c>
      <c r="P171" s="361">
        <v>0</v>
      </c>
      <c r="Q171" s="361">
        <v>0</v>
      </c>
      <c r="R171" s="361">
        <v>0</v>
      </c>
      <c r="S171" s="361">
        <v>367286</v>
      </c>
      <c r="T171" s="363">
        <v>1230000</v>
      </c>
      <c r="U171" s="364">
        <f t="shared" si="6"/>
        <v>94591642</v>
      </c>
      <c r="V171" s="362"/>
      <c r="W171" s="365" t="str">
        <f>+VLOOKUP($B171,[2]Time_S4!$B:$G,6,0)</f>
        <v>Trung tâm sản xuất</v>
      </c>
      <c r="X171" s="365" t="str">
        <f>IF(W171="Phòng Kinh doanh","Trung tâm Kinh doanh - TCT CNC",+VLOOKUP($B171,[2]Time_S4!$B:$G,5,0))</f>
        <v>Khối 1 - TCT CNC</v>
      </c>
      <c r="Y171" s="366"/>
      <c r="Z171" s="366"/>
    </row>
    <row r="172" spans="1:26" ht="15.75" hidden="1">
      <c r="A172" s="367">
        <f>SUBTOTAL(3,$B$15:B172)</f>
        <v>1</v>
      </c>
      <c r="B172" s="356" t="s">
        <v>711</v>
      </c>
      <c r="C172" s="356" t="s">
        <v>712</v>
      </c>
      <c r="D172" s="356" t="s">
        <v>397</v>
      </c>
      <c r="E172" s="357">
        <v>21</v>
      </c>
      <c r="F172" s="357">
        <v>21</v>
      </c>
      <c r="G172" s="358">
        <v>17572897</v>
      </c>
      <c r="H172" s="359">
        <f t="shared" si="5"/>
        <v>16236383</v>
      </c>
      <c r="I172" s="360"/>
      <c r="J172" s="361"/>
      <c r="K172" s="362"/>
      <c r="L172" s="362"/>
      <c r="M172" s="361">
        <v>1336514</v>
      </c>
      <c r="N172" s="361">
        <v>2923625</v>
      </c>
      <c r="O172" s="361">
        <v>0</v>
      </c>
      <c r="P172" s="361">
        <v>0</v>
      </c>
      <c r="Q172" s="361">
        <v>0</v>
      </c>
      <c r="R172" s="361">
        <v>0</v>
      </c>
      <c r="S172" s="361">
        <v>334129</v>
      </c>
      <c r="T172" s="363">
        <v>1805000</v>
      </c>
      <c r="U172" s="364">
        <f t="shared" si="6"/>
        <v>22635651</v>
      </c>
      <c r="V172" s="362"/>
      <c r="W172" s="365" t="str">
        <f>+VLOOKUP($B172,[2]Time_S4!$B:$G,6,0)</f>
        <v>Phòng Hành chính</v>
      </c>
      <c r="X172" s="365" t="str">
        <f>IF(W172="Phòng Kinh doanh","Trung tâm Kinh doanh - TCT CNC",+VLOOKUP($B172,[2]Time_S4!$B:$G,5,0))</f>
        <v>Khối cơ quan - TCT CNC</v>
      </c>
      <c r="Y172" s="366"/>
      <c r="Z172" s="366"/>
    </row>
    <row r="173" spans="1:26" ht="15.75" hidden="1">
      <c r="A173" s="367">
        <f>SUBTOTAL(3,$B$15:B173)</f>
        <v>1</v>
      </c>
      <c r="B173" s="356" t="s">
        <v>713</v>
      </c>
      <c r="C173" s="356" t="s">
        <v>714</v>
      </c>
      <c r="D173" s="356" t="s">
        <v>397</v>
      </c>
      <c r="E173" s="357">
        <v>21</v>
      </c>
      <c r="F173" s="357">
        <v>21</v>
      </c>
      <c r="G173" s="358">
        <v>56375167</v>
      </c>
      <c r="H173" s="359">
        <f t="shared" si="5"/>
        <v>55222015</v>
      </c>
      <c r="I173" s="360"/>
      <c r="J173" s="361"/>
      <c r="K173" s="362"/>
      <c r="L173" s="362"/>
      <c r="M173" s="361">
        <v>1153152</v>
      </c>
      <c r="N173" s="361">
        <v>2522520</v>
      </c>
      <c r="O173" s="361">
        <v>0</v>
      </c>
      <c r="P173" s="361">
        <v>0</v>
      </c>
      <c r="Q173" s="361">
        <v>0</v>
      </c>
      <c r="R173" s="361">
        <v>0</v>
      </c>
      <c r="S173" s="361">
        <v>288288</v>
      </c>
      <c r="T173" s="363">
        <v>1347000</v>
      </c>
      <c r="U173" s="364">
        <f t="shared" si="6"/>
        <v>60532975</v>
      </c>
      <c r="V173" s="362"/>
      <c r="W173" s="365" t="str">
        <f>+VLOOKUP($B173,[2]Time_S4!$B:$G,6,0)</f>
        <v>Trung tâm Nghiên cứu Công nghệ truyền dẫn</v>
      </c>
      <c r="X173" s="365" t="str">
        <f>IF(W173="Phòng Kinh doanh","Trung tâm Kinh doanh - TCT CNC",+VLOOKUP($B173,[2]Time_S4!$B:$G,5,0))</f>
        <v>Khối 2 - TCT CNC</v>
      </c>
      <c r="Y173" s="366"/>
      <c r="Z173" s="366"/>
    </row>
    <row r="174" spans="1:26" ht="15.75" hidden="1">
      <c r="A174" s="367">
        <f>SUBTOTAL(3,$B$15:B174)</f>
        <v>1</v>
      </c>
      <c r="B174" s="356" t="s">
        <v>715</v>
      </c>
      <c r="C174" s="356" t="s">
        <v>716</v>
      </c>
      <c r="D174" s="356" t="s">
        <v>407</v>
      </c>
      <c r="E174" s="357">
        <v>21</v>
      </c>
      <c r="F174" s="357">
        <v>21</v>
      </c>
      <c r="G174" s="358">
        <v>32423789</v>
      </c>
      <c r="H174" s="359">
        <f t="shared" si="5"/>
        <v>31356149</v>
      </c>
      <c r="I174" s="360"/>
      <c r="J174" s="361"/>
      <c r="K174" s="362"/>
      <c r="L174" s="362"/>
      <c r="M174" s="361">
        <v>813440</v>
      </c>
      <c r="N174" s="361">
        <v>1779400</v>
      </c>
      <c r="O174" s="361">
        <v>152520</v>
      </c>
      <c r="P174" s="361">
        <v>305040</v>
      </c>
      <c r="Q174" s="361">
        <v>101680</v>
      </c>
      <c r="R174" s="361">
        <v>101680</v>
      </c>
      <c r="S174" s="361">
        <v>203360</v>
      </c>
      <c r="T174" s="363">
        <v>1230000</v>
      </c>
      <c r="U174" s="364">
        <f t="shared" si="6"/>
        <v>36043269</v>
      </c>
      <c r="V174" s="362"/>
      <c r="W174" s="365" t="str">
        <f>+VLOOKUP($B174,[2]Time_S4!$B:$G,6,0)</f>
        <v>Phòng Tổng hợp</v>
      </c>
      <c r="X174" s="365" t="str">
        <f>IF(W174="Phòng Kinh doanh","Trung tâm Kinh doanh - TCT CNC",+VLOOKUP($B174,[2]Time_S4!$B:$G,5,0))</f>
        <v>Khối 3 - TCT CNC</v>
      </c>
      <c r="Y174" s="366"/>
      <c r="Z174" s="366"/>
    </row>
    <row r="175" spans="1:26" ht="15.75" hidden="1">
      <c r="A175" s="367">
        <f>SUBTOTAL(3,$B$15:B175)</f>
        <v>1</v>
      </c>
      <c r="B175" s="356" t="s">
        <v>717</v>
      </c>
      <c r="C175" s="356" t="s">
        <v>718</v>
      </c>
      <c r="D175" s="356" t="s">
        <v>410</v>
      </c>
      <c r="E175" s="357">
        <v>21</v>
      </c>
      <c r="F175" s="357">
        <v>21</v>
      </c>
      <c r="G175" s="358">
        <v>88415600</v>
      </c>
      <c r="H175" s="359">
        <f t="shared" si="5"/>
        <v>87105949</v>
      </c>
      <c r="I175" s="360"/>
      <c r="J175" s="361"/>
      <c r="K175" s="362"/>
      <c r="L175" s="362"/>
      <c r="M175" s="361">
        <v>1309651</v>
      </c>
      <c r="N175" s="361">
        <v>2864862</v>
      </c>
      <c r="O175" s="361">
        <v>0</v>
      </c>
      <c r="P175" s="361">
        <v>0</v>
      </c>
      <c r="Q175" s="361">
        <v>0</v>
      </c>
      <c r="R175" s="361">
        <v>0</v>
      </c>
      <c r="S175" s="361">
        <v>327413</v>
      </c>
      <c r="T175" s="363">
        <v>1230000</v>
      </c>
      <c r="U175" s="364">
        <f t="shared" si="6"/>
        <v>92837875</v>
      </c>
      <c r="V175" s="362"/>
      <c r="W175" s="365" t="str">
        <f>+VLOOKUP($B175,[2]Time_S4!$B:$G,6,0)</f>
        <v>Trung tâm Thông tin Quân sự</v>
      </c>
      <c r="X175" s="365" t="str">
        <f>IF(W175="Phòng Kinh doanh","Trung tâm Kinh doanh - TCT CNC",+VLOOKUP($B175,[2]Time_S4!$B:$G,5,0))</f>
        <v>Khối 1 - TCT CNC</v>
      </c>
      <c r="Y175" s="366"/>
      <c r="Z175" s="366"/>
    </row>
    <row r="176" spans="1:26" ht="15.75" hidden="1">
      <c r="A176" s="367">
        <f>SUBTOTAL(3,$B$15:B176)</f>
        <v>1</v>
      </c>
      <c r="B176" s="356" t="s">
        <v>719</v>
      </c>
      <c r="C176" s="356" t="s">
        <v>720</v>
      </c>
      <c r="D176" s="356" t="s">
        <v>410</v>
      </c>
      <c r="E176" s="357">
        <v>21</v>
      </c>
      <c r="F176" s="357">
        <v>21</v>
      </c>
      <c r="G176" s="358">
        <v>113533420</v>
      </c>
      <c r="H176" s="359">
        <f t="shared" si="5"/>
        <v>112016538</v>
      </c>
      <c r="I176" s="360"/>
      <c r="J176" s="361"/>
      <c r="K176" s="362"/>
      <c r="L176" s="362"/>
      <c r="M176" s="361">
        <v>1516882</v>
      </c>
      <c r="N176" s="361">
        <v>3318179</v>
      </c>
      <c r="O176" s="361">
        <v>0</v>
      </c>
      <c r="P176" s="361">
        <v>0</v>
      </c>
      <c r="Q176" s="361">
        <v>0</v>
      </c>
      <c r="R176" s="361">
        <v>0</v>
      </c>
      <c r="S176" s="361">
        <v>379220</v>
      </c>
      <c r="T176" s="363">
        <v>1730000</v>
      </c>
      <c r="U176" s="364">
        <f t="shared" si="6"/>
        <v>118960819</v>
      </c>
      <c r="V176" s="362"/>
      <c r="W176" s="365" t="str">
        <f>+VLOOKUP($B176,[2]Time_S4!$B:$G,6,0)</f>
        <v>Trung tâm Tác chiến điện tử</v>
      </c>
      <c r="X176" s="365" t="str">
        <f>IF(W176="Phòng Kinh doanh","Trung tâm Kinh doanh - TCT CNC",+VLOOKUP($B176,[2]Time_S4!$B:$G,5,0))</f>
        <v>Khối 1 - TCT CNC</v>
      </c>
      <c r="Y176" s="366"/>
      <c r="Z176" s="366"/>
    </row>
    <row r="177" spans="1:26" ht="15.75" hidden="1">
      <c r="A177" s="367">
        <f>SUBTOTAL(3,$B$15:B177)</f>
        <v>1</v>
      </c>
      <c r="B177" s="356" t="s">
        <v>721</v>
      </c>
      <c r="C177" s="356" t="s">
        <v>722</v>
      </c>
      <c r="D177" s="356" t="s">
        <v>410</v>
      </c>
      <c r="E177" s="357">
        <v>21</v>
      </c>
      <c r="F177" s="357">
        <v>21</v>
      </c>
      <c r="G177" s="358">
        <v>203213872</v>
      </c>
      <c r="H177" s="359">
        <f t="shared" si="5"/>
        <v>201662358</v>
      </c>
      <c r="I177" s="360"/>
      <c r="J177" s="361"/>
      <c r="K177" s="362"/>
      <c r="L177" s="362"/>
      <c r="M177" s="361">
        <v>1551514</v>
      </c>
      <c r="N177" s="361">
        <v>3393936</v>
      </c>
      <c r="O177" s="361">
        <v>0</v>
      </c>
      <c r="P177" s="361">
        <v>0</v>
      </c>
      <c r="Q177" s="361">
        <v>0</v>
      </c>
      <c r="R177" s="361">
        <v>0</v>
      </c>
      <c r="S177" s="361">
        <v>387878</v>
      </c>
      <c r="T177" s="363">
        <v>3932000</v>
      </c>
      <c r="U177" s="364">
        <f t="shared" si="6"/>
        <v>210927686</v>
      </c>
      <c r="V177" s="362"/>
      <c r="W177" s="365" t="str">
        <f>+VLOOKUP($B177,[2]Time_S4!$B:$G,6,0)</f>
        <v>Ban Giám đốc</v>
      </c>
      <c r="X177" s="365" t="str">
        <f>IF(W177="Phòng Kinh doanh","Trung tâm Kinh doanh - TCT CNC",+VLOOKUP($B177,[2]Time_S4!$B:$G,5,0))</f>
        <v>Khối cơ quan - TCT CNC</v>
      </c>
      <c r="Y177" s="366"/>
      <c r="Z177" s="366"/>
    </row>
    <row r="178" spans="1:26" ht="15.75" hidden="1">
      <c r="A178" s="367">
        <f>SUBTOTAL(3,$B$15:B178)</f>
        <v>1</v>
      </c>
      <c r="B178" s="356" t="s">
        <v>723</v>
      </c>
      <c r="C178" s="356" t="s">
        <v>724</v>
      </c>
      <c r="D178" s="356" t="s">
        <v>410</v>
      </c>
      <c r="E178" s="357">
        <v>21</v>
      </c>
      <c r="F178" s="357">
        <v>21</v>
      </c>
      <c r="G178" s="358">
        <v>140932448</v>
      </c>
      <c r="H178" s="359">
        <f t="shared" si="5"/>
        <v>139442898</v>
      </c>
      <c r="I178" s="360"/>
      <c r="J178" s="361"/>
      <c r="K178" s="362"/>
      <c r="L178" s="362"/>
      <c r="M178" s="361">
        <v>1489550</v>
      </c>
      <c r="N178" s="361">
        <v>3258392</v>
      </c>
      <c r="O178" s="361">
        <v>0</v>
      </c>
      <c r="P178" s="361">
        <v>0</v>
      </c>
      <c r="Q178" s="361">
        <v>0</v>
      </c>
      <c r="R178" s="361">
        <v>0</v>
      </c>
      <c r="S178" s="361">
        <v>372388</v>
      </c>
      <c r="T178" s="363">
        <v>3432000</v>
      </c>
      <c r="U178" s="364">
        <f t="shared" si="6"/>
        <v>147995228</v>
      </c>
      <c r="V178" s="362"/>
      <c r="W178" s="365" t="str">
        <f>+VLOOKUP($B178,[2]Time_S4!$B:$G,6,0)</f>
        <v>Ban Giám đốc Khối</v>
      </c>
      <c r="X178" s="365" t="str">
        <f>IF(W178="Phòng Kinh doanh","Trung tâm Kinh doanh - TCT CNC",+VLOOKUP($B178,[2]Time_S4!$B:$G,5,0))</f>
        <v>Khối 1 - TCT CNC</v>
      </c>
      <c r="Y178" s="366"/>
      <c r="Z178" s="366"/>
    </row>
    <row r="179" spans="1:26" ht="15.75" hidden="1">
      <c r="A179" s="367">
        <f>SUBTOTAL(3,$B$15:B179)</f>
        <v>1</v>
      </c>
      <c r="B179" s="356" t="s">
        <v>725</v>
      </c>
      <c r="C179" s="356" t="s">
        <v>726</v>
      </c>
      <c r="D179" s="356" t="s">
        <v>407</v>
      </c>
      <c r="E179" s="357">
        <v>21</v>
      </c>
      <c r="F179" s="357">
        <v>21</v>
      </c>
      <c r="G179" s="358">
        <v>58178312</v>
      </c>
      <c r="H179" s="359">
        <f t="shared" si="5"/>
        <v>56803400</v>
      </c>
      <c r="I179" s="360"/>
      <c r="J179" s="361"/>
      <c r="K179" s="362"/>
      <c r="L179" s="362"/>
      <c r="M179" s="361">
        <v>1047552</v>
      </c>
      <c r="N179" s="361">
        <v>2291520</v>
      </c>
      <c r="O179" s="361">
        <v>196416</v>
      </c>
      <c r="P179" s="361">
        <v>392832</v>
      </c>
      <c r="Q179" s="361">
        <v>130944</v>
      </c>
      <c r="R179" s="361">
        <v>130944</v>
      </c>
      <c r="S179" s="361">
        <v>261888</v>
      </c>
      <c r="T179" s="363">
        <v>1347000</v>
      </c>
      <c r="U179" s="364">
        <f t="shared" si="6"/>
        <v>62602496</v>
      </c>
      <c r="V179" s="362"/>
      <c r="W179" s="365" t="str">
        <f>+VLOOKUP($B179,[2]Time_S4!$B:$G,6,0)</f>
        <v>Trung tâm Chỉ huy điều khiển</v>
      </c>
      <c r="X179" s="365" t="str">
        <f>IF(W179="Phòng Kinh doanh","Trung tâm Kinh doanh - TCT CNC",+VLOOKUP($B179,[2]Time_S4!$B:$G,5,0))</f>
        <v>Khối 1 - TCT CNC</v>
      </c>
      <c r="Y179" s="366"/>
      <c r="Z179" s="366"/>
    </row>
    <row r="180" spans="1:26" ht="15.75" hidden="1">
      <c r="A180" s="367">
        <f>SUBTOTAL(3,$B$15:B180)</f>
        <v>1</v>
      </c>
      <c r="B180" s="356" t="s">
        <v>727</v>
      </c>
      <c r="C180" s="356" t="s">
        <v>406</v>
      </c>
      <c r="D180" s="356" t="s">
        <v>397</v>
      </c>
      <c r="E180" s="357">
        <v>21</v>
      </c>
      <c r="F180" s="357">
        <v>21</v>
      </c>
      <c r="G180" s="358">
        <v>69671913</v>
      </c>
      <c r="H180" s="359">
        <f t="shared" si="5"/>
        <v>68529993</v>
      </c>
      <c r="I180" s="360"/>
      <c r="J180" s="361"/>
      <c r="K180" s="362"/>
      <c r="L180" s="362"/>
      <c r="M180" s="361">
        <v>1141920</v>
      </c>
      <c r="N180" s="361">
        <v>2497950</v>
      </c>
      <c r="O180" s="361">
        <v>0</v>
      </c>
      <c r="P180" s="361">
        <v>0</v>
      </c>
      <c r="Q180" s="361">
        <v>0</v>
      </c>
      <c r="R180" s="361">
        <v>0</v>
      </c>
      <c r="S180" s="361">
        <v>285480</v>
      </c>
      <c r="T180" s="363">
        <v>1130000</v>
      </c>
      <c r="U180" s="364">
        <f t="shared" si="6"/>
        <v>73585343</v>
      </c>
      <c r="V180" s="362"/>
      <c r="W180" s="365" t="str">
        <f>+VLOOKUP($B180,[2]Time_S4!$B:$G,6,0)</f>
        <v>Trung tâm Rada</v>
      </c>
      <c r="X180" s="365" t="str">
        <f>IF(W180="Phòng Kinh doanh","Trung tâm Kinh doanh - TCT CNC",+VLOOKUP($B180,[2]Time_S4!$B:$G,5,0))</f>
        <v>Khối 1 - TCT CNC</v>
      </c>
      <c r="Y180" s="366"/>
      <c r="Z180" s="366"/>
    </row>
    <row r="181" spans="1:26" ht="15.75" hidden="1">
      <c r="A181" s="367">
        <f>SUBTOTAL(3,$B$15:B181)</f>
        <v>1</v>
      </c>
      <c r="B181" s="356" t="s">
        <v>728</v>
      </c>
      <c r="C181" s="356" t="s">
        <v>729</v>
      </c>
      <c r="D181" s="356" t="s">
        <v>407</v>
      </c>
      <c r="E181" s="357">
        <v>21</v>
      </c>
      <c r="F181" s="357">
        <v>21</v>
      </c>
      <c r="G181" s="358">
        <v>23277706</v>
      </c>
      <c r="H181" s="359">
        <f t="shared" si="5"/>
        <v>22314226</v>
      </c>
      <c r="I181" s="360"/>
      <c r="J181" s="361"/>
      <c r="K181" s="362"/>
      <c r="L181" s="362"/>
      <c r="M181" s="361">
        <v>734080</v>
      </c>
      <c r="N181" s="361">
        <v>1605800</v>
      </c>
      <c r="O181" s="361">
        <v>137640</v>
      </c>
      <c r="P181" s="361">
        <v>275280</v>
      </c>
      <c r="Q181" s="361">
        <v>91760</v>
      </c>
      <c r="R181" s="361">
        <v>91760</v>
      </c>
      <c r="S181" s="361">
        <v>183520</v>
      </c>
      <c r="T181" s="363">
        <v>1047000</v>
      </c>
      <c r="U181" s="364">
        <f t="shared" si="6"/>
        <v>26481066</v>
      </c>
      <c r="V181" s="362"/>
      <c r="W181" s="365" t="str">
        <f>+VLOOKUP($B181,[2]Time_S4!$B:$G,6,0)</f>
        <v>Phòng Đảm bảo hàng hóa</v>
      </c>
      <c r="X181" s="365" t="str">
        <f>IF(W181="Phòng Kinh doanh","Trung tâm Kinh doanh - TCT CNC",+VLOOKUP($B181,[2]Time_S4!$B:$G,5,0))</f>
        <v>Trung tâm Mua sắm - TCT CNC</v>
      </c>
      <c r="Y181" s="366"/>
      <c r="Z181" s="366"/>
    </row>
    <row r="182" spans="1:26" ht="15.75" hidden="1">
      <c r="A182" s="367">
        <f>SUBTOTAL(3,$B$15:B182)</f>
        <v>1</v>
      </c>
      <c r="B182" s="356" t="s">
        <v>730</v>
      </c>
      <c r="C182" s="356" t="s">
        <v>731</v>
      </c>
      <c r="D182" s="356" t="s">
        <v>407</v>
      </c>
      <c r="E182" s="357">
        <v>21</v>
      </c>
      <c r="F182" s="357">
        <v>21</v>
      </c>
      <c r="G182" s="358">
        <v>22793646</v>
      </c>
      <c r="H182" s="359">
        <f t="shared" si="5"/>
        <v>21830166</v>
      </c>
      <c r="I182" s="360"/>
      <c r="J182" s="361"/>
      <c r="K182" s="362"/>
      <c r="L182" s="362"/>
      <c r="M182" s="361">
        <v>734080</v>
      </c>
      <c r="N182" s="361">
        <v>1605800</v>
      </c>
      <c r="O182" s="361">
        <v>137640</v>
      </c>
      <c r="P182" s="361">
        <v>275280</v>
      </c>
      <c r="Q182" s="361">
        <v>91760</v>
      </c>
      <c r="R182" s="361">
        <v>91760</v>
      </c>
      <c r="S182" s="361">
        <v>183520</v>
      </c>
      <c r="T182" s="363">
        <v>1047000</v>
      </c>
      <c r="U182" s="364">
        <f t="shared" si="6"/>
        <v>25997006</v>
      </c>
      <c r="V182" s="362"/>
      <c r="W182" s="365" t="str">
        <f>+VLOOKUP($B182,[2]Time_S4!$B:$G,6,0)</f>
        <v>Phòng Hợp đồng</v>
      </c>
      <c r="X182" s="365" t="str">
        <f>IF(W182="Phòng Kinh doanh","Trung tâm Kinh doanh - TCT CNC",+VLOOKUP($B182,[2]Time_S4!$B:$G,5,0))</f>
        <v>Trung tâm Mua sắm - TCT CNC</v>
      </c>
      <c r="Y182" s="366"/>
      <c r="Z182" s="366"/>
    </row>
    <row r="183" spans="1:26" ht="15.75" hidden="1">
      <c r="A183" s="367">
        <f>SUBTOTAL(3,$B$15:B183)</f>
        <v>1</v>
      </c>
      <c r="B183" s="356" t="s">
        <v>732</v>
      </c>
      <c r="C183" s="356" t="s">
        <v>733</v>
      </c>
      <c r="D183" s="356" t="s">
        <v>397</v>
      </c>
      <c r="E183" s="357">
        <v>21</v>
      </c>
      <c r="F183" s="357">
        <v>21</v>
      </c>
      <c r="G183" s="358">
        <v>81080439</v>
      </c>
      <c r="H183" s="359">
        <f t="shared" si="5"/>
        <v>79901079</v>
      </c>
      <c r="I183" s="360"/>
      <c r="J183" s="361"/>
      <c r="K183" s="362"/>
      <c r="L183" s="362"/>
      <c r="M183" s="361">
        <v>1179360</v>
      </c>
      <c r="N183" s="361">
        <v>2579850</v>
      </c>
      <c r="O183" s="361">
        <v>0</v>
      </c>
      <c r="P183" s="361">
        <v>0</v>
      </c>
      <c r="Q183" s="361">
        <v>0</v>
      </c>
      <c r="R183" s="361">
        <v>0</v>
      </c>
      <c r="S183" s="361">
        <v>294840</v>
      </c>
      <c r="T183" s="363">
        <v>1847000</v>
      </c>
      <c r="U183" s="364">
        <f t="shared" si="6"/>
        <v>85802129</v>
      </c>
      <c r="V183" s="362"/>
      <c r="W183" s="365" t="str">
        <f>+VLOOKUP($B183,[2]Time_S4!$B:$G,6,0)</f>
        <v>Phòng Nhân sự</v>
      </c>
      <c r="X183" s="365" t="str">
        <f>IF(W183="Phòng Kinh doanh","Trung tâm Kinh doanh - TCT CNC",+VLOOKUP($B183,[2]Time_S4!$B:$G,5,0))</f>
        <v>Khối cơ quan - TCT CNC</v>
      </c>
      <c r="Y183" s="366"/>
      <c r="Z183" s="366"/>
    </row>
    <row r="184" spans="1:26" ht="15.75" hidden="1">
      <c r="A184" s="367">
        <f>SUBTOTAL(3,$B$15:B184)</f>
        <v>1</v>
      </c>
      <c r="B184" s="356" t="s">
        <v>734</v>
      </c>
      <c r="C184" s="356" t="s">
        <v>735</v>
      </c>
      <c r="D184" s="356" t="s">
        <v>407</v>
      </c>
      <c r="E184" s="357">
        <v>21</v>
      </c>
      <c r="F184" s="357">
        <v>21</v>
      </c>
      <c r="G184" s="358">
        <v>34910634</v>
      </c>
      <c r="H184" s="359">
        <f t="shared" si="5"/>
        <v>33785706</v>
      </c>
      <c r="I184" s="360"/>
      <c r="J184" s="361"/>
      <c r="K184" s="362"/>
      <c r="L184" s="362"/>
      <c r="M184" s="361">
        <v>857088</v>
      </c>
      <c r="N184" s="361">
        <v>1874880</v>
      </c>
      <c r="O184" s="361">
        <v>160704</v>
      </c>
      <c r="P184" s="361">
        <v>321408</v>
      </c>
      <c r="Q184" s="361">
        <v>107136</v>
      </c>
      <c r="R184" s="361">
        <v>107136</v>
      </c>
      <c r="S184" s="361">
        <v>214272</v>
      </c>
      <c r="T184" s="363">
        <v>1147000</v>
      </c>
      <c r="U184" s="364">
        <f t="shared" si="6"/>
        <v>38575330</v>
      </c>
      <c r="V184" s="362"/>
      <c r="W184" s="365" t="str">
        <f>+VLOOKUP($B184,[2]Time_S4!$B:$G,6,0)</f>
        <v>Phòng Chiến lược - KHCN</v>
      </c>
      <c r="X184" s="365" t="str">
        <f>IF(W184="Phòng Kinh doanh","Trung tâm Kinh doanh - TCT CNC",+VLOOKUP($B184,[2]Time_S4!$B:$G,5,0))</f>
        <v>Khối cơ quan - TCT CNC</v>
      </c>
      <c r="Y184" s="366"/>
      <c r="Z184" s="380"/>
    </row>
    <row r="185" spans="1:26" ht="15.75" hidden="1">
      <c r="A185" s="367">
        <f>SUBTOTAL(3,$B$15:B185)</f>
        <v>1</v>
      </c>
      <c r="B185" s="356" t="s">
        <v>736</v>
      </c>
      <c r="C185" s="356" t="s">
        <v>737</v>
      </c>
      <c r="D185" s="356" t="s">
        <v>397</v>
      </c>
      <c r="E185" s="357">
        <v>21</v>
      </c>
      <c r="F185" s="357">
        <v>21</v>
      </c>
      <c r="G185" s="358">
        <v>47304747</v>
      </c>
      <c r="H185" s="359">
        <f t="shared" si="5"/>
        <v>46109662</v>
      </c>
      <c r="I185" s="360"/>
      <c r="J185" s="361"/>
      <c r="K185" s="362"/>
      <c r="L185" s="362"/>
      <c r="M185" s="361">
        <v>1195085</v>
      </c>
      <c r="N185" s="361">
        <v>2614248</v>
      </c>
      <c r="O185" s="361">
        <v>0</v>
      </c>
      <c r="P185" s="361">
        <v>0</v>
      </c>
      <c r="Q185" s="361">
        <v>0</v>
      </c>
      <c r="R185" s="361">
        <v>0</v>
      </c>
      <c r="S185" s="361">
        <v>298771</v>
      </c>
      <c r="T185" s="363">
        <v>1030000</v>
      </c>
      <c r="U185" s="364">
        <f t="shared" si="6"/>
        <v>51247766</v>
      </c>
      <c r="V185" s="362"/>
      <c r="W185" s="365" t="str">
        <f>+VLOOKUP($B185,[2]Time_S4!$B:$G,6,0)</f>
        <v>Trung tâm Khí cụ bay</v>
      </c>
      <c r="X185" s="365" t="str">
        <f>IF(W185="Phòng Kinh doanh","Trung tâm Kinh doanh - TCT CNC",+VLOOKUP($B185,[2]Time_S4!$B:$G,5,0))</f>
        <v>Khối 1 - TCT CNC</v>
      </c>
      <c r="Y185" s="366"/>
      <c r="Z185" s="366"/>
    </row>
    <row r="186" spans="1:26" ht="15.75" hidden="1">
      <c r="A186" s="367">
        <f>SUBTOTAL(3,$B$15:B186)</f>
        <v>1</v>
      </c>
      <c r="B186" s="356" t="s">
        <v>738</v>
      </c>
      <c r="C186" s="356" t="s">
        <v>739</v>
      </c>
      <c r="D186" s="356" t="s">
        <v>410</v>
      </c>
      <c r="E186" s="357">
        <v>21</v>
      </c>
      <c r="F186" s="357">
        <v>21</v>
      </c>
      <c r="G186" s="358">
        <v>54628542</v>
      </c>
      <c r="H186" s="359">
        <f t="shared" si="5"/>
        <v>52672489</v>
      </c>
      <c r="I186" s="360"/>
      <c r="J186" s="361"/>
      <c r="K186" s="362"/>
      <c r="L186" s="362"/>
      <c r="M186" s="361">
        <v>1956053</v>
      </c>
      <c r="N186" s="361">
        <v>4278866</v>
      </c>
      <c r="O186" s="361">
        <v>0</v>
      </c>
      <c r="P186" s="361">
        <v>0</v>
      </c>
      <c r="Q186" s="361">
        <v>0</v>
      </c>
      <c r="R186" s="361">
        <v>0</v>
      </c>
      <c r="S186" s="361">
        <v>489013</v>
      </c>
      <c r="T186" s="363">
        <v>1230000</v>
      </c>
      <c r="U186" s="364">
        <f t="shared" si="6"/>
        <v>60626421</v>
      </c>
      <c r="V186" s="362"/>
      <c r="W186" s="365" t="str">
        <f>+VLOOKUP($B186,[2]Time_S4!$B:$G,6,0)</f>
        <v>Trung tâm dịch vụ sau bán hàng</v>
      </c>
      <c r="X186" s="365" t="str">
        <f>IF(W186="Phòng Kinh doanh","Trung tâm Kinh doanh - TCT CNC",+VLOOKUP($B186,[2]Time_S4!$B:$G,5,0))</f>
        <v>Khối 1 - TCT CNC</v>
      </c>
      <c r="Y186" s="366"/>
      <c r="Z186" s="366"/>
    </row>
    <row r="187" spans="1:26" ht="15.75" hidden="1">
      <c r="A187" s="367">
        <f>SUBTOTAL(3,$B$15:B187)</f>
        <v>1</v>
      </c>
      <c r="B187" s="356" t="s">
        <v>740</v>
      </c>
      <c r="C187" s="356" t="s">
        <v>741</v>
      </c>
      <c r="D187" s="356" t="s">
        <v>407</v>
      </c>
      <c r="E187" s="357">
        <v>21</v>
      </c>
      <c r="F187" s="357">
        <v>21</v>
      </c>
      <c r="G187" s="358">
        <v>15643427</v>
      </c>
      <c r="H187" s="359">
        <f t="shared" si="5"/>
        <v>14810147</v>
      </c>
      <c r="I187" s="360"/>
      <c r="J187" s="361"/>
      <c r="K187" s="362"/>
      <c r="L187" s="362"/>
      <c r="M187" s="361">
        <v>634880</v>
      </c>
      <c r="N187" s="361">
        <v>1388800</v>
      </c>
      <c r="O187" s="361">
        <v>119040</v>
      </c>
      <c r="P187" s="361">
        <v>238080</v>
      </c>
      <c r="Q187" s="361">
        <v>79360</v>
      </c>
      <c r="R187" s="361">
        <v>79360</v>
      </c>
      <c r="S187" s="361">
        <v>158720</v>
      </c>
      <c r="T187" s="363">
        <v>1530000</v>
      </c>
      <c r="U187" s="364">
        <f t="shared" si="6"/>
        <v>19038387</v>
      </c>
      <c r="V187" s="362"/>
      <c r="W187" s="365" t="str">
        <f>+VLOOKUP($B187,[2]Time_S4!$B:$G,6,0)</f>
        <v>Phòng Hành chính</v>
      </c>
      <c r="X187" s="365" t="str">
        <f>IF(W187="Phòng Kinh doanh","Trung tâm Kinh doanh - TCT CNC",+VLOOKUP($B187,[2]Time_S4!$B:$G,5,0))</f>
        <v>Khối cơ quan - TCT CNC</v>
      </c>
      <c r="Y187" s="366"/>
      <c r="Z187" s="366"/>
    </row>
    <row r="188" spans="1:26" ht="15.75" hidden="1">
      <c r="A188" s="367">
        <f>SUBTOTAL(3,$B$15:B188)</f>
        <v>1</v>
      </c>
      <c r="B188" s="356" t="s">
        <v>742</v>
      </c>
      <c r="C188" s="356" t="s">
        <v>743</v>
      </c>
      <c r="D188" s="356" t="s">
        <v>407</v>
      </c>
      <c r="E188" s="357">
        <v>21</v>
      </c>
      <c r="F188" s="357">
        <v>21</v>
      </c>
      <c r="G188" s="358">
        <v>15643427</v>
      </c>
      <c r="H188" s="359">
        <f t="shared" si="5"/>
        <v>14810147</v>
      </c>
      <c r="I188" s="360"/>
      <c r="J188" s="361"/>
      <c r="K188" s="362"/>
      <c r="L188" s="362"/>
      <c r="M188" s="361">
        <v>634880</v>
      </c>
      <c r="N188" s="361">
        <v>1388800</v>
      </c>
      <c r="O188" s="361">
        <v>119040</v>
      </c>
      <c r="P188" s="361">
        <v>238080</v>
      </c>
      <c r="Q188" s="361">
        <v>79360</v>
      </c>
      <c r="R188" s="361">
        <v>79360</v>
      </c>
      <c r="S188" s="361">
        <v>158720</v>
      </c>
      <c r="T188" s="363">
        <v>930000</v>
      </c>
      <c r="U188" s="364">
        <f t="shared" si="6"/>
        <v>18438387</v>
      </c>
      <c r="V188" s="362"/>
      <c r="W188" s="365" t="str">
        <f>+VLOOKUP($B188,[2]Time_S4!$B:$G,6,0)</f>
        <v>Phòng Hành chính</v>
      </c>
      <c r="X188" s="365" t="str">
        <f>IF(W188="Phòng Kinh doanh","Trung tâm Kinh doanh - TCT CNC",+VLOOKUP($B188,[2]Time_S4!$B:$G,5,0))</f>
        <v>Khối cơ quan - TCT CNC</v>
      </c>
      <c r="Y188" s="366"/>
      <c r="Z188" s="380"/>
    </row>
    <row r="189" spans="1:26" ht="15.75" hidden="1">
      <c r="A189" s="367">
        <f>SUBTOTAL(3,$B$15:B189)</f>
        <v>1</v>
      </c>
      <c r="B189" s="356" t="s">
        <v>744</v>
      </c>
      <c r="C189" s="356" t="s">
        <v>745</v>
      </c>
      <c r="D189" s="356" t="s">
        <v>400</v>
      </c>
      <c r="E189" s="357">
        <v>21</v>
      </c>
      <c r="F189" s="357">
        <v>21</v>
      </c>
      <c r="G189" s="358">
        <v>15643427</v>
      </c>
      <c r="H189" s="359">
        <f t="shared" si="5"/>
        <v>14737843</v>
      </c>
      <c r="I189" s="360"/>
      <c r="J189" s="361"/>
      <c r="K189" s="362"/>
      <c r="L189" s="362"/>
      <c r="M189" s="361">
        <v>762597</v>
      </c>
      <c r="N189" s="361">
        <v>1668180</v>
      </c>
      <c r="O189" s="361">
        <v>142987</v>
      </c>
      <c r="P189" s="361">
        <v>285974</v>
      </c>
      <c r="Q189" s="361">
        <v>0</v>
      </c>
      <c r="R189" s="361">
        <v>0</v>
      </c>
      <c r="S189" s="361">
        <v>190649</v>
      </c>
      <c r="T189" s="363">
        <v>1530000</v>
      </c>
      <c r="U189" s="364">
        <f t="shared" si="6"/>
        <v>19318230</v>
      </c>
      <c r="V189" s="362"/>
      <c r="W189" s="365" t="str">
        <f>+VLOOKUP($B189,[2]Time_S4!$B:$G,6,0)</f>
        <v>Phòng Hành chính</v>
      </c>
      <c r="X189" s="365" t="str">
        <f>IF(W189="Phòng Kinh doanh","Trung tâm Kinh doanh - TCT CNC",+VLOOKUP($B189,[2]Time_S4!$B:$G,5,0))</f>
        <v>Khối cơ quan - TCT CNC</v>
      </c>
      <c r="Y189" s="366"/>
      <c r="Z189" s="366"/>
    </row>
    <row r="190" spans="1:26" ht="15.75" hidden="1">
      <c r="A190" s="367">
        <f>SUBTOTAL(3,$B$15:B190)</f>
        <v>1</v>
      </c>
      <c r="B190" s="356" t="s">
        <v>746</v>
      </c>
      <c r="C190" s="356" t="s">
        <v>747</v>
      </c>
      <c r="D190" s="356" t="s">
        <v>397</v>
      </c>
      <c r="E190" s="357">
        <v>21</v>
      </c>
      <c r="F190" s="357">
        <v>21</v>
      </c>
      <c r="G190" s="358">
        <v>50759711</v>
      </c>
      <c r="H190" s="359">
        <f t="shared" si="5"/>
        <v>49257618</v>
      </c>
      <c r="I190" s="360"/>
      <c r="J190" s="361"/>
      <c r="K190" s="362"/>
      <c r="L190" s="362"/>
      <c r="M190" s="361">
        <v>1502093</v>
      </c>
      <c r="N190" s="361">
        <v>3285828</v>
      </c>
      <c r="O190" s="361">
        <v>0</v>
      </c>
      <c r="P190" s="361">
        <v>0</v>
      </c>
      <c r="Q190" s="361">
        <v>0</v>
      </c>
      <c r="R190" s="361">
        <v>0</v>
      </c>
      <c r="S190" s="361">
        <v>375523</v>
      </c>
      <c r="T190" s="363">
        <v>1130000</v>
      </c>
      <c r="U190" s="364">
        <f t="shared" si="6"/>
        <v>55551062</v>
      </c>
      <c r="V190" s="362"/>
      <c r="W190" s="365" t="str">
        <f>+VLOOKUP($B190,[2]Time_S4!$B:$G,6,0)</f>
        <v>Trung tâm sản xuất</v>
      </c>
      <c r="X190" s="365" t="str">
        <f>IF(W190="Phòng Kinh doanh","Trung tâm Kinh doanh - TCT CNC",+VLOOKUP($B190,[2]Time_S4!$B:$G,5,0))</f>
        <v>Khối 1 - TCT CNC</v>
      </c>
      <c r="Y190" s="366"/>
      <c r="Z190" s="366"/>
    </row>
    <row r="191" spans="1:26" ht="15.75" hidden="1">
      <c r="A191" s="367">
        <f>SUBTOTAL(3,$B$15:B191)</f>
        <v>1</v>
      </c>
      <c r="B191" s="356" t="s">
        <v>748</v>
      </c>
      <c r="C191" s="356" t="s">
        <v>749</v>
      </c>
      <c r="D191" s="356" t="s">
        <v>407</v>
      </c>
      <c r="E191" s="357">
        <v>21</v>
      </c>
      <c r="F191" s="357">
        <v>21</v>
      </c>
      <c r="G191" s="358">
        <v>32438374</v>
      </c>
      <c r="H191" s="359">
        <f t="shared" si="5"/>
        <v>31313446</v>
      </c>
      <c r="I191" s="360"/>
      <c r="J191" s="361"/>
      <c r="K191" s="362"/>
      <c r="L191" s="362"/>
      <c r="M191" s="361">
        <v>857088</v>
      </c>
      <c r="N191" s="361">
        <v>1874880</v>
      </c>
      <c r="O191" s="361">
        <v>160704</v>
      </c>
      <c r="P191" s="361">
        <v>321408</v>
      </c>
      <c r="Q191" s="361">
        <v>107136</v>
      </c>
      <c r="R191" s="361">
        <v>107136</v>
      </c>
      <c r="S191" s="361">
        <v>214272</v>
      </c>
      <c r="T191" s="363">
        <v>1030000</v>
      </c>
      <c r="U191" s="364">
        <f t="shared" si="6"/>
        <v>35986070</v>
      </c>
      <c r="V191" s="362"/>
      <c r="W191" s="365" t="str">
        <f>+VLOOKUP($B191,[2]Time_S4!$B:$G,6,0)</f>
        <v>Phòng Chiến lược - KHCN</v>
      </c>
      <c r="X191" s="365" t="str">
        <f>IF(W191="Phòng Kinh doanh","Trung tâm Kinh doanh - TCT CNC",+VLOOKUP($B191,[2]Time_S4!$B:$G,5,0))</f>
        <v>Khối cơ quan - TCT CNC</v>
      </c>
      <c r="Y191" s="366"/>
      <c r="Z191" s="366"/>
    </row>
    <row r="192" spans="1:26" ht="15.75" hidden="1">
      <c r="A192" s="367">
        <f>SUBTOTAL(3,$B$15:B192)</f>
        <v>1</v>
      </c>
      <c r="B192" s="356" t="s">
        <v>750</v>
      </c>
      <c r="C192" s="356" t="s">
        <v>751</v>
      </c>
      <c r="D192" s="356" t="s">
        <v>397</v>
      </c>
      <c r="E192" s="357">
        <v>21</v>
      </c>
      <c r="F192" s="357">
        <v>21</v>
      </c>
      <c r="G192" s="358">
        <v>81935520</v>
      </c>
      <c r="H192" s="359">
        <f t="shared" si="5"/>
        <v>80648052</v>
      </c>
      <c r="I192" s="360"/>
      <c r="J192" s="361"/>
      <c r="K192" s="362"/>
      <c r="L192" s="362"/>
      <c r="M192" s="361">
        <v>1287468</v>
      </c>
      <c r="N192" s="361">
        <v>2816336</v>
      </c>
      <c r="O192" s="361">
        <v>0</v>
      </c>
      <c r="P192" s="361">
        <v>0</v>
      </c>
      <c r="Q192" s="361">
        <v>0</v>
      </c>
      <c r="R192" s="361">
        <v>0</v>
      </c>
      <c r="S192" s="361">
        <v>321867</v>
      </c>
      <c r="T192" s="363">
        <v>1230000</v>
      </c>
      <c r="U192" s="364">
        <f t="shared" si="6"/>
        <v>86303723</v>
      </c>
      <c r="V192" s="362"/>
      <c r="W192" s="365" t="str">
        <f>+VLOOKUP($B192,[2]Time_S4!$B:$G,6,0)</f>
        <v>Trung tâm Mô hình mô phỏng</v>
      </c>
      <c r="X192" s="365" t="str">
        <f>IF(W192="Phòng Kinh doanh","Trung tâm Kinh doanh - TCT CNC",+VLOOKUP($B192,[2]Time_S4!$B:$G,5,0))</f>
        <v>Khối 1 - TCT CNC</v>
      </c>
      <c r="Y192" s="366"/>
      <c r="Z192" s="366"/>
    </row>
    <row r="193" spans="1:26" ht="15.75" hidden="1">
      <c r="A193" s="367">
        <f>SUBTOTAL(3,$B$15:B193)</f>
        <v>1</v>
      </c>
      <c r="B193" s="356" t="s">
        <v>752</v>
      </c>
      <c r="C193" s="356" t="s">
        <v>753</v>
      </c>
      <c r="D193" s="356" t="s">
        <v>407</v>
      </c>
      <c r="E193" s="357">
        <v>21</v>
      </c>
      <c r="F193" s="357">
        <v>21</v>
      </c>
      <c r="G193" s="358">
        <v>53861507</v>
      </c>
      <c r="H193" s="359">
        <f t="shared" si="5"/>
        <v>52616795</v>
      </c>
      <c r="I193" s="360"/>
      <c r="J193" s="361"/>
      <c r="K193" s="362"/>
      <c r="L193" s="362"/>
      <c r="M193" s="361">
        <v>948352</v>
      </c>
      <c r="N193" s="361">
        <v>2074520</v>
      </c>
      <c r="O193" s="361">
        <v>177816</v>
      </c>
      <c r="P193" s="361">
        <v>355632</v>
      </c>
      <c r="Q193" s="361">
        <v>118544</v>
      </c>
      <c r="R193" s="361">
        <v>118544</v>
      </c>
      <c r="S193" s="361">
        <v>237088</v>
      </c>
      <c r="T193" s="363">
        <v>1030000</v>
      </c>
      <c r="U193" s="364">
        <f t="shared" si="6"/>
        <v>57677291</v>
      </c>
      <c r="V193" s="362"/>
      <c r="W193" s="365" t="str">
        <f>+VLOOKUP($B193,[2]Time_S4!$B:$G,6,0)</f>
        <v>Trung tâm Kỹ thuật công nghệ - TCT CNC</v>
      </c>
      <c r="X193" s="365" t="str">
        <f>IF(W193="Phòng Kinh doanh","Trung tâm Kinh doanh - TCT CNC",+VLOOKUP($B193,[2]Time_S4!$B:$G,5,0))</f>
        <v>Khối 2 - TCT CNC</v>
      </c>
      <c r="Y193" s="366"/>
      <c r="Z193" s="366"/>
    </row>
    <row r="194" spans="1:26" ht="15.75" hidden="1">
      <c r="A194" s="367">
        <f>SUBTOTAL(3,$B$15:B194)</f>
        <v>1</v>
      </c>
      <c r="B194" s="356" t="s">
        <v>754</v>
      </c>
      <c r="C194" s="356" t="s">
        <v>755</v>
      </c>
      <c r="D194" s="356" t="s">
        <v>397</v>
      </c>
      <c r="E194" s="357">
        <v>21</v>
      </c>
      <c r="F194" s="357">
        <v>21</v>
      </c>
      <c r="G194" s="358">
        <v>15796887</v>
      </c>
      <c r="H194" s="359">
        <f t="shared" si="5"/>
        <v>14629321</v>
      </c>
      <c r="I194" s="360"/>
      <c r="J194" s="361"/>
      <c r="K194" s="362"/>
      <c r="L194" s="362"/>
      <c r="M194" s="361">
        <v>1167566</v>
      </c>
      <c r="N194" s="361">
        <v>2554052</v>
      </c>
      <c r="O194" s="361">
        <v>0</v>
      </c>
      <c r="P194" s="361">
        <v>0</v>
      </c>
      <c r="Q194" s="361">
        <v>0</v>
      </c>
      <c r="R194" s="361">
        <v>0</v>
      </c>
      <c r="S194" s="361">
        <v>291892</v>
      </c>
      <c r="T194" s="363">
        <v>1805000</v>
      </c>
      <c r="U194" s="364">
        <f t="shared" si="6"/>
        <v>20447831</v>
      </c>
      <c r="V194" s="362"/>
      <c r="W194" s="365" t="str">
        <f>+VLOOKUP($B194,[2]Time_S4!$B:$G,6,0)</f>
        <v>Phòng Hành chính</v>
      </c>
      <c r="X194" s="365" t="str">
        <f>IF(W194="Phòng Kinh doanh","Trung tâm Kinh doanh - TCT CNC",+VLOOKUP($B194,[2]Time_S4!$B:$G,5,0))</f>
        <v>Khối cơ quan - TCT CNC</v>
      </c>
      <c r="Y194" s="366"/>
      <c r="Z194" s="366"/>
    </row>
    <row r="195" spans="1:26" ht="15.75" hidden="1">
      <c r="A195" s="367">
        <f>SUBTOTAL(3,$B$15:B195)</f>
        <v>1</v>
      </c>
      <c r="B195" s="356" t="s">
        <v>756</v>
      </c>
      <c r="C195" s="356" t="s">
        <v>757</v>
      </c>
      <c r="D195" s="356" t="s">
        <v>407</v>
      </c>
      <c r="E195" s="357">
        <v>21</v>
      </c>
      <c r="F195" s="357">
        <v>21</v>
      </c>
      <c r="G195" s="358">
        <v>70135769</v>
      </c>
      <c r="H195" s="359">
        <f t="shared" si="5"/>
        <v>68687945</v>
      </c>
      <c r="I195" s="360"/>
      <c r="J195" s="361"/>
      <c r="K195" s="362"/>
      <c r="L195" s="362"/>
      <c r="M195" s="361">
        <v>1103104</v>
      </c>
      <c r="N195" s="361">
        <v>2413040</v>
      </c>
      <c r="O195" s="361">
        <v>206832</v>
      </c>
      <c r="P195" s="361">
        <v>413664</v>
      </c>
      <c r="Q195" s="361">
        <v>137888</v>
      </c>
      <c r="R195" s="361">
        <v>137888</v>
      </c>
      <c r="S195" s="361">
        <v>275776</v>
      </c>
      <c r="T195" s="363">
        <v>1130000</v>
      </c>
      <c r="U195" s="364">
        <f t="shared" si="6"/>
        <v>74506137</v>
      </c>
      <c r="V195" s="362"/>
      <c r="W195" s="365" t="str">
        <f>+VLOOKUP($B195,[2]Time_S4!$B:$G,6,0)</f>
        <v>Trung tâm Chỉ huy điều khiển</v>
      </c>
      <c r="X195" s="365" t="str">
        <f>IF(W195="Phòng Kinh doanh","Trung tâm Kinh doanh - TCT CNC",+VLOOKUP($B195,[2]Time_S4!$B:$G,5,0))</f>
        <v>Khối 1 - TCT CNC</v>
      </c>
      <c r="Y195" s="366"/>
      <c r="Z195" s="366"/>
    </row>
    <row r="196" spans="1:26" ht="15.75" hidden="1">
      <c r="A196" s="367">
        <f>SUBTOTAL(3,$B$15:B196)</f>
        <v>1</v>
      </c>
      <c r="B196" s="356" t="s">
        <v>758</v>
      </c>
      <c r="C196" s="356" t="s">
        <v>759</v>
      </c>
      <c r="D196" s="356" t="s">
        <v>407</v>
      </c>
      <c r="E196" s="357">
        <v>21</v>
      </c>
      <c r="F196" s="357">
        <v>21</v>
      </c>
      <c r="G196" s="358">
        <v>21013687</v>
      </c>
      <c r="H196" s="359">
        <f t="shared" si="5"/>
        <v>20097079</v>
      </c>
      <c r="I196" s="360"/>
      <c r="J196" s="361"/>
      <c r="K196" s="362"/>
      <c r="L196" s="362"/>
      <c r="M196" s="361">
        <v>698368</v>
      </c>
      <c r="N196" s="361">
        <v>1527680</v>
      </c>
      <c r="O196" s="361">
        <v>130944</v>
      </c>
      <c r="P196" s="361">
        <v>261888</v>
      </c>
      <c r="Q196" s="361">
        <v>87296</v>
      </c>
      <c r="R196" s="361">
        <v>87296</v>
      </c>
      <c r="S196" s="361">
        <v>174592</v>
      </c>
      <c r="T196" s="363">
        <v>1047000</v>
      </c>
      <c r="U196" s="364">
        <f t="shared" si="6"/>
        <v>24112143</v>
      </c>
      <c r="V196" s="362"/>
      <c r="W196" s="365" t="str">
        <f>+VLOOKUP($B196,[2]Time_S4!$B:$G,6,0)</f>
        <v>Trung tâm Kỹ thuật công nghệ - TCT CNC</v>
      </c>
      <c r="X196" s="365" t="str">
        <f>IF(W196="Phòng Kinh doanh","Trung tâm Kinh doanh - TCT CNC",+VLOOKUP($B196,[2]Time_S4!$B:$G,5,0))</f>
        <v>Khối 2 - TCT CNC</v>
      </c>
      <c r="Y196" s="366"/>
      <c r="Z196" s="366"/>
    </row>
    <row r="197" spans="1:26" ht="15.75" hidden="1">
      <c r="A197" s="367">
        <f>SUBTOTAL(3,$B$15:B197)</f>
        <v>1</v>
      </c>
      <c r="B197" s="356" t="s">
        <v>760</v>
      </c>
      <c r="C197" s="356" t="s">
        <v>761</v>
      </c>
      <c r="D197" s="356" t="s">
        <v>397</v>
      </c>
      <c r="E197" s="357">
        <v>21</v>
      </c>
      <c r="F197" s="357">
        <v>21</v>
      </c>
      <c r="G197" s="358">
        <v>74692858</v>
      </c>
      <c r="H197" s="359">
        <f t="shared" si="5"/>
        <v>73532218</v>
      </c>
      <c r="I197" s="360"/>
      <c r="J197" s="361"/>
      <c r="K197" s="362"/>
      <c r="L197" s="362"/>
      <c r="M197" s="361">
        <v>1160640</v>
      </c>
      <c r="N197" s="361">
        <v>2538900</v>
      </c>
      <c r="O197" s="361">
        <v>0</v>
      </c>
      <c r="P197" s="361">
        <v>0</v>
      </c>
      <c r="Q197" s="361">
        <v>0</v>
      </c>
      <c r="R197" s="361">
        <v>0</v>
      </c>
      <c r="S197" s="361">
        <v>290160</v>
      </c>
      <c r="T197" s="363">
        <v>1347000</v>
      </c>
      <c r="U197" s="364">
        <f t="shared" si="6"/>
        <v>78868918</v>
      </c>
      <c r="V197" s="362"/>
      <c r="W197" s="365" t="str">
        <f>+VLOOKUP($B197,[2]Time_S4!$B:$G,6,0)</f>
        <v>Phòng Kiểu dáng và đồ họa</v>
      </c>
      <c r="X197" s="365" t="str">
        <f>IF(W197="Phòng Kinh doanh","Trung tâm Kinh doanh - TCT CNC",+VLOOKUP($B197,[2]Time_S4!$B:$G,5,0))</f>
        <v>Khối 1 - TCT CNC</v>
      </c>
      <c r="Y197" s="366"/>
      <c r="Z197" s="366"/>
    </row>
    <row r="198" spans="1:26" ht="15.75" hidden="1">
      <c r="A198" s="367">
        <f>SUBTOTAL(3,$B$15:B198)</f>
        <v>1</v>
      </c>
      <c r="B198" s="356" t="s">
        <v>762</v>
      </c>
      <c r="C198" s="356" t="s">
        <v>763</v>
      </c>
      <c r="D198" s="356" t="s">
        <v>410</v>
      </c>
      <c r="E198" s="357">
        <v>21</v>
      </c>
      <c r="F198" s="357">
        <v>21</v>
      </c>
      <c r="G198" s="358">
        <v>115719416</v>
      </c>
      <c r="H198" s="359">
        <f t="shared" si="5"/>
        <v>114327210</v>
      </c>
      <c r="I198" s="360"/>
      <c r="J198" s="361"/>
      <c r="K198" s="362"/>
      <c r="L198" s="362"/>
      <c r="M198" s="361">
        <v>1392206</v>
      </c>
      <c r="N198" s="361">
        <v>3045452</v>
      </c>
      <c r="O198" s="361">
        <v>0</v>
      </c>
      <c r="P198" s="361">
        <v>0</v>
      </c>
      <c r="Q198" s="361">
        <v>0</v>
      </c>
      <c r="R198" s="361">
        <v>0</v>
      </c>
      <c r="S198" s="361">
        <v>348052</v>
      </c>
      <c r="T198" s="363">
        <v>1730000</v>
      </c>
      <c r="U198" s="364">
        <f t="shared" si="6"/>
        <v>120842920</v>
      </c>
      <c r="V198" s="362"/>
      <c r="W198" s="365" t="str">
        <f>+VLOOKUP($B198,[2]Time_S4!$B:$G,6,0)</f>
        <v>Trung tâm Kỹ thuật công nghệ - TCT CNC</v>
      </c>
      <c r="X198" s="365" t="str">
        <f>IF(W198="Phòng Kinh doanh","Trung tâm Kinh doanh - TCT CNC",+VLOOKUP($B198,[2]Time_S4!$B:$G,5,0))</f>
        <v>Khối 2 - TCT CNC</v>
      </c>
      <c r="Y198" s="366"/>
      <c r="Z198" s="366"/>
    </row>
    <row r="199" spans="1:26" ht="15.75" hidden="1">
      <c r="A199" s="367">
        <f>SUBTOTAL(3,$B$15:B199)</f>
        <v>1</v>
      </c>
      <c r="B199" s="356" t="s">
        <v>764</v>
      </c>
      <c r="C199" s="356" t="s">
        <v>765</v>
      </c>
      <c r="D199" s="356" t="s">
        <v>407</v>
      </c>
      <c r="E199" s="357">
        <v>21</v>
      </c>
      <c r="F199" s="357">
        <v>21</v>
      </c>
      <c r="G199" s="358">
        <v>64671913</v>
      </c>
      <c r="H199" s="359">
        <f t="shared" si="5"/>
        <v>63297001</v>
      </c>
      <c r="I199" s="360"/>
      <c r="J199" s="361"/>
      <c r="K199" s="362"/>
      <c r="L199" s="362"/>
      <c r="M199" s="361">
        <v>1047552</v>
      </c>
      <c r="N199" s="361">
        <v>2291520</v>
      </c>
      <c r="O199" s="361">
        <v>196416</v>
      </c>
      <c r="P199" s="361">
        <v>392832</v>
      </c>
      <c r="Q199" s="361">
        <v>130944</v>
      </c>
      <c r="R199" s="361">
        <v>130944</v>
      </c>
      <c r="S199" s="361">
        <v>261888</v>
      </c>
      <c r="T199" s="363">
        <v>1130000</v>
      </c>
      <c r="U199" s="364">
        <f t="shared" si="6"/>
        <v>68879097</v>
      </c>
      <c r="V199" s="362"/>
      <c r="W199" s="365" t="str">
        <f>+VLOOKUP($B199,[2]Time_S4!$B:$G,6,0)</f>
        <v>Trung tâm Tác chiến điện tử</v>
      </c>
      <c r="X199" s="365" t="str">
        <f>IF(W199="Phòng Kinh doanh","Trung tâm Kinh doanh - TCT CNC",+VLOOKUP($B199,[2]Time_S4!$B:$G,5,0))</f>
        <v>Khối 1 - TCT CNC</v>
      </c>
      <c r="Y199" s="366"/>
      <c r="Z199" s="366"/>
    </row>
    <row r="200" spans="1:26" ht="15.75" hidden="1">
      <c r="A200" s="367">
        <f>SUBTOTAL(3,$B$15:B200)</f>
        <v>1</v>
      </c>
      <c r="B200" s="356" t="s">
        <v>766</v>
      </c>
      <c r="C200" s="356" t="s">
        <v>767</v>
      </c>
      <c r="D200" s="356" t="s">
        <v>407</v>
      </c>
      <c r="E200" s="357">
        <v>21</v>
      </c>
      <c r="F200" s="357">
        <v>21</v>
      </c>
      <c r="G200" s="358">
        <v>43954617</v>
      </c>
      <c r="H200" s="359">
        <f t="shared" si="5"/>
        <v>42709905</v>
      </c>
      <c r="I200" s="360"/>
      <c r="J200" s="361"/>
      <c r="K200" s="362"/>
      <c r="L200" s="362"/>
      <c r="M200" s="361">
        <v>948352</v>
      </c>
      <c r="N200" s="361">
        <v>2074520</v>
      </c>
      <c r="O200" s="361">
        <v>177816</v>
      </c>
      <c r="P200" s="361">
        <v>355632</v>
      </c>
      <c r="Q200" s="361">
        <v>118544</v>
      </c>
      <c r="R200" s="361">
        <v>118544</v>
      </c>
      <c r="S200" s="361">
        <v>237088</v>
      </c>
      <c r="T200" s="363">
        <v>1247000</v>
      </c>
      <c r="U200" s="364">
        <f t="shared" si="6"/>
        <v>47987401</v>
      </c>
      <c r="V200" s="362"/>
      <c r="W200" s="365" t="str">
        <f>+VLOOKUP($B200,[2]Time_S4!$B:$G,6,0)</f>
        <v>Trung tâm Nghiên cứu Công nghệ chuyển mạch</v>
      </c>
      <c r="X200" s="365" t="str">
        <f>IF(W200="Phòng Kinh doanh","Trung tâm Kinh doanh - TCT CNC",+VLOOKUP($B200,[2]Time_S4!$B:$G,5,0))</f>
        <v>Khối 2 - TCT CNC</v>
      </c>
      <c r="Y200" s="366"/>
      <c r="Z200" s="366"/>
    </row>
    <row r="201" spans="1:26" ht="15.75" hidden="1">
      <c r="A201" s="367">
        <f>SUBTOTAL(3,$B$15:B201)</f>
        <v>1</v>
      </c>
      <c r="B201" s="356" t="s">
        <v>768</v>
      </c>
      <c r="C201" s="356" t="s">
        <v>769</v>
      </c>
      <c r="D201" s="356" t="s">
        <v>407</v>
      </c>
      <c r="E201" s="357">
        <v>21</v>
      </c>
      <c r="F201" s="357">
        <v>21</v>
      </c>
      <c r="G201" s="358">
        <v>20790517</v>
      </c>
      <c r="H201" s="359">
        <f t="shared" si="5"/>
        <v>19873909</v>
      </c>
      <c r="I201" s="360"/>
      <c r="J201" s="361"/>
      <c r="K201" s="362"/>
      <c r="L201" s="362"/>
      <c r="M201" s="361">
        <v>698368</v>
      </c>
      <c r="N201" s="361">
        <v>1527680</v>
      </c>
      <c r="O201" s="361">
        <v>130944</v>
      </c>
      <c r="P201" s="361">
        <v>261888</v>
      </c>
      <c r="Q201" s="361">
        <v>87296</v>
      </c>
      <c r="R201" s="361">
        <v>87296</v>
      </c>
      <c r="S201" s="361">
        <v>174592</v>
      </c>
      <c r="T201" s="363">
        <v>1047000</v>
      </c>
      <c r="U201" s="364">
        <f t="shared" si="6"/>
        <v>23888973</v>
      </c>
      <c r="V201" s="362"/>
      <c r="W201" s="365" t="str">
        <f>+VLOOKUP($B201,[2]Time_S4!$B:$G,6,0)</f>
        <v>Phòng Tổng hợp</v>
      </c>
      <c r="X201" s="365" t="str">
        <f>IF(W201="Phòng Kinh doanh","Trung tâm Kinh doanh - TCT CNC",+VLOOKUP($B201,[2]Time_S4!$B:$G,5,0))</f>
        <v>Khối 2 - TCT CNC</v>
      </c>
      <c r="Y201" s="366"/>
      <c r="Z201" s="366"/>
    </row>
    <row r="202" spans="1:26" ht="15.75" hidden="1">
      <c r="A202" s="367">
        <f>SUBTOTAL(3,$B$15:B202)</f>
        <v>1</v>
      </c>
      <c r="B202" s="356" t="s">
        <v>770</v>
      </c>
      <c r="C202" s="356" t="s">
        <v>771</v>
      </c>
      <c r="D202" s="356" t="s">
        <v>407</v>
      </c>
      <c r="E202" s="357">
        <v>21</v>
      </c>
      <c r="F202" s="357">
        <v>21</v>
      </c>
      <c r="G202" s="358">
        <v>48861507</v>
      </c>
      <c r="H202" s="359">
        <f t="shared" si="5"/>
        <v>47616795</v>
      </c>
      <c r="I202" s="360"/>
      <c r="J202" s="361"/>
      <c r="K202" s="362"/>
      <c r="L202" s="362"/>
      <c r="M202" s="361">
        <v>948352</v>
      </c>
      <c r="N202" s="361">
        <v>2074520</v>
      </c>
      <c r="O202" s="361">
        <v>177816</v>
      </c>
      <c r="P202" s="361">
        <v>355632</v>
      </c>
      <c r="Q202" s="361">
        <v>118544</v>
      </c>
      <c r="R202" s="361">
        <v>118544</v>
      </c>
      <c r="S202" s="361">
        <v>237088</v>
      </c>
      <c r="T202" s="363">
        <v>1130000</v>
      </c>
      <c r="U202" s="364">
        <f t="shared" si="6"/>
        <v>52777291</v>
      </c>
      <c r="V202" s="362"/>
      <c r="W202" s="365" t="str">
        <f>+VLOOKUP($B202,[2]Time_S4!$B:$G,6,0)</f>
        <v>Trung tâm dịch vụ sau bán hàng</v>
      </c>
      <c r="X202" s="365" t="str">
        <f>IF(W202="Phòng Kinh doanh","Trung tâm Kinh doanh - TCT CNC",+VLOOKUP($B202,[2]Time_S4!$B:$G,5,0))</f>
        <v>Khối 2 - TCT CNC</v>
      </c>
      <c r="Y202" s="366"/>
      <c r="Z202" s="366"/>
    </row>
    <row r="203" spans="1:26" ht="15.75" hidden="1">
      <c r="A203" s="367">
        <f>SUBTOTAL(3,$B$15:B203)</f>
        <v>1</v>
      </c>
      <c r="B203" s="356" t="s">
        <v>772</v>
      </c>
      <c r="C203" s="356" t="s">
        <v>773</v>
      </c>
      <c r="D203" s="356" t="s">
        <v>397</v>
      </c>
      <c r="E203" s="357">
        <v>21</v>
      </c>
      <c r="F203" s="357">
        <v>21</v>
      </c>
      <c r="G203" s="358">
        <v>61178312</v>
      </c>
      <c r="H203" s="359">
        <f t="shared" si="5"/>
        <v>59910781</v>
      </c>
      <c r="I203" s="360"/>
      <c r="J203" s="361"/>
      <c r="K203" s="362"/>
      <c r="L203" s="362"/>
      <c r="M203" s="361">
        <v>1267531</v>
      </c>
      <c r="N203" s="361">
        <v>2772725</v>
      </c>
      <c r="O203" s="361">
        <v>0</v>
      </c>
      <c r="P203" s="361">
        <v>0</v>
      </c>
      <c r="Q203" s="361">
        <v>0</v>
      </c>
      <c r="R203" s="361">
        <v>0</v>
      </c>
      <c r="S203" s="361">
        <v>316883</v>
      </c>
      <c r="T203" s="363">
        <v>1130000</v>
      </c>
      <c r="U203" s="364">
        <f t="shared" si="6"/>
        <v>65397920</v>
      </c>
      <c r="V203" s="362"/>
      <c r="W203" s="365" t="str">
        <f>+VLOOKUP($B203,[2]Time_S4!$B:$G,6,0)</f>
        <v>Trung tâm Rada</v>
      </c>
      <c r="X203" s="365" t="str">
        <f>IF(W203="Phòng Kinh doanh","Trung tâm Kinh doanh - TCT CNC",+VLOOKUP($B203,[2]Time_S4!$B:$G,5,0))</f>
        <v>Khối 1 - TCT CNC</v>
      </c>
      <c r="Y203" s="366"/>
      <c r="Z203" s="380"/>
    </row>
    <row r="204" spans="1:26" ht="15.75" hidden="1">
      <c r="A204" s="367">
        <f>SUBTOTAL(3,$B$15:B204)</f>
        <v>1</v>
      </c>
      <c r="B204" s="356" t="s">
        <v>774</v>
      </c>
      <c r="C204" s="356" t="s">
        <v>775</v>
      </c>
      <c r="D204" s="356" t="s">
        <v>410</v>
      </c>
      <c r="E204" s="357">
        <v>21</v>
      </c>
      <c r="F204" s="357">
        <v>21</v>
      </c>
      <c r="G204" s="358">
        <v>27552070</v>
      </c>
      <c r="H204" s="359">
        <f t="shared" si="5"/>
        <v>25723500</v>
      </c>
      <c r="I204" s="360"/>
      <c r="J204" s="361"/>
      <c r="K204" s="362"/>
      <c r="L204" s="362"/>
      <c r="M204" s="361">
        <v>1828570</v>
      </c>
      <c r="N204" s="361">
        <v>3999996</v>
      </c>
      <c r="O204" s="361">
        <v>0</v>
      </c>
      <c r="P204" s="361">
        <v>0</v>
      </c>
      <c r="Q204" s="361">
        <v>0</v>
      </c>
      <c r="R204" s="361">
        <v>0</v>
      </c>
      <c r="S204" s="361">
        <v>457142</v>
      </c>
      <c r="T204" s="363">
        <v>2100000</v>
      </c>
      <c r="U204" s="364">
        <f t="shared" si="6"/>
        <v>34109208</v>
      </c>
      <c r="V204" s="362"/>
      <c r="W204" s="365" t="str">
        <f>+VLOOKUP($B204,[2]Time_S4!$B:$G,6,0)</f>
        <v>Phòng Chính trị</v>
      </c>
      <c r="X204" s="365" t="str">
        <f>IF(W204="Phòng Kinh doanh","Trung tâm Kinh doanh - TCT CNC",+VLOOKUP($B204,[2]Time_S4!$B:$G,5,0))</f>
        <v>Khối cơ quan - TCT CNC</v>
      </c>
      <c r="Y204" s="366"/>
      <c r="Z204" s="366"/>
    </row>
    <row r="205" spans="1:26" ht="15.75" hidden="1">
      <c r="A205" s="367">
        <f>SUBTOTAL(3,$B$15:B205)</f>
        <v>1</v>
      </c>
      <c r="B205" s="356" t="s">
        <v>776</v>
      </c>
      <c r="C205" s="356" t="s">
        <v>777</v>
      </c>
      <c r="D205" s="356" t="s">
        <v>397</v>
      </c>
      <c r="E205" s="357">
        <v>21</v>
      </c>
      <c r="F205" s="357">
        <v>21</v>
      </c>
      <c r="G205" s="358">
        <v>51295732</v>
      </c>
      <c r="H205" s="359">
        <f t="shared" si="5"/>
        <v>50153812</v>
      </c>
      <c r="I205" s="360"/>
      <c r="J205" s="361"/>
      <c r="K205" s="362"/>
      <c r="L205" s="362"/>
      <c r="M205" s="361">
        <v>1141920</v>
      </c>
      <c r="N205" s="361">
        <v>2497950</v>
      </c>
      <c r="O205" s="361">
        <v>0</v>
      </c>
      <c r="P205" s="361">
        <v>0</v>
      </c>
      <c r="Q205" s="361">
        <v>0</v>
      </c>
      <c r="R205" s="361">
        <v>0</v>
      </c>
      <c r="S205" s="361">
        <v>285480</v>
      </c>
      <c r="T205" s="363">
        <v>1130000</v>
      </c>
      <c r="U205" s="364">
        <f t="shared" si="6"/>
        <v>55209162</v>
      </c>
      <c r="V205" s="362"/>
      <c r="W205" s="365" t="str">
        <f>+VLOOKUP($B205,[2]Time_S4!$B:$G,6,0)</f>
        <v>Trung tâm sản xuất</v>
      </c>
      <c r="X205" s="365" t="str">
        <f>IF(W205="Phòng Kinh doanh","Trung tâm Kinh doanh - TCT CNC",+VLOOKUP($B205,[2]Time_S4!$B:$G,5,0))</f>
        <v>Khối 1 - TCT CNC</v>
      </c>
      <c r="Y205" s="366"/>
      <c r="Z205" s="366"/>
    </row>
    <row r="206" spans="1:26" ht="15.75" hidden="1">
      <c r="A206" s="367">
        <f>SUBTOTAL(3,$B$15:B206)</f>
        <v>1</v>
      </c>
      <c r="B206" s="356" t="s">
        <v>778</v>
      </c>
      <c r="C206" s="356" t="s">
        <v>779</v>
      </c>
      <c r="D206" s="356" t="s">
        <v>407</v>
      </c>
      <c r="E206" s="357">
        <v>21</v>
      </c>
      <c r="F206" s="357">
        <v>21</v>
      </c>
      <c r="G206" s="358">
        <v>25316044</v>
      </c>
      <c r="H206" s="359">
        <f t="shared" si="5"/>
        <v>24300484</v>
      </c>
      <c r="I206" s="360"/>
      <c r="J206" s="361"/>
      <c r="K206" s="362"/>
      <c r="L206" s="362"/>
      <c r="M206" s="361">
        <v>773760</v>
      </c>
      <c r="N206" s="361">
        <v>1692600</v>
      </c>
      <c r="O206" s="361">
        <v>145080</v>
      </c>
      <c r="P206" s="361">
        <v>290160</v>
      </c>
      <c r="Q206" s="361">
        <v>96720</v>
      </c>
      <c r="R206" s="361">
        <v>96720</v>
      </c>
      <c r="S206" s="361">
        <v>193440</v>
      </c>
      <c r="T206" s="363">
        <v>930000</v>
      </c>
      <c r="U206" s="364">
        <f t="shared" si="6"/>
        <v>28518964</v>
      </c>
      <c r="V206" s="362"/>
      <c r="W206" s="365" t="str">
        <f>+VLOOKUP($B206,[2]Time_S4!$B:$G,6,0)</f>
        <v>Trung tâm dịch vụ sau bán hàng</v>
      </c>
      <c r="X206" s="365" t="str">
        <f>IF(W206="Phòng Kinh doanh","Trung tâm Kinh doanh - TCT CNC",+VLOOKUP($B206,[2]Time_S4!$B:$G,5,0))</f>
        <v>Khối 2 - TCT CNC</v>
      </c>
      <c r="Y206" s="366"/>
      <c r="Z206" s="380"/>
    </row>
    <row r="207" spans="1:26" ht="15.75" hidden="1">
      <c r="A207" s="367">
        <f>SUBTOTAL(3,$B$15:B207)</f>
        <v>1</v>
      </c>
      <c r="B207" s="356" t="s">
        <v>780</v>
      </c>
      <c r="C207" s="356" t="s">
        <v>781</v>
      </c>
      <c r="D207" s="356" t="s">
        <v>407</v>
      </c>
      <c r="E207" s="357">
        <v>21</v>
      </c>
      <c r="F207" s="357">
        <v>21</v>
      </c>
      <c r="G207" s="358">
        <v>53861507</v>
      </c>
      <c r="H207" s="359">
        <f t="shared" si="5"/>
        <v>52616795</v>
      </c>
      <c r="I207" s="360"/>
      <c r="J207" s="361"/>
      <c r="K207" s="362"/>
      <c r="L207" s="362"/>
      <c r="M207" s="361">
        <v>948352</v>
      </c>
      <c r="N207" s="361">
        <v>2074520</v>
      </c>
      <c r="O207" s="361">
        <v>177816</v>
      </c>
      <c r="P207" s="361">
        <v>355632</v>
      </c>
      <c r="Q207" s="361">
        <v>118544</v>
      </c>
      <c r="R207" s="361">
        <v>118544</v>
      </c>
      <c r="S207" s="361">
        <v>237088</v>
      </c>
      <c r="T207" s="363">
        <v>1498000</v>
      </c>
      <c r="U207" s="364">
        <f t="shared" si="6"/>
        <v>58145291</v>
      </c>
      <c r="V207" s="362"/>
      <c r="W207" s="365" t="str">
        <f>+VLOOKUP($B207,[2]Time_S4!$B:$G,6,0)</f>
        <v>Trung tâm Nghiên cứu thiết bị vô tuyến băng rộng</v>
      </c>
      <c r="X207" s="365" t="str">
        <f>IF(W207="Phòng Kinh doanh","Trung tâm Kinh doanh - TCT CNC",+VLOOKUP($B207,[2]Time_S4!$B:$G,5,0))</f>
        <v>Khối 2 - TCT CNC</v>
      </c>
      <c r="Y207" s="366"/>
      <c r="Z207" s="366"/>
    </row>
    <row r="208" spans="1:26" ht="15.75" hidden="1">
      <c r="A208" s="367">
        <f>SUBTOTAL(3,$B$15:B208)</f>
        <v>1</v>
      </c>
      <c r="B208" s="356" t="s">
        <v>782</v>
      </c>
      <c r="C208" s="356" t="s">
        <v>783</v>
      </c>
      <c r="D208" s="356" t="s">
        <v>397</v>
      </c>
      <c r="E208" s="357">
        <v>21</v>
      </c>
      <c r="F208" s="357">
        <v>21</v>
      </c>
      <c r="G208" s="358">
        <v>88179980</v>
      </c>
      <c r="H208" s="359">
        <f t="shared" ref="H208:H271" si="7">+G208-SUM(M208,O208,Q208)</f>
        <v>87084860</v>
      </c>
      <c r="I208" s="360"/>
      <c r="J208" s="361"/>
      <c r="K208" s="362"/>
      <c r="L208" s="362"/>
      <c r="M208" s="361">
        <v>1095120</v>
      </c>
      <c r="N208" s="361">
        <v>2395575</v>
      </c>
      <c r="O208" s="361">
        <v>0</v>
      </c>
      <c r="P208" s="361">
        <v>0</v>
      </c>
      <c r="Q208" s="361">
        <v>0</v>
      </c>
      <c r="R208" s="361">
        <v>0</v>
      </c>
      <c r="S208" s="361">
        <v>273780</v>
      </c>
      <c r="T208" s="363">
        <v>1230000</v>
      </c>
      <c r="U208" s="364">
        <f t="shared" ref="U208:U271" si="8">+SUM(H208:T208)</f>
        <v>92079335</v>
      </c>
      <c r="V208" s="362"/>
      <c r="W208" s="365" t="str">
        <f>+VLOOKUP($B208,[2]Time_S4!$B:$G,6,0)</f>
        <v>Trung tâm Nghiên cứu Công nghệ chuyển mạch</v>
      </c>
      <c r="X208" s="365" t="str">
        <f>IF(W208="Phòng Kinh doanh","Trung tâm Kinh doanh - TCT CNC",+VLOOKUP($B208,[2]Time_S4!$B:$G,5,0))</f>
        <v>Khối 2 - TCT CNC</v>
      </c>
      <c r="Y208" s="366"/>
      <c r="Z208" s="366"/>
    </row>
    <row r="209" spans="1:26" ht="15.75" hidden="1">
      <c r="A209" s="367">
        <f>SUBTOTAL(3,$B$15:B209)</f>
        <v>1</v>
      </c>
      <c r="B209" s="356" t="s">
        <v>784</v>
      </c>
      <c r="C209" s="356" t="s">
        <v>785</v>
      </c>
      <c r="D209" s="356" t="s">
        <v>407</v>
      </c>
      <c r="E209" s="357">
        <v>21</v>
      </c>
      <c r="F209" s="357">
        <v>21</v>
      </c>
      <c r="G209" s="358">
        <v>47304747</v>
      </c>
      <c r="H209" s="359">
        <f t="shared" si="7"/>
        <v>46060035</v>
      </c>
      <c r="I209" s="360"/>
      <c r="J209" s="361"/>
      <c r="K209" s="362"/>
      <c r="L209" s="362"/>
      <c r="M209" s="361">
        <v>948352</v>
      </c>
      <c r="N209" s="361">
        <v>2074520</v>
      </c>
      <c r="O209" s="361">
        <v>177816</v>
      </c>
      <c r="P209" s="361">
        <v>355632</v>
      </c>
      <c r="Q209" s="361">
        <v>118544</v>
      </c>
      <c r="R209" s="361">
        <v>118544</v>
      </c>
      <c r="S209" s="361">
        <v>237088</v>
      </c>
      <c r="T209" s="363">
        <v>1030000</v>
      </c>
      <c r="U209" s="364">
        <f t="shared" si="8"/>
        <v>51120531</v>
      </c>
      <c r="V209" s="362"/>
      <c r="W209" s="365" t="str">
        <f>+VLOOKUP($B209,[2]Time_S4!$B:$G,6,0)</f>
        <v>Trung tâm Chỉ huy điều khiển</v>
      </c>
      <c r="X209" s="365" t="str">
        <f>IF(W209="Phòng Kinh doanh","Trung tâm Kinh doanh - TCT CNC",+VLOOKUP($B209,[2]Time_S4!$B:$G,5,0))</f>
        <v>Khối 1 - TCT CNC</v>
      </c>
      <c r="Y209" s="366"/>
      <c r="Z209" s="366"/>
    </row>
    <row r="210" spans="1:26" ht="15.75" hidden="1">
      <c r="A210" s="367">
        <f>SUBTOTAL(3,$B$15:B210)</f>
        <v>1</v>
      </c>
      <c r="B210" s="356" t="s">
        <v>786</v>
      </c>
      <c r="C210" s="356" t="s">
        <v>731</v>
      </c>
      <c r="D210" s="356" t="s">
        <v>407</v>
      </c>
      <c r="E210" s="357">
        <v>21</v>
      </c>
      <c r="F210" s="357">
        <v>21</v>
      </c>
      <c r="G210" s="358">
        <v>15643427</v>
      </c>
      <c r="H210" s="359">
        <f t="shared" si="7"/>
        <v>14810147</v>
      </c>
      <c r="I210" s="360"/>
      <c r="J210" s="361"/>
      <c r="K210" s="362"/>
      <c r="L210" s="362"/>
      <c r="M210" s="361">
        <v>634880</v>
      </c>
      <c r="N210" s="361">
        <v>1388800</v>
      </c>
      <c r="O210" s="361">
        <v>119040</v>
      </c>
      <c r="P210" s="361">
        <v>238080</v>
      </c>
      <c r="Q210" s="361">
        <v>79360</v>
      </c>
      <c r="R210" s="361">
        <v>79360</v>
      </c>
      <c r="S210" s="361">
        <v>158720</v>
      </c>
      <c r="T210" s="363">
        <v>1047000</v>
      </c>
      <c r="U210" s="364">
        <f t="shared" si="8"/>
        <v>18555387</v>
      </c>
      <c r="V210" s="362"/>
      <c r="W210" s="365" t="str">
        <f>+VLOOKUP($B210,[2]Time_S4!$B:$G,6,0)</f>
        <v>Phòng Hành chính</v>
      </c>
      <c r="X210" s="365" t="str">
        <f>IF(W210="Phòng Kinh doanh","Trung tâm Kinh doanh - TCT CNC",+VLOOKUP($B210,[2]Time_S4!$B:$G,5,0))</f>
        <v>Khối cơ quan - TCT CNC</v>
      </c>
      <c r="Y210" s="366"/>
      <c r="Z210" s="366"/>
    </row>
    <row r="211" spans="1:26" ht="15.75" hidden="1">
      <c r="A211" s="367">
        <f>SUBTOTAL(3,$B$15:B211)</f>
        <v>1</v>
      </c>
      <c r="B211" s="356" t="s">
        <v>787</v>
      </c>
      <c r="C211" s="356" t="s">
        <v>788</v>
      </c>
      <c r="D211" s="356" t="s">
        <v>407</v>
      </c>
      <c r="E211" s="357">
        <v>21</v>
      </c>
      <c r="F211" s="357">
        <v>21</v>
      </c>
      <c r="G211" s="358">
        <v>46186214</v>
      </c>
      <c r="H211" s="359">
        <f t="shared" si="7"/>
        <v>44941502</v>
      </c>
      <c r="I211" s="360"/>
      <c r="J211" s="361"/>
      <c r="K211" s="362"/>
      <c r="L211" s="362"/>
      <c r="M211" s="361">
        <v>948352</v>
      </c>
      <c r="N211" s="361">
        <v>2074520</v>
      </c>
      <c r="O211" s="361">
        <v>177816</v>
      </c>
      <c r="P211" s="361">
        <v>355632</v>
      </c>
      <c r="Q211" s="361">
        <v>118544</v>
      </c>
      <c r="R211" s="361">
        <v>118544</v>
      </c>
      <c r="S211" s="361">
        <v>237088</v>
      </c>
      <c r="T211" s="363">
        <v>1847000</v>
      </c>
      <c r="U211" s="364">
        <f t="shared" si="8"/>
        <v>50818998</v>
      </c>
      <c r="V211" s="362"/>
      <c r="W211" s="365" t="str">
        <f>+VLOOKUP($B211,[2]Time_S4!$B:$G,6,0)</f>
        <v>Ban Giám đốc</v>
      </c>
      <c r="X211" s="365" t="str">
        <f>IF(W211="Phòng Kinh doanh","Trung tâm Kinh doanh - TCT CNC",+VLOOKUP($B211,[2]Time_S4!$B:$G,5,0))</f>
        <v>Trung tâm Mua sắm - TCT CNC</v>
      </c>
      <c r="Y211" s="366"/>
      <c r="Z211" s="366"/>
    </row>
    <row r="212" spans="1:26" ht="15.75" hidden="1">
      <c r="A212" s="367">
        <f>SUBTOTAL(3,$B$15:B212)</f>
        <v>1</v>
      </c>
      <c r="B212" s="356" t="s">
        <v>789</v>
      </c>
      <c r="C212" s="356" t="s">
        <v>790</v>
      </c>
      <c r="D212" s="356" t="s">
        <v>400</v>
      </c>
      <c r="E212" s="357">
        <v>21</v>
      </c>
      <c r="F212" s="357">
        <v>21</v>
      </c>
      <c r="G212" s="358">
        <v>36824093</v>
      </c>
      <c r="H212" s="359">
        <f t="shared" si="7"/>
        <v>35839549</v>
      </c>
      <c r="I212" s="360"/>
      <c r="J212" s="361"/>
      <c r="K212" s="362"/>
      <c r="L212" s="362"/>
      <c r="M212" s="361">
        <v>829090</v>
      </c>
      <c r="N212" s="361">
        <v>1813635</v>
      </c>
      <c r="O212" s="361">
        <v>155454</v>
      </c>
      <c r="P212" s="361">
        <v>310909</v>
      </c>
      <c r="Q212" s="361">
        <v>0</v>
      </c>
      <c r="R212" s="361">
        <v>0</v>
      </c>
      <c r="S212" s="361">
        <v>207273</v>
      </c>
      <c r="T212" s="363">
        <v>1615000</v>
      </c>
      <c r="U212" s="364">
        <f t="shared" si="8"/>
        <v>40770910</v>
      </c>
      <c r="V212" s="362"/>
      <c r="W212" s="365" t="str">
        <f>+VLOOKUP($B212,[2]Time_S4!$B:$G,6,0)</f>
        <v>Trung tâm dịch vụ sau bán hàng</v>
      </c>
      <c r="X212" s="365" t="str">
        <f>IF(W212="Phòng Kinh doanh","Trung tâm Kinh doanh - TCT CNC",+VLOOKUP($B212,[2]Time_S4!$B:$G,5,0))</f>
        <v>Khối 1 - TCT CNC</v>
      </c>
      <c r="Y212" s="366"/>
      <c r="Z212" s="366"/>
    </row>
    <row r="213" spans="1:26" ht="15.75" hidden="1">
      <c r="A213" s="367">
        <f>SUBTOTAL(3,$B$15:B213)</f>
        <v>1</v>
      </c>
      <c r="B213" s="356" t="s">
        <v>791</v>
      </c>
      <c r="C213" s="356" t="s">
        <v>792</v>
      </c>
      <c r="D213" s="356" t="s">
        <v>407</v>
      </c>
      <c r="E213" s="357">
        <v>21</v>
      </c>
      <c r="F213" s="357">
        <v>21</v>
      </c>
      <c r="G213" s="358">
        <v>30142054</v>
      </c>
      <c r="H213" s="359">
        <f t="shared" si="7"/>
        <v>29074414</v>
      </c>
      <c r="I213" s="360"/>
      <c r="J213" s="361"/>
      <c r="K213" s="362"/>
      <c r="L213" s="362"/>
      <c r="M213" s="361">
        <v>813440</v>
      </c>
      <c r="N213" s="361">
        <v>1779400</v>
      </c>
      <c r="O213" s="361">
        <v>152520</v>
      </c>
      <c r="P213" s="361">
        <v>305040</v>
      </c>
      <c r="Q213" s="361">
        <v>101680</v>
      </c>
      <c r="R213" s="361">
        <v>101680</v>
      </c>
      <c r="S213" s="361">
        <v>203360</v>
      </c>
      <c r="T213" s="363">
        <v>1030000</v>
      </c>
      <c r="U213" s="364">
        <f t="shared" si="8"/>
        <v>33561534</v>
      </c>
      <c r="V213" s="362"/>
      <c r="W213" s="365" t="str">
        <f>+VLOOKUP($B213,[2]Time_S4!$B:$G,6,0)</f>
        <v>Phòng Tài chính</v>
      </c>
      <c r="X213" s="365" t="str">
        <f>IF(W213="Phòng Kinh doanh","Trung tâm Kinh doanh - TCT CNC",+VLOOKUP($B213,[2]Time_S4!$B:$G,5,0))</f>
        <v>Khối cơ quan - TCT CNC</v>
      </c>
      <c r="Y213" s="366"/>
      <c r="Z213" s="366"/>
    </row>
    <row r="214" spans="1:26" ht="15.75" hidden="1">
      <c r="A214" s="367">
        <f>SUBTOTAL(3,$B$15:B214)</f>
        <v>1</v>
      </c>
      <c r="B214" s="356" t="s">
        <v>793</v>
      </c>
      <c r="C214" s="356" t="s">
        <v>794</v>
      </c>
      <c r="D214" s="356" t="s">
        <v>407</v>
      </c>
      <c r="E214" s="357">
        <v>21</v>
      </c>
      <c r="F214" s="357">
        <v>21</v>
      </c>
      <c r="G214" s="358">
        <v>30142054</v>
      </c>
      <c r="H214" s="359">
        <f t="shared" si="7"/>
        <v>29074414</v>
      </c>
      <c r="I214" s="360"/>
      <c r="J214" s="361"/>
      <c r="K214" s="362"/>
      <c r="L214" s="362"/>
      <c r="M214" s="361">
        <v>813440</v>
      </c>
      <c r="N214" s="361">
        <v>1779400</v>
      </c>
      <c r="O214" s="361">
        <v>152520</v>
      </c>
      <c r="P214" s="361">
        <v>305040</v>
      </c>
      <c r="Q214" s="361">
        <v>101680</v>
      </c>
      <c r="R214" s="361">
        <v>101680</v>
      </c>
      <c r="S214" s="361">
        <v>203360</v>
      </c>
      <c r="T214" s="363">
        <v>1030000</v>
      </c>
      <c r="U214" s="364">
        <f t="shared" si="8"/>
        <v>33561534</v>
      </c>
      <c r="V214" s="362"/>
      <c r="W214" s="365" t="str">
        <f>+VLOOKUP($B214,[2]Time_S4!$B:$G,6,0)</f>
        <v>Trung tâm dịch vụ sau bán hàng</v>
      </c>
      <c r="X214" s="365" t="str">
        <f>IF(W214="Phòng Kinh doanh","Trung tâm Kinh doanh - TCT CNC",+VLOOKUP($B214,[2]Time_S4!$B:$G,5,0))</f>
        <v>Khối 1 - TCT CNC</v>
      </c>
      <c r="Y214" s="366"/>
      <c r="Z214" s="366"/>
    </row>
    <row r="215" spans="1:26" ht="15.75" hidden="1">
      <c r="A215" s="367">
        <f>SUBTOTAL(3,$B$15:B215)</f>
        <v>1</v>
      </c>
      <c r="B215" s="356" t="s">
        <v>795</v>
      </c>
      <c r="C215" s="356" t="s">
        <v>796</v>
      </c>
      <c r="D215" s="356" t="s">
        <v>407</v>
      </c>
      <c r="E215" s="357">
        <v>21</v>
      </c>
      <c r="F215" s="357">
        <v>21</v>
      </c>
      <c r="G215" s="358">
        <v>26125544</v>
      </c>
      <c r="H215" s="359">
        <f t="shared" si="7"/>
        <v>25109984</v>
      </c>
      <c r="I215" s="360"/>
      <c r="J215" s="361"/>
      <c r="K215" s="362"/>
      <c r="L215" s="362"/>
      <c r="M215" s="361">
        <v>773760</v>
      </c>
      <c r="N215" s="361">
        <v>1692600</v>
      </c>
      <c r="O215" s="361">
        <v>145080</v>
      </c>
      <c r="P215" s="361">
        <v>290160</v>
      </c>
      <c r="Q215" s="361">
        <v>96720</v>
      </c>
      <c r="R215" s="361">
        <v>96720</v>
      </c>
      <c r="S215" s="361">
        <v>193440</v>
      </c>
      <c r="T215" s="363">
        <v>1047000</v>
      </c>
      <c r="U215" s="364">
        <f t="shared" si="8"/>
        <v>29445464</v>
      </c>
      <c r="V215" s="362"/>
      <c r="W215" s="365" t="str">
        <f>+VLOOKUP($B215,[2]Time_S4!$B:$G,6,0)</f>
        <v>Trung tâm Đảm bảo chất lượng</v>
      </c>
      <c r="X215" s="365" t="str">
        <f>IF(W215="Phòng Kinh doanh","Trung tâm Kinh doanh - TCT CNC",+VLOOKUP($B215,[2]Time_S4!$B:$G,5,0))</f>
        <v>Khối 1 - TCT CNC</v>
      </c>
      <c r="Y215" s="366"/>
      <c r="Z215" s="380"/>
    </row>
    <row r="216" spans="1:26" ht="15.75" hidden="1">
      <c r="A216" s="367">
        <f>SUBTOTAL(3,$B$15:B216)</f>
        <v>1</v>
      </c>
      <c r="B216" s="356" t="s">
        <v>797</v>
      </c>
      <c r="C216" s="356" t="s">
        <v>798</v>
      </c>
      <c r="D216" s="356" t="s">
        <v>407</v>
      </c>
      <c r="E216" s="357">
        <v>21</v>
      </c>
      <c r="F216" s="357">
        <v>21</v>
      </c>
      <c r="G216" s="358">
        <v>20790517</v>
      </c>
      <c r="H216" s="359">
        <f t="shared" si="7"/>
        <v>19873909</v>
      </c>
      <c r="I216" s="360"/>
      <c r="J216" s="361"/>
      <c r="K216" s="362"/>
      <c r="L216" s="362"/>
      <c r="M216" s="361">
        <v>698368</v>
      </c>
      <c r="N216" s="361">
        <v>1527680</v>
      </c>
      <c r="O216" s="361">
        <v>130944</v>
      </c>
      <c r="P216" s="361">
        <v>261888</v>
      </c>
      <c r="Q216" s="361">
        <v>87296</v>
      </c>
      <c r="R216" s="361">
        <v>87296</v>
      </c>
      <c r="S216" s="361">
        <v>174592</v>
      </c>
      <c r="T216" s="363">
        <v>1047000</v>
      </c>
      <c r="U216" s="364">
        <f t="shared" si="8"/>
        <v>23888973</v>
      </c>
      <c r="V216" s="362"/>
      <c r="W216" s="365" t="str">
        <f>+VLOOKUP($B216,[2]Time_S4!$B:$G,6,0)</f>
        <v>Phòng Tổng hợp</v>
      </c>
      <c r="X216" s="365" t="str">
        <f>IF(W216="Phòng Kinh doanh","Trung tâm Kinh doanh - TCT CNC",+VLOOKUP($B216,[2]Time_S4!$B:$G,5,0))</f>
        <v>Khối 1 - TCT CNC</v>
      </c>
      <c r="Y216" s="366"/>
      <c r="Z216" s="366"/>
    </row>
    <row r="217" spans="1:26" ht="15.75" hidden="1">
      <c r="A217" s="367">
        <f>SUBTOTAL(3,$B$15:B217)</f>
        <v>1</v>
      </c>
      <c r="B217" s="356" t="s">
        <v>799</v>
      </c>
      <c r="C217" s="356" t="s">
        <v>800</v>
      </c>
      <c r="D217" s="356" t="s">
        <v>397</v>
      </c>
      <c r="E217" s="357">
        <v>21</v>
      </c>
      <c r="F217" s="357">
        <v>0</v>
      </c>
      <c r="G217" s="358">
        <v>20006906</v>
      </c>
      <c r="H217" s="359">
        <f t="shared" si="7"/>
        <v>18676717</v>
      </c>
      <c r="I217" s="360"/>
      <c r="J217" s="361"/>
      <c r="K217" s="362"/>
      <c r="L217" s="362"/>
      <c r="M217" s="361">
        <v>1330189</v>
      </c>
      <c r="N217" s="361">
        <v>2909788</v>
      </c>
      <c r="O217" s="361">
        <v>0</v>
      </c>
      <c r="P217" s="361">
        <v>0</v>
      </c>
      <c r="Q217" s="361">
        <v>0</v>
      </c>
      <c r="R217" s="361">
        <v>0</v>
      </c>
      <c r="S217" s="361">
        <v>332547</v>
      </c>
      <c r="T217" s="363">
        <v>0</v>
      </c>
      <c r="U217" s="364">
        <f t="shared" si="8"/>
        <v>23249241</v>
      </c>
      <c r="V217" s="362"/>
      <c r="W217" s="365" t="str">
        <f>+VLOOKUP($B217,[2]Time_S4!$B:$G,6,0)</f>
        <v>Phòng Hành chính</v>
      </c>
      <c r="X217" s="365" t="str">
        <f>IF(W217="Phòng Kinh doanh","Trung tâm Kinh doanh - TCT CNC",+VLOOKUP($B217,[2]Time_S4!$B:$G,5,0))</f>
        <v>Khối cơ quan - TCT CNC</v>
      </c>
      <c r="Y217" s="366"/>
      <c r="Z217" s="366"/>
    </row>
    <row r="218" spans="1:26" ht="15.75" hidden="1">
      <c r="A218" s="367">
        <f>SUBTOTAL(3,$B$15:B218)</f>
        <v>1</v>
      </c>
      <c r="B218" s="356" t="s">
        <v>801</v>
      </c>
      <c r="C218" s="356" t="s">
        <v>802</v>
      </c>
      <c r="D218" s="356" t="s">
        <v>407</v>
      </c>
      <c r="E218" s="357">
        <v>21</v>
      </c>
      <c r="F218" s="357">
        <v>21</v>
      </c>
      <c r="G218" s="358">
        <v>33475775</v>
      </c>
      <c r="H218" s="359">
        <f t="shared" si="7"/>
        <v>32350847</v>
      </c>
      <c r="I218" s="360"/>
      <c r="J218" s="361"/>
      <c r="K218" s="362"/>
      <c r="L218" s="362"/>
      <c r="M218" s="361">
        <v>857088</v>
      </c>
      <c r="N218" s="361">
        <v>1874880</v>
      </c>
      <c r="O218" s="361">
        <v>160704</v>
      </c>
      <c r="P218" s="361">
        <v>321408</v>
      </c>
      <c r="Q218" s="361">
        <v>107136</v>
      </c>
      <c r="R218" s="361">
        <v>107136</v>
      </c>
      <c r="S218" s="361">
        <v>214272</v>
      </c>
      <c r="T218" s="363">
        <v>1147000</v>
      </c>
      <c r="U218" s="364">
        <f t="shared" si="8"/>
        <v>37140471</v>
      </c>
      <c r="V218" s="362"/>
      <c r="W218" s="365" t="str">
        <f>+VLOOKUP($B218,[2]Time_S4!$B:$G,6,0)</f>
        <v>Phòng Quản lý sản xuất</v>
      </c>
      <c r="X218" s="365" t="str">
        <f>IF(W218="Phòng Kinh doanh","Trung tâm Kinh doanh - TCT CNC",+VLOOKUP($B218,[2]Time_S4!$B:$G,5,0))</f>
        <v>Khối 2 - TCT CNC</v>
      </c>
      <c r="Y218" s="366"/>
      <c r="Z218" s="366"/>
    </row>
    <row r="219" spans="1:26" ht="15.75" hidden="1">
      <c r="A219" s="367">
        <f>SUBTOTAL(3,$B$15:B219)</f>
        <v>1</v>
      </c>
      <c r="B219" s="356" t="s">
        <v>803</v>
      </c>
      <c r="C219" s="356" t="s">
        <v>804</v>
      </c>
      <c r="D219" s="356" t="s">
        <v>407</v>
      </c>
      <c r="E219" s="357">
        <v>21</v>
      </c>
      <c r="F219" s="357">
        <v>21</v>
      </c>
      <c r="G219" s="358">
        <v>53227211</v>
      </c>
      <c r="H219" s="359">
        <f t="shared" si="7"/>
        <v>52044995</v>
      </c>
      <c r="I219" s="360"/>
      <c r="J219" s="361"/>
      <c r="K219" s="362"/>
      <c r="L219" s="362"/>
      <c r="M219" s="361">
        <v>900736</v>
      </c>
      <c r="N219" s="361">
        <v>1970360</v>
      </c>
      <c r="O219" s="361">
        <v>168888</v>
      </c>
      <c r="P219" s="361">
        <v>337776</v>
      </c>
      <c r="Q219" s="361">
        <v>112592</v>
      </c>
      <c r="R219" s="361">
        <v>112592</v>
      </c>
      <c r="S219" s="361">
        <v>225184</v>
      </c>
      <c r="T219" s="363">
        <v>1230000</v>
      </c>
      <c r="U219" s="364">
        <f t="shared" si="8"/>
        <v>57103123</v>
      </c>
      <c r="V219" s="362"/>
      <c r="W219" s="365" t="str">
        <f>+VLOOKUP($B219,[2]Time_S4!$B:$G,6,0)</f>
        <v>Trung tâm Nghiên cứu thiết bị vô tuyến băng rộng</v>
      </c>
      <c r="X219" s="365" t="str">
        <f>IF(W219="Phòng Kinh doanh","Trung tâm Kinh doanh - TCT CNC",+VLOOKUP($B219,[2]Time_S4!$B:$G,5,0))</f>
        <v>Khối 2 - TCT CNC</v>
      </c>
      <c r="Y219" s="366"/>
      <c r="Z219" s="366"/>
    </row>
    <row r="220" spans="1:26" ht="15.75" hidden="1">
      <c r="A220" s="367">
        <f>SUBTOTAL(3,$B$15:B220)</f>
        <v>1</v>
      </c>
      <c r="B220" s="356" t="s">
        <v>805</v>
      </c>
      <c r="C220" s="356" t="s">
        <v>806</v>
      </c>
      <c r="D220" s="356" t="s">
        <v>410</v>
      </c>
      <c r="E220" s="357">
        <v>21</v>
      </c>
      <c r="F220" s="357">
        <v>21</v>
      </c>
      <c r="G220" s="358">
        <v>109804955</v>
      </c>
      <c r="H220" s="359">
        <f t="shared" si="7"/>
        <v>108425291</v>
      </c>
      <c r="I220" s="360"/>
      <c r="J220" s="361"/>
      <c r="K220" s="362"/>
      <c r="L220" s="362"/>
      <c r="M220" s="361">
        <v>1379664</v>
      </c>
      <c r="N220" s="361">
        <v>3018015</v>
      </c>
      <c r="O220" s="361">
        <v>0</v>
      </c>
      <c r="P220" s="361">
        <v>0</v>
      </c>
      <c r="Q220" s="361">
        <v>0</v>
      </c>
      <c r="R220" s="361">
        <v>0</v>
      </c>
      <c r="S220" s="361">
        <v>344916</v>
      </c>
      <c r="T220" s="363">
        <v>1730000</v>
      </c>
      <c r="U220" s="364">
        <f t="shared" si="8"/>
        <v>114897886</v>
      </c>
      <c r="V220" s="362"/>
      <c r="W220" s="365" t="str">
        <f>+VLOOKUP($B220,[2]Time_S4!$B:$G,6,0)</f>
        <v>Trung tâm Nghiên cứu thiết bị vô tuyến băng rộng</v>
      </c>
      <c r="X220" s="365" t="str">
        <f>IF(W220="Phòng Kinh doanh","Trung tâm Kinh doanh - TCT CNC",+VLOOKUP($B220,[2]Time_S4!$B:$G,5,0))</f>
        <v>Khối 2 - TCT CNC</v>
      </c>
      <c r="Y220" s="366"/>
      <c r="Z220" s="366"/>
    </row>
    <row r="221" spans="1:26" ht="15.75" hidden="1">
      <c r="A221" s="367">
        <f>SUBTOTAL(3,$B$15:B221)</f>
        <v>1</v>
      </c>
      <c r="B221" s="356" t="s">
        <v>807</v>
      </c>
      <c r="C221" s="356" t="s">
        <v>808</v>
      </c>
      <c r="D221" s="356" t="s">
        <v>410</v>
      </c>
      <c r="E221" s="357">
        <v>21</v>
      </c>
      <c r="F221" s="357">
        <v>21</v>
      </c>
      <c r="G221" s="358">
        <v>105291623</v>
      </c>
      <c r="H221" s="359">
        <f t="shared" si="7"/>
        <v>103829404</v>
      </c>
      <c r="I221" s="360"/>
      <c r="J221" s="361"/>
      <c r="K221" s="362"/>
      <c r="L221" s="362"/>
      <c r="M221" s="361">
        <v>1462219</v>
      </c>
      <c r="N221" s="361">
        <v>3198605</v>
      </c>
      <c r="O221" s="361">
        <v>0</v>
      </c>
      <c r="P221" s="361">
        <v>0</v>
      </c>
      <c r="Q221" s="361">
        <v>0</v>
      </c>
      <c r="R221" s="361">
        <v>0</v>
      </c>
      <c r="S221" s="361">
        <v>365555</v>
      </c>
      <c r="T221" s="363">
        <v>1730000</v>
      </c>
      <c r="U221" s="364">
        <f t="shared" si="8"/>
        <v>110585783</v>
      </c>
      <c r="V221" s="362"/>
      <c r="W221" s="365" t="str">
        <f>+VLOOKUP($B221,[2]Time_S4!$B:$G,6,0)</f>
        <v>Trung tâm Thông tin Quân sự</v>
      </c>
      <c r="X221" s="365" t="str">
        <f>IF(W221="Phòng Kinh doanh","Trung tâm Kinh doanh - TCT CNC",+VLOOKUP($B221,[2]Time_S4!$B:$G,5,0))</f>
        <v>Khối 1 - TCT CNC</v>
      </c>
      <c r="Y221" s="366"/>
      <c r="Z221" s="366"/>
    </row>
    <row r="222" spans="1:26" ht="15.75" hidden="1">
      <c r="A222" s="367">
        <f>SUBTOTAL(3,$B$15:B222)</f>
        <v>1</v>
      </c>
      <c r="B222" s="356" t="s">
        <v>809</v>
      </c>
      <c r="C222" s="356" t="s">
        <v>810</v>
      </c>
      <c r="D222" s="356" t="s">
        <v>407</v>
      </c>
      <c r="E222" s="357">
        <v>21</v>
      </c>
      <c r="F222" s="357">
        <v>21</v>
      </c>
      <c r="G222" s="358">
        <v>67611423</v>
      </c>
      <c r="H222" s="359">
        <f t="shared" si="7"/>
        <v>66236511</v>
      </c>
      <c r="I222" s="360"/>
      <c r="J222" s="361"/>
      <c r="K222" s="362"/>
      <c r="L222" s="362"/>
      <c r="M222" s="361">
        <v>1047552</v>
      </c>
      <c r="N222" s="361">
        <v>2291520</v>
      </c>
      <c r="O222" s="361">
        <v>196416</v>
      </c>
      <c r="P222" s="361">
        <v>392832</v>
      </c>
      <c r="Q222" s="361">
        <v>130944</v>
      </c>
      <c r="R222" s="361">
        <v>130944</v>
      </c>
      <c r="S222" s="361">
        <v>261888</v>
      </c>
      <c r="T222" s="363">
        <v>1130000</v>
      </c>
      <c r="U222" s="364">
        <f t="shared" si="8"/>
        <v>71818607</v>
      </c>
      <c r="V222" s="362"/>
      <c r="W222" s="365" t="str">
        <f>+VLOOKUP($B222,[2]Time_S4!$B:$G,6,0)</f>
        <v>Trung tâm Camera</v>
      </c>
      <c r="X222" s="365" t="str">
        <f>IF(W222="Phòng Kinh doanh","Trung tâm Kinh doanh - TCT CNC",+VLOOKUP($B222,[2]Time_S4!$B:$G,5,0))</f>
        <v>Khối 3 - TCT CNC</v>
      </c>
      <c r="Y222" s="366"/>
      <c r="Z222" s="366"/>
    </row>
    <row r="223" spans="1:26" ht="15.75" hidden="1">
      <c r="A223" s="367">
        <f>SUBTOTAL(3,$B$15:B223)</f>
        <v>1</v>
      </c>
      <c r="B223" s="356" t="s">
        <v>811</v>
      </c>
      <c r="C223" s="356" t="s">
        <v>812</v>
      </c>
      <c r="D223" s="356" t="s">
        <v>407</v>
      </c>
      <c r="E223" s="357">
        <v>21</v>
      </c>
      <c r="F223" s="357">
        <v>21</v>
      </c>
      <c r="G223" s="358">
        <v>34910634</v>
      </c>
      <c r="H223" s="359">
        <f t="shared" si="7"/>
        <v>33785706</v>
      </c>
      <c r="I223" s="360"/>
      <c r="J223" s="361"/>
      <c r="K223" s="362"/>
      <c r="L223" s="362"/>
      <c r="M223" s="361">
        <v>857088</v>
      </c>
      <c r="N223" s="361">
        <v>1874880</v>
      </c>
      <c r="O223" s="361">
        <v>160704</v>
      </c>
      <c r="P223" s="361">
        <v>321408</v>
      </c>
      <c r="Q223" s="361">
        <v>107136</v>
      </c>
      <c r="R223" s="361">
        <v>107136</v>
      </c>
      <c r="S223" s="361">
        <v>214272</v>
      </c>
      <c r="T223" s="363">
        <v>1347000</v>
      </c>
      <c r="U223" s="364">
        <f t="shared" si="8"/>
        <v>38775330</v>
      </c>
      <c r="V223" s="362"/>
      <c r="W223" s="365" t="str">
        <f>+VLOOKUP($B223,[2]Time_S4!$B:$G,6,0)</f>
        <v>Phòng Hợp đồng</v>
      </c>
      <c r="X223" s="365" t="str">
        <f>IF(W223="Phòng Kinh doanh","Trung tâm Kinh doanh - TCT CNC",+VLOOKUP($B223,[2]Time_S4!$B:$G,5,0))</f>
        <v>Trung tâm Mua sắm - TCT CNC</v>
      </c>
      <c r="Y223" s="366"/>
      <c r="Z223" s="366"/>
    </row>
    <row r="224" spans="1:26" ht="15.75" hidden="1">
      <c r="A224" s="367">
        <f>SUBTOTAL(3,$B$15:B224)</f>
        <v>1</v>
      </c>
      <c r="B224" s="356" t="s">
        <v>813</v>
      </c>
      <c r="C224" s="356" t="s">
        <v>814</v>
      </c>
      <c r="D224" s="356" t="s">
        <v>407</v>
      </c>
      <c r="E224" s="357">
        <v>21</v>
      </c>
      <c r="F224" s="357">
        <v>21</v>
      </c>
      <c r="G224" s="358">
        <v>15643427</v>
      </c>
      <c r="H224" s="359">
        <f t="shared" si="7"/>
        <v>14810147</v>
      </c>
      <c r="I224" s="360"/>
      <c r="J224" s="361"/>
      <c r="K224" s="362"/>
      <c r="L224" s="362"/>
      <c r="M224" s="361">
        <v>634880</v>
      </c>
      <c r="N224" s="361">
        <v>1388800</v>
      </c>
      <c r="O224" s="361">
        <v>119040</v>
      </c>
      <c r="P224" s="361">
        <v>238080</v>
      </c>
      <c r="Q224" s="361">
        <v>79360</v>
      </c>
      <c r="R224" s="361">
        <v>79360</v>
      </c>
      <c r="S224" s="361">
        <v>158720</v>
      </c>
      <c r="T224" s="363">
        <v>1530000</v>
      </c>
      <c r="U224" s="364">
        <f t="shared" si="8"/>
        <v>19038387</v>
      </c>
      <c r="V224" s="362"/>
      <c r="W224" s="365" t="str">
        <f>+VLOOKUP($B224,[2]Time_S4!$B:$G,6,0)</f>
        <v>Phòng Hành chính</v>
      </c>
      <c r="X224" s="365" t="str">
        <f>IF(W224="Phòng Kinh doanh","Trung tâm Kinh doanh - TCT CNC",+VLOOKUP($B224,[2]Time_S4!$B:$G,5,0))</f>
        <v>Khối cơ quan - TCT CNC</v>
      </c>
      <c r="Y224" s="366"/>
      <c r="Z224" s="366"/>
    </row>
    <row r="225" spans="1:26" ht="15.75" hidden="1">
      <c r="A225" s="367">
        <f>SUBTOTAL(3,$B$15:B225)</f>
        <v>1</v>
      </c>
      <c r="B225" s="356" t="s">
        <v>815</v>
      </c>
      <c r="C225" s="356" t="s">
        <v>816</v>
      </c>
      <c r="D225" s="356" t="s">
        <v>407</v>
      </c>
      <c r="E225" s="357">
        <v>21</v>
      </c>
      <c r="F225" s="357">
        <v>21</v>
      </c>
      <c r="G225" s="358">
        <v>106510432</v>
      </c>
      <c r="H225" s="359">
        <f t="shared" si="7"/>
        <v>104828248</v>
      </c>
      <c r="I225" s="360"/>
      <c r="J225" s="361"/>
      <c r="K225" s="362"/>
      <c r="L225" s="362"/>
      <c r="M225" s="361">
        <v>1281664</v>
      </c>
      <c r="N225" s="361">
        <v>2803640</v>
      </c>
      <c r="O225" s="361">
        <v>240312</v>
      </c>
      <c r="P225" s="361">
        <v>480624</v>
      </c>
      <c r="Q225" s="361">
        <v>160208</v>
      </c>
      <c r="R225" s="361">
        <v>160208</v>
      </c>
      <c r="S225" s="361">
        <v>320416</v>
      </c>
      <c r="T225" s="363">
        <v>1730000</v>
      </c>
      <c r="U225" s="364">
        <f t="shared" si="8"/>
        <v>112005320</v>
      </c>
      <c r="V225" s="362"/>
      <c r="W225" s="365" t="str">
        <f>+VLOOKUP($B225,[2]Time_S4!$B:$G,6,0)</f>
        <v>Trung tâm Nghiên cứu Công nghệ truyền dẫn</v>
      </c>
      <c r="X225" s="365" t="str">
        <f>IF(W225="Phòng Kinh doanh","Trung tâm Kinh doanh - TCT CNC",+VLOOKUP($B225,[2]Time_S4!$B:$G,5,0))</f>
        <v>Khối 2 - TCT CNC</v>
      </c>
      <c r="Y225" s="366"/>
      <c r="Z225" s="366"/>
    </row>
    <row r="226" spans="1:26" ht="15.75" hidden="1">
      <c r="A226" s="367">
        <f>SUBTOTAL(3,$B$15:B226)</f>
        <v>1</v>
      </c>
      <c r="B226" s="356" t="s">
        <v>817</v>
      </c>
      <c r="C226" s="356" t="s">
        <v>522</v>
      </c>
      <c r="D226" s="356" t="s">
        <v>407</v>
      </c>
      <c r="E226" s="357">
        <v>21</v>
      </c>
      <c r="F226" s="357">
        <v>21</v>
      </c>
      <c r="G226" s="358">
        <v>15643427</v>
      </c>
      <c r="H226" s="359">
        <f t="shared" si="7"/>
        <v>14810147</v>
      </c>
      <c r="I226" s="360"/>
      <c r="J226" s="361"/>
      <c r="K226" s="362"/>
      <c r="L226" s="362"/>
      <c r="M226" s="361">
        <v>634880</v>
      </c>
      <c r="N226" s="361">
        <v>1388800</v>
      </c>
      <c r="O226" s="361">
        <v>119040</v>
      </c>
      <c r="P226" s="361">
        <v>238080</v>
      </c>
      <c r="Q226" s="361">
        <v>79360</v>
      </c>
      <c r="R226" s="361">
        <v>79360</v>
      </c>
      <c r="S226" s="361">
        <v>158720</v>
      </c>
      <c r="T226" s="363">
        <v>1530000</v>
      </c>
      <c r="U226" s="364">
        <f t="shared" si="8"/>
        <v>19038387</v>
      </c>
      <c r="V226" s="362"/>
      <c r="W226" s="365" t="str">
        <f>+VLOOKUP($B226,[2]Time_S4!$B:$G,6,0)</f>
        <v>Phòng Hành chính</v>
      </c>
      <c r="X226" s="365" t="str">
        <f>IF(W226="Phòng Kinh doanh","Trung tâm Kinh doanh - TCT CNC",+VLOOKUP($B226,[2]Time_S4!$B:$G,5,0))</f>
        <v>Khối cơ quan - TCT CNC</v>
      </c>
      <c r="Y226" s="366"/>
      <c r="Z226" s="366"/>
    </row>
    <row r="227" spans="1:26" ht="15.75" hidden="1">
      <c r="A227" s="367">
        <f>SUBTOTAL(3,$B$15:B227)</f>
        <v>1</v>
      </c>
      <c r="B227" s="356" t="s">
        <v>818</v>
      </c>
      <c r="C227" s="356" t="s">
        <v>819</v>
      </c>
      <c r="D227" s="356" t="s">
        <v>407</v>
      </c>
      <c r="E227" s="357">
        <v>21</v>
      </c>
      <c r="F227" s="357">
        <v>21</v>
      </c>
      <c r="G227" s="358">
        <v>43415786</v>
      </c>
      <c r="H227" s="359">
        <f t="shared" si="7"/>
        <v>42233570</v>
      </c>
      <c r="I227" s="360"/>
      <c r="J227" s="361"/>
      <c r="K227" s="362"/>
      <c r="L227" s="362"/>
      <c r="M227" s="361">
        <v>900736</v>
      </c>
      <c r="N227" s="361">
        <v>1970360</v>
      </c>
      <c r="O227" s="361">
        <v>168888</v>
      </c>
      <c r="P227" s="361">
        <v>337776</v>
      </c>
      <c r="Q227" s="361">
        <v>112592</v>
      </c>
      <c r="R227" s="361">
        <v>112592</v>
      </c>
      <c r="S227" s="361">
        <v>225184</v>
      </c>
      <c r="T227" s="363">
        <v>1030000</v>
      </c>
      <c r="U227" s="364">
        <f t="shared" si="8"/>
        <v>47091698</v>
      </c>
      <c r="V227" s="362"/>
      <c r="W227" s="365" t="str">
        <f>+VLOOKUP($B227,[2]Time_S4!$B:$G,6,0)</f>
        <v>Trung tâm Thông tin Quân sự</v>
      </c>
      <c r="X227" s="365" t="str">
        <f>IF(W227="Phòng Kinh doanh","Trung tâm Kinh doanh - TCT CNC",+VLOOKUP($B227,[2]Time_S4!$B:$G,5,0))</f>
        <v>Khối 1 - TCT CNC</v>
      </c>
      <c r="Y227" s="366"/>
      <c r="Z227" s="366"/>
    </row>
    <row r="228" spans="1:26" ht="15.75" hidden="1">
      <c r="A228" s="367">
        <f>SUBTOTAL(3,$B$15:B228)</f>
        <v>1</v>
      </c>
      <c r="B228" s="356" t="s">
        <v>820</v>
      </c>
      <c r="C228" s="356" t="s">
        <v>821</v>
      </c>
      <c r="D228" s="356" t="s">
        <v>397</v>
      </c>
      <c r="E228" s="357">
        <v>21</v>
      </c>
      <c r="F228" s="357">
        <v>21</v>
      </c>
      <c r="G228" s="358">
        <v>64671913</v>
      </c>
      <c r="H228" s="359">
        <f t="shared" si="7"/>
        <v>63453241</v>
      </c>
      <c r="I228" s="360"/>
      <c r="J228" s="361"/>
      <c r="K228" s="362"/>
      <c r="L228" s="362"/>
      <c r="M228" s="361">
        <v>1218672</v>
      </c>
      <c r="N228" s="361">
        <v>2665845</v>
      </c>
      <c r="O228" s="361">
        <v>0</v>
      </c>
      <c r="P228" s="361">
        <v>0</v>
      </c>
      <c r="Q228" s="361">
        <v>0</v>
      </c>
      <c r="R228" s="361">
        <v>0</v>
      </c>
      <c r="S228" s="361">
        <v>304668</v>
      </c>
      <c r="T228" s="363">
        <v>1230000</v>
      </c>
      <c r="U228" s="364">
        <f t="shared" si="8"/>
        <v>68872426</v>
      </c>
      <c r="V228" s="362"/>
      <c r="W228" s="365" t="str">
        <f>+VLOOKUP($B228,[2]Time_S4!$B:$G,6,0)</f>
        <v>Trung tâm Đảm bảo chất lượng</v>
      </c>
      <c r="X228" s="365" t="str">
        <f>IF(W228="Phòng Kinh doanh","Trung tâm Kinh doanh - TCT CNC",+VLOOKUP($B228,[2]Time_S4!$B:$G,5,0))</f>
        <v>Khối 1 - TCT CNC</v>
      </c>
      <c r="Y228" s="366"/>
      <c r="Z228" s="366"/>
    </row>
    <row r="229" spans="1:26" ht="15.75" hidden="1">
      <c r="A229" s="367">
        <f>SUBTOTAL(3,$B$15:B229)</f>
        <v>1</v>
      </c>
      <c r="B229" s="356" t="s">
        <v>822</v>
      </c>
      <c r="C229" s="356" t="s">
        <v>823</v>
      </c>
      <c r="D229" s="356" t="s">
        <v>410</v>
      </c>
      <c r="E229" s="357">
        <v>21</v>
      </c>
      <c r="F229" s="357">
        <v>21</v>
      </c>
      <c r="G229" s="358">
        <v>123238292</v>
      </c>
      <c r="H229" s="359">
        <f t="shared" si="7"/>
        <v>121908798</v>
      </c>
      <c r="I229" s="360"/>
      <c r="J229" s="361"/>
      <c r="K229" s="362"/>
      <c r="L229" s="362"/>
      <c r="M229" s="361">
        <v>1329494</v>
      </c>
      <c r="N229" s="361">
        <v>2908269</v>
      </c>
      <c r="O229" s="361">
        <v>0</v>
      </c>
      <c r="P229" s="361">
        <v>0</v>
      </c>
      <c r="Q229" s="361">
        <v>0</v>
      </c>
      <c r="R229" s="361">
        <v>0</v>
      </c>
      <c r="S229" s="361">
        <v>332374</v>
      </c>
      <c r="T229" s="363">
        <v>2432000</v>
      </c>
      <c r="U229" s="364">
        <f t="shared" si="8"/>
        <v>128910935</v>
      </c>
      <c r="V229" s="362"/>
      <c r="W229" s="365" t="str">
        <f>+VLOOKUP($B229,[2]Time_S4!$B:$G,6,0)</f>
        <v>Trung tâm Phát triển nền tảng thanh toán</v>
      </c>
      <c r="X229" s="365" t="str">
        <f>IF(W229="Phòng Kinh doanh","Trung tâm Kinh doanh - TCT CNC",+VLOOKUP($B229,[2]Time_S4!$B:$G,5,0))</f>
        <v>Khối 2 - TCT CNC</v>
      </c>
      <c r="Y229" s="366"/>
      <c r="Z229" s="366"/>
    </row>
    <row r="230" spans="1:26" ht="15.75" hidden="1">
      <c r="A230" s="367">
        <f>SUBTOTAL(3,$B$15:B230)</f>
        <v>1</v>
      </c>
      <c r="B230" s="356" t="s">
        <v>824</v>
      </c>
      <c r="C230" s="356" t="s">
        <v>825</v>
      </c>
      <c r="D230" s="356" t="s">
        <v>400</v>
      </c>
      <c r="E230" s="357">
        <v>21</v>
      </c>
      <c r="F230" s="357">
        <v>21</v>
      </c>
      <c r="G230" s="358">
        <v>61957806</v>
      </c>
      <c r="H230" s="359">
        <f t="shared" si="7"/>
        <v>61144188</v>
      </c>
      <c r="I230" s="360"/>
      <c r="J230" s="361"/>
      <c r="K230" s="362"/>
      <c r="L230" s="362"/>
      <c r="M230" s="361">
        <v>685152</v>
      </c>
      <c r="N230" s="361">
        <v>1498770</v>
      </c>
      <c r="O230" s="361">
        <v>128466</v>
      </c>
      <c r="P230" s="361">
        <v>256932</v>
      </c>
      <c r="Q230" s="361">
        <v>0</v>
      </c>
      <c r="R230" s="361">
        <v>0</v>
      </c>
      <c r="S230" s="361">
        <v>171288</v>
      </c>
      <c r="T230" s="363">
        <v>1330000</v>
      </c>
      <c r="U230" s="364">
        <f t="shared" si="8"/>
        <v>65214796</v>
      </c>
      <c r="V230" s="362"/>
      <c r="W230" s="365" t="str">
        <f>+VLOOKUP($B230,[2]Time_S4!$B:$G,6,0)</f>
        <v>Trung tâm Nghiên cứu Công nghệ chuyển mạch</v>
      </c>
      <c r="X230" s="365" t="str">
        <f>IF(W230="Phòng Kinh doanh","Trung tâm Kinh doanh - TCT CNC",+VLOOKUP($B230,[2]Time_S4!$B:$G,5,0))</f>
        <v>Khối 2 - TCT CNC</v>
      </c>
      <c r="Y230" s="366"/>
      <c r="Z230" s="366"/>
    </row>
    <row r="231" spans="1:26" ht="15.75" hidden="1">
      <c r="A231" s="367">
        <f>SUBTOTAL(3,$B$15:B231)</f>
        <v>1</v>
      </c>
      <c r="B231" s="356" t="s">
        <v>826</v>
      </c>
      <c r="C231" s="356" t="s">
        <v>827</v>
      </c>
      <c r="D231" s="356" t="s">
        <v>407</v>
      </c>
      <c r="E231" s="357">
        <v>21</v>
      </c>
      <c r="F231" s="357">
        <v>21</v>
      </c>
      <c r="G231" s="358">
        <v>22002378</v>
      </c>
      <c r="H231" s="359">
        <f t="shared" si="7"/>
        <v>21085770</v>
      </c>
      <c r="I231" s="360"/>
      <c r="J231" s="361"/>
      <c r="K231" s="362"/>
      <c r="L231" s="362"/>
      <c r="M231" s="361">
        <v>698368</v>
      </c>
      <c r="N231" s="361">
        <v>1527680</v>
      </c>
      <c r="O231" s="361">
        <v>130944</v>
      </c>
      <c r="P231" s="361">
        <v>261888</v>
      </c>
      <c r="Q231" s="361">
        <v>87296</v>
      </c>
      <c r="R231" s="361">
        <v>87296</v>
      </c>
      <c r="S231" s="361">
        <v>174592</v>
      </c>
      <c r="T231" s="363">
        <v>1147000</v>
      </c>
      <c r="U231" s="364">
        <f t="shared" si="8"/>
        <v>25200834</v>
      </c>
      <c r="V231" s="362"/>
      <c r="W231" s="365" t="str">
        <f>+VLOOKUP($B231,[2]Time_S4!$B:$G,6,0)</f>
        <v>Trung tâm Nghiên cứu Công nghệ chuyển mạch</v>
      </c>
      <c r="X231" s="365" t="str">
        <f>IF(W231="Phòng Kinh doanh","Trung tâm Kinh doanh - TCT CNC",+VLOOKUP($B231,[2]Time_S4!$B:$G,5,0))</f>
        <v>Khối 2 - TCT CNC</v>
      </c>
      <c r="Y231" s="366"/>
      <c r="Z231" s="366"/>
    </row>
    <row r="232" spans="1:26" ht="15.75" hidden="1">
      <c r="A232" s="367">
        <f>SUBTOTAL(3,$B$15:B232)</f>
        <v>1</v>
      </c>
      <c r="B232" s="356" t="s">
        <v>828</v>
      </c>
      <c r="C232" s="356" t="s">
        <v>829</v>
      </c>
      <c r="D232" s="356" t="s">
        <v>400</v>
      </c>
      <c r="E232" s="357">
        <v>21</v>
      </c>
      <c r="F232" s="357">
        <v>21</v>
      </c>
      <c r="G232" s="358">
        <v>75480480</v>
      </c>
      <c r="H232" s="359">
        <f t="shared" si="7"/>
        <v>74511252</v>
      </c>
      <c r="I232" s="360"/>
      <c r="J232" s="361"/>
      <c r="K232" s="362"/>
      <c r="L232" s="362"/>
      <c r="M232" s="361">
        <v>816192</v>
      </c>
      <c r="N232" s="361">
        <v>1785420</v>
      </c>
      <c r="O232" s="361">
        <v>153036</v>
      </c>
      <c r="P232" s="361">
        <v>306072</v>
      </c>
      <c r="Q232" s="361">
        <v>0</v>
      </c>
      <c r="R232" s="361">
        <v>0</v>
      </c>
      <c r="S232" s="361">
        <v>204048</v>
      </c>
      <c r="T232" s="363">
        <v>1730000</v>
      </c>
      <c r="U232" s="364">
        <f t="shared" si="8"/>
        <v>79506020</v>
      </c>
      <c r="V232" s="362"/>
      <c r="W232" s="365" t="str">
        <f>+VLOOKUP($B232,[2]Time_S4!$B:$G,6,0)</f>
        <v>Trung tâm Đảm bảo chất lượng</v>
      </c>
      <c r="X232" s="365" t="str">
        <f>IF(W232="Phòng Kinh doanh","Trung tâm Kinh doanh - TCT CNC",+VLOOKUP($B232,[2]Time_S4!$B:$G,5,0))</f>
        <v>Khối 1 - TCT CNC</v>
      </c>
      <c r="Y232" s="366"/>
      <c r="Z232" s="366"/>
    </row>
    <row r="233" spans="1:26" ht="15.75" hidden="1">
      <c r="A233" s="367">
        <f>SUBTOTAL(3,$B$15:B233)</f>
        <v>1</v>
      </c>
      <c r="B233" s="356" t="s">
        <v>830</v>
      </c>
      <c r="C233" s="356" t="s">
        <v>831</v>
      </c>
      <c r="D233" s="356" t="s">
        <v>407</v>
      </c>
      <c r="E233" s="357">
        <v>21</v>
      </c>
      <c r="F233" s="357">
        <v>21</v>
      </c>
      <c r="G233" s="358">
        <v>44755002</v>
      </c>
      <c r="H233" s="359">
        <f t="shared" si="7"/>
        <v>43572786</v>
      </c>
      <c r="I233" s="360"/>
      <c r="J233" s="361"/>
      <c r="K233" s="362"/>
      <c r="L233" s="362"/>
      <c r="M233" s="361">
        <v>900736</v>
      </c>
      <c r="N233" s="361">
        <v>1970360</v>
      </c>
      <c r="O233" s="361">
        <v>168888</v>
      </c>
      <c r="P233" s="361">
        <v>337776</v>
      </c>
      <c r="Q233" s="361">
        <v>112592</v>
      </c>
      <c r="R233" s="361">
        <v>112592</v>
      </c>
      <c r="S233" s="361">
        <v>225184</v>
      </c>
      <c r="T233" s="363">
        <v>1130000</v>
      </c>
      <c r="U233" s="364">
        <f t="shared" si="8"/>
        <v>48530914</v>
      </c>
      <c r="V233" s="362"/>
      <c r="W233" s="365" t="str">
        <f>+VLOOKUP($B233,[2]Time_S4!$B:$G,6,0)</f>
        <v>Trung tâm dịch vụ sau bán hàng</v>
      </c>
      <c r="X233" s="365" t="str">
        <f>IF(W233="Phòng Kinh doanh","Trung tâm Kinh doanh - TCT CNC",+VLOOKUP($B233,[2]Time_S4!$B:$G,5,0))</f>
        <v>Khối 1 - TCT CNC</v>
      </c>
      <c r="Y233" s="366"/>
      <c r="Z233" s="366"/>
    </row>
    <row r="234" spans="1:26" ht="15.75" hidden="1">
      <c r="A234" s="367">
        <f>SUBTOTAL(3,$B$15:B234)</f>
        <v>1</v>
      </c>
      <c r="B234" s="356" t="s">
        <v>832</v>
      </c>
      <c r="C234" s="356" t="s">
        <v>833</v>
      </c>
      <c r="D234" s="356" t="s">
        <v>407</v>
      </c>
      <c r="E234" s="357">
        <v>21</v>
      </c>
      <c r="F234" s="357">
        <v>21</v>
      </c>
      <c r="G234" s="358">
        <v>20790517</v>
      </c>
      <c r="H234" s="359">
        <f t="shared" si="7"/>
        <v>19873909</v>
      </c>
      <c r="I234" s="360"/>
      <c r="J234" s="361"/>
      <c r="K234" s="362"/>
      <c r="L234" s="362"/>
      <c r="M234" s="361">
        <v>698368</v>
      </c>
      <c r="N234" s="361">
        <v>1527680</v>
      </c>
      <c r="O234" s="361">
        <v>130944</v>
      </c>
      <c r="P234" s="361">
        <v>261888</v>
      </c>
      <c r="Q234" s="361">
        <v>87296</v>
      </c>
      <c r="R234" s="361">
        <v>87296</v>
      </c>
      <c r="S234" s="361">
        <v>174592</v>
      </c>
      <c r="T234" s="363">
        <v>1047000</v>
      </c>
      <c r="U234" s="364">
        <f t="shared" si="8"/>
        <v>23888973</v>
      </c>
      <c r="V234" s="362"/>
      <c r="W234" s="365" t="str">
        <f>+VLOOKUP($B234,[2]Time_S4!$B:$G,6,0)</f>
        <v>Phòng Tổng hợp</v>
      </c>
      <c r="X234" s="365" t="str">
        <f>IF(W234="Phòng Kinh doanh","Trung tâm Kinh doanh - TCT CNC",+VLOOKUP($B234,[2]Time_S4!$B:$G,5,0))</f>
        <v>Khối 1 - TCT CNC</v>
      </c>
      <c r="Y234" s="366"/>
      <c r="Z234" s="366"/>
    </row>
    <row r="235" spans="1:26" ht="15.75" hidden="1">
      <c r="A235" s="367">
        <f>SUBTOTAL(3,$B$15:B235)</f>
        <v>1</v>
      </c>
      <c r="B235" s="356" t="s">
        <v>834</v>
      </c>
      <c r="C235" s="356" t="s">
        <v>835</v>
      </c>
      <c r="D235" s="356" t="s">
        <v>407</v>
      </c>
      <c r="E235" s="357">
        <v>21</v>
      </c>
      <c r="F235" s="357">
        <v>21</v>
      </c>
      <c r="G235" s="358">
        <v>23770882</v>
      </c>
      <c r="H235" s="359">
        <f t="shared" si="7"/>
        <v>22807402</v>
      </c>
      <c r="I235" s="360"/>
      <c r="J235" s="361"/>
      <c r="K235" s="362"/>
      <c r="L235" s="362"/>
      <c r="M235" s="361">
        <v>734080</v>
      </c>
      <c r="N235" s="361">
        <v>1605800</v>
      </c>
      <c r="O235" s="361">
        <v>137640</v>
      </c>
      <c r="P235" s="361">
        <v>275280</v>
      </c>
      <c r="Q235" s="361">
        <v>91760</v>
      </c>
      <c r="R235" s="361">
        <v>91760</v>
      </c>
      <c r="S235" s="361">
        <v>183520</v>
      </c>
      <c r="T235" s="363">
        <v>1047000</v>
      </c>
      <c r="U235" s="364">
        <f t="shared" si="8"/>
        <v>26974242</v>
      </c>
      <c r="V235" s="362"/>
      <c r="W235" s="365" t="str">
        <f>+VLOOKUP($B235,[2]Time_S4!$B:$G,6,0)</f>
        <v>Phòng Hợp đồng</v>
      </c>
      <c r="X235" s="365" t="str">
        <f>IF(W235="Phòng Kinh doanh","Trung tâm Kinh doanh - TCT CNC",+VLOOKUP($B235,[2]Time_S4!$B:$G,5,0))</f>
        <v>Trung tâm Mua sắm - TCT CNC</v>
      </c>
      <c r="Y235" s="366"/>
      <c r="Z235" s="366"/>
    </row>
    <row r="236" spans="1:26" ht="15.75" hidden="1">
      <c r="A236" s="367">
        <f>SUBTOTAL(3,$B$15:B236)</f>
        <v>1</v>
      </c>
      <c r="B236" s="356" t="s">
        <v>836</v>
      </c>
      <c r="C236" s="356" t="s">
        <v>837</v>
      </c>
      <c r="D236" s="356" t="s">
        <v>407</v>
      </c>
      <c r="E236" s="357">
        <v>21</v>
      </c>
      <c r="F236" s="357">
        <v>21</v>
      </c>
      <c r="G236" s="358">
        <v>45415786</v>
      </c>
      <c r="H236" s="359">
        <f t="shared" si="7"/>
        <v>44233570</v>
      </c>
      <c r="I236" s="360"/>
      <c r="J236" s="361"/>
      <c r="K236" s="362"/>
      <c r="L236" s="362"/>
      <c r="M236" s="361">
        <v>900736</v>
      </c>
      <c r="N236" s="361">
        <v>1970360</v>
      </c>
      <c r="O236" s="361">
        <v>168888</v>
      </c>
      <c r="P236" s="361">
        <v>337776</v>
      </c>
      <c r="Q236" s="361">
        <v>112592</v>
      </c>
      <c r="R236" s="361">
        <v>112592</v>
      </c>
      <c r="S236" s="361">
        <v>225184</v>
      </c>
      <c r="T236" s="363">
        <v>1030000</v>
      </c>
      <c r="U236" s="364">
        <f t="shared" si="8"/>
        <v>49091698</v>
      </c>
      <c r="V236" s="362"/>
      <c r="W236" s="365" t="str">
        <f>+VLOOKUP($B236,[2]Time_S4!$B:$G,6,0)</f>
        <v>Trung tâm Nghiên cứu thiết bị vô tuyến băng rộng</v>
      </c>
      <c r="X236" s="365" t="str">
        <f>IF(W236="Phòng Kinh doanh","Trung tâm Kinh doanh - TCT CNC",+VLOOKUP($B236,[2]Time_S4!$B:$G,5,0))</f>
        <v>Khối 2 - TCT CNC</v>
      </c>
      <c r="Y236" s="366"/>
      <c r="Z236" s="366"/>
    </row>
    <row r="237" spans="1:26" ht="15.75" hidden="1">
      <c r="A237" s="367">
        <f>SUBTOTAL(3,$B$15:B237)</f>
        <v>1</v>
      </c>
      <c r="B237" s="356" t="s">
        <v>838</v>
      </c>
      <c r="C237" s="356" t="s">
        <v>839</v>
      </c>
      <c r="D237" s="356" t="s">
        <v>407</v>
      </c>
      <c r="E237" s="357">
        <v>21</v>
      </c>
      <c r="F237" s="357">
        <v>21</v>
      </c>
      <c r="G237" s="358">
        <v>15643427</v>
      </c>
      <c r="H237" s="359">
        <f t="shared" si="7"/>
        <v>14810147</v>
      </c>
      <c r="I237" s="360"/>
      <c r="J237" s="361"/>
      <c r="K237" s="362"/>
      <c r="L237" s="362"/>
      <c r="M237" s="361">
        <v>634880</v>
      </c>
      <c r="N237" s="361">
        <v>1388800</v>
      </c>
      <c r="O237" s="361">
        <v>119040</v>
      </c>
      <c r="P237" s="361">
        <v>238080</v>
      </c>
      <c r="Q237" s="361">
        <v>79360</v>
      </c>
      <c r="R237" s="361">
        <v>79360</v>
      </c>
      <c r="S237" s="361">
        <v>158720</v>
      </c>
      <c r="T237" s="363">
        <v>930000</v>
      </c>
      <c r="U237" s="364">
        <f t="shared" si="8"/>
        <v>18438387</v>
      </c>
      <c r="V237" s="362"/>
      <c r="W237" s="365" t="str">
        <f>+VLOOKUP($B237,[2]Time_S4!$B:$G,6,0)</f>
        <v>Phòng Hành chính</v>
      </c>
      <c r="X237" s="365" t="str">
        <f>IF(W237="Phòng Kinh doanh","Trung tâm Kinh doanh - TCT CNC",+VLOOKUP($B237,[2]Time_S4!$B:$G,5,0))</f>
        <v>Khối cơ quan - TCT CNC</v>
      </c>
      <c r="Y237" s="366"/>
      <c r="Z237" s="366"/>
    </row>
    <row r="238" spans="1:26" ht="15.75" hidden="1">
      <c r="A238" s="367">
        <f>SUBTOTAL(3,$B$15:B238)</f>
        <v>1</v>
      </c>
      <c r="B238" s="356" t="s">
        <v>840</v>
      </c>
      <c r="C238" s="356" t="s">
        <v>841</v>
      </c>
      <c r="D238" s="356" t="s">
        <v>397</v>
      </c>
      <c r="E238" s="357">
        <v>21</v>
      </c>
      <c r="F238" s="357">
        <v>21</v>
      </c>
      <c r="G238" s="358">
        <v>15643427</v>
      </c>
      <c r="H238" s="359">
        <f t="shared" si="7"/>
        <v>14605216</v>
      </c>
      <c r="I238" s="360"/>
      <c r="J238" s="361"/>
      <c r="K238" s="362"/>
      <c r="L238" s="362"/>
      <c r="M238" s="361">
        <v>1038211</v>
      </c>
      <c r="N238" s="361">
        <v>2271087</v>
      </c>
      <c r="O238" s="361">
        <v>0</v>
      </c>
      <c r="P238" s="361">
        <v>0</v>
      </c>
      <c r="Q238" s="361">
        <v>0</v>
      </c>
      <c r="R238" s="361">
        <v>0</v>
      </c>
      <c r="S238" s="361">
        <v>259553</v>
      </c>
      <c r="T238" s="363">
        <v>1780000</v>
      </c>
      <c r="U238" s="364">
        <f t="shared" si="8"/>
        <v>19954067</v>
      </c>
      <c r="V238" s="362"/>
      <c r="W238" s="365" t="str">
        <f>+VLOOKUP($B238,[2]Time_S4!$B:$G,6,0)</f>
        <v>Phòng Hành chính</v>
      </c>
      <c r="X238" s="365" t="str">
        <f>IF(W238="Phòng Kinh doanh","Trung tâm Kinh doanh - TCT CNC",+VLOOKUP($B238,[2]Time_S4!$B:$G,5,0))</f>
        <v>Khối cơ quan - TCT CNC</v>
      </c>
      <c r="Y238" s="366"/>
      <c r="Z238" s="366"/>
    </row>
    <row r="239" spans="1:26" ht="15.75" hidden="1">
      <c r="A239" s="367">
        <f>SUBTOTAL(3,$B$15:B239)</f>
        <v>1</v>
      </c>
      <c r="B239" s="356" t="s">
        <v>842</v>
      </c>
      <c r="C239" s="356" t="s">
        <v>843</v>
      </c>
      <c r="D239" s="356" t="s">
        <v>397</v>
      </c>
      <c r="E239" s="357">
        <v>21</v>
      </c>
      <c r="F239" s="357">
        <v>21</v>
      </c>
      <c r="G239" s="358">
        <v>15643427</v>
      </c>
      <c r="H239" s="359">
        <f t="shared" si="7"/>
        <v>14503660</v>
      </c>
      <c r="I239" s="360"/>
      <c r="J239" s="361"/>
      <c r="K239" s="362"/>
      <c r="L239" s="362"/>
      <c r="M239" s="361">
        <v>1139767</v>
      </c>
      <c r="N239" s="361">
        <v>2493241</v>
      </c>
      <c r="O239" s="361">
        <v>0</v>
      </c>
      <c r="P239" s="361">
        <v>0</v>
      </c>
      <c r="Q239" s="361">
        <v>0</v>
      </c>
      <c r="R239" s="361">
        <v>0</v>
      </c>
      <c r="S239" s="361">
        <v>284942</v>
      </c>
      <c r="T239" s="363">
        <v>1780000</v>
      </c>
      <c r="U239" s="364">
        <f t="shared" si="8"/>
        <v>20201610</v>
      </c>
      <c r="V239" s="362"/>
      <c r="W239" s="365" t="str">
        <f>+VLOOKUP($B239,[2]Time_S4!$B:$G,6,0)</f>
        <v>Phòng Hành chính</v>
      </c>
      <c r="X239" s="365" t="str">
        <f>IF(W239="Phòng Kinh doanh","Trung tâm Kinh doanh - TCT CNC",+VLOOKUP($B239,[2]Time_S4!$B:$G,5,0))</f>
        <v>Khối cơ quan - TCT CNC</v>
      </c>
      <c r="Y239" s="366"/>
      <c r="Z239" s="366"/>
    </row>
    <row r="240" spans="1:26" ht="15.75" hidden="1">
      <c r="A240" s="367">
        <f>SUBTOTAL(3,$B$15:B240)</f>
        <v>1</v>
      </c>
      <c r="B240" s="356" t="s">
        <v>844</v>
      </c>
      <c r="C240" s="356" t="s">
        <v>845</v>
      </c>
      <c r="D240" s="356" t="s">
        <v>397</v>
      </c>
      <c r="E240" s="357">
        <v>21</v>
      </c>
      <c r="F240" s="357">
        <v>21</v>
      </c>
      <c r="G240" s="358">
        <v>18036267</v>
      </c>
      <c r="H240" s="359">
        <f t="shared" si="7"/>
        <v>16689550</v>
      </c>
      <c r="I240" s="360"/>
      <c r="J240" s="361"/>
      <c r="K240" s="362"/>
      <c r="L240" s="362"/>
      <c r="M240" s="361">
        <v>1346717</v>
      </c>
      <c r="N240" s="361">
        <v>2945943</v>
      </c>
      <c r="O240" s="361">
        <v>0</v>
      </c>
      <c r="P240" s="361">
        <v>0</v>
      </c>
      <c r="Q240" s="361">
        <v>0</v>
      </c>
      <c r="R240" s="361">
        <v>0</v>
      </c>
      <c r="S240" s="361">
        <v>336679</v>
      </c>
      <c r="T240" s="363">
        <v>1780000</v>
      </c>
      <c r="U240" s="364">
        <f t="shared" si="8"/>
        <v>23098889</v>
      </c>
      <c r="V240" s="362"/>
      <c r="W240" s="365" t="str">
        <f>+VLOOKUP($B240,[2]Time_S4!$B:$G,6,0)</f>
        <v>Phòng Hành chính</v>
      </c>
      <c r="X240" s="365" t="str">
        <f>IF(W240="Phòng Kinh doanh","Trung tâm Kinh doanh - TCT CNC",+VLOOKUP($B240,[2]Time_S4!$B:$G,5,0))</f>
        <v>Khối cơ quan - TCT CNC</v>
      </c>
      <c r="Y240" s="366"/>
      <c r="Z240" s="366"/>
    </row>
    <row r="241" spans="1:26" ht="15.75" hidden="1">
      <c r="A241" s="367">
        <f>SUBTOTAL(3,$B$15:B241)</f>
        <v>1</v>
      </c>
      <c r="B241" s="356" t="s">
        <v>846</v>
      </c>
      <c r="C241" s="356" t="s">
        <v>847</v>
      </c>
      <c r="D241" s="356" t="s">
        <v>407</v>
      </c>
      <c r="E241" s="357">
        <v>21</v>
      </c>
      <c r="F241" s="357">
        <v>21</v>
      </c>
      <c r="G241" s="358">
        <v>23034309</v>
      </c>
      <c r="H241" s="359">
        <f t="shared" si="7"/>
        <v>22070829</v>
      </c>
      <c r="I241" s="360"/>
      <c r="J241" s="361"/>
      <c r="K241" s="362"/>
      <c r="L241" s="362"/>
      <c r="M241" s="361">
        <v>734080</v>
      </c>
      <c r="N241" s="361">
        <v>1605800</v>
      </c>
      <c r="O241" s="361">
        <v>137640</v>
      </c>
      <c r="P241" s="361">
        <v>275280</v>
      </c>
      <c r="Q241" s="361">
        <v>91760</v>
      </c>
      <c r="R241" s="361">
        <v>91760</v>
      </c>
      <c r="S241" s="361">
        <v>183520</v>
      </c>
      <c r="T241" s="363">
        <v>930000</v>
      </c>
      <c r="U241" s="364">
        <f t="shared" si="8"/>
        <v>26120669</v>
      </c>
      <c r="V241" s="362"/>
      <c r="W241" s="365" t="str">
        <f>+VLOOKUP($B241,[2]Time_S4!$B:$G,6,0)</f>
        <v>Phòng Tài chính</v>
      </c>
      <c r="X241" s="365" t="str">
        <f>IF(W241="Phòng Kinh doanh","Trung tâm Kinh doanh - TCT CNC",+VLOOKUP($B241,[2]Time_S4!$B:$G,5,0))</f>
        <v>Khối cơ quan - TCT CNC</v>
      </c>
      <c r="Y241" s="366"/>
      <c r="Z241" s="366"/>
    </row>
    <row r="242" spans="1:26" ht="15.75" hidden="1">
      <c r="A242" s="367">
        <f>SUBTOTAL(3,$B$15:B242)</f>
        <v>1</v>
      </c>
      <c r="B242" s="356" t="s">
        <v>848</v>
      </c>
      <c r="C242" s="356" t="s">
        <v>849</v>
      </c>
      <c r="D242" s="356" t="s">
        <v>397</v>
      </c>
      <c r="E242" s="357">
        <v>21</v>
      </c>
      <c r="F242" s="357">
        <v>21</v>
      </c>
      <c r="G242" s="358">
        <v>71622589</v>
      </c>
      <c r="H242" s="359">
        <f t="shared" si="7"/>
        <v>70461949</v>
      </c>
      <c r="I242" s="360"/>
      <c r="J242" s="361"/>
      <c r="K242" s="362"/>
      <c r="L242" s="362"/>
      <c r="M242" s="361">
        <v>1160640</v>
      </c>
      <c r="N242" s="361">
        <v>2538900</v>
      </c>
      <c r="O242" s="361">
        <v>0</v>
      </c>
      <c r="P242" s="361">
        <v>0</v>
      </c>
      <c r="Q242" s="361">
        <v>0</v>
      </c>
      <c r="R242" s="361">
        <v>0</v>
      </c>
      <c r="S242" s="361">
        <v>290160</v>
      </c>
      <c r="T242" s="363">
        <v>1230000</v>
      </c>
      <c r="U242" s="364">
        <f t="shared" si="8"/>
        <v>75681649</v>
      </c>
      <c r="V242" s="362"/>
      <c r="W242" s="365" t="str">
        <f>+VLOOKUP($B242,[2]Time_S4!$B:$G,6,0)</f>
        <v>Trung tâm Tác chiến điện tử</v>
      </c>
      <c r="X242" s="365" t="str">
        <f>IF(W242="Phòng Kinh doanh","Trung tâm Kinh doanh - TCT CNC",+VLOOKUP($B242,[2]Time_S4!$B:$G,5,0))</f>
        <v>Khối 1 - TCT CNC</v>
      </c>
      <c r="Y242" s="366"/>
      <c r="Z242" s="366"/>
    </row>
    <row r="243" spans="1:26" ht="15.75" hidden="1">
      <c r="A243" s="367">
        <f>SUBTOTAL(3,$B$15:B243)</f>
        <v>1</v>
      </c>
      <c r="B243" s="356" t="s">
        <v>850</v>
      </c>
      <c r="C243" s="356" t="s">
        <v>851</v>
      </c>
      <c r="D243" s="356" t="s">
        <v>400</v>
      </c>
      <c r="E243" s="357">
        <v>21</v>
      </c>
      <c r="F243" s="357">
        <v>21</v>
      </c>
      <c r="G243" s="358">
        <v>65084011</v>
      </c>
      <c r="H243" s="359">
        <f t="shared" si="7"/>
        <v>64085884</v>
      </c>
      <c r="I243" s="360"/>
      <c r="J243" s="361"/>
      <c r="K243" s="362"/>
      <c r="L243" s="362"/>
      <c r="M243" s="361">
        <v>840528</v>
      </c>
      <c r="N243" s="361">
        <v>1838655</v>
      </c>
      <c r="O243" s="361">
        <v>157599</v>
      </c>
      <c r="P243" s="361">
        <v>315198</v>
      </c>
      <c r="Q243" s="361">
        <v>0</v>
      </c>
      <c r="R243" s="361">
        <v>0</v>
      </c>
      <c r="S243" s="361">
        <v>210132</v>
      </c>
      <c r="T243" s="363">
        <v>1130000</v>
      </c>
      <c r="U243" s="364">
        <f t="shared" si="8"/>
        <v>68577996</v>
      </c>
      <c r="V243" s="362"/>
      <c r="W243" s="365" t="str">
        <f>+VLOOKUP($B243,[2]Time_S4!$B:$G,6,0)</f>
        <v>Trung tâm Kỹ thuật công nghệ - TCT CNC</v>
      </c>
      <c r="X243" s="365" t="str">
        <f>IF(W243="Phòng Kinh doanh","Trung tâm Kinh doanh - TCT CNC",+VLOOKUP($B243,[2]Time_S4!$B:$G,5,0))</f>
        <v>Khối 2 - TCT CNC</v>
      </c>
      <c r="Y243" s="366"/>
      <c r="Z243" s="366"/>
    </row>
    <row r="244" spans="1:26" ht="15.75" hidden="1">
      <c r="A244" s="367">
        <f>SUBTOTAL(3,$B$15:B244)</f>
        <v>1</v>
      </c>
      <c r="B244" s="356" t="s">
        <v>852</v>
      </c>
      <c r="C244" s="356" t="s">
        <v>853</v>
      </c>
      <c r="D244" s="356" t="s">
        <v>407</v>
      </c>
      <c r="E244" s="357">
        <v>21</v>
      </c>
      <c r="F244" s="357">
        <v>21</v>
      </c>
      <c r="G244" s="358">
        <v>20523762</v>
      </c>
      <c r="H244" s="359">
        <f t="shared" si="7"/>
        <v>19607154</v>
      </c>
      <c r="I244" s="360"/>
      <c r="J244" s="361"/>
      <c r="K244" s="362"/>
      <c r="L244" s="362"/>
      <c r="M244" s="361">
        <v>698368</v>
      </c>
      <c r="N244" s="361">
        <v>1527680</v>
      </c>
      <c r="O244" s="361">
        <v>130944</v>
      </c>
      <c r="P244" s="361">
        <v>261888</v>
      </c>
      <c r="Q244" s="361">
        <v>87296</v>
      </c>
      <c r="R244" s="361">
        <v>87296</v>
      </c>
      <c r="S244" s="361">
        <v>174592</v>
      </c>
      <c r="T244" s="363">
        <v>930000</v>
      </c>
      <c r="U244" s="364">
        <f t="shared" si="8"/>
        <v>23505218</v>
      </c>
      <c r="V244" s="362"/>
      <c r="W244" s="365" t="str">
        <f>+VLOOKUP($B244,[2]Time_S4!$B:$G,6,0)</f>
        <v>Phòng KCS</v>
      </c>
      <c r="X244" s="365" t="str">
        <f>IF(W244="Phòng Kinh doanh","Trung tâm Kinh doanh - TCT CNC",+VLOOKUP($B244,[2]Time_S4!$B:$G,5,0))</f>
        <v>Trung tâm Mua sắm - TCT CNC</v>
      </c>
      <c r="Y244" s="366"/>
      <c r="Z244" s="366"/>
    </row>
    <row r="245" spans="1:26" ht="15.75" hidden="1">
      <c r="A245" s="367">
        <f>SUBTOTAL(3,$B$15:B245)</f>
        <v>1</v>
      </c>
      <c r="B245" s="356" t="s">
        <v>854</v>
      </c>
      <c r="C245" s="356" t="s">
        <v>855</v>
      </c>
      <c r="D245" s="356" t="s">
        <v>407</v>
      </c>
      <c r="E245" s="357">
        <v>21</v>
      </c>
      <c r="F245" s="357">
        <v>21</v>
      </c>
      <c r="G245" s="358">
        <v>64259815</v>
      </c>
      <c r="H245" s="359">
        <f t="shared" si="7"/>
        <v>62884903</v>
      </c>
      <c r="I245" s="360"/>
      <c r="J245" s="361"/>
      <c r="K245" s="362"/>
      <c r="L245" s="362"/>
      <c r="M245" s="361">
        <v>1047552</v>
      </c>
      <c r="N245" s="361">
        <v>2291520</v>
      </c>
      <c r="O245" s="361">
        <v>196416</v>
      </c>
      <c r="P245" s="361">
        <v>392832</v>
      </c>
      <c r="Q245" s="361">
        <v>130944</v>
      </c>
      <c r="R245" s="361">
        <v>130944</v>
      </c>
      <c r="S245" s="361">
        <v>261888</v>
      </c>
      <c r="T245" s="363">
        <v>1230000</v>
      </c>
      <c r="U245" s="364">
        <f t="shared" si="8"/>
        <v>68566999</v>
      </c>
      <c r="V245" s="362"/>
      <c r="W245" s="365" t="str">
        <f>+VLOOKUP($B245,[2]Time_S4!$B:$G,6,0)</f>
        <v>Trung tâm Chỉ huy điều khiển</v>
      </c>
      <c r="X245" s="365" t="str">
        <f>IF(W245="Phòng Kinh doanh","Trung tâm Kinh doanh - TCT CNC",+VLOOKUP($B245,[2]Time_S4!$B:$G,5,0))</f>
        <v>Khối 1 - TCT CNC</v>
      </c>
      <c r="Y245" s="366"/>
      <c r="Z245" s="366"/>
    </row>
    <row r="246" spans="1:26" ht="15.75" hidden="1">
      <c r="A246" s="367">
        <f>SUBTOTAL(3,$B$15:B246)</f>
        <v>1</v>
      </c>
      <c r="B246" s="356" t="s">
        <v>856</v>
      </c>
      <c r="C246" s="356" t="s">
        <v>857</v>
      </c>
      <c r="D246" s="356" t="s">
        <v>407</v>
      </c>
      <c r="E246" s="357">
        <v>21</v>
      </c>
      <c r="F246" s="357">
        <v>21</v>
      </c>
      <c r="G246" s="358">
        <v>37162286</v>
      </c>
      <c r="H246" s="359">
        <f t="shared" si="7"/>
        <v>36037358</v>
      </c>
      <c r="I246" s="360"/>
      <c r="J246" s="361"/>
      <c r="K246" s="362"/>
      <c r="L246" s="362"/>
      <c r="M246" s="361">
        <v>857088</v>
      </c>
      <c r="N246" s="361">
        <v>1874880</v>
      </c>
      <c r="O246" s="361">
        <v>160704</v>
      </c>
      <c r="P246" s="361">
        <v>321408</v>
      </c>
      <c r="Q246" s="361">
        <v>107136</v>
      </c>
      <c r="R246" s="361">
        <v>107136</v>
      </c>
      <c r="S246" s="361">
        <v>214272</v>
      </c>
      <c r="T246" s="363">
        <v>1147000</v>
      </c>
      <c r="U246" s="364">
        <f t="shared" si="8"/>
        <v>40826982</v>
      </c>
      <c r="V246" s="362"/>
      <c r="W246" s="365" t="str">
        <f>+VLOOKUP($B246,[2]Time_S4!$B:$G,6,0)</f>
        <v>Phòng Kiểu dáng và đồ họa</v>
      </c>
      <c r="X246" s="365" t="str">
        <f>IF(W246="Phòng Kinh doanh","Trung tâm Kinh doanh - TCT CNC",+VLOOKUP($B246,[2]Time_S4!$B:$G,5,0))</f>
        <v>Khối 1 - TCT CNC</v>
      </c>
      <c r="Y246" s="366"/>
      <c r="Z246" s="366"/>
    </row>
    <row r="247" spans="1:26" ht="15.75" hidden="1">
      <c r="A247" s="367">
        <f>SUBTOTAL(3,$B$15:B247)</f>
        <v>1</v>
      </c>
      <c r="B247" s="356" t="s">
        <v>858</v>
      </c>
      <c r="C247" s="356" t="s">
        <v>859</v>
      </c>
      <c r="D247" s="356" t="s">
        <v>407</v>
      </c>
      <c r="E247" s="357">
        <v>21</v>
      </c>
      <c r="F247" s="357">
        <v>21</v>
      </c>
      <c r="G247" s="358">
        <v>35963717</v>
      </c>
      <c r="H247" s="359">
        <f t="shared" si="7"/>
        <v>34838789</v>
      </c>
      <c r="I247" s="360"/>
      <c r="J247" s="361"/>
      <c r="K247" s="362"/>
      <c r="L247" s="362"/>
      <c r="M247" s="361">
        <v>857088</v>
      </c>
      <c r="N247" s="361">
        <v>1874880</v>
      </c>
      <c r="O247" s="361">
        <v>160704</v>
      </c>
      <c r="P247" s="361">
        <v>321408</v>
      </c>
      <c r="Q247" s="361">
        <v>107136</v>
      </c>
      <c r="R247" s="361">
        <v>107136</v>
      </c>
      <c r="S247" s="361">
        <v>214272</v>
      </c>
      <c r="T247" s="363">
        <v>1030000</v>
      </c>
      <c r="U247" s="364">
        <f t="shared" si="8"/>
        <v>39511413</v>
      </c>
      <c r="V247" s="362"/>
      <c r="W247" s="365" t="str">
        <f>+VLOOKUP($B247,[2]Time_S4!$B:$G,6,0)</f>
        <v>Phòng Kiểu dáng và đồ họa</v>
      </c>
      <c r="X247" s="365" t="str">
        <f>IF(W247="Phòng Kinh doanh","Trung tâm Kinh doanh - TCT CNC",+VLOOKUP($B247,[2]Time_S4!$B:$G,5,0))</f>
        <v>Khối 1 - TCT CNC</v>
      </c>
      <c r="Y247" s="366"/>
      <c r="Z247" s="366"/>
    </row>
    <row r="248" spans="1:26" s="379" customFormat="1" ht="15.75">
      <c r="A248" s="368">
        <f>SUBTOTAL(3,$B$15:B248)</f>
        <v>2</v>
      </c>
      <c r="B248" s="369" t="s">
        <v>860</v>
      </c>
      <c r="C248" s="369" t="s">
        <v>861</v>
      </c>
      <c r="D248" s="369" t="s">
        <v>410</v>
      </c>
      <c r="E248" s="370">
        <v>21</v>
      </c>
      <c r="F248" s="370">
        <v>21</v>
      </c>
      <c r="G248" s="371">
        <v>113316438</v>
      </c>
      <c r="H248" s="372">
        <f t="shared" si="7"/>
        <v>111813222</v>
      </c>
      <c r="I248" s="373"/>
      <c r="J248" s="374"/>
      <c r="K248" s="375"/>
      <c r="L248" s="375"/>
      <c r="M248" s="374">
        <v>1503216</v>
      </c>
      <c r="N248" s="374">
        <v>3288285</v>
      </c>
      <c r="O248" s="374">
        <v>0</v>
      </c>
      <c r="P248" s="374">
        <v>0</v>
      </c>
      <c r="Q248" s="374">
        <v>0</v>
      </c>
      <c r="R248" s="374">
        <v>0</v>
      </c>
      <c r="S248" s="374">
        <v>375804</v>
      </c>
      <c r="T248" s="376">
        <v>1730000</v>
      </c>
      <c r="U248" s="374">
        <f t="shared" si="8"/>
        <v>118710527</v>
      </c>
      <c r="V248" s="375"/>
      <c r="W248" s="377" t="str">
        <f>+VLOOKUP($B248,[2]Time_S4!$B:$G,6,0)</f>
        <v>Trung tâm Chỉ huy điều khiển</v>
      </c>
      <c r="X248" s="377" t="str">
        <f>IF(W248="Phòng Kinh doanh","Trung tâm Kinh doanh - TCT CNC",+VLOOKUP($B248,[2]Time_S4!$B:$G,5,0))</f>
        <v>Khối 1 - TCT CNC</v>
      </c>
      <c r="Y248" s="378"/>
      <c r="Z248" s="378"/>
    </row>
    <row r="249" spans="1:26" ht="15.75" hidden="1">
      <c r="A249" s="367">
        <f>SUBTOTAL(3,$B$15:B249)</f>
        <v>2</v>
      </c>
      <c r="B249" s="356" t="s">
        <v>862</v>
      </c>
      <c r="C249" s="356" t="s">
        <v>863</v>
      </c>
      <c r="D249" s="356" t="s">
        <v>400</v>
      </c>
      <c r="E249" s="357">
        <v>21</v>
      </c>
      <c r="F249" s="357">
        <v>21</v>
      </c>
      <c r="G249" s="358">
        <v>64259815</v>
      </c>
      <c r="H249" s="359">
        <f t="shared" si="7"/>
        <v>63446197</v>
      </c>
      <c r="I249" s="360"/>
      <c r="J249" s="361"/>
      <c r="K249" s="362"/>
      <c r="L249" s="362"/>
      <c r="M249" s="361">
        <v>685152</v>
      </c>
      <c r="N249" s="361">
        <v>1498770</v>
      </c>
      <c r="O249" s="361">
        <v>128466</v>
      </c>
      <c r="P249" s="361">
        <v>256932</v>
      </c>
      <c r="Q249" s="361">
        <v>0</v>
      </c>
      <c r="R249" s="361">
        <v>0</v>
      </c>
      <c r="S249" s="361">
        <v>171288</v>
      </c>
      <c r="T249" s="363">
        <v>1230000</v>
      </c>
      <c r="U249" s="364">
        <f t="shared" si="8"/>
        <v>67416805</v>
      </c>
      <c r="V249" s="362"/>
      <c r="W249" s="365" t="str">
        <f>+VLOOKUP($B249,[2]Time_S4!$B:$G,6,0)</f>
        <v>Trung tâm Chỉ huy điều khiển</v>
      </c>
      <c r="X249" s="365" t="str">
        <f>IF(W249="Phòng Kinh doanh","Trung tâm Kinh doanh - TCT CNC",+VLOOKUP($B249,[2]Time_S4!$B:$G,5,0))</f>
        <v>Khối 1 - TCT CNC</v>
      </c>
      <c r="Y249" s="366"/>
      <c r="Z249" s="366"/>
    </row>
    <row r="250" spans="1:26" ht="15.75" hidden="1">
      <c r="A250" s="367">
        <f>SUBTOTAL(3,$B$15:B250)</f>
        <v>2</v>
      </c>
      <c r="B250" s="356" t="s">
        <v>864</v>
      </c>
      <c r="C250" s="356" t="s">
        <v>865</v>
      </c>
      <c r="D250" s="356" t="s">
        <v>407</v>
      </c>
      <c r="E250" s="357">
        <v>21</v>
      </c>
      <c r="F250" s="357">
        <v>21</v>
      </c>
      <c r="G250" s="358">
        <v>48135019</v>
      </c>
      <c r="H250" s="359">
        <f t="shared" si="7"/>
        <v>46890307</v>
      </c>
      <c r="I250" s="360"/>
      <c r="J250" s="361"/>
      <c r="K250" s="362"/>
      <c r="L250" s="362"/>
      <c r="M250" s="361">
        <v>948352</v>
      </c>
      <c r="N250" s="361">
        <v>2074520</v>
      </c>
      <c r="O250" s="361">
        <v>177816</v>
      </c>
      <c r="P250" s="361">
        <v>355632</v>
      </c>
      <c r="Q250" s="361">
        <v>118544</v>
      </c>
      <c r="R250" s="361">
        <v>118544</v>
      </c>
      <c r="S250" s="361">
        <v>237088</v>
      </c>
      <c r="T250" s="363">
        <v>1830000</v>
      </c>
      <c r="U250" s="364">
        <f t="shared" si="8"/>
        <v>52750803</v>
      </c>
      <c r="V250" s="362"/>
      <c r="W250" s="365" t="str">
        <f>+VLOOKUP($B250,[2]Time_S4!$B:$G,6,0)</f>
        <v>Trung tâm dịch vụ sau bán hàng</v>
      </c>
      <c r="X250" s="365" t="str">
        <f>IF(W250="Phòng Kinh doanh","Trung tâm Kinh doanh - TCT CNC",+VLOOKUP($B250,[2]Time_S4!$B:$G,5,0))</f>
        <v>Khối 2 - TCT CNC</v>
      </c>
      <c r="Y250" s="366"/>
      <c r="Z250" s="366"/>
    </row>
    <row r="251" spans="1:26" ht="15.75" hidden="1">
      <c r="A251" s="367">
        <f>SUBTOTAL(3,$B$15:B251)</f>
        <v>2</v>
      </c>
      <c r="B251" s="356" t="s">
        <v>866</v>
      </c>
      <c r="C251" s="356" t="s">
        <v>867</v>
      </c>
      <c r="D251" s="356" t="s">
        <v>407</v>
      </c>
      <c r="E251" s="357">
        <v>21</v>
      </c>
      <c r="F251" s="357">
        <v>21</v>
      </c>
      <c r="G251" s="358">
        <v>27670370</v>
      </c>
      <c r="H251" s="359">
        <f t="shared" si="7"/>
        <v>26654810</v>
      </c>
      <c r="I251" s="360"/>
      <c r="J251" s="361"/>
      <c r="K251" s="362"/>
      <c r="L251" s="362"/>
      <c r="M251" s="361">
        <v>773760</v>
      </c>
      <c r="N251" s="361">
        <v>1692600</v>
      </c>
      <c r="O251" s="361">
        <v>145080</v>
      </c>
      <c r="P251" s="361">
        <v>290160</v>
      </c>
      <c r="Q251" s="361">
        <v>96720</v>
      </c>
      <c r="R251" s="361">
        <v>96720</v>
      </c>
      <c r="S251" s="361">
        <v>193440</v>
      </c>
      <c r="T251" s="363">
        <v>930000</v>
      </c>
      <c r="U251" s="364">
        <f t="shared" si="8"/>
        <v>30873290</v>
      </c>
      <c r="V251" s="362"/>
      <c r="W251" s="365" t="str">
        <f>+VLOOKUP($B251,[2]Time_S4!$B:$G,6,0)</f>
        <v>Trung tâm Chỉ huy điều khiển</v>
      </c>
      <c r="X251" s="365" t="str">
        <f>IF(W251="Phòng Kinh doanh","Trung tâm Kinh doanh - TCT CNC",+VLOOKUP($B251,[2]Time_S4!$B:$G,5,0))</f>
        <v>Khối 1 - TCT CNC</v>
      </c>
      <c r="Y251" s="366"/>
      <c r="Z251" s="366"/>
    </row>
    <row r="252" spans="1:26" ht="15.75" hidden="1">
      <c r="A252" s="367">
        <f>SUBTOTAL(3,$B$15:B252)</f>
        <v>2</v>
      </c>
      <c r="B252" s="356" t="s">
        <v>868</v>
      </c>
      <c r="C252" s="356" t="s">
        <v>869</v>
      </c>
      <c r="D252" s="356" t="s">
        <v>400</v>
      </c>
      <c r="E252" s="357">
        <v>21</v>
      </c>
      <c r="F252" s="357">
        <v>21</v>
      </c>
      <c r="G252" s="358">
        <v>52304747</v>
      </c>
      <c r="H252" s="359">
        <f t="shared" si="7"/>
        <v>51491129</v>
      </c>
      <c r="I252" s="360"/>
      <c r="J252" s="361"/>
      <c r="K252" s="362"/>
      <c r="L252" s="362"/>
      <c r="M252" s="361">
        <v>685152</v>
      </c>
      <c r="N252" s="361">
        <v>1498770</v>
      </c>
      <c r="O252" s="361">
        <v>128466</v>
      </c>
      <c r="P252" s="361">
        <v>256932</v>
      </c>
      <c r="Q252" s="361">
        <v>0</v>
      </c>
      <c r="R252" s="361">
        <v>0</v>
      </c>
      <c r="S252" s="361">
        <v>171288</v>
      </c>
      <c r="T252" s="363">
        <v>1030000</v>
      </c>
      <c r="U252" s="364">
        <f t="shared" si="8"/>
        <v>55261737</v>
      </c>
      <c r="V252" s="362"/>
      <c r="W252" s="365" t="str">
        <f>+VLOOKUP($B252,[2]Time_S4!$B:$G,6,0)</f>
        <v>Trung tâm Khí cụ bay</v>
      </c>
      <c r="X252" s="365" t="str">
        <f>IF(W252="Phòng Kinh doanh","Trung tâm Kinh doanh - TCT CNC",+VLOOKUP($B252,[2]Time_S4!$B:$G,5,0))</f>
        <v>Khối 1 - TCT CNC</v>
      </c>
      <c r="Y252" s="366"/>
      <c r="Z252" s="366"/>
    </row>
    <row r="253" spans="1:26" ht="15.75" hidden="1">
      <c r="A253" s="367">
        <f>SUBTOTAL(3,$B$15:B253)</f>
        <v>2</v>
      </c>
      <c r="B253" s="356" t="s">
        <v>870</v>
      </c>
      <c r="C253" s="356" t="s">
        <v>871</v>
      </c>
      <c r="D253" s="356" t="s">
        <v>407</v>
      </c>
      <c r="E253" s="357">
        <v>21</v>
      </c>
      <c r="F253" s="357">
        <v>21</v>
      </c>
      <c r="G253" s="358">
        <v>48550155</v>
      </c>
      <c r="H253" s="359">
        <f t="shared" si="7"/>
        <v>47305443</v>
      </c>
      <c r="I253" s="360"/>
      <c r="J253" s="361"/>
      <c r="K253" s="362"/>
      <c r="L253" s="362"/>
      <c r="M253" s="361">
        <v>948352</v>
      </c>
      <c r="N253" s="361">
        <v>2074520</v>
      </c>
      <c r="O253" s="361">
        <v>177816</v>
      </c>
      <c r="P253" s="361">
        <v>355632</v>
      </c>
      <c r="Q253" s="361">
        <v>118544</v>
      </c>
      <c r="R253" s="361">
        <v>118544</v>
      </c>
      <c r="S253" s="361">
        <v>237088</v>
      </c>
      <c r="T253" s="363">
        <v>1247000</v>
      </c>
      <c r="U253" s="364">
        <f t="shared" si="8"/>
        <v>52582939</v>
      </c>
      <c r="V253" s="362"/>
      <c r="W253" s="365" t="str">
        <f>+VLOOKUP($B253,[2]Time_S4!$B:$G,6,0)</f>
        <v>Trung tâm Phát triển nền tảng thanh toán</v>
      </c>
      <c r="X253" s="365" t="str">
        <f>IF(W253="Phòng Kinh doanh","Trung tâm Kinh doanh - TCT CNC",+VLOOKUP($B253,[2]Time_S4!$B:$G,5,0))</f>
        <v>Khối 2 - TCT CNC</v>
      </c>
      <c r="Y253" s="366"/>
      <c r="Z253" s="366"/>
    </row>
    <row r="254" spans="1:26" ht="15.75" hidden="1">
      <c r="A254" s="367">
        <f>SUBTOTAL(3,$B$15:B254)</f>
        <v>2</v>
      </c>
      <c r="B254" s="356" t="s">
        <v>872</v>
      </c>
      <c r="C254" s="356" t="s">
        <v>873</v>
      </c>
      <c r="D254" s="356" t="s">
        <v>397</v>
      </c>
      <c r="E254" s="357">
        <v>21</v>
      </c>
      <c r="F254" s="357">
        <v>21</v>
      </c>
      <c r="G254" s="358">
        <v>18163797</v>
      </c>
      <c r="H254" s="359">
        <f t="shared" si="7"/>
        <v>16806878</v>
      </c>
      <c r="I254" s="360"/>
      <c r="J254" s="361"/>
      <c r="K254" s="362"/>
      <c r="L254" s="362"/>
      <c r="M254" s="361">
        <v>1356919</v>
      </c>
      <c r="N254" s="361">
        <v>2968261</v>
      </c>
      <c r="O254" s="361">
        <v>0</v>
      </c>
      <c r="P254" s="361">
        <v>0</v>
      </c>
      <c r="Q254" s="361">
        <v>0</v>
      </c>
      <c r="R254" s="361">
        <v>0</v>
      </c>
      <c r="S254" s="361">
        <v>339230</v>
      </c>
      <c r="T254" s="363">
        <v>930000</v>
      </c>
      <c r="U254" s="364">
        <f t="shared" si="8"/>
        <v>22401288</v>
      </c>
      <c r="V254" s="362"/>
      <c r="W254" s="365" t="str">
        <f>+VLOOKUP($B254,[2]Time_S4!$B:$G,6,0)</f>
        <v>Phòng Hành chính</v>
      </c>
      <c r="X254" s="365" t="str">
        <f>IF(W254="Phòng Kinh doanh","Trung tâm Kinh doanh - TCT CNC",+VLOOKUP($B254,[2]Time_S4!$B:$G,5,0))</f>
        <v>Khối cơ quan - TCT CNC</v>
      </c>
      <c r="Y254" s="366"/>
      <c r="Z254" s="366"/>
    </row>
    <row r="255" spans="1:26" ht="15.75" hidden="1">
      <c r="A255" s="367">
        <f>SUBTOTAL(3,$B$15:B255)</f>
        <v>2</v>
      </c>
      <c r="B255" s="356" t="s">
        <v>874</v>
      </c>
      <c r="C255" s="356" t="s">
        <v>875</v>
      </c>
      <c r="D255" s="356" t="s">
        <v>407</v>
      </c>
      <c r="E255" s="357">
        <v>21</v>
      </c>
      <c r="F255" s="357">
        <v>21</v>
      </c>
      <c r="G255" s="358">
        <v>20790517</v>
      </c>
      <c r="H255" s="359">
        <f t="shared" si="7"/>
        <v>19873909</v>
      </c>
      <c r="I255" s="360"/>
      <c r="J255" s="361"/>
      <c r="K255" s="362"/>
      <c r="L255" s="362"/>
      <c r="M255" s="361">
        <v>698368</v>
      </c>
      <c r="N255" s="361">
        <v>1527680</v>
      </c>
      <c r="O255" s="361">
        <v>130944</v>
      </c>
      <c r="P255" s="361">
        <v>261888</v>
      </c>
      <c r="Q255" s="361">
        <v>87296</v>
      </c>
      <c r="R255" s="361">
        <v>87296</v>
      </c>
      <c r="S255" s="361">
        <v>174592</v>
      </c>
      <c r="T255" s="363">
        <v>1047000</v>
      </c>
      <c r="U255" s="364">
        <f t="shared" si="8"/>
        <v>23888973</v>
      </c>
      <c r="V255" s="362"/>
      <c r="W255" s="365" t="str">
        <f>+VLOOKUP($B255,[2]Time_S4!$B:$G,6,0)</f>
        <v>Phòng Tổng hợp</v>
      </c>
      <c r="X255" s="365" t="str">
        <f>IF(W255="Phòng Kinh doanh","Trung tâm Kinh doanh - TCT CNC",+VLOOKUP($B255,[2]Time_S4!$B:$G,5,0))</f>
        <v>Khối 1 - TCT CNC</v>
      </c>
      <c r="Y255" s="366"/>
      <c r="Z255" s="366"/>
    </row>
    <row r="256" spans="1:26" ht="15.75" hidden="1">
      <c r="A256" s="367">
        <f>SUBTOTAL(3,$B$15:B256)</f>
        <v>2</v>
      </c>
      <c r="B256" s="356" t="s">
        <v>876</v>
      </c>
      <c r="C256" s="356" t="s">
        <v>877</v>
      </c>
      <c r="D256" s="356" t="s">
        <v>407</v>
      </c>
      <c r="E256" s="357">
        <v>21</v>
      </c>
      <c r="F256" s="357">
        <v>21</v>
      </c>
      <c r="G256" s="358">
        <v>10188042</v>
      </c>
      <c r="H256" s="359">
        <f t="shared" si="7"/>
        <v>9474546</v>
      </c>
      <c r="I256" s="360"/>
      <c r="J256" s="361"/>
      <c r="K256" s="362"/>
      <c r="L256" s="362"/>
      <c r="M256" s="361">
        <v>543616</v>
      </c>
      <c r="N256" s="361">
        <v>1189160</v>
      </c>
      <c r="O256" s="361">
        <v>101928</v>
      </c>
      <c r="P256" s="361">
        <v>203856</v>
      </c>
      <c r="Q256" s="361">
        <v>67952</v>
      </c>
      <c r="R256" s="361">
        <v>67952</v>
      </c>
      <c r="S256" s="361">
        <v>135904</v>
      </c>
      <c r="T256" s="363">
        <v>1805000</v>
      </c>
      <c r="U256" s="364">
        <f t="shared" si="8"/>
        <v>13589914</v>
      </c>
      <c r="V256" s="362"/>
      <c r="W256" s="365" t="str">
        <f>+VLOOKUP($B256,[2]Time_S4!$B:$G,6,0)</f>
        <v>Phòng Hành chính</v>
      </c>
      <c r="X256" s="365" t="str">
        <f>IF(W256="Phòng Kinh doanh","Trung tâm Kinh doanh - TCT CNC",+VLOOKUP($B256,[2]Time_S4!$B:$G,5,0))</f>
        <v>Khối cơ quan - TCT CNC</v>
      </c>
      <c r="Y256" s="366"/>
      <c r="Z256" s="366"/>
    </row>
    <row r="257" spans="1:26" ht="15.75" hidden="1">
      <c r="A257" s="367">
        <f>SUBTOTAL(3,$B$15:B257)</f>
        <v>2</v>
      </c>
      <c r="B257" s="356" t="s">
        <v>878</v>
      </c>
      <c r="C257" s="356" t="s">
        <v>879</v>
      </c>
      <c r="D257" s="356" t="s">
        <v>407</v>
      </c>
      <c r="E257" s="357">
        <v>21</v>
      </c>
      <c r="F257" s="357">
        <v>21</v>
      </c>
      <c r="G257" s="358">
        <v>9871716</v>
      </c>
      <c r="H257" s="359">
        <f t="shared" si="7"/>
        <v>9158220</v>
      </c>
      <c r="I257" s="360"/>
      <c r="J257" s="361"/>
      <c r="K257" s="362"/>
      <c r="L257" s="362"/>
      <c r="M257" s="361">
        <v>543616</v>
      </c>
      <c r="N257" s="361">
        <v>1189160</v>
      </c>
      <c r="O257" s="361">
        <v>101928</v>
      </c>
      <c r="P257" s="361">
        <v>203856</v>
      </c>
      <c r="Q257" s="361">
        <v>67952</v>
      </c>
      <c r="R257" s="361">
        <v>67952</v>
      </c>
      <c r="S257" s="361">
        <v>135904</v>
      </c>
      <c r="T257" s="363">
        <v>1805000</v>
      </c>
      <c r="U257" s="364">
        <f t="shared" si="8"/>
        <v>13273588</v>
      </c>
      <c r="V257" s="362"/>
      <c r="W257" s="365" t="str">
        <f>+VLOOKUP($B257,[2]Time_S4!$B:$G,6,0)</f>
        <v>Phòng Hành chính</v>
      </c>
      <c r="X257" s="365" t="str">
        <f>IF(W257="Phòng Kinh doanh","Trung tâm Kinh doanh - TCT CNC",+VLOOKUP($B257,[2]Time_S4!$B:$G,5,0))</f>
        <v>Khối cơ quan - TCT CNC</v>
      </c>
      <c r="Y257" s="366"/>
      <c r="Z257" s="366"/>
    </row>
    <row r="258" spans="1:26" ht="15.75" hidden="1">
      <c r="A258" s="367">
        <f>SUBTOTAL(3,$B$15:B258)</f>
        <v>2</v>
      </c>
      <c r="B258" s="356" t="s">
        <v>880</v>
      </c>
      <c r="C258" s="356" t="s">
        <v>881</v>
      </c>
      <c r="D258" s="356" t="s">
        <v>407</v>
      </c>
      <c r="E258" s="357">
        <v>21</v>
      </c>
      <c r="F258" s="357">
        <v>21</v>
      </c>
      <c r="G258" s="358">
        <v>10188042</v>
      </c>
      <c r="H258" s="359">
        <f t="shared" si="7"/>
        <v>9474546</v>
      </c>
      <c r="I258" s="360"/>
      <c r="J258" s="361"/>
      <c r="K258" s="362"/>
      <c r="L258" s="362"/>
      <c r="M258" s="361">
        <v>543616</v>
      </c>
      <c r="N258" s="361">
        <v>1189160</v>
      </c>
      <c r="O258" s="361">
        <v>101928</v>
      </c>
      <c r="P258" s="361">
        <v>203856</v>
      </c>
      <c r="Q258" s="361">
        <v>67952</v>
      </c>
      <c r="R258" s="361">
        <v>67952</v>
      </c>
      <c r="S258" s="361">
        <v>135904</v>
      </c>
      <c r="T258" s="363">
        <v>1805000</v>
      </c>
      <c r="U258" s="364">
        <f t="shared" si="8"/>
        <v>13589914</v>
      </c>
      <c r="V258" s="362"/>
      <c r="W258" s="365" t="str">
        <f>+VLOOKUP($B258,[2]Time_S4!$B:$G,6,0)</f>
        <v>Phòng Hành chính</v>
      </c>
      <c r="X258" s="365" t="str">
        <f>IF(W258="Phòng Kinh doanh","Trung tâm Kinh doanh - TCT CNC",+VLOOKUP($B258,[2]Time_S4!$B:$G,5,0))</f>
        <v>Khối cơ quan - TCT CNC</v>
      </c>
      <c r="Y258" s="366"/>
      <c r="Z258" s="366"/>
    </row>
    <row r="259" spans="1:26" ht="15.75" hidden="1">
      <c r="A259" s="367">
        <f>SUBTOTAL(3,$B$15:B259)</f>
        <v>2</v>
      </c>
      <c r="B259" s="356" t="s">
        <v>882</v>
      </c>
      <c r="C259" s="356" t="s">
        <v>883</v>
      </c>
      <c r="D259" s="356" t="s">
        <v>407</v>
      </c>
      <c r="E259" s="357">
        <v>21</v>
      </c>
      <c r="F259" s="357">
        <v>21</v>
      </c>
      <c r="G259" s="358">
        <v>10081384</v>
      </c>
      <c r="H259" s="359">
        <f t="shared" si="7"/>
        <v>9367888</v>
      </c>
      <c r="I259" s="360"/>
      <c r="J259" s="361"/>
      <c r="K259" s="362"/>
      <c r="L259" s="362"/>
      <c r="M259" s="361">
        <v>543616</v>
      </c>
      <c r="N259" s="361">
        <v>1189160</v>
      </c>
      <c r="O259" s="361">
        <v>101928</v>
      </c>
      <c r="P259" s="361">
        <v>203856</v>
      </c>
      <c r="Q259" s="361">
        <v>67952</v>
      </c>
      <c r="R259" s="361">
        <v>67952</v>
      </c>
      <c r="S259" s="361">
        <v>135904</v>
      </c>
      <c r="T259" s="363">
        <v>1780000</v>
      </c>
      <c r="U259" s="364">
        <f t="shared" si="8"/>
        <v>13458256</v>
      </c>
      <c r="V259" s="362"/>
      <c r="W259" s="365" t="str">
        <f>+VLOOKUP($B259,[2]Time_S4!$B:$G,6,0)</f>
        <v>Phòng Hành chính</v>
      </c>
      <c r="X259" s="365" t="str">
        <f>IF(W259="Phòng Kinh doanh","Trung tâm Kinh doanh - TCT CNC",+VLOOKUP($B259,[2]Time_S4!$B:$G,5,0))</f>
        <v>Khối cơ quan - TCT CNC</v>
      </c>
      <c r="Y259" s="366"/>
      <c r="Z259" s="366"/>
    </row>
    <row r="260" spans="1:26" ht="15.75" hidden="1">
      <c r="A260" s="367">
        <f>SUBTOTAL(3,$B$15:B260)</f>
        <v>2</v>
      </c>
      <c r="B260" s="356" t="s">
        <v>884</v>
      </c>
      <c r="C260" s="356" t="s">
        <v>885</v>
      </c>
      <c r="D260" s="356" t="s">
        <v>407</v>
      </c>
      <c r="E260" s="357">
        <v>21</v>
      </c>
      <c r="F260" s="357">
        <v>21</v>
      </c>
      <c r="G260" s="358">
        <v>64489319</v>
      </c>
      <c r="H260" s="359">
        <f t="shared" si="7"/>
        <v>63114407</v>
      </c>
      <c r="I260" s="360"/>
      <c r="J260" s="361"/>
      <c r="K260" s="362"/>
      <c r="L260" s="362"/>
      <c r="M260" s="361">
        <v>1047552</v>
      </c>
      <c r="N260" s="361">
        <v>2291520</v>
      </c>
      <c r="O260" s="361">
        <v>196416</v>
      </c>
      <c r="P260" s="361">
        <v>392832</v>
      </c>
      <c r="Q260" s="361">
        <v>130944</v>
      </c>
      <c r="R260" s="361">
        <v>130944</v>
      </c>
      <c r="S260" s="361">
        <v>261888</v>
      </c>
      <c r="T260" s="363">
        <v>1230000</v>
      </c>
      <c r="U260" s="364">
        <f t="shared" si="8"/>
        <v>68796503</v>
      </c>
      <c r="V260" s="362"/>
      <c r="W260" s="365" t="str">
        <f>+VLOOKUP($B260,[2]Time_S4!$B:$G,6,0)</f>
        <v>Trung tâm Khí cụ bay</v>
      </c>
      <c r="X260" s="365" t="str">
        <f>IF(W260="Phòng Kinh doanh","Trung tâm Kinh doanh - TCT CNC",+VLOOKUP($B260,[2]Time_S4!$B:$G,5,0))</f>
        <v>Khối 1 - TCT CNC</v>
      </c>
      <c r="Y260" s="366"/>
      <c r="Z260" s="366"/>
    </row>
    <row r="261" spans="1:26" ht="15.75" hidden="1">
      <c r="A261" s="367">
        <f>SUBTOTAL(3,$B$15:B261)</f>
        <v>2</v>
      </c>
      <c r="B261" s="356" t="s">
        <v>886</v>
      </c>
      <c r="C261" s="356" t="s">
        <v>887</v>
      </c>
      <c r="D261" s="356" t="s">
        <v>407</v>
      </c>
      <c r="E261" s="357">
        <v>21</v>
      </c>
      <c r="F261" s="357">
        <v>21</v>
      </c>
      <c r="G261" s="358">
        <v>31105615</v>
      </c>
      <c r="H261" s="359">
        <f t="shared" si="7"/>
        <v>30037975</v>
      </c>
      <c r="I261" s="360"/>
      <c r="J261" s="361"/>
      <c r="K261" s="362"/>
      <c r="L261" s="362"/>
      <c r="M261" s="361">
        <v>813440</v>
      </c>
      <c r="N261" s="361">
        <v>1779400</v>
      </c>
      <c r="O261" s="361">
        <v>152520</v>
      </c>
      <c r="P261" s="361">
        <v>305040</v>
      </c>
      <c r="Q261" s="361">
        <v>101680</v>
      </c>
      <c r="R261" s="361">
        <v>101680</v>
      </c>
      <c r="S261" s="361">
        <v>203360</v>
      </c>
      <c r="T261" s="363">
        <v>1498000</v>
      </c>
      <c r="U261" s="364">
        <f t="shared" si="8"/>
        <v>34993095</v>
      </c>
      <c r="V261" s="362"/>
      <c r="W261" s="365" t="str">
        <f>+VLOOKUP($B261,[2]Time_S4!$B:$G,6,0)</f>
        <v>Trung tâm dịch vụ sau bán hàng</v>
      </c>
      <c r="X261" s="365" t="str">
        <f>IF(W261="Phòng Kinh doanh","Trung tâm Kinh doanh - TCT CNC",+VLOOKUP($B261,[2]Time_S4!$B:$G,5,0))</f>
        <v>Khối 2 - TCT CNC</v>
      </c>
      <c r="Y261" s="366"/>
      <c r="Z261" s="366"/>
    </row>
    <row r="262" spans="1:26" ht="15.75" hidden="1">
      <c r="A262" s="367">
        <f>SUBTOTAL(3,$B$15:B262)</f>
        <v>2</v>
      </c>
      <c r="B262" s="356" t="s">
        <v>888</v>
      </c>
      <c r="C262" s="356" t="s">
        <v>889</v>
      </c>
      <c r="D262" s="356" t="s">
        <v>407</v>
      </c>
      <c r="E262" s="357">
        <v>21</v>
      </c>
      <c r="F262" s="357">
        <v>21</v>
      </c>
      <c r="G262" s="358">
        <v>25582231</v>
      </c>
      <c r="H262" s="359">
        <f t="shared" si="7"/>
        <v>24566671</v>
      </c>
      <c r="I262" s="360"/>
      <c r="J262" s="361"/>
      <c r="K262" s="362"/>
      <c r="L262" s="362"/>
      <c r="M262" s="361">
        <v>773760</v>
      </c>
      <c r="N262" s="361">
        <v>1692600</v>
      </c>
      <c r="O262" s="361">
        <v>145080</v>
      </c>
      <c r="P262" s="361">
        <v>290160</v>
      </c>
      <c r="Q262" s="361">
        <v>96720</v>
      </c>
      <c r="R262" s="361">
        <v>96720</v>
      </c>
      <c r="S262" s="361">
        <v>193440</v>
      </c>
      <c r="T262" s="363">
        <v>930000</v>
      </c>
      <c r="U262" s="364">
        <f t="shared" si="8"/>
        <v>28785151</v>
      </c>
      <c r="V262" s="362"/>
      <c r="W262" s="365" t="str">
        <f>+VLOOKUP($B262,[2]Time_S4!$B:$G,6,0)</f>
        <v>Trung tâm dịch vụ sau bán hàng</v>
      </c>
      <c r="X262" s="365" t="str">
        <f>IF(W262="Phòng Kinh doanh","Trung tâm Kinh doanh - TCT CNC",+VLOOKUP($B262,[2]Time_S4!$B:$G,5,0))</f>
        <v>Khối 1 - TCT CNC</v>
      </c>
      <c r="Y262" s="366"/>
      <c r="Z262" s="366"/>
    </row>
    <row r="263" spans="1:26" ht="15.75" hidden="1">
      <c r="A263" s="367">
        <f>SUBTOTAL(3,$B$15:B263)</f>
        <v>2</v>
      </c>
      <c r="B263" s="356" t="s">
        <v>890</v>
      </c>
      <c r="C263" s="356" t="s">
        <v>891</v>
      </c>
      <c r="D263" s="356" t="s">
        <v>407</v>
      </c>
      <c r="E263" s="357">
        <v>21</v>
      </c>
      <c r="F263" s="357">
        <v>21</v>
      </c>
      <c r="G263" s="358">
        <v>24790050</v>
      </c>
      <c r="H263" s="359">
        <f t="shared" si="7"/>
        <v>23774490</v>
      </c>
      <c r="I263" s="360"/>
      <c r="J263" s="361"/>
      <c r="K263" s="362"/>
      <c r="L263" s="362"/>
      <c r="M263" s="361">
        <v>773760</v>
      </c>
      <c r="N263" s="361">
        <v>1692600</v>
      </c>
      <c r="O263" s="361">
        <v>145080</v>
      </c>
      <c r="P263" s="361">
        <v>290160</v>
      </c>
      <c r="Q263" s="361">
        <v>96720</v>
      </c>
      <c r="R263" s="361">
        <v>96720</v>
      </c>
      <c r="S263" s="361">
        <v>193440</v>
      </c>
      <c r="T263" s="363">
        <v>1047000</v>
      </c>
      <c r="U263" s="364">
        <f t="shared" si="8"/>
        <v>28109970</v>
      </c>
      <c r="V263" s="362"/>
      <c r="W263" s="365" t="str">
        <f>+VLOOKUP($B263,[2]Time_S4!$B:$G,6,0)</f>
        <v>Phòng Hành chính</v>
      </c>
      <c r="X263" s="365" t="str">
        <f>IF(W263="Phòng Kinh doanh","Trung tâm Kinh doanh - TCT CNC",+VLOOKUP($B263,[2]Time_S4!$B:$G,5,0))</f>
        <v>Khối cơ quan - TCT CNC</v>
      </c>
      <c r="Y263" s="366"/>
      <c r="Z263" s="366"/>
    </row>
    <row r="264" spans="1:26" ht="15.75" hidden="1">
      <c r="A264" s="367">
        <f>SUBTOTAL(3,$B$15:B264)</f>
        <v>2</v>
      </c>
      <c r="B264" s="356" t="s">
        <v>892</v>
      </c>
      <c r="C264" s="356" t="s">
        <v>893</v>
      </c>
      <c r="D264" s="356" t="s">
        <v>407</v>
      </c>
      <c r="E264" s="357">
        <v>21</v>
      </c>
      <c r="F264" s="357">
        <v>21</v>
      </c>
      <c r="G264" s="358">
        <v>39773944</v>
      </c>
      <c r="H264" s="359">
        <f t="shared" si="7"/>
        <v>38649016</v>
      </c>
      <c r="I264" s="360"/>
      <c r="J264" s="361"/>
      <c r="K264" s="362"/>
      <c r="L264" s="362"/>
      <c r="M264" s="361">
        <v>857088</v>
      </c>
      <c r="N264" s="361">
        <v>1874880</v>
      </c>
      <c r="O264" s="361">
        <v>160704</v>
      </c>
      <c r="P264" s="361">
        <v>321408</v>
      </c>
      <c r="Q264" s="361">
        <v>107136</v>
      </c>
      <c r="R264" s="361">
        <v>107136</v>
      </c>
      <c r="S264" s="361">
        <v>214272</v>
      </c>
      <c r="T264" s="363">
        <v>1030000</v>
      </c>
      <c r="U264" s="364">
        <f t="shared" si="8"/>
        <v>43321640</v>
      </c>
      <c r="V264" s="362"/>
      <c r="W264" s="365" t="str">
        <f>+VLOOKUP($B264,[2]Time_S4!$B:$G,6,0)</f>
        <v>Trung tâm Nghiên cứu Công nghệ truyền dẫn</v>
      </c>
      <c r="X264" s="365" t="str">
        <f>IF(W264="Phòng Kinh doanh","Trung tâm Kinh doanh - TCT CNC",+VLOOKUP($B264,[2]Time_S4!$B:$G,5,0))</f>
        <v>Khối 2 - TCT CNC</v>
      </c>
      <c r="Y264" s="366"/>
      <c r="Z264" s="380"/>
    </row>
    <row r="265" spans="1:26" ht="15.75" hidden="1">
      <c r="A265" s="367">
        <f>SUBTOTAL(3,$B$15:B265)</f>
        <v>2</v>
      </c>
      <c r="B265" s="356" t="s">
        <v>894</v>
      </c>
      <c r="C265" s="356" t="s">
        <v>895</v>
      </c>
      <c r="D265" s="356" t="s">
        <v>407</v>
      </c>
      <c r="E265" s="357">
        <v>21</v>
      </c>
      <c r="F265" s="357">
        <v>21</v>
      </c>
      <c r="G265" s="358">
        <v>64259815</v>
      </c>
      <c r="H265" s="359">
        <f t="shared" si="7"/>
        <v>62884903</v>
      </c>
      <c r="I265" s="360"/>
      <c r="J265" s="361"/>
      <c r="K265" s="362"/>
      <c r="L265" s="362"/>
      <c r="M265" s="361">
        <v>1047552</v>
      </c>
      <c r="N265" s="361">
        <v>2291520</v>
      </c>
      <c r="O265" s="361">
        <v>196416</v>
      </c>
      <c r="P265" s="361">
        <v>392832</v>
      </c>
      <c r="Q265" s="361">
        <v>130944</v>
      </c>
      <c r="R265" s="361">
        <v>130944</v>
      </c>
      <c r="S265" s="361">
        <v>261888</v>
      </c>
      <c r="T265" s="363">
        <v>1130000</v>
      </c>
      <c r="U265" s="364">
        <f t="shared" si="8"/>
        <v>68466999</v>
      </c>
      <c r="V265" s="362"/>
      <c r="W265" s="365" t="str">
        <f>+VLOOKUP($B265,[2]Time_S4!$B:$G,6,0)</f>
        <v>Trung tâm Mô hình mô phỏng</v>
      </c>
      <c r="X265" s="365" t="str">
        <f>IF(W265="Phòng Kinh doanh","Trung tâm Kinh doanh - TCT CNC",+VLOOKUP($B265,[2]Time_S4!$B:$G,5,0))</f>
        <v>Khối 1 - TCT CNC</v>
      </c>
      <c r="Y265" s="366"/>
      <c r="Z265" s="366"/>
    </row>
    <row r="266" spans="1:26" ht="15.75" hidden="1">
      <c r="A266" s="367">
        <f>SUBTOTAL(3,$B$15:B266)</f>
        <v>2</v>
      </c>
      <c r="B266" s="356" t="s">
        <v>896</v>
      </c>
      <c r="C266" s="356" t="s">
        <v>897</v>
      </c>
      <c r="D266" s="356" t="s">
        <v>407</v>
      </c>
      <c r="E266" s="357">
        <v>21</v>
      </c>
      <c r="F266" s="357">
        <v>21</v>
      </c>
      <c r="G266" s="358">
        <v>22555719</v>
      </c>
      <c r="H266" s="359">
        <f t="shared" si="7"/>
        <v>21592239</v>
      </c>
      <c r="I266" s="360"/>
      <c r="J266" s="361"/>
      <c r="K266" s="362"/>
      <c r="L266" s="362"/>
      <c r="M266" s="361">
        <v>734080</v>
      </c>
      <c r="N266" s="361">
        <v>1605800</v>
      </c>
      <c r="O266" s="361">
        <v>137640</v>
      </c>
      <c r="P266" s="361">
        <v>275280</v>
      </c>
      <c r="Q266" s="361">
        <v>91760</v>
      </c>
      <c r="R266" s="361">
        <v>91760</v>
      </c>
      <c r="S266" s="361">
        <v>183520</v>
      </c>
      <c r="T266" s="363">
        <v>1047000</v>
      </c>
      <c r="U266" s="364">
        <f t="shared" si="8"/>
        <v>25759079</v>
      </c>
      <c r="V266" s="362"/>
      <c r="W266" s="365" t="str">
        <f>+VLOOKUP($B266,[2]Time_S4!$B:$G,6,0)</f>
        <v>Văn phòng</v>
      </c>
      <c r="X266" s="365" t="str">
        <f>IF(W266="Phòng Kinh doanh","Trung tâm Kinh doanh - TCT CNC",+VLOOKUP($B266,[2]Time_S4!$B:$G,5,0))</f>
        <v>Khối cơ quan - TCT CNC</v>
      </c>
      <c r="Y266" s="366"/>
      <c r="Z266" s="366"/>
    </row>
    <row r="267" spans="1:26" ht="15.75" hidden="1">
      <c r="A267" s="367">
        <f>SUBTOTAL(3,$B$15:B267)</f>
        <v>2</v>
      </c>
      <c r="B267" s="356" t="s">
        <v>898</v>
      </c>
      <c r="C267" s="356" t="s">
        <v>899</v>
      </c>
      <c r="D267" s="356" t="s">
        <v>410</v>
      </c>
      <c r="E267" s="357">
        <v>21</v>
      </c>
      <c r="F267" s="357">
        <v>21</v>
      </c>
      <c r="G267" s="358">
        <v>83673029</v>
      </c>
      <c r="H267" s="359">
        <f t="shared" si="7"/>
        <v>82318450</v>
      </c>
      <c r="I267" s="360"/>
      <c r="J267" s="361"/>
      <c r="K267" s="362"/>
      <c r="L267" s="362"/>
      <c r="M267" s="361">
        <v>1354579</v>
      </c>
      <c r="N267" s="361">
        <v>2963142</v>
      </c>
      <c r="O267" s="361">
        <v>0</v>
      </c>
      <c r="P267" s="361">
        <v>0</v>
      </c>
      <c r="Q267" s="361">
        <v>0</v>
      </c>
      <c r="R267" s="361">
        <v>0</v>
      </c>
      <c r="S267" s="361">
        <v>338645</v>
      </c>
      <c r="T267" s="363">
        <v>1730000</v>
      </c>
      <c r="U267" s="364">
        <f t="shared" si="8"/>
        <v>88704816</v>
      </c>
      <c r="V267" s="362"/>
      <c r="W267" s="365" t="str">
        <f>+VLOOKUP($B267,[2]Time_S4!$B:$G,6,0)</f>
        <v>Trung tâm Khí cụ bay</v>
      </c>
      <c r="X267" s="365" t="str">
        <f>IF(W267="Phòng Kinh doanh","Trung tâm Kinh doanh - TCT CNC",+VLOOKUP($B267,[2]Time_S4!$B:$G,5,0))</f>
        <v>Khối 1 - TCT CNC</v>
      </c>
      <c r="Y267" s="366"/>
      <c r="Z267" s="366"/>
    </row>
    <row r="268" spans="1:26" ht="15.75" hidden="1">
      <c r="A268" s="367">
        <f>SUBTOTAL(3,$B$15:B268)</f>
        <v>2</v>
      </c>
      <c r="B268" s="356" t="s">
        <v>900</v>
      </c>
      <c r="C268" s="356" t="s">
        <v>901</v>
      </c>
      <c r="D268" s="356" t="s">
        <v>407</v>
      </c>
      <c r="E268" s="357">
        <v>21</v>
      </c>
      <c r="F268" s="357">
        <v>21</v>
      </c>
      <c r="G268" s="358">
        <v>34910634</v>
      </c>
      <c r="H268" s="359">
        <f t="shared" si="7"/>
        <v>33785706</v>
      </c>
      <c r="I268" s="360"/>
      <c r="J268" s="361"/>
      <c r="K268" s="362"/>
      <c r="L268" s="362"/>
      <c r="M268" s="361">
        <v>857088</v>
      </c>
      <c r="N268" s="361">
        <v>1874880</v>
      </c>
      <c r="O268" s="361">
        <v>160704</v>
      </c>
      <c r="P268" s="361">
        <v>321408</v>
      </c>
      <c r="Q268" s="361">
        <v>107136</v>
      </c>
      <c r="R268" s="361">
        <v>107136</v>
      </c>
      <c r="S268" s="361">
        <v>214272</v>
      </c>
      <c r="T268" s="363">
        <v>1030000</v>
      </c>
      <c r="U268" s="364">
        <f t="shared" si="8"/>
        <v>38458330</v>
      </c>
      <c r="V268" s="362"/>
      <c r="W268" s="365" t="str">
        <f>+VLOOKUP($B268,[2]Time_S4!$B:$G,6,0)</f>
        <v>Phòng Đảm bảo chất lượng</v>
      </c>
      <c r="X268" s="365" t="str">
        <f>IF(W268="Phòng Kinh doanh","Trung tâm Kinh doanh - TCT CNC",+VLOOKUP($B268,[2]Time_S4!$B:$G,5,0))</f>
        <v>Trung tâm Quản lý chất lượng - TCT CNC</v>
      </c>
      <c r="Y268" s="366"/>
      <c r="Z268" s="366"/>
    </row>
    <row r="269" spans="1:26" ht="15.75" hidden="1">
      <c r="A269" s="367">
        <f>SUBTOTAL(3,$B$15:B269)</f>
        <v>2</v>
      </c>
      <c r="B269" s="356" t="s">
        <v>902</v>
      </c>
      <c r="C269" s="356" t="s">
        <v>903</v>
      </c>
      <c r="D269" s="356" t="s">
        <v>407</v>
      </c>
      <c r="E269" s="357">
        <v>21</v>
      </c>
      <c r="F269" s="357">
        <v>21</v>
      </c>
      <c r="G269" s="358">
        <v>44887184</v>
      </c>
      <c r="H269" s="359">
        <f t="shared" si="7"/>
        <v>43642472</v>
      </c>
      <c r="I269" s="360"/>
      <c r="J269" s="361"/>
      <c r="K269" s="362"/>
      <c r="L269" s="362"/>
      <c r="M269" s="361">
        <v>948352</v>
      </c>
      <c r="N269" s="361">
        <v>2074520</v>
      </c>
      <c r="O269" s="361">
        <v>177816</v>
      </c>
      <c r="P269" s="361">
        <v>355632</v>
      </c>
      <c r="Q269" s="361">
        <v>118544</v>
      </c>
      <c r="R269" s="361">
        <v>118544</v>
      </c>
      <c r="S269" s="361">
        <v>237088</v>
      </c>
      <c r="T269" s="363">
        <v>1030000</v>
      </c>
      <c r="U269" s="364">
        <f t="shared" si="8"/>
        <v>48702968</v>
      </c>
      <c r="V269" s="362"/>
      <c r="W269" s="365" t="str">
        <f>+VLOOKUP($B269,[2]Time_S4!$B:$G,6,0)</f>
        <v>Trung tâm Rada</v>
      </c>
      <c r="X269" s="365" t="str">
        <f>IF(W269="Phòng Kinh doanh","Trung tâm Kinh doanh - TCT CNC",+VLOOKUP($B269,[2]Time_S4!$B:$G,5,0))</f>
        <v>Khối 1 - TCT CNC</v>
      </c>
      <c r="Y269" s="366"/>
      <c r="Z269" s="366"/>
    </row>
    <row r="270" spans="1:26" ht="15.75" hidden="1">
      <c r="A270" s="367">
        <f>SUBTOTAL(3,$B$15:B270)</f>
        <v>2</v>
      </c>
      <c r="B270" s="356" t="s">
        <v>62</v>
      </c>
      <c r="C270" s="356" t="s">
        <v>904</v>
      </c>
      <c r="D270" s="356" t="s">
        <v>407</v>
      </c>
      <c r="E270" s="357">
        <v>21</v>
      </c>
      <c r="F270" s="357">
        <v>21</v>
      </c>
      <c r="G270" s="358">
        <v>58787185</v>
      </c>
      <c r="H270" s="359">
        <f t="shared" si="7"/>
        <v>57479977</v>
      </c>
      <c r="I270" s="360"/>
      <c r="J270" s="361"/>
      <c r="K270" s="362"/>
      <c r="L270" s="362"/>
      <c r="M270" s="361">
        <v>995968</v>
      </c>
      <c r="N270" s="361">
        <v>2178680</v>
      </c>
      <c r="O270" s="361">
        <v>186744</v>
      </c>
      <c r="P270" s="361">
        <v>373488</v>
      </c>
      <c r="Q270" s="361">
        <v>124496</v>
      </c>
      <c r="R270" s="361">
        <v>124496</v>
      </c>
      <c r="S270" s="361">
        <v>248992</v>
      </c>
      <c r="T270" s="363">
        <v>1130000</v>
      </c>
      <c r="U270" s="364">
        <f t="shared" si="8"/>
        <v>62842841</v>
      </c>
      <c r="V270" s="362"/>
      <c r="W270" s="365" t="str">
        <f>+VLOOKUP($B270,[2]Time_S4!$B:$G,6,0)</f>
        <v>Trung tâm Thông tin Quân sự</v>
      </c>
      <c r="X270" s="365" t="str">
        <f>IF(W270="Phòng Kinh doanh","Trung tâm Kinh doanh - TCT CNC",+VLOOKUP($B270,[2]Time_S4!$B:$G,5,0))</f>
        <v>Khối 1 - TCT CNC</v>
      </c>
      <c r="Y270" s="366"/>
      <c r="Z270" s="366"/>
    </row>
    <row r="271" spans="1:26" ht="15.75" hidden="1">
      <c r="A271" s="367">
        <f>SUBTOTAL(3,$B$15:B271)</f>
        <v>2</v>
      </c>
      <c r="B271" s="356" t="s">
        <v>905</v>
      </c>
      <c r="C271" s="356" t="s">
        <v>906</v>
      </c>
      <c r="D271" s="356" t="s">
        <v>407</v>
      </c>
      <c r="E271" s="357">
        <v>21</v>
      </c>
      <c r="F271" s="357">
        <v>21</v>
      </c>
      <c r="G271" s="358">
        <v>15643427</v>
      </c>
      <c r="H271" s="359">
        <f t="shared" si="7"/>
        <v>14810147</v>
      </c>
      <c r="I271" s="360"/>
      <c r="J271" s="361"/>
      <c r="K271" s="362"/>
      <c r="L271" s="362"/>
      <c r="M271" s="361">
        <v>634880</v>
      </c>
      <c r="N271" s="361">
        <v>1388800</v>
      </c>
      <c r="O271" s="361">
        <v>119040</v>
      </c>
      <c r="P271" s="361">
        <v>238080</v>
      </c>
      <c r="Q271" s="361">
        <v>79360</v>
      </c>
      <c r="R271" s="361">
        <v>79360</v>
      </c>
      <c r="S271" s="361">
        <v>158720</v>
      </c>
      <c r="T271" s="363">
        <v>1730000</v>
      </c>
      <c r="U271" s="364">
        <f t="shared" si="8"/>
        <v>19238387</v>
      </c>
      <c r="V271" s="362"/>
      <c r="W271" s="365" t="str">
        <f>+VLOOKUP($B271,[2]Time_S4!$B:$G,6,0)</f>
        <v>Phòng Hành chính</v>
      </c>
      <c r="X271" s="365" t="str">
        <f>IF(W271="Phòng Kinh doanh","Trung tâm Kinh doanh - TCT CNC",+VLOOKUP($B271,[2]Time_S4!$B:$G,5,0))</f>
        <v>Khối cơ quan - TCT CNC</v>
      </c>
      <c r="Y271" s="366"/>
      <c r="Z271" s="366"/>
    </row>
    <row r="272" spans="1:26" ht="15.75" hidden="1">
      <c r="A272" s="367">
        <f>SUBTOTAL(3,$B$15:B272)</f>
        <v>2</v>
      </c>
      <c r="B272" s="356" t="s">
        <v>907</v>
      </c>
      <c r="C272" s="356" t="s">
        <v>908</v>
      </c>
      <c r="D272" s="356" t="s">
        <v>407</v>
      </c>
      <c r="E272" s="357">
        <v>21</v>
      </c>
      <c r="F272" s="357">
        <v>21</v>
      </c>
      <c r="G272" s="358">
        <v>85685600</v>
      </c>
      <c r="H272" s="359">
        <f t="shared" ref="H272:H335" si="9">+G272-SUM(M272,O272,Q272)</f>
        <v>84164864</v>
      </c>
      <c r="I272" s="360"/>
      <c r="J272" s="361"/>
      <c r="K272" s="362"/>
      <c r="L272" s="362"/>
      <c r="M272" s="361">
        <v>1158656</v>
      </c>
      <c r="N272" s="361">
        <v>2534560</v>
      </c>
      <c r="O272" s="361">
        <v>217248</v>
      </c>
      <c r="P272" s="361">
        <v>434496</v>
      </c>
      <c r="Q272" s="361">
        <v>144832</v>
      </c>
      <c r="R272" s="361">
        <v>144832</v>
      </c>
      <c r="S272" s="361">
        <v>289664</v>
      </c>
      <c r="T272" s="363">
        <v>2730000</v>
      </c>
      <c r="U272" s="364">
        <f t="shared" ref="U272:U335" si="10">+SUM(H272:T272)</f>
        <v>91819152</v>
      </c>
      <c r="V272" s="362"/>
      <c r="W272" s="365" t="str">
        <f>+VLOOKUP($B272,[2]Time_S4!$B:$G,6,0)</f>
        <v>Ban Giám đốc</v>
      </c>
      <c r="X272" s="365" t="str">
        <f>IF(W272="Phòng Kinh doanh","Trung tâm Kinh doanh - TCT CNC",+VLOOKUP($B272,[2]Time_S4!$B:$G,5,0))</f>
        <v>Trung tâm Quản lý chất lượng - TCT CNC</v>
      </c>
      <c r="Y272" s="366"/>
      <c r="Z272" s="366"/>
    </row>
    <row r="273" spans="1:26" ht="15.75" hidden="1">
      <c r="A273" s="367">
        <f>SUBTOTAL(3,$B$15:B273)</f>
        <v>2</v>
      </c>
      <c r="B273" s="356" t="s">
        <v>909</v>
      </c>
      <c r="C273" s="356" t="s">
        <v>910</v>
      </c>
      <c r="D273" s="356" t="s">
        <v>407</v>
      </c>
      <c r="E273" s="357">
        <v>21</v>
      </c>
      <c r="F273" s="357">
        <v>21</v>
      </c>
      <c r="G273" s="358">
        <v>54057880</v>
      </c>
      <c r="H273" s="359">
        <f t="shared" si="9"/>
        <v>52750672</v>
      </c>
      <c r="I273" s="360"/>
      <c r="J273" s="361"/>
      <c r="K273" s="362"/>
      <c r="L273" s="362"/>
      <c r="M273" s="361">
        <v>995968</v>
      </c>
      <c r="N273" s="361">
        <v>2178680</v>
      </c>
      <c r="O273" s="361">
        <v>186744</v>
      </c>
      <c r="P273" s="361">
        <v>373488</v>
      </c>
      <c r="Q273" s="361">
        <v>124496</v>
      </c>
      <c r="R273" s="361">
        <v>124496</v>
      </c>
      <c r="S273" s="361">
        <v>248992</v>
      </c>
      <c r="T273" s="363">
        <v>1230000</v>
      </c>
      <c r="U273" s="364">
        <f t="shared" si="10"/>
        <v>58213536</v>
      </c>
      <c r="V273" s="362"/>
      <c r="W273" s="365" t="str">
        <f>+VLOOKUP($B273,[2]Time_S4!$B:$G,6,0)</f>
        <v>Phòng Quản lý sản xuất</v>
      </c>
      <c r="X273" s="365" t="str">
        <f>IF(W273="Phòng Kinh doanh","Trung tâm Kinh doanh - TCT CNC",+VLOOKUP($B273,[2]Time_S4!$B:$G,5,0))</f>
        <v>Khối 2 - TCT CNC</v>
      </c>
      <c r="Y273" s="366"/>
      <c r="Z273" s="366"/>
    </row>
    <row r="274" spans="1:26" ht="15.75" hidden="1">
      <c r="A274" s="367">
        <f>SUBTOTAL(3,$B$15:B274)</f>
        <v>2</v>
      </c>
      <c r="B274" s="356" t="s">
        <v>911</v>
      </c>
      <c r="C274" s="356" t="s">
        <v>912</v>
      </c>
      <c r="D274" s="356" t="s">
        <v>407</v>
      </c>
      <c r="E274" s="357">
        <v>21</v>
      </c>
      <c r="F274" s="357">
        <v>21</v>
      </c>
      <c r="G274" s="358">
        <v>24693421</v>
      </c>
      <c r="H274" s="359">
        <f t="shared" si="9"/>
        <v>23729941</v>
      </c>
      <c r="I274" s="360"/>
      <c r="J274" s="361"/>
      <c r="K274" s="362"/>
      <c r="L274" s="362"/>
      <c r="M274" s="361">
        <v>734080</v>
      </c>
      <c r="N274" s="361">
        <v>1605800</v>
      </c>
      <c r="O274" s="361">
        <v>137640</v>
      </c>
      <c r="P274" s="361">
        <v>275280</v>
      </c>
      <c r="Q274" s="361">
        <v>91760</v>
      </c>
      <c r="R274" s="361">
        <v>91760</v>
      </c>
      <c r="S274" s="361">
        <v>183520</v>
      </c>
      <c r="T274" s="363">
        <v>1030000</v>
      </c>
      <c r="U274" s="364">
        <f t="shared" si="10"/>
        <v>27879781</v>
      </c>
      <c r="V274" s="362"/>
      <c r="W274" s="365" t="str">
        <f>+VLOOKUP($B274,[2]Time_S4!$B:$G,6,0)</f>
        <v>Phòng Kiểu dáng và đồ họa</v>
      </c>
      <c r="X274" s="365" t="str">
        <f>IF(W274="Phòng Kinh doanh","Trung tâm Kinh doanh - TCT CNC",+VLOOKUP($B274,[2]Time_S4!$B:$G,5,0))</f>
        <v>Khối 1 - TCT CNC</v>
      </c>
      <c r="Y274" s="366"/>
      <c r="Z274" s="366"/>
    </row>
    <row r="275" spans="1:26" ht="15.75" hidden="1">
      <c r="A275" s="367">
        <f>SUBTOTAL(3,$B$15:B275)</f>
        <v>2</v>
      </c>
      <c r="B275" s="356" t="s">
        <v>913</v>
      </c>
      <c r="C275" s="356" t="s">
        <v>914</v>
      </c>
      <c r="D275" s="356" t="s">
        <v>407</v>
      </c>
      <c r="E275" s="357">
        <v>21</v>
      </c>
      <c r="F275" s="357">
        <v>21</v>
      </c>
      <c r="G275" s="358">
        <v>25582231</v>
      </c>
      <c r="H275" s="359">
        <f t="shared" si="9"/>
        <v>24566671</v>
      </c>
      <c r="I275" s="360"/>
      <c r="J275" s="361"/>
      <c r="K275" s="362"/>
      <c r="L275" s="362"/>
      <c r="M275" s="361">
        <v>773760</v>
      </c>
      <c r="N275" s="361">
        <v>1692600</v>
      </c>
      <c r="O275" s="361">
        <v>145080</v>
      </c>
      <c r="P275" s="361">
        <v>290160</v>
      </c>
      <c r="Q275" s="361">
        <v>96720</v>
      </c>
      <c r="R275" s="361">
        <v>96720</v>
      </c>
      <c r="S275" s="361">
        <v>193440</v>
      </c>
      <c r="T275" s="363">
        <v>1047000</v>
      </c>
      <c r="U275" s="364">
        <f t="shared" si="10"/>
        <v>28902151</v>
      </c>
      <c r="V275" s="362"/>
      <c r="W275" s="365" t="str">
        <f>+VLOOKUP($B275,[2]Time_S4!$B:$G,6,0)</f>
        <v>Phòng Đầu tư</v>
      </c>
      <c r="X275" s="365" t="str">
        <f>IF(W275="Phòng Kinh doanh","Trung tâm Kinh doanh - TCT CNC",+VLOOKUP($B275,[2]Time_S4!$B:$G,5,0))</f>
        <v>Trung tâm Mua sắm - TCT CNC</v>
      </c>
      <c r="Y275" s="366"/>
      <c r="Z275" s="366"/>
    </row>
    <row r="276" spans="1:26" ht="15.75" hidden="1">
      <c r="A276" s="367">
        <f>SUBTOTAL(3,$B$15:B276)</f>
        <v>2</v>
      </c>
      <c r="B276" s="356" t="s">
        <v>915</v>
      </c>
      <c r="C276" s="356" t="s">
        <v>916</v>
      </c>
      <c r="D276" s="356" t="s">
        <v>407</v>
      </c>
      <c r="E276" s="357">
        <v>21</v>
      </c>
      <c r="F276" s="357">
        <v>21</v>
      </c>
      <c r="G276" s="358">
        <v>84411600</v>
      </c>
      <c r="H276" s="359">
        <f t="shared" si="9"/>
        <v>82890864</v>
      </c>
      <c r="I276" s="360"/>
      <c r="J276" s="361"/>
      <c r="K276" s="362"/>
      <c r="L276" s="362"/>
      <c r="M276" s="361">
        <v>1158656</v>
      </c>
      <c r="N276" s="361">
        <v>2534560</v>
      </c>
      <c r="O276" s="361">
        <v>217248</v>
      </c>
      <c r="P276" s="361">
        <v>434496</v>
      </c>
      <c r="Q276" s="361">
        <v>144832</v>
      </c>
      <c r="R276" s="361">
        <v>144832</v>
      </c>
      <c r="S276" s="361">
        <v>289664</v>
      </c>
      <c r="T276" s="363">
        <v>1230000</v>
      </c>
      <c r="U276" s="364">
        <f t="shared" si="10"/>
        <v>89045152</v>
      </c>
      <c r="V276" s="362"/>
      <c r="W276" s="365" t="str">
        <f>+VLOOKUP($B276,[2]Time_S4!$B:$G,6,0)</f>
        <v>Trung tâm Chỉ huy điều khiển</v>
      </c>
      <c r="X276" s="365" t="str">
        <f>IF(W276="Phòng Kinh doanh","Trung tâm Kinh doanh - TCT CNC",+VLOOKUP($B276,[2]Time_S4!$B:$G,5,0))</f>
        <v>Khối 1 - TCT CNC</v>
      </c>
      <c r="Y276" s="366"/>
      <c r="Z276" s="366"/>
    </row>
    <row r="277" spans="1:26" ht="15.75" hidden="1">
      <c r="A277" s="367">
        <f>SUBTOTAL(3,$B$15:B277)</f>
        <v>2</v>
      </c>
      <c r="B277" s="356" t="s">
        <v>917</v>
      </c>
      <c r="C277" s="356" t="s">
        <v>918</v>
      </c>
      <c r="D277" s="356" t="s">
        <v>407</v>
      </c>
      <c r="E277" s="357">
        <v>21</v>
      </c>
      <c r="F277" s="357">
        <v>21</v>
      </c>
      <c r="G277" s="358">
        <v>15576259</v>
      </c>
      <c r="H277" s="359">
        <f t="shared" si="9"/>
        <v>14742979</v>
      </c>
      <c r="I277" s="360"/>
      <c r="J277" s="361"/>
      <c r="K277" s="362"/>
      <c r="L277" s="362"/>
      <c r="M277" s="361">
        <v>634880</v>
      </c>
      <c r="N277" s="361">
        <v>1388800</v>
      </c>
      <c r="O277" s="361">
        <v>119040</v>
      </c>
      <c r="P277" s="361">
        <v>238080</v>
      </c>
      <c r="Q277" s="361">
        <v>79360</v>
      </c>
      <c r="R277" s="361">
        <v>79360</v>
      </c>
      <c r="S277" s="361">
        <v>158720</v>
      </c>
      <c r="T277" s="363">
        <v>1730000</v>
      </c>
      <c r="U277" s="364">
        <f t="shared" si="10"/>
        <v>19171219</v>
      </c>
      <c r="V277" s="362"/>
      <c r="W277" s="365" t="str">
        <f>+VLOOKUP($B277,[2]Time_S4!$B:$G,6,0)</f>
        <v>Phòng Hành chính</v>
      </c>
      <c r="X277" s="365" t="str">
        <f>IF(W277="Phòng Kinh doanh","Trung tâm Kinh doanh - TCT CNC",+VLOOKUP($B277,[2]Time_S4!$B:$G,5,0))</f>
        <v>Khối cơ quan - TCT CNC</v>
      </c>
      <c r="Y277" s="366"/>
      <c r="Z277" s="366"/>
    </row>
    <row r="278" spans="1:26" ht="15.75" hidden="1">
      <c r="A278" s="367">
        <f>SUBTOTAL(3,$B$15:B278)</f>
        <v>2</v>
      </c>
      <c r="B278" s="356" t="s">
        <v>919</v>
      </c>
      <c r="C278" s="356" t="s">
        <v>920</v>
      </c>
      <c r="D278" s="356" t="s">
        <v>407</v>
      </c>
      <c r="E278" s="357">
        <v>21</v>
      </c>
      <c r="F278" s="357">
        <v>21</v>
      </c>
      <c r="G278" s="358">
        <v>28601450</v>
      </c>
      <c r="H278" s="359">
        <f t="shared" si="9"/>
        <v>27585890</v>
      </c>
      <c r="I278" s="360"/>
      <c r="J278" s="361"/>
      <c r="K278" s="362"/>
      <c r="L278" s="362"/>
      <c r="M278" s="361">
        <v>773760</v>
      </c>
      <c r="N278" s="361">
        <v>1692600</v>
      </c>
      <c r="O278" s="361">
        <v>145080</v>
      </c>
      <c r="P278" s="361">
        <v>290160</v>
      </c>
      <c r="Q278" s="361">
        <v>96720</v>
      </c>
      <c r="R278" s="361">
        <v>96720</v>
      </c>
      <c r="S278" s="361">
        <v>193440</v>
      </c>
      <c r="T278" s="363">
        <v>1030000</v>
      </c>
      <c r="U278" s="364">
        <f t="shared" si="10"/>
        <v>31904370</v>
      </c>
      <c r="V278" s="362"/>
      <c r="W278" s="365" t="str">
        <f>+VLOOKUP($B278,[2]Time_S4!$B:$G,6,0)</f>
        <v>Trung tâm dịch vụ sau bán hàng</v>
      </c>
      <c r="X278" s="365" t="str">
        <f>IF(W278="Phòng Kinh doanh","Trung tâm Kinh doanh - TCT CNC",+VLOOKUP($B278,[2]Time_S4!$B:$G,5,0))</f>
        <v>Khối 2 - TCT CNC</v>
      </c>
      <c r="Y278" s="366"/>
      <c r="Z278" s="366"/>
    </row>
    <row r="279" spans="1:26" ht="15.75" hidden="1">
      <c r="A279" s="367">
        <f>SUBTOTAL(3,$B$15:B279)</f>
        <v>2</v>
      </c>
      <c r="B279" s="356" t="s">
        <v>921</v>
      </c>
      <c r="C279" s="356" t="s">
        <v>922</v>
      </c>
      <c r="D279" s="356" t="s">
        <v>397</v>
      </c>
      <c r="E279" s="357">
        <v>21</v>
      </c>
      <c r="F279" s="357">
        <v>21</v>
      </c>
      <c r="G279" s="358">
        <v>82955600</v>
      </c>
      <c r="H279" s="359">
        <f t="shared" si="9"/>
        <v>81736928</v>
      </c>
      <c r="I279" s="360"/>
      <c r="J279" s="361"/>
      <c r="K279" s="362"/>
      <c r="L279" s="362"/>
      <c r="M279" s="361">
        <v>1218672</v>
      </c>
      <c r="N279" s="361">
        <v>2665845</v>
      </c>
      <c r="O279" s="361">
        <v>0</v>
      </c>
      <c r="P279" s="361">
        <v>0</v>
      </c>
      <c r="Q279" s="361">
        <v>0</v>
      </c>
      <c r="R279" s="361">
        <v>0</v>
      </c>
      <c r="S279" s="361">
        <v>304668</v>
      </c>
      <c r="T279" s="363">
        <v>1230000</v>
      </c>
      <c r="U279" s="364">
        <f t="shared" si="10"/>
        <v>87156113</v>
      </c>
      <c r="V279" s="362"/>
      <c r="W279" s="365" t="str">
        <f>+VLOOKUP($B279,[2]Time_S4!$B:$G,6,0)</f>
        <v>Trung tâm Camera</v>
      </c>
      <c r="X279" s="365" t="str">
        <f>IF(W279="Phòng Kinh doanh","Trung tâm Kinh doanh - TCT CNC",+VLOOKUP($B279,[2]Time_S4!$B:$G,5,0))</f>
        <v>Khối 3 - TCT CNC</v>
      </c>
      <c r="Y279" s="366"/>
      <c r="Z279" s="366"/>
    </row>
    <row r="280" spans="1:26" ht="15.75" hidden="1">
      <c r="A280" s="367">
        <f>SUBTOTAL(3,$B$15:B280)</f>
        <v>2</v>
      </c>
      <c r="B280" s="356" t="s">
        <v>923</v>
      </c>
      <c r="C280" s="356" t="s">
        <v>656</v>
      </c>
      <c r="D280" s="356" t="s">
        <v>407</v>
      </c>
      <c r="E280" s="357">
        <v>21</v>
      </c>
      <c r="F280" s="357">
        <v>21</v>
      </c>
      <c r="G280" s="358">
        <v>63710351</v>
      </c>
      <c r="H280" s="359">
        <f t="shared" si="9"/>
        <v>62335439</v>
      </c>
      <c r="I280" s="360"/>
      <c r="J280" s="361"/>
      <c r="K280" s="362"/>
      <c r="L280" s="362"/>
      <c r="M280" s="361">
        <v>1047552</v>
      </c>
      <c r="N280" s="361">
        <v>2291520</v>
      </c>
      <c r="O280" s="361">
        <v>196416</v>
      </c>
      <c r="P280" s="361">
        <v>392832</v>
      </c>
      <c r="Q280" s="361">
        <v>130944</v>
      </c>
      <c r="R280" s="361">
        <v>130944</v>
      </c>
      <c r="S280" s="361">
        <v>261888</v>
      </c>
      <c r="T280" s="363">
        <v>1130000</v>
      </c>
      <c r="U280" s="364">
        <f t="shared" si="10"/>
        <v>67917535</v>
      </c>
      <c r="V280" s="362"/>
      <c r="W280" s="365" t="str">
        <f>+VLOOKUP($B280,[2]Time_S4!$B:$G,6,0)</f>
        <v>Trung tâm Chỉ huy điều khiển</v>
      </c>
      <c r="X280" s="365" t="str">
        <f>IF(W280="Phòng Kinh doanh","Trung tâm Kinh doanh - TCT CNC",+VLOOKUP($B280,[2]Time_S4!$B:$G,5,0))</f>
        <v>Khối 1 - TCT CNC</v>
      </c>
      <c r="Y280" s="366"/>
      <c r="Z280" s="366"/>
    </row>
    <row r="281" spans="1:26" ht="15.75" hidden="1">
      <c r="A281" s="367">
        <f>SUBTOTAL(3,$B$15:B281)</f>
        <v>2</v>
      </c>
      <c r="B281" s="356" t="s">
        <v>924</v>
      </c>
      <c r="C281" s="356" t="s">
        <v>925</v>
      </c>
      <c r="D281" s="356" t="s">
        <v>407</v>
      </c>
      <c r="E281" s="357">
        <v>21</v>
      </c>
      <c r="F281" s="357">
        <v>21</v>
      </c>
      <c r="G281" s="358">
        <v>20790517</v>
      </c>
      <c r="H281" s="359">
        <f t="shared" si="9"/>
        <v>19873909</v>
      </c>
      <c r="I281" s="360"/>
      <c r="J281" s="361"/>
      <c r="K281" s="362"/>
      <c r="L281" s="362"/>
      <c r="M281" s="361">
        <v>698368</v>
      </c>
      <c r="N281" s="361">
        <v>1527680</v>
      </c>
      <c r="O281" s="361">
        <v>130944</v>
      </c>
      <c r="P281" s="361">
        <v>261888</v>
      </c>
      <c r="Q281" s="361">
        <v>87296</v>
      </c>
      <c r="R281" s="361">
        <v>87296</v>
      </c>
      <c r="S281" s="361">
        <v>174592</v>
      </c>
      <c r="T281" s="363">
        <v>1515000</v>
      </c>
      <c r="U281" s="364">
        <f t="shared" si="10"/>
        <v>24356973</v>
      </c>
      <c r="V281" s="362"/>
      <c r="W281" s="365" t="str">
        <f>+VLOOKUP($B281,[2]Time_S4!$B:$G,6,0)</f>
        <v>Phòng Tổng hợp</v>
      </c>
      <c r="X281" s="365" t="str">
        <f>IF(W281="Phòng Kinh doanh","Trung tâm Kinh doanh - TCT CNC",+VLOOKUP($B281,[2]Time_S4!$B:$G,5,0))</f>
        <v>Khối 2 - TCT CNC</v>
      </c>
      <c r="Y281" s="366"/>
      <c r="Z281" s="366"/>
    </row>
    <row r="282" spans="1:26" ht="15.75" hidden="1">
      <c r="A282" s="367">
        <f>SUBTOTAL(3,$B$15:B282)</f>
        <v>2</v>
      </c>
      <c r="B282" s="356" t="s">
        <v>926</v>
      </c>
      <c r="C282" s="356" t="s">
        <v>927</v>
      </c>
      <c r="D282" s="356" t="s">
        <v>407</v>
      </c>
      <c r="E282" s="357">
        <v>21</v>
      </c>
      <c r="F282" s="357">
        <v>21</v>
      </c>
      <c r="G282" s="358">
        <v>15576259</v>
      </c>
      <c r="H282" s="359">
        <f t="shared" si="9"/>
        <v>14742979</v>
      </c>
      <c r="I282" s="360"/>
      <c r="J282" s="361"/>
      <c r="K282" s="362"/>
      <c r="L282" s="362"/>
      <c r="M282" s="361">
        <v>634880</v>
      </c>
      <c r="N282" s="361">
        <v>1388800</v>
      </c>
      <c r="O282" s="361">
        <v>119040</v>
      </c>
      <c r="P282" s="361">
        <v>238080</v>
      </c>
      <c r="Q282" s="361">
        <v>79360</v>
      </c>
      <c r="R282" s="361">
        <v>79360</v>
      </c>
      <c r="S282" s="361">
        <v>158720</v>
      </c>
      <c r="T282" s="363">
        <v>1630000</v>
      </c>
      <c r="U282" s="364">
        <f t="shared" si="10"/>
        <v>19071219</v>
      </c>
      <c r="V282" s="362"/>
      <c r="W282" s="365" t="str">
        <f>+VLOOKUP($B282,[2]Time_S4!$B:$G,6,0)</f>
        <v>Phòng Hành chính</v>
      </c>
      <c r="X282" s="365" t="str">
        <f>IF(W282="Phòng Kinh doanh","Trung tâm Kinh doanh - TCT CNC",+VLOOKUP($B282,[2]Time_S4!$B:$G,5,0))</f>
        <v>Khối cơ quan - TCT CNC</v>
      </c>
      <c r="Y282" s="366"/>
      <c r="Z282" s="366"/>
    </row>
    <row r="283" spans="1:26" ht="15.75" hidden="1">
      <c r="A283" s="367">
        <f>SUBTOTAL(3,$B$15:B283)</f>
        <v>2</v>
      </c>
      <c r="B283" s="356" t="s">
        <v>928</v>
      </c>
      <c r="C283" s="356" t="s">
        <v>929</v>
      </c>
      <c r="D283" s="356" t="s">
        <v>407</v>
      </c>
      <c r="E283" s="357">
        <v>21</v>
      </c>
      <c r="F283" s="357">
        <v>21</v>
      </c>
      <c r="G283" s="358">
        <v>20790517</v>
      </c>
      <c r="H283" s="359">
        <f t="shared" si="9"/>
        <v>19873909</v>
      </c>
      <c r="I283" s="360"/>
      <c r="J283" s="361"/>
      <c r="K283" s="362"/>
      <c r="L283" s="362"/>
      <c r="M283" s="361">
        <v>698368</v>
      </c>
      <c r="N283" s="361">
        <v>1527680</v>
      </c>
      <c r="O283" s="361">
        <v>130944</v>
      </c>
      <c r="P283" s="361">
        <v>261888</v>
      </c>
      <c r="Q283" s="361">
        <v>87296</v>
      </c>
      <c r="R283" s="361">
        <v>87296</v>
      </c>
      <c r="S283" s="361">
        <v>174592</v>
      </c>
      <c r="T283" s="363">
        <v>1047000</v>
      </c>
      <c r="U283" s="364">
        <f t="shared" si="10"/>
        <v>23888973</v>
      </c>
      <c r="V283" s="362"/>
      <c r="W283" s="365" t="str">
        <f>+VLOOKUP($B283,[2]Time_S4!$B:$G,6,0)</f>
        <v>Phòng Tổng hợp</v>
      </c>
      <c r="X283" s="365" t="str">
        <f>IF(W283="Phòng Kinh doanh","Trung tâm Kinh doanh - TCT CNC",+VLOOKUP($B283,[2]Time_S4!$B:$G,5,0))</f>
        <v>Khối 1 - TCT CNC</v>
      </c>
      <c r="Y283" s="366"/>
      <c r="Z283" s="366"/>
    </row>
    <row r="284" spans="1:26" ht="15.75" hidden="1">
      <c r="A284" s="367">
        <f>SUBTOTAL(3,$B$15:B284)</f>
        <v>2</v>
      </c>
      <c r="B284" s="356" t="s">
        <v>930</v>
      </c>
      <c r="C284" s="356" t="s">
        <v>931</v>
      </c>
      <c r="D284" s="356" t="s">
        <v>407</v>
      </c>
      <c r="E284" s="357">
        <v>21</v>
      </c>
      <c r="F284" s="357">
        <v>21</v>
      </c>
      <c r="G284" s="358">
        <v>21013687</v>
      </c>
      <c r="H284" s="359">
        <f t="shared" si="9"/>
        <v>20097079</v>
      </c>
      <c r="I284" s="360"/>
      <c r="J284" s="361"/>
      <c r="K284" s="362"/>
      <c r="L284" s="362"/>
      <c r="M284" s="361">
        <v>698368</v>
      </c>
      <c r="N284" s="361">
        <v>1527680</v>
      </c>
      <c r="O284" s="361">
        <v>130944</v>
      </c>
      <c r="P284" s="361">
        <v>261888</v>
      </c>
      <c r="Q284" s="361">
        <v>87296</v>
      </c>
      <c r="R284" s="361">
        <v>87296</v>
      </c>
      <c r="S284" s="361">
        <v>174592</v>
      </c>
      <c r="T284" s="363">
        <v>1047000</v>
      </c>
      <c r="U284" s="364">
        <f t="shared" si="10"/>
        <v>24112143</v>
      </c>
      <c r="V284" s="362"/>
      <c r="W284" s="365" t="str">
        <f>+VLOOKUP($B284,[2]Time_S4!$B:$G,6,0)</f>
        <v>Phòng Tổng hợp</v>
      </c>
      <c r="X284" s="365" t="str">
        <f>IF(W284="Phòng Kinh doanh","Trung tâm Kinh doanh - TCT CNC",+VLOOKUP($B284,[2]Time_S4!$B:$G,5,0))</f>
        <v>Khối 2 - TCT CNC</v>
      </c>
      <c r="Y284" s="366"/>
      <c r="Z284" s="366"/>
    </row>
    <row r="285" spans="1:26" ht="15.75" hidden="1">
      <c r="A285" s="367">
        <f>SUBTOTAL(3,$B$15:B285)</f>
        <v>2</v>
      </c>
      <c r="B285" s="356" t="s">
        <v>932</v>
      </c>
      <c r="C285" s="356" t="s">
        <v>933</v>
      </c>
      <c r="D285" s="356" t="s">
        <v>397</v>
      </c>
      <c r="E285" s="357">
        <v>21</v>
      </c>
      <c r="F285" s="357">
        <v>21</v>
      </c>
      <c r="G285" s="358">
        <v>22793646</v>
      </c>
      <c r="H285" s="359">
        <f t="shared" si="9"/>
        <v>21604458</v>
      </c>
      <c r="I285" s="360"/>
      <c r="J285" s="361"/>
      <c r="K285" s="362"/>
      <c r="L285" s="362"/>
      <c r="M285" s="361">
        <v>1189188</v>
      </c>
      <c r="N285" s="361">
        <v>2601349</v>
      </c>
      <c r="O285" s="361">
        <v>0</v>
      </c>
      <c r="P285" s="361">
        <v>0</v>
      </c>
      <c r="Q285" s="361">
        <v>0</v>
      </c>
      <c r="R285" s="361">
        <v>0</v>
      </c>
      <c r="S285" s="361">
        <v>297297</v>
      </c>
      <c r="T285" s="363">
        <v>1730000</v>
      </c>
      <c r="U285" s="364">
        <f t="shared" si="10"/>
        <v>27422292</v>
      </c>
      <c r="V285" s="362"/>
      <c r="W285" s="365" t="str">
        <f>+VLOOKUP($B285,[2]Time_S4!$B:$G,6,0)</f>
        <v>Văn phòng</v>
      </c>
      <c r="X285" s="365" t="str">
        <f>IF(W285="Phòng Kinh doanh","Trung tâm Kinh doanh - TCT CNC",+VLOOKUP($B285,[2]Time_S4!$B:$G,5,0))</f>
        <v>Khối cơ quan - TCT CNC</v>
      </c>
      <c r="Y285" s="366"/>
      <c r="Z285" s="366"/>
    </row>
    <row r="286" spans="1:26" ht="15.75" hidden="1">
      <c r="A286" s="367">
        <f>SUBTOTAL(3,$B$15:B286)</f>
        <v>2</v>
      </c>
      <c r="B286" s="356" t="s">
        <v>934</v>
      </c>
      <c r="C286" s="356" t="s">
        <v>935</v>
      </c>
      <c r="D286" s="356" t="s">
        <v>407</v>
      </c>
      <c r="E286" s="357">
        <v>21</v>
      </c>
      <c r="F286" s="357">
        <v>21</v>
      </c>
      <c r="G286" s="358">
        <v>51295732</v>
      </c>
      <c r="H286" s="359">
        <f t="shared" si="9"/>
        <v>49988524</v>
      </c>
      <c r="I286" s="360"/>
      <c r="J286" s="361"/>
      <c r="K286" s="362"/>
      <c r="L286" s="362"/>
      <c r="M286" s="361">
        <v>995968</v>
      </c>
      <c r="N286" s="361">
        <v>2178680</v>
      </c>
      <c r="O286" s="361">
        <v>186744</v>
      </c>
      <c r="P286" s="361">
        <v>373488</v>
      </c>
      <c r="Q286" s="361">
        <v>124496</v>
      </c>
      <c r="R286" s="361">
        <v>124496</v>
      </c>
      <c r="S286" s="361">
        <v>248992</v>
      </c>
      <c r="T286" s="363">
        <v>1347000</v>
      </c>
      <c r="U286" s="364">
        <f t="shared" si="10"/>
        <v>55568388</v>
      </c>
      <c r="V286" s="362"/>
      <c r="W286" s="365" t="str">
        <f>+VLOOKUP($B286,[2]Time_S4!$B:$G,6,0)</f>
        <v>Trung tâm Nghiên cứu công nghệ Đa phương tiện</v>
      </c>
      <c r="X286" s="365" t="str">
        <f>IF(W286="Phòng Kinh doanh","Trung tâm Kinh doanh - TCT CNC",+VLOOKUP($B286,[2]Time_S4!$B:$G,5,0))</f>
        <v>Khối 2 - TCT CNC</v>
      </c>
      <c r="Y286" s="366"/>
      <c r="Z286" s="366"/>
    </row>
    <row r="287" spans="1:26" ht="15.75" hidden="1">
      <c r="A287" s="367">
        <f>SUBTOTAL(3,$B$15:B287)</f>
        <v>2</v>
      </c>
      <c r="B287" s="356" t="s">
        <v>936</v>
      </c>
      <c r="C287" s="356" t="s">
        <v>937</v>
      </c>
      <c r="D287" s="356" t="s">
        <v>407</v>
      </c>
      <c r="E287" s="357">
        <v>21</v>
      </c>
      <c r="F287" s="357">
        <v>21</v>
      </c>
      <c r="G287" s="358">
        <v>24790050</v>
      </c>
      <c r="H287" s="359">
        <f t="shared" si="9"/>
        <v>23774490</v>
      </c>
      <c r="I287" s="360"/>
      <c r="J287" s="361"/>
      <c r="K287" s="362"/>
      <c r="L287" s="362"/>
      <c r="M287" s="361">
        <v>773760</v>
      </c>
      <c r="N287" s="361">
        <v>1692600</v>
      </c>
      <c r="O287" s="361">
        <v>145080</v>
      </c>
      <c r="P287" s="361">
        <v>290160</v>
      </c>
      <c r="Q287" s="361">
        <v>96720</v>
      </c>
      <c r="R287" s="361">
        <v>96720</v>
      </c>
      <c r="S287" s="361">
        <v>193440</v>
      </c>
      <c r="T287" s="363">
        <v>1047000</v>
      </c>
      <c r="U287" s="364">
        <f t="shared" si="10"/>
        <v>28109970</v>
      </c>
      <c r="V287" s="362"/>
      <c r="W287" s="365" t="str">
        <f>+VLOOKUP($B287,[2]Time_S4!$B:$G,6,0)</f>
        <v>Phòng Hành chính</v>
      </c>
      <c r="X287" s="365" t="str">
        <f>IF(W287="Phòng Kinh doanh","Trung tâm Kinh doanh - TCT CNC",+VLOOKUP($B287,[2]Time_S4!$B:$G,5,0))</f>
        <v>Khối cơ quan - TCT CNC</v>
      </c>
      <c r="Y287" s="366"/>
      <c r="Z287" s="366"/>
    </row>
    <row r="288" spans="1:26" ht="15.75" hidden="1">
      <c r="A288" s="367">
        <f>SUBTOTAL(3,$B$15:B288)</f>
        <v>2</v>
      </c>
      <c r="B288" s="356" t="s">
        <v>938</v>
      </c>
      <c r="C288" s="356" t="s">
        <v>939</v>
      </c>
      <c r="D288" s="356" t="s">
        <v>407</v>
      </c>
      <c r="E288" s="357">
        <v>21</v>
      </c>
      <c r="F288" s="357">
        <v>21</v>
      </c>
      <c r="G288" s="358">
        <v>23277706</v>
      </c>
      <c r="H288" s="359">
        <f t="shared" si="9"/>
        <v>22314226</v>
      </c>
      <c r="I288" s="360"/>
      <c r="J288" s="361"/>
      <c r="K288" s="362"/>
      <c r="L288" s="362"/>
      <c r="M288" s="361">
        <v>734080</v>
      </c>
      <c r="N288" s="361">
        <v>1605800</v>
      </c>
      <c r="O288" s="361">
        <v>137640</v>
      </c>
      <c r="P288" s="361">
        <v>275280</v>
      </c>
      <c r="Q288" s="361">
        <v>91760</v>
      </c>
      <c r="R288" s="361">
        <v>91760</v>
      </c>
      <c r="S288" s="361">
        <v>183520</v>
      </c>
      <c r="T288" s="363">
        <v>1047000</v>
      </c>
      <c r="U288" s="364">
        <f t="shared" si="10"/>
        <v>26481066</v>
      </c>
      <c r="V288" s="362"/>
      <c r="W288" s="365" t="str">
        <f>+VLOOKUP($B288,[2]Time_S4!$B:$G,6,0)</f>
        <v>Phòng Dự án</v>
      </c>
      <c r="X288" s="365" t="str">
        <f>IF(W288="Phòng Kinh doanh","Trung tâm Kinh doanh - TCT CNC",+VLOOKUP($B288,[2]Time_S4!$B:$G,5,0))</f>
        <v>Trung tâm Mua sắm - TCT CNC</v>
      </c>
      <c r="Y288" s="366"/>
      <c r="Z288" s="366"/>
    </row>
    <row r="289" spans="1:26" ht="15.75" hidden="1">
      <c r="A289" s="367">
        <f>SUBTOTAL(3,$B$15:B289)</f>
        <v>2</v>
      </c>
      <c r="B289" s="356" t="s">
        <v>940</v>
      </c>
      <c r="C289" s="356" t="s">
        <v>941</v>
      </c>
      <c r="D289" s="356" t="s">
        <v>407</v>
      </c>
      <c r="E289" s="357">
        <v>21</v>
      </c>
      <c r="F289" s="357">
        <v>21</v>
      </c>
      <c r="G289" s="358">
        <v>15643427</v>
      </c>
      <c r="H289" s="359">
        <f t="shared" si="9"/>
        <v>14810147</v>
      </c>
      <c r="I289" s="360"/>
      <c r="J289" s="361"/>
      <c r="K289" s="362"/>
      <c r="L289" s="362"/>
      <c r="M289" s="361">
        <v>634880</v>
      </c>
      <c r="N289" s="361">
        <v>1388800</v>
      </c>
      <c r="O289" s="361">
        <v>119040</v>
      </c>
      <c r="P289" s="361">
        <v>238080</v>
      </c>
      <c r="Q289" s="361">
        <v>79360</v>
      </c>
      <c r="R289" s="361">
        <v>79360</v>
      </c>
      <c r="S289" s="361">
        <v>158720</v>
      </c>
      <c r="T289" s="363">
        <v>1830000</v>
      </c>
      <c r="U289" s="364">
        <f t="shared" si="10"/>
        <v>19338387</v>
      </c>
      <c r="V289" s="362"/>
      <c r="W289" s="365" t="str">
        <f>+VLOOKUP($B289,[2]Time_S4!$B:$G,6,0)</f>
        <v>Phòng Hành chính</v>
      </c>
      <c r="X289" s="365" t="str">
        <f>IF(W289="Phòng Kinh doanh","Trung tâm Kinh doanh - TCT CNC",+VLOOKUP($B289,[2]Time_S4!$B:$G,5,0))</f>
        <v>Khối cơ quan - TCT CNC</v>
      </c>
      <c r="Y289" s="366"/>
      <c r="Z289" s="366"/>
    </row>
    <row r="290" spans="1:26" ht="15.75" hidden="1">
      <c r="A290" s="367">
        <f>SUBTOTAL(3,$B$15:B290)</f>
        <v>2</v>
      </c>
      <c r="B290" s="356" t="s">
        <v>70</v>
      </c>
      <c r="C290" s="356" t="s">
        <v>942</v>
      </c>
      <c r="D290" s="356" t="s">
        <v>407</v>
      </c>
      <c r="E290" s="357">
        <v>21</v>
      </c>
      <c r="F290" s="357">
        <v>21</v>
      </c>
      <c r="G290" s="358">
        <v>68671913</v>
      </c>
      <c r="H290" s="359">
        <f t="shared" si="9"/>
        <v>67297001</v>
      </c>
      <c r="I290" s="360"/>
      <c r="J290" s="361"/>
      <c r="K290" s="362"/>
      <c r="L290" s="362"/>
      <c r="M290" s="361">
        <v>1047552</v>
      </c>
      <c r="N290" s="361">
        <v>2291520</v>
      </c>
      <c r="O290" s="361">
        <v>196416</v>
      </c>
      <c r="P290" s="361">
        <v>392832</v>
      </c>
      <c r="Q290" s="361">
        <v>130944</v>
      </c>
      <c r="R290" s="361">
        <v>130944</v>
      </c>
      <c r="S290" s="361">
        <v>261888</v>
      </c>
      <c r="T290" s="363">
        <v>1230000</v>
      </c>
      <c r="U290" s="364">
        <f t="shared" si="10"/>
        <v>72979097</v>
      </c>
      <c r="V290" s="362"/>
      <c r="W290" s="365" t="str">
        <f>+VLOOKUP($B290,[2]Time_S4!$B:$G,6,0)</f>
        <v>Trung tâm Camera</v>
      </c>
      <c r="X290" s="365" t="str">
        <f>IF(W290="Phòng Kinh doanh","Trung tâm Kinh doanh - TCT CNC",+VLOOKUP($B290,[2]Time_S4!$B:$G,5,0))</f>
        <v>Khối 3 - TCT CNC</v>
      </c>
      <c r="Y290" s="366"/>
      <c r="Z290" s="366"/>
    </row>
    <row r="291" spans="1:26" ht="15.75" hidden="1">
      <c r="A291" s="367">
        <f>SUBTOTAL(3,$B$15:B291)</f>
        <v>2</v>
      </c>
      <c r="B291" s="356" t="s">
        <v>943</v>
      </c>
      <c r="C291" s="356" t="s">
        <v>944</v>
      </c>
      <c r="D291" s="356" t="s">
        <v>397</v>
      </c>
      <c r="E291" s="357">
        <v>21</v>
      </c>
      <c r="F291" s="357">
        <v>21</v>
      </c>
      <c r="G291" s="358">
        <v>90999558</v>
      </c>
      <c r="H291" s="359">
        <f t="shared" si="9"/>
        <v>89885718</v>
      </c>
      <c r="I291" s="360"/>
      <c r="J291" s="361"/>
      <c r="K291" s="362"/>
      <c r="L291" s="362"/>
      <c r="M291" s="361">
        <v>1113840</v>
      </c>
      <c r="N291" s="361">
        <v>2436525</v>
      </c>
      <c r="O291" s="361">
        <v>0</v>
      </c>
      <c r="P291" s="361">
        <v>0</v>
      </c>
      <c r="Q291" s="361">
        <v>0</v>
      </c>
      <c r="R291" s="361">
        <v>0</v>
      </c>
      <c r="S291" s="361">
        <v>278460</v>
      </c>
      <c r="T291" s="363">
        <v>1730000</v>
      </c>
      <c r="U291" s="364">
        <f t="shared" si="10"/>
        <v>95444543</v>
      </c>
      <c r="V291" s="362"/>
      <c r="W291" s="365" t="str">
        <f>+VLOOKUP($B291,[2]Time_S4!$B:$G,6,0)</f>
        <v>Trung tâm Công nghệ Cơ khí - Tự động hóa</v>
      </c>
      <c r="X291" s="365" t="str">
        <f>IF(W291="Phòng Kinh doanh","Trung tâm Kinh doanh - TCT CNC",+VLOOKUP($B291,[2]Time_S4!$B:$G,5,0))</f>
        <v>Khối 1 - TCT CNC</v>
      </c>
      <c r="Y291" s="366"/>
      <c r="Z291" s="366"/>
    </row>
    <row r="292" spans="1:26" ht="15.75" hidden="1">
      <c r="A292" s="367">
        <f>SUBTOTAL(3,$B$15:B292)</f>
        <v>2</v>
      </c>
      <c r="B292" s="356" t="s">
        <v>945</v>
      </c>
      <c r="C292" s="356" t="s">
        <v>946</v>
      </c>
      <c r="D292" s="356" t="s">
        <v>397</v>
      </c>
      <c r="E292" s="357">
        <v>21</v>
      </c>
      <c r="F292" s="357">
        <v>21</v>
      </c>
      <c r="G292" s="358">
        <v>15576259</v>
      </c>
      <c r="H292" s="359">
        <f t="shared" si="9"/>
        <v>14649619</v>
      </c>
      <c r="I292" s="360"/>
      <c r="J292" s="361"/>
      <c r="K292" s="362"/>
      <c r="L292" s="362"/>
      <c r="M292" s="361">
        <v>926640</v>
      </c>
      <c r="N292" s="361">
        <v>2027025</v>
      </c>
      <c r="O292" s="361">
        <v>0</v>
      </c>
      <c r="P292" s="361">
        <v>0</v>
      </c>
      <c r="Q292" s="361">
        <v>0</v>
      </c>
      <c r="R292" s="361">
        <v>0</v>
      </c>
      <c r="S292" s="361">
        <v>231660</v>
      </c>
      <c r="T292" s="363">
        <v>1630000</v>
      </c>
      <c r="U292" s="364">
        <f t="shared" si="10"/>
        <v>19464944</v>
      </c>
      <c r="V292" s="362"/>
      <c r="W292" s="365" t="str">
        <f>+VLOOKUP($B292,[2]Time_S4!$B:$G,6,0)</f>
        <v>Phòng Hành chính</v>
      </c>
      <c r="X292" s="365" t="str">
        <f>IF(W292="Phòng Kinh doanh","Trung tâm Kinh doanh - TCT CNC",+VLOOKUP($B292,[2]Time_S4!$B:$G,5,0))</f>
        <v>Khối cơ quan - TCT CNC</v>
      </c>
      <c r="Y292" s="366"/>
      <c r="Z292" s="380"/>
    </row>
    <row r="293" spans="1:26" ht="15.75" hidden="1">
      <c r="A293" s="367">
        <f>SUBTOTAL(3,$B$15:B293)</f>
        <v>2</v>
      </c>
      <c r="B293" s="356" t="s">
        <v>947</v>
      </c>
      <c r="C293" s="356" t="s">
        <v>948</v>
      </c>
      <c r="D293" s="356" t="s">
        <v>407</v>
      </c>
      <c r="E293" s="357">
        <v>21</v>
      </c>
      <c r="F293" s="357">
        <v>21</v>
      </c>
      <c r="G293" s="358">
        <v>52304747</v>
      </c>
      <c r="H293" s="359">
        <f t="shared" si="9"/>
        <v>51060035</v>
      </c>
      <c r="I293" s="360"/>
      <c r="J293" s="361"/>
      <c r="K293" s="362"/>
      <c r="L293" s="362"/>
      <c r="M293" s="361">
        <v>948352</v>
      </c>
      <c r="N293" s="361">
        <v>2074520</v>
      </c>
      <c r="O293" s="361">
        <v>177816</v>
      </c>
      <c r="P293" s="361">
        <v>355632</v>
      </c>
      <c r="Q293" s="361">
        <v>118544</v>
      </c>
      <c r="R293" s="361">
        <v>118544</v>
      </c>
      <c r="S293" s="361">
        <v>237088</v>
      </c>
      <c r="T293" s="363">
        <v>1030000</v>
      </c>
      <c r="U293" s="364">
        <f t="shared" si="10"/>
        <v>56120531</v>
      </c>
      <c r="V293" s="362"/>
      <c r="W293" s="365" t="str">
        <f>+VLOOKUP($B293,[2]Time_S4!$B:$G,6,0)</f>
        <v>Trung tâm Nghiên cứu Công nghệ chuyển mạch</v>
      </c>
      <c r="X293" s="365" t="str">
        <f>IF(W293="Phòng Kinh doanh","Trung tâm Kinh doanh - TCT CNC",+VLOOKUP($B293,[2]Time_S4!$B:$G,5,0))</f>
        <v>Khối 2 - TCT CNC</v>
      </c>
      <c r="Y293" s="366"/>
      <c r="Z293" s="366"/>
    </row>
    <row r="294" spans="1:26" ht="15.75" hidden="1">
      <c r="A294" s="367">
        <f>SUBTOTAL(3,$B$15:B294)</f>
        <v>2</v>
      </c>
      <c r="B294" s="356" t="s">
        <v>324</v>
      </c>
      <c r="C294" s="356" t="s">
        <v>325</v>
      </c>
      <c r="D294" s="356" t="s">
        <v>397</v>
      </c>
      <c r="E294" s="357">
        <v>21</v>
      </c>
      <c r="F294" s="357">
        <v>21</v>
      </c>
      <c r="G294" s="358">
        <v>77894397</v>
      </c>
      <c r="H294" s="359">
        <f t="shared" si="9"/>
        <v>76733757</v>
      </c>
      <c r="I294" s="360"/>
      <c r="J294" s="361"/>
      <c r="K294" s="362"/>
      <c r="L294" s="362"/>
      <c r="M294" s="361">
        <v>1160640</v>
      </c>
      <c r="N294" s="361">
        <v>2538900</v>
      </c>
      <c r="O294" s="361">
        <v>0</v>
      </c>
      <c r="P294" s="361">
        <v>0</v>
      </c>
      <c r="Q294" s="361">
        <v>0</v>
      </c>
      <c r="R294" s="361">
        <v>0</v>
      </c>
      <c r="S294" s="361">
        <v>290160</v>
      </c>
      <c r="T294" s="363">
        <v>1230000</v>
      </c>
      <c r="U294" s="364">
        <f t="shared" si="10"/>
        <v>81953457</v>
      </c>
      <c r="V294" s="362"/>
      <c r="W294" s="365" t="str">
        <f>+VLOOKUP($B294,[2]Time_S4!$B:$G,6,0)</f>
        <v>Trung tâm Mô hình mô phỏng</v>
      </c>
      <c r="X294" s="365" t="str">
        <f>IF(W294="Phòng Kinh doanh","Trung tâm Kinh doanh - TCT CNC",+VLOOKUP($B294,[2]Time_S4!$B:$G,5,0))</f>
        <v>Khối 1 - TCT CNC</v>
      </c>
      <c r="Y294" s="366"/>
      <c r="Z294" s="366"/>
    </row>
    <row r="295" spans="1:26" ht="15.75" hidden="1">
      <c r="A295" s="367">
        <f>SUBTOTAL(3,$B$15:B295)</f>
        <v>2</v>
      </c>
      <c r="B295" s="356" t="s">
        <v>949</v>
      </c>
      <c r="C295" s="356" t="s">
        <v>950</v>
      </c>
      <c r="D295" s="356" t="s">
        <v>407</v>
      </c>
      <c r="E295" s="357">
        <v>21</v>
      </c>
      <c r="F295" s="357">
        <v>21</v>
      </c>
      <c r="G295" s="358">
        <v>66710351</v>
      </c>
      <c r="H295" s="359">
        <f t="shared" si="9"/>
        <v>65335439</v>
      </c>
      <c r="I295" s="360"/>
      <c r="J295" s="361"/>
      <c r="K295" s="362"/>
      <c r="L295" s="362"/>
      <c r="M295" s="361">
        <v>1047552</v>
      </c>
      <c r="N295" s="361">
        <v>2291520</v>
      </c>
      <c r="O295" s="361">
        <v>196416</v>
      </c>
      <c r="P295" s="361">
        <v>392832</v>
      </c>
      <c r="Q295" s="361">
        <v>130944</v>
      </c>
      <c r="R295" s="361">
        <v>130944</v>
      </c>
      <c r="S295" s="361">
        <v>261888</v>
      </c>
      <c r="T295" s="363">
        <v>1230000</v>
      </c>
      <c r="U295" s="364">
        <f t="shared" si="10"/>
        <v>71017535</v>
      </c>
      <c r="V295" s="362"/>
      <c r="W295" s="365" t="str">
        <f>+VLOOKUP($B295,[2]Time_S4!$B:$G,6,0)</f>
        <v>Trung tâm Quang điện tử</v>
      </c>
      <c r="X295" s="365" t="str">
        <f>IF(W295="Phòng Kinh doanh","Trung tâm Kinh doanh - TCT CNC",+VLOOKUP($B295,[2]Time_S4!$B:$G,5,0))</f>
        <v>Khối 1 - TCT CNC</v>
      </c>
      <c r="Y295" s="366"/>
      <c r="Z295" s="366"/>
    </row>
    <row r="296" spans="1:26" ht="15.75" hidden="1">
      <c r="A296" s="367">
        <f>SUBTOTAL(3,$B$15:B296)</f>
        <v>2</v>
      </c>
      <c r="B296" s="356" t="s">
        <v>73</v>
      </c>
      <c r="C296" s="356" t="s">
        <v>951</v>
      </c>
      <c r="D296" s="356" t="s">
        <v>400</v>
      </c>
      <c r="E296" s="357">
        <v>21</v>
      </c>
      <c r="F296" s="357">
        <v>21</v>
      </c>
      <c r="G296" s="358">
        <v>73141314</v>
      </c>
      <c r="H296" s="359">
        <f t="shared" si="9"/>
        <v>72194316</v>
      </c>
      <c r="I296" s="360"/>
      <c r="J296" s="361"/>
      <c r="K296" s="362"/>
      <c r="L296" s="362"/>
      <c r="M296" s="361">
        <v>797472</v>
      </c>
      <c r="N296" s="361">
        <v>1744470</v>
      </c>
      <c r="O296" s="361">
        <v>149526</v>
      </c>
      <c r="P296" s="361">
        <v>299052</v>
      </c>
      <c r="Q296" s="361">
        <v>0</v>
      </c>
      <c r="R296" s="361">
        <v>0</v>
      </c>
      <c r="S296" s="361">
        <v>199368</v>
      </c>
      <c r="T296" s="363">
        <v>1230000</v>
      </c>
      <c r="U296" s="364">
        <f t="shared" si="10"/>
        <v>76614204</v>
      </c>
      <c r="V296" s="362"/>
      <c r="W296" s="365" t="str">
        <f>+VLOOKUP($B296,[2]Time_S4!$B:$G,6,0)</f>
        <v>Trung tâm Thông tin Quân sự</v>
      </c>
      <c r="X296" s="365" t="str">
        <f>IF(W296="Phòng Kinh doanh","Trung tâm Kinh doanh - TCT CNC",+VLOOKUP($B296,[2]Time_S4!$B:$G,5,0))</f>
        <v>Khối 1 - TCT CNC</v>
      </c>
      <c r="Y296" s="366"/>
      <c r="Z296" s="366"/>
    </row>
    <row r="297" spans="1:26" ht="15.75" hidden="1">
      <c r="A297" s="367">
        <f>SUBTOTAL(3,$B$15:B297)</f>
        <v>2</v>
      </c>
      <c r="B297" s="356" t="s">
        <v>78</v>
      </c>
      <c r="C297" s="356" t="s">
        <v>952</v>
      </c>
      <c r="D297" s="356" t="s">
        <v>407</v>
      </c>
      <c r="E297" s="357">
        <v>21</v>
      </c>
      <c r="F297" s="357">
        <v>21</v>
      </c>
      <c r="G297" s="358">
        <v>32826640</v>
      </c>
      <c r="H297" s="359">
        <f t="shared" si="9"/>
        <v>31759000</v>
      </c>
      <c r="I297" s="360"/>
      <c r="J297" s="361"/>
      <c r="K297" s="362"/>
      <c r="L297" s="362"/>
      <c r="M297" s="361">
        <v>813440</v>
      </c>
      <c r="N297" s="361">
        <v>1779400</v>
      </c>
      <c r="O297" s="361">
        <v>152520</v>
      </c>
      <c r="P297" s="361">
        <v>305040</v>
      </c>
      <c r="Q297" s="361">
        <v>101680</v>
      </c>
      <c r="R297" s="361">
        <v>101680</v>
      </c>
      <c r="S297" s="361">
        <v>203360</v>
      </c>
      <c r="T297" s="363">
        <v>1030000</v>
      </c>
      <c r="U297" s="364">
        <f t="shared" si="10"/>
        <v>36246120</v>
      </c>
      <c r="V297" s="362"/>
      <c r="W297" s="365" t="str">
        <f>+VLOOKUP($B297,[2]Time_S4!$B:$G,6,0)</f>
        <v>Trung tâm Thông tin Quân sự</v>
      </c>
      <c r="X297" s="365" t="str">
        <f>IF(W297="Phòng Kinh doanh","Trung tâm Kinh doanh - TCT CNC",+VLOOKUP($B297,[2]Time_S4!$B:$G,5,0))</f>
        <v>Khối 1 - TCT CNC</v>
      </c>
      <c r="Y297" s="366"/>
      <c r="Z297" s="366"/>
    </row>
    <row r="298" spans="1:26" ht="15.75" hidden="1">
      <c r="A298" s="367">
        <f>SUBTOTAL(3,$B$15:B298)</f>
        <v>2</v>
      </c>
      <c r="B298" s="356" t="s">
        <v>953</v>
      </c>
      <c r="C298" s="356" t="s">
        <v>954</v>
      </c>
      <c r="D298" s="356" t="s">
        <v>397</v>
      </c>
      <c r="E298" s="357">
        <v>21</v>
      </c>
      <c r="F298" s="357">
        <v>21</v>
      </c>
      <c r="G298" s="358">
        <v>84470679</v>
      </c>
      <c r="H298" s="359">
        <f t="shared" si="9"/>
        <v>83291319</v>
      </c>
      <c r="I298" s="360"/>
      <c r="J298" s="361"/>
      <c r="K298" s="362"/>
      <c r="L298" s="362"/>
      <c r="M298" s="361">
        <v>1179360</v>
      </c>
      <c r="N298" s="361">
        <v>2579850</v>
      </c>
      <c r="O298" s="361">
        <v>0</v>
      </c>
      <c r="P298" s="361">
        <v>0</v>
      </c>
      <c r="Q298" s="361">
        <v>0</v>
      </c>
      <c r="R298" s="361">
        <v>0</v>
      </c>
      <c r="S298" s="361">
        <v>294840</v>
      </c>
      <c r="T298" s="363">
        <v>1730000</v>
      </c>
      <c r="U298" s="364">
        <f t="shared" si="10"/>
        <v>89075369</v>
      </c>
      <c r="V298" s="362"/>
      <c r="W298" s="365" t="str">
        <f>+VLOOKUP($B298,[2]Time_S4!$B:$G,6,0)</f>
        <v>Trung tâm Rada</v>
      </c>
      <c r="X298" s="365" t="str">
        <f>IF(W298="Phòng Kinh doanh","Trung tâm Kinh doanh - TCT CNC",+VLOOKUP($B298,[2]Time_S4!$B:$G,5,0))</f>
        <v>Khối 1 - TCT CNC</v>
      </c>
      <c r="Y298" s="366"/>
      <c r="Z298" s="366"/>
    </row>
    <row r="299" spans="1:26" ht="15.75" hidden="1">
      <c r="A299" s="367">
        <f>SUBTOTAL(3,$B$15:B299)</f>
        <v>2</v>
      </c>
      <c r="B299" s="356" t="s">
        <v>955</v>
      </c>
      <c r="C299" s="356" t="s">
        <v>956</v>
      </c>
      <c r="D299" s="356" t="s">
        <v>407</v>
      </c>
      <c r="E299" s="357">
        <v>21</v>
      </c>
      <c r="F299" s="357">
        <v>21</v>
      </c>
      <c r="G299" s="358">
        <v>70875077</v>
      </c>
      <c r="H299" s="359">
        <f t="shared" si="9"/>
        <v>69427253</v>
      </c>
      <c r="I299" s="360"/>
      <c r="J299" s="361"/>
      <c r="K299" s="362"/>
      <c r="L299" s="362"/>
      <c r="M299" s="361">
        <v>1103104</v>
      </c>
      <c r="N299" s="361">
        <v>2413040</v>
      </c>
      <c r="O299" s="361">
        <v>206832</v>
      </c>
      <c r="P299" s="361">
        <v>413664</v>
      </c>
      <c r="Q299" s="361">
        <v>137888</v>
      </c>
      <c r="R299" s="361">
        <v>137888</v>
      </c>
      <c r="S299" s="361">
        <v>275776</v>
      </c>
      <c r="T299" s="363">
        <v>1230000</v>
      </c>
      <c r="U299" s="364">
        <f t="shared" si="10"/>
        <v>75345445</v>
      </c>
      <c r="V299" s="362"/>
      <c r="W299" s="365" t="str">
        <f>+VLOOKUP($B299,[2]Time_S4!$B:$G,6,0)</f>
        <v>Trung tâm Khí cụ bay</v>
      </c>
      <c r="X299" s="365" t="str">
        <f>IF(W299="Phòng Kinh doanh","Trung tâm Kinh doanh - TCT CNC",+VLOOKUP($B299,[2]Time_S4!$B:$G,5,0))</f>
        <v>Khối 1 - TCT CNC</v>
      </c>
      <c r="Y299" s="366"/>
      <c r="Z299" s="366"/>
    </row>
    <row r="300" spans="1:26" ht="15.75" hidden="1">
      <c r="A300" s="367">
        <f>SUBTOTAL(3,$B$15:B300)</f>
        <v>2</v>
      </c>
      <c r="B300" s="356" t="s">
        <v>957</v>
      </c>
      <c r="C300" s="356" t="s">
        <v>958</v>
      </c>
      <c r="D300" s="356" t="s">
        <v>407</v>
      </c>
      <c r="E300" s="357">
        <v>21</v>
      </c>
      <c r="F300" s="357">
        <v>21</v>
      </c>
      <c r="G300" s="358">
        <v>20701249</v>
      </c>
      <c r="H300" s="359">
        <f t="shared" si="9"/>
        <v>19784641</v>
      </c>
      <c r="I300" s="360"/>
      <c r="J300" s="361"/>
      <c r="K300" s="362"/>
      <c r="L300" s="362"/>
      <c r="M300" s="361">
        <v>698368</v>
      </c>
      <c r="N300" s="361">
        <v>1527680</v>
      </c>
      <c r="O300" s="361">
        <v>130944</v>
      </c>
      <c r="P300" s="361">
        <v>261888</v>
      </c>
      <c r="Q300" s="361">
        <v>87296</v>
      </c>
      <c r="R300" s="361">
        <v>87296</v>
      </c>
      <c r="S300" s="361">
        <v>174592</v>
      </c>
      <c r="T300" s="363">
        <v>1047000</v>
      </c>
      <c r="U300" s="364">
        <f t="shared" si="10"/>
        <v>23799705</v>
      </c>
      <c r="V300" s="362"/>
      <c r="W300" s="365" t="str">
        <f>+VLOOKUP($B300,[2]Time_S4!$B:$G,6,0)</f>
        <v>Phòng Tổng hợp</v>
      </c>
      <c r="X300" s="365" t="str">
        <f>IF(W300="Phòng Kinh doanh","Trung tâm Kinh doanh - TCT CNC",+VLOOKUP($B300,[2]Time_S4!$B:$G,5,0))</f>
        <v>Khối 1 - TCT CNC</v>
      </c>
      <c r="Y300" s="366"/>
      <c r="Z300" s="366"/>
    </row>
    <row r="301" spans="1:26" ht="15.75" hidden="1">
      <c r="A301" s="367">
        <f>SUBTOTAL(3,$B$15:B301)</f>
        <v>2</v>
      </c>
      <c r="B301" s="356" t="s">
        <v>959</v>
      </c>
      <c r="C301" s="356" t="s">
        <v>960</v>
      </c>
      <c r="D301" s="356" t="s">
        <v>407</v>
      </c>
      <c r="E301" s="357">
        <v>21</v>
      </c>
      <c r="F301" s="357">
        <v>21</v>
      </c>
      <c r="G301" s="358">
        <v>64571186</v>
      </c>
      <c r="H301" s="359">
        <f t="shared" si="9"/>
        <v>63196274</v>
      </c>
      <c r="I301" s="360"/>
      <c r="J301" s="361"/>
      <c r="K301" s="362"/>
      <c r="L301" s="362"/>
      <c r="M301" s="361">
        <v>1047552</v>
      </c>
      <c r="N301" s="361">
        <v>2291520</v>
      </c>
      <c r="O301" s="361">
        <v>196416</v>
      </c>
      <c r="P301" s="361">
        <v>392832</v>
      </c>
      <c r="Q301" s="361">
        <v>130944</v>
      </c>
      <c r="R301" s="361">
        <v>130944</v>
      </c>
      <c r="S301" s="361">
        <v>261888</v>
      </c>
      <c r="T301" s="363">
        <v>1230000</v>
      </c>
      <c r="U301" s="364">
        <f t="shared" si="10"/>
        <v>68878370</v>
      </c>
      <c r="V301" s="362"/>
      <c r="W301" s="365" t="str">
        <f>+VLOOKUP($B301,[2]Time_S4!$B:$G,6,0)</f>
        <v>Trung tâm Chỉ huy điều khiển</v>
      </c>
      <c r="X301" s="365" t="str">
        <f>IF(W301="Phòng Kinh doanh","Trung tâm Kinh doanh - TCT CNC",+VLOOKUP($B301,[2]Time_S4!$B:$G,5,0))</f>
        <v>Khối 1 - TCT CNC</v>
      </c>
      <c r="Y301" s="366"/>
      <c r="Z301" s="366"/>
    </row>
    <row r="302" spans="1:26" ht="15.75" hidden="1">
      <c r="A302" s="367">
        <f>SUBTOTAL(3,$B$15:B302)</f>
        <v>2</v>
      </c>
      <c r="B302" s="356" t="s">
        <v>961</v>
      </c>
      <c r="C302" s="356" t="s">
        <v>962</v>
      </c>
      <c r="D302" s="356" t="s">
        <v>407</v>
      </c>
      <c r="E302" s="357">
        <v>21</v>
      </c>
      <c r="F302" s="357">
        <v>21</v>
      </c>
      <c r="G302" s="358">
        <v>63671538</v>
      </c>
      <c r="H302" s="359">
        <f t="shared" si="9"/>
        <v>62296626</v>
      </c>
      <c r="I302" s="360"/>
      <c r="J302" s="361"/>
      <c r="K302" s="362"/>
      <c r="L302" s="362"/>
      <c r="M302" s="361">
        <v>1047552</v>
      </c>
      <c r="N302" s="361">
        <v>2291520</v>
      </c>
      <c r="O302" s="361">
        <v>196416</v>
      </c>
      <c r="P302" s="361">
        <v>392832</v>
      </c>
      <c r="Q302" s="361">
        <v>130944</v>
      </c>
      <c r="R302" s="361">
        <v>130944</v>
      </c>
      <c r="S302" s="361">
        <v>261888</v>
      </c>
      <c r="T302" s="363">
        <v>1130000</v>
      </c>
      <c r="U302" s="364">
        <f t="shared" si="10"/>
        <v>67878722</v>
      </c>
      <c r="V302" s="362"/>
      <c r="W302" s="365" t="str">
        <f>+VLOOKUP($B302,[2]Time_S4!$B:$G,6,0)</f>
        <v>Trung tâm Tác chiến điện tử</v>
      </c>
      <c r="X302" s="365" t="str">
        <f>IF(W302="Phòng Kinh doanh","Trung tâm Kinh doanh - TCT CNC",+VLOOKUP($B302,[2]Time_S4!$B:$G,5,0))</f>
        <v>Khối 1 - TCT CNC</v>
      </c>
      <c r="Y302" s="366"/>
      <c r="Z302" s="366"/>
    </row>
    <row r="303" spans="1:26" ht="15.75" hidden="1">
      <c r="A303" s="367">
        <f>SUBTOTAL(3,$B$15:B303)</f>
        <v>2</v>
      </c>
      <c r="B303" s="356" t="s">
        <v>963</v>
      </c>
      <c r="C303" s="356" t="s">
        <v>964</v>
      </c>
      <c r="D303" s="356" t="s">
        <v>400</v>
      </c>
      <c r="E303" s="357">
        <v>21</v>
      </c>
      <c r="F303" s="357">
        <v>21</v>
      </c>
      <c r="G303" s="358">
        <v>71259815</v>
      </c>
      <c r="H303" s="359">
        <f t="shared" si="9"/>
        <v>70446197</v>
      </c>
      <c r="I303" s="360"/>
      <c r="J303" s="361"/>
      <c r="K303" s="362"/>
      <c r="L303" s="362"/>
      <c r="M303" s="361">
        <v>685152</v>
      </c>
      <c r="N303" s="361">
        <v>1498770</v>
      </c>
      <c r="O303" s="361">
        <v>128466</v>
      </c>
      <c r="P303" s="361">
        <v>256932</v>
      </c>
      <c r="Q303" s="361">
        <v>0</v>
      </c>
      <c r="R303" s="361">
        <v>0</v>
      </c>
      <c r="S303" s="361">
        <v>171288</v>
      </c>
      <c r="T303" s="363">
        <v>1230000</v>
      </c>
      <c r="U303" s="364">
        <f t="shared" si="10"/>
        <v>74416805</v>
      </c>
      <c r="V303" s="362"/>
      <c r="W303" s="365" t="str">
        <f>+VLOOKUP($B303,[2]Time_S4!$B:$G,6,0)</f>
        <v>Trung tâm Thông tin Quân sự</v>
      </c>
      <c r="X303" s="365" t="str">
        <f>IF(W303="Phòng Kinh doanh","Trung tâm Kinh doanh - TCT CNC",+VLOOKUP($B303,[2]Time_S4!$B:$G,5,0))</f>
        <v>Khối 1 - TCT CNC</v>
      </c>
      <c r="Y303" s="366"/>
      <c r="Z303" s="366"/>
    </row>
    <row r="304" spans="1:26" ht="15.75" hidden="1">
      <c r="A304" s="367">
        <f>SUBTOTAL(3,$B$15:B304)</f>
        <v>2</v>
      </c>
      <c r="B304" s="356" t="s">
        <v>965</v>
      </c>
      <c r="C304" s="356" t="s">
        <v>966</v>
      </c>
      <c r="D304" s="356" t="s">
        <v>407</v>
      </c>
      <c r="E304" s="357">
        <v>21</v>
      </c>
      <c r="F304" s="357">
        <v>21</v>
      </c>
      <c r="G304" s="358">
        <v>50592687</v>
      </c>
      <c r="H304" s="359">
        <f t="shared" si="9"/>
        <v>49410471</v>
      </c>
      <c r="I304" s="360"/>
      <c r="J304" s="361"/>
      <c r="K304" s="362"/>
      <c r="L304" s="362"/>
      <c r="M304" s="361">
        <v>900736</v>
      </c>
      <c r="N304" s="361">
        <v>1970360</v>
      </c>
      <c r="O304" s="361">
        <v>168888</v>
      </c>
      <c r="P304" s="361">
        <v>337776</v>
      </c>
      <c r="Q304" s="361">
        <v>112592</v>
      </c>
      <c r="R304" s="361">
        <v>112592</v>
      </c>
      <c r="S304" s="361">
        <v>225184</v>
      </c>
      <c r="T304" s="363">
        <v>1030000</v>
      </c>
      <c r="U304" s="364">
        <f t="shared" si="10"/>
        <v>54268599</v>
      </c>
      <c r="V304" s="362"/>
      <c r="W304" s="365" t="str">
        <f>+VLOOKUP($B304,[2]Time_S4!$B:$G,6,0)</f>
        <v>Trung tâm Khí cụ bay</v>
      </c>
      <c r="X304" s="365" t="str">
        <f>IF(W304="Phòng Kinh doanh","Trung tâm Kinh doanh - TCT CNC",+VLOOKUP($B304,[2]Time_S4!$B:$G,5,0))</f>
        <v>Khối 1 - TCT CNC</v>
      </c>
      <c r="Y304" s="366"/>
      <c r="Z304" s="366"/>
    </row>
    <row r="305" spans="1:26" ht="15.75" hidden="1">
      <c r="A305" s="367">
        <f>SUBTOTAL(3,$B$15:B305)</f>
        <v>2</v>
      </c>
      <c r="B305" s="356" t="s">
        <v>967</v>
      </c>
      <c r="C305" s="356" t="s">
        <v>968</v>
      </c>
      <c r="D305" s="356" t="s">
        <v>407</v>
      </c>
      <c r="E305" s="357">
        <v>21</v>
      </c>
      <c r="F305" s="357">
        <v>21</v>
      </c>
      <c r="G305" s="358">
        <v>32781136</v>
      </c>
      <c r="H305" s="359">
        <f t="shared" si="9"/>
        <v>31656208</v>
      </c>
      <c r="I305" s="360"/>
      <c r="J305" s="361"/>
      <c r="K305" s="362"/>
      <c r="L305" s="362"/>
      <c r="M305" s="361">
        <v>857088</v>
      </c>
      <c r="N305" s="361">
        <v>1874880</v>
      </c>
      <c r="O305" s="361">
        <v>160704</v>
      </c>
      <c r="P305" s="361">
        <v>321408</v>
      </c>
      <c r="Q305" s="361">
        <v>107136</v>
      </c>
      <c r="R305" s="361">
        <v>107136</v>
      </c>
      <c r="S305" s="361">
        <v>214272</v>
      </c>
      <c r="T305" s="363">
        <v>1147000</v>
      </c>
      <c r="U305" s="364">
        <f t="shared" si="10"/>
        <v>36445832</v>
      </c>
      <c r="V305" s="362"/>
      <c r="W305" s="365" t="str">
        <f>+VLOOKUP($B305,[2]Time_S4!$B:$G,6,0)</f>
        <v>Trung tâm Nghiên cứu Công nghệ truyền dẫn</v>
      </c>
      <c r="X305" s="365" t="str">
        <f>IF(W305="Phòng Kinh doanh","Trung tâm Kinh doanh - TCT CNC",+VLOOKUP($B305,[2]Time_S4!$B:$G,5,0))</f>
        <v>Khối 2 - TCT CNC</v>
      </c>
      <c r="Y305" s="366"/>
      <c r="Z305" s="366"/>
    </row>
    <row r="306" spans="1:26" ht="15.75" hidden="1">
      <c r="A306" s="367">
        <f>SUBTOTAL(3,$B$15:B306)</f>
        <v>2</v>
      </c>
      <c r="B306" s="356" t="s">
        <v>969</v>
      </c>
      <c r="C306" s="356" t="s">
        <v>970</v>
      </c>
      <c r="D306" s="356" t="s">
        <v>410</v>
      </c>
      <c r="E306" s="357">
        <v>21</v>
      </c>
      <c r="F306" s="357">
        <v>21</v>
      </c>
      <c r="G306" s="358">
        <v>67611423</v>
      </c>
      <c r="H306" s="359">
        <f t="shared" si="9"/>
        <v>66043061</v>
      </c>
      <c r="I306" s="360"/>
      <c r="J306" s="361"/>
      <c r="K306" s="362"/>
      <c r="L306" s="362"/>
      <c r="M306" s="361">
        <v>1568362</v>
      </c>
      <c r="N306" s="361">
        <v>3430791</v>
      </c>
      <c r="O306" s="361">
        <v>0</v>
      </c>
      <c r="P306" s="361">
        <v>0</v>
      </c>
      <c r="Q306" s="361">
        <v>0</v>
      </c>
      <c r="R306" s="361">
        <v>0</v>
      </c>
      <c r="S306" s="361">
        <v>392090</v>
      </c>
      <c r="T306" s="363">
        <v>1130000</v>
      </c>
      <c r="U306" s="364">
        <f t="shared" si="10"/>
        <v>72564304</v>
      </c>
      <c r="V306" s="362"/>
      <c r="W306" s="365" t="str">
        <f>+VLOOKUP($B306,[2]Time_S4!$B:$G,6,0)</f>
        <v>Trung tâm Tác chiến điện tử</v>
      </c>
      <c r="X306" s="365" t="str">
        <f>IF(W306="Phòng Kinh doanh","Trung tâm Kinh doanh - TCT CNC",+VLOOKUP($B306,[2]Time_S4!$B:$G,5,0))</f>
        <v>Khối 1 - TCT CNC</v>
      </c>
      <c r="Y306" s="366"/>
      <c r="Z306" s="380"/>
    </row>
    <row r="307" spans="1:26" ht="15.75" hidden="1">
      <c r="A307" s="367">
        <f>SUBTOTAL(3,$B$15:B307)</f>
        <v>2</v>
      </c>
      <c r="B307" s="356" t="s">
        <v>971</v>
      </c>
      <c r="C307" s="356" t="s">
        <v>972</v>
      </c>
      <c r="D307" s="356" t="s">
        <v>410</v>
      </c>
      <c r="E307" s="357">
        <v>21</v>
      </c>
      <c r="F307" s="357">
        <v>21</v>
      </c>
      <c r="G307" s="358">
        <v>47887184</v>
      </c>
      <c r="H307" s="359">
        <f t="shared" si="9"/>
        <v>46561808</v>
      </c>
      <c r="I307" s="360"/>
      <c r="J307" s="361"/>
      <c r="K307" s="362"/>
      <c r="L307" s="362"/>
      <c r="M307" s="361">
        <v>1325376</v>
      </c>
      <c r="N307" s="361">
        <v>2899260</v>
      </c>
      <c r="O307" s="361">
        <v>0</v>
      </c>
      <c r="P307" s="361">
        <v>0</v>
      </c>
      <c r="Q307" s="361">
        <v>0</v>
      </c>
      <c r="R307" s="361">
        <v>0</v>
      </c>
      <c r="S307" s="361">
        <v>331344</v>
      </c>
      <c r="T307" s="363">
        <v>1030000</v>
      </c>
      <c r="U307" s="364">
        <f t="shared" si="10"/>
        <v>52147788</v>
      </c>
      <c r="V307" s="362"/>
      <c r="W307" s="365" t="str">
        <f>+VLOOKUP($B307,[2]Time_S4!$B:$G,6,0)</f>
        <v>Trung tâm Thông tin Quân sự</v>
      </c>
      <c r="X307" s="365" t="str">
        <f>IF(W307="Phòng Kinh doanh","Trung tâm Kinh doanh - TCT CNC",+VLOOKUP($B307,[2]Time_S4!$B:$G,5,0))</f>
        <v>Khối 1 - TCT CNC</v>
      </c>
      <c r="Y307" s="366"/>
      <c r="Z307" s="366"/>
    </row>
    <row r="308" spans="1:26" ht="15.75" hidden="1">
      <c r="A308" s="367">
        <f>SUBTOTAL(3,$B$15:B308)</f>
        <v>2</v>
      </c>
      <c r="B308" s="356" t="s">
        <v>973</v>
      </c>
      <c r="C308" s="356" t="s">
        <v>974</v>
      </c>
      <c r="D308" s="356" t="s">
        <v>397</v>
      </c>
      <c r="E308" s="357">
        <v>21</v>
      </c>
      <c r="F308" s="357">
        <v>21</v>
      </c>
      <c r="G308" s="358">
        <v>26125544</v>
      </c>
      <c r="H308" s="359">
        <f t="shared" si="9"/>
        <v>24967244</v>
      </c>
      <c r="I308" s="360"/>
      <c r="J308" s="361"/>
      <c r="K308" s="362"/>
      <c r="L308" s="362"/>
      <c r="M308" s="361">
        <v>1158300</v>
      </c>
      <c r="N308" s="361">
        <v>2533781</v>
      </c>
      <c r="O308" s="361">
        <v>0</v>
      </c>
      <c r="P308" s="361">
        <v>0</v>
      </c>
      <c r="Q308" s="361">
        <v>0</v>
      </c>
      <c r="R308" s="361">
        <v>0</v>
      </c>
      <c r="S308" s="361">
        <v>289575</v>
      </c>
      <c r="T308" s="363">
        <v>1730000</v>
      </c>
      <c r="U308" s="364">
        <f t="shared" si="10"/>
        <v>30678900</v>
      </c>
      <c r="V308" s="362"/>
      <c r="W308" s="365" t="str">
        <f>+VLOOKUP($B308,[2]Time_S4!$B:$G,6,0)</f>
        <v>Phòng Hành chính</v>
      </c>
      <c r="X308" s="365" t="str">
        <f>IF(W308="Phòng Kinh doanh","Trung tâm Kinh doanh - TCT CNC",+VLOOKUP($B308,[2]Time_S4!$B:$G,5,0))</f>
        <v>Khối cơ quan - TCT CNC</v>
      </c>
      <c r="Y308" s="366"/>
      <c r="Z308" s="366"/>
    </row>
    <row r="309" spans="1:26" ht="15.75" hidden="1">
      <c r="A309" s="367">
        <f>SUBTOTAL(3,$B$15:B309)</f>
        <v>2</v>
      </c>
      <c r="B309" s="356" t="s">
        <v>975</v>
      </c>
      <c r="C309" s="356" t="s">
        <v>976</v>
      </c>
      <c r="D309" s="356" t="s">
        <v>407</v>
      </c>
      <c r="E309" s="357">
        <v>21</v>
      </c>
      <c r="F309" s="357">
        <v>21</v>
      </c>
      <c r="G309" s="358">
        <v>39185912</v>
      </c>
      <c r="H309" s="359">
        <f t="shared" si="9"/>
        <v>38060984</v>
      </c>
      <c r="I309" s="360"/>
      <c r="J309" s="361"/>
      <c r="K309" s="362"/>
      <c r="L309" s="362"/>
      <c r="M309" s="361">
        <v>857088</v>
      </c>
      <c r="N309" s="361">
        <v>1874880</v>
      </c>
      <c r="O309" s="361">
        <v>160704</v>
      </c>
      <c r="P309" s="361">
        <v>321408</v>
      </c>
      <c r="Q309" s="361">
        <v>107136</v>
      </c>
      <c r="R309" s="361">
        <v>107136</v>
      </c>
      <c r="S309" s="361">
        <v>214272</v>
      </c>
      <c r="T309" s="363">
        <v>1030000</v>
      </c>
      <c r="U309" s="364">
        <f t="shared" si="10"/>
        <v>42733608</v>
      </c>
      <c r="V309" s="362"/>
      <c r="W309" s="365" t="str">
        <f>+VLOOKUP($B309,[2]Time_S4!$B:$G,6,0)</f>
        <v>Trung tâm Khí cụ bay</v>
      </c>
      <c r="X309" s="365" t="str">
        <f>IF(W309="Phòng Kinh doanh","Trung tâm Kinh doanh - TCT CNC",+VLOOKUP($B309,[2]Time_S4!$B:$G,5,0))</f>
        <v>Khối 1 - TCT CNC</v>
      </c>
      <c r="Y309" s="366"/>
      <c r="Z309" s="380"/>
    </row>
    <row r="310" spans="1:26" ht="15.75" hidden="1">
      <c r="A310" s="367">
        <f>SUBTOTAL(3,$B$15:B310)</f>
        <v>2</v>
      </c>
      <c r="B310" s="356" t="s">
        <v>977</v>
      </c>
      <c r="C310" s="356" t="s">
        <v>978</v>
      </c>
      <c r="D310" s="356" t="s">
        <v>407</v>
      </c>
      <c r="E310" s="357">
        <v>21</v>
      </c>
      <c r="F310" s="357">
        <v>21</v>
      </c>
      <c r="G310" s="358">
        <v>27433770</v>
      </c>
      <c r="H310" s="359">
        <f t="shared" si="9"/>
        <v>26418210</v>
      </c>
      <c r="I310" s="360"/>
      <c r="J310" s="361"/>
      <c r="K310" s="362"/>
      <c r="L310" s="362"/>
      <c r="M310" s="361">
        <v>773760</v>
      </c>
      <c r="N310" s="361">
        <v>1692600</v>
      </c>
      <c r="O310" s="361">
        <v>145080</v>
      </c>
      <c r="P310" s="361">
        <v>290160</v>
      </c>
      <c r="Q310" s="361">
        <v>96720</v>
      </c>
      <c r="R310" s="361">
        <v>96720</v>
      </c>
      <c r="S310" s="361">
        <v>193440</v>
      </c>
      <c r="T310" s="363">
        <v>1047000</v>
      </c>
      <c r="U310" s="364">
        <f t="shared" si="10"/>
        <v>30753690</v>
      </c>
      <c r="V310" s="362"/>
      <c r="W310" s="365" t="str">
        <f>+VLOOKUP($B310,[2]Time_S4!$B:$G,6,0)</f>
        <v>Phòng Kiểu dáng và đồ họa</v>
      </c>
      <c r="X310" s="365" t="str">
        <f>IF(W310="Phòng Kinh doanh","Trung tâm Kinh doanh - TCT CNC",+VLOOKUP($B310,[2]Time_S4!$B:$G,5,0))</f>
        <v>Khối 1 - TCT CNC</v>
      </c>
      <c r="Y310" s="366"/>
      <c r="Z310" s="366"/>
    </row>
    <row r="311" spans="1:26" ht="15.75" hidden="1">
      <c r="A311" s="367">
        <f>SUBTOTAL(3,$B$15:B311)</f>
        <v>2</v>
      </c>
      <c r="B311" s="356" t="s">
        <v>979</v>
      </c>
      <c r="C311" s="356" t="s">
        <v>980</v>
      </c>
      <c r="D311" s="356" t="s">
        <v>407</v>
      </c>
      <c r="E311" s="357">
        <v>21</v>
      </c>
      <c r="F311" s="357">
        <v>21</v>
      </c>
      <c r="G311" s="358">
        <v>33829476</v>
      </c>
      <c r="H311" s="359">
        <f t="shared" si="9"/>
        <v>32704548</v>
      </c>
      <c r="I311" s="360"/>
      <c r="J311" s="361"/>
      <c r="K311" s="362"/>
      <c r="L311" s="362"/>
      <c r="M311" s="361">
        <v>857088</v>
      </c>
      <c r="N311" s="361">
        <v>1874880</v>
      </c>
      <c r="O311" s="361">
        <v>160704</v>
      </c>
      <c r="P311" s="361">
        <v>321408</v>
      </c>
      <c r="Q311" s="361">
        <v>107136</v>
      </c>
      <c r="R311" s="361">
        <v>107136</v>
      </c>
      <c r="S311" s="361">
        <v>214272</v>
      </c>
      <c r="T311" s="363">
        <v>1030000</v>
      </c>
      <c r="U311" s="364">
        <f t="shared" si="10"/>
        <v>37377172</v>
      </c>
      <c r="V311" s="362"/>
      <c r="W311" s="365" t="str">
        <f>+VLOOKUP($B311,[2]Time_S4!$B:$G,6,0)</f>
        <v>Trung tâm Chỉ huy điều khiển</v>
      </c>
      <c r="X311" s="365" t="str">
        <f>IF(W311="Phòng Kinh doanh","Trung tâm Kinh doanh - TCT CNC",+VLOOKUP($B311,[2]Time_S4!$B:$G,5,0))</f>
        <v>Khối 1 - TCT CNC</v>
      </c>
      <c r="Y311" s="366"/>
      <c r="Z311" s="366"/>
    </row>
    <row r="312" spans="1:26" ht="15.75" hidden="1">
      <c r="A312" s="367">
        <f>SUBTOTAL(3,$B$15:B312)</f>
        <v>2</v>
      </c>
      <c r="B312" s="356" t="s">
        <v>981</v>
      </c>
      <c r="C312" s="356" t="s">
        <v>982</v>
      </c>
      <c r="D312" s="356" t="s">
        <v>407</v>
      </c>
      <c r="E312" s="357">
        <v>21</v>
      </c>
      <c r="F312" s="357">
        <v>21</v>
      </c>
      <c r="G312" s="358">
        <v>24274996</v>
      </c>
      <c r="H312" s="359">
        <f t="shared" si="9"/>
        <v>23311516</v>
      </c>
      <c r="I312" s="360"/>
      <c r="J312" s="361"/>
      <c r="K312" s="362"/>
      <c r="L312" s="362"/>
      <c r="M312" s="361">
        <v>734080</v>
      </c>
      <c r="N312" s="361">
        <v>1605800</v>
      </c>
      <c r="O312" s="361">
        <v>137640</v>
      </c>
      <c r="P312" s="361">
        <v>275280</v>
      </c>
      <c r="Q312" s="361">
        <v>91760</v>
      </c>
      <c r="R312" s="361">
        <v>91760</v>
      </c>
      <c r="S312" s="361">
        <v>183520</v>
      </c>
      <c r="T312" s="363">
        <v>930000</v>
      </c>
      <c r="U312" s="364">
        <f t="shared" si="10"/>
        <v>27361356</v>
      </c>
      <c r="V312" s="362"/>
      <c r="W312" s="365" t="str">
        <f>+VLOOKUP($B312,[2]Time_S4!$B:$G,6,0)</f>
        <v>Phòng Hợp đồng</v>
      </c>
      <c r="X312" s="365" t="str">
        <f>IF(W312="Phòng Kinh doanh","Trung tâm Kinh doanh - TCT CNC",+VLOOKUP($B312,[2]Time_S4!$B:$G,5,0))</f>
        <v>Trung tâm Mua sắm - TCT CNC</v>
      </c>
      <c r="Y312" s="366"/>
      <c r="Z312" s="366"/>
    </row>
    <row r="313" spans="1:26" ht="15.75" hidden="1">
      <c r="A313" s="367">
        <f>SUBTOTAL(3,$B$15:B313)</f>
        <v>2</v>
      </c>
      <c r="B313" s="356" t="s">
        <v>983</v>
      </c>
      <c r="C313" s="356" t="s">
        <v>984</v>
      </c>
      <c r="D313" s="356" t="s">
        <v>397</v>
      </c>
      <c r="E313" s="357">
        <v>21</v>
      </c>
      <c r="F313" s="357">
        <v>21</v>
      </c>
      <c r="G313" s="358">
        <v>90999558</v>
      </c>
      <c r="H313" s="359">
        <f t="shared" si="9"/>
        <v>89838918</v>
      </c>
      <c r="I313" s="360"/>
      <c r="J313" s="361"/>
      <c r="K313" s="362"/>
      <c r="L313" s="362"/>
      <c r="M313" s="361">
        <v>1160640</v>
      </c>
      <c r="N313" s="361">
        <v>2538900</v>
      </c>
      <c r="O313" s="361">
        <v>0</v>
      </c>
      <c r="P313" s="361">
        <v>0</v>
      </c>
      <c r="Q313" s="361">
        <v>0</v>
      </c>
      <c r="R313" s="361">
        <v>0</v>
      </c>
      <c r="S313" s="361">
        <v>290160</v>
      </c>
      <c r="T313" s="363">
        <v>1230000</v>
      </c>
      <c r="U313" s="364">
        <f t="shared" si="10"/>
        <v>95058618</v>
      </c>
      <c r="V313" s="362"/>
      <c r="W313" s="365" t="str">
        <f>+VLOOKUP($B313,[2]Time_S4!$B:$G,6,0)</f>
        <v>Trung tâm Rada</v>
      </c>
      <c r="X313" s="365" t="str">
        <f>IF(W313="Phòng Kinh doanh","Trung tâm Kinh doanh - TCT CNC",+VLOOKUP($B313,[2]Time_S4!$B:$G,5,0))</f>
        <v>Khối 1 - TCT CNC</v>
      </c>
      <c r="Y313" s="366"/>
      <c r="Z313" s="366"/>
    </row>
    <row r="314" spans="1:26" ht="15.75" hidden="1">
      <c r="A314" s="367">
        <f>SUBTOTAL(3,$B$15:B314)</f>
        <v>2</v>
      </c>
      <c r="B314" s="356" t="s">
        <v>985</v>
      </c>
      <c r="C314" s="356" t="s">
        <v>986</v>
      </c>
      <c r="D314" s="356" t="s">
        <v>407</v>
      </c>
      <c r="E314" s="357">
        <v>21</v>
      </c>
      <c r="F314" s="357">
        <v>21</v>
      </c>
      <c r="G314" s="358">
        <v>62128980</v>
      </c>
      <c r="H314" s="359">
        <f t="shared" si="9"/>
        <v>60754068</v>
      </c>
      <c r="I314" s="360"/>
      <c r="J314" s="361"/>
      <c r="K314" s="362"/>
      <c r="L314" s="362"/>
      <c r="M314" s="361">
        <v>1047552</v>
      </c>
      <c r="N314" s="361">
        <v>2291520</v>
      </c>
      <c r="O314" s="361">
        <v>196416</v>
      </c>
      <c r="P314" s="361">
        <v>392832</v>
      </c>
      <c r="Q314" s="361">
        <v>130944</v>
      </c>
      <c r="R314" s="361">
        <v>130944</v>
      </c>
      <c r="S314" s="361">
        <v>261888</v>
      </c>
      <c r="T314" s="363">
        <v>1230000</v>
      </c>
      <c r="U314" s="364">
        <f t="shared" si="10"/>
        <v>66436164</v>
      </c>
      <c r="V314" s="362"/>
      <c r="W314" s="365" t="str">
        <f>+VLOOKUP($B314,[2]Time_S4!$B:$G,6,0)</f>
        <v>Trung tâm Tác chiến điện tử</v>
      </c>
      <c r="X314" s="365" t="str">
        <f>IF(W314="Phòng Kinh doanh","Trung tâm Kinh doanh - TCT CNC",+VLOOKUP($B314,[2]Time_S4!$B:$G,5,0))</f>
        <v>Khối 1 - TCT CNC</v>
      </c>
      <c r="Y314" s="366"/>
      <c r="Z314" s="366"/>
    </row>
    <row r="315" spans="1:26" ht="15.75" hidden="1">
      <c r="A315" s="367">
        <f>SUBTOTAL(3,$B$15:B315)</f>
        <v>2</v>
      </c>
      <c r="B315" s="356" t="s">
        <v>987</v>
      </c>
      <c r="C315" s="356" t="s">
        <v>988</v>
      </c>
      <c r="D315" s="356" t="s">
        <v>397</v>
      </c>
      <c r="E315" s="357">
        <v>21</v>
      </c>
      <c r="F315" s="357">
        <v>21</v>
      </c>
      <c r="G315" s="358">
        <v>15576259</v>
      </c>
      <c r="H315" s="359">
        <f t="shared" si="9"/>
        <v>14445758</v>
      </c>
      <c r="I315" s="360"/>
      <c r="J315" s="361"/>
      <c r="K315" s="362"/>
      <c r="L315" s="362"/>
      <c r="M315" s="361">
        <v>1130501</v>
      </c>
      <c r="N315" s="361">
        <v>2472971</v>
      </c>
      <c r="O315" s="361">
        <v>0</v>
      </c>
      <c r="P315" s="361">
        <v>0</v>
      </c>
      <c r="Q315" s="361">
        <v>0</v>
      </c>
      <c r="R315" s="361">
        <v>0</v>
      </c>
      <c r="S315" s="361">
        <v>282625</v>
      </c>
      <c r="T315" s="363">
        <v>2205000</v>
      </c>
      <c r="U315" s="364">
        <f t="shared" si="10"/>
        <v>20536855</v>
      </c>
      <c r="V315" s="362"/>
      <c r="W315" s="365" t="str">
        <f>+VLOOKUP($B315,[2]Time_S4!$B:$G,6,0)</f>
        <v>Phòng Hành chính</v>
      </c>
      <c r="X315" s="365" t="str">
        <f>IF(W315="Phòng Kinh doanh","Trung tâm Kinh doanh - TCT CNC",+VLOOKUP($B315,[2]Time_S4!$B:$G,5,0))</f>
        <v>Khối cơ quan - TCT CNC</v>
      </c>
      <c r="Y315" s="366"/>
      <c r="Z315" s="366"/>
    </row>
    <row r="316" spans="1:26" ht="15.75" hidden="1">
      <c r="A316" s="367">
        <f>SUBTOTAL(3,$B$15:B316)</f>
        <v>2</v>
      </c>
      <c r="B316" s="356" t="s">
        <v>989</v>
      </c>
      <c r="C316" s="356" t="s">
        <v>990</v>
      </c>
      <c r="D316" s="356" t="s">
        <v>397</v>
      </c>
      <c r="E316" s="357">
        <v>21</v>
      </c>
      <c r="F316" s="357">
        <v>21</v>
      </c>
      <c r="G316" s="358">
        <v>19713350</v>
      </c>
      <c r="H316" s="359">
        <f t="shared" si="9"/>
        <v>18381984</v>
      </c>
      <c r="I316" s="360"/>
      <c r="J316" s="361"/>
      <c r="K316" s="362"/>
      <c r="L316" s="362"/>
      <c r="M316" s="361">
        <v>1331366</v>
      </c>
      <c r="N316" s="361">
        <v>2912364</v>
      </c>
      <c r="O316" s="361">
        <v>0</v>
      </c>
      <c r="P316" s="361">
        <v>0</v>
      </c>
      <c r="Q316" s="361">
        <v>0</v>
      </c>
      <c r="R316" s="361">
        <v>0</v>
      </c>
      <c r="S316" s="361">
        <v>332842</v>
      </c>
      <c r="T316" s="363">
        <v>930000</v>
      </c>
      <c r="U316" s="364">
        <f t="shared" si="10"/>
        <v>23888556</v>
      </c>
      <c r="V316" s="362"/>
      <c r="W316" s="365" t="str">
        <f>+VLOOKUP($B316,[2]Time_S4!$B:$G,6,0)</f>
        <v>Phòng Hành chính</v>
      </c>
      <c r="X316" s="365" t="str">
        <f>IF(W316="Phòng Kinh doanh","Trung tâm Kinh doanh - TCT CNC",+VLOOKUP($B316,[2]Time_S4!$B:$G,5,0))</f>
        <v>Khối cơ quan - TCT CNC</v>
      </c>
      <c r="Y316" s="366"/>
      <c r="Z316" s="366"/>
    </row>
    <row r="317" spans="1:26" ht="15.75" hidden="1">
      <c r="A317" s="367">
        <f>SUBTOTAL(3,$B$15:B317)</f>
        <v>2</v>
      </c>
      <c r="B317" s="356" t="s">
        <v>991</v>
      </c>
      <c r="C317" s="356" t="s">
        <v>992</v>
      </c>
      <c r="D317" s="356" t="s">
        <v>397</v>
      </c>
      <c r="E317" s="357">
        <v>21</v>
      </c>
      <c r="F317" s="357">
        <v>21</v>
      </c>
      <c r="G317" s="358">
        <v>19507328</v>
      </c>
      <c r="H317" s="359">
        <f t="shared" si="9"/>
        <v>18201421</v>
      </c>
      <c r="I317" s="360"/>
      <c r="J317" s="361"/>
      <c r="K317" s="362"/>
      <c r="L317" s="362"/>
      <c r="M317" s="361">
        <v>1305907</v>
      </c>
      <c r="N317" s="361">
        <v>2856672</v>
      </c>
      <c r="O317" s="361">
        <v>0</v>
      </c>
      <c r="P317" s="361">
        <v>0</v>
      </c>
      <c r="Q317" s="361">
        <v>0</v>
      </c>
      <c r="R317" s="361">
        <v>0</v>
      </c>
      <c r="S317" s="361">
        <v>326477</v>
      </c>
      <c r="T317" s="363">
        <v>930000</v>
      </c>
      <c r="U317" s="364">
        <f t="shared" si="10"/>
        <v>23620477</v>
      </c>
      <c r="V317" s="362"/>
      <c r="W317" s="365" t="str">
        <f>+VLOOKUP($B317,[2]Time_S4!$B:$G,6,0)</f>
        <v>Phòng Hành chính</v>
      </c>
      <c r="X317" s="365" t="str">
        <f>IF(W317="Phòng Kinh doanh","Trung tâm Kinh doanh - TCT CNC",+VLOOKUP($B317,[2]Time_S4!$B:$G,5,0))</f>
        <v>Khối cơ quan - TCT CNC</v>
      </c>
      <c r="Y317" s="366"/>
      <c r="Z317" s="366"/>
    </row>
    <row r="318" spans="1:26" ht="15.75" hidden="1">
      <c r="A318" s="367">
        <f>SUBTOTAL(3,$B$15:B318)</f>
        <v>2</v>
      </c>
      <c r="B318" s="356" t="s">
        <v>993</v>
      </c>
      <c r="C318" s="356" t="s">
        <v>994</v>
      </c>
      <c r="D318" s="356" t="s">
        <v>407</v>
      </c>
      <c r="E318" s="357">
        <v>21</v>
      </c>
      <c r="F318" s="357">
        <v>21</v>
      </c>
      <c r="G318" s="358">
        <v>21180114</v>
      </c>
      <c r="H318" s="359">
        <f t="shared" si="9"/>
        <v>20263506</v>
      </c>
      <c r="I318" s="360"/>
      <c r="J318" s="361"/>
      <c r="K318" s="362"/>
      <c r="L318" s="362"/>
      <c r="M318" s="361">
        <v>698368</v>
      </c>
      <c r="N318" s="361">
        <v>1527680</v>
      </c>
      <c r="O318" s="361">
        <v>130944</v>
      </c>
      <c r="P318" s="361">
        <v>261888</v>
      </c>
      <c r="Q318" s="361">
        <v>87296</v>
      </c>
      <c r="R318" s="361">
        <v>87296</v>
      </c>
      <c r="S318" s="361">
        <v>174592</v>
      </c>
      <c r="T318" s="363">
        <v>1047000</v>
      </c>
      <c r="U318" s="364">
        <f t="shared" si="10"/>
        <v>24278570</v>
      </c>
      <c r="V318" s="362"/>
      <c r="W318" s="365" t="str">
        <f>+VLOOKUP($B318,[2]Time_S4!$B:$G,6,0)</f>
        <v>Trung tâm Nghiên cứu Công nghệ truyền dẫn</v>
      </c>
      <c r="X318" s="365" t="str">
        <f>IF(W318="Phòng Kinh doanh","Trung tâm Kinh doanh - TCT CNC",+VLOOKUP($B318,[2]Time_S4!$B:$G,5,0))</f>
        <v>Khối 2 - TCT CNC</v>
      </c>
      <c r="Y318" s="366"/>
      <c r="Z318" s="366"/>
    </row>
    <row r="319" spans="1:26" ht="15.75" hidden="1">
      <c r="A319" s="367">
        <f>SUBTOTAL(3,$B$15:B319)</f>
        <v>2</v>
      </c>
      <c r="B319" s="356" t="s">
        <v>995</v>
      </c>
      <c r="C319" s="356" t="s">
        <v>996</v>
      </c>
      <c r="D319" s="356" t="s">
        <v>407</v>
      </c>
      <c r="E319" s="357">
        <v>21</v>
      </c>
      <c r="F319" s="357">
        <v>21</v>
      </c>
      <c r="G319" s="358">
        <v>36010023</v>
      </c>
      <c r="H319" s="359">
        <f t="shared" si="9"/>
        <v>34885095</v>
      </c>
      <c r="I319" s="360"/>
      <c r="J319" s="361"/>
      <c r="K319" s="362"/>
      <c r="L319" s="362"/>
      <c r="M319" s="361">
        <v>857088</v>
      </c>
      <c r="N319" s="361">
        <v>1874880</v>
      </c>
      <c r="O319" s="361">
        <v>160704</v>
      </c>
      <c r="P319" s="361">
        <v>321408</v>
      </c>
      <c r="Q319" s="361">
        <v>107136</v>
      </c>
      <c r="R319" s="361">
        <v>107136</v>
      </c>
      <c r="S319" s="361">
        <v>214272</v>
      </c>
      <c r="T319" s="363">
        <v>1030000</v>
      </c>
      <c r="U319" s="364">
        <f t="shared" si="10"/>
        <v>39557719</v>
      </c>
      <c r="V319" s="362"/>
      <c r="W319" s="365" t="str">
        <f>+VLOOKUP($B319,[2]Time_S4!$B:$G,6,0)</f>
        <v>Trung tâm Thông tin Quân sự</v>
      </c>
      <c r="X319" s="365" t="str">
        <f>IF(W319="Phòng Kinh doanh","Trung tâm Kinh doanh - TCT CNC",+VLOOKUP($B319,[2]Time_S4!$B:$G,5,0))</f>
        <v>Khối 1 - TCT CNC</v>
      </c>
      <c r="Y319" s="366"/>
      <c r="Z319" s="366"/>
    </row>
    <row r="320" spans="1:26" ht="15.75" hidden="1">
      <c r="A320" s="367">
        <f>SUBTOTAL(3,$B$15:B320)</f>
        <v>2</v>
      </c>
      <c r="B320" s="356" t="s">
        <v>997</v>
      </c>
      <c r="C320" s="356" t="s">
        <v>998</v>
      </c>
      <c r="D320" s="356" t="s">
        <v>407</v>
      </c>
      <c r="E320" s="357">
        <v>21</v>
      </c>
      <c r="F320" s="357">
        <v>21</v>
      </c>
      <c r="G320" s="358">
        <v>23034309</v>
      </c>
      <c r="H320" s="359">
        <f t="shared" si="9"/>
        <v>22070829</v>
      </c>
      <c r="I320" s="360"/>
      <c r="J320" s="361"/>
      <c r="K320" s="362"/>
      <c r="L320" s="362"/>
      <c r="M320" s="361">
        <v>734080</v>
      </c>
      <c r="N320" s="361">
        <v>1605800</v>
      </c>
      <c r="O320" s="361">
        <v>137640</v>
      </c>
      <c r="P320" s="361">
        <v>275280</v>
      </c>
      <c r="Q320" s="361">
        <v>91760</v>
      </c>
      <c r="R320" s="361">
        <v>91760</v>
      </c>
      <c r="S320" s="361">
        <v>183520</v>
      </c>
      <c r="T320" s="363">
        <v>1047000</v>
      </c>
      <c r="U320" s="364">
        <f t="shared" si="10"/>
        <v>26237669</v>
      </c>
      <c r="V320" s="362"/>
      <c r="W320" s="365" t="str">
        <f>+VLOOKUP($B320,[2]Time_S4!$B:$G,6,0)</f>
        <v>Phòng Đầu tư</v>
      </c>
      <c r="X320" s="365" t="str">
        <f>IF(W320="Phòng Kinh doanh","Trung tâm Kinh doanh - TCT CNC",+VLOOKUP($B320,[2]Time_S4!$B:$G,5,0))</f>
        <v>Trung tâm Mua sắm - TCT CNC</v>
      </c>
      <c r="Y320" s="366"/>
      <c r="Z320" s="366"/>
    </row>
    <row r="321" spans="1:26" ht="15.75" hidden="1">
      <c r="A321" s="367">
        <f>SUBTOTAL(3,$B$15:B321)</f>
        <v>2</v>
      </c>
      <c r="B321" s="356" t="s">
        <v>999</v>
      </c>
      <c r="C321" s="356" t="s">
        <v>1000</v>
      </c>
      <c r="D321" s="356" t="s">
        <v>407</v>
      </c>
      <c r="E321" s="357">
        <v>21</v>
      </c>
      <c r="F321" s="357">
        <v>21</v>
      </c>
      <c r="G321" s="358">
        <v>15307587</v>
      </c>
      <c r="H321" s="359">
        <f t="shared" si="9"/>
        <v>14474307</v>
      </c>
      <c r="I321" s="360"/>
      <c r="J321" s="361"/>
      <c r="K321" s="362"/>
      <c r="L321" s="362"/>
      <c r="M321" s="361">
        <v>634880</v>
      </c>
      <c r="N321" s="361">
        <v>1388800</v>
      </c>
      <c r="O321" s="361">
        <v>119040</v>
      </c>
      <c r="P321" s="361">
        <v>238080</v>
      </c>
      <c r="Q321" s="361">
        <v>79360</v>
      </c>
      <c r="R321" s="361">
        <v>79360</v>
      </c>
      <c r="S321" s="361">
        <v>158720</v>
      </c>
      <c r="T321" s="363">
        <v>930000</v>
      </c>
      <c r="U321" s="364">
        <f t="shared" si="10"/>
        <v>18102547</v>
      </c>
      <c r="V321" s="362"/>
      <c r="W321" s="365" t="str">
        <f>+VLOOKUP($B321,[2]Time_S4!$B:$G,6,0)</f>
        <v>Phòng Hành chính</v>
      </c>
      <c r="X321" s="365" t="str">
        <f>IF(W321="Phòng Kinh doanh","Trung tâm Kinh doanh - TCT CNC",+VLOOKUP($B321,[2]Time_S4!$B:$G,5,0))</f>
        <v>Khối cơ quan - TCT CNC</v>
      </c>
      <c r="Y321" s="366"/>
      <c r="Z321" s="366"/>
    </row>
    <row r="322" spans="1:26" ht="15.75" hidden="1">
      <c r="A322" s="367">
        <f>SUBTOTAL(3,$B$15:B322)</f>
        <v>2</v>
      </c>
      <c r="B322" s="356" t="s">
        <v>1001</v>
      </c>
      <c r="C322" s="356" t="s">
        <v>1002</v>
      </c>
      <c r="D322" s="356" t="s">
        <v>397</v>
      </c>
      <c r="E322" s="357">
        <v>21</v>
      </c>
      <c r="F322" s="357">
        <v>21</v>
      </c>
      <c r="G322" s="358">
        <v>84556370</v>
      </c>
      <c r="H322" s="359">
        <f t="shared" si="9"/>
        <v>83395730</v>
      </c>
      <c r="I322" s="360"/>
      <c r="J322" s="361"/>
      <c r="K322" s="362"/>
      <c r="L322" s="362"/>
      <c r="M322" s="361">
        <v>1160640</v>
      </c>
      <c r="N322" s="361">
        <v>2538900</v>
      </c>
      <c r="O322" s="361">
        <v>0</v>
      </c>
      <c r="P322" s="361">
        <v>0</v>
      </c>
      <c r="Q322" s="361">
        <v>0</v>
      </c>
      <c r="R322" s="361">
        <v>0</v>
      </c>
      <c r="S322" s="361">
        <v>290160</v>
      </c>
      <c r="T322" s="363">
        <v>1230000</v>
      </c>
      <c r="U322" s="364">
        <f t="shared" si="10"/>
        <v>88615430</v>
      </c>
      <c r="V322" s="362"/>
      <c r="W322" s="365" t="str">
        <f>+VLOOKUP($B322,[2]Time_S4!$B:$G,6,0)</f>
        <v>Trung tâm Quang điện tử</v>
      </c>
      <c r="X322" s="365" t="str">
        <f>IF(W322="Phòng Kinh doanh","Trung tâm Kinh doanh - TCT CNC",+VLOOKUP($B322,[2]Time_S4!$B:$G,5,0))</f>
        <v>Khối 1 - TCT CNC</v>
      </c>
      <c r="Y322" s="366"/>
      <c r="Z322" s="366"/>
    </row>
    <row r="323" spans="1:26" ht="15.75" hidden="1">
      <c r="A323" s="367">
        <f>SUBTOTAL(3,$B$15:B323)</f>
        <v>2</v>
      </c>
      <c r="B323" s="356" t="s">
        <v>1003</v>
      </c>
      <c r="C323" s="356" t="s">
        <v>1004</v>
      </c>
      <c r="D323" s="356" t="s">
        <v>407</v>
      </c>
      <c r="E323" s="357">
        <v>21</v>
      </c>
      <c r="F323" s="357">
        <v>21</v>
      </c>
      <c r="G323" s="358">
        <v>10491604</v>
      </c>
      <c r="H323" s="359">
        <f t="shared" si="9"/>
        <v>9778108</v>
      </c>
      <c r="I323" s="360"/>
      <c r="J323" s="361"/>
      <c r="K323" s="362"/>
      <c r="L323" s="362"/>
      <c r="M323" s="361">
        <v>543616</v>
      </c>
      <c r="N323" s="361">
        <v>1189160</v>
      </c>
      <c r="O323" s="361">
        <v>101928</v>
      </c>
      <c r="P323" s="361">
        <v>203856</v>
      </c>
      <c r="Q323" s="361">
        <v>67952</v>
      </c>
      <c r="R323" s="361">
        <v>67952</v>
      </c>
      <c r="S323" s="361">
        <v>135904</v>
      </c>
      <c r="T323" s="363">
        <v>1047000</v>
      </c>
      <c r="U323" s="364">
        <f t="shared" si="10"/>
        <v>13135476</v>
      </c>
      <c r="V323" s="362"/>
      <c r="W323" s="365" t="str">
        <f>+VLOOKUP($B323,[2]Time_S4!$B:$G,6,0)</f>
        <v>Phòng Hành chính</v>
      </c>
      <c r="X323" s="365" t="str">
        <f>IF(W323="Phòng Kinh doanh","Trung tâm Kinh doanh - TCT CNC",+VLOOKUP($B323,[2]Time_S4!$B:$G,5,0))</f>
        <v>Khối cơ quan - TCT CNC</v>
      </c>
      <c r="Y323" s="366"/>
      <c r="Z323" s="366"/>
    </row>
    <row r="324" spans="1:26" ht="15.75" hidden="1">
      <c r="A324" s="367">
        <f>SUBTOTAL(3,$B$15:B324)</f>
        <v>2</v>
      </c>
      <c r="B324" s="356" t="s">
        <v>1005</v>
      </c>
      <c r="C324" s="356" t="s">
        <v>1006</v>
      </c>
      <c r="D324" s="356" t="s">
        <v>407</v>
      </c>
      <c r="E324" s="357">
        <v>21</v>
      </c>
      <c r="F324" s="357">
        <v>21</v>
      </c>
      <c r="G324" s="358">
        <v>14075104</v>
      </c>
      <c r="H324" s="359">
        <f t="shared" si="9"/>
        <v>13241824</v>
      </c>
      <c r="I324" s="360"/>
      <c r="J324" s="361"/>
      <c r="K324" s="362"/>
      <c r="L324" s="362"/>
      <c r="M324" s="361">
        <v>634880</v>
      </c>
      <c r="N324" s="361">
        <v>1388800</v>
      </c>
      <c r="O324" s="361">
        <v>119040</v>
      </c>
      <c r="P324" s="361">
        <v>238080</v>
      </c>
      <c r="Q324" s="361">
        <v>79360</v>
      </c>
      <c r="R324" s="361">
        <v>79360</v>
      </c>
      <c r="S324" s="361">
        <v>158720</v>
      </c>
      <c r="T324" s="363">
        <v>1047000</v>
      </c>
      <c r="U324" s="364">
        <f t="shared" si="10"/>
        <v>16987064</v>
      </c>
      <c r="V324" s="362"/>
      <c r="W324" s="365" t="str">
        <f>+VLOOKUP($B324,[2]Time_S4!$B:$G,6,0)</f>
        <v>Phòng Hành chính</v>
      </c>
      <c r="X324" s="365" t="str">
        <f>IF(W324="Phòng Kinh doanh","Trung tâm Kinh doanh - TCT CNC",+VLOOKUP($B324,[2]Time_S4!$B:$G,5,0))</f>
        <v>Khối cơ quan - TCT CNC</v>
      </c>
      <c r="Y324" s="366"/>
      <c r="Z324" s="366"/>
    </row>
    <row r="325" spans="1:26" ht="15.75" hidden="1">
      <c r="A325" s="367">
        <f>SUBTOTAL(3,$B$15:B325)</f>
        <v>2</v>
      </c>
      <c r="B325" s="356" t="s">
        <v>1007</v>
      </c>
      <c r="C325" s="356" t="s">
        <v>1008</v>
      </c>
      <c r="D325" s="356" t="s">
        <v>407</v>
      </c>
      <c r="E325" s="357">
        <v>21</v>
      </c>
      <c r="F325" s="357">
        <v>21</v>
      </c>
      <c r="G325" s="358">
        <v>67160887</v>
      </c>
      <c r="H325" s="359">
        <f t="shared" si="9"/>
        <v>65785975</v>
      </c>
      <c r="I325" s="360"/>
      <c r="J325" s="361"/>
      <c r="K325" s="362"/>
      <c r="L325" s="362"/>
      <c r="M325" s="361">
        <v>1047552</v>
      </c>
      <c r="N325" s="361">
        <v>2291520</v>
      </c>
      <c r="O325" s="361">
        <v>196416</v>
      </c>
      <c r="P325" s="361">
        <v>392832</v>
      </c>
      <c r="Q325" s="361">
        <v>130944</v>
      </c>
      <c r="R325" s="361">
        <v>130944</v>
      </c>
      <c r="S325" s="361">
        <v>261888</v>
      </c>
      <c r="T325" s="363">
        <v>1230000</v>
      </c>
      <c r="U325" s="364">
        <f t="shared" si="10"/>
        <v>71468071</v>
      </c>
      <c r="V325" s="362"/>
      <c r="W325" s="365" t="str">
        <f>+VLOOKUP($B325,[2]Time_S4!$B:$G,6,0)</f>
        <v>Trung tâm Nghiên cứu giải pháp tích hợp công nghệ cao</v>
      </c>
      <c r="X325" s="365" t="str">
        <f>IF(W325="Phòng Kinh doanh","Trung tâm Kinh doanh - TCT CNC",+VLOOKUP($B325,[2]Time_S4!$B:$G,5,0))</f>
        <v>Khối 1 - TCT CNC</v>
      </c>
      <c r="Y325" s="366"/>
      <c r="Z325" s="366"/>
    </row>
    <row r="326" spans="1:26" ht="15.75" hidden="1">
      <c r="A326" s="367">
        <f>SUBTOTAL(3,$B$15:B326)</f>
        <v>2</v>
      </c>
      <c r="B326" s="356" t="s">
        <v>1009</v>
      </c>
      <c r="C326" s="356" t="s">
        <v>1010</v>
      </c>
      <c r="D326" s="356" t="s">
        <v>407</v>
      </c>
      <c r="E326" s="357">
        <v>21</v>
      </c>
      <c r="F326" s="357">
        <v>21</v>
      </c>
      <c r="G326" s="358">
        <v>15441923</v>
      </c>
      <c r="H326" s="359">
        <f t="shared" si="9"/>
        <v>14608643</v>
      </c>
      <c r="I326" s="360"/>
      <c r="J326" s="361"/>
      <c r="K326" s="362"/>
      <c r="L326" s="362"/>
      <c r="M326" s="361">
        <v>634880</v>
      </c>
      <c r="N326" s="361">
        <v>1388800</v>
      </c>
      <c r="O326" s="361">
        <v>119040</v>
      </c>
      <c r="P326" s="361">
        <v>238080</v>
      </c>
      <c r="Q326" s="361">
        <v>79360</v>
      </c>
      <c r="R326" s="361">
        <v>79360</v>
      </c>
      <c r="S326" s="361">
        <v>158720</v>
      </c>
      <c r="T326" s="363">
        <v>1930000</v>
      </c>
      <c r="U326" s="364">
        <f t="shared" si="10"/>
        <v>19236883</v>
      </c>
      <c r="V326" s="362"/>
      <c r="W326" s="365" t="str">
        <f>+VLOOKUP($B326,[2]Time_S4!$B:$G,6,0)</f>
        <v>Phòng Hành chính</v>
      </c>
      <c r="X326" s="365" t="str">
        <f>IF(W326="Phòng Kinh doanh","Trung tâm Kinh doanh - TCT CNC",+VLOOKUP($B326,[2]Time_S4!$B:$G,5,0))</f>
        <v>Khối cơ quan - TCT CNC</v>
      </c>
      <c r="Y326" s="366"/>
      <c r="Z326" s="366"/>
    </row>
    <row r="327" spans="1:26" ht="15.75" hidden="1">
      <c r="A327" s="367">
        <f>SUBTOTAL(3,$B$15:B327)</f>
        <v>2</v>
      </c>
      <c r="B327" s="356" t="s">
        <v>1011</v>
      </c>
      <c r="C327" s="356" t="s">
        <v>1012</v>
      </c>
      <c r="D327" s="356" t="s">
        <v>400</v>
      </c>
      <c r="E327" s="357">
        <v>21</v>
      </c>
      <c r="F327" s="357">
        <v>21</v>
      </c>
      <c r="G327" s="358">
        <v>55935700</v>
      </c>
      <c r="H327" s="359">
        <f t="shared" si="9"/>
        <v>55010932</v>
      </c>
      <c r="I327" s="360"/>
      <c r="J327" s="361"/>
      <c r="K327" s="362"/>
      <c r="L327" s="362"/>
      <c r="M327" s="361">
        <v>778752</v>
      </c>
      <c r="N327" s="361">
        <v>1703520</v>
      </c>
      <c r="O327" s="361">
        <v>146016</v>
      </c>
      <c r="P327" s="361">
        <v>292032</v>
      </c>
      <c r="Q327" s="361">
        <v>0</v>
      </c>
      <c r="R327" s="361">
        <v>0</v>
      </c>
      <c r="S327" s="361">
        <v>194688</v>
      </c>
      <c r="T327" s="363">
        <v>1130000</v>
      </c>
      <c r="U327" s="364">
        <f t="shared" si="10"/>
        <v>59255940</v>
      </c>
      <c r="V327" s="362"/>
      <c r="W327" s="365" t="str">
        <f>+VLOOKUP($B327,[2]Time_S4!$B:$G,6,0)</f>
        <v>Trung tâm Rada</v>
      </c>
      <c r="X327" s="365" t="str">
        <f>IF(W327="Phòng Kinh doanh","Trung tâm Kinh doanh - TCT CNC",+VLOOKUP($B327,[2]Time_S4!$B:$G,5,0))</f>
        <v>Khối 1 - TCT CNC</v>
      </c>
      <c r="Y327" s="366"/>
      <c r="Z327" s="366"/>
    </row>
    <row r="328" spans="1:26" ht="15.75" hidden="1">
      <c r="A328" s="367">
        <f>SUBTOTAL(3,$B$15:B328)</f>
        <v>2</v>
      </c>
      <c r="B328" s="356" t="s">
        <v>1013</v>
      </c>
      <c r="C328" s="356" t="s">
        <v>1014</v>
      </c>
      <c r="D328" s="356" t="s">
        <v>407</v>
      </c>
      <c r="E328" s="357">
        <v>21</v>
      </c>
      <c r="F328" s="357">
        <v>21</v>
      </c>
      <c r="G328" s="358">
        <v>42163248</v>
      </c>
      <c r="H328" s="359">
        <f t="shared" si="9"/>
        <v>40981032</v>
      </c>
      <c r="I328" s="360"/>
      <c r="J328" s="361"/>
      <c r="K328" s="362"/>
      <c r="L328" s="362"/>
      <c r="M328" s="361">
        <v>900736</v>
      </c>
      <c r="N328" s="361">
        <v>1970360</v>
      </c>
      <c r="O328" s="361">
        <v>168888</v>
      </c>
      <c r="P328" s="361">
        <v>337776</v>
      </c>
      <c r="Q328" s="361">
        <v>112592</v>
      </c>
      <c r="R328" s="361">
        <v>112592</v>
      </c>
      <c r="S328" s="361">
        <v>225184</v>
      </c>
      <c r="T328" s="363">
        <v>1715000</v>
      </c>
      <c r="U328" s="364">
        <f t="shared" si="10"/>
        <v>46524160</v>
      </c>
      <c r="V328" s="362"/>
      <c r="W328" s="365" t="str">
        <f>+VLOOKUP($B328,[2]Time_S4!$B:$G,6,0)</f>
        <v>Trung tâm Nghiên cứu Công nghệ truyền dẫn</v>
      </c>
      <c r="X328" s="365" t="str">
        <f>IF(W328="Phòng Kinh doanh","Trung tâm Kinh doanh - TCT CNC",+VLOOKUP($B328,[2]Time_S4!$B:$G,5,0))</f>
        <v>Khối 2 - TCT CNC</v>
      </c>
      <c r="Y328" s="366"/>
      <c r="Z328" s="366"/>
    </row>
    <row r="329" spans="1:26" ht="15.75" hidden="1">
      <c r="A329" s="367">
        <f>SUBTOTAL(3,$B$15:B329)</f>
        <v>2</v>
      </c>
      <c r="B329" s="356" t="s">
        <v>1015</v>
      </c>
      <c r="C329" s="356" t="s">
        <v>1016</v>
      </c>
      <c r="D329" s="356" t="s">
        <v>407</v>
      </c>
      <c r="E329" s="357">
        <v>21</v>
      </c>
      <c r="F329" s="357">
        <v>1</v>
      </c>
      <c r="G329" s="358">
        <v>15333634</v>
      </c>
      <c r="H329" s="359">
        <f t="shared" si="9"/>
        <v>15333634</v>
      </c>
      <c r="I329" s="360"/>
      <c r="J329" s="361"/>
      <c r="K329" s="362"/>
      <c r="L329" s="362"/>
      <c r="M329" s="361">
        <v>0</v>
      </c>
      <c r="N329" s="361">
        <v>0</v>
      </c>
      <c r="O329" s="361">
        <v>0</v>
      </c>
      <c r="P329" s="361">
        <v>0</v>
      </c>
      <c r="Q329" s="361">
        <v>0</v>
      </c>
      <c r="R329" s="361">
        <v>0</v>
      </c>
      <c r="S329" s="361">
        <v>0</v>
      </c>
      <c r="T329" s="363">
        <v>54619</v>
      </c>
      <c r="U329" s="364">
        <f t="shared" si="10"/>
        <v>15388253</v>
      </c>
      <c r="V329" s="362"/>
      <c r="W329" s="365" t="str">
        <f>+VLOOKUP($B329,[2]Time_S4!$B:$G,6,0)</f>
        <v>Trung tâm Nghiên cứu thiết bị vô tuyến băng rộng</v>
      </c>
      <c r="X329" s="365" t="str">
        <f>IF(W329="Phòng Kinh doanh","Trung tâm Kinh doanh - TCT CNC",+VLOOKUP($B329,[2]Time_S4!$B:$G,5,0))</f>
        <v>Khối 2 - TCT CNC</v>
      </c>
      <c r="Y329" s="366"/>
      <c r="Z329" s="366"/>
    </row>
    <row r="330" spans="1:26" ht="15.75" hidden="1">
      <c r="A330" s="367">
        <f>SUBTOTAL(3,$B$15:B330)</f>
        <v>2</v>
      </c>
      <c r="B330" s="356" t="s">
        <v>1017</v>
      </c>
      <c r="C330" s="356" t="s">
        <v>1018</v>
      </c>
      <c r="D330" s="356" t="s">
        <v>407</v>
      </c>
      <c r="E330" s="357">
        <v>21</v>
      </c>
      <c r="F330" s="357">
        <v>21</v>
      </c>
      <c r="G330" s="358">
        <v>26960570</v>
      </c>
      <c r="H330" s="359">
        <f t="shared" si="9"/>
        <v>25945010</v>
      </c>
      <c r="I330" s="360"/>
      <c r="J330" s="361"/>
      <c r="K330" s="362"/>
      <c r="L330" s="362"/>
      <c r="M330" s="361">
        <v>773760</v>
      </c>
      <c r="N330" s="361">
        <v>1692600</v>
      </c>
      <c r="O330" s="361">
        <v>145080</v>
      </c>
      <c r="P330" s="361">
        <v>290160</v>
      </c>
      <c r="Q330" s="361">
        <v>96720</v>
      </c>
      <c r="R330" s="361">
        <v>96720</v>
      </c>
      <c r="S330" s="361">
        <v>193440</v>
      </c>
      <c r="T330" s="363">
        <v>930000</v>
      </c>
      <c r="U330" s="364">
        <f t="shared" si="10"/>
        <v>30163490</v>
      </c>
      <c r="V330" s="362"/>
      <c r="W330" s="365" t="str">
        <f>+VLOOKUP($B330,[2]Time_S4!$B:$G,6,0)</f>
        <v>Trung tâm Đảm bảo chất lượng</v>
      </c>
      <c r="X330" s="365" t="str">
        <f>IF(W330="Phòng Kinh doanh","Trung tâm Kinh doanh - TCT CNC",+VLOOKUP($B330,[2]Time_S4!$B:$G,5,0))</f>
        <v>Khối 1 - TCT CNC</v>
      </c>
      <c r="Y330" s="366"/>
      <c r="Z330" s="366"/>
    </row>
    <row r="331" spans="1:26" ht="15.75" hidden="1">
      <c r="A331" s="367">
        <f>SUBTOTAL(3,$B$15:B331)</f>
        <v>2</v>
      </c>
      <c r="B331" s="356" t="s">
        <v>1019</v>
      </c>
      <c r="C331" s="356" t="s">
        <v>1020</v>
      </c>
      <c r="D331" s="356" t="s">
        <v>407</v>
      </c>
      <c r="E331" s="357">
        <v>21</v>
      </c>
      <c r="F331" s="357">
        <v>21</v>
      </c>
      <c r="G331" s="358">
        <v>38650853</v>
      </c>
      <c r="H331" s="359">
        <f t="shared" si="9"/>
        <v>37525925</v>
      </c>
      <c r="I331" s="360"/>
      <c r="J331" s="361"/>
      <c r="K331" s="362"/>
      <c r="L331" s="362"/>
      <c r="M331" s="361">
        <v>857088</v>
      </c>
      <c r="N331" s="361">
        <v>1874880</v>
      </c>
      <c r="O331" s="361">
        <v>160704</v>
      </c>
      <c r="P331" s="361">
        <v>321408</v>
      </c>
      <c r="Q331" s="361">
        <v>107136</v>
      </c>
      <c r="R331" s="361">
        <v>107136</v>
      </c>
      <c r="S331" s="361">
        <v>214272</v>
      </c>
      <c r="T331" s="363">
        <v>1030000</v>
      </c>
      <c r="U331" s="364">
        <f t="shared" si="10"/>
        <v>42198549</v>
      </c>
      <c r="V331" s="362"/>
      <c r="W331" s="365" t="str">
        <f>+VLOOKUP($B331,[2]Time_S4!$B:$G,6,0)</f>
        <v>Trung tâm Rada</v>
      </c>
      <c r="X331" s="365" t="str">
        <f>IF(W331="Phòng Kinh doanh","Trung tâm Kinh doanh - TCT CNC",+VLOOKUP($B331,[2]Time_S4!$B:$G,5,0))</f>
        <v>Khối 1 - TCT CNC</v>
      </c>
      <c r="Y331" s="366"/>
      <c r="Z331" s="366"/>
    </row>
    <row r="332" spans="1:26" ht="15.75" hidden="1">
      <c r="A332" s="367">
        <f>SUBTOTAL(3,$B$15:B332)</f>
        <v>2</v>
      </c>
      <c r="B332" s="356" t="s">
        <v>1021</v>
      </c>
      <c r="C332" s="356" t="s">
        <v>1022</v>
      </c>
      <c r="D332" s="356" t="s">
        <v>407</v>
      </c>
      <c r="E332" s="357">
        <v>21</v>
      </c>
      <c r="F332" s="357">
        <v>21</v>
      </c>
      <c r="G332" s="358">
        <v>23034309</v>
      </c>
      <c r="H332" s="359">
        <f t="shared" si="9"/>
        <v>22070829</v>
      </c>
      <c r="I332" s="360"/>
      <c r="J332" s="361"/>
      <c r="K332" s="362"/>
      <c r="L332" s="362"/>
      <c r="M332" s="361">
        <v>734080</v>
      </c>
      <c r="N332" s="361">
        <v>1605800</v>
      </c>
      <c r="O332" s="361">
        <v>137640</v>
      </c>
      <c r="P332" s="361">
        <v>275280</v>
      </c>
      <c r="Q332" s="361">
        <v>91760</v>
      </c>
      <c r="R332" s="361">
        <v>91760</v>
      </c>
      <c r="S332" s="361">
        <v>183520</v>
      </c>
      <c r="T332" s="363">
        <v>1515000</v>
      </c>
      <c r="U332" s="364">
        <f t="shared" si="10"/>
        <v>26705669</v>
      </c>
      <c r="V332" s="362"/>
      <c r="W332" s="365" t="str">
        <f>+VLOOKUP($B332,[2]Time_S4!$B:$G,6,0)</f>
        <v>Phòng Nhân sự</v>
      </c>
      <c r="X332" s="365" t="str">
        <f>IF(W332="Phòng Kinh doanh","Trung tâm Kinh doanh - TCT CNC",+VLOOKUP($B332,[2]Time_S4!$B:$G,5,0))</f>
        <v>Khối cơ quan - TCT CNC</v>
      </c>
      <c r="Y332" s="366"/>
      <c r="Z332" s="366"/>
    </row>
    <row r="333" spans="1:26" ht="15.75" hidden="1">
      <c r="A333" s="367">
        <f>SUBTOTAL(3,$B$15:B333)</f>
        <v>2</v>
      </c>
      <c r="B333" s="356" t="s">
        <v>1023</v>
      </c>
      <c r="C333" s="356" t="s">
        <v>1024</v>
      </c>
      <c r="D333" s="356" t="s">
        <v>407</v>
      </c>
      <c r="E333" s="357">
        <v>21</v>
      </c>
      <c r="F333" s="357">
        <v>21</v>
      </c>
      <c r="G333" s="358">
        <v>70641668</v>
      </c>
      <c r="H333" s="359">
        <f t="shared" si="9"/>
        <v>69266756</v>
      </c>
      <c r="I333" s="360"/>
      <c r="J333" s="361"/>
      <c r="K333" s="362"/>
      <c r="L333" s="362"/>
      <c r="M333" s="361">
        <v>1047552</v>
      </c>
      <c r="N333" s="361">
        <v>2291520</v>
      </c>
      <c r="O333" s="361">
        <v>196416</v>
      </c>
      <c r="P333" s="361">
        <v>392832</v>
      </c>
      <c r="Q333" s="361">
        <v>130944</v>
      </c>
      <c r="R333" s="361">
        <v>130944</v>
      </c>
      <c r="S333" s="361">
        <v>261888</v>
      </c>
      <c r="T333" s="363">
        <v>1130000</v>
      </c>
      <c r="U333" s="364">
        <f t="shared" si="10"/>
        <v>74848852</v>
      </c>
      <c r="V333" s="362"/>
      <c r="W333" s="365" t="str">
        <f>+VLOOKUP($B333,[2]Time_S4!$B:$G,6,0)</f>
        <v>Trung tâm Thông tin Quân sự</v>
      </c>
      <c r="X333" s="365" t="str">
        <f>IF(W333="Phòng Kinh doanh","Trung tâm Kinh doanh - TCT CNC",+VLOOKUP($B333,[2]Time_S4!$B:$G,5,0))</f>
        <v>Khối 1 - TCT CNC</v>
      </c>
      <c r="Y333" s="366"/>
      <c r="Z333" s="366"/>
    </row>
    <row r="334" spans="1:26" ht="15.75" hidden="1">
      <c r="A334" s="367">
        <f>SUBTOTAL(3,$B$15:B334)</f>
        <v>2</v>
      </c>
      <c r="B334" s="356" t="s">
        <v>1025</v>
      </c>
      <c r="C334" s="356" t="s">
        <v>1026</v>
      </c>
      <c r="D334" s="356" t="s">
        <v>407</v>
      </c>
      <c r="E334" s="357">
        <v>21</v>
      </c>
      <c r="F334" s="357">
        <v>21</v>
      </c>
      <c r="G334" s="358">
        <v>40111135</v>
      </c>
      <c r="H334" s="359">
        <f t="shared" si="9"/>
        <v>39043495</v>
      </c>
      <c r="I334" s="360"/>
      <c r="J334" s="361"/>
      <c r="K334" s="362"/>
      <c r="L334" s="362"/>
      <c r="M334" s="361">
        <v>813440</v>
      </c>
      <c r="N334" s="361">
        <v>1779400</v>
      </c>
      <c r="O334" s="361">
        <v>152520</v>
      </c>
      <c r="P334" s="361">
        <v>305040</v>
      </c>
      <c r="Q334" s="361">
        <v>101680</v>
      </c>
      <c r="R334" s="361">
        <v>101680</v>
      </c>
      <c r="S334" s="361">
        <v>203360</v>
      </c>
      <c r="T334" s="363">
        <v>1715000</v>
      </c>
      <c r="U334" s="364">
        <f t="shared" si="10"/>
        <v>44215615</v>
      </c>
      <c r="V334" s="362"/>
      <c r="W334" s="365" t="str">
        <f>+VLOOKUP($B334,[2]Time_S4!$B:$G,6,0)</f>
        <v>Trung tâm Nghiên cứu thiết bị vô tuyến băng rộng</v>
      </c>
      <c r="X334" s="365" t="str">
        <f>IF(W334="Phòng Kinh doanh","Trung tâm Kinh doanh - TCT CNC",+VLOOKUP($B334,[2]Time_S4!$B:$G,5,0))</f>
        <v>Khối 2 - TCT CNC</v>
      </c>
      <c r="Y334" s="366"/>
      <c r="Z334" s="366"/>
    </row>
    <row r="335" spans="1:26" ht="15.75" hidden="1">
      <c r="A335" s="367">
        <f>SUBTOTAL(3,$B$15:B335)</f>
        <v>2</v>
      </c>
      <c r="B335" s="356" t="s">
        <v>1027</v>
      </c>
      <c r="C335" s="356" t="s">
        <v>1028</v>
      </c>
      <c r="D335" s="356" t="s">
        <v>407</v>
      </c>
      <c r="E335" s="357">
        <v>21</v>
      </c>
      <c r="F335" s="357">
        <v>21</v>
      </c>
      <c r="G335" s="358">
        <v>39185912</v>
      </c>
      <c r="H335" s="359">
        <f t="shared" si="9"/>
        <v>38060984</v>
      </c>
      <c r="I335" s="360"/>
      <c r="J335" s="361"/>
      <c r="K335" s="362"/>
      <c r="L335" s="362"/>
      <c r="M335" s="361">
        <v>857088</v>
      </c>
      <c r="N335" s="361">
        <v>1874880</v>
      </c>
      <c r="O335" s="361">
        <v>160704</v>
      </c>
      <c r="P335" s="361">
        <v>321408</v>
      </c>
      <c r="Q335" s="361">
        <v>107136</v>
      </c>
      <c r="R335" s="361">
        <v>107136</v>
      </c>
      <c r="S335" s="361">
        <v>214272</v>
      </c>
      <c r="T335" s="363">
        <v>1147000</v>
      </c>
      <c r="U335" s="364">
        <f t="shared" si="10"/>
        <v>42850608</v>
      </c>
      <c r="V335" s="362"/>
      <c r="W335" s="365" t="str">
        <f>+VLOOKUP($B335,[2]Time_S4!$B:$G,6,0)</f>
        <v>Trung tâm Nghiên cứu thiết bị vô tuyến băng rộng</v>
      </c>
      <c r="X335" s="365" t="str">
        <f>IF(W335="Phòng Kinh doanh","Trung tâm Kinh doanh - TCT CNC",+VLOOKUP($B335,[2]Time_S4!$B:$G,5,0))</f>
        <v>Khối 2 - TCT CNC</v>
      </c>
      <c r="Y335" s="366"/>
      <c r="Z335" s="366"/>
    </row>
    <row r="336" spans="1:26" ht="15.75" hidden="1">
      <c r="A336" s="367">
        <f>SUBTOTAL(3,$B$15:B336)</f>
        <v>2</v>
      </c>
      <c r="B336" s="356" t="s">
        <v>1029</v>
      </c>
      <c r="C336" s="356" t="s">
        <v>1030</v>
      </c>
      <c r="D336" s="356" t="s">
        <v>407</v>
      </c>
      <c r="E336" s="357">
        <v>21</v>
      </c>
      <c r="F336" s="357">
        <v>21</v>
      </c>
      <c r="G336" s="358">
        <v>85384888</v>
      </c>
      <c r="H336" s="359">
        <f t="shared" ref="H336:H399" si="11">+G336-SUM(M336,O336,Q336)</f>
        <v>83864152</v>
      </c>
      <c r="I336" s="360"/>
      <c r="J336" s="361"/>
      <c r="K336" s="362"/>
      <c r="L336" s="362"/>
      <c r="M336" s="361">
        <v>1158656</v>
      </c>
      <c r="N336" s="361">
        <v>2534560</v>
      </c>
      <c r="O336" s="361">
        <v>217248</v>
      </c>
      <c r="P336" s="361">
        <v>434496</v>
      </c>
      <c r="Q336" s="361">
        <v>144832</v>
      </c>
      <c r="R336" s="361">
        <v>144832</v>
      </c>
      <c r="S336" s="361">
        <v>289664</v>
      </c>
      <c r="T336" s="363">
        <v>1230000</v>
      </c>
      <c r="U336" s="364">
        <f t="shared" ref="U336:U399" si="12">+SUM(H336:T336)</f>
        <v>90018440</v>
      </c>
      <c r="V336" s="362"/>
      <c r="W336" s="365" t="str">
        <f>+VLOOKUP($B336,[2]Time_S4!$B:$G,6,0)</f>
        <v>Trung tâm Camera</v>
      </c>
      <c r="X336" s="365" t="str">
        <f>IF(W336="Phòng Kinh doanh","Trung tâm Kinh doanh - TCT CNC",+VLOOKUP($B336,[2]Time_S4!$B:$G,5,0))</f>
        <v>Khối 3 - TCT CNC</v>
      </c>
      <c r="Y336" s="366"/>
      <c r="Z336" s="366"/>
    </row>
    <row r="337" spans="1:26" ht="15.75" hidden="1">
      <c r="A337" s="367">
        <f>SUBTOTAL(3,$B$15:B337)</f>
        <v>2</v>
      </c>
      <c r="B337" s="356" t="s">
        <v>1031</v>
      </c>
      <c r="C337" s="356" t="s">
        <v>1032</v>
      </c>
      <c r="D337" s="356" t="s">
        <v>407</v>
      </c>
      <c r="E337" s="357">
        <v>21</v>
      </c>
      <c r="F337" s="357">
        <v>21</v>
      </c>
      <c r="G337" s="358">
        <v>54719883</v>
      </c>
      <c r="H337" s="359">
        <f t="shared" si="11"/>
        <v>53475171</v>
      </c>
      <c r="I337" s="360"/>
      <c r="J337" s="361"/>
      <c r="K337" s="362"/>
      <c r="L337" s="362"/>
      <c r="M337" s="361">
        <v>948352</v>
      </c>
      <c r="N337" s="361">
        <v>2074520</v>
      </c>
      <c r="O337" s="361">
        <v>177816</v>
      </c>
      <c r="P337" s="361">
        <v>355632</v>
      </c>
      <c r="Q337" s="361">
        <v>118544</v>
      </c>
      <c r="R337" s="361">
        <v>118544</v>
      </c>
      <c r="S337" s="361">
        <v>237088</v>
      </c>
      <c r="T337" s="363">
        <v>1030000</v>
      </c>
      <c r="U337" s="364">
        <f t="shared" si="12"/>
        <v>58535667</v>
      </c>
      <c r="V337" s="362"/>
      <c r="W337" s="365" t="str">
        <f>+VLOOKUP($B337,[2]Time_S4!$B:$G,6,0)</f>
        <v>Trung tâm Nghiên cứu thiết bị vô tuyến băng rộng</v>
      </c>
      <c r="X337" s="365" t="str">
        <f>IF(W337="Phòng Kinh doanh","Trung tâm Kinh doanh - TCT CNC",+VLOOKUP($B337,[2]Time_S4!$B:$G,5,0))</f>
        <v>Khối 2 - TCT CNC</v>
      </c>
      <c r="Y337" s="366"/>
      <c r="Z337" s="366"/>
    </row>
    <row r="338" spans="1:26" ht="15.75" hidden="1">
      <c r="A338" s="367">
        <f>SUBTOTAL(3,$B$15:B338)</f>
        <v>2</v>
      </c>
      <c r="B338" s="356" t="s">
        <v>1033</v>
      </c>
      <c r="C338" s="356" t="s">
        <v>1034</v>
      </c>
      <c r="D338" s="356" t="s">
        <v>397</v>
      </c>
      <c r="E338" s="357">
        <v>21</v>
      </c>
      <c r="F338" s="357">
        <v>21</v>
      </c>
      <c r="G338" s="358">
        <v>63160887</v>
      </c>
      <c r="H338" s="359">
        <f t="shared" si="11"/>
        <v>61953447</v>
      </c>
      <c r="I338" s="360"/>
      <c r="J338" s="361"/>
      <c r="K338" s="362"/>
      <c r="L338" s="362"/>
      <c r="M338" s="361">
        <v>1207440</v>
      </c>
      <c r="N338" s="361">
        <v>2641275</v>
      </c>
      <c r="O338" s="361">
        <v>0</v>
      </c>
      <c r="P338" s="361">
        <v>0</v>
      </c>
      <c r="Q338" s="361">
        <v>0</v>
      </c>
      <c r="R338" s="361">
        <v>0</v>
      </c>
      <c r="S338" s="361">
        <v>301860</v>
      </c>
      <c r="T338" s="363">
        <v>1130000</v>
      </c>
      <c r="U338" s="364">
        <f t="shared" si="12"/>
        <v>67234022</v>
      </c>
      <c r="V338" s="362"/>
      <c r="W338" s="365" t="str">
        <f>+VLOOKUP($B338,[2]Time_S4!$B:$G,6,0)</f>
        <v>Trung tâm Nghiên cứu thiết bị vô tuyến băng rộng</v>
      </c>
      <c r="X338" s="365" t="str">
        <f>IF(W338="Phòng Kinh doanh","Trung tâm Kinh doanh - TCT CNC",+VLOOKUP($B338,[2]Time_S4!$B:$G,5,0))</f>
        <v>Khối 2 - TCT CNC</v>
      </c>
      <c r="Y338" s="366"/>
      <c r="Z338" s="366"/>
    </row>
    <row r="339" spans="1:26" ht="15.75" hidden="1">
      <c r="A339" s="367">
        <f>SUBTOTAL(3,$B$15:B339)</f>
        <v>2</v>
      </c>
      <c r="B339" s="356" t="s">
        <v>1035</v>
      </c>
      <c r="C339" s="356" t="s">
        <v>1036</v>
      </c>
      <c r="D339" s="356" t="s">
        <v>400</v>
      </c>
      <c r="E339" s="357">
        <v>21</v>
      </c>
      <c r="F339" s="357">
        <v>21</v>
      </c>
      <c r="G339" s="358">
        <v>63641668</v>
      </c>
      <c r="H339" s="359">
        <f t="shared" si="11"/>
        <v>62643541</v>
      </c>
      <c r="I339" s="360"/>
      <c r="J339" s="361"/>
      <c r="K339" s="362"/>
      <c r="L339" s="362"/>
      <c r="M339" s="361">
        <v>840528</v>
      </c>
      <c r="N339" s="361">
        <v>1838655</v>
      </c>
      <c r="O339" s="361">
        <v>157599</v>
      </c>
      <c r="P339" s="361">
        <v>315198</v>
      </c>
      <c r="Q339" s="361">
        <v>0</v>
      </c>
      <c r="R339" s="361">
        <v>0</v>
      </c>
      <c r="S339" s="361">
        <v>210132</v>
      </c>
      <c r="T339" s="363">
        <v>1130000</v>
      </c>
      <c r="U339" s="364">
        <f t="shared" si="12"/>
        <v>67135653</v>
      </c>
      <c r="V339" s="362"/>
      <c r="W339" s="365" t="str">
        <f>+VLOOKUP($B339,[2]Time_S4!$B:$G,6,0)</f>
        <v>Trung tâm Nghiên cứu thiết bị vô tuyến băng rộng</v>
      </c>
      <c r="X339" s="365" t="str">
        <f>IF(W339="Phòng Kinh doanh","Trung tâm Kinh doanh - TCT CNC",+VLOOKUP($B339,[2]Time_S4!$B:$G,5,0))</f>
        <v>Khối 2 - TCT CNC</v>
      </c>
      <c r="Y339" s="366"/>
      <c r="Z339" s="366"/>
    </row>
    <row r="340" spans="1:26" ht="15.75" hidden="1">
      <c r="A340" s="367">
        <f>SUBTOTAL(3,$B$15:B340)</f>
        <v>2</v>
      </c>
      <c r="B340" s="356" t="s">
        <v>1037</v>
      </c>
      <c r="C340" s="356" t="s">
        <v>1038</v>
      </c>
      <c r="D340" s="356" t="s">
        <v>407</v>
      </c>
      <c r="E340" s="357">
        <v>21</v>
      </c>
      <c r="F340" s="357">
        <v>21</v>
      </c>
      <c r="G340" s="358">
        <v>15441923</v>
      </c>
      <c r="H340" s="359">
        <f t="shared" si="11"/>
        <v>14608643</v>
      </c>
      <c r="I340" s="360"/>
      <c r="J340" s="361"/>
      <c r="K340" s="362"/>
      <c r="L340" s="362"/>
      <c r="M340" s="361">
        <v>634880</v>
      </c>
      <c r="N340" s="361">
        <v>1388800</v>
      </c>
      <c r="O340" s="361">
        <v>119040</v>
      </c>
      <c r="P340" s="361">
        <v>238080</v>
      </c>
      <c r="Q340" s="361">
        <v>79360</v>
      </c>
      <c r="R340" s="361">
        <v>79360</v>
      </c>
      <c r="S340" s="361">
        <v>158720</v>
      </c>
      <c r="T340" s="363">
        <v>1730000</v>
      </c>
      <c r="U340" s="364">
        <f t="shared" si="12"/>
        <v>19036883</v>
      </c>
      <c r="V340" s="362"/>
      <c r="W340" s="365" t="str">
        <f>+VLOOKUP($B340,[2]Time_S4!$B:$G,6,0)</f>
        <v>Phòng Hành chính</v>
      </c>
      <c r="X340" s="365" t="str">
        <f>IF(W340="Phòng Kinh doanh","Trung tâm Kinh doanh - TCT CNC",+VLOOKUP($B340,[2]Time_S4!$B:$G,5,0))</f>
        <v>Khối cơ quan - TCT CNC</v>
      </c>
      <c r="Y340" s="366"/>
      <c r="Z340" s="366"/>
    </row>
    <row r="341" spans="1:26" ht="15.75" hidden="1">
      <c r="A341" s="367">
        <f>SUBTOTAL(3,$B$15:B341)</f>
        <v>2</v>
      </c>
      <c r="B341" s="356" t="s">
        <v>1039</v>
      </c>
      <c r="C341" s="356" t="s">
        <v>656</v>
      </c>
      <c r="D341" s="356" t="s">
        <v>407</v>
      </c>
      <c r="E341" s="357">
        <v>21</v>
      </c>
      <c r="F341" s="357">
        <v>21</v>
      </c>
      <c r="G341" s="358">
        <v>15441923</v>
      </c>
      <c r="H341" s="359">
        <f t="shared" si="11"/>
        <v>14608643</v>
      </c>
      <c r="I341" s="360"/>
      <c r="J341" s="361"/>
      <c r="K341" s="362"/>
      <c r="L341" s="362"/>
      <c r="M341" s="361">
        <v>634880</v>
      </c>
      <c r="N341" s="361">
        <v>1388800</v>
      </c>
      <c r="O341" s="361">
        <v>119040</v>
      </c>
      <c r="P341" s="361">
        <v>238080</v>
      </c>
      <c r="Q341" s="361">
        <v>79360</v>
      </c>
      <c r="R341" s="361">
        <v>79360</v>
      </c>
      <c r="S341" s="361">
        <v>158720</v>
      </c>
      <c r="T341" s="363">
        <v>930000</v>
      </c>
      <c r="U341" s="364">
        <f t="shared" si="12"/>
        <v>18236883</v>
      </c>
      <c r="V341" s="362"/>
      <c r="W341" s="365" t="str">
        <f>+VLOOKUP($B341,[2]Time_S4!$B:$G,6,0)</f>
        <v>Phòng Hành chính</v>
      </c>
      <c r="X341" s="365" t="str">
        <f>IF(W341="Phòng Kinh doanh","Trung tâm Kinh doanh - TCT CNC",+VLOOKUP($B341,[2]Time_S4!$B:$G,5,0))</f>
        <v>Khối cơ quan - TCT CNC</v>
      </c>
      <c r="Y341" s="366"/>
      <c r="Z341" s="366"/>
    </row>
    <row r="342" spans="1:26" ht="15.75" hidden="1">
      <c r="A342" s="367">
        <f>SUBTOTAL(3,$B$15:B342)</f>
        <v>2</v>
      </c>
      <c r="B342" s="356" t="s">
        <v>1040</v>
      </c>
      <c r="C342" s="356" t="s">
        <v>1041</v>
      </c>
      <c r="D342" s="356" t="s">
        <v>407</v>
      </c>
      <c r="E342" s="357">
        <v>21</v>
      </c>
      <c r="F342" s="357">
        <v>21</v>
      </c>
      <c r="G342" s="358">
        <v>15509091</v>
      </c>
      <c r="H342" s="359">
        <f t="shared" si="11"/>
        <v>14675811</v>
      </c>
      <c r="I342" s="360"/>
      <c r="J342" s="361"/>
      <c r="K342" s="362"/>
      <c r="L342" s="362"/>
      <c r="M342" s="361">
        <v>634880</v>
      </c>
      <c r="N342" s="361">
        <v>1388800</v>
      </c>
      <c r="O342" s="361">
        <v>119040</v>
      </c>
      <c r="P342" s="361">
        <v>238080</v>
      </c>
      <c r="Q342" s="361">
        <v>79360</v>
      </c>
      <c r="R342" s="361">
        <v>79360</v>
      </c>
      <c r="S342" s="361">
        <v>158720</v>
      </c>
      <c r="T342" s="363">
        <v>1530000</v>
      </c>
      <c r="U342" s="364">
        <f t="shared" si="12"/>
        <v>18904051</v>
      </c>
      <c r="V342" s="362"/>
      <c r="W342" s="365" t="str">
        <f>+VLOOKUP($B342,[2]Time_S4!$B:$G,6,0)</f>
        <v>Phòng Hành chính</v>
      </c>
      <c r="X342" s="365" t="str">
        <f>IF(W342="Phòng Kinh doanh","Trung tâm Kinh doanh - TCT CNC",+VLOOKUP($B342,[2]Time_S4!$B:$G,5,0))</f>
        <v>Khối cơ quan - TCT CNC</v>
      </c>
      <c r="Y342" s="366"/>
      <c r="Z342" s="366"/>
    </row>
    <row r="343" spans="1:26" ht="15.75" hidden="1">
      <c r="A343" s="367">
        <f>SUBTOTAL(3,$B$15:B343)</f>
        <v>2</v>
      </c>
      <c r="B343" s="356" t="s">
        <v>1042</v>
      </c>
      <c r="C343" s="356" t="s">
        <v>1043</v>
      </c>
      <c r="D343" s="356" t="s">
        <v>407</v>
      </c>
      <c r="E343" s="357">
        <v>21</v>
      </c>
      <c r="F343" s="357">
        <v>21</v>
      </c>
      <c r="G343" s="358">
        <v>59411707</v>
      </c>
      <c r="H343" s="359">
        <f t="shared" si="11"/>
        <v>58036795</v>
      </c>
      <c r="I343" s="360"/>
      <c r="J343" s="361"/>
      <c r="K343" s="362"/>
      <c r="L343" s="362"/>
      <c r="M343" s="361">
        <v>1047552</v>
      </c>
      <c r="N343" s="361">
        <v>2291520</v>
      </c>
      <c r="O343" s="361">
        <v>196416</v>
      </c>
      <c r="P343" s="361">
        <v>392832</v>
      </c>
      <c r="Q343" s="361">
        <v>130944</v>
      </c>
      <c r="R343" s="361">
        <v>130944</v>
      </c>
      <c r="S343" s="361">
        <v>261888</v>
      </c>
      <c r="T343" s="363">
        <v>1030000</v>
      </c>
      <c r="U343" s="364">
        <f t="shared" si="12"/>
        <v>63518891</v>
      </c>
      <c r="V343" s="362"/>
      <c r="W343" s="365" t="str">
        <f>+VLOOKUP($B343,[2]Time_S4!$B:$G,6,0)</f>
        <v>Trung tâm Tác chiến điện tử</v>
      </c>
      <c r="X343" s="365" t="str">
        <f>IF(W343="Phòng Kinh doanh","Trung tâm Kinh doanh - TCT CNC",+VLOOKUP($B343,[2]Time_S4!$B:$G,5,0))</f>
        <v>Khối 1 - TCT CNC</v>
      </c>
      <c r="Y343" s="366"/>
      <c r="Z343" s="366"/>
    </row>
    <row r="344" spans="1:26" ht="15.75" hidden="1">
      <c r="A344" s="367">
        <f>SUBTOTAL(3,$B$15:B344)</f>
        <v>2</v>
      </c>
      <c r="B344" s="356" t="s">
        <v>1044</v>
      </c>
      <c r="C344" s="356" t="s">
        <v>1045</v>
      </c>
      <c r="D344" s="356" t="s">
        <v>397</v>
      </c>
      <c r="E344" s="357">
        <v>21</v>
      </c>
      <c r="F344" s="357">
        <v>21</v>
      </c>
      <c r="G344" s="358">
        <v>17511843</v>
      </c>
      <c r="H344" s="359">
        <f t="shared" si="11"/>
        <v>16190960</v>
      </c>
      <c r="I344" s="360"/>
      <c r="J344" s="361"/>
      <c r="K344" s="362"/>
      <c r="L344" s="362"/>
      <c r="M344" s="361">
        <v>1320883</v>
      </c>
      <c r="N344" s="361">
        <v>2889432</v>
      </c>
      <c r="O344" s="361">
        <v>0</v>
      </c>
      <c r="P344" s="361">
        <v>0</v>
      </c>
      <c r="Q344" s="361">
        <v>0</v>
      </c>
      <c r="R344" s="361">
        <v>0</v>
      </c>
      <c r="S344" s="361">
        <v>330221</v>
      </c>
      <c r="T344" s="363">
        <v>1730000</v>
      </c>
      <c r="U344" s="364">
        <f t="shared" si="12"/>
        <v>22461496</v>
      </c>
      <c r="V344" s="362"/>
      <c r="W344" s="365" t="str">
        <f>+VLOOKUP($B344,[2]Time_S4!$B:$G,6,0)</f>
        <v>Phòng Hành chính</v>
      </c>
      <c r="X344" s="365" t="str">
        <f>IF(W344="Phòng Kinh doanh","Trung tâm Kinh doanh - TCT CNC",+VLOOKUP($B344,[2]Time_S4!$B:$G,5,0))</f>
        <v>Khối cơ quan - TCT CNC</v>
      </c>
      <c r="Y344" s="366"/>
      <c r="Z344" s="366"/>
    </row>
    <row r="345" spans="1:26" ht="15.75" hidden="1">
      <c r="A345" s="367">
        <f>SUBTOTAL(3,$B$15:B345)</f>
        <v>2</v>
      </c>
      <c r="B345" s="356" t="s">
        <v>1046</v>
      </c>
      <c r="C345" s="356" t="s">
        <v>1047</v>
      </c>
      <c r="D345" s="356" t="s">
        <v>397</v>
      </c>
      <c r="E345" s="357">
        <v>21</v>
      </c>
      <c r="F345" s="357">
        <v>21</v>
      </c>
      <c r="G345" s="358">
        <v>15883203</v>
      </c>
      <c r="H345" s="359">
        <f t="shared" si="11"/>
        <v>14692611</v>
      </c>
      <c r="I345" s="360"/>
      <c r="J345" s="361"/>
      <c r="K345" s="362"/>
      <c r="L345" s="362"/>
      <c r="M345" s="361">
        <v>1190592</v>
      </c>
      <c r="N345" s="361">
        <v>2604420</v>
      </c>
      <c r="O345" s="361">
        <v>0</v>
      </c>
      <c r="P345" s="361">
        <v>0</v>
      </c>
      <c r="Q345" s="361">
        <v>0</v>
      </c>
      <c r="R345" s="361">
        <v>0</v>
      </c>
      <c r="S345" s="361">
        <v>297648</v>
      </c>
      <c r="T345" s="363">
        <v>2430000</v>
      </c>
      <c r="U345" s="364">
        <f t="shared" si="12"/>
        <v>21215271</v>
      </c>
      <c r="V345" s="362"/>
      <c r="W345" s="365" t="str">
        <f>+VLOOKUP($B345,[2]Time_S4!$B:$G,6,0)</f>
        <v>Phòng Hành chính</v>
      </c>
      <c r="X345" s="365" t="str">
        <f>IF(W345="Phòng Kinh doanh","Trung tâm Kinh doanh - TCT CNC",+VLOOKUP($B345,[2]Time_S4!$B:$G,5,0))</f>
        <v>Khối cơ quan - TCT CNC</v>
      </c>
      <c r="Y345" s="366"/>
      <c r="Z345" s="366"/>
    </row>
    <row r="346" spans="1:26" ht="15.75" hidden="1">
      <c r="A346" s="367">
        <f>SUBTOTAL(3,$B$15:B346)</f>
        <v>2</v>
      </c>
      <c r="B346" s="356" t="s">
        <v>1048</v>
      </c>
      <c r="C346" s="356" t="s">
        <v>1049</v>
      </c>
      <c r="D346" s="356" t="s">
        <v>407</v>
      </c>
      <c r="E346" s="357">
        <v>21</v>
      </c>
      <c r="F346" s="357">
        <v>21</v>
      </c>
      <c r="G346" s="358">
        <v>28903190</v>
      </c>
      <c r="H346" s="359">
        <f t="shared" si="11"/>
        <v>27887630</v>
      </c>
      <c r="I346" s="360"/>
      <c r="J346" s="361"/>
      <c r="K346" s="362"/>
      <c r="L346" s="362"/>
      <c r="M346" s="361">
        <v>773760</v>
      </c>
      <c r="N346" s="361">
        <v>1692600</v>
      </c>
      <c r="O346" s="361">
        <v>145080</v>
      </c>
      <c r="P346" s="361">
        <v>290160</v>
      </c>
      <c r="Q346" s="361">
        <v>96720</v>
      </c>
      <c r="R346" s="361">
        <v>96720</v>
      </c>
      <c r="S346" s="361">
        <v>193440</v>
      </c>
      <c r="T346" s="363">
        <v>1030000</v>
      </c>
      <c r="U346" s="364">
        <f t="shared" si="12"/>
        <v>32206110</v>
      </c>
      <c r="V346" s="362"/>
      <c r="W346" s="365" t="str">
        <f>+VLOOKUP($B346,[2]Time_S4!$B:$G,6,0)</f>
        <v>Trung tâm Tác chiến điện tử</v>
      </c>
      <c r="X346" s="365" t="str">
        <f>IF(W346="Phòng Kinh doanh","Trung tâm Kinh doanh - TCT CNC",+VLOOKUP($B346,[2]Time_S4!$B:$G,5,0))</f>
        <v>Khối 1 - TCT CNC</v>
      </c>
      <c r="Y346" s="366"/>
      <c r="Z346" s="366"/>
    </row>
    <row r="347" spans="1:26" ht="15.75" hidden="1">
      <c r="A347" s="367">
        <f>SUBTOTAL(3,$B$15:B347)</f>
        <v>2</v>
      </c>
      <c r="B347" s="356" t="s">
        <v>1050</v>
      </c>
      <c r="C347" s="356" t="s">
        <v>1051</v>
      </c>
      <c r="D347" s="356" t="s">
        <v>407</v>
      </c>
      <c r="E347" s="357">
        <v>21</v>
      </c>
      <c r="F347" s="357">
        <v>21</v>
      </c>
      <c r="G347" s="358">
        <v>33829476</v>
      </c>
      <c r="H347" s="359">
        <f t="shared" si="11"/>
        <v>32704548</v>
      </c>
      <c r="I347" s="360"/>
      <c r="J347" s="361"/>
      <c r="K347" s="362"/>
      <c r="L347" s="362"/>
      <c r="M347" s="361">
        <v>857088</v>
      </c>
      <c r="N347" s="361">
        <v>1874880</v>
      </c>
      <c r="O347" s="361">
        <v>160704</v>
      </c>
      <c r="P347" s="361">
        <v>321408</v>
      </c>
      <c r="Q347" s="361">
        <v>107136</v>
      </c>
      <c r="R347" s="361">
        <v>107136</v>
      </c>
      <c r="S347" s="361">
        <v>214272</v>
      </c>
      <c r="T347" s="363">
        <v>1030000</v>
      </c>
      <c r="U347" s="364">
        <f t="shared" si="12"/>
        <v>37377172</v>
      </c>
      <c r="V347" s="362"/>
      <c r="W347" s="365" t="str">
        <f>+VLOOKUP($B347,[2]Time_S4!$B:$G,6,0)</f>
        <v>Trung tâm sản xuất</v>
      </c>
      <c r="X347" s="365" t="str">
        <f>IF(W347="Phòng Kinh doanh","Trung tâm Kinh doanh - TCT CNC",+VLOOKUP($B347,[2]Time_S4!$B:$G,5,0))</f>
        <v>Khối 1 - TCT CNC</v>
      </c>
      <c r="Y347" s="366"/>
      <c r="Z347" s="366"/>
    </row>
    <row r="348" spans="1:26" ht="15.75" hidden="1">
      <c r="A348" s="367">
        <f>SUBTOTAL(3,$B$15:B348)</f>
        <v>2</v>
      </c>
      <c r="B348" s="356" t="s">
        <v>1052</v>
      </c>
      <c r="C348" s="356" t="s">
        <v>1053</v>
      </c>
      <c r="D348" s="356" t="s">
        <v>407</v>
      </c>
      <c r="E348" s="357">
        <v>21</v>
      </c>
      <c r="F348" s="357">
        <v>21</v>
      </c>
      <c r="G348" s="358">
        <v>43754851</v>
      </c>
      <c r="H348" s="359">
        <f t="shared" si="11"/>
        <v>42572635</v>
      </c>
      <c r="I348" s="360"/>
      <c r="J348" s="361"/>
      <c r="K348" s="362"/>
      <c r="L348" s="362"/>
      <c r="M348" s="361">
        <v>900736</v>
      </c>
      <c r="N348" s="361">
        <v>1970360</v>
      </c>
      <c r="O348" s="361">
        <v>168888</v>
      </c>
      <c r="P348" s="361">
        <v>337776</v>
      </c>
      <c r="Q348" s="361">
        <v>112592</v>
      </c>
      <c r="R348" s="361">
        <v>112592</v>
      </c>
      <c r="S348" s="361">
        <v>225184</v>
      </c>
      <c r="T348" s="363">
        <v>1030000</v>
      </c>
      <c r="U348" s="364">
        <f t="shared" si="12"/>
        <v>47430763</v>
      </c>
      <c r="V348" s="362"/>
      <c r="W348" s="365" t="str">
        <f>+VLOOKUP($B348,[2]Time_S4!$B:$G,6,0)</f>
        <v>Trung tâm Khí cụ bay</v>
      </c>
      <c r="X348" s="365" t="str">
        <f>IF(W348="Phòng Kinh doanh","Trung tâm Kinh doanh - TCT CNC",+VLOOKUP($B348,[2]Time_S4!$B:$G,5,0))</f>
        <v>Khối 1 - TCT CNC</v>
      </c>
      <c r="Y348" s="366"/>
      <c r="Z348" s="366"/>
    </row>
    <row r="349" spans="1:26" ht="15.75" hidden="1">
      <c r="A349" s="367">
        <f>SUBTOTAL(3,$B$15:B349)</f>
        <v>2</v>
      </c>
      <c r="B349" s="356" t="s">
        <v>1054</v>
      </c>
      <c r="C349" s="356" t="s">
        <v>1055</v>
      </c>
      <c r="D349" s="356" t="s">
        <v>407</v>
      </c>
      <c r="E349" s="357">
        <v>21</v>
      </c>
      <c r="F349" s="357">
        <v>21</v>
      </c>
      <c r="G349" s="358">
        <v>47304747</v>
      </c>
      <c r="H349" s="359">
        <f t="shared" si="11"/>
        <v>46060035</v>
      </c>
      <c r="I349" s="360"/>
      <c r="J349" s="361"/>
      <c r="K349" s="362"/>
      <c r="L349" s="362"/>
      <c r="M349" s="361">
        <v>948352</v>
      </c>
      <c r="N349" s="361">
        <v>2074520</v>
      </c>
      <c r="O349" s="361">
        <v>177816</v>
      </c>
      <c r="P349" s="361">
        <v>355632</v>
      </c>
      <c r="Q349" s="361">
        <v>118544</v>
      </c>
      <c r="R349" s="361">
        <v>118544</v>
      </c>
      <c r="S349" s="361">
        <v>237088</v>
      </c>
      <c r="T349" s="363">
        <v>1030000</v>
      </c>
      <c r="U349" s="364">
        <f t="shared" si="12"/>
        <v>51120531</v>
      </c>
      <c r="V349" s="362"/>
      <c r="W349" s="365" t="str">
        <f>+VLOOKUP($B349,[2]Time_S4!$B:$G,6,0)</f>
        <v>Trung tâm Chỉ huy điều khiển</v>
      </c>
      <c r="X349" s="365" t="str">
        <f>IF(W349="Phòng Kinh doanh","Trung tâm Kinh doanh - TCT CNC",+VLOOKUP($B349,[2]Time_S4!$B:$G,5,0))</f>
        <v>Khối 1 - TCT CNC</v>
      </c>
      <c r="Y349" s="366"/>
      <c r="Z349" s="366"/>
    </row>
    <row r="350" spans="1:26" ht="15.75" hidden="1">
      <c r="A350" s="367">
        <f>SUBTOTAL(3,$B$15:B350)</f>
        <v>2</v>
      </c>
      <c r="B350" s="356" t="s">
        <v>1056</v>
      </c>
      <c r="C350" s="356" t="s">
        <v>1057</v>
      </c>
      <c r="D350" s="356" t="s">
        <v>407</v>
      </c>
      <c r="E350" s="357">
        <v>21</v>
      </c>
      <c r="F350" s="357">
        <v>21</v>
      </c>
      <c r="G350" s="358">
        <v>62571186</v>
      </c>
      <c r="H350" s="359">
        <f t="shared" si="11"/>
        <v>61196274</v>
      </c>
      <c r="I350" s="360"/>
      <c r="J350" s="361"/>
      <c r="K350" s="362"/>
      <c r="L350" s="362"/>
      <c r="M350" s="361">
        <v>1047552</v>
      </c>
      <c r="N350" s="361">
        <v>2291520</v>
      </c>
      <c r="O350" s="361">
        <v>196416</v>
      </c>
      <c r="P350" s="361">
        <v>392832</v>
      </c>
      <c r="Q350" s="361">
        <v>130944</v>
      </c>
      <c r="R350" s="361">
        <v>130944</v>
      </c>
      <c r="S350" s="361">
        <v>261888</v>
      </c>
      <c r="T350" s="363">
        <v>1130000</v>
      </c>
      <c r="U350" s="364">
        <f t="shared" si="12"/>
        <v>66778370</v>
      </c>
      <c r="V350" s="362"/>
      <c r="W350" s="365" t="str">
        <f>+VLOOKUP($B350,[2]Time_S4!$B:$G,6,0)</f>
        <v>Trung tâm Nghiên cứu thiết bị vô tuyến băng rộng</v>
      </c>
      <c r="X350" s="365" t="str">
        <f>IF(W350="Phòng Kinh doanh","Trung tâm Kinh doanh - TCT CNC",+VLOOKUP($B350,[2]Time_S4!$B:$G,5,0))</f>
        <v>Khối 2 - TCT CNC</v>
      </c>
      <c r="Y350" s="366"/>
      <c r="Z350" s="366"/>
    </row>
    <row r="351" spans="1:26" ht="15.75" hidden="1">
      <c r="A351" s="367">
        <f>SUBTOTAL(3,$B$15:B351)</f>
        <v>2</v>
      </c>
      <c r="B351" s="356" t="s">
        <v>1058</v>
      </c>
      <c r="C351" s="356" t="s">
        <v>1059</v>
      </c>
      <c r="D351" s="356" t="s">
        <v>407</v>
      </c>
      <c r="E351" s="357">
        <v>21</v>
      </c>
      <c r="F351" s="357">
        <v>21</v>
      </c>
      <c r="G351" s="358">
        <v>59628542</v>
      </c>
      <c r="H351" s="359">
        <f t="shared" si="11"/>
        <v>58321334</v>
      </c>
      <c r="I351" s="360"/>
      <c r="J351" s="361"/>
      <c r="K351" s="362"/>
      <c r="L351" s="362"/>
      <c r="M351" s="361">
        <v>995968</v>
      </c>
      <c r="N351" s="361">
        <v>2178680</v>
      </c>
      <c r="O351" s="361">
        <v>186744</v>
      </c>
      <c r="P351" s="361">
        <v>373488</v>
      </c>
      <c r="Q351" s="361">
        <v>124496</v>
      </c>
      <c r="R351" s="361">
        <v>124496</v>
      </c>
      <c r="S351" s="361">
        <v>248992</v>
      </c>
      <c r="T351" s="363">
        <v>1230000</v>
      </c>
      <c r="U351" s="364">
        <f t="shared" si="12"/>
        <v>63784198</v>
      </c>
      <c r="V351" s="362"/>
      <c r="W351" s="365" t="str">
        <f>+VLOOKUP($B351,[2]Time_S4!$B:$G,6,0)</f>
        <v>Trung tâm Thông tin Quân sự</v>
      </c>
      <c r="X351" s="365" t="str">
        <f>IF(W351="Phòng Kinh doanh","Trung tâm Kinh doanh - TCT CNC",+VLOOKUP($B351,[2]Time_S4!$B:$G,5,0))</f>
        <v>Khối 1 - TCT CNC</v>
      </c>
      <c r="Y351" s="366"/>
      <c r="Z351" s="366"/>
    </row>
    <row r="352" spans="1:26" ht="15.75" hidden="1">
      <c r="A352" s="367">
        <f>SUBTOTAL(3,$B$15:B352)</f>
        <v>2</v>
      </c>
      <c r="B352" s="356" t="s">
        <v>1060</v>
      </c>
      <c r="C352" s="356" t="s">
        <v>1061</v>
      </c>
      <c r="D352" s="356" t="s">
        <v>407</v>
      </c>
      <c r="E352" s="357">
        <v>21</v>
      </c>
      <c r="F352" s="357">
        <v>21</v>
      </c>
      <c r="G352" s="358">
        <v>26125544</v>
      </c>
      <c r="H352" s="359">
        <f t="shared" si="11"/>
        <v>25109984</v>
      </c>
      <c r="I352" s="360"/>
      <c r="J352" s="361"/>
      <c r="K352" s="362"/>
      <c r="L352" s="362"/>
      <c r="M352" s="361">
        <v>773760</v>
      </c>
      <c r="N352" s="361">
        <v>1692600</v>
      </c>
      <c r="O352" s="361">
        <v>145080</v>
      </c>
      <c r="P352" s="361">
        <v>290160</v>
      </c>
      <c r="Q352" s="361">
        <v>96720</v>
      </c>
      <c r="R352" s="361">
        <v>96720</v>
      </c>
      <c r="S352" s="361">
        <v>193440</v>
      </c>
      <c r="T352" s="363">
        <v>1047000</v>
      </c>
      <c r="U352" s="364">
        <f t="shared" si="12"/>
        <v>29445464</v>
      </c>
      <c r="V352" s="362"/>
      <c r="W352" s="365" t="str">
        <f>+VLOOKUP($B352,[2]Time_S4!$B:$G,6,0)</f>
        <v>Trung tâm Nghiên cứu công nghệ Đa phương tiện</v>
      </c>
      <c r="X352" s="365" t="str">
        <f>IF(W352="Phòng Kinh doanh","Trung tâm Kinh doanh - TCT CNC",+VLOOKUP($B352,[2]Time_S4!$B:$G,5,0))</f>
        <v>Khối 2 - TCT CNC</v>
      </c>
      <c r="Y352" s="366"/>
      <c r="Z352" s="366"/>
    </row>
    <row r="353" spans="1:26" ht="15.75" hidden="1">
      <c r="A353" s="367">
        <f>SUBTOTAL(3,$B$15:B353)</f>
        <v>2</v>
      </c>
      <c r="B353" s="356" t="s">
        <v>1062</v>
      </c>
      <c r="C353" s="356" t="s">
        <v>1063</v>
      </c>
      <c r="D353" s="356" t="s">
        <v>397</v>
      </c>
      <c r="E353" s="357">
        <v>21</v>
      </c>
      <c r="F353" s="357">
        <v>21</v>
      </c>
      <c r="G353" s="358">
        <v>86349487</v>
      </c>
      <c r="H353" s="359">
        <f t="shared" si="11"/>
        <v>85258111</v>
      </c>
      <c r="I353" s="360"/>
      <c r="J353" s="361"/>
      <c r="K353" s="362"/>
      <c r="L353" s="362"/>
      <c r="M353" s="361">
        <v>1091376</v>
      </c>
      <c r="N353" s="361">
        <v>2387385</v>
      </c>
      <c r="O353" s="361">
        <v>0</v>
      </c>
      <c r="P353" s="361">
        <v>0</v>
      </c>
      <c r="Q353" s="361">
        <v>0</v>
      </c>
      <c r="R353" s="361">
        <v>0</v>
      </c>
      <c r="S353" s="361">
        <v>272844</v>
      </c>
      <c r="T353" s="363">
        <v>1230000</v>
      </c>
      <c r="U353" s="364">
        <f t="shared" si="12"/>
        <v>90239716</v>
      </c>
      <c r="V353" s="362"/>
      <c r="W353" s="365" t="str">
        <f>+VLOOKUP($B353,[2]Time_S4!$B:$G,6,0)</f>
        <v>Trung tâm Phát triển nền tảng thanh toán</v>
      </c>
      <c r="X353" s="365" t="str">
        <f>IF(W353="Phòng Kinh doanh","Trung tâm Kinh doanh - TCT CNC",+VLOOKUP($B353,[2]Time_S4!$B:$G,5,0))</f>
        <v>Khối 2 - TCT CNC</v>
      </c>
      <c r="Y353" s="366"/>
      <c r="Z353" s="366"/>
    </row>
    <row r="354" spans="1:26" ht="15.75" hidden="1">
      <c r="A354" s="367">
        <f>SUBTOTAL(3,$B$15:B354)</f>
        <v>2</v>
      </c>
      <c r="B354" s="356" t="s">
        <v>1064</v>
      </c>
      <c r="C354" s="356" t="s">
        <v>1065</v>
      </c>
      <c r="D354" s="356" t="s">
        <v>407</v>
      </c>
      <c r="E354" s="357">
        <v>21</v>
      </c>
      <c r="F354" s="357">
        <v>21</v>
      </c>
      <c r="G354" s="358">
        <v>26960570</v>
      </c>
      <c r="H354" s="359">
        <f t="shared" si="11"/>
        <v>25945010</v>
      </c>
      <c r="I354" s="360"/>
      <c r="J354" s="361"/>
      <c r="K354" s="362"/>
      <c r="L354" s="362"/>
      <c r="M354" s="361">
        <v>773760</v>
      </c>
      <c r="N354" s="361">
        <v>1692600</v>
      </c>
      <c r="O354" s="361">
        <v>145080</v>
      </c>
      <c r="P354" s="361">
        <v>290160</v>
      </c>
      <c r="Q354" s="361">
        <v>96720</v>
      </c>
      <c r="R354" s="361">
        <v>96720</v>
      </c>
      <c r="S354" s="361">
        <v>193440</v>
      </c>
      <c r="T354" s="363">
        <v>1047000</v>
      </c>
      <c r="U354" s="364">
        <f t="shared" si="12"/>
        <v>30280490</v>
      </c>
      <c r="V354" s="362"/>
      <c r="W354" s="365" t="str">
        <f>+VLOOKUP($B354,[2]Time_S4!$B:$G,6,0)</f>
        <v>Trung tâm Kỹ thuật công nghệ - TCT CNC</v>
      </c>
      <c r="X354" s="365" t="str">
        <f>IF(W354="Phòng Kinh doanh","Trung tâm Kinh doanh - TCT CNC",+VLOOKUP($B354,[2]Time_S4!$B:$G,5,0))</f>
        <v>Khối 2 - TCT CNC</v>
      </c>
      <c r="Y354" s="366"/>
      <c r="Z354" s="366"/>
    </row>
    <row r="355" spans="1:26" ht="15.75" hidden="1">
      <c r="A355" s="367">
        <f>SUBTOTAL(3,$B$15:B355)</f>
        <v>2</v>
      </c>
      <c r="B355" s="356" t="s">
        <v>1066</v>
      </c>
      <c r="C355" s="356" t="s">
        <v>1067</v>
      </c>
      <c r="D355" s="356" t="s">
        <v>407</v>
      </c>
      <c r="E355" s="357">
        <v>21</v>
      </c>
      <c r="F355" s="357">
        <v>21</v>
      </c>
      <c r="G355" s="358">
        <v>54927451</v>
      </c>
      <c r="H355" s="359">
        <f t="shared" si="11"/>
        <v>53682739</v>
      </c>
      <c r="I355" s="360"/>
      <c r="J355" s="361"/>
      <c r="K355" s="362"/>
      <c r="L355" s="362"/>
      <c r="M355" s="361">
        <v>948352</v>
      </c>
      <c r="N355" s="361">
        <v>2074520</v>
      </c>
      <c r="O355" s="361">
        <v>177816</v>
      </c>
      <c r="P355" s="361">
        <v>355632</v>
      </c>
      <c r="Q355" s="361">
        <v>118544</v>
      </c>
      <c r="R355" s="361">
        <v>118544</v>
      </c>
      <c r="S355" s="361">
        <v>237088</v>
      </c>
      <c r="T355" s="363">
        <v>1030000</v>
      </c>
      <c r="U355" s="364">
        <f t="shared" si="12"/>
        <v>58743235</v>
      </c>
      <c r="V355" s="362"/>
      <c r="W355" s="365" t="str">
        <f>+VLOOKUP($B355,[2]Time_S4!$B:$G,6,0)</f>
        <v>Trung tâm Chỉ huy điều khiển</v>
      </c>
      <c r="X355" s="365" t="str">
        <f>IF(W355="Phòng Kinh doanh","Trung tâm Kinh doanh - TCT CNC",+VLOOKUP($B355,[2]Time_S4!$B:$G,5,0))</f>
        <v>Khối 1 - TCT CNC</v>
      </c>
      <c r="Y355" s="366"/>
      <c r="Z355" s="366"/>
    </row>
    <row r="356" spans="1:26" ht="15.75" hidden="1">
      <c r="A356" s="367">
        <f>SUBTOTAL(3,$B$15:B356)</f>
        <v>2</v>
      </c>
      <c r="B356" s="356" t="s">
        <v>1068</v>
      </c>
      <c r="C356" s="356" t="s">
        <v>1069</v>
      </c>
      <c r="D356" s="356" t="s">
        <v>407</v>
      </c>
      <c r="E356" s="357">
        <v>21</v>
      </c>
      <c r="F356" s="357">
        <v>21</v>
      </c>
      <c r="G356" s="358">
        <v>51810660</v>
      </c>
      <c r="H356" s="359">
        <f t="shared" si="11"/>
        <v>50565948</v>
      </c>
      <c r="I356" s="360"/>
      <c r="J356" s="361"/>
      <c r="K356" s="362"/>
      <c r="L356" s="362"/>
      <c r="M356" s="361">
        <v>948352</v>
      </c>
      <c r="N356" s="361">
        <v>2074520</v>
      </c>
      <c r="O356" s="361">
        <v>177816</v>
      </c>
      <c r="P356" s="361">
        <v>355632</v>
      </c>
      <c r="Q356" s="361">
        <v>118544</v>
      </c>
      <c r="R356" s="361">
        <v>118544</v>
      </c>
      <c r="S356" s="361">
        <v>237088</v>
      </c>
      <c r="T356" s="363">
        <v>1030000</v>
      </c>
      <c r="U356" s="364">
        <f t="shared" si="12"/>
        <v>55626444</v>
      </c>
      <c r="V356" s="362"/>
      <c r="W356" s="365" t="str">
        <f>+VLOOKUP($B356,[2]Time_S4!$B:$G,6,0)</f>
        <v>Trung tâm Chỉ huy điều khiển</v>
      </c>
      <c r="X356" s="365" t="str">
        <f>IF(W356="Phòng Kinh doanh","Trung tâm Kinh doanh - TCT CNC",+VLOOKUP($B356,[2]Time_S4!$B:$G,5,0))</f>
        <v>Khối 1 - TCT CNC</v>
      </c>
      <c r="Y356" s="366"/>
      <c r="Z356" s="380"/>
    </row>
    <row r="357" spans="1:26" ht="15.75" hidden="1">
      <c r="A357" s="367">
        <f>SUBTOTAL(3,$B$15:B357)</f>
        <v>2</v>
      </c>
      <c r="B357" s="356" t="s">
        <v>1070</v>
      </c>
      <c r="C357" s="356" t="s">
        <v>1071</v>
      </c>
      <c r="D357" s="356" t="s">
        <v>407</v>
      </c>
      <c r="E357" s="357">
        <v>21</v>
      </c>
      <c r="F357" s="357">
        <v>21</v>
      </c>
      <c r="G357" s="358">
        <v>57935700</v>
      </c>
      <c r="H357" s="359">
        <f t="shared" si="11"/>
        <v>56628492</v>
      </c>
      <c r="I357" s="360"/>
      <c r="J357" s="361"/>
      <c r="K357" s="362"/>
      <c r="L357" s="362"/>
      <c r="M357" s="361">
        <v>995968</v>
      </c>
      <c r="N357" s="361">
        <v>2178680</v>
      </c>
      <c r="O357" s="361">
        <v>186744</v>
      </c>
      <c r="P357" s="361">
        <v>373488</v>
      </c>
      <c r="Q357" s="361">
        <v>124496</v>
      </c>
      <c r="R357" s="361">
        <v>124496</v>
      </c>
      <c r="S357" s="361">
        <v>248992</v>
      </c>
      <c r="T357" s="363">
        <v>1230000</v>
      </c>
      <c r="U357" s="364">
        <f t="shared" si="12"/>
        <v>62091356</v>
      </c>
      <c r="V357" s="362"/>
      <c r="W357" s="365" t="str">
        <f>+VLOOKUP($B357,[2]Time_S4!$B:$G,6,0)</f>
        <v>Trung tâm Nghiên cứu Công nghệ chuyển mạch</v>
      </c>
      <c r="X357" s="365" t="str">
        <f>IF(W357="Phòng Kinh doanh","Trung tâm Kinh doanh - TCT CNC",+VLOOKUP($B357,[2]Time_S4!$B:$G,5,0))</f>
        <v>Khối 2 - TCT CNC</v>
      </c>
      <c r="Y357" s="366"/>
      <c r="Z357" s="366"/>
    </row>
    <row r="358" spans="1:26" ht="15.75" hidden="1">
      <c r="A358" s="367">
        <f>SUBTOTAL(3,$B$15:B358)</f>
        <v>2</v>
      </c>
      <c r="B358" s="356" t="s">
        <v>1072</v>
      </c>
      <c r="C358" s="356" t="s">
        <v>1073</v>
      </c>
      <c r="D358" s="356" t="s">
        <v>407</v>
      </c>
      <c r="E358" s="357">
        <v>21</v>
      </c>
      <c r="F358" s="357">
        <v>21</v>
      </c>
      <c r="G358" s="358">
        <v>40650853</v>
      </c>
      <c r="H358" s="359">
        <f t="shared" si="11"/>
        <v>39525925</v>
      </c>
      <c r="I358" s="360"/>
      <c r="J358" s="361"/>
      <c r="K358" s="362"/>
      <c r="L358" s="362"/>
      <c r="M358" s="361">
        <v>857088</v>
      </c>
      <c r="N358" s="361">
        <v>1874880</v>
      </c>
      <c r="O358" s="361">
        <v>160704</v>
      </c>
      <c r="P358" s="361">
        <v>321408</v>
      </c>
      <c r="Q358" s="361">
        <v>107136</v>
      </c>
      <c r="R358" s="361">
        <v>107136</v>
      </c>
      <c r="S358" s="361">
        <v>214272</v>
      </c>
      <c r="T358" s="363">
        <v>1130000</v>
      </c>
      <c r="U358" s="364">
        <f t="shared" si="12"/>
        <v>44298549</v>
      </c>
      <c r="V358" s="362"/>
      <c r="W358" s="365" t="str">
        <f>+VLOOKUP($B358,[2]Time_S4!$B:$G,6,0)</f>
        <v>Trung tâm Nghiên cứu công nghệ Đa phương tiện</v>
      </c>
      <c r="X358" s="365" t="str">
        <f>IF(W358="Phòng Kinh doanh","Trung tâm Kinh doanh - TCT CNC",+VLOOKUP($B358,[2]Time_S4!$B:$G,5,0))</f>
        <v>Khối 2 - TCT CNC</v>
      </c>
      <c r="Y358" s="366"/>
      <c r="Z358" s="366"/>
    </row>
    <row r="359" spans="1:26" ht="15.75" hidden="1">
      <c r="A359" s="367">
        <f>SUBTOTAL(3,$B$15:B359)</f>
        <v>2</v>
      </c>
      <c r="B359" s="356" t="s">
        <v>1074</v>
      </c>
      <c r="C359" s="356" t="s">
        <v>1075</v>
      </c>
      <c r="D359" s="356" t="s">
        <v>407</v>
      </c>
      <c r="E359" s="357">
        <v>21</v>
      </c>
      <c r="F359" s="357">
        <v>21</v>
      </c>
      <c r="G359" s="358">
        <v>46708435</v>
      </c>
      <c r="H359" s="359">
        <f t="shared" si="11"/>
        <v>45526219</v>
      </c>
      <c r="I359" s="360"/>
      <c r="J359" s="361"/>
      <c r="K359" s="362"/>
      <c r="L359" s="362"/>
      <c r="M359" s="361">
        <v>900736</v>
      </c>
      <c r="N359" s="361">
        <v>1970360</v>
      </c>
      <c r="O359" s="361">
        <v>168888</v>
      </c>
      <c r="P359" s="361">
        <v>337776</v>
      </c>
      <c r="Q359" s="361">
        <v>112592</v>
      </c>
      <c r="R359" s="361">
        <v>112592</v>
      </c>
      <c r="S359" s="361">
        <v>225184</v>
      </c>
      <c r="T359" s="363">
        <v>1130000</v>
      </c>
      <c r="U359" s="364">
        <f t="shared" si="12"/>
        <v>50484347</v>
      </c>
      <c r="V359" s="362"/>
      <c r="W359" s="365" t="str">
        <f>+VLOOKUP($B359,[2]Time_S4!$B:$G,6,0)</f>
        <v>Trung tâm Phát triển nền tảng thanh toán</v>
      </c>
      <c r="X359" s="365" t="str">
        <f>IF(W359="Phòng Kinh doanh","Trung tâm Kinh doanh - TCT CNC",+VLOOKUP($B359,[2]Time_S4!$B:$G,5,0))</f>
        <v>Khối 2 - TCT CNC</v>
      </c>
      <c r="Y359" s="366"/>
      <c r="Z359" s="366"/>
    </row>
    <row r="360" spans="1:26" ht="15.75" hidden="1">
      <c r="A360" s="367">
        <f>SUBTOTAL(3,$B$15:B360)</f>
        <v>2</v>
      </c>
      <c r="B360" s="356" t="s">
        <v>1076</v>
      </c>
      <c r="C360" s="356" t="s">
        <v>1077</v>
      </c>
      <c r="D360" s="356" t="s">
        <v>407</v>
      </c>
      <c r="E360" s="357">
        <v>21</v>
      </c>
      <c r="F360" s="357">
        <v>21</v>
      </c>
      <c r="G360" s="358">
        <v>20344177</v>
      </c>
      <c r="H360" s="359">
        <f t="shared" si="11"/>
        <v>19427569</v>
      </c>
      <c r="I360" s="360"/>
      <c r="J360" s="361"/>
      <c r="K360" s="362"/>
      <c r="L360" s="362"/>
      <c r="M360" s="361">
        <v>698368</v>
      </c>
      <c r="N360" s="361">
        <v>1527680</v>
      </c>
      <c r="O360" s="361">
        <v>130944</v>
      </c>
      <c r="P360" s="361">
        <v>261888</v>
      </c>
      <c r="Q360" s="361">
        <v>87296</v>
      </c>
      <c r="R360" s="361">
        <v>87296</v>
      </c>
      <c r="S360" s="361">
        <v>174592</v>
      </c>
      <c r="T360" s="363">
        <v>1047000</v>
      </c>
      <c r="U360" s="364">
        <f t="shared" si="12"/>
        <v>23442633</v>
      </c>
      <c r="V360" s="362"/>
      <c r="W360" s="365" t="str">
        <f>+VLOOKUP($B360,[2]Time_S4!$B:$G,6,0)</f>
        <v>Phòng Hành chính</v>
      </c>
      <c r="X360" s="365" t="str">
        <f>IF(W360="Phòng Kinh doanh","Trung tâm Kinh doanh - TCT CNC",+VLOOKUP($B360,[2]Time_S4!$B:$G,5,0))</f>
        <v>Khối cơ quan - TCT CNC</v>
      </c>
      <c r="Y360" s="366"/>
      <c r="Z360" s="366"/>
    </row>
    <row r="361" spans="1:26" ht="15.75" hidden="1">
      <c r="A361" s="367">
        <f>SUBTOTAL(3,$B$15:B361)</f>
        <v>2</v>
      </c>
      <c r="B361" s="356" t="s">
        <v>1078</v>
      </c>
      <c r="C361" s="356" t="s">
        <v>1079</v>
      </c>
      <c r="D361" s="356" t="s">
        <v>407</v>
      </c>
      <c r="E361" s="357">
        <v>21</v>
      </c>
      <c r="F361" s="357">
        <v>21</v>
      </c>
      <c r="G361" s="358">
        <v>22793646</v>
      </c>
      <c r="H361" s="359">
        <f t="shared" si="11"/>
        <v>21830166</v>
      </c>
      <c r="I361" s="360"/>
      <c r="J361" s="361"/>
      <c r="K361" s="362"/>
      <c r="L361" s="362"/>
      <c r="M361" s="361">
        <v>734080</v>
      </c>
      <c r="N361" s="361">
        <v>1605800</v>
      </c>
      <c r="O361" s="361">
        <v>137640</v>
      </c>
      <c r="P361" s="361">
        <v>275280</v>
      </c>
      <c r="Q361" s="361">
        <v>91760</v>
      </c>
      <c r="R361" s="361">
        <v>91760</v>
      </c>
      <c r="S361" s="361">
        <v>183520</v>
      </c>
      <c r="T361" s="363">
        <v>1047000</v>
      </c>
      <c r="U361" s="364">
        <f t="shared" si="12"/>
        <v>25997006</v>
      </c>
      <c r="V361" s="362"/>
      <c r="W361" s="365" t="str">
        <f>+VLOOKUP($B361,[2]Time_S4!$B:$G,6,0)</f>
        <v>Phòng Đầu tư</v>
      </c>
      <c r="X361" s="365" t="str">
        <f>IF(W361="Phòng Kinh doanh","Trung tâm Kinh doanh - TCT CNC",+VLOOKUP($B361,[2]Time_S4!$B:$G,5,0))</f>
        <v>Trung tâm Mua sắm - TCT CNC</v>
      </c>
      <c r="Y361" s="366"/>
      <c r="Z361" s="366"/>
    </row>
    <row r="362" spans="1:26" ht="15.75" hidden="1">
      <c r="A362" s="367">
        <f>SUBTOTAL(3,$B$15:B362)</f>
        <v>2</v>
      </c>
      <c r="B362" s="356" t="s">
        <v>1080</v>
      </c>
      <c r="C362" s="356" t="s">
        <v>1081</v>
      </c>
      <c r="D362" s="356" t="s">
        <v>407</v>
      </c>
      <c r="E362" s="357">
        <v>21</v>
      </c>
      <c r="F362" s="357">
        <v>21</v>
      </c>
      <c r="G362" s="358">
        <v>56304747</v>
      </c>
      <c r="H362" s="359">
        <f t="shared" si="11"/>
        <v>55060035</v>
      </c>
      <c r="I362" s="360"/>
      <c r="J362" s="361"/>
      <c r="K362" s="362"/>
      <c r="L362" s="362"/>
      <c r="M362" s="361">
        <v>948352</v>
      </c>
      <c r="N362" s="361">
        <v>2074520</v>
      </c>
      <c r="O362" s="361">
        <v>177816</v>
      </c>
      <c r="P362" s="361">
        <v>355632</v>
      </c>
      <c r="Q362" s="361">
        <v>118544</v>
      </c>
      <c r="R362" s="361">
        <v>118544</v>
      </c>
      <c r="S362" s="361">
        <v>237088</v>
      </c>
      <c r="T362" s="363">
        <v>1030000</v>
      </c>
      <c r="U362" s="364">
        <f t="shared" si="12"/>
        <v>60120531</v>
      </c>
      <c r="V362" s="362"/>
      <c r="W362" s="365" t="str">
        <f>+VLOOKUP($B362,[2]Time_S4!$B:$G,6,0)</f>
        <v>Trung tâm Nghiên cứu thiết bị vô tuyến băng rộng</v>
      </c>
      <c r="X362" s="365" t="str">
        <f>IF(W362="Phòng Kinh doanh","Trung tâm Kinh doanh - TCT CNC",+VLOOKUP($B362,[2]Time_S4!$B:$G,5,0))</f>
        <v>Khối 2 - TCT CNC</v>
      </c>
      <c r="Y362" s="366"/>
      <c r="Z362" s="366"/>
    </row>
    <row r="363" spans="1:26" ht="15.75" hidden="1">
      <c r="A363" s="367">
        <f>SUBTOTAL(3,$B$15:B363)</f>
        <v>2</v>
      </c>
      <c r="B363" s="356" t="s">
        <v>1082</v>
      </c>
      <c r="C363" s="356" t="s">
        <v>1083</v>
      </c>
      <c r="D363" s="356" t="s">
        <v>407</v>
      </c>
      <c r="E363" s="357">
        <v>21</v>
      </c>
      <c r="F363" s="357">
        <v>21</v>
      </c>
      <c r="G363" s="358">
        <v>35650853</v>
      </c>
      <c r="H363" s="359">
        <f t="shared" si="11"/>
        <v>34525925</v>
      </c>
      <c r="I363" s="360"/>
      <c r="J363" s="361"/>
      <c r="K363" s="362"/>
      <c r="L363" s="362"/>
      <c r="M363" s="361">
        <v>857088</v>
      </c>
      <c r="N363" s="361">
        <v>1874880</v>
      </c>
      <c r="O363" s="361">
        <v>160704</v>
      </c>
      <c r="P363" s="361">
        <v>321408</v>
      </c>
      <c r="Q363" s="361">
        <v>107136</v>
      </c>
      <c r="R363" s="361">
        <v>107136</v>
      </c>
      <c r="S363" s="361">
        <v>214272</v>
      </c>
      <c r="T363" s="363">
        <v>1030000</v>
      </c>
      <c r="U363" s="364">
        <f t="shared" si="12"/>
        <v>39198549</v>
      </c>
      <c r="V363" s="362"/>
      <c r="W363" s="365" t="str">
        <f>+VLOOKUP($B363,[2]Time_S4!$B:$G,6,0)</f>
        <v>Phòng Công nghệ thông tin</v>
      </c>
      <c r="X363" s="365" t="str">
        <f>IF(W363="Phòng Kinh doanh","Trung tâm Kinh doanh - TCT CNC",+VLOOKUP($B363,[2]Time_S4!$B:$G,5,0))</f>
        <v>Khối cơ quan - TCT CNC</v>
      </c>
      <c r="Y363" s="366"/>
      <c r="Z363" s="366"/>
    </row>
    <row r="364" spans="1:26" ht="15.75" hidden="1">
      <c r="A364" s="367">
        <f>SUBTOTAL(3,$B$15:B364)</f>
        <v>2</v>
      </c>
      <c r="B364" s="356" t="s">
        <v>1084</v>
      </c>
      <c r="C364" s="356" t="s">
        <v>1085</v>
      </c>
      <c r="D364" s="356" t="s">
        <v>407</v>
      </c>
      <c r="E364" s="357">
        <v>21</v>
      </c>
      <c r="F364" s="357">
        <v>21</v>
      </c>
      <c r="G364" s="358">
        <v>36010023</v>
      </c>
      <c r="H364" s="359">
        <f t="shared" si="11"/>
        <v>34885095</v>
      </c>
      <c r="I364" s="360"/>
      <c r="J364" s="361"/>
      <c r="K364" s="362"/>
      <c r="L364" s="362"/>
      <c r="M364" s="361">
        <v>857088</v>
      </c>
      <c r="N364" s="361">
        <v>1874880</v>
      </c>
      <c r="O364" s="361">
        <v>160704</v>
      </c>
      <c r="P364" s="361">
        <v>321408</v>
      </c>
      <c r="Q364" s="361">
        <v>107136</v>
      </c>
      <c r="R364" s="361">
        <v>107136</v>
      </c>
      <c r="S364" s="361">
        <v>214272</v>
      </c>
      <c r="T364" s="363">
        <v>1247000</v>
      </c>
      <c r="U364" s="364">
        <f t="shared" si="12"/>
        <v>39774719</v>
      </c>
      <c r="V364" s="362"/>
      <c r="W364" s="365" t="str">
        <f>+VLOOKUP($B364,[2]Time_S4!$B:$G,6,0)</f>
        <v>Trung tâm Phát triển nền tảng thanh toán</v>
      </c>
      <c r="X364" s="365" t="str">
        <f>IF(W364="Phòng Kinh doanh","Trung tâm Kinh doanh - TCT CNC",+VLOOKUP($B364,[2]Time_S4!$B:$G,5,0))</f>
        <v>Khối 2 - TCT CNC</v>
      </c>
      <c r="Y364" s="366"/>
      <c r="Z364" s="366"/>
    </row>
    <row r="365" spans="1:26" ht="15.75" hidden="1">
      <c r="A365" s="367">
        <f>SUBTOTAL(3,$B$15:B365)</f>
        <v>2</v>
      </c>
      <c r="B365" s="356" t="s">
        <v>1086</v>
      </c>
      <c r="C365" s="356" t="s">
        <v>1087</v>
      </c>
      <c r="D365" s="356" t="s">
        <v>407</v>
      </c>
      <c r="E365" s="357">
        <v>21</v>
      </c>
      <c r="F365" s="357">
        <v>21</v>
      </c>
      <c r="G365" s="358">
        <v>44887184</v>
      </c>
      <c r="H365" s="359">
        <f t="shared" si="11"/>
        <v>43642472</v>
      </c>
      <c r="I365" s="360"/>
      <c r="J365" s="361"/>
      <c r="K365" s="362"/>
      <c r="L365" s="362"/>
      <c r="M365" s="361">
        <v>948352</v>
      </c>
      <c r="N365" s="361">
        <v>2074520</v>
      </c>
      <c r="O365" s="361">
        <v>177816</v>
      </c>
      <c r="P365" s="361">
        <v>355632</v>
      </c>
      <c r="Q365" s="361">
        <v>118544</v>
      </c>
      <c r="R365" s="361">
        <v>118544</v>
      </c>
      <c r="S365" s="361">
        <v>237088</v>
      </c>
      <c r="T365" s="363">
        <v>1030000</v>
      </c>
      <c r="U365" s="364">
        <f t="shared" si="12"/>
        <v>48702968</v>
      </c>
      <c r="V365" s="362"/>
      <c r="W365" s="365" t="str">
        <f>+VLOOKUP($B365,[2]Time_S4!$B:$G,6,0)</f>
        <v>Phòng Kiểu dáng và đồ họa</v>
      </c>
      <c r="X365" s="365" t="str">
        <f>IF(W365="Phòng Kinh doanh","Trung tâm Kinh doanh - TCT CNC",+VLOOKUP($B365,[2]Time_S4!$B:$G,5,0))</f>
        <v>Khối 1 - TCT CNC</v>
      </c>
      <c r="Y365" s="366"/>
      <c r="Z365" s="366"/>
    </row>
    <row r="366" spans="1:26" ht="15.75" hidden="1">
      <c r="A366" s="367">
        <f>SUBTOTAL(3,$B$15:B366)</f>
        <v>2</v>
      </c>
      <c r="B366" s="356" t="s">
        <v>1088</v>
      </c>
      <c r="C366" s="356" t="s">
        <v>1089</v>
      </c>
      <c r="D366" s="356" t="s">
        <v>407</v>
      </c>
      <c r="E366" s="357">
        <v>21</v>
      </c>
      <c r="F366" s="357">
        <v>21</v>
      </c>
      <c r="G366" s="358">
        <v>27197170</v>
      </c>
      <c r="H366" s="359">
        <f t="shared" si="11"/>
        <v>26181610</v>
      </c>
      <c r="I366" s="360"/>
      <c r="J366" s="361"/>
      <c r="K366" s="362"/>
      <c r="L366" s="362"/>
      <c r="M366" s="361">
        <v>773760</v>
      </c>
      <c r="N366" s="361">
        <v>1692600</v>
      </c>
      <c r="O366" s="361">
        <v>145080</v>
      </c>
      <c r="P366" s="361">
        <v>290160</v>
      </c>
      <c r="Q366" s="361">
        <v>96720</v>
      </c>
      <c r="R366" s="361">
        <v>96720</v>
      </c>
      <c r="S366" s="361">
        <v>193440</v>
      </c>
      <c r="T366" s="363">
        <v>1047000</v>
      </c>
      <c r="U366" s="364">
        <f t="shared" si="12"/>
        <v>30517090</v>
      </c>
      <c r="V366" s="362"/>
      <c r="W366" s="365" t="str">
        <f>+VLOOKUP($B366,[2]Time_S4!$B:$G,6,0)</f>
        <v>Phòng Kiểu dáng và đồ họa</v>
      </c>
      <c r="X366" s="365" t="str">
        <f>IF(W366="Phòng Kinh doanh","Trung tâm Kinh doanh - TCT CNC",+VLOOKUP($B366,[2]Time_S4!$B:$G,5,0))</f>
        <v>Khối 1 - TCT CNC</v>
      </c>
      <c r="Y366" s="366"/>
      <c r="Z366" s="366"/>
    </row>
    <row r="367" spans="1:26" ht="15.75" hidden="1">
      <c r="A367" s="367">
        <f>SUBTOTAL(3,$B$15:B367)</f>
        <v>2</v>
      </c>
      <c r="B367" s="356" t="s">
        <v>1090</v>
      </c>
      <c r="C367" s="356" t="s">
        <v>1091</v>
      </c>
      <c r="D367" s="356" t="s">
        <v>407</v>
      </c>
      <c r="E367" s="357">
        <v>21</v>
      </c>
      <c r="F367" s="357">
        <v>21</v>
      </c>
      <c r="G367" s="358">
        <v>50838894</v>
      </c>
      <c r="H367" s="359">
        <f t="shared" si="11"/>
        <v>49594182</v>
      </c>
      <c r="I367" s="360"/>
      <c r="J367" s="361"/>
      <c r="K367" s="362"/>
      <c r="L367" s="362"/>
      <c r="M367" s="361">
        <v>948352</v>
      </c>
      <c r="N367" s="361">
        <v>2074520</v>
      </c>
      <c r="O367" s="361">
        <v>177816</v>
      </c>
      <c r="P367" s="361">
        <v>355632</v>
      </c>
      <c r="Q367" s="361">
        <v>118544</v>
      </c>
      <c r="R367" s="361">
        <v>118544</v>
      </c>
      <c r="S367" s="361">
        <v>237088</v>
      </c>
      <c r="T367" s="363">
        <v>1030000</v>
      </c>
      <c r="U367" s="364">
        <f t="shared" si="12"/>
        <v>54654678</v>
      </c>
      <c r="V367" s="362"/>
      <c r="W367" s="365" t="str">
        <f>+VLOOKUP($B367,[2]Time_S4!$B:$G,6,0)</f>
        <v>Trung tâm Thông tin Quân sự</v>
      </c>
      <c r="X367" s="365" t="str">
        <f>IF(W367="Phòng Kinh doanh","Trung tâm Kinh doanh - TCT CNC",+VLOOKUP($B367,[2]Time_S4!$B:$G,5,0))</f>
        <v>Khối 1 - TCT CNC</v>
      </c>
      <c r="Y367" s="366"/>
      <c r="Z367" s="366"/>
    </row>
    <row r="368" spans="1:26" ht="15.75" hidden="1">
      <c r="A368" s="367">
        <f>SUBTOTAL(3,$B$15:B368)</f>
        <v>2</v>
      </c>
      <c r="B368" s="356" t="s">
        <v>1092</v>
      </c>
      <c r="C368" s="356" t="s">
        <v>1093</v>
      </c>
      <c r="D368" s="356" t="s">
        <v>407</v>
      </c>
      <c r="E368" s="357">
        <v>21</v>
      </c>
      <c r="F368" s="357">
        <v>21</v>
      </c>
      <c r="G368" s="358">
        <v>52663006</v>
      </c>
      <c r="H368" s="359">
        <f t="shared" si="11"/>
        <v>51418294</v>
      </c>
      <c r="I368" s="360"/>
      <c r="J368" s="361"/>
      <c r="K368" s="362"/>
      <c r="L368" s="362"/>
      <c r="M368" s="361">
        <v>948352</v>
      </c>
      <c r="N368" s="361">
        <v>2074520</v>
      </c>
      <c r="O368" s="361">
        <v>177816</v>
      </c>
      <c r="P368" s="361">
        <v>355632</v>
      </c>
      <c r="Q368" s="361">
        <v>118544</v>
      </c>
      <c r="R368" s="361">
        <v>118544</v>
      </c>
      <c r="S368" s="361">
        <v>237088</v>
      </c>
      <c r="T368" s="363">
        <v>1230000</v>
      </c>
      <c r="U368" s="364">
        <f t="shared" si="12"/>
        <v>56678790</v>
      </c>
      <c r="V368" s="362"/>
      <c r="W368" s="365" t="str">
        <f>+VLOOKUP($B368,[2]Time_S4!$B:$G,6,0)</f>
        <v>Trung tâm Camera</v>
      </c>
      <c r="X368" s="365" t="str">
        <f>IF(W368="Phòng Kinh doanh","Trung tâm Kinh doanh - TCT CNC",+VLOOKUP($B368,[2]Time_S4!$B:$G,5,0))</f>
        <v>Khối 3 - TCT CNC</v>
      </c>
      <c r="Y368" s="366"/>
      <c r="Z368" s="366"/>
    </row>
    <row r="369" spans="1:26" ht="15.75" hidden="1">
      <c r="A369" s="367">
        <f>SUBTOTAL(3,$B$15:B369)</f>
        <v>2</v>
      </c>
      <c r="B369" s="356" t="s">
        <v>1094</v>
      </c>
      <c r="C369" s="356" t="s">
        <v>522</v>
      </c>
      <c r="D369" s="356" t="s">
        <v>407</v>
      </c>
      <c r="E369" s="357">
        <v>21</v>
      </c>
      <c r="F369" s="357">
        <v>21</v>
      </c>
      <c r="G369" s="358">
        <v>47719883</v>
      </c>
      <c r="H369" s="359">
        <f t="shared" si="11"/>
        <v>46475171</v>
      </c>
      <c r="I369" s="360"/>
      <c r="J369" s="361"/>
      <c r="K369" s="362"/>
      <c r="L369" s="362"/>
      <c r="M369" s="361">
        <v>948352</v>
      </c>
      <c r="N369" s="361">
        <v>2074520</v>
      </c>
      <c r="O369" s="361">
        <v>177816</v>
      </c>
      <c r="P369" s="361">
        <v>355632</v>
      </c>
      <c r="Q369" s="361">
        <v>118544</v>
      </c>
      <c r="R369" s="361">
        <v>118544</v>
      </c>
      <c r="S369" s="361">
        <v>237088</v>
      </c>
      <c r="T369" s="363">
        <v>1030000</v>
      </c>
      <c r="U369" s="364">
        <f t="shared" si="12"/>
        <v>51535667</v>
      </c>
      <c r="V369" s="362"/>
      <c r="W369" s="365" t="str">
        <f>+VLOOKUP($B369,[2]Time_S4!$B:$G,6,0)</f>
        <v>Trung tâm sản xuất</v>
      </c>
      <c r="X369" s="365" t="str">
        <f>IF(W369="Phòng Kinh doanh","Trung tâm Kinh doanh - TCT CNC",+VLOOKUP($B369,[2]Time_S4!$B:$G,5,0))</f>
        <v>Khối 1 - TCT CNC</v>
      </c>
      <c r="Y369" s="366"/>
      <c r="Z369" s="366"/>
    </row>
    <row r="370" spans="1:26" ht="15.75" hidden="1">
      <c r="A370" s="367">
        <f>SUBTOTAL(3,$B$15:B370)</f>
        <v>2</v>
      </c>
      <c r="B370" s="356" t="s">
        <v>1095</v>
      </c>
      <c r="C370" s="356" t="s">
        <v>1096</v>
      </c>
      <c r="D370" s="356" t="s">
        <v>407</v>
      </c>
      <c r="E370" s="357">
        <v>21</v>
      </c>
      <c r="F370" s="357">
        <v>21</v>
      </c>
      <c r="G370" s="358">
        <v>35963717</v>
      </c>
      <c r="H370" s="359">
        <f t="shared" si="11"/>
        <v>34838789</v>
      </c>
      <c r="I370" s="360"/>
      <c r="J370" s="361"/>
      <c r="K370" s="362"/>
      <c r="L370" s="362"/>
      <c r="M370" s="361">
        <v>857088</v>
      </c>
      <c r="N370" s="361">
        <v>1874880</v>
      </c>
      <c r="O370" s="361">
        <v>160704</v>
      </c>
      <c r="P370" s="361">
        <v>321408</v>
      </c>
      <c r="Q370" s="361">
        <v>107136</v>
      </c>
      <c r="R370" s="361">
        <v>107136</v>
      </c>
      <c r="S370" s="361">
        <v>214272</v>
      </c>
      <c r="T370" s="363">
        <v>1030000</v>
      </c>
      <c r="U370" s="364">
        <f t="shared" si="12"/>
        <v>39511413</v>
      </c>
      <c r="V370" s="362"/>
      <c r="W370" s="365" t="str">
        <f>+VLOOKUP($B370,[2]Time_S4!$B:$G,6,0)</f>
        <v>Trung tâm Thông tin Quân sự</v>
      </c>
      <c r="X370" s="365" t="str">
        <f>IF(W370="Phòng Kinh doanh","Trung tâm Kinh doanh - TCT CNC",+VLOOKUP($B370,[2]Time_S4!$B:$G,5,0))</f>
        <v>Khối 1 - TCT CNC</v>
      </c>
      <c r="Y370" s="366"/>
      <c r="Z370" s="366"/>
    </row>
    <row r="371" spans="1:26" ht="15.75" hidden="1">
      <c r="A371" s="367">
        <f>SUBTOTAL(3,$B$15:B371)</f>
        <v>2</v>
      </c>
      <c r="B371" s="356" t="s">
        <v>1097</v>
      </c>
      <c r="C371" s="356" t="s">
        <v>1098</v>
      </c>
      <c r="D371" s="356" t="s">
        <v>407</v>
      </c>
      <c r="E371" s="357">
        <v>21</v>
      </c>
      <c r="F371" s="357">
        <v>21</v>
      </c>
      <c r="G371" s="358">
        <v>20523762</v>
      </c>
      <c r="H371" s="359">
        <f t="shared" si="11"/>
        <v>19607154</v>
      </c>
      <c r="I371" s="360"/>
      <c r="J371" s="361"/>
      <c r="K371" s="362"/>
      <c r="L371" s="362"/>
      <c r="M371" s="361">
        <v>698368</v>
      </c>
      <c r="N371" s="361">
        <v>1527680</v>
      </c>
      <c r="O371" s="361">
        <v>130944</v>
      </c>
      <c r="P371" s="361">
        <v>261888</v>
      </c>
      <c r="Q371" s="361">
        <v>87296</v>
      </c>
      <c r="R371" s="361">
        <v>87296</v>
      </c>
      <c r="S371" s="361">
        <v>174592</v>
      </c>
      <c r="T371" s="363">
        <v>930000</v>
      </c>
      <c r="U371" s="364">
        <f t="shared" si="12"/>
        <v>23505218</v>
      </c>
      <c r="V371" s="362"/>
      <c r="W371" s="365" t="str">
        <f>+VLOOKUP($B371,[2]Time_S4!$B:$G,6,0)</f>
        <v>Phòng Tài chính</v>
      </c>
      <c r="X371" s="365" t="str">
        <f>IF(W371="Phòng Kinh doanh","Trung tâm Kinh doanh - TCT CNC",+VLOOKUP($B371,[2]Time_S4!$B:$G,5,0))</f>
        <v>Khối cơ quan - TCT CNC</v>
      </c>
      <c r="Y371" s="366"/>
      <c r="Z371" s="366"/>
    </row>
    <row r="372" spans="1:26" ht="15.75" hidden="1">
      <c r="A372" s="367">
        <f>SUBTOTAL(3,$B$15:B372)</f>
        <v>2</v>
      </c>
      <c r="B372" s="356" t="s">
        <v>1099</v>
      </c>
      <c r="C372" s="356" t="s">
        <v>1100</v>
      </c>
      <c r="D372" s="356" t="s">
        <v>407</v>
      </c>
      <c r="E372" s="357">
        <v>21</v>
      </c>
      <c r="F372" s="357">
        <v>21</v>
      </c>
      <c r="G372" s="358">
        <v>26960570</v>
      </c>
      <c r="H372" s="359">
        <f t="shared" si="11"/>
        <v>25945010</v>
      </c>
      <c r="I372" s="360"/>
      <c r="J372" s="361"/>
      <c r="K372" s="362"/>
      <c r="L372" s="362"/>
      <c r="M372" s="361">
        <v>773760</v>
      </c>
      <c r="N372" s="361">
        <v>1692600</v>
      </c>
      <c r="O372" s="361">
        <v>145080</v>
      </c>
      <c r="P372" s="361">
        <v>290160</v>
      </c>
      <c r="Q372" s="361">
        <v>96720</v>
      </c>
      <c r="R372" s="361">
        <v>96720</v>
      </c>
      <c r="S372" s="361">
        <v>193440</v>
      </c>
      <c r="T372" s="363">
        <v>1047000</v>
      </c>
      <c r="U372" s="364">
        <f t="shared" si="12"/>
        <v>30280490</v>
      </c>
      <c r="V372" s="362"/>
      <c r="W372" s="365" t="str">
        <f>+VLOOKUP($B372,[2]Time_S4!$B:$G,6,0)</f>
        <v>Phòng Kinh doanh</v>
      </c>
      <c r="X372" s="365" t="str">
        <f>IF(W372="Phòng Kinh doanh","Trung tâm Kinh doanh - TCT CNC",+VLOOKUP($B372,[2]Time_S4!$B:$G,5,0))</f>
        <v>Trung tâm Kinh doanh - TCT CNC</v>
      </c>
      <c r="Y372" s="366"/>
      <c r="Z372" s="366"/>
    </row>
    <row r="373" spans="1:26" ht="15.75" hidden="1">
      <c r="A373" s="367">
        <f>SUBTOTAL(3,$B$15:B373)</f>
        <v>2</v>
      </c>
      <c r="B373" s="356" t="s">
        <v>1101</v>
      </c>
      <c r="C373" s="356" t="s">
        <v>1102</v>
      </c>
      <c r="D373" s="356" t="s">
        <v>407</v>
      </c>
      <c r="E373" s="357">
        <v>21</v>
      </c>
      <c r="F373" s="357">
        <v>21</v>
      </c>
      <c r="G373" s="358">
        <v>26678886</v>
      </c>
      <c r="H373" s="359">
        <f t="shared" si="11"/>
        <v>25663326</v>
      </c>
      <c r="I373" s="360"/>
      <c r="J373" s="361"/>
      <c r="K373" s="362"/>
      <c r="L373" s="362"/>
      <c r="M373" s="361">
        <v>773760</v>
      </c>
      <c r="N373" s="361">
        <v>1692600</v>
      </c>
      <c r="O373" s="361">
        <v>145080</v>
      </c>
      <c r="P373" s="361">
        <v>290160</v>
      </c>
      <c r="Q373" s="361">
        <v>96720</v>
      </c>
      <c r="R373" s="361">
        <v>96720</v>
      </c>
      <c r="S373" s="361">
        <v>193440</v>
      </c>
      <c r="T373" s="363">
        <v>1047000</v>
      </c>
      <c r="U373" s="364">
        <f t="shared" si="12"/>
        <v>29998806</v>
      </c>
      <c r="V373" s="362"/>
      <c r="W373" s="365" t="str">
        <f>+VLOOKUP($B373,[2]Time_S4!$B:$G,6,0)</f>
        <v>Trung tâm Nghiên cứu công nghệ Đa phương tiện</v>
      </c>
      <c r="X373" s="365" t="str">
        <f>IF(W373="Phòng Kinh doanh","Trung tâm Kinh doanh - TCT CNC",+VLOOKUP($B373,[2]Time_S4!$B:$G,5,0))</f>
        <v>Khối 2 - TCT CNC</v>
      </c>
      <c r="Y373" s="366"/>
      <c r="Z373" s="366"/>
    </row>
    <row r="374" spans="1:26" ht="15.75" hidden="1">
      <c r="A374" s="367">
        <f>SUBTOTAL(3,$B$15:B374)</f>
        <v>2</v>
      </c>
      <c r="B374" s="356" t="s">
        <v>1103</v>
      </c>
      <c r="C374" s="356" t="s">
        <v>1104</v>
      </c>
      <c r="D374" s="356" t="s">
        <v>407</v>
      </c>
      <c r="E374" s="357">
        <v>21</v>
      </c>
      <c r="F374" s="357">
        <v>21</v>
      </c>
      <c r="G374" s="358">
        <v>67611423</v>
      </c>
      <c r="H374" s="359">
        <f t="shared" si="11"/>
        <v>66236511</v>
      </c>
      <c r="I374" s="360"/>
      <c r="J374" s="361"/>
      <c r="K374" s="362"/>
      <c r="L374" s="362"/>
      <c r="M374" s="361">
        <v>1047552</v>
      </c>
      <c r="N374" s="361">
        <v>2291520</v>
      </c>
      <c r="O374" s="361">
        <v>196416</v>
      </c>
      <c r="P374" s="361">
        <v>392832</v>
      </c>
      <c r="Q374" s="361">
        <v>130944</v>
      </c>
      <c r="R374" s="361">
        <v>130944</v>
      </c>
      <c r="S374" s="361">
        <v>261888</v>
      </c>
      <c r="T374" s="363">
        <v>1130000</v>
      </c>
      <c r="U374" s="364">
        <f t="shared" si="12"/>
        <v>71818607</v>
      </c>
      <c r="V374" s="362"/>
      <c r="W374" s="365" t="str">
        <f>+VLOOKUP($B374,[2]Time_S4!$B:$G,6,0)</f>
        <v>Trung tâm Rada</v>
      </c>
      <c r="X374" s="365" t="str">
        <f>IF(W374="Phòng Kinh doanh","Trung tâm Kinh doanh - TCT CNC",+VLOOKUP($B374,[2]Time_S4!$B:$G,5,0))</f>
        <v>Khối 1 - TCT CNC</v>
      </c>
      <c r="Y374" s="366"/>
      <c r="Z374" s="366"/>
    </row>
    <row r="375" spans="1:26" ht="15.75" hidden="1">
      <c r="A375" s="367">
        <f>SUBTOTAL(3,$B$15:B375)</f>
        <v>2</v>
      </c>
      <c r="B375" s="356" t="s">
        <v>1105</v>
      </c>
      <c r="C375" s="356" t="s">
        <v>1106</v>
      </c>
      <c r="D375" s="356" t="s">
        <v>397</v>
      </c>
      <c r="E375" s="357">
        <v>21</v>
      </c>
      <c r="F375" s="357">
        <v>21</v>
      </c>
      <c r="G375" s="358">
        <v>18439255</v>
      </c>
      <c r="H375" s="359">
        <f t="shared" si="11"/>
        <v>17044179</v>
      </c>
      <c r="I375" s="360"/>
      <c r="J375" s="361"/>
      <c r="K375" s="362"/>
      <c r="L375" s="362"/>
      <c r="M375" s="361">
        <v>1395076</v>
      </c>
      <c r="N375" s="361">
        <v>3051729</v>
      </c>
      <c r="O375" s="361">
        <v>0</v>
      </c>
      <c r="P375" s="361">
        <v>0</v>
      </c>
      <c r="Q375" s="361">
        <v>0</v>
      </c>
      <c r="R375" s="361">
        <v>0</v>
      </c>
      <c r="S375" s="361">
        <v>348769</v>
      </c>
      <c r="T375" s="363">
        <v>1630000</v>
      </c>
      <c r="U375" s="364">
        <f t="shared" si="12"/>
        <v>23469753</v>
      </c>
      <c r="V375" s="362"/>
      <c r="W375" s="365" t="str">
        <f>+VLOOKUP($B375,[2]Time_S4!$B:$G,6,0)</f>
        <v>Phòng Hành chính</v>
      </c>
      <c r="X375" s="365" t="str">
        <f>IF(W375="Phòng Kinh doanh","Trung tâm Kinh doanh - TCT CNC",+VLOOKUP($B375,[2]Time_S4!$B:$G,5,0))</f>
        <v>Khối cơ quan - TCT CNC</v>
      </c>
      <c r="Y375" s="366"/>
      <c r="Z375" s="366"/>
    </row>
    <row r="376" spans="1:26" ht="15.75" hidden="1">
      <c r="A376" s="367">
        <f>SUBTOTAL(3,$B$15:B376)</f>
        <v>2</v>
      </c>
      <c r="B376" s="356" t="s">
        <v>1107</v>
      </c>
      <c r="C376" s="356" t="s">
        <v>1108</v>
      </c>
      <c r="D376" s="356" t="s">
        <v>407</v>
      </c>
      <c r="E376" s="357">
        <v>21</v>
      </c>
      <c r="F376" s="357">
        <v>21</v>
      </c>
      <c r="G376" s="358">
        <v>25170611</v>
      </c>
      <c r="H376" s="359">
        <f t="shared" si="11"/>
        <v>24254003</v>
      </c>
      <c r="I376" s="360"/>
      <c r="J376" s="361"/>
      <c r="K376" s="362"/>
      <c r="L376" s="362"/>
      <c r="M376" s="361">
        <v>698368</v>
      </c>
      <c r="N376" s="361">
        <v>1527680</v>
      </c>
      <c r="O376" s="361">
        <v>130944</v>
      </c>
      <c r="P376" s="361">
        <v>261888</v>
      </c>
      <c r="Q376" s="361">
        <v>87296</v>
      </c>
      <c r="R376" s="361">
        <v>87296</v>
      </c>
      <c r="S376" s="361">
        <v>174592</v>
      </c>
      <c r="T376" s="363">
        <v>930000</v>
      </c>
      <c r="U376" s="364">
        <f t="shared" si="12"/>
        <v>28152067</v>
      </c>
      <c r="V376" s="362"/>
      <c r="W376" s="365" t="str">
        <f>+VLOOKUP($B376,[2]Time_S4!$B:$G,6,0)</f>
        <v>Trung tâm Nghiên cứu giải pháp tích hợp công nghệ cao</v>
      </c>
      <c r="X376" s="365" t="str">
        <f>IF(W376="Phòng Kinh doanh","Trung tâm Kinh doanh - TCT CNC",+VLOOKUP($B376,[2]Time_S4!$B:$G,5,0))</f>
        <v>Khối 1 - TCT CNC</v>
      </c>
      <c r="Y376" s="366"/>
      <c r="Z376" s="366"/>
    </row>
    <row r="377" spans="1:26" ht="15.75" hidden="1">
      <c r="A377" s="367">
        <f>SUBTOTAL(3,$B$15:B377)</f>
        <v>2</v>
      </c>
      <c r="B377" s="356" t="s">
        <v>1109</v>
      </c>
      <c r="C377" s="356" t="s">
        <v>1110</v>
      </c>
      <c r="D377" s="356" t="s">
        <v>407</v>
      </c>
      <c r="E377" s="357">
        <v>21</v>
      </c>
      <c r="F377" s="357">
        <v>21</v>
      </c>
      <c r="G377" s="358">
        <v>22320526</v>
      </c>
      <c r="H377" s="359">
        <f t="shared" si="11"/>
        <v>21357046</v>
      </c>
      <c r="I377" s="360"/>
      <c r="J377" s="361"/>
      <c r="K377" s="362"/>
      <c r="L377" s="362"/>
      <c r="M377" s="361">
        <v>734080</v>
      </c>
      <c r="N377" s="361">
        <v>1605800</v>
      </c>
      <c r="O377" s="361">
        <v>137640</v>
      </c>
      <c r="P377" s="361">
        <v>275280</v>
      </c>
      <c r="Q377" s="361">
        <v>91760</v>
      </c>
      <c r="R377" s="361">
        <v>91760</v>
      </c>
      <c r="S377" s="361">
        <v>183520</v>
      </c>
      <c r="T377" s="363">
        <v>1047000</v>
      </c>
      <c r="U377" s="364">
        <f t="shared" si="12"/>
        <v>25523886</v>
      </c>
      <c r="V377" s="362"/>
      <c r="W377" s="365" t="str">
        <f>+VLOOKUP($B377,[2]Time_S4!$B:$G,6,0)</f>
        <v>Phòng Nhân sự</v>
      </c>
      <c r="X377" s="365" t="str">
        <f>IF(W377="Phòng Kinh doanh","Trung tâm Kinh doanh - TCT CNC",+VLOOKUP($B377,[2]Time_S4!$B:$G,5,0))</f>
        <v>Khối cơ quan - TCT CNC</v>
      </c>
      <c r="Y377" s="366"/>
      <c r="Z377" s="366"/>
    </row>
    <row r="378" spans="1:26" ht="15.75" hidden="1">
      <c r="A378" s="367">
        <f>SUBTOTAL(3,$B$15:B378)</f>
        <v>2</v>
      </c>
      <c r="B378" s="356" t="s">
        <v>1111</v>
      </c>
      <c r="C378" s="356" t="s">
        <v>1112</v>
      </c>
      <c r="D378" s="356" t="s">
        <v>407</v>
      </c>
      <c r="E378" s="357">
        <v>21</v>
      </c>
      <c r="F378" s="357">
        <v>21</v>
      </c>
      <c r="G378" s="358">
        <v>23277706</v>
      </c>
      <c r="H378" s="359">
        <f t="shared" si="11"/>
        <v>22314226</v>
      </c>
      <c r="I378" s="360"/>
      <c r="J378" s="361"/>
      <c r="K378" s="362"/>
      <c r="L378" s="362"/>
      <c r="M378" s="361">
        <v>734080</v>
      </c>
      <c r="N378" s="361">
        <v>1605800</v>
      </c>
      <c r="O378" s="361">
        <v>137640</v>
      </c>
      <c r="P378" s="361">
        <v>275280</v>
      </c>
      <c r="Q378" s="361">
        <v>91760</v>
      </c>
      <c r="R378" s="361">
        <v>91760</v>
      </c>
      <c r="S378" s="361">
        <v>183520</v>
      </c>
      <c r="T378" s="363">
        <v>930000</v>
      </c>
      <c r="U378" s="364">
        <f t="shared" si="12"/>
        <v>26364066</v>
      </c>
      <c r="V378" s="362"/>
      <c r="W378" s="365" t="str">
        <f>+VLOOKUP($B378,[2]Time_S4!$B:$G,6,0)</f>
        <v>Phòng Đảm bảo chất lượng</v>
      </c>
      <c r="X378" s="365" t="str">
        <f>IF(W378="Phòng Kinh doanh","Trung tâm Kinh doanh - TCT CNC",+VLOOKUP($B378,[2]Time_S4!$B:$G,5,0))</f>
        <v>Trung tâm Quản lý chất lượng - TCT CNC</v>
      </c>
      <c r="Y378" s="366"/>
      <c r="Z378" s="366"/>
    </row>
    <row r="379" spans="1:26" ht="15.75" hidden="1">
      <c r="A379" s="367">
        <f>SUBTOTAL(3,$B$15:B379)</f>
        <v>2</v>
      </c>
      <c r="B379" s="356" t="s">
        <v>1113</v>
      </c>
      <c r="C379" s="356" t="s">
        <v>1114</v>
      </c>
      <c r="D379" s="356" t="s">
        <v>397</v>
      </c>
      <c r="E379" s="357">
        <v>21</v>
      </c>
      <c r="F379" s="357">
        <v>21</v>
      </c>
      <c r="G379" s="358">
        <v>72378305</v>
      </c>
      <c r="H379" s="359">
        <f t="shared" si="11"/>
        <v>71283185</v>
      </c>
      <c r="I379" s="360"/>
      <c r="J379" s="361"/>
      <c r="K379" s="362"/>
      <c r="L379" s="362"/>
      <c r="M379" s="361">
        <v>1095120</v>
      </c>
      <c r="N379" s="361">
        <v>2395575</v>
      </c>
      <c r="O379" s="361">
        <v>0</v>
      </c>
      <c r="P379" s="361">
        <v>0</v>
      </c>
      <c r="Q379" s="361">
        <v>0</v>
      </c>
      <c r="R379" s="361">
        <v>0</v>
      </c>
      <c r="S379" s="361">
        <v>273780</v>
      </c>
      <c r="T379" s="363">
        <v>1230000</v>
      </c>
      <c r="U379" s="364">
        <f t="shared" si="12"/>
        <v>76277660</v>
      </c>
      <c r="V379" s="362"/>
      <c r="W379" s="365" t="str">
        <f>+VLOOKUP($B379,[2]Time_S4!$B:$G,6,0)</f>
        <v>Trung tâm Nghiên cứu Công nghệ truyền dẫn</v>
      </c>
      <c r="X379" s="365" t="str">
        <f>IF(W379="Phòng Kinh doanh","Trung tâm Kinh doanh - TCT CNC",+VLOOKUP($B379,[2]Time_S4!$B:$G,5,0))</f>
        <v>Khối 2 - TCT CNC</v>
      </c>
      <c r="Y379" s="366"/>
      <c r="Z379" s="366"/>
    </row>
    <row r="380" spans="1:26" ht="15.75" hidden="1">
      <c r="A380" s="367">
        <f>SUBTOTAL(3,$B$15:B380)</f>
        <v>2</v>
      </c>
      <c r="B380" s="356" t="s">
        <v>1115</v>
      </c>
      <c r="C380" s="356" t="s">
        <v>1116</v>
      </c>
      <c r="D380" s="356" t="s">
        <v>407</v>
      </c>
      <c r="E380" s="357">
        <v>21</v>
      </c>
      <c r="F380" s="357">
        <v>21</v>
      </c>
      <c r="G380" s="358">
        <v>24274996</v>
      </c>
      <c r="H380" s="359">
        <f t="shared" si="11"/>
        <v>23311516</v>
      </c>
      <c r="I380" s="360"/>
      <c r="J380" s="361"/>
      <c r="K380" s="362"/>
      <c r="L380" s="362"/>
      <c r="M380" s="361">
        <v>734080</v>
      </c>
      <c r="N380" s="361">
        <v>1605800</v>
      </c>
      <c r="O380" s="361">
        <v>137640</v>
      </c>
      <c r="P380" s="361">
        <v>275280</v>
      </c>
      <c r="Q380" s="361">
        <v>91760</v>
      </c>
      <c r="R380" s="361">
        <v>91760</v>
      </c>
      <c r="S380" s="361">
        <v>183520</v>
      </c>
      <c r="T380" s="363">
        <v>1515000</v>
      </c>
      <c r="U380" s="364">
        <f t="shared" si="12"/>
        <v>27946356</v>
      </c>
      <c r="V380" s="362"/>
      <c r="W380" s="365" t="str">
        <f>+VLOOKUP($B380,[2]Time_S4!$B:$G,6,0)</f>
        <v>Trung tâm Đảm bảo chất lượng</v>
      </c>
      <c r="X380" s="365" t="str">
        <f>IF(W380="Phòng Kinh doanh","Trung tâm Kinh doanh - TCT CNC",+VLOOKUP($B380,[2]Time_S4!$B:$G,5,0))</f>
        <v>Khối 1 - TCT CNC</v>
      </c>
      <c r="Y380" s="366"/>
      <c r="Z380" s="366"/>
    </row>
    <row r="381" spans="1:26" ht="15.75" hidden="1">
      <c r="A381" s="367">
        <f>SUBTOTAL(3,$B$15:B381)</f>
        <v>2</v>
      </c>
      <c r="B381" s="356" t="s">
        <v>1117</v>
      </c>
      <c r="C381" s="356" t="s">
        <v>1118</v>
      </c>
      <c r="D381" s="356" t="s">
        <v>407</v>
      </c>
      <c r="E381" s="357">
        <v>21</v>
      </c>
      <c r="F381" s="357">
        <v>21</v>
      </c>
      <c r="G381" s="358">
        <v>36010023</v>
      </c>
      <c r="H381" s="359">
        <f t="shared" si="11"/>
        <v>34885095</v>
      </c>
      <c r="I381" s="360"/>
      <c r="J381" s="361"/>
      <c r="K381" s="362"/>
      <c r="L381" s="362"/>
      <c r="M381" s="361">
        <v>857088</v>
      </c>
      <c r="N381" s="361">
        <v>1874880</v>
      </c>
      <c r="O381" s="361">
        <v>160704</v>
      </c>
      <c r="P381" s="361">
        <v>321408</v>
      </c>
      <c r="Q381" s="361">
        <v>107136</v>
      </c>
      <c r="R381" s="361">
        <v>107136</v>
      </c>
      <c r="S381" s="361">
        <v>214272</v>
      </c>
      <c r="T381" s="363">
        <v>1030000</v>
      </c>
      <c r="U381" s="364">
        <f t="shared" si="12"/>
        <v>39557719</v>
      </c>
      <c r="V381" s="362"/>
      <c r="W381" s="365" t="str">
        <f>+VLOOKUP($B381,[2]Time_S4!$B:$G,6,0)</f>
        <v>Phòng Kiểu dáng và đồ họa</v>
      </c>
      <c r="X381" s="365" t="str">
        <f>IF(W381="Phòng Kinh doanh","Trung tâm Kinh doanh - TCT CNC",+VLOOKUP($B381,[2]Time_S4!$B:$G,5,0))</f>
        <v>Khối 1 - TCT CNC</v>
      </c>
      <c r="Y381" s="366"/>
      <c r="Z381" s="366"/>
    </row>
    <row r="382" spans="1:26" ht="15.75" hidden="1">
      <c r="A382" s="367">
        <f>SUBTOTAL(3,$B$15:B382)</f>
        <v>2</v>
      </c>
      <c r="B382" s="356" t="s">
        <v>1119</v>
      </c>
      <c r="C382" s="356" t="s">
        <v>1120</v>
      </c>
      <c r="D382" s="356" t="s">
        <v>407</v>
      </c>
      <c r="E382" s="357">
        <v>21</v>
      </c>
      <c r="F382" s="357">
        <v>21</v>
      </c>
      <c r="G382" s="358">
        <v>32100171</v>
      </c>
      <c r="H382" s="359">
        <f t="shared" si="11"/>
        <v>31032531</v>
      </c>
      <c r="I382" s="360"/>
      <c r="J382" s="361"/>
      <c r="K382" s="362"/>
      <c r="L382" s="362"/>
      <c r="M382" s="361">
        <v>813440</v>
      </c>
      <c r="N382" s="361">
        <v>1779400</v>
      </c>
      <c r="O382" s="361">
        <v>152520</v>
      </c>
      <c r="P382" s="361">
        <v>305040</v>
      </c>
      <c r="Q382" s="361">
        <v>101680</v>
      </c>
      <c r="R382" s="361">
        <v>101680</v>
      </c>
      <c r="S382" s="361">
        <v>203360</v>
      </c>
      <c r="T382" s="363">
        <v>1615000</v>
      </c>
      <c r="U382" s="364">
        <f t="shared" si="12"/>
        <v>36104651</v>
      </c>
      <c r="V382" s="362"/>
      <c r="W382" s="365" t="str">
        <f>+VLOOKUP($B382,[2]Time_S4!$B:$G,6,0)</f>
        <v>Phòng Quản lý chất lượng</v>
      </c>
      <c r="X382" s="365" t="str">
        <f>IF(W382="Phòng Kinh doanh","Trung tâm Kinh doanh - TCT CNC",+VLOOKUP($B382,[2]Time_S4!$B:$G,5,0))</f>
        <v>Khối 3 - TCT CNC</v>
      </c>
      <c r="Y382" s="366"/>
      <c r="Z382" s="366"/>
    </row>
    <row r="383" spans="1:26" ht="15.75" hidden="1">
      <c r="A383" s="367">
        <f>SUBTOTAL(3,$B$15:B383)</f>
        <v>2</v>
      </c>
      <c r="B383" s="356" t="s">
        <v>319</v>
      </c>
      <c r="C383" s="356" t="s">
        <v>320</v>
      </c>
      <c r="D383" s="356" t="s">
        <v>407</v>
      </c>
      <c r="E383" s="357">
        <v>21</v>
      </c>
      <c r="F383" s="357">
        <v>21</v>
      </c>
      <c r="G383" s="358">
        <v>61178312</v>
      </c>
      <c r="H383" s="359">
        <f t="shared" si="11"/>
        <v>59803400</v>
      </c>
      <c r="I383" s="360"/>
      <c r="J383" s="361"/>
      <c r="K383" s="362"/>
      <c r="L383" s="362"/>
      <c r="M383" s="361">
        <v>1047552</v>
      </c>
      <c r="N383" s="361">
        <v>2291520</v>
      </c>
      <c r="O383" s="361">
        <v>196416</v>
      </c>
      <c r="P383" s="361">
        <v>392832</v>
      </c>
      <c r="Q383" s="361">
        <v>130944</v>
      </c>
      <c r="R383" s="361">
        <v>130944</v>
      </c>
      <c r="S383" s="361">
        <v>261888</v>
      </c>
      <c r="T383" s="363">
        <v>1130000</v>
      </c>
      <c r="U383" s="364">
        <f t="shared" si="12"/>
        <v>65385496</v>
      </c>
      <c r="V383" s="362"/>
      <c r="W383" s="365" t="str">
        <f>+VLOOKUP($B383,[2]Time_S4!$B:$G,6,0)</f>
        <v>Trung tâm Mô hình mô phỏng</v>
      </c>
      <c r="X383" s="365" t="str">
        <f>IF(W383="Phòng Kinh doanh","Trung tâm Kinh doanh - TCT CNC",+VLOOKUP($B383,[2]Time_S4!$B:$G,5,0))</f>
        <v>Khối 1 - TCT CNC</v>
      </c>
      <c r="Y383" s="366"/>
      <c r="Z383" s="366"/>
    </row>
    <row r="384" spans="1:26" ht="15.75" hidden="1">
      <c r="A384" s="367">
        <f>SUBTOTAL(3,$B$15:B384)</f>
        <v>2</v>
      </c>
      <c r="B384" s="356" t="s">
        <v>1121</v>
      </c>
      <c r="C384" s="356" t="s">
        <v>1122</v>
      </c>
      <c r="D384" s="356" t="s">
        <v>407</v>
      </c>
      <c r="E384" s="357">
        <v>21</v>
      </c>
      <c r="F384" s="357">
        <v>21</v>
      </c>
      <c r="G384" s="358">
        <v>16321286</v>
      </c>
      <c r="H384" s="359">
        <f t="shared" si="11"/>
        <v>15493214</v>
      </c>
      <c r="I384" s="360"/>
      <c r="J384" s="361"/>
      <c r="K384" s="362"/>
      <c r="L384" s="362"/>
      <c r="M384" s="361">
        <v>630912</v>
      </c>
      <c r="N384" s="361">
        <v>1380120</v>
      </c>
      <c r="O384" s="361">
        <v>118296</v>
      </c>
      <c r="P384" s="361">
        <v>236592</v>
      </c>
      <c r="Q384" s="361">
        <v>78864</v>
      </c>
      <c r="R384" s="361">
        <v>78864</v>
      </c>
      <c r="S384" s="361">
        <v>157728</v>
      </c>
      <c r="T384" s="363">
        <v>1047000</v>
      </c>
      <c r="U384" s="364">
        <f t="shared" si="12"/>
        <v>19221590</v>
      </c>
      <c r="V384" s="362"/>
      <c r="W384" s="365" t="str">
        <f>+VLOOKUP($B384,[2]Time_S4!$B:$G,6,0)</f>
        <v>Trung tâm dịch vụ sau bán hàng</v>
      </c>
      <c r="X384" s="365" t="str">
        <f>IF(W384="Phòng Kinh doanh","Trung tâm Kinh doanh - TCT CNC",+VLOOKUP($B384,[2]Time_S4!$B:$G,5,0))</f>
        <v>Khối 2 - TCT CNC</v>
      </c>
      <c r="Y384" s="366"/>
      <c r="Z384" s="366"/>
    </row>
    <row r="385" spans="1:26" ht="15.75" hidden="1">
      <c r="A385" s="367">
        <f>SUBTOTAL(3,$B$15:B385)</f>
        <v>2</v>
      </c>
      <c r="B385" s="356" t="s">
        <v>1123</v>
      </c>
      <c r="C385" s="356" t="s">
        <v>1124</v>
      </c>
      <c r="D385" s="356" t="s">
        <v>407</v>
      </c>
      <c r="E385" s="357">
        <v>21</v>
      </c>
      <c r="F385" s="357">
        <v>21</v>
      </c>
      <c r="G385" s="358">
        <v>40650853</v>
      </c>
      <c r="H385" s="359">
        <f t="shared" si="11"/>
        <v>39525925</v>
      </c>
      <c r="I385" s="360"/>
      <c r="J385" s="361"/>
      <c r="K385" s="362"/>
      <c r="L385" s="362"/>
      <c r="M385" s="361">
        <v>857088</v>
      </c>
      <c r="N385" s="361">
        <v>1874880</v>
      </c>
      <c r="O385" s="361">
        <v>160704</v>
      </c>
      <c r="P385" s="361">
        <v>321408</v>
      </c>
      <c r="Q385" s="361">
        <v>107136</v>
      </c>
      <c r="R385" s="361">
        <v>107136</v>
      </c>
      <c r="S385" s="361">
        <v>214272</v>
      </c>
      <c r="T385" s="363">
        <v>1147000</v>
      </c>
      <c r="U385" s="364">
        <f t="shared" si="12"/>
        <v>44315549</v>
      </c>
      <c r="V385" s="362"/>
      <c r="W385" s="365" t="str">
        <f>+VLOOKUP($B385,[2]Time_S4!$B:$G,6,0)</f>
        <v>Trung tâm Phát triển nền tảng thanh toán</v>
      </c>
      <c r="X385" s="365" t="str">
        <f>IF(W385="Phòng Kinh doanh","Trung tâm Kinh doanh - TCT CNC",+VLOOKUP($B385,[2]Time_S4!$B:$G,5,0))</f>
        <v>Khối 2 - TCT CNC</v>
      </c>
      <c r="Y385" s="366"/>
      <c r="Z385" s="366"/>
    </row>
    <row r="386" spans="1:26" ht="15.75" hidden="1">
      <c r="A386" s="367">
        <f>SUBTOTAL(3,$B$15:B386)</f>
        <v>2</v>
      </c>
      <c r="B386" s="356" t="s">
        <v>1125</v>
      </c>
      <c r="C386" s="356" t="s">
        <v>1126</v>
      </c>
      <c r="D386" s="356" t="s">
        <v>407</v>
      </c>
      <c r="E386" s="357">
        <v>21</v>
      </c>
      <c r="F386" s="357">
        <v>21</v>
      </c>
      <c r="G386" s="358">
        <v>29826640</v>
      </c>
      <c r="H386" s="359">
        <f t="shared" si="11"/>
        <v>28759000</v>
      </c>
      <c r="I386" s="360"/>
      <c r="J386" s="361">
        <v>0</v>
      </c>
      <c r="K386" s="362"/>
      <c r="L386" s="362"/>
      <c r="M386" s="361">
        <v>813440</v>
      </c>
      <c r="N386" s="361">
        <v>1779400</v>
      </c>
      <c r="O386" s="361">
        <v>152520</v>
      </c>
      <c r="P386" s="361">
        <v>305040</v>
      </c>
      <c r="Q386" s="361">
        <v>101680</v>
      </c>
      <c r="R386" s="361">
        <v>101680</v>
      </c>
      <c r="S386" s="361">
        <v>203360</v>
      </c>
      <c r="T386" s="363">
        <v>1630000</v>
      </c>
      <c r="U386" s="364">
        <f t="shared" si="12"/>
        <v>33846120</v>
      </c>
      <c r="V386" s="362"/>
      <c r="W386" s="365" t="str">
        <f>+VLOOKUP($B386,[2]Time_S4!$B:$G,6,0)</f>
        <v>Trung tâm dịch vụ sau bán hàng</v>
      </c>
      <c r="X386" s="365" t="str">
        <f>IF(W386="Phòng Kinh doanh","Trung tâm Kinh doanh - TCT CNC",+VLOOKUP($B386,[2]Time_S4!$B:$G,5,0))</f>
        <v>Khối 2 - TCT CNC</v>
      </c>
      <c r="Y386" s="366"/>
      <c r="Z386" s="366"/>
    </row>
    <row r="387" spans="1:26" ht="15.75" hidden="1">
      <c r="A387" s="367">
        <f>SUBTOTAL(3,$B$15:B387)</f>
        <v>2</v>
      </c>
      <c r="B387" s="356" t="s">
        <v>1127</v>
      </c>
      <c r="C387" s="356" t="s">
        <v>1128</v>
      </c>
      <c r="D387" s="356" t="s">
        <v>407</v>
      </c>
      <c r="E387" s="357">
        <v>21</v>
      </c>
      <c r="F387" s="357">
        <v>21</v>
      </c>
      <c r="G387" s="358">
        <v>49418622</v>
      </c>
      <c r="H387" s="359">
        <f t="shared" si="11"/>
        <v>48173910</v>
      </c>
      <c r="I387" s="360"/>
      <c r="J387" s="361">
        <v>0</v>
      </c>
      <c r="K387" s="362"/>
      <c r="L387" s="362"/>
      <c r="M387" s="361">
        <v>948352</v>
      </c>
      <c r="N387" s="361">
        <v>2074520</v>
      </c>
      <c r="O387" s="361">
        <v>177816</v>
      </c>
      <c r="P387" s="361">
        <v>355632</v>
      </c>
      <c r="Q387" s="361">
        <v>118544</v>
      </c>
      <c r="R387" s="361">
        <v>118544</v>
      </c>
      <c r="S387" s="361">
        <v>237088</v>
      </c>
      <c r="T387" s="363">
        <v>1030000</v>
      </c>
      <c r="U387" s="364">
        <f t="shared" si="12"/>
        <v>53234406</v>
      </c>
      <c r="V387" s="362"/>
      <c r="W387" s="365" t="str">
        <f>+VLOOKUP($B387,[2]Time_S4!$B:$G,6,0)</f>
        <v>Trung tâm Nghiên cứu Công nghệ chuyển mạch</v>
      </c>
      <c r="X387" s="365" t="str">
        <f>IF(W387="Phòng Kinh doanh","Trung tâm Kinh doanh - TCT CNC",+VLOOKUP($B387,[2]Time_S4!$B:$G,5,0))</f>
        <v>Khối 2 - TCT CNC</v>
      </c>
      <c r="Y387" s="366"/>
      <c r="Z387" s="366"/>
    </row>
    <row r="388" spans="1:26" ht="15.75" hidden="1">
      <c r="A388" s="367">
        <f>SUBTOTAL(3,$B$15:B388)</f>
        <v>2</v>
      </c>
      <c r="B388" s="356" t="s">
        <v>1129</v>
      </c>
      <c r="C388" s="356" t="s">
        <v>1130</v>
      </c>
      <c r="D388" s="356" t="s">
        <v>407</v>
      </c>
      <c r="E388" s="357">
        <v>21</v>
      </c>
      <c r="F388" s="357">
        <v>21</v>
      </c>
      <c r="G388" s="358">
        <v>23034309</v>
      </c>
      <c r="H388" s="359">
        <f t="shared" si="11"/>
        <v>22070829</v>
      </c>
      <c r="I388" s="360"/>
      <c r="J388" s="361"/>
      <c r="K388" s="362"/>
      <c r="L388" s="362"/>
      <c r="M388" s="361">
        <v>734080</v>
      </c>
      <c r="N388" s="361">
        <v>1605800</v>
      </c>
      <c r="O388" s="361">
        <v>137640</v>
      </c>
      <c r="P388" s="361">
        <v>275280</v>
      </c>
      <c r="Q388" s="361">
        <v>91760</v>
      </c>
      <c r="R388" s="361">
        <v>91760</v>
      </c>
      <c r="S388" s="361">
        <v>183520</v>
      </c>
      <c r="T388" s="363">
        <v>930000</v>
      </c>
      <c r="U388" s="364">
        <f t="shared" si="12"/>
        <v>26120669</v>
      </c>
      <c r="V388" s="362"/>
      <c r="W388" s="365" t="str">
        <f>+VLOOKUP($B388,[2]Time_S4!$B:$G,6,0)</f>
        <v>Phòng Tài chính</v>
      </c>
      <c r="X388" s="365" t="str">
        <f>IF(W388="Phòng Kinh doanh","Trung tâm Kinh doanh - TCT CNC",+VLOOKUP($B388,[2]Time_S4!$B:$G,5,0))</f>
        <v>Khối cơ quan - TCT CNC</v>
      </c>
      <c r="Y388" s="366"/>
      <c r="Z388" s="366"/>
    </row>
    <row r="389" spans="1:26" ht="15.75" hidden="1">
      <c r="A389" s="367">
        <f>SUBTOTAL(3,$B$15:B389)</f>
        <v>2</v>
      </c>
      <c r="B389" s="356" t="s">
        <v>1131</v>
      </c>
      <c r="C389" s="356" t="s">
        <v>1132</v>
      </c>
      <c r="D389" s="356" t="s">
        <v>407</v>
      </c>
      <c r="E389" s="357">
        <v>21</v>
      </c>
      <c r="F389" s="357">
        <v>21</v>
      </c>
      <c r="G389" s="358">
        <v>36120149</v>
      </c>
      <c r="H389" s="359">
        <f t="shared" si="11"/>
        <v>34995221</v>
      </c>
      <c r="I389" s="360"/>
      <c r="J389" s="361"/>
      <c r="K389" s="362"/>
      <c r="L389" s="362"/>
      <c r="M389" s="361">
        <v>857088</v>
      </c>
      <c r="N389" s="361">
        <v>1874880</v>
      </c>
      <c r="O389" s="361">
        <v>160704</v>
      </c>
      <c r="P389" s="361">
        <v>321408</v>
      </c>
      <c r="Q389" s="361">
        <v>107136</v>
      </c>
      <c r="R389" s="361">
        <v>107136</v>
      </c>
      <c r="S389" s="361">
        <v>214272</v>
      </c>
      <c r="T389" s="363">
        <v>1030000</v>
      </c>
      <c r="U389" s="364">
        <f t="shared" si="12"/>
        <v>39667845</v>
      </c>
      <c r="V389" s="362"/>
      <c r="W389" s="365" t="str">
        <f>+VLOOKUP($B389,[2]Time_S4!$B:$G,6,0)</f>
        <v>Bộ phận Hỗ trợ nghiệp vụ</v>
      </c>
      <c r="X389" s="365" t="str">
        <f>IF(W389="Phòng Kinh doanh","Trung tâm Kinh doanh - TCT CNC",+VLOOKUP($B389,[2]Time_S4!$B:$G,5,0))</f>
        <v>Trung tâm Kinh doanh - TCT CNC</v>
      </c>
      <c r="Y389" s="366"/>
      <c r="Z389" s="366"/>
    </row>
    <row r="390" spans="1:26" ht="15.75" hidden="1">
      <c r="A390" s="367">
        <f>SUBTOTAL(3,$B$15:B390)</f>
        <v>2</v>
      </c>
      <c r="B390" s="356" t="s">
        <v>1133</v>
      </c>
      <c r="C390" s="356" t="s">
        <v>1134</v>
      </c>
      <c r="D390" s="356" t="s">
        <v>407</v>
      </c>
      <c r="E390" s="357">
        <v>21</v>
      </c>
      <c r="F390" s="357">
        <v>21</v>
      </c>
      <c r="G390" s="358">
        <v>38650853</v>
      </c>
      <c r="H390" s="359">
        <f t="shared" si="11"/>
        <v>37525925</v>
      </c>
      <c r="I390" s="360"/>
      <c r="J390" s="361">
        <v>0</v>
      </c>
      <c r="K390" s="362"/>
      <c r="L390" s="362"/>
      <c r="M390" s="361">
        <v>857088</v>
      </c>
      <c r="N390" s="361">
        <v>1874880</v>
      </c>
      <c r="O390" s="361">
        <v>160704</v>
      </c>
      <c r="P390" s="361">
        <v>321408</v>
      </c>
      <c r="Q390" s="361">
        <v>107136</v>
      </c>
      <c r="R390" s="361">
        <v>107136</v>
      </c>
      <c r="S390" s="361">
        <v>214272</v>
      </c>
      <c r="T390" s="363">
        <v>1030000</v>
      </c>
      <c r="U390" s="364">
        <f t="shared" si="12"/>
        <v>42198549</v>
      </c>
      <c r="V390" s="362"/>
      <c r="W390" s="365" t="str">
        <f>+VLOOKUP($B390,[2]Time_S4!$B:$G,6,0)</f>
        <v>Trung tâm Mô hình mô phỏng</v>
      </c>
      <c r="X390" s="365" t="str">
        <f>IF(W390="Phòng Kinh doanh","Trung tâm Kinh doanh - TCT CNC",+VLOOKUP($B390,[2]Time_S4!$B:$G,5,0))</f>
        <v>Khối 1 - TCT CNC</v>
      </c>
      <c r="Y390" s="366"/>
      <c r="Z390" s="366"/>
    </row>
    <row r="391" spans="1:26" ht="15.75" hidden="1">
      <c r="A391" s="367">
        <f>SUBTOTAL(3,$B$15:B391)</f>
        <v>2</v>
      </c>
      <c r="B391" s="356" t="s">
        <v>1135</v>
      </c>
      <c r="C391" s="356" t="s">
        <v>1136</v>
      </c>
      <c r="D391" s="356" t="s">
        <v>407</v>
      </c>
      <c r="E391" s="357">
        <v>21</v>
      </c>
      <c r="F391" s="357">
        <v>21</v>
      </c>
      <c r="G391" s="358">
        <v>37162286</v>
      </c>
      <c r="H391" s="359">
        <f t="shared" si="11"/>
        <v>36037358</v>
      </c>
      <c r="I391" s="360"/>
      <c r="J391" s="361">
        <v>0</v>
      </c>
      <c r="K391" s="362"/>
      <c r="L391" s="362"/>
      <c r="M391" s="361">
        <v>857088</v>
      </c>
      <c r="N391" s="361">
        <v>1874880</v>
      </c>
      <c r="O391" s="361">
        <v>160704</v>
      </c>
      <c r="P391" s="361">
        <v>321408</v>
      </c>
      <c r="Q391" s="361">
        <v>107136</v>
      </c>
      <c r="R391" s="361">
        <v>107136</v>
      </c>
      <c r="S391" s="361">
        <v>214272</v>
      </c>
      <c r="T391" s="363">
        <v>1030000</v>
      </c>
      <c r="U391" s="364">
        <f t="shared" si="12"/>
        <v>40709982</v>
      </c>
      <c r="V391" s="362"/>
      <c r="W391" s="365" t="str">
        <f>+VLOOKUP($B391,[2]Time_S4!$B:$G,6,0)</f>
        <v>Trung tâm Nghiên cứu thiết bị vô tuyến băng rộng</v>
      </c>
      <c r="X391" s="365" t="str">
        <f>IF(W391="Phòng Kinh doanh","Trung tâm Kinh doanh - TCT CNC",+VLOOKUP($B391,[2]Time_S4!$B:$G,5,0))</f>
        <v>Khối 2 - TCT CNC</v>
      </c>
      <c r="Y391" s="366"/>
      <c r="Z391" s="366"/>
    </row>
    <row r="392" spans="1:26" ht="15.75" hidden="1">
      <c r="A392" s="367">
        <f>SUBTOTAL(3,$B$15:B392)</f>
        <v>2</v>
      </c>
      <c r="B392" s="356" t="s">
        <v>1137</v>
      </c>
      <c r="C392" s="356" t="s">
        <v>1138</v>
      </c>
      <c r="D392" s="356" t="s">
        <v>407</v>
      </c>
      <c r="E392" s="357">
        <v>21</v>
      </c>
      <c r="F392" s="357">
        <v>21</v>
      </c>
      <c r="G392" s="358">
        <v>41773944</v>
      </c>
      <c r="H392" s="359">
        <f t="shared" si="11"/>
        <v>40649016</v>
      </c>
      <c r="I392" s="360"/>
      <c r="J392" s="361"/>
      <c r="K392" s="362"/>
      <c r="L392" s="362"/>
      <c r="M392" s="361">
        <v>857088</v>
      </c>
      <c r="N392" s="361">
        <v>1874880</v>
      </c>
      <c r="O392" s="361">
        <v>160704</v>
      </c>
      <c r="P392" s="361">
        <v>321408</v>
      </c>
      <c r="Q392" s="361">
        <v>107136</v>
      </c>
      <c r="R392" s="361">
        <v>107136</v>
      </c>
      <c r="S392" s="361">
        <v>214272</v>
      </c>
      <c r="T392" s="363">
        <v>1030000</v>
      </c>
      <c r="U392" s="364">
        <f t="shared" si="12"/>
        <v>45321640</v>
      </c>
      <c r="V392" s="362"/>
      <c r="W392" s="365" t="str">
        <f>+VLOOKUP($B392,[2]Time_S4!$B:$G,6,0)</f>
        <v>Trung tâm Thông tin Quân sự</v>
      </c>
      <c r="X392" s="365" t="str">
        <f>IF(W392="Phòng Kinh doanh","Trung tâm Kinh doanh - TCT CNC",+VLOOKUP($B392,[2]Time_S4!$B:$G,5,0))</f>
        <v>Khối 1 - TCT CNC</v>
      </c>
      <c r="Y392" s="366"/>
      <c r="Z392" s="366"/>
    </row>
    <row r="393" spans="1:26" ht="15.75" hidden="1">
      <c r="A393" s="367">
        <f>SUBTOTAL(3,$B$15:B393)</f>
        <v>2</v>
      </c>
      <c r="B393" s="356" t="s">
        <v>1139</v>
      </c>
      <c r="C393" s="356" t="s">
        <v>1140</v>
      </c>
      <c r="D393" s="356" t="s">
        <v>407</v>
      </c>
      <c r="E393" s="357">
        <v>21</v>
      </c>
      <c r="F393" s="357">
        <v>21</v>
      </c>
      <c r="G393" s="358">
        <v>29197170</v>
      </c>
      <c r="H393" s="359">
        <f t="shared" si="11"/>
        <v>28181610</v>
      </c>
      <c r="I393" s="360"/>
      <c r="J393" s="361"/>
      <c r="K393" s="362"/>
      <c r="L393" s="362"/>
      <c r="M393" s="361">
        <v>773760</v>
      </c>
      <c r="N393" s="361">
        <v>1692600</v>
      </c>
      <c r="O393" s="361">
        <v>145080</v>
      </c>
      <c r="P393" s="361">
        <v>290160</v>
      </c>
      <c r="Q393" s="361">
        <v>96720</v>
      </c>
      <c r="R393" s="361">
        <v>96720</v>
      </c>
      <c r="S393" s="361">
        <v>193440</v>
      </c>
      <c r="T393" s="363">
        <v>930000</v>
      </c>
      <c r="U393" s="364">
        <f t="shared" si="12"/>
        <v>32400090</v>
      </c>
      <c r="V393" s="362"/>
      <c r="W393" s="365" t="str">
        <f>+VLOOKUP($B393,[2]Time_S4!$B:$G,6,0)</f>
        <v>Trung tâm Khí cụ bay</v>
      </c>
      <c r="X393" s="365" t="str">
        <f>IF(W393="Phòng Kinh doanh","Trung tâm Kinh doanh - TCT CNC",+VLOOKUP($B393,[2]Time_S4!$B:$G,5,0))</f>
        <v>Khối 1 - TCT CNC</v>
      </c>
      <c r="Y393" s="366"/>
      <c r="Z393" s="366"/>
    </row>
    <row r="394" spans="1:26" ht="15.75" hidden="1">
      <c r="A394" s="367">
        <f>SUBTOTAL(3,$B$15:B394)</f>
        <v>2</v>
      </c>
      <c r="B394" s="356" t="s">
        <v>1141</v>
      </c>
      <c r="C394" s="356" t="s">
        <v>1142</v>
      </c>
      <c r="D394" s="356" t="s">
        <v>407</v>
      </c>
      <c r="E394" s="357">
        <v>21</v>
      </c>
      <c r="F394" s="357">
        <v>21</v>
      </c>
      <c r="G394" s="358">
        <v>34826640</v>
      </c>
      <c r="H394" s="359">
        <f t="shared" si="11"/>
        <v>33759000</v>
      </c>
      <c r="I394" s="360"/>
      <c r="J394" s="361"/>
      <c r="K394" s="362"/>
      <c r="L394" s="362"/>
      <c r="M394" s="361">
        <v>813440</v>
      </c>
      <c r="N394" s="361">
        <v>1779400</v>
      </c>
      <c r="O394" s="361">
        <v>152520</v>
      </c>
      <c r="P394" s="361">
        <v>305040</v>
      </c>
      <c r="Q394" s="361">
        <v>101680</v>
      </c>
      <c r="R394" s="361">
        <v>101680</v>
      </c>
      <c r="S394" s="361">
        <v>203360</v>
      </c>
      <c r="T394" s="363">
        <v>1498000</v>
      </c>
      <c r="U394" s="364">
        <f t="shared" si="12"/>
        <v>38714120</v>
      </c>
      <c r="V394" s="362"/>
      <c r="W394" s="365" t="str">
        <f>+VLOOKUP($B394,[2]Time_S4!$B:$G,6,0)</f>
        <v>Trung tâm Phát triển nền tảng thanh toán</v>
      </c>
      <c r="X394" s="365" t="str">
        <f>IF(W394="Phòng Kinh doanh","Trung tâm Kinh doanh - TCT CNC",+VLOOKUP($B394,[2]Time_S4!$B:$G,5,0))</f>
        <v>Khối 2 - TCT CNC</v>
      </c>
      <c r="Y394" s="366"/>
      <c r="Z394" s="366"/>
    </row>
    <row r="395" spans="1:26" ht="15.75" hidden="1">
      <c r="A395" s="367">
        <f>SUBTOTAL(3,$B$15:B395)</f>
        <v>2</v>
      </c>
      <c r="B395" s="356" t="s">
        <v>1143</v>
      </c>
      <c r="C395" s="356" t="s">
        <v>1144</v>
      </c>
      <c r="D395" s="356" t="s">
        <v>407</v>
      </c>
      <c r="E395" s="357">
        <v>21</v>
      </c>
      <c r="F395" s="357">
        <v>21</v>
      </c>
      <c r="G395" s="358">
        <v>39185912</v>
      </c>
      <c r="H395" s="359">
        <f t="shared" si="11"/>
        <v>38060984</v>
      </c>
      <c r="I395" s="360"/>
      <c r="J395" s="361"/>
      <c r="K395" s="362"/>
      <c r="L395" s="362"/>
      <c r="M395" s="361">
        <v>857088</v>
      </c>
      <c r="N395" s="361">
        <v>1874880</v>
      </c>
      <c r="O395" s="361">
        <v>160704</v>
      </c>
      <c r="P395" s="361">
        <v>321408</v>
      </c>
      <c r="Q395" s="361">
        <v>107136</v>
      </c>
      <c r="R395" s="361">
        <v>107136</v>
      </c>
      <c r="S395" s="361">
        <v>214272</v>
      </c>
      <c r="T395" s="363">
        <v>1030000</v>
      </c>
      <c r="U395" s="364">
        <f t="shared" si="12"/>
        <v>42733608</v>
      </c>
      <c r="V395" s="362"/>
      <c r="W395" s="365" t="str">
        <f>+VLOOKUP($B395,[2]Time_S4!$B:$G,6,0)</f>
        <v>Trung tâm Nghiên cứu Công nghệ chuyển mạch</v>
      </c>
      <c r="X395" s="365" t="str">
        <f>IF(W395="Phòng Kinh doanh","Trung tâm Kinh doanh - TCT CNC",+VLOOKUP($B395,[2]Time_S4!$B:$G,5,0))</f>
        <v>Khối 2 - TCT CNC</v>
      </c>
      <c r="Y395" s="366"/>
      <c r="Z395" s="366"/>
    </row>
    <row r="396" spans="1:26" ht="15.75" hidden="1">
      <c r="A396" s="367">
        <f>SUBTOTAL(3,$B$15:B396)</f>
        <v>2</v>
      </c>
      <c r="B396" s="356" t="s">
        <v>1145</v>
      </c>
      <c r="C396" s="356" t="s">
        <v>1146</v>
      </c>
      <c r="D396" s="356" t="s">
        <v>407</v>
      </c>
      <c r="E396" s="357">
        <v>21</v>
      </c>
      <c r="F396" s="357">
        <v>21</v>
      </c>
      <c r="G396" s="358">
        <v>15441923</v>
      </c>
      <c r="H396" s="359">
        <f t="shared" si="11"/>
        <v>14608643</v>
      </c>
      <c r="I396" s="360"/>
      <c r="J396" s="361"/>
      <c r="K396" s="362"/>
      <c r="L396" s="362"/>
      <c r="M396" s="361">
        <v>634880</v>
      </c>
      <c r="N396" s="361">
        <v>1388800</v>
      </c>
      <c r="O396" s="361">
        <v>119040</v>
      </c>
      <c r="P396" s="361">
        <v>238080</v>
      </c>
      <c r="Q396" s="361">
        <v>79360</v>
      </c>
      <c r="R396" s="361">
        <v>79360</v>
      </c>
      <c r="S396" s="361">
        <v>158720</v>
      </c>
      <c r="T396" s="363">
        <v>1630000</v>
      </c>
      <c r="U396" s="364">
        <f t="shared" si="12"/>
        <v>18936883</v>
      </c>
      <c r="V396" s="362"/>
      <c r="W396" s="365" t="str">
        <f>+VLOOKUP($B396,[2]Time_S4!$B:$G,6,0)</f>
        <v>Phòng Hành chính</v>
      </c>
      <c r="X396" s="365" t="str">
        <f>IF(W396="Phòng Kinh doanh","Trung tâm Kinh doanh - TCT CNC",+VLOOKUP($B396,[2]Time_S4!$B:$G,5,0))</f>
        <v>Khối cơ quan - TCT CNC</v>
      </c>
      <c r="Y396" s="366"/>
      <c r="Z396" s="366"/>
    </row>
    <row r="397" spans="1:26" ht="15.75" hidden="1">
      <c r="A397" s="367">
        <f>SUBTOTAL(3,$B$15:B397)</f>
        <v>2</v>
      </c>
      <c r="B397" s="356" t="s">
        <v>1147</v>
      </c>
      <c r="C397" s="356" t="s">
        <v>1148</v>
      </c>
      <c r="D397" s="356" t="s">
        <v>407</v>
      </c>
      <c r="E397" s="357">
        <v>21</v>
      </c>
      <c r="F397" s="357">
        <v>21</v>
      </c>
      <c r="G397" s="358">
        <v>18902938</v>
      </c>
      <c r="H397" s="359">
        <f t="shared" si="11"/>
        <v>17986330</v>
      </c>
      <c r="I397" s="360"/>
      <c r="J397" s="361"/>
      <c r="K397" s="362"/>
      <c r="L397" s="362"/>
      <c r="M397" s="361">
        <v>698368</v>
      </c>
      <c r="N397" s="361">
        <v>1527680</v>
      </c>
      <c r="O397" s="361">
        <v>130944</v>
      </c>
      <c r="P397" s="361">
        <v>261888</v>
      </c>
      <c r="Q397" s="361">
        <v>87296</v>
      </c>
      <c r="R397" s="361">
        <v>87296</v>
      </c>
      <c r="S397" s="361">
        <v>174592</v>
      </c>
      <c r="T397" s="363">
        <v>1047000</v>
      </c>
      <c r="U397" s="364">
        <f t="shared" si="12"/>
        <v>22001394</v>
      </c>
      <c r="V397" s="362"/>
      <c r="W397" s="365" t="str">
        <f>+VLOOKUP($B397,[2]Time_S4!$B:$G,6,0)</f>
        <v>Phòng Hành chính</v>
      </c>
      <c r="X397" s="365" t="str">
        <f>IF(W397="Phòng Kinh doanh","Trung tâm Kinh doanh - TCT CNC",+VLOOKUP($B397,[2]Time_S4!$B:$G,5,0))</f>
        <v>Khối cơ quan - TCT CNC</v>
      </c>
      <c r="Y397" s="366"/>
      <c r="Z397" s="366"/>
    </row>
    <row r="398" spans="1:26" ht="15.75" hidden="1">
      <c r="A398" s="367">
        <f>SUBTOTAL(3,$B$15:B398)</f>
        <v>2</v>
      </c>
      <c r="B398" s="356" t="s">
        <v>1149</v>
      </c>
      <c r="C398" s="356" t="s">
        <v>1150</v>
      </c>
      <c r="D398" s="356" t="s">
        <v>407</v>
      </c>
      <c r="E398" s="357">
        <v>21</v>
      </c>
      <c r="F398" s="357">
        <v>21</v>
      </c>
      <c r="G398" s="358">
        <v>55230072</v>
      </c>
      <c r="H398" s="359">
        <f t="shared" si="11"/>
        <v>53985360</v>
      </c>
      <c r="I398" s="360"/>
      <c r="J398" s="361"/>
      <c r="K398" s="362"/>
      <c r="L398" s="362"/>
      <c r="M398" s="361">
        <v>948352</v>
      </c>
      <c r="N398" s="361">
        <v>2074520</v>
      </c>
      <c r="O398" s="361">
        <v>177816</v>
      </c>
      <c r="P398" s="361">
        <v>355632</v>
      </c>
      <c r="Q398" s="361">
        <v>118544</v>
      </c>
      <c r="R398" s="361">
        <v>118544</v>
      </c>
      <c r="S398" s="361">
        <v>237088</v>
      </c>
      <c r="T398" s="363">
        <v>1230000</v>
      </c>
      <c r="U398" s="364">
        <f t="shared" si="12"/>
        <v>59245856</v>
      </c>
      <c r="V398" s="362"/>
      <c r="W398" s="365" t="str">
        <f>+VLOOKUP($B398,[2]Time_S4!$B:$G,6,0)</f>
        <v>Trung tâm Thông tin Quân sự</v>
      </c>
      <c r="X398" s="365" t="str">
        <f>IF(W398="Phòng Kinh doanh","Trung tâm Kinh doanh - TCT CNC",+VLOOKUP($B398,[2]Time_S4!$B:$G,5,0))</f>
        <v>Khối 1 - TCT CNC</v>
      </c>
      <c r="Y398" s="366"/>
      <c r="Z398" s="366"/>
    </row>
    <row r="399" spans="1:26" ht="15.75" hidden="1">
      <c r="A399" s="367">
        <f>SUBTOTAL(3,$B$15:B399)</f>
        <v>2</v>
      </c>
      <c r="B399" s="356" t="s">
        <v>1151</v>
      </c>
      <c r="C399" s="356" t="s">
        <v>1152</v>
      </c>
      <c r="D399" s="356" t="s">
        <v>407</v>
      </c>
      <c r="E399" s="357">
        <v>21</v>
      </c>
      <c r="F399" s="357">
        <v>21</v>
      </c>
      <c r="G399" s="358">
        <v>34530496</v>
      </c>
      <c r="H399" s="359">
        <f t="shared" si="11"/>
        <v>33462856</v>
      </c>
      <c r="I399" s="360"/>
      <c r="J399" s="361"/>
      <c r="K399" s="362"/>
      <c r="L399" s="362"/>
      <c r="M399" s="361">
        <v>813440</v>
      </c>
      <c r="N399" s="361">
        <v>1779400</v>
      </c>
      <c r="O399" s="361">
        <v>152520</v>
      </c>
      <c r="P399" s="361">
        <v>305040</v>
      </c>
      <c r="Q399" s="361">
        <v>101680</v>
      </c>
      <c r="R399" s="361">
        <v>101680</v>
      </c>
      <c r="S399" s="361">
        <v>203360</v>
      </c>
      <c r="T399" s="363">
        <v>1030000</v>
      </c>
      <c r="U399" s="364">
        <f t="shared" si="12"/>
        <v>37949976</v>
      </c>
      <c r="V399" s="362"/>
      <c r="W399" s="365" t="str">
        <f>+VLOOKUP($B399,[2]Time_S4!$B:$G,6,0)</f>
        <v>Trung tâm Công nghệ Cơ khí - Tự động hóa</v>
      </c>
      <c r="X399" s="365" t="str">
        <f>IF(W399="Phòng Kinh doanh","Trung tâm Kinh doanh - TCT CNC",+VLOOKUP($B399,[2]Time_S4!$B:$G,5,0))</f>
        <v>Khối 1 - TCT CNC</v>
      </c>
      <c r="Y399" s="366"/>
      <c r="Z399" s="366"/>
    </row>
    <row r="400" spans="1:26" ht="15.75" hidden="1">
      <c r="A400" s="367">
        <f>SUBTOTAL(3,$B$15:B400)</f>
        <v>2</v>
      </c>
      <c r="B400" s="356" t="s">
        <v>1153</v>
      </c>
      <c r="C400" s="356" t="s">
        <v>1154</v>
      </c>
      <c r="D400" s="356" t="s">
        <v>407</v>
      </c>
      <c r="E400" s="357">
        <v>21</v>
      </c>
      <c r="F400" s="357">
        <v>21</v>
      </c>
      <c r="G400" s="358">
        <v>19304042</v>
      </c>
      <c r="H400" s="359">
        <f t="shared" ref="H400:H463" si="13">+G400-SUM(M400,O400,Q400)</f>
        <v>18387434</v>
      </c>
      <c r="I400" s="360"/>
      <c r="J400" s="361"/>
      <c r="K400" s="362"/>
      <c r="L400" s="362"/>
      <c r="M400" s="361">
        <v>698368</v>
      </c>
      <c r="N400" s="361">
        <v>1527680</v>
      </c>
      <c r="O400" s="361">
        <v>130944</v>
      </c>
      <c r="P400" s="361">
        <v>261888</v>
      </c>
      <c r="Q400" s="361">
        <v>87296</v>
      </c>
      <c r="R400" s="361">
        <v>87296</v>
      </c>
      <c r="S400" s="361">
        <v>174592</v>
      </c>
      <c r="T400" s="363">
        <v>930000</v>
      </c>
      <c r="U400" s="364">
        <f t="shared" ref="U400:U463" si="14">+SUM(H400:T400)</f>
        <v>22285498</v>
      </c>
      <c r="V400" s="362"/>
      <c r="W400" s="365" t="str">
        <f>+VLOOKUP($B400,[2]Time_S4!$B:$G,6,0)</f>
        <v>Phòng Đảm bảo hàng hóa</v>
      </c>
      <c r="X400" s="365" t="str">
        <f>IF(W400="Phòng Kinh doanh","Trung tâm Kinh doanh - TCT CNC",+VLOOKUP($B400,[2]Time_S4!$B:$G,5,0))</f>
        <v>Trung tâm Mua sắm - TCT CNC</v>
      </c>
      <c r="Y400" s="366"/>
      <c r="Z400" s="366"/>
    </row>
    <row r="401" spans="1:26" ht="15.75" hidden="1">
      <c r="A401" s="367">
        <f>SUBTOTAL(3,$B$15:B401)</f>
        <v>2</v>
      </c>
      <c r="B401" s="356" t="s">
        <v>1155</v>
      </c>
      <c r="C401" s="356" t="s">
        <v>1156</v>
      </c>
      <c r="D401" s="356" t="s">
        <v>397</v>
      </c>
      <c r="E401" s="357">
        <v>21</v>
      </c>
      <c r="F401" s="357">
        <v>21</v>
      </c>
      <c r="G401" s="358">
        <v>20344177</v>
      </c>
      <c r="H401" s="359">
        <f t="shared" si="13"/>
        <v>19044260</v>
      </c>
      <c r="I401" s="360"/>
      <c r="J401" s="361"/>
      <c r="K401" s="362"/>
      <c r="L401" s="362"/>
      <c r="M401" s="361">
        <v>1299917</v>
      </c>
      <c r="N401" s="361">
        <v>2843568</v>
      </c>
      <c r="O401" s="361">
        <v>0</v>
      </c>
      <c r="P401" s="361">
        <v>0</v>
      </c>
      <c r="Q401" s="361">
        <v>0</v>
      </c>
      <c r="R401" s="361">
        <v>0</v>
      </c>
      <c r="S401" s="361">
        <v>324979</v>
      </c>
      <c r="T401" s="363">
        <v>930000</v>
      </c>
      <c r="U401" s="364">
        <f t="shared" si="14"/>
        <v>24442724</v>
      </c>
      <c r="V401" s="362"/>
      <c r="W401" s="365" t="str">
        <f>+VLOOKUP($B401,[2]Time_S4!$B:$G,6,0)</f>
        <v>Trung tâm dịch vụ sau bán hàng</v>
      </c>
      <c r="X401" s="365" t="str">
        <f>IF(W401="Phòng Kinh doanh","Trung tâm Kinh doanh - TCT CNC",+VLOOKUP($B401,[2]Time_S4!$B:$G,5,0))</f>
        <v>Khối 1 - TCT CNC</v>
      </c>
      <c r="Y401" s="366"/>
      <c r="Z401" s="366"/>
    </row>
    <row r="402" spans="1:26" ht="15.75" hidden="1">
      <c r="A402" s="367">
        <f>SUBTOTAL(3,$B$15:B402)</f>
        <v>2</v>
      </c>
      <c r="B402" s="356" t="s">
        <v>1157</v>
      </c>
      <c r="C402" s="356" t="s">
        <v>1158</v>
      </c>
      <c r="D402" s="356" t="s">
        <v>410</v>
      </c>
      <c r="E402" s="357">
        <v>21</v>
      </c>
      <c r="F402" s="357">
        <v>21</v>
      </c>
      <c r="G402" s="358">
        <v>38350100</v>
      </c>
      <c r="H402" s="359">
        <f t="shared" si="13"/>
        <v>37047188</v>
      </c>
      <c r="I402" s="360"/>
      <c r="J402" s="361"/>
      <c r="K402" s="362"/>
      <c r="L402" s="362"/>
      <c r="M402" s="361">
        <v>1302912</v>
      </c>
      <c r="N402" s="361">
        <v>2850120</v>
      </c>
      <c r="O402" s="361">
        <v>0</v>
      </c>
      <c r="P402" s="361">
        <v>0</v>
      </c>
      <c r="Q402" s="361">
        <v>0</v>
      </c>
      <c r="R402" s="361">
        <v>0</v>
      </c>
      <c r="S402" s="361">
        <v>325728</v>
      </c>
      <c r="T402" s="363">
        <v>1030000</v>
      </c>
      <c r="U402" s="364">
        <f t="shared" si="14"/>
        <v>42555948</v>
      </c>
      <c r="V402" s="362"/>
      <c r="W402" s="365" t="str">
        <f>+VLOOKUP($B402,[2]Time_S4!$B:$G,6,0)</f>
        <v>Trung tâm sản xuất</v>
      </c>
      <c r="X402" s="365" t="str">
        <f>IF(W402="Phòng Kinh doanh","Trung tâm Kinh doanh - TCT CNC",+VLOOKUP($B402,[2]Time_S4!$B:$G,5,0))</f>
        <v>Khối 1 - TCT CNC</v>
      </c>
      <c r="Y402" s="366"/>
      <c r="Z402" s="366"/>
    </row>
    <row r="403" spans="1:26" ht="15.75" hidden="1">
      <c r="A403" s="367">
        <f>SUBTOTAL(3,$B$15:B403)</f>
        <v>2</v>
      </c>
      <c r="B403" s="356" t="s">
        <v>1159</v>
      </c>
      <c r="C403" s="356" t="s">
        <v>1160</v>
      </c>
      <c r="D403" s="356" t="s">
        <v>410</v>
      </c>
      <c r="E403" s="357">
        <v>21</v>
      </c>
      <c r="F403" s="357">
        <v>21</v>
      </c>
      <c r="G403" s="358">
        <v>38634444</v>
      </c>
      <c r="H403" s="359">
        <f t="shared" si="13"/>
        <v>37331532</v>
      </c>
      <c r="I403" s="360"/>
      <c r="J403" s="361"/>
      <c r="K403" s="362"/>
      <c r="L403" s="362"/>
      <c r="M403" s="361">
        <v>1302912</v>
      </c>
      <c r="N403" s="361">
        <v>2850120</v>
      </c>
      <c r="O403" s="361">
        <v>0</v>
      </c>
      <c r="P403" s="361">
        <v>0</v>
      </c>
      <c r="Q403" s="361">
        <v>0</v>
      </c>
      <c r="R403" s="361">
        <v>0</v>
      </c>
      <c r="S403" s="361">
        <v>325728</v>
      </c>
      <c r="T403" s="363">
        <v>1030000</v>
      </c>
      <c r="U403" s="364">
        <f t="shared" si="14"/>
        <v>42840292</v>
      </c>
      <c r="V403" s="362"/>
      <c r="W403" s="365" t="str">
        <f>+VLOOKUP($B403,[2]Time_S4!$B:$G,6,0)</f>
        <v>Trung tâm Rada</v>
      </c>
      <c r="X403" s="365" t="str">
        <f>IF(W403="Phòng Kinh doanh","Trung tâm Kinh doanh - TCT CNC",+VLOOKUP($B403,[2]Time_S4!$B:$G,5,0))</f>
        <v>Khối 1 - TCT CNC</v>
      </c>
      <c r="Y403" s="366"/>
      <c r="Z403" s="366"/>
    </row>
    <row r="404" spans="1:26" ht="15.75" hidden="1">
      <c r="A404" s="367">
        <f>SUBTOTAL(3,$B$15:B404)</f>
        <v>2</v>
      </c>
      <c r="B404" s="356" t="s">
        <v>1161</v>
      </c>
      <c r="C404" s="356" t="s">
        <v>1162</v>
      </c>
      <c r="D404" s="356" t="s">
        <v>410</v>
      </c>
      <c r="E404" s="357">
        <v>21</v>
      </c>
      <c r="F404" s="357">
        <v>21</v>
      </c>
      <c r="G404" s="358">
        <v>41754851</v>
      </c>
      <c r="H404" s="359">
        <f t="shared" si="13"/>
        <v>40451939</v>
      </c>
      <c r="I404" s="360"/>
      <c r="J404" s="361"/>
      <c r="K404" s="362"/>
      <c r="L404" s="362"/>
      <c r="M404" s="361">
        <v>1302912</v>
      </c>
      <c r="N404" s="361">
        <v>2850120</v>
      </c>
      <c r="O404" s="361">
        <v>0</v>
      </c>
      <c r="P404" s="361">
        <v>0</v>
      </c>
      <c r="Q404" s="361">
        <v>0</v>
      </c>
      <c r="R404" s="361">
        <v>0</v>
      </c>
      <c r="S404" s="361">
        <v>325728</v>
      </c>
      <c r="T404" s="363">
        <v>1030000</v>
      </c>
      <c r="U404" s="364">
        <f t="shared" si="14"/>
        <v>45960699</v>
      </c>
      <c r="V404" s="362"/>
      <c r="W404" s="365" t="str">
        <f>+VLOOKUP($B404,[2]Time_S4!$B:$G,6,0)</f>
        <v>Trung tâm Rada</v>
      </c>
      <c r="X404" s="365" t="str">
        <f>IF(W404="Phòng Kinh doanh","Trung tâm Kinh doanh - TCT CNC",+VLOOKUP($B404,[2]Time_S4!$B:$G,5,0))</f>
        <v>Khối 1 - TCT CNC</v>
      </c>
      <c r="Y404" s="366"/>
      <c r="Z404" s="366"/>
    </row>
    <row r="405" spans="1:26" ht="15.75" hidden="1">
      <c r="A405" s="367">
        <f>SUBTOTAL(3,$B$15:B405)</f>
        <v>2</v>
      </c>
      <c r="B405" s="356" t="s">
        <v>1163</v>
      </c>
      <c r="C405" s="356" t="s">
        <v>1164</v>
      </c>
      <c r="D405" s="356" t="s">
        <v>410</v>
      </c>
      <c r="E405" s="357">
        <v>21</v>
      </c>
      <c r="F405" s="357">
        <v>21</v>
      </c>
      <c r="G405" s="358">
        <v>37546905</v>
      </c>
      <c r="H405" s="359">
        <f t="shared" si="13"/>
        <v>36243993</v>
      </c>
      <c r="I405" s="360"/>
      <c r="J405" s="361"/>
      <c r="K405" s="362"/>
      <c r="L405" s="362"/>
      <c r="M405" s="361">
        <v>1302912</v>
      </c>
      <c r="N405" s="361">
        <v>2850120</v>
      </c>
      <c r="O405" s="361">
        <v>0</v>
      </c>
      <c r="P405" s="361">
        <v>0</v>
      </c>
      <c r="Q405" s="361">
        <v>0</v>
      </c>
      <c r="R405" s="361">
        <v>0</v>
      </c>
      <c r="S405" s="361">
        <v>325728</v>
      </c>
      <c r="T405" s="363">
        <v>1030000</v>
      </c>
      <c r="U405" s="364">
        <f t="shared" si="14"/>
        <v>41752753</v>
      </c>
      <c r="V405" s="362"/>
      <c r="W405" s="365" t="str">
        <f>+VLOOKUP($B405,[2]Time_S4!$B:$G,6,0)</f>
        <v>Trung tâm Rada</v>
      </c>
      <c r="X405" s="365" t="str">
        <f>IF(W405="Phòng Kinh doanh","Trung tâm Kinh doanh - TCT CNC",+VLOOKUP($B405,[2]Time_S4!$B:$G,5,0))</f>
        <v>Khối 1 - TCT CNC</v>
      </c>
      <c r="Y405" s="366"/>
      <c r="Z405" s="366"/>
    </row>
    <row r="406" spans="1:26" ht="15.75" hidden="1">
      <c r="A406" s="367">
        <f>SUBTOTAL(3,$B$15:B406)</f>
        <v>2</v>
      </c>
      <c r="B406" s="356" t="s">
        <v>1165</v>
      </c>
      <c r="C406" s="356" t="s">
        <v>1166</v>
      </c>
      <c r="D406" s="356" t="s">
        <v>410</v>
      </c>
      <c r="E406" s="357">
        <v>21</v>
      </c>
      <c r="F406" s="357">
        <v>21</v>
      </c>
      <c r="G406" s="358">
        <v>47663006</v>
      </c>
      <c r="H406" s="359">
        <f t="shared" si="13"/>
        <v>46273233</v>
      </c>
      <c r="I406" s="360"/>
      <c r="J406" s="361"/>
      <c r="K406" s="362"/>
      <c r="L406" s="362"/>
      <c r="M406" s="361">
        <v>1389773</v>
      </c>
      <c r="N406" s="361">
        <v>3040128</v>
      </c>
      <c r="O406" s="361">
        <v>0</v>
      </c>
      <c r="P406" s="361">
        <v>0</v>
      </c>
      <c r="Q406" s="361">
        <v>0</v>
      </c>
      <c r="R406" s="361">
        <v>0</v>
      </c>
      <c r="S406" s="361">
        <v>347443</v>
      </c>
      <c r="T406" s="363">
        <v>1130000</v>
      </c>
      <c r="U406" s="364">
        <f t="shared" si="14"/>
        <v>52180577</v>
      </c>
      <c r="V406" s="362"/>
      <c r="W406" s="365" t="str">
        <f>+VLOOKUP($B406,[2]Time_S4!$B:$G,6,0)</f>
        <v>Trung tâm dịch vụ sau bán hàng</v>
      </c>
      <c r="X406" s="365" t="str">
        <f>IF(W406="Phòng Kinh doanh","Trung tâm Kinh doanh - TCT CNC",+VLOOKUP($B406,[2]Time_S4!$B:$G,5,0))</f>
        <v>Khối 1 - TCT CNC</v>
      </c>
      <c r="Y406" s="366"/>
      <c r="Z406" s="366"/>
    </row>
    <row r="407" spans="1:26" ht="15.75" hidden="1">
      <c r="A407" s="367">
        <f>SUBTOTAL(3,$B$15:B407)</f>
        <v>2</v>
      </c>
      <c r="B407" s="356" t="s">
        <v>1167</v>
      </c>
      <c r="C407" s="356" t="s">
        <v>1168</v>
      </c>
      <c r="D407" s="356" t="s">
        <v>410</v>
      </c>
      <c r="E407" s="357">
        <v>21</v>
      </c>
      <c r="F407" s="357">
        <v>21</v>
      </c>
      <c r="G407" s="358">
        <v>35963717</v>
      </c>
      <c r="H407" s="359">
        <f t="shared" si="13"/>
        <v>34649573</v>
      </c>
      <c r="I407" s="360"/>
      <c r="J407" s="361"/>
      <c r="K407" s="362"/>
      <c r="L407" s="362"/>
      <c r="M407" s="361">
        <v>1314144</v>
      </c>
      <c r="N407" s="361">
        <v>2874690</v>
      </c>
      <c r="O407" s="361">
        <v>0</v>
      </c>
      <c r="P407" s="361">
        <v>0</v>
      </c>
      <c r="Q407" s="361">
        <v>0</v>
      </c>
      <c r="R407" s="361">
        <v>0</v>
      </c>
      <c r="S407" s="361">
        <v>328536</v>
      </c>
      <c r="T407" s="363">
        <v>1030000</v>
      </c>
      <c r="U407" s="364">
        <f t="shared" si="14"/>
        <v>40196943</v>
      </c>
      <c r="V407" s="362"/>
      <c r="W407" s="365" t="str">
        <f>+VLOOKUP($B407,[2]Time_S4!$B:$G,6,0)</f>
        <v>Trung tâm Rada</v>
      </c>
      <c r="X407" s="365" t="str">
        <f>IF(W407="Phòng Kinh doanh","Trung tâm Kinh doanh - TCT CNC",+VLOOKUP($B407,[2]Time_S4!$B:$G,5,0))</f>
        <v>Khối 1 - TCT CNC</v>
      </c>
      <c r="Y407" s="366"/>
      <c r="Z407" s="366"/>
    </row>
    <row r="408" spans="1:26" ht="15.75" hidden="1">
      <c r="A408" s="367">
        <f>SUBTOTAL(3,$B$15:B408)</f>
        <v>2</v>
      </c>
      <c r="B408" s="356" t="s">
        <v>1169</v>
      </c>
      <c r="C408" s="356" t="s">
        <v>1170</v>
      </c>
      <c r="D408" s="356" t="s">
        <v>410</v>
      </c>
      <c r="E408" s="357">
        <v>21</v>
      </c>
      <c r="F408" s="357">
        <v>21</v>
      </c>
      <c r="G408" s="358">
        <v>47304747</v>
      </c>
      <c r="H408" s="359">
        <f t="shared" si="13"/>
        <v>46001835</v>
      </c>
      <c r="I408" s="360"/>
      <c r="J408" s="361"/>
      <c r="K408" s="362"/>
      <c r="L408" s="362"/>
      <c r="M408" s="361">
        <v>1302912</v>
      </c>
      <c r="N408" s="361">
        <v>2850120</v>
      </c>
      <c r="O408" s="361">
        <v>0</v>
      </c>
      <c r="P408" s="361">
        <v>0</v>
      </c>
      <c r="Q408" s="361">
        <v>0</v>
      </c>
      <c r="R408" s="361">
        <v>0</v>
      </c>
      <c r="S408" s="361">
        <v>325728</v>
      </c>
      <c r="T408" s="363">
        <v>1030000</v>
      </c>
      <c r="U408" s="364">
        <f t="shared" si="14"/>
        <v>51510595</v>
      </c>
      <c r="V408" s="362"/>
      <c r="W408" s="365" t="str">
        <f>+VLOOKUP($B408,[2]Time_S4!$B:$G,6,0)</f>
        <v>Trung tâm Rada</v>
      </c>
      <c r="X408" s="365" t="str">
        <f>IF(W408="Phòng Kinh doanh","Trung tâm Kinh doanh - TCT CNC",+VLOOKUP($B408,[2]Time_S4!$B:$G,5,0))</f>
        <v>Khối 1 - TCT CNC</v>
      </c>
      <c r="Y408" s="366"/>
      <c r="Z408" s="366"/>
    </row>
    <row r="409" spans="1:26" ht="15.75" hidden="1">
      <c r="A409" s="367">
        <f>SUBTOTAL(3,$B$15:B409)</f>
        <v>2</v>
      </c>
      <c r="B409" s="356" t="s">
        <v>1171</v>
      </c>
      <c r="C409" s="356" t="s">
        <v>1172</v>
      </c>
      <c r="D409" s="356" t="s">
        <v>407</v>
      </c>
      <c r="E409" s="357">
        <v>21</v>
      </c>
      <c r="F409" s="357">
        <v>21</v>
      </c>
      <c r="G409" s="358">
        <v>14849964</v>
      </c>
      <c r="H409" s="359">
        <f t="shared" si="13"/>
        <v>14063556</v>
      </c>
      <c r="I409" s="360"/>
      <c r="J409" s="361"/>
      <c r="K409" s="362"/>
      <c r="L409" s="362"/>
      <c r="M409" s="361">
        <v>599168</v>
      </c>
      <c r="N409" s="361">
        <v>1310680</v>
      </c>
      <c r="O409" s="361">
        <v>112344</v>
      </c>
      <c r="P409" s="361">
        <v>224688</v>
      </c>
      <c r="Q409" s="361">
        <v>74896</v>
      </c>
      <c r="R409" s="361">
        <v>74896</v>
      </c>
      <c r="S409" s="361">
        <v>149792</v>
      </c>
      <c r="T409" s="363">
        <v>930000</v>
      </c>
      <c r="U409" s="364">
        <f t="shared" si="14"/>
        <v>17540020</v>
      </c>
      <c r="V409" s="362"/>
      <c r="W409" s="365" t="str">
        <f>+VLOOKUP($B409,[2]Time_S4!$B:$G,6,0)</f>
        <v>Phòng Hành chính</v>
      </c>
      <c r="X409" s="365" t="str">
        <f>IF(W409="Phòng Kinh doanh","Trung tâm Kinh doanh - TCT CNC",+VLOOKUP($B409,[2]Time_S4!$B:$G,5,0))</f>
        <v>Khối cơ quan - TCT CNC</v>
      </c>
      <c r="Y409" s="366"/>
      <c r="Z409" s="366"/>
    </row>
    <row r="410" spans="1:26" ht="15.75" hidden="1">
      <c r="A410" s="367">
        <f>SUBTOTAL(3,$B$15:B410)</f>
        <v>2</v>
      </c>
      <c r="B410" s="356" t="s">
        <v>1173</v>
      </c>
      <c r="C410" s="356" t="s">
        <v>1174</v>
      </c>
      <c r="D410" s="356" t="s">
        <v>407</v>
      </c>
      <c r="E410" s="357">
        <v>21</v>
      </c>
      <c r="F410" s="357">
        <v>21</v>
      </c>
      <c r="G410" s="358">
        <v>31298748</v>
      </c>
      <c r="H410" s="359">
        <f t="shared" si="13"/>
        <v>30283188</v>
      </c>
      <c r="I410" s="360"/>
      <c r="J410" s="361"/>
      <c r="K410" s="362"/>
      <c r="L410" s="362"/>
      <c r="M410" s="361">
        <v>773760</v>
      </c>
      <c r="N410" s="361">
        <v>1692600</v>
      </c>
      <c r="O410" s="361">
        <v>145080</v>
      </c>
      <c r="P410" s="361">
        <v>290160</v>
      </c>
      <c r="Q410" s="361">
        <v>96720</v>
      </c>
      <c r="R410" s="361">
        <v>96720</v>
      </c>
      <c r="S410" s="361">
        <v>193440</v>
      </c>
      <c r="T410" s="363">
        <v>1030000</v>
      </c>
      <c r="U410" s="364">
        <f t="shared" si="14"/>
        <v>34601668</v>
      </c>
      <c r="V410" s="362"/>
      <c r="W410" s="365" t="str">
        <f>+VLOOKUP($B410,[2]Time_S4!$B:$G,6,0)</f>
        <v>Trung tâm Kỹ thuật công nghệ - TCT CNC</v>
      </c>
      <c r="X410" s="365" t="str">
        <f>IF(W410="Phòng Kinh doanh","Trung tâm Kinh doanh - TCT CNC",+VLOOKUP($B410,[2]Time_S4!$B:$G,5,0))</f>
        <v>Khối 2 - TCT CNC</v>
      </c>
      <c r="Y410" s="366"/>
      <c r="Z410" s="366"/>
    </row>
    <row r="411" spans="1:26" ht="15.75" hidden="1">
      <c r="A411" s="367">
        <f>SUBTOTAL(3,$B$15:B411)</f>
        <v>2</v>
      </c>
      <c r="B411" s="356" t="s">
        <v>322</v>
      </c>
      <c r="C411" s="356" t="s">
        <v>323</v>
      </c>
      <c r="D411" s="356" t="s">
        <v>407</v>
      </c>
      <c r="E411" s="357">
        <v>21</v>
      </c>
      <c r="F411" s="357">
        <v>21</v>
      </c>
      <c r="G411" s="358">
        <v>20344177</v>
      </c>
      <c r="H411" s="359">
        <f t="shared" si="13"/>
        <v>19427569</v>
      </c>
      <c r="I411" s="360"/>
      <c r="J411" s="361"/>
      <c r="K411" s="362"/>
      <c r="L411" s="362"/>
      <c r="M411" s="361">
        <v>698368</v>
      </c>
      <c r="N411" s="361">
        <v>1527680</v>
      </c>
      <c r="O411" s="361">
        <v>130944</v>
      </c>
      <c r="P411" s="361">
        <v>261888</v>
      </c>
      <c r="Q411" s="361">
        <v>87296</v>
      </c>
      <c r="R411" s="361">
        <v>87296</v>
      </c>
      <c r="S411" s="361">
        <v>174592</v>
      </c>
      <c r="T411" s="363">
        <v>1047000</v>
      </c>
      <c r="U411" s="364">
        <f t="shared" si="14"/>
        <v>23442633</v>
      </c>
      <c r="V411" s="362"/>
      <c r="W411" s="365" t="str">
        <f>+VLOOKUP($B411,[2]Time_S4!$B:$G,6,0)</f>
        <v>Phòng Tổng hợp</v>
      </c>
      <c r="X411" s="365" t="str">
        <f>IF(W411="Phòng Kinh doanh","Trung tâm Kinh doanh - TCT CNC",+VLOOKUP($B411,[2]Time_S4!$B:$G,5,0))</f>
        <v>Khối 1 - TCT CNC</v>
      </c>
      <c r="Y411" s="366"/>
      <c r="Z411" s="366"/>
    </row>
    <row r="412" spans="1:26" ht="15.75" hidden="1">
      <c r="A412" s="367">
        <f>SUBTOTAL(3,$B$15:B412)</f>
        <v>2</v>
      </c>
      <c r="B412" s="356" t="s">
        <v>1175</v>
      </c>
      <c r="C412" s="356" t="s">
        <v>1176</v>
      </c>
      <c r="D412" s="356" t="s">
        <v>407</v>
      </c>
      <c r="E412" s="357">
        <v>21</v>
      </c>
      <c r="F412" s="357">
        <v>21</v>
      </c>
      <c r="G412" s="358">
        <v>29298748</v>
      </c>
      <c r="H412" s="359">
        <f t="shared" si="13"/>
        <v>28283188</v>
      </c>
      <c r="I412" s="360"/>
      <c r="J412" s="361"/>
      <c r="K412" s="362"/>
      <c r="L412" s="362"/>
      <c r="M412" s="361">
        <v>773760</v>
      </c>
      <c r="N412" s="361">
        <v>1692600</v>
      </c>
      <c r="O412" s="361">
        <v>145080</v>
      </c>
      <c r="P412" s="361">
        <v>290160</v>
      </c>
      <c r="Q412" s="361">
        <v>96720</v>
      </c>
      <c r="R412" s="361">
        <v>96720</v>
      </c>
      <c r="S412" s="361">
        <v>193440</v>
      </c>
      <c r="T412" s="363">
        <v>1030000</v>
      </c>
      <c r="U412" s="364">
        <f t="shared" si="14"/>
        <v>32601668</v>
      </c>
      <c r="V412" s="362"/>
      <c r="W412" s="365" t="str">
        <f>+VLOOKUP($B412,[2]Time_S4!$B:$G,6,0)</f>
        <v>Trung tâm Thông tin Quân sự</v>
      </c>
      <c r="X412" s="365" t="str">
        <f>IF(W412="Phòng Kinh doanh","Trung tâm Kinh doanh - TCT CNC",+VLOOKUP($B412,[2]Time_S4!$B:$G,5,0))</f>
        <v>Khối 1 - TCT CNC</v>
      </c>
      <c r="Y412" s="366"/>
      <c r="Z412" s="366"/>
    </row>
    <row r="413" spans="1:26" ht="15.75" hidden="1">
      <c r="A413" s="367">
        <f>SUBTOTAL(3,$B$15:B413)</f>
        <v>2</v>
      </c>
      <c r="B413" s="356" t="s">
        <v>1177</v>
      </c>
      <c r="C413" s="356" t="s">
        <v>1178</v>
      </c>
      <c r="D413" s="356" t="s">
        <v>407</v>
      </c>
      <c r="E413" s="357">
        <v>21</v>
      </c>
      <c r="F413" s="357">
        <v>21</v>
      </c>
      <c r="G413" s="358">
        <v>29207664</v>
      </c>
      <c r="H413" s="359">
        <f t="shared" si="13"/>
        <v>28140024</v>
      </c>
      <c r="I413" s="360"/>
      <c r="J413" s="361"/>
      <c r="K413" s="362"/>
      <c r="L413" s="362"/>
      <c r="M413" s="361">
        <v>813440</v>
      </c>
      <c r="N413" s="361">
        <v>1779400</v>
      </c>
      <c r="O413" s="361">
        <v>152520</v>
      </c>
      <c r="P413" s="361">
        <v>305040</v>
      </c>
      <c r="Q413" s="361">
        <v>101680</v>
      </c>
      <c r="R413" s="361">
        <v>101680</v>
      </c>
      <c r="S413" s="361">
        <v>203360</v>
      </c>
      <c r="T413" s="363">
        <v>1030000</v>
      </c>
      <c r="U413" s="364">
        <f t="shared" si="14"/>
        <v>32627144</v>
      </c>
      <c r="V413" s="362"/>
      <c r="W413" s="365" t="str">
        <f>+VLOOKUP($B413,[2]Time_S4!$B:$G,6,0)</f>
        <v>Trung tâm dịch vụ sau bán hàng</v>
      </c>
      <c r="X413" s="365" t="str">
        <f>IF(W413="Phòng Kinh doanh","Trung tâm Kinh doanh - TCT CNC",+VLOOKUP($B413,[2]Time_S4!$B:$G,5,0))</f>
        <v>Khối 1 - TCT CNC</v>
      </c>
      <c r="Y413" s="366"/>
      <c r="Z413" s="366"/>
    </row>
    <row r="414" spans="1:26" ht="15.75" hidden="1">
      <c r="A414" s="367">
        <f>SUBTOTAL(3,$B$15:B414)</f>
        <v>2</v>
      </c>
      <c r="B414" s="356" t="s">
        <v>1179</v>
      </c>
      <c r="C414" s="356" t="s">
        <v>1180</v>
      </c>
      <c r="D414" s="356" t="s">
        <v>407</v>
      </c>
      <c r="E414" s="357">
        <v>21</v>
      </c>
      <c r="F414" s="357">
        <v>21</v>
      </c>
      <c r="G414" s="358">
        <v>27425486</v>
      </c>
      <c r="H414" s="359">
        <f t="shared" si="13"/>
        <v>26409926</v>
      </c>
      <c r="I414" s="360"/>
      <c r="J414" s="361"/>
      <c r="K414" s="362"/>
      <c r="L414" s="362"/>
      <c r="M414" s="361">
        <v>773760</v>
      </c>
      <c r="N414" s="361">
        <v>1692600</v>
      </c>
      <c r="O414" s="361">
        <v>145080</v>
      </c>
      <c r="P414" s="361">
        <v>290160</v>
      </c>
      <c r="Q414" s="361">
        <v>96720</v>
      </c>
      <c r="R414" s="361">
        <v>96720</v>
      </c>
      <c r="S414" s="361">
        <v>193440</v>
      </c>
      <c r="T414" s="363">
        <v>1030000</v>
      </c>
      <c r="U414" s="364">
        <f t="shared" si="14"/>
        <v>30728406</v>
      </c>
      <c r="V414" s="362"/>
      <c r="W414" s="365" t="str">
        <f>+VLOOKUP($B414,[2]Time_S4!$B:$G,6,0)</f>
        <v>Trung tâm Đảm bảo chất lượng</v>
      </c>
      <c r="X414" s="365" t="str">
        <f>IF(W414="Phòng Kinh doanh","Trung tâm Kinh doanh - TCT CNC",+VLOOKUP($B414,[2]Time_S4!$B:$G,5,0))</f>
        <v>Khối 1 - TCT CNC</v>
      </c>
      <c r="Y414" s="366"/>
      <c r="Z414" s="366"/>
    </row>
    <row r="415" spans="1:26" ht="15.75" hidden="1">
      <c r="A415" s="367">
        <f>SUBTOTAL(3,$B$15:B415)</f>
        <v>2</v>
      </c>
      <c r="B415" s="356" t="s">
        <v>1181</v>
      </c>
      <c r="C415" s="356" t="s">
        <v>1182</v>
      </c>
      <c r="D415" s="356" t="s">
        <v>407</v>
      </c>
      <c r="E415" s="357">
        <v>21</v>
      </c>
      <c r="F415" s="357">
        <v>21</v>
      </c>
      <c r="G415" s="358">
        <v>20344177</v>
      </c>
      <c r="H415" s="359">
        <f t="shared" si="13"/>
        <v>19427569</v>
      </c>
      <c r="I415" s="360"/>
      <c r="J415" s="361"/>
      <c r="K415" s="362"/>
      <c r="L415" s="362"/>
      <c r="M415" s="361">
        <v>698368</v>
      </c>
      <c r="N415" s="361">
        <v>1527680</v>
      </c>
      <c r="O415" s="361">
        <v>130944</v>
      </c>
      <c r="P415" s="361">
        <v>261888</v>
      </c>
      <c r="Q415" s="361">
        <v>87296</v>
      </c>
      <c r="R415" s="361">
        <v>87296</v>
      </c>
      <c r="S415" s="361">
        <v>174592</v>
      </c>
      <c r="T415" s="363">
        <v>1047000</v>
      </c>
      <c r="U415" s="364">
        <f t="shared" si="14"/>
        <v>23442633</v>
      </c>
      <c r="V415" s="362"/>
      <c r="W415" s="365" t="str">
        <f>+VLOOKUP($B415,[2]Time_S4!$B:$G,6,0)</f>
        <v>Phòng Quản lý tiêu chuẩn và quy trình</v>
      </c>
      <c r="X415" s="365" t="str">
        <f>IF(W415="Phòng Kinh doanh","Trung tâm Kinh doanh - TCT CNC",+VLOOKUP($B415,[2]Time_S4!$B:$G,5,0))</f>
        <v>Trung tâm Quản lý chất lượng - TCT CNC</v>
      </c>
      <c r="Y415" s="366"/>
      <c r="Z415" s="366"/>
    </row>
    <row r="416" spans="1:26" ht="15.75" hidden="1">
      <c r="A416" s="367">
        <f>SUBTOTAL(3,$B$15:B416)</f>
        <v>2</v>
      </c>
      <c r="B416" s="356" t="s">
        <v>1183</v>
      </c>
      <c r="C416" s="356" t="s">
        <v>1184</v>
      </c>
      <c r="D416" s="356" t="s">
        <v>407</v>
      </c>
      <c r="E416" s="357">
        <v>21</v>
      </c>
      <c r="F416" s="357">
        <v>21</v>
      </c>
      <c r="G416" s="358">
        <v>42163248</v>
      </c>
      <c r="H416" s="359">
        <f t="shared" si="13"/>
        <v>40981032</v>
      </c>
      <c r="I416" s="360"/>
      <c r="J416" s="361"/>
      <c r="K416" s="362"/>
      <c r="L416" s="362"/>
      <c r="M416" s="361">
        <v>900736</v>
      </c>
      <c r="N416" s="361">
        <v>1970360</v>
      </c>
      <c r="O416" s="361">
        <v>168888</v>
      </c>
      <c r="P416" s="361">
        <v>337776</v>
      </c>
      <c r="Q416" s="361">
        <v>112592</v>
      </c>
      <c r="R416" s="361">
        <v>112592</v>
      </c>
      <c r="S416" s="361">
        <v>225184</v>
      </c>
      <c r="T416" s="363">
        <v>1030000</v>
      </c>
      <c r="U416" s="364">
        <f t="shared" si="14"/>
        <v>45839160</v>
      </c>
      <c r="V416" s="362"/>
      <c r="W416" s="365" t="str">
        <f>+VLOOKUP($B416,[2]Time_S4!$B:$G,6,0)</f>
        <v>Trung tâm Thông tin Quân sự</v>
      </c>
      <c r="X416" s="365" t="str">
        <f>IF(W416="Phòng Kinh doanh","Trung tâm Kinh doanh - TCT CNC",+VLOOKUP($B416,[2]Time_S4!$B:$G,5,0))</f>
        <v>Khối 1 - TCT CNC</v>
      </c>
      <c r="Y416" s="366"/>
      <c r="Z416" s="366"/>
    </row>
    <row r="417" spans="1:26" ht="15.75" hidden="1">
      <c r="A417" s="367">
        <f>SUBTOTAL(3,$B$15:B417)</f>
        <v>2</v>
      </c>
      <c r="B417" s="356" t="s">
        <v>1185</v>
      </c>
      <c r="C417" s="356" t="s">
        <v>845</v>
      </c>
      <c r="D417" s="356" t="s">
        <v>407</v>
      </c>
      <c r="E417" s="357">
        <v>21</v>
      </c>
      <c r="F417" s="357">
        <v>21</v>
      </c>
      <c r="G417" s="358">
        <v>46042106</v>
      </c>
      <c r="H417" s="359">
        <f t="shared" si="13"/>
        <v>44797394</v>
      </c>
      <c r="I417" s="360"/>
      <c r="J417" s="361"/>
      <c r="K417" s="362"/>
      <c r="L417" s="362"/>
      <c r="M417" s="361">
        <v>948352</v>
      </c>
      <c r="N417" s="361">
        <v>2074520</v>
      </c>
      <c r="O417" s="361">
        <v>177816</v>
      </c>
      <c r="P417" s="361">
        <v>355632</v>
      </c>
      <c r="Q417" s="361">
        <v>118544</v>
      </c>
      <c r="R417" s="361">
        <v>118544</v>
      </c>
      <c r="S417" s="361">
        <v>237088</v>
      </c>
      <c r="T417" s="363">
        <v>1030000</v>
      </c>
      <c r="U417" s="364">
        <f t="shared" si="14"/>
        <v>49857890</v>
      </c>
      <c r="V417" s="362"/>
      <c r="W417" s="365" t="str">
        <f>+VLOOKUP($B417,[2]Time_S4!$B:$G,6,0)</f>
        <v>Trung tâm Phát triển nền tảng thanh toán</v>
      </c>
      <c r="X417" s="365" t="str">
        <f>IF(W417="Phòng Kinh doanh","Trung tâm Kinh doanh - TCT CNC",+VLOOKUP($B417,[2]Time_S4!$B:$G,5,0))</f>
        <v>Khối 2 - TCT CNC</v>
      </c>
      <c r="Y417" s="366"/>
      <c r="Z417" s="366"/>
    </row>
    <row r="418" spans="1:26" ht="15.75" hidden="1">
      <c r="A418" s="367">
        <f>SUBTOTAL(3,$B$15:B418)</f>
        <v>2</v>
      </c>
      <c r="B418" s="356" t="s">
        <v>1186</v>
      </c>
      <c r="C418" s="356" t="s">
        <v>1187</v>
      </c>
      <c r="D418" s="356" t="s">
        <v>410</v>
      </c>
      <c r="E418" s="357">
        <v>21</v>
      </c>
      <c r="F418" s="357">
        <v>21</v>
      </c>
      <c r="G418" s="358">
        <v>65791819</v>
      </c>
      <c r="H418" s="359">
        <f t="shared" si="13"/>
        <v>64210166</v>
      </c>
      <c r="I418" s="360"/>
      <c r="J418" s="361"/>
      <c r="K418" s="362"/>
      <c r="L418" s="362"/>
      <c r="M418" s="361">
        <v>1581653</v>
      </c>
      <c r="N418" s="361">
        <v>3459866</v>
      </c>
      <c r="O418" s="361">
        <v>0</v>
      </c>
      <c r="P418" s="361">
        <v>0</v>
      </c>
      <c r="Q418" s="361">
        <v>0</v>
      </c>
      <c r="R418" s="361">
        <v>0</v>
      </c>
      <c r="S418" s="361">
        <v>395413</v>
      </c>
      <c r="T418" s="363">
        <v>1130000</v>
      </c>
      <c r="U418" s="364">
        <f t="shared" si="14"/>
        <v>70777098</v>
      </c>
      <c r="V418" s="362"/>
      <c r="W418" s="365" t="str">
        <f>+VLOOKUP($B418,[2]Time_S4!$B:$G,6,0)</f>
        <v>Trung tâm Khí cụ bay</v>
      </c>
      <c r="X418" s="365" t="str">
        <f>IF(W418="Phòng Kinh doanh","Trung tâm Kinh doanh - TCT CNC",+VLOOKUP($B418,[2]Time_S4!$B:$G,5,0))</f>
        <v>Khối 1 - TCT CNC</v>
      </c>
      <c r="Y418" s="366"/>
      <c r="Z418" s="366"/>
    </row>
    <row r="419" spans="1:26" ht="15.75" hidden="1">
      <c r="A419" s="367">
        <f>SUBTOTAL(3,$B$15:B419)</f>
        <v>2</v>
      </c>
      <c r="B419" s="356" t="s">
        <v>1188</v>
      </c>
      <c r="C419" s="356" t="s">
        <v>1189</v>
      </c>
      <c r="D419" s="356" t="s">
        <v>407</v>
      </c>
      <c r="E419" s="357">
        <v>21</v>
      </c>
      <c r="F419" s="357">
        <v>21</v>
      </c>
      <c r="G419" s="358">
        <v>35126632</v>
      </c>
      <c r="H419" s="359">
        <f t="shared" si="13"/>
        <v>34001704</v>
      </c>
      <c r="I419" s="360"/>
      <c r="J419" s="361"/>
      <c r="K419" s="362"/>
      <c r="L419" s="362"/>
      <c r="M419" s="361">
        <v>857088</v>
      </c>
      <c r="N419" s="361">
        <v>1874880</v>
      </c>
      <c r="O419" s="361">
        <v>160704</v>
      </c>
      <c r="P419" s="361">
        <v>321408</v>
      </c>
      <c r="Q419" s="361">
        <v>107136</v>
      </c>
      <c r="R419" s="361">
        <v>107136</v>
      </c>
      <c r="S419" s="361">
        <v>214272</v>
      </c>
      <c r="T419" s="363">
        <v>1147000</v>
      </c>
      <c r="U419" s="364">
        <f t="shared" si="14"/>
        <v>38791328</v>
      </c>
      <c r="V419" s="362"/>
      <c r="W419" s="365" t="str">
        <f>+VLOOKUP($B419,[2]Time_S4!$B:$G,6,0)</f>
        <v>Trung tâm Khí cụ bay</v>
      </c>
      <c r="X419" s="365" t="str">
        <f>IF(W419="Phòng Kinh doanh","Trung tâm Kinh doanh - TCT CNC",+VLOOKUP($B419,[2]Time_S4!$B:$G,5,0))</f>
        <v>Khối 1 - TCT CNC</v>
      </c>
      <c r="Y419" s="366"/>
      <c r="Z419" s="366"/>
    </row>
    <row r="420" spans="1:26" ht="15.75" hidden="1">
      <c r="A420" s="367">
        <f>SUBTOTAL(3,$B$15:B420)</f>
        <v>2</v>
      </c>
      <c r="B420" s="356" t="s">
        <v>1190</v>
      </c>
      <c r="C420" s="356" t="s">
        <v>1191</v>
      </c>
      <c r="D420" s="356" t="s">
        <v>407</v>
      </c>
      <c r="E420" s="357">
        <v>21</v>
      </c>
      <c r="F420" s="357">
        <v>6</v>
      </c>
      <c r="G420" s="358">
        <v>11092526</v>
      </c>
      <c r="H420" s="359">
        <f t="shared" si="13"/>
        <v>11092526</v>
      </c>
      <c r="I420" s="360"/>
      <c r="J420" s="361"/>
      <c r="K420" s="362"/>
      <c r="L420" s="362"/>
      <c r="M420" s="361">
        <v>0</v>
      </c>
      <c r="N420" s="361">
        <v>0</v>
      </c>
      <c r="O420" s="361">
        <v>0</v>
      </c>
      <c r="P420" s="361">
        <v>0</v>
      </c>
      <c r="Q420" s="361">
        <v>0</v>
      </c>
      <c r="R420" s="361">
        <v>0</v>
      </c>
      <c r="S420" s="361">
        <v>0</v>
      </c>
      <c r="T420" s="363">
        <v>294285</v>
      </c>
      <c r="U420" s="364">
        <f t="shared" si="14"/>
        <v>11386811</v>
      </c>
      <c r="V420" s="362"/>
      <c r="W420" s="365" t="str">
        <f>+VLOOKUP($B420,[2]Time_S4!$B:$G,6,0)</f>
        <v>Trung tâm Thông tin Quân sự</v>
      </c>
      <c r="X420" s="365" t="str">
        <f>IF(W420="Phòng Kinh doanh","Trung tâm Kinh doanh - TCT CNC",+VLOOKUP($B420,[2]Time_S4!$B:$G,5,0))</f>
        <v>Khối 1 - TCT CNC</v>
      </c>
      <c r="Y420" s="366"/>
      <c r="Z420" s="366"/>
    </row>
    <row r="421" spans="1:26" ht="15.75" hidden="1">
      <c r="A421" s="367">
        <f>SUBTOTAL(3,$B$15:B421)</f>
        <v>2</v>
      </c>
      <c r="B421" s="356" t="s">
        <v>1192</v>
      </c>
      <c r="C421" s="356" t="s">
        <v>1193</v>
      </c>
      <c r="D421" s="356" t="s">
        <v>407</v>
      </c>
      <c r="E421" s="357">
        <v>21</v>
      </c>
      <c r="F421" s="357">
        <v>21</v>
      </c>
      <c r="G421" s="358">
        <v>31105615</v>
      </c>
      <c r="H421" s="359">
        <f t="shared" si="13"/>
        <v>30037975</v>
      </c>
      <c r="I421" s="360"/>
      <c r="J421" s="361"/>
      <c r="K421" s="362"/>
      <c r="L421" s="362"/>
      <c r="M421" s="361">
        <v>813440</v>
      </c>
      <c r="N421" s="361">
        <v>1779400</v>
      </c>
      <c r="O421" s="361">
        <v>152520</v>
      </c>
      <c r="P421" s="361">
        <v>305040</v>
      </c>
      <c r="Q421" s="361">
        <v>101680</v>
      </c>
      <c r="R421" s="361">
        <v>101680</v>
      </c>
      <c r="S421" s="361">
        <v>203360</v>
      </c>
      <c r="T421" s="363">
        <v>1381000</v>
      </c>
      <c r="U421" s="364">
        <f t="shared" si="14"/>
        <v>34876095</v>
      </c>
      <c r="V421" s="362"/>
      <c r="W421" s="365" t="str">
        <f>+VLOOKUP($B421,[2]Time_S4!$B:$G,6,0)</f>
        <v>Trung tâm Công nghệ Cơ khí - Tự động hóa</v>
      </c>
      <c r="X421" s="365" t="str">
        <f>IF(W421="Phòng Kinh doanh","Trung tâm Kinh doanh - TCT CNC",+VLOOKUP($B421,[2]Time_S4!$B:$G,5,0))</f>
        <v>Khối 1 - TCT CNC</v>
      </c>
      <c r="Y421" s="366"/>
      <c r="Z421" s="366"/>
    </row>
    <row r="422" spans="1:26" ht="15.75" hidden="1">
      <c r="A422" s="367">
        <f>SUBTOTAL(3,$B$15:B422)</f>
        <v>2</v>
      </c>
      <c r="B422" s="356" t="s">
        <v>1194</v>
      </c>
      <c r="C422" s="356" t="s">
        <v>1195</v>
      </c>
      <c r="D422" s="356" t="s">
        <v>407</v>
      </c>
      <c r="E422" s="357">
        <v>21</v>
      </c>
      <c r="F422" s="357">
        <v>21</v>
      </c>
      <c r="G422" s="358">
        <v>24021572</v>
      </c>
      <c r="H422" s="359">
        <f t="shared" si="13"/>
        <v>23058092</v>
      </c>
      <c r="I422" s="360"/>
      <c r="J422" s="361"/>
      <c r="K422" s="362"/>
      <c r="L422" s="362"/>
      <c r="M422" s="361">
        <v>734080</v>
      </c>
      <c r="N422" s="361">
        <v>1605800</v>
      </c>
      <c r="O422" s="361">
        <v>137640</v>
      </c>
      <c r="P422" s="361">
        <v>275280</v>
      </c>
      <c r="Q422" s="361">
        <v>91760</v>
      </c>
      <c r="R422" s="361">
        <v>91760</v>
      </c>
      <c r="S422" s="361">
        <v>183520</v>
      </c>
      <c r="T422" s="363">
        <v>1047000</v>
      </c>
      <c r="U422" s="364">
        <f t="shared" si="14"/>
        <v>27224932</v>
      </c>
      <c r="V422" s="362"/>
      <c r="W422" s="365" t="str">
        <f>+VLOOKUP($B422,[2]Time_S4!$B:$G,6,0)</f>
        <v>Phòng Nhân sự</v>
      </c>
      <c r="X422" s="365" t="str">
        <f>IF(W422="Phòng Kinh doanh","Trung tâm Kinh doanh - TCT CNC",+VLOOKUP($B422,[2]Time_S4!$B:$G,5,0))</f>
        <v>Khối cơ quan - TCT CNC</v>
      </c>
      <c r="Y422" s="366"/>
      <c r="Z422" s="366"/>
    </row>
    <row r="423" spans="1:26" ht="15.75" hidden="1">
      <c r="A423" s="367">
        <f>SUBTOTAL(3,$B$15:B423)</f>
        <v>2</v>
      </c>
      <c r="B423" s="356" t="s">
        <v>1196</v>
      </c>
      <c r="C423" s="356" t="s">
        <v>1197</v>
      </c>
      <c r="D423" s="356" t="s">
        <v>407</v>
      </c>
      <c r="E423" s="357">
        <v>21</v>
      </c>
      <c r="F423" s="357">
        <v>21</v>
      </c>
      <c r="G423" s="358">
        <v>20131774</v>
      </c>
      <c r="H423" s="359">
        <f t="shared" si="13"/>
        <v>19215166</v>
      </c>
      <c r="I423" s="360"/>
      <c r="J423" s="361"/>
      <c r="K423" s="362"/>
      <c r="L423" s="362"/>
      <c r="M423" s="361">
        <v>698368</v>
      </c>
      <c r="N423" s="361">
        <v>1527680</v>
      </c>
      <c r="O423" s="361">
        <v>130944</v>
      </c>
      <c r="P423" s="361">
        <v>261888</v>
      </c>
      <c r="Q423" s="361">
        <v>87296</v>
      </c>
      <c r="R423" s="361">
        <v>87296</v>
      </c>
      <c r="S423" s="361">
        <v>174592</v>
      </c>
      <c r="T423" s="363">
        <v>1047000</v>
      </c>
      <c r="U423" s="364">
        <f t="shared" si="14"/>
        <v>23230230</v>
      </c>
      <c r="V423" s="362"/>
      <c r="W423" s="365" t="str">
        <f>+VLOOKUP($B423,[2]Time_S4!$B:$G,6,0)</f>
        <v>Phòng Đầu tư</v>
      </c>
      <c r="X423" s="365" t="str">
        <f>IF(W423="Phòng Kinh doanh","Trung tâm Kinh doanh - TCT CNC",+VLOOKUP($B423,[2]Time_S4!$B:$G,5,0))</f>
        <v>Trung tâm Mua sắm - TCT CNC</v>
      </c>
      <c r="Y423" s="366"/>
      <c r="Z423" s="366"/>
    </row>
    <row r="424" spans="1:26" ht="15.75" hidden="1">
      <c r="A424" s="367">
        <f>SUBTOTAL(3,$B$15:B424)</f>
        <v>2</v>
      </c>
      <c r="B424" s="356" t="s">
        <v>1198</v>
      </c>
      <c r="C424" s="356" t="s">
        <v>1199</v>
      </c>
      <c r="D424" s="356" t="s">
        <v>407</v>
      </c>
      <c r="E424" s="357">
        <v>21</v>
      </c>
      <c r="F424" s="357">
        <v>21</v>
      </c>
      <c r="G424" s="358">
        <v>25852064</v>
      </c>
      <c r="H424" s="359">
        <f t="shared" si="13"/>
        <v>24836504</v>
      </c>
      <c r="I424" s="360"/>
      <c r="J424" s="361"/>
      <c r="K424" s="362"/>
      <c r="L424" s="362"/>
      <c r="M424" s="361">
        <v>773760</v>
      </c>
      <c r="N424" s="361">
        <v>1692600</v>
      </c>
      <c r="O424" s="361">
        <v>145080</v>
      </c>
      <c r="P424" s="361">
        <v>290160</v>
      </c>
      <c r="Q424" s="361">
        <v>96720</v>
      </c>
      <c r="R424" s="361">
        <v>96720</v>
      </c>
      <c r="S424" s="361">
        <v>193440</v>
      </c>
      <c r="T424" s="363">
        <v>930000</v>
      </c>
      <c r="U424" s="364">
        <f t="shared" si="14"/>
        <v>29054984</v>
      </c>
      <c r="V424" s="362"/>
      <c r="W424" s="365" t="str">
        <f>+VLOOKUP($B424,[2]Time_S4!$B:$G,6,0)</f>
        <v>Trung tâm dịch vụ sau bán hàng</v>
      </c>
      <c r="X424" s="365" t="str">
        <f>IF(W424="Phòng Kinh doanh","Trung tâm Kinh doanh - TCT CNC",+VLOOKUP($B424,[2]Time_S4!$B:$G,5,0))</f>
        <v>Khối 1 - TCT CNC</v>
      </c>
      <c r="Y424" s="366"/>
      <c r="Z424" s="366"/>
    </row>
    <row r="425" spans="1:26" ht="15.75" hidden="1">
      <c r="A425" s="367">
        <f>SUBTOTAL(3,$B$15:B425)</f>
        <v>2</v>
      </c>
      <c r="B425" s="356" t="s">
        <v>1200</v>
      </c>
      <c r="C425" s="356" t="s">
        <v>1201</v>
      </c>
      <c r="D425" s="356" t="s">
        <v>407</v>
      </c>
      <c r="E425" s="357">
        <v>21</v>
      </c>
      <c r="F425" s="357">
        <v>21</v>
      </c>
      <c r="G425" s="358">
        <v>59628542</v>
      </c>
      <c r="H425" s="359">
        <f t="shared" si="13"/>
        <v>58321334</v>
      </c>
      <c r="I425" s="360"/>
      <c r="J425" s="361"/>
      <c r="K425" s="362"/>
      <c r="L425" s="362"/>
      <c r="M425" s="361">
        <v>995968</v>
      </c>
      <c r="N425" s="361">
        <v>2178680</v>
      </c>
      <c r="O425" s="361">
        <v>186744</v>
      </c>
      <c r="P425" s="361">
        <v>373488</v>
      </c>
      <c r="Q425" s="361">
        <v>124496</v>
      </c>
      <c r="R425" s="361">
        <v>124496</v>
      </c>
      <c r="S425" s="361">
        <v>248992</v>
      </c>
      <c r="T425" s="363">
        <v>1330000</v>
      </c>
      <c r="U425" s="364">
        <f t="shared" si="14"/>
        <v>63884198</v>
      </c>
      <c r="V425" s="362"/>
      <c r="W425" s="365" t="str">
        <f>+VLOOKUP($B425,[2]Time_S4!$B:$G,6,0)</f>
        <v>Trung tâm Nghiên cứu Công nghệ chuyển mạch</v>
      </c>
      <c r="X425" s="365" t="str">
        <f>IF(W425="Phòng Kinh doanh","Trung tâm Kinh doanh - TCT CNC",+VLOOKUP($B425,[2]Time_S4!$B:$G,5,0))</f>
        <v>Khối 2 - TCT CNC</v>
      </c>
      <c r="Y425" s="366"/>
      <c r="Z425" s="366"/>
    </row>
    <row r="426" spans="1:26" ht="15.75" hidden="1">
      <c r="A426" s="367">
        <f>SUBTOTAL(3,$B$15:B426)</f>
        <v>2</v>
      </c>
      <c r="B426" s="356" t="s">
        <v>1202</v>
      </c>
      <c r="C426" s="356" t="s">
        <v>1203</v>
      </c>
      <c r="D426" s="356" t="s">
        <v>407</v>
      </c>
      <c r="E426" s="357">
        <v>21</v>
      </c>
      <c r="F426" s="357">
        <v>21</v>
      </c>
      <c r="G426" s="358">
        <v>44272690</v>
      </c>
      <c r="H426" s="359">
        <f t="shared" si="13"/>
        <v>43090474</v>
      </c>
      <c r="I426" s="360"/>
      <c r="J426" s="361"/>
      <c r="K426" s="362"/>
      <c r="L426" s="362"/>
      <c r="M426" s="361">
        <v>900736</v>
      </c>
      <c r="N426" s="361">
        <v>1970360</v>
      </c>
      <c r="O426" s="361">
        <v>168888</v>
      </c>
      <c r="P426" s="361">
        <v>337776</v>
      </c>
      <c r="Q426" s="361">
        <v>112592</v>
      </c>
      <c r="R426" s="361">
        <v>112592</v>
      </c>
      <c r="S426" s="361">
        <v>225184</v>
      </c>
      <c r="T426" s="363">
        <v>1030000</v>
      </c>
      <c r="U426" s="364">
        <f t="shared" si="14"/>
        <v>47948602</v>
      </c>
      <c r="V426" s="362"/>
      <c r="W426" s="365" t="str">
        <f>+VLOOKUP($B426,[2]Time_S4!$B:$G,6,0)</f>
        <v>Trung tâm Nghiên cứu Công nghệ chuyển mạch</v>
      </c>
      <c r="X426" s="365" t="str">
        <f>IF(W426="Phòng Kinh doanh","Trung tâm Kinh doanh - TCT CNC",+VLOOKUP($B426,[2]Time_S4!$B:$G,5,0))</f>
        <v>Khối 2 - TCT CNC</v>
      </c>
      <c r="Y426" s="366"/>
      <c r="Z426" s="366"/>
    </row>
    <row r="427" spans="1:26" ht="15.75" hidden="1">
      <c r="A427" s="367">
        <f>SUBTOTAL(3,$B$15:B427)</f>
        <v>2</v>
      </c>
      <c r="B427" s="356" t="s">
        <v>1204</v>
      </c>
      <c r="C427" s="356" t="s">
        <v>1205</v>
      </c>
      <c r="D427" s="356" t="s">
        <v>407</v>
      </c>
      <c r="E427" s="357">
        <v>21</v>
      </c>
      <c r="F427" s="357">
        <v>21</v>
      </c>
      <c r="G427" s="358">
        <v>67253290</v>
      </c>
      <c r="H427" s="359">
        <f t="shared" si="13"/>
        <v>65878378</v>
      </c>
      <c r="I427" s="360"/>
      <c r="J427" s="361"/>
      <c r="K427" s="362"/>
      <c r="L427" s="362"/>
      <c r="M427" s="361">
        <v>1047552</v>
      </c>
      <c r="N427" s="361">
        <v>2291520</v>
      </c>
      <c r="O427" s="361">
        <v>196416</v>
      </c>
      <c r="P427" s="361">
        <v>392832</v>
      </c>
      <c r="Q427" s="361">
        <v>130944</v>
      </c>
      <c r="R427" s="361">
        <v>130944</v>
      </c>
      <c r="S427" s="361">
        <v>261888</v>
      </c>
      <c r="T427" s="363">
        <v>1230000</v>
      </c>
      <c r="U427" s="364">
        <f t="shared" si="14"/>
        <v>71560474</v>
      </c>
      <c r="V427" s="362"/>
      <c r="W427" s="365" t="str">
        <f>+VLOOKUP($B427,[2]Time_S4!$B:$G,6,0)</f>
        <v>Trung tâm Phát triển nền tảng thanh toán</v>
      </c>
      <c r="X427" s="365" t="str">
        <f>IF(W427="Phòng Kinh doanh","Trung tâm Kinh doanh - TCT CNC",+VLOOKUP($B427,[2]Time_S4!$B:$G,5,0))</f>
        <v>Khối 2 - TCT CNC</v>
      </c>
      <c r="Y427" s="366"/>
      <c r="Z427" s="366"/>
    </row>
    <row r="428" spans="1:26" ht="15.75" hidden="1">
      <c r="A428" s="367">
        <f>SUBTOTAL(3,$B$15:B428)</f>
        <v>2</v>
      </c>
      <c r="B428" s="356" t="s">
        <v>1206</v>
      </c>
      <c r="C428" s="356" t="s">
        <v>1207</v>
      </c>
      <c r="D428" s="356" t="s">
        <v>407</v>
      </c>
      <c r="E428" s="357">
        <v>21</v>
      </c>
      <c r="F428" s="357">
        <v>21</v>
      </c>
      <c r="G428" s="358">
        <v>20739812</v>
      </c>
      <c r="H428" s="359">
        <f t="shared" si="13"/>
        <v>19823204</v>
      </c>
      <c r="I428" s="360"/>
      <c r="J428" s="361"/>
      <c r="K428" s="362"/>
      <c r="L428" s="362"/>
      <c r="M428" s="361">
        <v>698368</v>
      </c>
      <c r="N428" s="361">
        <v>1527680</v>
      </c>
      <c r="O428" s="361">
        <v>130944</v>
      </c>
      <c r="P428" s="361">
        <v>261888</v>
      </c>
      <c r="Q428" s="361">
        <v>87296</v>
      </c>
      <c r="R428" s="361">
        <v>87296</v>
      </c>
      <c r="S428" s="361">
        <v>174592</v>
      </c>
      <c r="T428" s="363">
        <v>1047000</v>
      </c>
      <c r="U428" s="364">
        <f t="shared" si="14"/>
        <v>23838268</v>
      </c>
      <c r="V428" s="362"/>
      <c r="W428" s="365" t="str">
        <f>+VLOOKUP($B428,[2]Time_S4!$B:$G,6,0)</f>
        <v>Phòng Tài chính</v>
      </c>
      <c r="X428" s="365" t="str">
        <f>IF(W428="Phòng Kinh doanh","Trung tâm Kinh doanh - TCT CNC",+VLOOKUP($B428,[2]Time_S4!$B:$G,5,0))</f>
        <v>Khối cơ quan - TCT CNC</v>
      </c>
      <c r="Y428" s="366"/>
      <c r="Z428" s="366"/>
    </row>
    <row r="429" spans="1:26" ht="15.75" hidden="1">
      <c r="A429" s="367">
        <f>SUBTOTAL(3,$B$15:B429)</f>
        <v>2</v>
      </c>
      <c r="B429" s="356" t="s">
        <v>1208</v>
      </c>
      <c r="C429" s="356" t="s">
        <v>1209</v>
      </c>
      <c r="D429" s="356" t="s">
        <v>407</v>
      </c>
      <c r="E429" s="357">
        <v>21</v>
      </c>
      <c r="F429" s="357">
        <v>21</v>
      </c>
      <c r="G429" s="358">
        <v>52304747</v>
      </c>
      <c r="H429" s="359">
        <f t="shared" si="13"/>
        <v>51060035</v>
      </c>
      <c r="I429" s="360"/>
      <c r="J429" s="361"/>
      <c r="K429" s="362"/>
      <c r="L429" s="362"/>
      <c r="M429" s="361">
        <v>948352</v>
      </c>
      <c r="N429" s="361">
        <v>2074520</v>
      </c>
      <c r="O429" s="361">
        <v>177816</v>
      </c>
      <c r="P429" s="361">
        <v>355632</v>
      </c>
      <c r="Q429" s="361">
        <v>118544</v>
      </c>
      <c r="R429" s="361">
        <v>118544</v>
      </c>
      <c r="S429" s="361">
        <v>237088</v>
      </c>
      <c r="T429" s="363">
        <v>1030000</v>
      </c>
      <c r="U429" s="364">
        <f t="shared" si="14"/>
        <v>56120531</v>
      </c>
      <c r="V429" s="362"/>
      <c r="W429" s="365" t="str">
        <f>+VLOOKUP($B429,[2]Time_S4!$B:$G,6,0)</f>
        <v>Trung tâm Nền tảng IOT</v>
      </c>
      <c r="X429" s="365" t="str">
        <f>IF(W429="Phòng Kinh doanh","Trung tâm Kinh doanh - TCT CNC",+VLOOKUP($B429,[2]Time_S4!$B:$G,5,0))</f>
        <v>Khối 3 - TCT CNC</v>
      </c>
      <c r="Y429" s="366"/>
      <c r="Z429" s="366"/>
    </row>
    <row r="430" spans="1:26" ht="15.75" hidden="1">
      <c r="A430" s="367">
        <f>SUBTOTAL(3,$B$15:B430)</f>
        <v>2</v>
      </c>
      <c r="B430" s="356" t="s">
        <v>1210</v>
      </c>
      <c r="C430" s="356" t="s">
        <v>1211</v>
      </c>
      <c r="D430" s="356" t="s">
        <v>407</v>
      </c>
      <c r="E430" s="357">
        <v>21</v>
      </c>
      <c r="F430" s="357">
        <v>21</v>
      </c>
      <c r="G430" s="358">
        <v>52663006</v>
      </c>
      <c r="H430" s="359">
        <f t="shared" si="13"/>
        <v>51418294</v>
      </c>
      <c r="I430" s="360"/>
      <c r="J430" s="361"/>
      <c r="K430" s="362"/>
      <c r="L430" s="362"/>
      <c r="M430" s="361">
        <v>948352</v>
      </c>
      <c r="N430" s="361">
        <v>2074520</v>
      </c>
      <c r="O430" s="361">
        <v>177816</v>
      </c>
      <c r="P430" s="361">
        <v>355632</v>
      </c>
      <c r="Q430" s="361">
        <v>118544</v>
      </c>
      <c r="R430" s="361">
        <v>118544</v>
      </c>
      <c r="S430" s="361">
        <v>237088</v>
      </c>
      <c r="T430" s="363">
        <v>1230000</v>
      </c>
      <c r="U430" s="364">
        <f t="shared" si="14"/>
        <v>56678790</v>
      </c>
      <c r="V430" s="362"/>
      <c r="W430" s="365" t="str">
        <f>+VLOOKUP($B430,[2]Time_S4!$B:$G,6,0)</f>
        <v>Trung tâm Camera</v>
      </c>
      <c r="X430" s="365" t="str">
        <f>IF(W430="Phòng Kinh doanh","Trung tâm Kinh doanh - TCT CNC",+VLOOKUP($B430,[2]Time_S4!$B:$G,5,0))</f>
        <v>Khối 3 - TCT CNC</v>
      </c>
      <c r="Y430" s="366"/>
      <c r="Z430" s="366"/>
    </row>
    <row r="431" spans="1:26" ht="15.75" hidden="1">
      <c r="A431" s="367">
        <f>SUBTOTAL(3,$B$15:B431)</f>
        <v>2</v>
      </c>
      <c r="B431" s="356" t="s">
        <v>1212</v>
      </c>
      <c r="C431" s="356" t="s">
        <v>1213</v>
      </c>
      <c r="D431" s="356" t="s">
        <v>407</v>
      </c>
      <c r="E431" s="357">
        <v>21</v>
      </c>
      <c r="F431" s="357">
        <v>21</v>
      </c>
      <c r="G431" s="358">
        <v>47304747</v>
      </c>
      <c r="H431" s="359">
        <f t="shared" si="13"/>
        <v>46060035</v>
      </c>
      <c r="I431" s="360"/>
      <c r="J431" s="361"/>
      <c r="K431" s="362"/>
      <c r="L431" s="362"/>
      <c r="M431" s="361">
        <v>948352</v>
      </c>
      <c r="N431" s="361">
        <v>2074520</v>
      </c>
      <c r="O431" s="361">
        <v>177816</v>
      </c>
      <c r="P431" s="361">
        <v>355632</v>
      </c>
      <c r="Q431" s="361">
        <v>118544</v>
      </c>
      <c r="R431" s="361">
        <v>118544</v>
      </c>
      <c r="S431" s="361">
        <v>237088</v>
      </c>
      <c r="T431" s="363">
        <v>1030000</v>
      </c>
      <c r="U431" s="364">
        <f t="shared" si="14"/>
        <v>51120531</v>
      </c>
      <c r="V431" s="362"/>
      <c r="W431" s="365" t="str">
        <f>+VLOOKUP($B431,[2]Time_S4!$B:$G,6,0)</f>
        <v>Trung tâm Chỉ huy điều khiển</v>
      </c>
      <c r="X431" s="365" t="str">
        <f>IF(W431="Phòng Kinh doanh","Trung tâm Kinh doanh - TCT CNC",+VLOOKUP($B431,[2]Time_S4!$B:$G,5,0))</f>
        <v>Khối 1 - TCT CNC</v>
      </c>
      <c r="Y431" s="366"/>
      <c r="Z431" s="366"/>
    </row>
    <row r="432" spans="1:26" ht="15.75" hidden="1">
      <c r="A432" s="367">
        <f>SUBTOTAL(3,$B$15:B432)</f>
        <v>2</v>
      </c>
      <c r="B432" s="356" t="s">
        <v>1214</v>
      </c>
      <c r="C432" s="356" t="s">
        <v>1215</v>
      </c>
      <c r="D432" s="356" t="s">
        <v>407</v>
      </c>
      <c r="E432" s="357">
        <v>21</v>
      </c>
      <c r="F432" s="357">
        <v>21</v>
      </c>
      <c r="G432" s="358">
        <v>25852064</v>
      </c>
      <c r="H432" s="359">
        <f t="shared" si="13"/>
        <v>24836504</v>
      </c>
      <c r="I432" s="360"/>
      <c r="J432" s="361"/>
      <c r="K432" s="362"/>
      <c r="L432" s="362"/>
      <c r="M432" s="361">
        <v>773760</v>
      </c>
      <c r="N432" s="361">
        <v>1692600</v>
      </c>
      <c r="O432" s="361">
        <v>145080</v>
      </c>
      <c r="P432" s="361">
        <v>290160</v>
      </c>
      <c r="Q432" s="361">
        <v>96720</v>
      </c>
      <c r="R432" s="361">
        <v>96720</v>
      </c>
      <c r="S432" s="361">
        <v>193440</v>
      </c>
      <c r="T432" s="363">
        <v>930000</v>
      </c>
      <c r="U432" s="364">
        <f t="shared" si="14"/>
        <v>29054984</v>
      </c>
      <c r="V432" s="362"/>
      <c r="W432" s="365" t="str">
        <f>+VLOOKUP($B432,[2]Time_S4!$B:$G,6,0)</f>
        <v>Trung tâm dịch vụ sau bán hàng</v>
      </c>
      <c r="X432" s="365" t="str">
        <f>IF(W432="Phòng Kinh doanh","Trung tâm Kinh doanh - TCT CNC",+VLOOKUP($B432,[2]Time_S4!$B:$G,5,0))</f>
        <v>Khối 2 - TCT CNC</v>
      </c>
      <c r="Y432" s="366"/>
      <c r="Z432" s="366"/>
    </row>
    <row r="433" spans="1:26" ht="15.75" hidden="1">
      <c r="A433" s="367">
        <f>SUBTOTAL(3,$B$15:B433)</f>
        <v>2</v>
      </c>
      <c r="B433" s="356" t="s">
        <v>1216</v>
      </c>
      <c r="C433" s="356" t="s">
        <v>1217</v>
      </c>
      <c r="D433" s="356" t="s">
        <v>407</v>
      </c>
      <c r="E433" s="357">
        <v>21</v>
      </c>
      <c r="F433" s="357">
        <v>21</v>
      </c>
      <c r="G433" s="358">
        <v>25582231</v>
      </c>
      <c r="H433" s="359">
        <f t="shared" si="13"/>
        <v>24566671</v>
      </c>
      <c r="I433" s="360"/>
      <c r="J433" s="361"/>
      <c r="K433" s="362"/>
      <c r="L433" s="362"/>
      <c r="M433" s="361">
        <v>773760</v>
      </c>
      <c r="N433" s="361">
        <v>1692600</v>
      </c>
      <c r="O433" s="361">
        <v>145080</v>
      </c>
      <c r="P433" s="361">
        <v>290160</v>
      </c>
      <c r="Q433" s="361">
        <v>96720</v>
      </c>
      <c r="R433" s="361">
        <v>96720</v>
      </c>
      <c r="S433" s="361">
        <v>193440</v>
      </c>
      <c r="T433" s="363">
        <v>1398000</v>
      </c>
      <c r="U433" s="364">
        <f t="shared" si="14"/>
        <v>29253151</v>
      </c>
      <c r="V433" s="362"/>
      <c r="W433" s="365" t="str">
        <f>+VLOOKUP($B433,[2]Time_S4!$B:$G,6,0)</f>
        <v>Trung tâm Tác chiến điện tử</v>
      </c>
      <c r="X433" s="365" t="str">
        <f>IF(W433="Phòng Kinh doanh","Trung tâm Kinh doanh - TCT CNC",+VLOOKUP($B433,[2]Time_S4!$B:$G,5,0))</f>
        <v>Khối 1 - TCT CNC</v>
      </c>
      <c r="Y433" s="366"/>
      <c r="Z433" s="366"/>
    </row>
    <row r="434" spans="1:26" ht="15.75" hidden="1">
      <c r="A434" s="367">
        <f>SUBTOTAL(3,$B$15:B434)</f>
        <v>2</v>
      </c>
      <c r="B434" s="356" t="s">
        <v>1218</v>
      </c>
      <c r="C434" s="356" t="s">
        <v>1219</v>
      </c>
      <c r="D434" s="356" t="s">
        <v>407</v>
      </c>
      <c r="E434" s="357">
        <v>21</v>
      </c>
      <c r="F434" s="357">
        <v>21</v>
      </c>
      <c r="G434" s="358">
        <v>33475775</v>
      </c>
      <c r="H434" s="359">
        <f t="shared" si="13"/>
        <v>32350847</v>
      </c>
      <c r="I434" s="360"/>
      <c r="J434" s="361"/>
      <c r="K434" s="362"/>
      <c r="L434" s="362"/>
      <c r="M434" s="361">
        <v>857088</v>
      </c>
      <c r="N434" s="361">
        <v>1874880</v>
      </c>
      <c r="O434" s="361">
        <v>160704</v>
      </c>
      <c r="P434" s="361">
        <v>321408</v>
      </c>
      <c r="Q434" s="361">
        <v>107136</v>
      </c>
      <c r="R434" s="361">
        <v>107136</v>
      </c>
      <c r="S434" s="361">
        <v>214272</v>
      </c>
      <c r="T434" s="363">
        <v>1030000</v>
      </c>
      <c r="U434" s="364">
        <f t="shared" si="14"/>
        <v>37023471</v>
      </c>
      <c r="V434" s="362"/>
      <c r="W434" s="365" t="str">
        <f>+VLOOKUP($B434,[2]Time_S4!$B:$G,6,0)</f>
        <v>Trung tâm Công nghệ Cơ khí - Tự động hóa</v>
      </c>
      <c r="X434" s="365" t="str">
        <f>IF(W434="Phòng Kinh doanh","Trung tâm Kinh doanh - TCT CNC",+VLOOKUP($B434,[2]Time_S4!$B:$G,5,0))</f>
        <v>Khối 1 - TCT CNC</v>
      </c>
      <c r="Y434" s="366"/>
      <c r="Z434" s="366"/>
    </row>
    <row r="435" spans="1:26" ht="15.75" hidden="1">
      <c r="A435" s="367">
        <f>SUBTOTAL(3,$B$15:B435)</f>
        <v>2</v>
      </c>
      <c r="B435" s="356" t="s">
        <v>1220</v>
      </c>
      <c r="C435" s="356" t="s">
        <v>1221</v>
      </c>
      <c r="D435" s="356" t="s">
        <v>407</v>
      </c>
      <c r="E435" s="357">
        <v>21</v>
      </c>
      <c r="F435" s="357">
        <v>21</v>
      </c>
      <c r="G435" s="358">
        <v>49993715</v>
      </c>
      <c r="H435" s="359">
        <f t="shared" si="13"/>
        <v>48811499</v>
      </c>
      <c r="I435" s="360"/>
      <c r="J435" s="361"/>
      <c r="K435" s="362"/>
      <c r="L435" s="362"/>
      <c r="M435" s="361">
        <v>900736</v>
      </c>
      <c r="N435" s="361">
        <v>1970360</v>
      </c>
      <c r="O435" s="361">
        <v>168888</v>
      </c>
      <c r="P435" s="361">
        <v>337776</v>
      </c>
      <c r="Q435" s="361">
        <v>112592</v>
      </c>
      <c r="R435" s="361">
        <v>112592</v>
      </c>
      <c r="S435" s="361">
        <v>225184</v>
      </c>
      <c r="T435" s="363">
        <v>1030000</v>
      </c>
      <c r="U435" s="364">
        <f t="shared" si="14"/>
        <v>53669627</v>
      </c>
      <c r="V435" s="362"/>
      <c r="W435" s="365" t="str">
        <f>+VLOOKUP($B435,[2]Time_S4!$B:$G,6,0)</f>
        <v>Trung tâm Kỹ thuật công nghệ - TCT CNC</v>
      </c>
      <c r="X435" s="365" t="str">
        <f>IF(W435="Phòng Kinh doanh","Trung tâm Kinh doanh - TCT CNC",+VLOOKUP($B435,[2]Time_S4!$B:$G,5,0))</f>
        <v>Khối 2 - TCT CNC</v>
      </c>
      <c r="Y435" s="366"/>
      <c r="Z435" s="366"/>
    </row>
    <row r="436" spans="1:26" ht="15.75" hidden="1">
      <c r="A436" s="367">
        <f>SUBTOTAL(3,$B$15:B436)</f>
        <v>2</v>
      </c>
      <c r="B436" s="356" t="s">
        <v>1222</v>
      </c>
      <c r="C436" s="356" t="s">
        <v>1223</v>
      </c>
      <c r="D436" s="356" t="s">
        <v>407</v>
      </c>
      <c r="E436" s="357">
        <v>21</v>
      </c>
      <c r="F436" s="357">
        <v>21</v>
      </c>
      <c r="G436" s="358">
        <v>57304747</v>
      </c>
      <c r="H436" s="359">
        <f t="shared" si="13"/>
        <v>56060035</v>
      </c>
      <c r="I436" s="360"/>
      <c r="J436" s="361"/>
      <c r="K436" s="362"/>
      <c r="L436" s="362"/>
      <c r="M436" s="361">
        <v>948352</v>
      </c>
      <c r="N436" s="361">
        <v>2074520</v>
      </c>
      <c r="O436" s="361">
        <v>177816</v>
      </c>
      <c r="P436" s="361">
        <v>355632</v>
      </c>
      <c r="Q436" s="361">
        <v>118544</v>
      </c>
      <c r="R436" s="361">
        <v>118544</v>
      </c>
      <c r="S436" s="361">
        <v>237088</v>
      </c>
      <c r="T436" s="363">
        <v>1030000</v>
      </c>
      <c r="U436" s="364">
        <f t="shared" si="14"/>
        <v>61120531</v>
      </c>
      <c r="V436" s="362"/>
      <c r="W436" s="365" t="str">
        <f>+VLOOKUP($B436,[2]Time_S4!$B:$G,6,0)</f>
        <v>Trung tâm Nghiên cứu thiết bị vô tuyến băng rộng</v>
      </c>
      <c r="X436" s="365" t="str">
        <f>IF(W436="Phòng Kinh doanh","Trung tâm Kinh doanh - TCT CNC",+VLOOKUP($B436,[2]Time_S4!$B:$G,5,0))</f>
        <v>Khối 2 - TCT CNC</v>
      </c>
      <c r="Y436" s="366"/>
      <c r="Z436" s="366"/>
    </row>
    <row r="437" spans="1:26" ht="15.75" hidden="1">
      <c r="A437" s="367">
        <f>SUBTOTAL(3,$B$15:B437)</f>
        <v>2</v>
      </c>
      <c r="B437" s="356" t="s">
        <v>1224</v>
      </c>
      <c r="C437" s="356" t="s">
        <v>1225</v>
      </c>
      <c r="D437" s="356" t="s">
        <v>407</v>
      </c>
      <c r="E437" s="357">
        <v>21</v>
      </c>
      <c r="F437" s="357">
        <v>21</v>
      </c>
      <c r="G437" s="358">
        <v>54810660</v>
      </c>
      <c r="H437" s="359">
        <f t="shared" si="13"/>
        <v>53565948</v>
      </c>
      <c r="I437" s="360"/>
      <c r="J437" s="361"/>
      <c r="K437" s="362"/>
      <c r="L437" s="362"/>
      <c r="M437" s="361">
        <v>948352</v>
      </c>
      <c r="N437" s="361">
        <v>2074520</v>
      </c>
      <c r="O437" s="361">
        <v>177816</v>
      </c>
      <c r="P437" s="361">
        <v>355632</v>
      </c>
      <c r="Q437" s="361">
        <v>118544</v>
      </c>
      <c r="R437" s="361">
        <v>118544</v>
      </c>
      <c r="S437" s="361">
        <v>237088</v>
      </c>
      <c r="T437" s="363">
        <v>1030000</v>
      </c>
      <c r="U437" s="364">
        <f t="shared" si="14"/>
        <v>58626444</v>
      </c>
      <c r="V437" s="362"/>
      <c r="W437" s="365" t="str">
        <f>+VLOOKUP($B437,[2]Time_S4!$B:$G,6,0)</f>
        <v>Trung tâm Nghiên cứu thiết bị vô tuyến băng rộng</v>
      </c>
      <c r="X437" s="365" t="str">
        <f>IF(W437="Phòng Kinh doanh","Trung tâm Kinh doanh - TCT CNC",+VLOOKUP($B437,[2]Time_S4!$B:$G,5,0))</f>
        <v>Khối 2 - TCT CNC</v>
      </c>
      <c r="Y437" s="366"/>
      <c r="Z437" s="366"/>
    </row>
    <row r="438" spans="1:26" ht="15.75" hidden="1">
      <c r="A438" s="367">
        <f>SUBTOTAL(3,$B$15:B438)</f>
        <v>2</v>
      </c>
      <c r="B438" s="356" t="s">
        <v>1226</v>
      </c>
      <c r="C438" s="356" t="s">
        <v>1227</v>
      </c>
      <c r="D438" s="356" t="s">
        <v>407</v>
      </c>
      <c r="E438" s="357">
        <v>21</v>
      </c>
      <c r="F438" s="357">
        <v>21</v>
      </c>
      <c r="G438" s="358">
        <v>53954617</v>
      </c>
      <c r="H438" s="359">
        <f t="shared" si="13"/>
        <v>52709905</v>
      </c>
      <c r="I438" s="360"/>
      <c r="J438" s="361"/>
      <c r="K438" s="362"/>
      <c r="L438" s="362"/>
      <c r="M438" s="361">
        <v>948352</v>
      </c>
      <c r="N438" s="361">
        <v>2074520</v>
      </c>
      <c r="O438" s="361">
        <v>177816</v>
      </c>
      <c r="P438" s="361">
        <v>355632</v>
      </c>
      <c r="Q438" s="361">
        <v>118544</v>
      </c>
      <c r="R438" s="361">
        <v>118544</v>
      </c>
      <c r="S438" s="361">
        <v>237088</v>
      </c>
      <c r="T438" s="363">
        <v>1030000</v>
      </c>
      <c r="U438" s="364">
        <f t="shared" si="14"/>
        <v>57770401</v>
      </c>
      <c r="V438" s="362"/>
      <c r="W438" s="365" t="str">
        <f>+VLOOKUP($B438,[2]Time_S4!$B:$G,6,0)</f>
        <v>Trung tâm Nghiên cứu thiết bị vô tuyến băng rộng</v>
      </c>
      <c r="X438" s="365" t="str">
        <f>IF(W438="Phòng Kinh doanh","Trung tâm Kinh doanh - TCT CNC",+VLOOKUP($B438,[2]Time_S4!$B:$G,5,0))</f>
        <v>Khối 2 - TCT CNC</v>
      </c>
      <c r="Y438" s="366"/>
      <c r="Z438" s="366"/>
    </row>
    <row r="439" spans="1:26" ht="15.75" hidden="1">
      <c r="A439" s="367">
        <f>SUBTOTAL(3,$B$15:B439)</f>
        <v>2</v>
      </c>
      <c r="B439" s="356" t="s">
        <v>1228</v>
      </c>
      <c r="C439" s="356" t="s">
        <v>1229</v>
      </c>
      <c r="D439" s="356" t="s">
        <v>407</v>
      </c>
      <c r="E439" s="357">
        <v>21</v>
      </c>
      <c r="F439" s="357">
        <v>21</v>
      </c>
      <c r="G439" s="358">
        <v>54057880</v>
      </c>
      <c r="H439" s="359">
        <f t="shared" si="13"/>
        <v>52750672</v>
      </c>
      <c r="I439" s="360"/>
      <c r="J439" s="361"/>
      <c r="K439" s="362"/>
      <c r="L439" s="362"/>
      <c r="M439" s="361">
        <v>995968</v>
      </c>
      <c r="N439" s="361">
        <v>2178680</v>
      </c>
      <c r="O439" s="361">
        <v>186744</v>
      </c>
      <c r="P439" s="361">
        <v>373488</v>
      </c>
      <c r="Q439" s="361">
        <v>124496</v>
      </c>
      <c r="R439" s="361">
        <v>124496</v>
      </c>
      <c r="S439" s="361">
        <v>248992</v>
      </c>
      <c r="T439" s="363">
        <v>1230000</v>
      </c>
      <c r="U439" s="364">
        <f t="shared" si="14"/>
        <v>58213536</v>
      </c>
      <c r="V439" s="362"/>
      <c r="W439" s="365" t="str">
        <f>+VLOOKUP($B439,[2]Time_S4!$B:$G,6,0)</f>
        <v>Trung tâm Phát triển nền tảng thanh toán</v>
      </c>
      <c r="X439" s="365" t="str">
        <f>IF(W439="Phòng Kinh doanh","Trung tâm Kinh doanh - TCT CNC",+VLOOKUP($B439,[2]Time_S4!$B:$G,5,0))</f>
        <v>Khối 2 - TCT CNC</v>
      </c>
      <c r="Y439" s="366"/>
      <c r="Z439" s="366"/>
    </row>
    <row r="440" spans="1:26" ht="15.75" hidden="1">
      <c r="A440" s="367">
        <f>SUBTOTAL(3,$B$15:B440)</f>
        <v>2</v>
      </c>
      <c r="B440" s="356" t="s">
        <v>1230</v>
      </c>
      <c r="C440" s="356" t="s">
        <v>1231</v>
      </c>
      <c r="D440" s="356" t="s">
        <v>397</v>
      </c>
      <c r="E440" s="357">
        <v>21</v>
      </c>
      <c r="F440" s="357">
        <v>21</v>
      </c>
      <c r="G440" s="358">
        <v>62611423</v>
      </c>
      <c r="H440" s="359">
        <f t="shared" si="13"/>
        <v>61535023</v>
      </c>
      <c r="I440" s="360"/>
      <c r="J440" s="361"/>
      <c r="K440" s="362"/>
      <c r="L440" s="362"/>
      <c r="M440" s="361">
        <v>1076400</v>
      </c>
      <c r="N440" s="361">
        <v>2354625</v>
      </c>
      <c r="O440" s="361">
        <v>0</v>
      </c>
      <c r="P440" s="361">
        <v>0</v>
      </c>
      <c r="Q440" s="361">
        <v>0</v>
      </c>
      <c r="R440" s="361">
        <v>0</v>
      </c>
      <c r="S440" s="361">
        <v>269100</v>
      </c>
      <c r="T440" s="363">
        <v>1130000</v>
      </c>
      <c r="U440" s="364">
        <f t="shared" si="14"/>
        <v>66365148</v>
      </c>
      <c r="V440" s="362"/>
      <c r="W440" s="365" t="str">
        <f>+VLOOKUP($B440,[2]Time_S4!$B:$G,6,0)</f>
        <v>Trung tâm Phát triển nền tảng thanh toán</v>
      </c>
      <c r="X440" s="365" t="str">
        <f>IF(W440="Phòng Kinh doanh","Trung tâm Kinh doanh - TCT CNC",+VLOOKUP($B440,[2]Time_S4!$B:$G,5,0))</f>
        <v>Khối 2 - TCT CNC</v>
      </c>
      <c r="Y440" s="366"/>
      <c r="Z440" s="366"/>
    </row>
    <row r="441" spans="1:26" ht="15.75" hidden="1">
      <c r="A441" s="367">
        <f>SUBTOTAL(3,$B$15:B441)</f>
        <v>2</v>
      </c>
      <c r="B441" s="356" t="s">
        <v>1232</v>
      </c>
      <c r="C441" s="356" t="s">
        <v>1233</v>
      </c>
      <c r="D441" s="356" t="s">
        <v>407</v>
      </c>
      <c r="E441" s="357">
        <v>21</v>
      </c>
      <c r="F441" s="357">
        <v>21</v>
      </c>
      <c r="G441" s="358">
        <v>47304747</v>
      </c>
      <c r="H441" s="359">
        <f t="shared" si="13"/>
        <v>46060035</v>
      </c>
      <c r="I441" s="360"/>
      <c r="J441" s="361"/>
      <c r="K441" s="362"/>
      <c r="L441" s="362"/>
      <c r="M441" s="361">
        <v>948352</v>
      </c>
      <c r="N441" s="361">
        <v>2074520</v>
      </c>
      <c r="O441" s="361">
        <v>177816</v>
      </c>
      <c r="P441" s="361">
        <v>355632</v>
      </c>
      <c r="Q441" s="361">
        <v>118544</v>
      </c>
      <c r="R441" s="361">
        <v>118544</v>
      </c>
      <c r="S441" s="361">
        <v>237088</v>
      </c>
      <c r="T441" s="363">
        <v>1030000</v>
      </c>
      <c r="U441" s="364">
        <f t="shared" si="14"/>
        <v>51120531</v>
      </c>
      <c r="V441" s="362"/>
      <c r="W441" s="365" t="str">
        <f>+VLOOKUP($B441,[2]Time_S4!$B:$G,6,0)</f>
        <v>Trung tâm Thông tin Quân sự</v>
      </c>
      <c r="X441" s="365" t="str">
        <f>IF(W441="Phòng Kinh doanh","Trung tâm Kinh doanh - TCT CNC",+VLOOKUP($B441,[2]Time_S4!$B:$G,5,0))</f>
        <v>Khối 1 - TCT CNC</v>
      </c>
      <c r="Y441" s="366"/>
      <c r="Z441" s="366"/>
    </row>
    <row r="442" spans="1:26" ht="15.75" hidden="1">
      <c r="A442" s="367">
        <f>SUBTOTAL(3,$B$15:B442)</f>
        <v>2</v>
      </c>
      <c r="B442" s="356" t="s">
        <v>1234</v>
      </c>
      <c r="C442" s="356" t="s">
        <v>1235</v>
      </c>
      <c r="D442" s="356" t="s">
        <v>407</v>
      </c>
      <c r="E442" s="357">
        <v>21</v>
      </c>
      <c r="F442" s="357">
        <v>21</v>
      </c>
      <c r="G442" s="358">
        <v>33142054</v>
      </c>
      <c r="H442" s="359">
        <f t="shared" si="13"/>
        <v>32074414</v>
      </c>
      <c r="I442" s="360"/>
      <c r="J442" s="361"/>
      <c r="K442" s="362"/>
      <c r="L442" s="362"/>
      <c r="M442" s="361">
        <v>813440</v>
      </c>
      <c r="N442" s="361">
        <v>1779400</v>
      </c>
      <c r="O442" s="361">
        <v>152520</v>
      </c>
      <c r="P442" s="361">
        <v>305040</v>
      </c>
      <c r="Q442" s="361">
        <v>101680</v>
      </c>
      <c r="R442" s="361">
        <v>101680</v>
      </c>
      <c r="S442" s="361">
        <v>203360</v>
      </c>
      <c r="T442" s="363">
        <v>1030000</v>
      </c>
      <c r="U442" s="364">
        <f t="shared" si="14"/>
        <v>36561534</v>
      </c>
      <c r="V442" s="362"/>
      <c r="W442" s="365" t="str">
        <f>+VLOOKUP($B442,[2]Time_S4!$B:$G,6,0)</f>
        <v>Trung tâm Mô hình mô phỏng</v>
      </c>
      <c r="X442" s="365" t="str">
        <f>IF(W442="Phòng Kinh doanh","Trung tâm Kinh doanh - TCT CNC",+VLOOKUP($B442,[2]Time_S4!$B:$G,5,0))</f>
        <v>Khối 1 - TCT CNC</v>
      </c>
      <c r="Y442" s="366"/>
      <c r="Z442" s="366"/>
    </row>
    <row r="443" spans="1:26" ht="15.75" hidden="1">
      <c r="A443" s="367">
        <f>SUBTOTAL(3,$B$15:B443)</f>
        <v>2</v>
      </c>
      <c r="B443" s="356" t="s">
        <v>1236</v>
      </c>
      <c r="C443" s="356" t="s">
        <v>656</v>
      </c>
      <c r="D443" s="356" t="s">
        <v>407</v>
      </c>
      <c r="E443" s="357">
        <v>21</v>
      </c>
      <c r="F443" s="357">
        <v>21</v>
      </c>
      <c r="G443" s="358">
        <v>41754851</v>
      </c>
      <c r="H443" s="359">
        <f t="shared" si="13"/>
        <v>40572635</v>
      </c>
      <c r="I443" s="360"/>
      <c r="J443" s="361"/>
      <c r="K443" s="362"/>
      <c r="L443" s="362"/>
      <c r="M443" s="361">
        <v>900736</v>
      </c>
      <c r="N443" s="361">
        <v>1970360</v>
      </c>
      <c r="O443" s="361">
        <v>168888</v>
      </c>
      <c r="P443" s="361">
        <v>337776</v>
      </c>
      <c r="Q443" s="361">
        <v>112592</v>
      </c>
      <c r="R443" s="361">
        <v>112592</v>
      </c>
      <c r="S443" s="361">
        <v>225184</v>
      </c>
      <c r="T443" s="363">
        <v>1030000</v>
      </c>
      <c r="U443" s="364">
        <f t="shared" si="14"/>
        <v>45430763</v>
      </c>
      <c r="V443" s="362"/>
      <c r="W443" s="365" t="str">
        <f>+VLOOKUP($B443,[2]Time_S4!$B:$G,6,0)</f>
        <v>Trung tâm Mô hình mô phỏng</v>
      </c>
      <c r="X443" s="365" t="str">
        <f>IF(W443="Phòng Kinh doanh","Trung tâm Kinh doanh - TCT CNC",+VLOOKUP($B443,[2]Time_S4!$B:$G,5,0))</f>
        <v>Khối 1 - TCT CNC</v>
      </c>
      <c r="Y443" s="366"/>
      <c r="Z443" s="366"/>
    </row>
    <row r="444" spans="1:26" ht="15.75" hidden="1">
      <c r="A444" s="367">
        <f>SUBTOTAL(3,$B$15:B444)</f>
        <v>2</v>
      </c>
      <c r="B444" s="356" t="s">
        <v>1237</v>
      </c>
      <c r="C444" s="356" t="s">
        <v>1238</v>
      </c>
      <c r="D444" s="356" t="s">
        <v>407</v>
      </c>
      <c r="E444" s="357">
        <v>21</v>
      </c>
      <c r="F444" s="357">
        <v>21</v>
      </c>
      <c r="G444" s="358">
        <v>43415786</v>
      </c>
      <c r="H444" s="359">
        <f t="shared" si="13"/>
        <v>42233570</v>
      </c>
      <c r="I444" s="360"/>
      <c r="J444" s="361"/>
      <c r="K444" s="362"/>
      <c r="L444" s="362"/>
      <c r="M444" s="361">
        <v>900736</v>
      </c>
      <c r="N444" s="361">
        <v>1970360</v>
      </c>
      <c r="O444" s="361">
        <v>168888</v>
      </c>
      <c r="P444" s="361">
        <v>337776</v>
      </c>
      <c r="Q444" s="361">
        <v>112592</v>
      </c>
      <c r="R444" s="361">
        <v>112592</v>
      </c>
      <c r="S444" s="361">
        <v>225184</v>
      </c>
      <c r="T444" s="363">
        <v>1030000</v>
      </c>
      <c r="U444" s="364">
        <f t="shared" si="14"/>
        <v>47091698</v>
      </c>
      <c r="V444" s="362"/>
      <c r="W444" s="365" t="str">
        <f>+VLOOKUP($B444,[2]Time_S4!$B:$G,6,0)</f>
        <v>Trung tâm Thông tin Quân sự</v>
      </c>
      <c r="X444" s="365" t="str">
        <f>IF(W444="Phòng Kinh doanh","Trung tâm Kinh doanh - TCT CNC",+VLOOKUP($B444,[2]Time_S4!$B:$G,5,0))</f>
        <v>Khối 1 - TCT CNC</v>
      </c>
      <c r="Y444" s="366"/>
      <c r="Z444" s="366"/>
    </row>
    <row r="445" spans="1:26" ht="15.75" hidden="1">
      <c r="A445" s="367">
        <f>SUBTOTAL(3,$B$15:B445)</f>
        <v>2</v>
      </c>
      <c r="B445" s="356" t="s">
        <v>1239</v>
      </c>
      <c r="C445" s="356" t="s">
        <v>1240</v>
      </c>
      <c r="D445" s="356" t="s">
        <v>407</v>
      </c>
      <c r="E445" s="357">
        <v>21</v>
      </c>
      <c r="F445" s="357">
        <v>21</v>
      </c>
      <c r="G445" s="358">
        <v>33142054</v>
      </c>
      <c r="H445" s="359">
        <f t="shared" si="13"/>
        <v>32074414</v>
      </c>
      <c r="I445" s="360"/>
      <c r="J445" s="361"/>
      <c r="K445" s="362"/>
      <c r="L445" s="362"/>
      <c r="M445" s="361">
        <v>813440</v>
      </c>
      <c r="N445" s="361">
        <v>1779400</v>
      </c>
      <c r="O445" s="361">
        <v>152520</v>
      </c>
      <c r="P445" s="361">
        <v>305040</v>
      </c>
      <c r="Q445" s="361">
        <v>101680</v>
      </c>
      <c r="R445" s="361">
        <v>101680</v>
      </c>
      <c r="S445" s="361">
        <v>203360</v>
      </c>
      <c r="T445" s="363">
        <v>1030000</v>
      </c>
      <c r="U445" s="364">
        <f t="shared" si="14"/>
        <v>36561534</v>
      </c>
      <c r="V445" s="362"/>
      <c r="W445" s="365" t="str">
        <f>+VLOOKUP($B445,[2]Time_S4!$B:$G,6,0)</f>
        <v>Trung tâm Mô hình mô phỏng</v>
      </c>
      <c r="X445" s="365" t="str">
        <f>IF(W445="Phòng Kinh doanh","Trung tâm Kinh doanh - TCT CNC",+VLOOKUP($B445,[2]Time_S4!$B:$G,5,0))</f>
        <v>Khối 1 - TCT CNC</v>
      </c>
      <c r="Y445" s="366"/>
      <c r="Z445" s="366"/>
    </row>
    <row r="446" spans="1:26" ht="15.75" hidden="1">
      <c r="A446" s="367">
        <f>SUBTOTAL(3,$B$15:B446)</f>
        <v>2</v>
      </c>
      <c r="B446" s="356" t="s">
        <v>1241</v>
      </c>
      <c r="C446" s="356" t="s">
        <v>1242</v>
      </c>
      <c r="D446" s="356" t="s">
        <v>400</v>
      </c>
      <c r="E446" s="357">
        <v>21</v>
      </c>
      <c r="F446" s="357">
        <v>21</v>
      </c>
      <c r="G446" s="358">
        <v>81232676</v>
      </c>
      <c r="H446" s="359">
        <f t="shared" si="13"/>
        <v>80263448</v>
      </c>
      <c r="I446" s="360"/>
      <c r="J446" s="361"/>
      <c r="K446" s="362"/>
      <c r="L446" s="362"/>
      <c r="M446" s="361">
        <v>816192</v>
      </c>
      <c r="N446" s="361">
        <v>1785420</v>
      </c>
      <c r="O446" s="361">
        <v>153036</v>
      </c>
      <c r="P446" s="361">
        <v>306072</v>
      </c>
      <c r="Q446" s="361">
        <v>0</v>
      </c>
      <c r="R446" s="361">
        <v>0</v>
      </c>
      <c r="S446" s="361">
        <v>204048</v>
      </c>
      <c r="T446" s="363">
        <v>1730000</v>
      </c>
      <c r="U446" s="364">
        <f t="shared" si="14"/>
        <v>85258216</v>
      </c>
      <c r="V446" s="362"/>
      <c r="W446" s="365" t="str">
        <f>+VLOOKUP($B446,[2]Time_S4!$B:$G,6,0)</f>
        <v>Trung tâm Nền tảng IOT</v>
      </c>
      <c r="X446" s="365" t="str">
        <f>IF(W446="Phòng Kinh doanh","Trung tâm Kinh doanh - TCT CNC",+VLOOKUP($B446,[2]Time_S4!$B:$G,5,0))</f>
        <v>Khối 3 - TCT CNC</v>
      </c>
      <c r="Y446" s="366"/>
      <c r="Z446" s="366"/>
    </row>
    <row r="447" spans="1:26" ht="15.75" hidden="1">
      <c r="A447" s="367">
        <f>SUBTOTAL(3,$B$15:B447)</f>
        <v>2</v>
      </c>
      <c r="B447" s="356" t="s">
        <v>1243</v>
      </c>
      <c r="C447" s="356" t="s">
        <v>1244</v>
      </c>
      <c r="D447" s="356" t="s">
        <v>407</v>
      </c>
      <c r="E447" s="357">
        <v>21</v>
      </c>
      <c r="F447" s="357">
        <v>21</v>
      </c>
      <c r="G447" s="358">
        <v>22320526</v>
      </c>
      <c r="H447" s="359">
        <f t="shared" si="13"/>
        <v>21357046</v>
      </c>
      <c r="I447" s="360"/>
      <c r="J447" s="361"/>
      <c r="K447" s="362"/>
      <c r="L447" s="362"/>
      <c r="M447" s="361">
        <v>734080</v>
      </c>
      <c r="N447" s="361">
        <v>1605800</v>
      </c>
      <c r="O447" s="361">
        <v>137640</v>
      </c>
      <c r="P447" s="361">
        <v>275280</v>
      </c>
      <c r="Q447" s="361">
        <v>91760</v>
      </c>
      <c r="R447" s="361">
        <v>91760</v>
      </c>
      <c r="S447" s="361">
        <v>183520</v>
      </c>
      <c r="T447" s="363">
        <v>1398000</v>
      </c>
      <c r="U447" s="364">
        <f t="shared" si="14"/>
        <v>25874886</v>
      </c>
      <c r="V447" s="362"/>
      <c r="W447" s="365" t="str">
        <f>+VLOOKUP($B447,[2]Time_S4!$B:$G,6,0)</f>
        <v>Trung tâm dịch vụ sau bán hàng</v>
      </c>
      <c r="X447" s="365" t="str">
        <f>IF(W447="Phòng Kinh doanh","Trung tâm Kinh doanh - TCT CNC",+VLOOKUP($B447,[2]Time_S4!$B:$G,5,0))</f>
        <v>Khối 2 - TCT CNC</v>
      </c>
      <c r="Y447" s="366"/>
      <c r="Z447" s="366"/>
    </row>
    <row r="448" spans="1:26" ht="15.75" hidden="1">
      <c r="A448" s="367">
        <f>SUBTOTAL(3,$B$15:B448)</f>
        <v>2</v>
      </c>
      <c r="B448" s="356" t="s">
        <v>1245</v>
      </c>
      <c r="C448" s="356" t="s">
        <v>1246</v>
      </c>
      <c r="D448" s="356" t="s">
        <v>397</v>
      </c>
      <c r="E448" s="357">
        <v>21</v>
      </c>
      <c r="F448" s="357">
        <v>21</v>
      </c>
      <c r="G448" s="358">
        <v>55230072</v>
      </c>
      <c r="H448" s="359">
        <f t="shared" si="13"/>
        <v>54219192</v>
      </c>
      <c r="I448" s="360"/>
      <c r="J448" s="361"/>
      <c r="K448" s="362"/>
      <c r="L448" s="362"/>
      <c r="M448" s="361">
        <v>1010880</v>
      </c>
      <c r="N448" s="361">
        <v>2211300</v>
      </c>
      <c r="O448" s="361">
        <v>0</v>
      </c>
      <c r="P448" s="361">
        <v>0</v>
      </c>
      <c r="Q448" s="361">
        <v>0</v>
      </c>
      <c r="R448" s="361">
        <v>0</v>
      </c>
      <c r="S448" s="361">
        <v>252720</v>
      </c>
      <c r="T448" s="363">
        <v>1130000</v>
      </c>
      <c r="U448" s="364">
        <f t="shared" si="14"/>
        <v>58824092</v>
      </c>
      <c r="V448" s="362"/>
      <c r="W448" s="365" t="str">
        <f>+VLOOKUP($B448,[2]Time_S4!$B:$G,6,0)</f>
        <v>Trung tâm Nghiên cứu Công nghệ truyền dẫn</v>
      </c>
      <c r="X448" s="365" t="str">
        <f>IF(W448="Phòng Kinh doanh","Trung tâm Kinh doanh - TCT CNC",+VLOOKUP($B448,[2]Time_S4!$B:$G,5,0))</f>
        <v>Khối 2 - TCT CNC</v>
      </c>
      <c r="Y448" s="366"/>
      <c r="Z448" s="366"/>
    </row>
    <row r="449" spans="1:26" ht="15.75" hidden="1">
      <c r="A449" s="367">
        <f>SUBTOTAL(3,$B$15:B449)</f>
        <v>2</v>
      </c>
      <c r="B449" s="356" t="s">
        <v>1247</v>
      </c>
      <c r="C449" s="356" t="s">
        <v>1248</v>
      </c>
      <c r="D449" s="356" t="s">
        <v>407</v>
      </c>
      <c r="E449" s="357">
        <v>21</v>
      </c>
      <c r="F449" s="357">
        <v>21</v>
      </c>
      <c r="G449" s="358">
        <v>29515785</v>
      </c>
      <c r="H449" s="359">
        <f t="shared" si="13"/>
        <v>28448145</v>
      </c>
      <c r="I449" s="360"/>
      <c r="J449" s="361"/>
      <c r="K449" s="362"/>
      <c r="L449" s="362"/>
      <c r="M449" s="361">
        <v>813440</v>
      </c>
      <c r="N449" s="361">
        <v>1779400</v>
      </c>
      <c r="O449" s="361">
        <v>152520</v>
      </c>
      <c r="P449" s="361">
        <v>305040</v>
      </c>
      <c r="Q449" s="361">
        <v>101680</v>
      </c>
      <c r="R449" s="361">
        <v>101680</v>
      </c>
      <c r="S449" s="361">
        <v>203360</v>
      </c>
      <c r="T449" s="363">
        <v>1147000</v>
      </c>
      <c r="U449" s="364">
        <f t="shared" si="14"/>
        <v>33052265</v>
      </c>
      <c r="V449" s="362"/>
      <c r="W449" s="365" t="str">
        <f>+VLOOKUP($B449,[2]Time_S4!$B:$G,6,0)</f>
        <v>Trung tâm Phát triển nền tảng thanh toán</v>
      </c>
      <c r="X449" s="365" t="str">
        <f>IF(W449="Phòng Kinh doanh","Trung tâm Kinh doanh - TCT CNC",+VLOOKUP($B449,[2]Time_S4!$B:$G,5,0))</f>
        <v>Khối 2 - TCT CNC</v>
      </c>
      <c r="Y449" s="366"/>
      <c r="Z449" s="366"/>
    </row>
    <row r="450" spans="1:26" ht="15.75" hidden="1">
      <c r="A450" s="367">
        <f>SUBTOTAL(3,$B$15:B450)</f>
        <v>2</v>
      </c>
      <c r="B450" s="356" t="s">
        <v>1249</v>
      </c>
      <c r="C450" s="356" t="s">
        <v>1250</v>
      </c>
      <c r="D450" s="356" t="s">
        <v>407</v>
      </c>
      <c r="E450" s="357">
        <v>21</v>
      </c>
      <c r="F450" s="357">
        <v>21</v>
      </c>
      <c r="G450" s="358">
        <v>26960570</v>
      </c>
      <c r="H450" s="359">
        <f t="shared" si="13"/>
        <v>25945010</v>
      </c>
      <c r="I450" s="360"/>
      <c r="J450" s="361"/>
      <c r="K450" s="362"/>
      <c r="L450" s="362"/>
      <c r="M450" s="361">
        <v>773760</v>
      </c>
      <c r="N450" s="361">
        <v>1692600</v>
      </c>
      <c r="O450" s="361">
        <v>145080</v>
      </c>
      <c r="P450" s="361">
        <v>290160</v>
      </c>
      <c r="Q450" s="361">
        <v>96720</v>
      </c>
      <c r="R450" s="361">
        <v>96720</v>
      </c>
      <c r="S450" s="361">
        <v>193440</v>
      </c>
      <c r="T450" s="363">
        <v>930000</v>
      </c>
      <c r="U450" s="364">
        <f t="shared" si="14"/>
        <v>30163490</v>
      </c>
      <c r="V450" s="362"/>
      <c r="W450" s="365" t="str">
        <f>+VLOOKUP($B450,[2]Time_S4!$B:$G,6,0)</f>
        <v>Trung tâm Nghiên cứu Công nghệ chuyển mạch</v>
      </c>
      <c r="X450" s="365" t="str">
        <f>IF(W450="Phòng Kinh doanh","Trung tâm Kinh doanh - TCT CNC",+VLOOKUP($B450,[2]Time_S4!$B:$G,5,0))</f>
        <v>Khối 2 - TCT CNC</v>
      </c>
      <c r="Y450" s="366"/>
      <c r="Z450" s="366"/>
    </row>
    <row r="451" spans="1:26" ht="15.75" hidden="1">
      <c r="A451" s="367">
        <f>SUBTOTAL(3,$B$15:B451)</f>
        <v>2</v>
      </c>
      <c r="B451" s="356" t="s">
        <v>1251</v>
      </c>
      <c r="C451" s="356" t="s">
        <v>1252</v>
      </c>
      <c r="D451" s="356" t="s">
        <v>407</v>
      </c>
      <c r="E451" s="357">
        <v>21</v>
      </c>
      <c r="F451" s="357">
        <v>21</v>
      </c>
      <c r="G451" s="358">
        <v>14091513</v>
      </c>
      <c r="H451" s="359">
        <f t="shared" si="13"/>
        <v>13305105</v>
      </c>
      <c r="I451" s="360"/>
      <c r="J451" s="361"/>
      <c r="K451" s="362"/>
      <c r="L451" s="362"/>
      <c r="M451" s="361">
        <v>599168</v>
      </c>
      <c r="N451" s="361">
        <v>1310680</v>
      </c>
      <c r="O451" s="361">
        <v>112344</v>
      </c>
      <c r="P451" s="361">
        <v>224688</v>
      </c>
      <c r="Q451" s="361">
        <v>74896</v>
      </c>
      <c r="R451" s="361">
        <v>74896</v>
      </c>
      <c r="S451" s="361">
        <v>149792</v>
      </c>
      <c r="T451" s="363">
        <v>930000</v>
      </c>
      <c r="U451" s="364">
        <f t="shared" si="14"/>
        <v>16781569</v>
      </c>
      <c r="V451" s="362"/>
      <c r="W451" s="365" t="str">
        <f>+VLOOKUP($B451,[2]Time_S4!$B:$G,6,0)</f>
        <v>Phòng Đảm bảo hàng hóa</v>
      </c>
      <c r="X451" s="365" t="str">
        <f>IF(W451="Phòng Kinh doanh","Trung tâm Kinh doanh - TCT CNC",+VLOOKUP($B451,[2]Time_S4!$B:$G,5,0))</f>
        <v>Trung tâm Mua sắm - TCT CNC</v>
      </c>
      <c r="Y451" s="366"/>
      <c r="Z451" s="366"/>
    </row>
    <row r="452" spans="1:26" ht="15.75" hidden="1">
      <c r="A452" s="367">
        <f>SUBTOTAL(3,$B$15:B452)</f>
        <v>2</v>
      </c>
      <c r="B452" s="356" t="s">
        <v>1253</v>
      </c>
      <c r="C452" s="356" t="s">
        <v>1254</v>
      </c>
      <c r="D452" s="356" t="s">
        <v>407</v>
      </c>
      <c r="E452" s="357">
        <v>21</v>
      </c>
      <c r="F452" s="357">
        <v>21</v>
      </c>
      <c r="G452" s="358">
        <v>52592687</v>
      </c>
      <c r="H452" s="359">
        <f t="shared" si="13"/>
        <v>51410471</v>
      </c>
      <c r="I452" s="360"/>
      <c r="J452" s="361"/>
      <c r="K452" s="362"/>
      <c r="L452" s="362"/>
      <c r="M452" s="361">
        <v>900736</v>
      </c>
      <c r="N452" s="361">
        <v>1970360</v>
      </c>
      <c r="O452" s="361">
        <v>168888</v>
      </c>
      <c r="P452" s="361">
        <v>337776</v>
      </c>
      <c r="Q452" s="361">
        <v>112592</v>
      </c>
      <c r="R452" s="361">
        <v>112592</v>
      </c>
      <c r="S452" s="361">
        <v>225184</v>
      </c>
      <c r="T452" s="363">
        <v>1030000</v>
      </c>
      <c r="U452" s="364">
        <f t="shared" si="14"/>
        <v>56268599</v>
      </c>
      <c r="V452" s="362"/>
      <c r="W452" s="365" t="str">
        <f>+VLOOKUP($B452,[2]Time_S4!$B:$G,6,0)</f>
        <v>Trung tâm Nghiên cứu thiết bị vô tuyến băng rộng</v>
      </c>
      <c r="X452" s="365" t="str">
        <f>IF(W452="Phòng Kinh doanh","Trung tâm Kinh doanh - TCT CNC",+VLOOKUP($B452,[2]Time_S4!$B:$G,5,0))</f>
        <v>Khối 2 - TCT CNC</v>
      </c>
      <c r="Y452" s="366"/>
      <c r="Z452" s="366"/>
    </row>
    <row r="453" spans="1:26" ht="15.75" hidden="1">
      <c r="A453" s="367">
        <f>SUBTOTAL(3,$B$15:B453)</f>
        <v>2</v>
      </c>
      <c r="B453" s="356" t="s">
        <v>1255</v>
      </c>
      <c r="C453" s="356" t="s">
        <v>1256</v>
      </c>
      <c r="D453" s="356" t="s">
        <v>407</v>
      </c>
      <c r="E453" s="357">
        <v>21</v>
      </c>
      <c r="F453" s="357">
        <v>21</v>
      </c>
      <c r="G453" s="358">
        <v>19713350</v>
      </c>
      <c r="H453" s="359">
        <f t="shared" si="13"/>
        <v>18796742</v>
      </c>
      <c r="I453" s="360"/>
      <c r="J453" s="361"/>
      <c r="K453" s="362"/>
      <c r="L453" s="362"/>
      <c r="M453" s="361">
        <v>698368</v>
      </c>
      <c r="N453" s="361">
        <v>1527680</v>
      </c>
      <c r="O453" s="361">
        <v>130944</v>
      </c>
      <c r="P453" s="361">
        <v>261888</v>
      </c>
      <c r="Q453" s="361">
        <v>87296</v>
      </c>
      <c r="R453" s="361">
        <v>87296</v>
      </c>
      <c r="S453" s="361">
        <v>174592</v>
      </c>
      <c r="T453" s="363">
        <v>1047000</v>
      </c>
      <c r="U453" s="364">
        <f t="shared" si="14"/>
        <v>22811806</v>
      </c>
      <c r="V453" s="362"/>
      <c r="W453" s="365" t="str">
        <f>+VLOOKUP($B453,[2]Time_S4!$B:$G,6,0)</f>
        <v>Phòng Quản lý chất lượng</v>
      </c>
      <c r="X453" s="365" t="str">
        <f>IF(W453="Phòng Kinh doanh","Trung tâm Kinh doanh - TCT CNC",+VLOOKUP($B453,[2]Time_S4!$B:$G,5,0))</f>
        <v>Khối 3 - TCT CNC</v>
      </c>
      <c r="Y453" s="366"/>
      <c r="Z453" s="366"/>
    </row>
    <row r="454" spans="1:26" ht="15.75" hidden="1">
      <c r="A454" s="367">
        <f>SUBTOTAL(3,$B$15:B454)</f>
        <v>2</v>
      </c>
      <c r="B454" s="356" t="s">
        <v>1257</v>
      </c>
      <c r="C454" s="356" t="s">
        <v>1258</v>
      </c>
      <c r="D454" s="356" t="s">
        <v>407</v>
      </c>
      <c r="E454" s="357">
        <v>21</v>
      </c>
      <c r="F454" s="357">
        <v>21</v>
      </c>
      <c r="G454" s="358">
        <v>34105615</v>
      </c>
      <c r="H454" s="359">
        <f t="shared" si="13"/>
        <v>33037975</v>
      </c>
      <c r="I454" s="360"/>
      <c r="J454" s="361"/>
      <c r="K454" s="362"/>
      <c r="L454" s="362"/>
      <c r="M454" s="361">
        <v>813440</v>
      </c>
      <c r="N454" s="361">
        <v>1779400</v>
      </c>
      <c r="O454" s="361">
        <v>152520</v>
      </c>
      <c r="P454" s="361">
        <v>305040</v>
      </c>
      <c r="Q454" s="361">
        <v>101680</v>
      </c>
      <c r="R454" s="361">
        <v>101680</v>
      </c>
      <c r="S454" s="361">
        <v>203360</v>
      </c>
      <c r="T454" s="363">
        <v>1615000</v>
      </c>
      <c r="U454" s="364">
        <f t="shared" si="14"/>
        <v>38110095</v>
      </c>
      <c r="V454" s="362"/>
      <c r="W454" s="365" t="str">
        <f>+VLOOKUP($B454,[2]Time_S4!$B:$G,6,0)</f>
        <v>Trung tâm Nghiên cứu công nghệ Đa phương tiện</v>
      </c>
      <c r="X454" s="365" t="str">
        <f>IF(W454="Phòng Kinh doanh","Trung tâm Kinh doanh - TCT CNC",+VLOOKUP($B454,[2]Time_S4!$B:$G,5,0))</f>
        <v>Khối 2 - TCT CNC</v>
      </c>
      <c r="Y454" s="366"/>
      <c r="Z454" s="366"/>
    </row>
    <row r="455" spans="1:26" ht="15.75" hidden="1">
      <c r="A455" s="367">
        <f>SUBTOTAL(3,$B$15:B455)</f>
        <v>2</v>
      </c>
      <c r="B455" s="382" t="s">
        <v>1259</v>
      </c>
      <c r="C455" s="383" t="s">
        <v>1260</v>
      </c>
      <c r="D455" s="384" t="s">
        <v>407</v>
      </c>
      <c r="E455" s="385">
        <v>21</v>
      </c>
      <c r="F455" s="384">
        <v>21</v>
      </c>
      <c r="G455" s="358">
        <v>33601450</v>
      </c>
      <c r="H455" s="359">
        <f t="shared" si="13"/>
        <v>32585890</v>
      </c>
      <c r="I455" s="360"/>
      <c r="J455" s="361"/>
      <c r="K455" s="362"/>
      <c r="L455" s="362"/>
      <c r="M455" s="361">
        <v>773760</v>
      </c>
      <c r="N455" s="361">
        <v>1692600</v>
      </c>
      <c r="O455" s="361">
        <v>145080</v>
      </c>
      <c r="P455" s="361">
        <v>290160</v>
      </c>
      <c r="Q455" s="361">
        <v>96720</v>
      </c>
      <c r="R455" s="361">
        <v>96720</v>
      </c>
      <c r="S455" s="361">
        <v>193440</v>
      </c>
      <c r="T455" s="386">
        <v>1598000</v>
      </c>
      <c r="U455" s="364">
        <f t="shared" si="14"/>
        <v>37472370</v>
      </c>
      <c r="V455" s="362"/>
      <c r="W455" s="365" t="str">
        <f>+VLOOKUP($B455,[2]Time_S4!$B:$G,6,0)</f>
        <v>Trung tâm Nghiên cứu Công nghệ chuyển mạch</v>
      </c>
      <c r="X455" s="365" t="str">
        <f>IF(W455="Phòng Kinh doanh","Trung tâm Kinh doanh - TCT CNC",+VLOOKUP($B455,[2]Time_S4!$B:$G,5,0))</f>
        <v>Khối 2 - TCT CNC</v>
      </c>
      <c r="Y455" s="366"/>
      <c r="Z455" s="366"/>
    </row>
    <row r="456" spans="1:26" ht="15.75" hidden="1">
      <c r="A456" s="367">
        <f>SUBTOTAL(3,$B$15:B456)</f>
        <v>2</v>
      </c>
      <c r="B456" s="382" t="s">
        <v>1261</v>
      </c>
      <c r="C456" s="383" t="s">
        <v>1262</v>
      </c>
      <c r="D456" s="384" t="s">
        <v>407</v>
      </c>
      <c r="E456" s="385">
        <v>21</v>
      </c>
      <c r="F456" s="384">
        <v>21</v>
      </c>
      <c r="G456" s="358">
        <v>19680532</v>
      </c>
      <c r="H456" s="359">
        <f t="shared" si="13"/>
        <v>18810796</v>
      </c>
      <c r="I456" s="360"/>
      <c r="J456" s="361"/>
      <c r="K456" s="362"/>
      <c r="L456" s="362"/>
      <c r="M456" s="361">
        <v>662656</v>
      </c>
      <c r="N456" s="361">
        <v>1449560</v>
      </c>
      <c r="O456" s="361">
        <v>124248</v>
      </c>
      <c r="P456" s="361">
        <v>248496</v>
      </c>
      <c r="Q456" s="361">
        <v>82832</v>
      </c>
      <c r="R456" s="361">
        <v>82832</v>
      </c>
      <c r="S456" s="361">
        <v>165664</v>
      </c>
      <c r="T456" s="386">
        <v>1047000</v>
      </c>
      <c r="U456" s="364">
        <f t="shared" si="14"/>
        <v>22674084</v>
      </c>
      <c r="V456" s="362"/>
      <c r="W456" s="365" t="str">
        <f>+VLOOKUP($B456,[2]Time_S4!$B:$G,6,0)</f>
        <v>Phòng Kinh doanh</v>
      </c>
      <c r="X456" s="365" t="str">
        <f>IF(W456="Phòng Kinh doanh","Trung tâm Kinh doanh - TCT CNC",+VLOOKUP($B456,[2]Time_S4!$B:$G,5,0))</f>
        <v>Trung tâm Kinh doanh - TCT CNC</v>
      </c>
      <c r="Y456" s="366"/>
      <c r="Z456" s="366"/>
    </row>
    <row r="457" spans="1:26" ht="15.75" hidden="1">
      <c r="A457" s="367">
        <f>SUBTOTAL(3,$B$15:B457)</f>
        <v>2</v>
      </c>
      <c r="B457" s="382" t="s">
        <v>1263</v>
      </c>
      <c r="C457" s="383" t="s">
        <v>1264</v>
      </c>
      <c r="D457" s="384" t="s">
        <v>407</v>
      </c>
      <c r="E457" s="385">
        <v>21</v>
      </c>
      <c r="F457" s="384">
        <v>21</v>
      </c>
      <c r="G457" s="358">
        <v>25316044</v>
      </c>
      <c r="H457" s="359">
        <f t="shared" si="13"/>
        <v>24300484</v>
      </c>
      <c r="I457" s="360"/>
      <c r="J457" s="361"/>
      <c r="K457" s="362"/>
      <c r="L457" s="362"/>
      <c r="M457" s="361">
        <v>773760</v>
      </c>
      <c r="N457" s="361">
        <v>1692600</v>
      </c>
      <c r="O457" s="361">
        <v>145080</v>
      </c>
      <c r="P457" s="361">
        <v>290160</v>
      </c>
      <c r="Q457" s="361">
        <v>96720</v>
      </c>
      <c r="R457" s="361">
        <v>96720</v>
      </c>
      <c r="S457" s="361">
        <v>193440</v>
      </c>
      <c r="T457" s="386">
        <v>1983000</v>
      </c>
      <c r="U457" s="364">
        <f t="shared" si="14"/>
        <v>29571964</v>
      </c>
      <c r="V457" s="362"/>
      <c r="W457" s="365" t="str">
        <f>+VLOOKUP($B457,[2]Time_S4!$B:$G,6,0)</f>
        <v>Phòng Chính trị</v>
      </c>
      <c r="X457" s="365" t="str">
        <f>IF(W457="Phòng Kinh doanh","Trung tâm Kinh doanh - TCT CNC",+VLOOKUP($B457,[2]Time_S4!$B:$G,5,0))</f>
        <v>Khối cơ quan - TCT CNC</v>
      </c>
      <c r="Y457" s="366"/>
      <c r="Z457" s="366"/>
    </row>
    <row r="458" spans="1:26" ht="15.75" hidden="1">
      <c r="A458" s="367">
        <f>SUBTOTAL(3,$B$15:B458)</f>
        <v>2</v>
      </c>
      <c r="B458" s="382" t="s">
        <v>1265</v>
      </c>
      <c r="C458" s="383" t="s">
        <v>1266</v>
      </c>
      <c r="D458" s="384" t="s">
        <v>407</v>
      </c>
      <c r="E458" s="385">
        <v>21</v>
      </c>
      <c r="F458" s="384">
        <v>21</v>
      </c>
      <c r="G458" s="358">
        <v>37100171</v>
      </c>
      <c r="H458" s="359">
        <f t="shared" si="13"/>
        <v>36032531</v>
      </c>
      <c r="I458" s="360"/>
      <c r="J458" s="361"/>
      <c r="K458" s="362"/>
      <c r="L458" s="362"/>
      <c r="M458" s="361">
        <v>813440</v>
      </c>
      <c r="N458" s="361">
        <v>1779400</v>
      </c>
      <c r="O458" s="361">
        <v>152520</v>
      </c>
      <c r="P458" s="361">
        <v>305040</v>
      </c>
      <c r="Q458" s="361">
        <v>101680</v>
      </c>
      <c r="R458" s="361">
        <v>101680</v>
      </c>
      <c r="S458" s="361">
        <v>203360</v>
      </c>
      <c r="T458" s="386">
        <v>1030000</v>
      </c>
      <c r="U458" s="364">
        <f t="shared" si="14"/>
        <v>40519651</v>
      </c>
      <c r="V458" s="362"/>
      <c r="W458" s="365" t="str">
        <f>+VLOOKUP($B458,[2]Time_S4!$B:$G,6,0)</f>
        <v>Trung tâm Khí cụ bay</v>
      </c>
      <c r="X458" s="365" t="str">
        <f>IF(W458="Phòng Kinh doanh","Trung tâm Kinh doanh - TCT CNC",+VLOOKUP($B458,[2]Time_S4!$B:$G,5,0))</f>
        <v>Khối 1 - TCT CNC</v>
      </c>
      <c r="Y458" s="366"/>
      <c r="Z458" s="366"/>
    </row>
    <row r="459" spans="1:26" ht="15.75" hidden="1">
      <c r="A459" s="367">
        <f>SUBTOTAL(3,$B$15:B459)</f>
        <v>2</v>
      </c>
      <c r="B459" s="382" t="s">
        <v>1267</v>
      </c>
      <c r="C459" s="383" t="s">
        <v>1268</v>
      </c>
      <c r="D459" s="384" t="s">
        <v>407</v>
      </c>
      <c r="E459" s="385">
        <v>21</v>
      </c>
      <c r="F459" s="384">
        <v>21</v>
      </c>
      <c r="G459" s="358">
        <v>34764702</v>
      </c>
      <c r="H459" s="359">
        <f t="shared" si="13"/>
        <v>33697062</v>
      </c>
      <c r="I459" s="360"/>
      <c r="J459" s="361"/>
      <c r="K459" s="362"/>
      <c r="L459" s="362"/>
      <c r="M459" s="361">
        <v>813440</v>
      </c>
      <c r="N459" s="361">
        <v>1779400</v>
      </c>
      <c r="O459" s="361">
        <v>152520</v>
      </c>
      <c r="P459" s="361">
        <v>305040</v>
      </c>
      <c r="Q459" s="361">
        <v>101680</v>
      </c>
      <c r="R459" s="361">
        <v>101680</v>
      </c>
      <c r="S459" s="361">
        <v>203360</v>
      </c>
      <c r="T459" s="386">
        <v>1030000</v>
      </c>
      <c r="U459" s="364">
        <f t="shared" si="14"/>
        <v>38184182</v>
      </c>
      <c r="V459" s="362"/>
      <c r="W459" s="365" t="str">
        <f>+VLOOKUP($B459,[2]Time_S4!$B:$G,6,0)</f>
        <v>Trung tâm Rada</v>
      </c>
      <c r="X459" s="365" t="str">
        <f>IF(W459="Phòng Kinh doanh","Trung tâm Kinh doanh - TCT CNC",+VLOOKUP($B459,[2]Time_S4!$B:$G,5,0))</f>
        <v>Khối 1 - TCT CNC</v>
      </c>
      <c r="Y459" s="366"/>
      <c r="Z459" s="380"/>
    </row>
    <row r="460" spans="1:26" ht="15.75" hidden="1">
      <c r="A460" s="367">
        <f>SUBTOTAL(3,$B$15:B460)</f>
        <v>2</v>
      </c>
      <c r="B460" s="382" t="s">
        <v>1269</v>
      </c>
      <c r="C460" s="383" t="s">
        <v>1270</v>
      </c>
      <c r="D460" s="384" t="s">
        <v>407</v>
      </c>
      <c r="E460" s="385">
        <v>21</v>
      </c>
      <c r="F460" s="384">
        <v>21</v>
      </c>
      <c r="G460" s="358">
        <v>52304747</v>
      </c>
      <c r="H460" s="359">
        <f t="shared" si="13"/>
        <v>51060035</v>
      </c>
      <c r="I460" s="360"/>
      <c r="J460" s="361"/>
      <c r="K460" s="362"/>
      <c r="L460" s="362"/>
      <c r="M460" s="361">
        <v>948352</v>
      </c>
      <c r="N460" s="361">
        <v>2074520</v>
      </c>
      <c r="O460" s="361">
        <v>177816</v>
      </c>
      <c r="P460" s="361">
        <v>355632</v>
      </c>
      <c r="Q460" s="361">
        <v>118544</v>
      </c>
      <c r="R460" s="361">
        <v>118544</v>
      </c>
      <c r="S460" s="361">
        <v>237088</v>
      </c>
      <c r="T460" s="386">
        <v>1030000</v>
      </c>
      <c r="U460" s="364">
        <f t="shared" si="14"/>
        <v>56120531</v>
      </c>
      <c r="V460" s="362"/>
      <c r="W460" s="365" t="str">
        <f>+VLOOKUP($B460,[2]Time_S4!$B:$G,6,0)</f>
        <v>Trung tâm Tác chiến điện tử</v>
      </c>
      <c r="X460" s="365" t="str">
        <f>IF(W460="Phòng Kinh doanh","Trung tâm Kinh doanh - TCT CNC",+VLOOKUP($B460,[2]Time_S4!$B:$G,5,0))</f>
        <v>Khối 1 - TCT CNC</v>
      </c>
      <c r="Y460" s="366"/>
      <c r="Z460" s="366"/>
    </row>
    <row r="461" spans="1:26" ht="15.75" hidden="1">
      <c r="A461" s="367">
        <f>SUBTOTAL(3,$B$15:B461)</f>
        <v>2</v>
      </c>
      <c r="B461" s="382" t="s">
        <v>1271</v>
      </c>
      <c r="C461" s="383" t="s">
        <v>1272</v>
      </c>
      <c r="D461" s="384" t="s">
        <v>407</v>
      </c>
      <c r="E461" s="385">
        <v>21</v>
      </c>
      <c r="F461" s="384">
        <v>21</v>
      </c>
      <c r="G461" s="358">
        <v>26575875</v>
      </c>
      <c r="H461" s="359">
        <f t="shared" si="13"/>
        <v>25560315</v>
      </c>
      <c r="I461" s="360"/>
      <c r="J461" s="361"/>
      <c r="K461" s="362"/>
      <c r="L461" s="362"/>
      <c r="M461" s="361">
        <v>773760</v>
      </c>
      <c r="N461" s="361">
        <v>1692600</v>
      </c>
      <c r="O461" s="361">
        <v>145080</v>
      </c>
      <c r="P461" s="361">
        <v>290160</v>
      </c>
      <c r="Q461" s="361">
        <v>96720</v>
      </c>
      <c r="R461" s="361">
        <v>96720</v>
      </c>
      <c r="S461" s="361">
        <v>193440</v>
      </c>
      <c r="T461" s="386">
        <v>1030000</v>
      </c>
      <c r="U461" s="364">
        <f t="shared" si="14"/>
        <v>29878795</v>
      </c>
      <c r="V461" s="362"/>
      <c r="W461" s="365" t="str">
        <f>+VLOOKUP($B461,[2]Time_S4!$B:$G,6,0)</f>
        <v>Trung tâm sản xuất</v>
      </c>
      <c r="X461" s="365" t="str">
        <f>IF(W461="Phòng Kinh doanh","Trung tâm Kinh doanh - TCT CNC",+VLOOKUP($B461,[2]Time_S4!$B:$G,5,0))</f>
        <v>Khối 1 - TCT CNC</v>
      </c>
      <c r="Y461" s="366"/>
      <c r="Z461" s="366"/>
    </row>
    <row r="462" spans="1:26" ht="15.75" hidden="1">
      <c r="A462" s="367">
        <f>SUBTOTAL(3,$B$15:B462)</f>
        <v>2</v>
      </c>
      <c r="B462" s="382" t="s">
        <v>1273</v>
      </c>
      <c r="C462" s="383" t="s">
        <v>1274</v>
      </c>
      <c r="D462" s="384" t="s">
        <v>407</v>
      </c>
      <c r="E462" s="385">
        <v>21</v>
      </c>
      <c r="F462" s="384">
        <v>21</v>
      </c>
      <c r="G462" s="358">
        <v>50592687</v>
      </c>
      <c r="H462" s="359">
        <f t="shared" si="13"/>
        <v>49410471</v>
      </c>
      <c r="I462" s="360"/>
      <c r="J462" s="361"/>
      <c r="K462" s="362"/>
      <c r="L462" s="362"/>
      <c r="M462" s="361">
        <v>900736</v>
      </c>
      <c r="N462" s="361">
        <v>1970360</v>
      </c>
      <c r="O462" s="361">
        <v>168888</v>
      </c>
      <c r="P462" s="361">
        <v>337776</v>
      </c>
      <c r="Q462" s="361">
        <v>112592</v>
      </c>
      <c r="R462" s="361">
        <v>112592</v>
      </c>
      <c r="S462" s="361">
        <v>225184</v>
      </c>
      <c r="T462" s="386">
        <v>1030000</v>
      </c>
      <c r="U462" s="364">
        <f t="shared" si="14"/>
        <v>54268599</v>
      </c>
      <c r="V462" s="362"/>
      <c r="W462" s="365" t="str">
        <f>+VLOOKUP($B462,[2]Time_S4!$B:$G,6,0)</f>
        <v>Trung tâm Kỹ thuật công nghệ - TCT CNC</v>
      </c>
      <c r="X462" s="365" t="str">
        <f>IF(W462="Phòng Kinh doanh","Trung tâm Kinh doanh - TCT CNC",+VLOOKUP($B462,[2]Time_S4!$B:$G,5,0))</f>
        <v>Khối 2 - TCT CNC</v>
      </c>
      <c r="Y462" s="366"/>
      <c r="Z462" s="366"/>
    </row>
    <row r="463" spans="1:26" ht="15.75" hidden="1">
      <c r="A463" s="367">
        <f>SUBTOTAL(3,$B$15:B463)</f>
        <v>2</v>
      </c>
      <c r="B463" s="382" t="s">
        <v>1275</v>
      </c>
      <c r="C463" s="383" t="s">
        <v>1276</v>
      </c>
      <c r="D463" s="384" t="s">
        <v>407</v>
      </c>
      <c r="E463" s="385">
        <v>21</v>
      </c>
      <c r="F463" s="384">
        <v>21</v>
      </c>
      <c r="G463" s="358">
        <v>23034309</v>
      </c>
      <c r="H463" s="359">
        <f t="shared" si="13"/>
        <v>22070829</v>
      </c>
      <c r="I463" s="360"/>
      <c r="J463" s="361"/>
      <c r="K463" s="362"/>
      <c r="L463" s="362"/>
      <c r="M463" s="361">
        <v>734080</v>
      </c>
      <c r="N463" s="361">
        <v>1605800</v>
      </c>
      <c r="O463" s="361">
        <v>137640</v>
      </c>
      <c r="P463" s="361">
        <v>275280</v>
      </c>
      <c r="Q463" s="361">
        <v>91760</v>
      </c>
      <c r="R463" s="361">
        <v>91760</v>
      </c>
      <c r="S463" s="361">
        <v>183520</v>
      </c>
      <c r="T463" s="386">
        <v>930000</v>
      </c>
      <c r="U463" s="364">
        <f t="shared" si="14"/>
        <v>26120669</v>
      </c>
      <c r="V463" s="362"/>
      <c r="W463" s="365" t="str">
        <f>+VLOOKUP($B463,[2]Time_S4!$B:$G,6,0)</f>
        <v>Phòng Công nghệ thông tin</v>
      </c>
      <c r="X463" s="365" t="str">
        <f>IF(W463="Phòng Kinh doanh","Trung tâm Kinh doanh - TCT CNC",+VLOOKUP($B463,[2]Time_S4!$B:$G,5,0))</f>
        <v>Khối cơ quan - TCT CNC</v>
      </c>
      <c r="Y463" s="366"/>
      <c r="Z463" s="366"/>
    </row>
    <row r="464" spans="1:26" ht="15.75" hidden="1">
      <c r="A464" s="367">
        <f>SUBTOTAL(3,$B$15:B464)</f>
        <v>2</v>
      </c>
      <c r="B464" s="382" t="s">
        <v>1277</v>
      </c>
      <c r="C464" s="383" t="s">
        <v>690</v>
      </c>
      <c r="D464" s="384" t="s">
        <v>407</v>
      </c>
      <c r="E464" s="385">
        <v>21</v>
      </c>
      <c r="F464" s="384">
        <v>21</v>
      </c>
      <c r="G464" s="358">
        <v>58673970</v>
      </c>
      <c r="H464" s="359">
        <f t="shared" ref="H464:H527" si="15">+G464-SUM(M464,O464,Q464)</f>
        <v>57429258</v>
      </c>
      <c r="I464" s="360"/>
      <c r="J464" s="361"/>
      <c r="K464" s="362"/>
      <c r="L464" s="362"/>
      <c r="M464" s="361">
        <v>948352</v>
      </c>
      <c r="N464" s="361">
        <v>2074520</v>
      </c>
      <c r="O464" s="361">
        <v>177816</v>
      </c>
      <c r="P464" s="361">
        <v>355632</v>
      </c>
      <c r="Q464" s="361">
        <v>118544</v>
      </c>
      <c r="R464" s="361">
        <v>118544</v>
      </c>
      <c r="S464" s="361">
        <v>237088</v>
      </c>
      <c r="T464" s="386">
        <v>1130000</v>
      </c>
      <c r="U464" s="364">
        <f t="shared" ref="U464:U527" si="16">+SUM(H464:T464)</f>
        <v>62589754</v>
      </c>
      <c r="V464" s="362"/>
      <c r="W464" s="365" t="str">
        <f>+VLOOKUP($B464,[2]Time_S4!$B:$G,6,0)</f>
        <v>Trung tâm Nghiên cứu thiết bị vô tuyến băng rộng</v>
      </c>
      <c r="X464" s="365" t="str">
        <f>IF(W464="Phòng Kinh doanh","Trung tâm Kinh doanh - TCT CNC",+VLOOKUP($B464,[2]Time_S4!$B:$G,5,0))</f>
        <v>Khối 2 - TCT CNC</v>
      </c>
      <c r="Y464" s="366"/>
      <c r="Z464" s="366"/>
    </row>
    <row r="465" spans="1:26" ht="15.75" hidden="1">
      <c r="A465" s="367">
        <f>SUBTOTAL(3,$B$15:B465)</f>
        <v>2</v>
      </c>
      <c r="B465" s="382" t="s">
        <v>1278</v>
      </c>
      <c r="C465" s="383" t="s">
        <v>1279</v>
      </c>
      <c r="D465" s="384" t="s">
        <v>407</v>
      </c>
      <c r="E465" s="385">
        <v>21</v>
      </c>
      <c r="F465" s="384">
        <v>21</v>
      </c>
      <c r="G465" s="358">
        <v>20344177</v>
      </c>
      <c r="H465" s="359">
        <f t="shared" si="15"/>
        <v>19427569</v>
      </c>
      <c r="I465" s="360"/>
      <c r="J465" s="361"/>
      <c r="K465" s="362"/>
      <c r="L465" s="362"/>
      <c r="M465" s="361">
        <v>698368</v>
      </c>
      <c r="N465" s="361">
        <v>1527680</v>
      </c>
      <c r="O465" s="361">
        <v>130944</v>
      </c>
      <c r="P465" s="361">
        <v>261888</v>
      </c>
      <c r="Q465" s="361">
        <v>87296</v>
      </c>
      <c r="R465" s="361">
        <v>87296</v>
      </c>
      <c r="S465" s="361">
        <v>174592</v>
      </c>
      <c r="T465" s="386">
        <v>1047000</v>
      </c>
      <c r="U465" s="364">
        <f t="shared" si="16"/>
        <v>23442633</v>
      </c>
      <c r="V465" s="362"/>
      <c r="W465" s="365" t="str">
        <f>+VLOOKUP($B465,[2]Time_S4!$B:$G,6,0)</f>
        <v>Trung tâm Kỹ thuật công nghệ - TCT CNC</v>
      </c>
      <c r="X465" s="365" t="str">
        <f>IF(W465="Phòng Kinh doanh","Trung tâm Kinh doanh - TCT CNC",+VLOOKUP($B465,[2]Time_S4!$B:$G,5,0))</f>
        <v>Khối 2 - TCT CNC</v>
      </c>
      <c r="Y465" s="366"/>
      <c r="Z465" s="366"/>
    </row>
    <row r="466" spans="1:26" ht="15.75" hidden="1">
      <c r="A466" s="367">
        <f>SUBTOTAL(3,$B$15:B466)</f>
        <v>2</v>
      </c>
      <c r="B466" s="382" t="s">
        <v>1280</v>
      </c>
      <c r="C466" s="383" t="s">
        <v>1281</v>
      </c>
      <c r="D466" s="384" t="s">
        <v>407</v>
      </c>
      <c r="E466" s="385">
        <v>21</v>
      </c>
      <c r="F466" s="384">
        <v>21</v>
      </c>
      <c r="G466" s="358">
        <v>26960570</v>
      </c>
      <c r="H466" s="359">
        <f t="shared" si="15"/>
        <v>25945010</v>
      </c>
      <c r="I466" s="360"/>
      <c r="J466" s="361"/>
      <c r="K466" s="362"/>
      <c r="L466" s="362"/>
      <c r="M466" s="361">
        <v>773760</v>
      </c>
      <c r="N466" s="361">
        <v>1692600</v>
      </c>
      <c r="O466" s="361">
        <v>145080</v>
      </c>
      <c r="P466" s="361">
        <v>290160</v>
      </c>
      <c r="Q466" s="361">
        <v>96720</v>
      </c>
      <c r="R466" s="361">
        <v>96720</v>
      </c>
      <c r="S466" s="361">
        <v>193440</v>
      </c>
      <c r="T466" s="386">
        <v>1515000</v>
      </c>
      <c r="U466" s="364">
        <f t="shared" si="16"/>
        <v>30748490</v>
      </c>
      <c r="V466" s="362"/>
      <c r="W466" s="365" t="str">
        <f>+VLOOKUP($B466,[2]Time_S4!$B:$G,6,0)</f>
        <v>Trung tâm Phát triển nền tảng thanh toán</v>
      </c>
      <c r="X466" s="365" t="str">
        <f>IF(W466="Phòng Kinh doanh","Trung tâm Kinh doanh - TCT CNC",+VLOOKUP($B466,[2]Time_S4!$B:$G,5,0))</f>
        <v>Khối 2 - TCT CNC</v>
      </c>
      <c r="Y466" s="366"/>
      <c r="Z466" s="366"/>
    </row>
    <row r="467" spans="1:26" ht="15.75" hidden="1">
      <c r="A467" s="367">
        <f>SUBTOTAL(3,$B$15:B467)</f>
        <v>2</v>
      </c>
      <c r="B467" s="382" t="s">
        <v>1282</v>
      </c>
      <c r="C467" s="383" t="s">
        <v>1283</v>
      </c>
      <c r="D467" s="384" t="s">
        <v>407</v>
      </c>
      <c r="E467" s="385">
        <v>21</v>
      </c>
      <c r="F467" s="384">
        <v>21</v>
      </c>
      <c r="G467" s="358">
        <v>38754851</v>
      </c>
      <c r="H467" s="359">
        <f t="shared" si="15"/>
        <v>37572635</v>
      </c>
      <c r="I467" s="360"/>
      <c r="J467" s="361"/>
      <c r="K467" s="362"/>
      <c r="L467" s="362"/>
      <c r="M467" s="361">
        <v>900736</v>
      </c>
      <c r="N467" s="361">
        <v>1970360</v>
      </c>
      <c r="O467" s="361">
        <v>168888</v>
      </c>
      <c r="P467" s="361">
        <v>337776</v>
      </c>
      <c r="Q467" s="361">
        <v>112592</v>
      </c>
      <c r="R467" s="361">
        <v>112592</v>
      </c>
      <c r="S467" s="361">
        <v>225184</v>
      </c>
      <c r="T467" s="386">
        <v>1030000</v>
      </c>
      <c r="U467" s="364">
        <f t="shared" si="16"/>
        <v>42430763</v>
      </c>
      <c r="V467" s="362"/>
      <c r="W467" s="365" t="str">
        <f>+VLOOKUP($B467,[2]Time_S4!$B:$G,6,0)</f>
        <v>Trung tâm Nghiên cứu công nghệ Đa phương tiện</v>
      </c>
      <c r="X467" s="365" t="str">
        <f>IF(W467="Phòng Kinh doanh","Trung tâm Kinh doanh - TCT CNC",+VLOOKUP($B467,[2]Time_S4!$B:$G,5,0))</f>
        <v>Khối 2 - TCT CNC</v>
      </c>
      <c r="Y467" s="366"/>
      <c r="Z467" s="366"/>
    </row>
    <row r="468" spans="1:26" ht="15.75" hidden="1">
      <c r="A468" s="367">
        <f>SUBTOTAL(3,$B$15:B468)</f>
        <v>2</v>
      </c>
      <c r="B468" s="382" t="s">
        <v>1284</v>
      </c>
      <c r="C468" s="383" t="s">
        <v>1285</v>
      </c>
      <c r="D468" s="384" t="s">
        <v>407</v>
      </c>
      <c r="E468" s="385">
        <v>21</v>
      </c>
      <c r="F468" s="384">
        <v>21</v>
      </c>
      <c r="G468" s="358">
        <v>51322042</v>
      </c>
      <c r="H468" s="359">
        <f t="shared" si="15"/>
        <v>50077330</v>
      </c>
      <c r="I468" s="360"/>
      <c r="J468" s="361"/>
      <c r="K468" s="362"/>
      <c r="L468" s="362"/>
      <c r="M468" s="361">
        <v>948352</v>
      </c>
      <c r="N468" s="361">
        <v>2074520</v>
      </c>
      <c r="O468" s="361">
        <v>177816</v>
      </c>
      <c r="P468" s="361">
        <v>355632</v>
      </c>
      <c r="Q468" s="361">
        <v>118544</v>
      </c>
      <c r="R468" s="361">
        <v>118544</v>
      </c>
      <c r="S468" s="361">
        <v>237088</v>
      </c>
      <c r="T468" s="386">
        <v>1030000</v>
      </c>
      <c r="U468" s="364">
        <f t="shared" si="16"/>
        <v>55137826</v>
      </c>
      <c r="V468" s="362"/>
      <c r="W468" s="365" t="str">
        <f>+VLOOKUP($B468,[2]Time_S4!$B:$G,6,0)</f>
        <v>Trung tâm Camera</v>
      </c>
      <c r="X468" s="365" t="str">
        <f>IF(W468="Phòng Kinh doanh","Trung tâm Kinh doanh - TCT CNC",+VLOOKUP($B468,[2]Time_S4!$B:$G,5,0))</f>
        <v>Khối 3 - TCT CNC</v>
      </c>
      <c r="Y468" s="366"/>
      <c r="Z468" s="380"/>
    </row>
    <row r="469" spans="1:26" ht="15.75" hidden="1">
      <c r="A469" s="367">
        <f>SUBTOTAL(3,$B$15:B469)</f>
        <v>2</v>
      </c>
      <c r="B469" s="382" t="s">
        <v>1286</v>
      </c>
      <c r="C469" s="383" t="s">
        <v>1287</v>
      </c>
      <c r="D469" s="384" t="s">
        <v>407</v>
      </c>
      <c r="E469" s="385">
        <v>21</v>
      </c>
      <c r="F469" s="384">
        <v>21</v>
      </c>
      <c r="G469" s="358">
        <v>46272690</v>
      </c>
      <c r="H469" s="359">
        <f t="shared" si="15"/>
        <v>45090474</v>
      </c>
      <c r="I469" s="360"/>
      <c r="J469" s="361"/>
      <c r="K469" s="362"/>
      <c r="L469" s="362"/>
      <c r="M469" s="361">
        <v>900736</v>
      </c>
      <c r="N469" s="361">
        <v>1970360</v>
      </c>
      <c r="O469" s="361">
        <v>168888</v>
      </c>
      <c r="P469" s="361">
        <v>337776</v>
      </c>
      <c r="Q469" s="361">
        <v>112592</v>
      </c>
      <c r="R469" s="361">
        <v>112592</v>
      </c>
      <c r="S469" s="361">
        <v>225184</v>
      </c>
      <c r="T469" s="386">
        <v>1180000</v>
      </c>
      <c r="U469" s="364">
        <f t="shared" si="16"/>
        <v>50098602</v>
      </c>
      <c r="V469" s="362"/>
      <c r="W469" s="365" t="str">
        <f>+VLOOKUP($B469,[2]Time_S4!$B:$G,6,0)</f>
        <v>Trung tâm Nghiên cứu Công nghệ chuyển mạch</v>
      </c>
      <c r="X469" s="365" t="str">
        <f>IF(W469="Phòng Kinh doanh","Trung tâm Kinh doanh - TCT CNC",+VLOOKUP($B469,[2]Time_S4!$B:$G,5,0))</f>
        <v>Khối 2 - TCT CNC</v>
      </c>
      <c r="Y469" s="366"/>
      <c r="Z469" s="366"/>
    </row>
    <row r="470" spans="1:26" ht="15.75" hidden="1">
      <c r="A470" s="367">
        <f>SUBTOTAL(3,$B$15:B470)</f>
        <v>2</v>
      </c>
      <c r="B470" s="382" t="s">
        <v>1288</v>
      </c>
      <c r="C470" s="383" t="s">
        <v>1289</v>
      </c>
      <c r="D470" s="384" t="s">
        <v>407</v>
      </c>
      <c r="E470" s="385">
        <v>21</v>
      </c>
      <c r="F470" s="384">
        <v>21</v>
      </c>
      <c r="G470" s="358">
        <v>20958596</v>
      </c>
      <c r="H470" s="359">
        <f t="shared" si="15"/>
        <v>20041988</v>
      </c>
      <c r="I470" s="360"/>
      <c r="J470" s="361"/>
      <c r="K470" s="362"/>
      <c r="L470" s="362"/>
      <c r="M470" s="361">
        <v>698368</v>
      </c>
      <c r="N470" s="361">
        <v>1527680</v>
      </c>
      <c r="O470" s="361">
        <v>130944</v>
      </c>
      <c r="P470" s="361">
        <v>261888</v>
      </c>
      <c r="Q470" s="361">
        <v>87296</v>
      </c>
      <c r="R470" s="361">
        <v>87296</v>
      </c>
      <c r="S470" s="361">
        <v>174592</v>
      </c>
      <c r="T470" s="386">
        <v>1047000</v>
      </c>
      <c r="U470" s="364">
        <f t="shared" si="16"/>
        <v>24057052</v>
      </c>
      <c r="V470" s="362"/>
      <c r="W470" s="365" t="str">
        <f>+VLOOKUP($B470,[2]Time_S4!$B:$G,6,0)</f>
        <v>Trung tâm Kỹ thuật công nghệ - TCT CNC</v>
      </c>
      <c r="X470" s="365" t="str">
        <f>IF(W470="Phòng Kinh doanh","Trung tâm Kinh doanh - TCT CNC",+VLOOKUP($B470,[2]Time_S4!$B:$G,5,0))</f>
        <v>Khối 2 - TCT CNC</v>
      </c>
      <c r="Y470" s="366"/>
      <c r="Z470" s="366"/>
    </row>
    <row r="471" spans="1:26" ht="15.75" hidden="1">
      <c r="A471" s="367">
        <f>SUBTOTAL(3,$B$15:B471)</f>
        <v>2</v>
      </c>
      <c r="B471" s="382" t="s">
        <v>1290</v>
      </c>
      <c r="C471" s="383" t="s">
        <v>1291</v>
      </c>
      <c r="D471" s="384" t="s">
        <v>407</v>
      </c>
      <c r="E471" s="385">
        <v>21</v>
      </c>
      <c r="F471" s="384">
        <v>21</v>
      </c>
      <c r="G471" s="358">
        <v>47554274</v>
      </c>
      <c r="H471" s="359">
        <f t="shared" si="15"/>
        <v>46429346</v>
      </c>
      <c r="I471" s="360"/>
      <c r="J471" s="361"/>
      <c r="K471" s="362"/>
      <c r="L471" s="362"/>
      <c r="M471" s="361">
        <v>857088</v>
      </c>
      <c r="N471" s="361">
        <v>1874880</v>
      </c>
      <c r="O471" s="361">
        <v>160704</v>
      </c>
      <c r="P471" s="361">
        <v>321408</v>
      </c>
      <c r="Q471" s="361">
        <v>107136</v>
      </c>
      <c r="R471" s="361">
        <v>107136</v>
      </c>
      <c r="S471" s="361">
        <v>214272</v>
      </c>
      <c r="T471" s="386">
        <v>1030000</v>
      </c>
      <c r="U471" s="364">
        <f t="shared" si="16"/>
        <v>51101970</v>
      </c>
      <c r="V471" s="362"/>
      <c r="W471" s="365" t="str">
        <f>+VLOOKUP($B471,[2]Time_S4!$B:$G,6,0)</f>
        <v>Trung tâm Kỹ thuật công nghệ - TCT CNC</v>
      </c>
      <c r="X471" s="365" t="str">
        <f>IF(W471="Phòng Kinh doanh","Trung tâm Kinh doanh - TCT CNC",+VLOOKUP($B471,[2]Time_S4!$B:$G,5,0))</f>
        <v>Khối 2 - TCT CNC</v>
      </c>
      <c r="Y471" s="366"/>
      <c r="Z471" s="366"/>
    </row>
    <row r="472" spans="1:26" ht="15.75" hidden="1">
      <c r="A472" s="367">
        <f>SUBTOTAL(3,$B$15:B472)</f>
        <v>2</v>
      </c>
      <c r="B472" s="382" t="s">
        <v>1292</v>
      </c>
      <c r="C472" s="383" t="s">
        <v>1293</v>
      </c>
      <c r="D472" s="384" t="s">
        <v>407</v>
      </c>
      <c r="E472" s="385">
        <v>21</v>
      </c>
      <c r="F472" s="384">
        <v>21</v>
      </c>
      <c r="G472" s="358">
        <v>24629533</v>
      </c>
      <c r="H472" s="359">
        <f t="shared" si="15"/>
        <v>23712925</v>
      </c>
      <c r="I472" s="360"/>
      <c r="J472" s="361"/>
      <c r="K472" s="362"/>
      <c r="L472" s="362"/>
      <c r="M472" s="361">
        <v>698368</v>
      </c>
      <c r="N472" s="361">
        <v>1527680</v>
      </c>
      <c r="O472" s="361">
        <v>130944</v>
      </c>
      <c r="P472" s="361">
        <v>261888</v>
      </c>
      <c r="Q472" s="361">
        <v>87296</v>
      </c>
      <c r="R472" s="361">
        <v>87296</v>
      </c>
      <c r="S472" s="361">
        <v>174592</v>
      </c>
      <c r="T472" s="386">
        <v>1047000</v>
      </c>
      <c r="U472" s="364">
        <f t="shared" si="16"/>
        <v>27727989</v>
      </c>
      <c r="V472" s="362"/>
      <c r="W472" s="365" t="str">
        <f>+VLOOKUP($B472,[2]Time_S4!$B:$G,6,0)</f>
        <v>Trung tâm Phát triển nền tảng thanh toán</v>
      </c>
      <c r="X472" s="365" t="str">
        <f>IF(W472="Phòng Kinh doanh","Trung tâm Kinh doanh - TCT CNC",+VLOOKUP($B472,[2]Time_S4!$B:$G,5,0))</f>
        <v>Khối 2 - TCT CNC</v>
      </c>
      <c r="Y472" s="366"/>
      <c r="Z472" s="366"/>
    </row>
    <row r="473" spans="1:26" ht="15.75" hidden="1">
      <c r="A473" s="367">
        <f>SUBTOTAL(3,$B$15:B473)</f>
        <v>2</v>
      </c>
      <c r="B473" s="382" t="s">
        <v>1294</v>
      </c>
      <c r="C473" s="383" t="s">
        <v>1295</v>
      </c>
      <c r="D473" s="384" t="s">
        <v>407</v>
      </c>
      <c r="E473" s="385">
        <v>21</v>
      </c>
      <c r="F473" s="384">
        <v>21</v>
      </c>
      <c r="G473" s="358">
        <v>51810660</v>
      </c>
      <c r="H473" s="359">
        <f t="shared" si="15"/>
        <v>50565948</v>
      </c>
      <c r="I473" s="360"/>
      <c r="J473" s="361"/>
      <c r="K473" s="362"/>
      <c r="L473" s="362"/>
      <c r="M473" s="361">
        <v>948352</v>
      </c>
      <c r="N473" s="361">
        <v>2074520</v>
      </c>
      <c r="O473" s="361">
        <v>177816</v>
      </c>
      <c r="P473" s="361">
        <v>355632</v>
      </c>
      <c r="Q473" s="361">
        <v>118544</v>
      </c>
      <c r="R473" s="361">
        <v>118544</v>
      </c>
      <c r="S473" s="361">
        <v>237088</v>
      </c>
      <c r="T473" s="386">
        <v>1030000</v>
      </c>
      <c r="U473" s="364">
        <f t="shared" si="16"/>
        <v>55626444</v>
      </c>
      <c r="V473" s="362"/>
      <c r="W473" s="365" t="str">
        <f>+VLOOKUP($B473,[2]Time_S4!$B:$G,6,0)</f>
        <v>Trung tâm Nghiên cứu công nghệ Đa phương tiện</v>
      </c>
      <c r="X473" s="365" t="str">
        <f>IF(W473="Phòng Kinh doanh","Trung tâm Kinh doanh - TCT CNC",+VLOOKUP($B473,[2]Time_S4!$B:$G,5,0))</f>
        <v>Khối 2 - TCT CNC</v>
      </c>
      <c r="Y473" s="366"/>
      <c r="Z473" s="366"/>
    </row>
    <row r="474" spans="1:26" ht="15.75" hidden="1">
      <c r="A474" s="367">
        <f>SUBTOTAL(3,$B$15:B474)</f>
        <v>2</v>
      </c>
      <c r="B474" s="382" t="s">
        <v>1296</v>
      </c>
      <c r="C474" s="383" t="s">
        <v>1297</v>
      </c>
      <c r="D474" s="384" t="s">
        <v>407</v>
      </c>
      <c r="E474" s="385">
        <v>21</v>
      </c>
      <c r="F474" s="384">
        <v>21</v>
      </c>
      <c r="G474" s="358">
        <v>57571186</v>
      </c>
      <c r="H474" s="359">
        <f t="shared" si="15"/>
        <v>56196274</v>
      </c>
      <c r="I474" s="360"/>
      <c r="J474" s="361"/>
      <c r="K474" s="362"/>
      <c r="L474" s="362"/>
      <c r="M474" s="361">
        <v>1047552</v>
      </c>
      <c r="N474" s="361">
        <v>2291520</v>
      </c>
      <c r="O474" s="361">
        <v>196416</v>
      </c>
      <c r="P474" s="361">
        <v>392832</v>
      </c>
      <c r="Q474" s="361">
        <v>130944</v>
      </c>
      <c r="R474" s="361">
        <v>130944</v>
      </c>
      <c r="S474" s="361">
        <v>261888</v>
      </c>
      <c r="T474" s="386">
        <v>1130000</v>
      </c>
      <c r="U474" s="364">
        <f t="shared" si="16"/>
        <v>61778370</v>
      </c>
      <c r="V474" s="362"/>
      <c r="W474" s="365" t="str">
        <f>+VLOOKUP($B474,[2]Time_S4!$B:$G,6,0)</f>
        <v>Trung tâm Kỹ thuật công nghệ - TCT CNC</v>
      </c>
      <c r="X474" s="365" t="str">
        <f>IF(W474="Phòng Kinh doanh","Trung tâm Kinh doanh - TCT CNC",+VLOOKUP($B474,[2]Time_S4!$B:$G,5,0))</f>
        <v>Khối 2 - TCT CNC</v>
      </c>
      <c r="Y474" s="366"/>
      <c r="Z474" s="366"/>
    </row>
    <row r="475" spans="1:26" ht="15.75" hidden="1">
      <c r="A475" s="367">
        <f>SUBTOTAL(3,$B$15:B475)</f>
        <v>2</v>
      </c>
      <c r="B475" s="382" t="s">
        <v>1298</v>
      </c>
      <c r="C475" s="383" t="s">
        <v>1299</v>
      </c>
      <c r="D475" s="384" t="s">
        <v>407</v>
      </c>
      <c r="E475" s="385">
        <v>21</v>
      </c>
      <c r="F475" s="384">
        <v>21</v>
      </c>
      <c r="G475" s="358">
        <v>19921195</v>
      </c>
      <c r="H475" s="359">
        <f t="shared" si="15"/>
        <v>19004587</v>
      </c>
      <c r="I475" s="360"/>
      <c r="J475" s="361"/>
      <c r="K475" s="362"/>
      <c r="L475" s="362"/>
      <c r="M475" s="361">
        <v>698368</v>
      </c>
      <c r="N475" s="361">
        <v>1527680</v>
      </c>
      <c r="O475" s="361">
        <v>130944</v>
      </c>
      <c r="P475" s="361">
        <v>261888</v>
      </c>
      <c r="Q475" s="361">
        <v>87296</v>
      </c>
      <c r="R475" s="361">
        <v>87296</v>
      </c>
      <c r="S475" s="361">
        <v>174592</v>
      </c>
      <c r="T475" s="386">
        <v>1047000</v>
      </c>
      <c r="U475" s="364">
        <f t="shared" si="16"/>
        <v>23019651</v>
      </c>
      <c r="V475" s="362"/>
      <c r="W475" s="365" t="str">
        <f>+VLOOKUP($B475,[2]Time_S4!$B:$G,6,0)</f>
        <v>Phòng Tổng hợp</v>
      </c>
      <c r="X475" s="365" t="str">
        <f>IF(W475="Phòng Kinh doanh","Trung tâm Kinh doanh - TCT CNC",+VLOOKUP($B475,[2]Time_S4!$B:$G,5,0))</f>
        <v>Khối 2 - TCT CNC</v>
      </c>
      <c r="Y475" s="366"/>
      <c r="Z475" s="366"/>
    </row>
    <row r="476" spans="1:26" ht="15.75" hidden="1">
      <c r="A476" s="367">
        <f>SUBTOTAL(3,$B$15:B476)</f>
        <v>2</v>
      </c>
      <c r="B476" s="382" t="s">
        <v>1300</v>
      </c>
      <c r="C476" s="383" t="s">
        <v>1301</v>
      </c>
      <c r="D476" s="384" t="s">
        <v>407</v>
      </c>
      <c r="E476" s="385">
        <v>21</v>
      </c>
      <c r="F476" s="384">
        <v>21</v>
      </c>
      <c r="G476" s="358">
        <v>24790050</v>
      </c>
      <c r="H476" s="359">
        <f t="shared" si="15"/>
        <v>23774490</v>
      </c>
      <c r="I476" s="360"/>
      <c r="J476" s="361"/>
      <c r="K476" s="362"/>
      <c r="L476" s="362"/>
      <c r="M476" s="361">
        <v>773760</v>
      </c>
      <c r="N476" s="361">
        <v>1692600</v>
      </c>
      <c r="O476" s="361">
        <v>145080</v>
      </c>
      <c r="P476" s="361">
        <v>290160</v>
      </c>
      <c r="Q476" s="361">
        <v>96720</v>
      </c>
      <c r="R476" s="361">
        <v>96720</v>
      </c>
      <c r="S476" s="361">
        <v>193440</v>
      </c>
      <c r="T476" s="386">
        <v>1047000</v>
      </c>
      <c r="U476" s="364">
        <f t="shared" si="16"/>
        <v>28109970</v>
      </c>
      <c r="V476" s="362"/>
      <c r="W476" s="365" t="str">
        <f>+VLOOKUP($B476,[2]Time_S4!$B:$G,6,0)</f>
        <v>Phòng Đầu tư</v>
      </c>
      <c r="X476" s="365" t="str">
        <f>IF(W476="Phòng Kinh doanh","Trung tâm Kinh doanh - TCT CNC",+VLOOKUP($B476,[2]Time_S4!$B:$G,5,0))</f>
        <v>Trung tâm Mua sắm - TCT CNC</v>
      </c>
      <c r="Y476" s="366"/>
      <c r="Z476" s="366"/>
    </row>
    <row r="477" spans="1:26" ht="15.75" hidden="1">
      <c r="A477" s="367">
        <f>SUBTOTAL(3,$B$15:B477)</f>
        <v>2</v>
      </c>
      <c r="B477" s="382" t="s">
        <v>1302</v>
      </c>
      <c r="C477" s="383" t="s">
        <v>1303</v>
      </c>
      <c r="D477" s="384" t="s">
        <v>407</v>
      </c>
      <c r="E477" s="385">
        <v>21</v>
      </c>
      <c r="F477" s="384">
        <v>21</v>
      </c>
      <c r="G477" s="358">
        <v>38126632</v>
      </c>
      <c r="H477" s="359">
        <f t="shared" si="15"/>
        <v>37001704</v>
      </c>
      <c r="I477" s="360"/>
      <c r="J477" s="361"/>
      <c r="K477" s="362"/>
      <c r="L477" s="362"/>
      <c r="M477" s="361">
        <v>857088</v>
      </c>
      <c r="N477" s="361">
        <v>1874880</v>
      </c>
      <c r="O477" s="361">
        <v>160704</v>
      </c>
      <c r="P477" s="361">
        <v>321408</v>
      </c>
      <c r="Q477" s="361">
        <v>107136</v>
      </c>
      <c r="R477" s="361">
        <v>107136</v>
      </c>
      <c r="S477" s="361">
        <v>214272</v>
      </c>
      <c r="T477" s="386">
        <v>1030000</v>
      </c>
      <c r="U477" s="364">
        <f t="shared" si="16"/>
        <v>41674328</v>
      </c>
      <c r="V477" s="362"/>
      <c r="W477" s="365" t="str">
        <f>+VLOOKUP($B477,[2]Time_S4!$B:$G,6,0)</f>
        <v>Trung tâm Camera</v>
      </c>
      <c r="X477" s="365" t="str">
        <f>IF(W477="Phòng Kinh doanh","Trung tâm Kinh doanh - TCT CNC",+VLOOKUP($B477,[2]Time_S4!$B:$G,5,0))</f>
        <v>Khối 3 - TCT CNC</v>
      </c>
      <c r="Y477" s="366"/>
      <c r="Z477" s="366"/>
    </row>
    <row r="478" spans="1:26" ht="15.75" hidden="1">
      <c r="A478" s="367">
        <f>SUBTOTAL(3,$B$15:B478)</f>
        <v>2</v>
      </c>
      <c r="B478" s="382" t="s">
        <v>1304</v>
      </c>
      <c r="C478" s="383" t="s">
        <v>1305</v>
      </c>
      <c r="D478" s="384" t="s">
        <v>407</v>
      </c>
      <c r="E478" s="385">
        <v>21</v>
      </c>
      <c r="F478" s="384">
        <v>21</v>
      </c>
      <c r="G478" s="358">
        <v>15324908</v>
      </c>
      <c r="H478" s="359">
        <f t="shared" si="15"/>
        <v>14496836</v>
      </c>
      <c r="I478" s="360"/>
      <c r="J478" s="361"/>
      <c r="K478" s="362"/>
      <c r="L478" s="362"/>
      <c r="M478" s="361">
        <v>630912</v>
      </c>
      <c r="N478" s="361">
        <v>1380120</v>
      </c>
      <c r="O478" s="361">
        <v>118296</v>
      </c>
      <c r="P478" s="361">
        <v>236592</v>
      </c>
      <c r="Q478" s="361">
        <v>78864</v>
      </c>
      <c r="R478" s="361">
        <v>78864</v>
      </c>
      <c r="S478" s="361">
        <v>157728</v>
      </c>
      <c r="T478" s="386">
        <v>930000</v>
      </c>
      <c r="U478" s="364">
        <f t="shared" si="16"/>
        <v>18108212</v>
      </c>
      <c r="V478" s="362"/>
      <c r="W478" s="365" t="str">
        <f>+VLOOKUP($B478,[2]Time_S4!$B:$G,6,0)</f>
        <v>Phòng Đảm bảo hàng hóa</v>
      </c>
      <c r="X478" s="365" t="str">
        <f>IF(W478="Phòng Kinh doanh","Trung tâm Kinh doanh - TCT CNC",+VLOOKUP($B478,[2]Time_S4!$B:$G,5,0))</f>
        <v>Trung tâm Mua sắm - TCT CNC</v>
      </c>
      <c r="Y478" s="366"/>
      <c r="Z478" s="366"/>
    </row>
    <row r="479" spans="1:26" ht="15.75" hidden="1">
      <c r="A479" s="367">
        <f>SUBTOTAL(3,$B$15:B479)</f>
        <v>2</v>
      </c>
      <c r="B479" s="382" t="s">
        <v>1306</v>
      </c>
      <c r="C479" s="383" t="s">
        <v>1307</v>
      </c>
      <c r="D479" s="384" t="s">
        <v>407</v>
      </c>
      <c r="E479" s="385">
        <v>21</v>
      </c>
      <c r="F479" s="384">
        <v>21</v>
      </c>
      <c r="G479" s="358">
        <v>26960570</v>
      </c>
      <c r="H479" s="359">
        <f t="shared" si="15"/>
        <v>25945010</v>
      </c>
      <c r="I479" s="360"/>
      <c r="J479" s="361"/>
      <c r="K479" s="362"/>
      <c r="L479" s="362"/>
      <c r="M479" s="361">
        <v>773760</v>
      </c>
      <c r="N479" s="361">
        <v>1692600</v>
      </c>
      <c r="O479" s="361">
        <v>145080</v>
      </c>
      <c r="P479" s="361">
        <v>290160</v>
      </c>
      <c r="Q479" s="361">
        <v>96720</v>
      </c>
      <c r="R479" s="361">
        <v>96720</v>
      </c>
      <c r="S479" s="361">
        <v>193440</v>
      </c>
      <c r="T479" s="386">
        <v>2130000</v>
      </c>
      <c r="U479" s="364">
        <f t="shared" si="16"/>
        <v>31363490</v>
      </c>
      <c r="V479" s="362"/>
      <c r="W479" s="365" t="str">
        <f>+VLOOKUP($B479,[2]Time_S4!$B:$G,6,0)</f>
        <v>Trung tâm dịch vụ sau bán hàng</v>
      </c>
      <c r="X479" s="365" t="str">
        <f>IF(W479="Phòng Kinh doanh","Trung tâm Kinh doanh - TCT CNC",+VLOOKUP($B479,[2]Time_S4!$B:$G,5,0))</f>
        <v>Khối 2 - TCT CNC</v>
      </c>
      <c r="Y479" s="366"/>
      <c r="Z479" s="366"/>
    </row>
    <row r="480" spans="1:26" ht="15.75" hidden="1">
      <c r="A480" s="367">
        <f>SUBTOTAL(3,$B$15:B480)</f>
        <v>2</v>
      </c>
      <c r="B480" s="382" t="s">
        <v>1308</v>
      </c>
      <c r="C480" s="383" t="s">
        <v>1309</v>
      </c>
      <c r="D480" s="384" t="s">
        <v>407</v>
      </c>
      <c r="E480" s="385">
        <v>21</v>
      </c>
      <c r="F480" s="384">
        <v>21</v>
      </c>
      <c r="G480" s="358">
        <v>20344177</v>
      </c>
      <c r="H480" s="359">
        <f t="shared" si="15"/>
        <v>19427569</v>
      </c>
      <c r="I480" s="360"/>
      <c r="J480" s="361"/>
      <c r="K480" s="362"/>
      <c r="L480" s="362"/>
      <c r="M480" s="361">
        <v>698368</v>
      </c>
      <c r="N480" s="361">
        <v>1527680</v>
      </c>
      <c r="O480" s="361">
        <v>130944</v>
      </c>
      <c r="P480" s="361">
        <v>261888</v>
      </c>
      <c r="Q480" s="361">
        <v>87296</v>
      </c>
      <c r="R480" s="361">
        <v>87296</v>
      </c>
      <c r="S480" s="361">
        <v>174592</v>
      </c>
      <c r="T480" s="386">
        <v>1398000</v>
      </c>
      <c r="U480" s="364">
        <f t="shared" si="16"/>
        <v>23793633</v>
      </c>
      <c r="V480" s="362"/>
      <c r="W480" s="365" t="str">
        <f>+VLOOKUP($B480,[2]Time_S4!$B:$G,6,0)</f>
        <v>Trung tâm Nghiên cứu Công nghệ chuyển mạch</v>
      </c>
      <c r="X480" s="365" t="str">
        <f>IF(W480="Phòng Kinh doanh","Trung tâm Kinh doanh - TCT CNC",+VLOOKUP($B480,[2]Time_S4!$B:$G,5,0))</f>
        <v>Khối 2 - TCT CNC</v>
      </c>
      <c r="Y480" s="366"/>
      <c r="Z480" s="366"/>
    </row>
    <row r="481" spans="1:26" ht="15.75" hidden="1">
      <c r="A481" s="367">
        <f>SUBTOTAL(3,$B$15:B481)</f>
        <v>2</v>
      </c>
      <c r="B481" s="382" t="s">
        <v>1310</v>
      </c>
      <c r="C481" s="383" t="s">
        <v>1311</v>
      </c>
      <c r="D481" s="384" t="s">
        <v>407</v>
      </c>
      <c r="E481" s="385">
        <v>21</v>
      </c>
      <c r="F481" s="384">
        <v>21</v>
      </c>
      <c r="G481" s="358">
        <v>25051680</v>
      </c>
      <c r="H481" s="359">
        <f t="shared" si="15"/>
        <v>24036120</v>
      </c>
      <c r="I481" s="360"/>
      <c r="J481" s="361"/>
      <c r="K481" s="362"/>
      <c r="L481" s="362"/>
      <c r="M481" s="361">
        <v>773760</v>
      </c>
      <c r="N481" s="361">
        <v>1692600</v>
      </c>
      <c r="O481" s="361">
        <v>145080</v>
      </c>
      <c r="P481" s="361">
        <v>290160</v>
      </c>
      <c r="Q481" s="361">
        <v>96720</v>
      </c>
      <c r="R481" s="361">
        <v>96720</v>
      </c>
      <c r="S481" s="361">
        <v>193440</v>
      </c>
      <c r="T481" s="386">
        <v>1047000</v>
      </c>
      <c r="U481" s="364">
        <f t="shared" si="16"/>
        <v>28371600</v>
      </c>
      <c r="V481" s="362"/>
      <c r="W481" s="365" t="str">
        <f>+VLOOKUP($B481,[2]Time_S4!$B:$G,6,0)</f>
        <v>Trung tâm Kỹ thuật công nghệ - TCT CNC</v>
      </c>
      <c r="X481" s="365" t="str">
        <f>IF(W481="Phòng Kinh doanh","Trung tâm Kinh doanh - TCT CNC",+VLOOKUP($B481,[2]Time_S4!$B:$G,5,0))</f>
        <v>Khối 2 - TCT CNC</v>
      </c>
      <c r="Y481" s="366"/>
      <c r="Z481" s="366"/>
    </row>
    <row r="482" spans="1:26" ht="15.75" hidden="1">
      <c r="A482" s="367">
        <f>SUBTOTAL(3,$B$15:B482)</f>
        <v>2</v>
      </c>
      <c r="B482" s="382" t="s">
        <v>1312</v>
      </c>
      <c r="C482" s="383" t="s">
        <v>1313</v>
      </c>
      <c r="D482" s="384" t="s">
        <v>407</v>
      </c>
      <c r="E482" s="385">
        <v>21</v>
      </c>
      <c r="F482" s="384">
        <v>21</v>
      </c>
      <c r="G482" s="358">
        <v>30425486</v>
      </c>
      <c r="H482" s="359">
        <f t="shared" si="15"/>
        <v>29409926</v>
      </c>
      <c r="I482" s="360"/>
      <c r="J482" s="361"/>
      <c r="K482" s="362"/>
      <c r="L482" s="362"/>
      <c r="M482" s="361">
        <v>773760</v>
      </c>
      <c r="N482" s="361">
        <v>1692600</v>
      </c>
      <c r="O482" s="361">
        <v>145080</v>
      </c>
      <c r="P482" s="361">
        <v>290160</v>
      </c>
      <c r="Q482" s="361">
        <v>96720</v>
      </c>
      <c r="R482" s="361">
        <v>96720</v>
      </c>
      <c r="S482" s="361">
        <v>193440</v>
      </c>
      <c r="T482" s="386">
        <v>1030000</v>
      </c>
      <c r="U482" s="364">
        <f t="shared" si="16"/>
        <v>33728406</v>
      </c>
      <c r="V482" s="362"/>
      <c r="W482" s="365" t="str">
        <f>+VLOOKUP($B482,[2]Time_S4!$B:$G,6,0)</f>
        <v>Trung tâm Nghiên cứu thiết bị vô tuyến băng rộng</v>
      </c>
      <c r="X482" s="365" t="str">
        <f>IF(W482="Phòng Kinh doanh","Trung tâm Kinh doanh - TCT CNC",+VLOOKUP($B482,[2]Time_S4!$B:$G,5,0))</f>
        <v>Khối 2 - TCT CNC</v>
      </c>
      <c r="Y482" s="366"/>
      <c r="Z482" s="366"/>
    </row>
    <row r="483" spans="1:26" ht="15.75" hidden="1">
      <c r="A483" s="367">
        <f>SUBTOTAL(3,$B$15:B483)</f>
        <v>2</v>
      </c>
      <c r="B483" s="382" t="s">
        <v>1314</v>
      </c>
      <c r="C483" s="383" t="s">
        <v>1315</v>
      </c>
      <c r="D483" s="384" t="s">
        <v>407</v>
      </c>
      <c r="E483" s="385">
        <v>21</v>
      </c>
      <c r="F483" s="384">
        <v>21</v>
      </c>
      <c r="G483" s="358">
        <v>34185912</v>
      </c>
      <c r="H483" s="359">
        <f t="shared" si="15"/>
        <v>33060984</v>
      </c>
      <c r="I483" s="360"/>
      <c r="J483" s="361"/>
      <c r="K483" s="362"/>
      <c r="L483" s="362"/>
      <c r="M483" s="361">
        <v>857088</v>
      </c>
      <c r="N483" s="361">
        <v>1874880</v>
      </c>
      <c r="O483" s="361">
        <v>160704</v>
      </c>
      <c r="P483" s="361">
        <v>321408</v>
      </c>
      <c r="Q483" s="361">
        <v>107136</v>
      </c>
      <c r="R483" s="361">
        <v>107136</v>
      </c>
      <c r="S483" s="361">
        <v>214272</v>
      </c>
      <c r="T483" s="386">
        <v>1030000</v>
      </c>
      <c r="U483" s="364">
        <f t="shared" si="16"/>
        <v>37733608</v>
      </c>
      <c r="V483" s="362"/>
      <c r="W483" s="365" t="str">
        <f>+VLOOKUP($B483,[2]Time_S4!$B:$G,6,0)</f>
        <v>Trung tâm Nền tảng IOT</v>
      </c>
      <c r="X483" s="365" t="str">
        <f>IF(W483="Phòng Kinh doanh","Trung tâm Kinh doanh - TCT CNC",+VLOOKUP($B483,[2]Time_S4!$B:$G,5,0))</f>
        <v>Khối 3 - TCT CNC</v>
      </c>
      <c r="Y483" s="366"/>
      <c r="Z483" s="366"/>
    </row>
    <row r="484" spans="1:26" ht="15.75" hidden="1">
      <c r="A484" s="367">
        <f>SUBTOTAL(3,$B$15:B484)</f>
        <v>2</v>
      </c>
      <c r="B484" s="382" t="s">
        <v>1316</v>
      </c>
      <c r="C484" s="383" t="s">
        <v>1317</v>
      </c>
      <c r="D484" s="384" t="s">
        <v>407</v>
      </c>
      <c r="E484" s="385">
        <v>21</v>
      </c>
      <c r="F484" s="384">
        <v>21</v>
      </c>
      <c r="G484" s="358">
        <v>52304747</v>
      </c>
      <c r="H484" s="359">
        <f t="shared" si="15"/>
        <v>51060035</v>
      </c>
      <c r="I484" s="360"/>
      <c r="J484" s="361"/>
      <c r="K484" s="362"/>
      <c r="L484" s="362"/>
      <c r="M484" s="361">
        <v>948352</v>
      </c>
      <c r="N484" s="361">
        <v>2074520</v>
      </c>
      <c r="O484" s="361">
        <v>177816</v>
      </c>
      <c r="P484" s="361">
        <v>355632</v>
      </c>
      <c r="Q484" s="361">
        <v>118544</v>
      </c>
      <c r="R484" s="361">
        <v>118544</v>
      </c>
      <c r="S484" s="361">
        <v>237088</v>
      </c>
      <c r="T484" s="386">
        <v>1030000</v>
      </c>
      <c r="U484" s="364">
        <f t="shared" si="16"/>
        <v>56120531</v>
      </c>
      <c r="V484" s="362"/>
      <c r="W484" s="365" t="str">
        <f>+VLOOKUP($B484,[2]Time_S4!$B:$G,6,0)</f>
        <v>Trung tâm Nghiên cứu thiết bị vô tuyến băng rộng</v>
      </c>
      <c r="X484" s="365" t="str">
        <f>IF(W484="Phòng Kinh doanh","Trung tâm Kinh doanh - TCT CNC",+VLOOKUP($B484,[2]Time_S4!$B:$G,5,0))</f>
        <v>Khối 2 - TCT CNC</v>
      </c>
      <c r="Y484" s="366"/>
      <c r="Z484" s="366"/>
    </row>
    <row r="485" spans="1:26" ht="15.75" hidden="1">
      <c r="A485" s="367">
        <f>SUBTOTAL(3,$B$15:B485)</f>
        <v>2</v>
      </c>
      <c r="B485" s="382" t="s">
        <v>1318</v>
      </c>
      <c r="C485" s="383" t="s">
        <v>1319</v>
      </c>
      <c r="D485" s="384" t="s">
        <v>407</v>
      </c>
      <c r="E485" s="385">
        <v>21</v>
      </c>
      <c r="F485" s="384">
        <v>21</v>
      </c>
      <c r="G485" s="358">
        <v>15307587</v>
      </c>
      <c r="H485" s="359">
        <f t="shared" si="15"/>
        <v>14474307</v>
      </c>
      <c r="I485" s="360"/>
      <c r="J485" s="361"/>
      <c r="K485" s="362"/>
      <c r="L485" s="362"/>
      <c r="M485" s="361">
        <v>634880</v>
      </c>
      <c r="N485" s="361">
        <v>1388800</v>
      </c>
      <c r="O485" s="361">
        <v>119040</v>
      </c>
      <c r="P485" s="361">
        <v>238080</v>
      </c>
      <c r="Q485" s="361">
        <v>79360</v>
      </c>
      <c r="R485" s="361">
        <v>79360</v>
      </c>
      <c r="S485" s="361">
        <v>158720</v>
      </c>
      <c r="T485" s="386">
        <v>1830000</v>
      </c>
      <c r="U485" s="364">
        <f t="shared" si="16"/>
        <v>19002547</v>
      </c>
      <c r="V485" s="362"/>
      <c r="W485" s="365" t="str">
        <f>+VLOOKUP($B485,[2]Time_S4!$B:$G,6,0)</f>
        <v>Phòng Hành chính</v>
      </c>
      <c r="X485" s="365" t="str">
        <f>IF(W485="Phòng Kinh doanh","Trung tâm Kinh doanh - TCT CNC",+VLOOKUP($B485,[2]Time_S4!$B:$G,5,0))</f>
        <v>Khối cơ quan - TCT CNC</v>
      </c>
      <c r="Y485" s="366"/>
      <c r="Z485" s="366"/>
    </row>
    <row r="486" spans="1:26" ht="15.75" hidden="1">
      <c r="A486" s="367">
        <f>SUBTOTAL(3,$B$15:B486)</f>
        <v>2</v>
      </c>
      <c r="B486" s="382" t="s">
        <v>1320</v>
      </c>
      <c r="C486" s="383" t="s">
        <v>1321</v>
      </c>
      <c r="D486" s="384" t="s">
        <v>407</v>
      </c>
      <c r="E486" s="385">
        <v>21</v>
      </c>
      <c r="F486" s="384">
        <v>21</v>
      </c>
      <c r="G486" s="358">
        <v>26960570</v>
      </c>
      <c r="H486" s="359">
        <f t="shared" si="15"/>
        <v>25945010</v>
      </c>
      <c r="I486" s="360"/>
      <c r="J486" s="361"/>
      <c r="K486" s="362"/>
      <c r="L486" s="362"/>
      <c r="M486" s="361">
        <v>773760</v>
      </c>
      <c r="N486" s="361">
        <v>1692600</v>
      </c>
      <c r="O486" s="361">
        <v>145080</v>
      </c>
      <c r="P486" s="361">
        <v>290160</v>
      </c>
      <c r="Q486" s="361">
        <v>96720</v>
      </c>
      <c r="R486" s="361">
        <v>96720</v>
      </c>
      <c r="S486" s="361">
        <v>193440</v>
      </c>
      <c r="T486" s="386">
        <v>930000</v>
      </c>
      <c r="U486" s="364">
        <f t="shared" si="16"/>
        <v>30163490</v>
      </c>
      <c r="V486" s="362"/>
      <c r="W486" s="365" t="str">
        <f>+VLOOKUP($B486,[2]Time_S4!$B:$G,6,0)</f>
        <v>Trung tâm dịch vụ sau bán hàng</v>
      </c>
      <c r="X486" s="365" t="str">
        <f>IF(W486="Phòng Kinh doanh","Trung tâm Kinh doanh - TCT CNC",+VLOOKUP($B486,[2]Time_S4!$B:$G,5,0))</f>
        <v>Khối 1 - TCT CNC</v>
      </c>
      <c r="Y486" s="366"/>
      <c r="Z486" s="366"/>
    </row>
    <row r="487" spans="1:26" ht="15.75" hidden="1">
      <c r="A487" s="367">
        <f>SUBTOTAL(3,$B$15:B487)</f>
        <v>2</v>
      </c>
      <c r="B487" s="382" t="s">
        <v>1322</v>
      </c>
      <c r="C487" s="383" t="s">
        <v>1323</v>
      </c>
      <c r="D487" s="384" t="s">
        <v>407</v>
      </c>
      <c r="E487" s="385">
        <v>21</v>
      </c>
      <c r="F487" s="384">
        <v>21</v>
      </c>
      <c r="G487" s="358">
        <v>21629533</v>
      </c>
      <c r="H487" s="359">
        <f t="shared" si="15"/>
        <v>20712925</v>
      </c>
      <c r="I487" s="360"/>
      <c r="J487" s="361"/>
      <c r="K487" s="362"/>
      <c r="L487" s="362"/>
      <c r="M487" s="361">
        <v>698368</v>
      </c>
      <c r="N487" s="361">
        <v>1527680</v>
      </c>
      <c r="O487" s="361">
        <v>130944</v>
      </c>
      <c r="P487" s="361">
        <v>261888</v>
      </c>
      <c r="Q487" s="361">
        <v>87296</v>
      </c>
      <c r="R487" s="361">
        <v>87296</v>
      </c>
      <c r="S487" s="361">
        <v>174592</v>
      </c>
      <c r="T487" s="386">
        <v>930000</v>
      </c>
      <c r="U487" s="364">
        <f t="shared" si="16"/>
        <v>24610989</v>
      </c>
      <c r="V487" s="362"/>
      <c r="W487" s="365" t="str">
        <f>+VLOOKUP($B487,[2]Time_S4!$B:$G,6,0)</f>
        <v>Phòng Quản lý tiêu chuẩn và quy trình</v>
      </c>
      <c r="X487" s="365" t="str">
        <f>IF(W487="Phòng Kinh doanh","Trung tâm Kinh doanh - TCT CNC",+VLOOKUP($B487,[2]Time_S4!$B:$G,5,0))</f>
        <v>Trung tâm Quản lý chất lượng - TCT CNC</v>
      </c>
      <c r="Y487" s="366"/>
      <c r="Z487" s="366"/>
    </row>
    <row r="488" spans="1:26" ht="15.75" hidden="1">
      <c r="A488" s="367">
        <f>SUBTOTAL(3,$B$15:B488)</f>
        <v>2</v>
      </c>
      <c r="B488" s="382" t="s">
        <v>1324</v>
      </c>
      <c r="C488" s="383" t="s">
        <v>1325</v>
      </c>
      <c r="D488" s="384" t="s">
        <v>407</v>
      </c>
      <c r="E488" s="385">
        <v>21</v>
      </c>
      <c r="F488" s="384">
        <v>21</v>
      </c>
      <c r="G488" s="358">
        <v>30142054</v>
      </c>
      <c r="H488" s="359">
        <f t="shared" si="15"/>
        <v>29074414</v>
      </c>
      <c r="I488" s="360"/>
      <c r="J488" s="361"/>
      <c r="K488" s="362"/>
      <c r="L488" s="362"/>
      <c r="M488" s="361">
        <v>813440</v>
      </c>
      <c r="N488" s="361">
        <v>1779400</v>
      </c>
      <c r="O488" s="361">
        <v>152520</v>
      </c>
      <c r="P488" s="361">
        <v>305040</v>
      </c>
      <c r="Q488" s="361">
        <v>101680</v>
      </c>
      <c r="R488" s="361">
        <v>101680</v>
      </c>
      <c r="S488" s="361">
        <v>203360</v>
      </c>
      <c r="T488" s="386">
        <v>1030000</v>
      </c>
      <c r="U488" s="364">
        <f t="shared" si="16"/>
        <v>33561534</v>
      </c>
      <c r="V488" s="362"/>
      <c r="W488" s="365" t="str">
        <f>+VLOOKUP($B488,[2]Time_S4!$B:$G,6,0)</f>
        <v>Trung tâm Chỉ huy điều khiển</v>
      </c>
      <c r="X488" s="365" t="str">
        <f>IF(W488="Phòng Kinh doanh","Trung tâm Kinh doanh - TCT CNC",+VLOOKUP($B488,[2]Time_S4!$B:$G,5,0))</f>
        <v>Khối 1 - TCT CNC</v>
      </c>
      <c r="Y488" s="366"/>
      <c r="Z488" s="366"/>
    </row>
    <row r="489" spans="1:26" ht="15.75" hidden="1">
      <c r="A489" s="367">
        <f>SUBTOTAL(3,$B$15:B489)</f>
        <v>2</v>
      </c>
      <c r="B489" s="382" t="s">
        <v>1326</v>
      </c>
      <c r="C489" s="383" t="s">
        <v>1327</v>
      </c>
      <c r="D489" s="384" t="s">
        <v>407</v>
      </c>
      <c r="E489" s="385">
        <v>21</v>
      </c>
      <c r="F489" s="384">
        <v>21</v>
      </c>
      <c r="G489" s="358">
        <v>17200069</v>
      </c>
      <c r="H489" s="359">
        <f t="shared" si="15"/>
        <v>16330333</v>
      </c>
      <c r="I489" s="360"/>
      <c r="J489" s="361"/>
      <c r="K489" s="362"/>
      <c r="L489" s="362"/>
      <c r="M489" s="361">
        <v>662656</v>
      </c>
      <c r="N489" s="361">
        <v>1449560</v>
      </c>
      <c r="O489" s="361">
        <v>124248</v>
      </c>
      <c r="P489" s="361">
        <v>248496</v>
      </c>
      <c r="Q489" s="361">
        <v>82832</v>
      </c>
      <c r="R489" s="361">
        <v>82832</v>
      </c>
      <c r="S489" s="361">
        <v>165664</v>
      </c>
      <c r="T489" s="386">
        <v>930000</v>
      </c>
      <c r="U489" s="364">
        <f t="shared" si="16"/>
        <v>20076621</v>
      </c>
      <c r="V489" s="362"/>
      <c r="W489" s="365" t="str">
        <f>+VLOOKUP($B489,[2]Time_S4!$B:$G,6,0)</f>
        <v>Trung tâm dịch vụ sau bán hàng</v>
      </c>
      <c r="X489" s="365" t="str">
        <f>IF(W489="Phòng Kinh doanh","Trung tâm Kinh doanh - TCT CNC",+VLOOKUP($B489,[2]Time_S4!$B:$G,5,0))</f>
        <v>Khối 1 - TCT CNC</v>
      </c>
      <c r="Y489" s="366"/>
      <c r="Z489" s="366"/>
    </row>
    <row r="490" spans="1:26" ht="15.75" hidden="1">
      <c r="A490" s="367">
        <f>SUBTOTAL(3,$B$15:B490)</f>
        <v>2</v>
      </c>
      <c r="B490" s="382" t="s">
        <v>1328</v>
      </c>
      <c r="C490" s="383" t="s">
        <v>1329</v>
      </c>
      <c r="D490" s="384" t="s">
        <v>407</v>
      </c>
      <c r="E490" s="385">
        <v>21</v>
      </c>
      <c r="F490" s="384">
        <v>21</v>
      </c>
      <c r="G490" s="358">
        <v>22088068</v>
      </c>
      <c r="H490" s="359">
        <f t="shared" si="15"/>
        <v>21124588</v>
      </c>
      <c r="I490" s="360"/>
      <c r="J490" s="361"/>
      <c r="K490" s="362"/>
      <c r="L490" s="362"/>
      <c r="M490" s="361">
        <v>734080</v>
      </c>
      <c r="N490" s="361">
        <v>1605800</v>
      </c>
      <c r="O490" s="361">
        <v>137640</v>
      </c>
      <c r="P490" s="361">
        <v>275280</v>
      </c>
      <c r="Q490" s="361">
        <v>91760</v>
      </c>
      <c r="R490" s="361">
        <v>91760</v>
      </c>
      <c r="S490" s="361">
        <v>183520</v>
      </c>
      <c r="T490" s="386">
        <v>930000</v>
      </c>
      <c r="U490" s="364">
        <f t="shared" si="16"/>
        <v>25174428</v>
      </c>
      <c r="V490" s="362"/>
      <c r="W490" s="365" t="str">
        <f>+VLOOKUP($B490,[2]Time_S4!$B:$G,6,0)</f>
        <v>Trung tâm Thông tin Quân sự</v>
      </c>
      <c r="X490" s="365" t="str">
        <f>IF(W490="Phòng Kinh doanh","Trung tâm Kinh doanh - TCT CNC",+VLOOKUP($B490,[2]Time_S4!$B:$G,5,0))</f>
        <v>Khối 1 - TCT CNC</v>
      </c>
      <c r="Y490" s="366"/>
      <c r="Z490" s="366"/>
    </row>
    <row r="491" spans="1:26" ht="15.75" hidden="1">
      <c r="A491" s="367">
        <f>SUBTOTAL(3,$B$15:B491)</f>
        <v>2</v>
      </c>
      <c r="B491" s="382" t="s">
        <v>1330</v>
      </c>
      <c r="C491" s="383" t="s">
        <v>1331</v>
      </c>
      <c r="D491" s="384" t="s">
        <v>407</v>
      </c>
      <c r="E491" s="385">
        <v>21</v>
      </c>
      <c r="F491" s="384">
        <v>21</v>
      </c>
      <c r="G491" s="358">
        <v>15006759</v>
      </c>
      <c r="H491" s="359">
        <f t="shared" si="15"/>
        <v>14178687</v>
      </c>
      <c r="I491" s="360"/>
      <c r="J491" s="361"/>
      <c r="K491" s="362"/>
      <c r="L491" s="362"/>
      <c r="M491" s="361">
        <v>630912</v>
      </c>
      <c r="N491" s="361">
        <v>1380120</v>
      </c>
      <c r="O491" s="361">
        <v>118296</v>
      </c>
      <c r="P491" s="361">
        <v>236592</v>
      </c>
      <c r="Q491" s="361">
        <v>78864</v>
      </c>
      <c r="R491" s="361">
        <v>78864</v>
      </c>
      <c r="S491" s="361">
        <v>157728</v>
      </c>
      <c r="T491" s="386">
        <v>1047000</v>
      </c>
      <c r="U491" s="364">
        <f t="shared" si="16"/>
        <v>17907063</v>
      </c>
      <c r="V491" s="362"/>
      <c r="W491" s="365" t="str">
        <f>+VLOOKUP($B491,[2]Time_S4!$B:$G,6,0)</f>
        <v>Phòng Tổng hợp</v>
      </c>
      <c r="X491" s="365" t="str">
        <f>IF(W491="Phòng Kinh doanh","Trung tâm Kinh doanh - TCT CNC",+VLOOKUP($B491,[2]Time_S4!$B:$G,5,0))</f>
        <v>Khối 2 - TCT CNC</v>
      </c>
      <c r="Y491" s="366"/>
      <c r="Z491" s="366"/>
    </row>
    <row r="492" spans="1:26" ht="15.75" hidden="1">
      <c r="A492" s="367">
        <f>SUBTOTAL(3,$B$15:B492)</f>
        <v>2</v>
      </c>
      <c r="B492" s="382" t="s">
        <v>1332</v>
      </c>
      <c r="C492" s="383" t="s">
        <v>1333</v>
      </c>
      <c r="D492" s="384" t="s">
        <v>407</v>
      </c>
      <c r="E492" s="385">
        <v>21</v>
      </c>
      <c r="F492" s="384">
        <v>21</v>
      </c>
      <c r="G492" s="358">
        <v>28302445</v>
      </c>
      <c r="H492" s="359">
        <f t="shared" si="15"/>
        <v>27286885</v>
      </c>
      <c r="I492" s="360"/>
      <c r="J492" s="361"/>
      <c r="K492" s="362"/>
      <c r="L492" s="362"/>
      <c r="M492" s="361">
        <v>773760</v>
      </c>
      <c r="N492" s="361">
        <v>1692600</v>
      </c>
      <c r="O492" s="361">
        <v>145080</v>
      </c>
      <c r="P492" s="361">
        <v>290160</v>
      </c>
      <c r="Q492" s="361">
        <v>96720</v>
      </c>
      <c r="R492" s="361">
        <v>96720</v>
      </c>
      <c r="S492" s="361">
        <v>193440</v>
      </c>
      <c r="T492" s="386">
        <v>1147000</v>
      </c>
      <c r="U492" s="364">
        <f t="shared" si="16"/>
        <v>31722365</v>
      </c>
      <c r="V492" s="362"/>
      <c r="W492" s="365" t="str">
        <f>+VLOOKUP($B492,[2]Time_S4!$B:$G,6,0)</f>
        <v>Phòng Nhân sự</v>
      </c>
      <c r="X492" s="365" t="str">
        <f>IF(W492="Phòng Kinh doanh","Trung tâm Kinh doanh - TCT CNC",+VLOOKUP($B492,[2]Time_S4!$B:$G,5,0))</f>
        <v>Khối cơ quan - TCT CNC</v>
      </c>
      <c r="Y492" s="366"/>
      <c r="Z492" s="366"/>
    </row>
    <row r="493" spans="1:26" ht="15.75" hidden="1">
      <c r="A493" s="367">
        <f>SUBTOTAL(3,$B$15:B493)</f>
        <v>2</v>
      </c>
      <c r="B493" s="382" t="s">
        <v>1334</v>
      </c>
      <c r="C493" s="383" t="s">
        <v>1335</v>
      </c>
      <c r="D493" s="384" t="s">
        <v>407</v>
      </c>
      <c r="E493" s="385">
        <v>21</v>
      </c>
      <c r="F493" s="384">
        <v>21</v>
      </c>
      <c r="G493" s="358">
        <v>20131774</v>
      </c>
      <c r="H493" s="359">
        <f t="shared" si="15"/>
        <v>19215166</v>
      </c>
      <c r="I493" s="360"/>
      <c r="J493" s="361"/>
      <c r="K493" s="362"/>
      <c r="L493" s="362"/>
      <c r="M493" s="361">
        <v>698368</v>
      </c>
      <c r="N493" s="361">
        <v>1527680</v>
      </c>
      <c r="O493" s="361">
        <v>130944</v>
      </c>
      <c r="P493" s="361">
        <v>261888</v>
      </c>
      <c r="Q493" s="361">
        <v>87296</v>
      </c>
      <c r="R493" s="361">
        <v>87296</v>
      </c>
      <c r="S493" s="361">
        <v>174592</v>
      </c>
      <c r="T493" s="386">
        <v>1398000</v>
      </c>
      <c r="U493" s="364">
        <f t="shared" si="16"/>
        <v>23581230</v>
      </c>
      <c r="V493" s="362"/>
      <c r="W493" s="365" t="str">
        <f>+VLOOKUP($B493,[2]Time_S4!$B:$G,6,0)</f>
        <v>Văn phòng</v>
      </c>
      <c r="X493" s="365" t="str">
        <f>IF(W493="Phòng Kinh doanh","Trung tâm Kinh doanh - TCT CNC",+VLOOKUP($B493,[2]Time_S4!$B:$G,5,0))</f>
        <v>Khối cơ quan - TCT CNC</v>
      </c>
      <c r="Y493" s="366"/>
      <c r="Z493" s="366"/>
    </row>
    <row r="494" spans="1:26" ht="15.75" hidden="1">
      <c r="A494" s="367">
        <f>SUBTOTAL(3,$B$15:B494)</f>
        <v>2</v>
      </c>
      <c r="B494" s="382" t="s">
        <v>1336</v>
      </c>
      <c r="C494" s="383" t="s">
        <v>1337</v>
      </c>
      <c r="D494" s="384" t="s">
        <v>407</v>
      </c>
      <c r="E494" s="385">
        <v>21</v>
      </c>
      <c r="F494" s="384">
        <v>21</v>
      </c>
      <c r="G494" s="358">
        <v>25852064</v>
      </c>
      <c r="H494" s="359">
        <f t="shared" si="15"/>
        <v>24836504</v>
      </c>
      <c r="I494" s="360"/>
      <c r="J494" s="361"/>
      <c r="K494" s="362"/>
      <c r="L494" s="362"/>
      <c r="M494" s="361">
        <v>773760</v>
      </c>
      <c r="N494" s="361">
        <v>1692600</v>
      </c>
      <c r="O494" s="361">
        <v>145080</v>
      </c>
      <c r="P494" s="361">
        <v>290160</v>
      </c>
      <c r="Q494" s="361">
        <v>96720</v>
      </c>
      <c r="R494" s="361">
        <v>96720</v>
      </c>
      <c r="S494" s="361">
        <v>193440</v>
      </c>
      <c r="T494" s="386">
        <v>930000</v>
      </c>
      <c r="U494" s="364">
        <f t="shared" si="16"/>
        <v>29054984</v>
      </c>
      <c r="V494" s="362"/>
      <c r="W494" s="365" t="str">
        <f>+VLOOKUP($B494,[2]Time_S4!$B:$G,6,0)</f>
        <v>Phòng Đầu tư</v>
      </c>
      <c r="X494" s="365" t="str">
        <f>IF(W494="Phòng Kinh doanh","Trung tâm Kinh doanh - TCT CNC",+VLOOKUP($B494,[2]Time_S4!$B:$G,5,0))</f>
        <v>Trung tâm Mua sắm - TCT CNC</v>
      </c>
      <c r="Y494" s="366"/>
      <c r="Z494" s="366"/>
    </row>
    <row r="495" spans="1:26" ht="15.75" hidden="1">
      <c r="A495" s="367">
        <f>SUBTOTAL(3,$B$15:B495)</f>
        <v>2</v>
      </c>
      <c r="B495" s="382" t="s">
        <v>1338</v>
      </c>
      <c r="C495" s="383" t="s">
        <v>1339</v>
      </c>
      <c r="D495" s="384" t="s">
        <v>407</v>
      </c>
      <c r="E495" s="385">
        <v>21</v>
      </c>
      <c r="F495" s="384">
        <v>21</v>
      </c>
      <c r="G495" s="358">
        <v>31433791</v>
      </c>
      <c r="H495" s="359">
        <f t="shared" si="15"/>
        <v>30366151</v>
      </c>
      <c r="I495" s="360"/>
      <c r="J495" s="361"/>
      <c r="K495" s="362"/>
      <c r="L495" s="362"/>
      <c r="M495" s="361">
        <v>813440</v>
      </c>
      <c r="N495" s="361">
        <v>1779400</v>
      </c>
      <c r="O495" s="361">
        <v>152520</v>
      </c>
      <c r="P495" s="361">
        <v>305040</v>
      </c>
      <c r="Q495" s="361">
        <v>101680</v>
      </c>
      <c r="R495" s="361">
        <v>101680</v>
      </c>
      <c r="S495" s="361">
        <v>203360</v>
      </c>
      <c r="T495" s="386">
        <v>1030000</v>
      </c>
      <c r="U495" s="364">
        <f t="shared" si="16"/>
        <v>34853271</v>
      </c>
      <c r="V495" s="362"/>
      <c r="W495" s="365" t="str">
        <f>+VLOOKUP($B495,[2]Time_S4!$B:$G,6,0)</f>
        <v>Trung tâm Camera</v>
      </c>
      <c r="X495" s="365" t="str">
        <f>IF(W495="Phòng Kinh doanh","Trung tâm Kinh doanh - TCT CNC",+VLOOKUP($B495,[2]Time_S4!$B:$G,5,0))</f>
        <v>Khối 3 - TCT CNC</v>
      </c>
      <c r="Y495" s="366"/>
      <c r="Z495" s="366"/>
    </row>
    <row r="496" spans="1:26" ht="15.75" hidden="1">
      <c r="A496" s="367">
        <f>SUBTOTAL(3,$B$15:B496)</f>
        <v>2</v>
      </c>
      <c r="B496" s="382" t="s">
        <v>1340</v>
      </c>
      <c r="C496" s="383" t="s">
        <v>1168</v>
      </c>
      <c r="D496" s="384" t="s">
        <v>407</v>
      </c>
      <c r="E496" s="385">
        <v>21</v>
      </c>
      <c r="F496" s="384">
        <v>21</v>
      </c>
      <c r="G496" s="358">
        <v>41350100</v>
      </c>
      <c r="H496" s="359">
        <f t="shared" si="15"/>
        <v>40225172</v>
      </c>
      <c r="I496" s="360"/>
      <c r="J496" s="361"/>
      <c r="K496" s="362"/>
      <c r="L496" s="362"/>
      <c r="M496" s="361">
        <v>857088</v>
      </c>
      <c r="N496" s="361">
        <v>1874880</v>
      </c>
      <c r="O496" s="361">
        <v>160704</v>
      </c>
      <c r="P496" s="361">
        <v>321408</v>
      </c>
      <c r="Q496" s="361">
        <v>107136</v>
      </c>
      <c r="R496" s="361">
        <v>107136</v>
      </c>
      <c r="S496" s="361">
        <v>214272</v>
      </c>
      <c r="T496" s="386">
        <v>1030000</v>
      </c>
      <c r="U496" s="364">
        <f t="shared" si="16"/>
        <v>44897796</v>
      </c>
      <c r="V496" s="362"/>
      <c r="W496" s="365" t="str">
        <f>+VLOOKUP($B496,[2]Time_S4!$B:$G,6,0)</f>
        <v>Trung tâm Rada</v>
      </c>
      <c r="X496" s="365" t="str">
        <f>IF(W496="Phòng Kinh doanh","Trung tâm Kinh doanh - TCT CNC",+VLOOKUP($B496,[2]Time_S4!$B:$G,5,0))</f>
        <v>Khối 1 - TCT CNC</v>
      </c>
      <c r="Y496" s="366"/>
      <c r="Z496" s="366"/>
    </row>
    <row r="497" spans="1:26" ht="15.75" hidden="1">
      <c r="A497" s="367">
        <f>SUBTOTAL(3,$B$15:B497)</f>
        <v>2</v>
      </c>
      <c r="B497" s="382" t="s">
        <v>1341</v>
      </c>
      <c r="C497" s="383" t="s">
        <v>1342</v>
      </c>
      <c r="D497" s="384" t="s">
        <v>407</v>
      </c>
      <c r="E497" s="385">
        <v>21</v>
      </c>
      <c r="F497" s="384">
        <v>21</v>
      </c>
      <c r="G497" s="358">
        <v>30459291</v>
      </c>
      <c r="H497" s="359">
        <f t="shared" si="15"/>
        <v>29391651</v>
      </c>
      <c r="I497" s="360"/>
      <c r="J497" s="361"/>
      <c r="K497" s="362"/>
      <c r="L497" s="362"/>
      <c r="M497" s="361">
        <v>813440</v>
      </c>
      <c r="N497" s="361">
        <v>1779400</v>
      </c>
      <c r="O497" s="361">
        <v>152520</v>
      </c>
      <c r="P497" s="361">
        <v>305040</v>
      </c>
      <c r="Q497" s="361">
        <v>101680</v>
      </c>
      <c r="R497" s="361">
        <v>101680</v>
      </c>
      <c r="S497" s="361">
        <v>203360</v>
      </c>
      <c r="T497" s="386">
        <v>1030000</v>
      </c>
      <c r="U497" s="364">
        <f t="shared" si="16"/>
        <v>33878771</v>
      </c>
      <c r="V497" s="362"/>
      <c r="W497" s="365" t="str">
        <f>+VLOOKUP($B497,[2]Time_S4!$B:$G,6,0)</f>
        <v>Trung tâm sản xuất</v>
      </c>
      <c r="X497" s="365" t="str">
        <f>IF(W497="Phòng Kinh doanh","Trung tâm Kinh doanh - TCT CNC",+VLOOKUP($B497,[2]Time_S4!$B:$G,5,0))</f>
        <v>Khối 1 - TCT CNC</v>
      </c>
      <c r="Y497" s="366"/>
      <c r="Z497" s="366"/>
    </row>
    <row r="498" spans="1:26" ht="15.75" hidden="1">
      <c r="A498" s="367">
        <f>SUBTOTAL(3,$B$15:B498)</f>
        <v>2</v>
      </c>
      <c r="B498" s="382" t="s">
        <v>1343</v>
      </c>
      <c r="C498" s="383" t="s">
        <v>1344</v>
      </c>
      <c r="D498" s="384" t="s">
        <v>407</v>
      </c>
      <c r="E498" s="385">
        <v>21</v>
      </c>
      <c r="F498" s="384">
        <v>21</v>
      </c>
      <c r="G498" s="358">
        <v>21629533</v>
      </c>
      <c r="H498" s="359">
        <f t="shared" si="15"/>
        <v>20712925</v>
      </c>
      <c r="I498" s="360"/>
      <c r="J498" s="361"/>
      <c r="K498" s="362"/>
      <c r="L498" s="362"/>
      <c r="M498" s="361">
        <v>698368</v>
      </c>
      <c r="N498" s="361">
        <v>1527680</v>
      </c>
      <c r="O498" s="361">
        <v>130944</v>
      </c>
      <c r="P498" s="361">
        <v>261888</v>
      </c>
      <c r="Q498" s="361">
        <v>87296</v>
      </c>
      <c r="R498" s="361">
        <v>87296</v>
      </c>
      <c r="S498" s="361">
        <v>174592</v>
      </c>
      <c r="T498" s="386">
        <v>930000</v>
      </c>
      <c r="U498" s="364">
        <f t="shared" si="16"/>
        <v>24610989</v>
      </c>
      <c r="V498" s="362"/>
      <c r="W498" s="365" t="str">
        <f>+VLOOKUP($B498,[2]Time_S4!$B:$G,6,0)</f>
        <v>Phòng Tài chính</v>
      </c>
      <c r="X498" s="365" t="str">
        <f>IF(W498="Phòng Kinh doanh","Trung tâm Kinh doanh - TCT CNC",+VLOOKUP($B498,[2]Time_S4!$B:$G,5,0))</f>
        <v>Khối cơ quan - TCT CNC</v>
      </c>
      <c r="Y498" s="366"/>
      <c r="Z498" s="366"/>
    </row>
    <row r="499" spans="1:26" ht="15.75" hidden="1">
      <c r="A499" s="367">
        <f>SUBTOTAL(3,$B$15:B499)</f>
        <v>2</v>
      </c>
      <c r="B499" s="382" t="s">
        <v>1345</v>
      </c>
      <c r="C499" s="383" t="s">
        <v>1346</v>
      </c>
      <c r="D499" s="384" t="s">
        <v>407</v>
      </c>
      <c r="E499" s="385">
        <v>21</v>
      </c>
      <c r="F499" s="384">
        <v>21</v>
      </c>
      <c r="G499" s="358">
        <v>23522926</v>
      </c>
      <c r="H499" s="359">
        <f t="shared" si="15"/>
        <v>22559446</v>
      </c>
      <c r="I499" s="360"/>
      <c r="J499" s="361"/>
      <c r="K499" s="362"/>
      <c r="L499" s="362"/>
      <c r="M499" s="361">
        <v>734080</v>
      </c>
      <c r="N499" s="361">
        <v>1605800</v>
      </c>
      <c r="O499" s="361">
        <v>137640</v>
      </c>
      <c r="P499" s="361">
        <v>275280</v>
      </c>
      <c r="Q499" s="361">
        <v>91760</v>
      </c>
      <c r="R499" s="361">
        <v>91760</v>
      </c>
      <c r="S499" s="361">
        <v>183520</v>
      </c>
      <c r="T499" s="386">
        <v>1047000</v>
      </c>
      <c r="U499" s="364">
        <f t="shared" si="16"/>
        <v>26726286</v>
      </c>
      <c r="V499" s="362"/>
      <c r="W499" s="365" t="str">
        <f>+VLOOKUP($B499,[2]Time_S4!$B:$G,6,0)</f>
        <v>Phòng Tổng hợp</v>
      </c>
      <c r="X499" s="365" t="str">
        <f>IF(W499="Phòng Kinh doanh","Trung tâm Kinh doanh - TCT CNC",+VLOOKUP($B499,[2]Time_S4!$B:$G,5,0))</f>
        <v>Khối 3 - TCT CNC</v>
      </c>
      <c r="Y499" s="366"/>
      <c r="Z499" s="366"/>
    </row>
    <row r="500" spans="1:26" ht="15.75" hidden="1">
      <c r="A500" s="367">
        <f>SUBTOTAL(3,$B$15:B500)</f>
        <v>2</v>
      </c>
      <c r="B500" s="382" t="s">
        <v>1347</v>
      </c>
      <c r="C500" s="383" t="s">
        <v>1348</v>
      </c>
      <c r="D500" s="384" t="s">
        <v>407</v>
      </c>
      <c r="E500" s="385">
        <v>21</v>
      </c>
      <c r="F500" s="384">
        <v>21</v>
      </c>
      <c r="G500" s="358">
        <v>20344177</v>
      </c>
      <c r="H500" s="359">
        <f t="shared" si="15"/>
        <v>19427569</v>
      </c>
      <c r="I500" s="360"/>
      <c r="J500" s="361"/>
      <c r="K500" s="362"/>
      <c r="L500" s="362"/>
      <c r="M500" s="361">
        <v>698368</v>
      </c>
      <c r="N500" s="361">
        <v>1527680</v>
      </c>
      <c r="O500" s="361">
        <v>130944</v>
      </c>
      <c r="P500" s="361">
        <v>261888</v>
      </c>
      <c r="Q500" s="361">
        <v>87296</v>
      </c>
      <c r="R500" s="361">
        <v>87296</v>
      </c>
      <c r="S500" s="361">
        <v>174592</v>
      </c>
      <c r="T500" s="386">
        <v>930000</v>
      </c>
      <c r="U500" s="364">
        <f t="shared" si="16"/>
        <v>23325633</v>
      </c>
      <c r="V500" s="362"/>
      <c r="W500" s="365" t="str">
        <f>+VLOOKUP($B500,[2]Time_S4!$B:$G,6,0)</f>
        <v>Phòng Hành chính</v>
      </c>
      <c r="X500" s="365" t="str">
        <f>IF(W500="Phòng Kinh doanh","Trung tâm Kinh doanh - TCT CNC",+VLOOKUP($B500,[2]Time_S4!$B:$G,5,0))</f>
        <v>Khối cơ quan - TCT CNC</v>
      </c>
      <c r="Y500" s="366"/>
      <c r="Z500" s="366"/>
    </row>
    <row r="501" spans="1:26" ht="15.75" hidden="1">
      <c r="A501" s="367">
        <f>SUBTOTAL(3,$B$15:B501)</f>
        <v>2</v>
      </c>
      <c r="B501" s="382" t="s">
        <v>1349</v>
      </c>
      <c r="C501" s="383" t="s">
        <v>1350</v>
      </c>
      <c r="D501" s="384" t="s">
        <v>407</v>
      </c>
      <c r="E501" s="385">
        <v>21</v>
      </c>
      <c r="F501" s="384">
        <v>21</v>
      </c>
      <c r="G501" s="358">
        <v>16842722</v>
      </c>
      <c r="H501" s="359">
        <f t="shared" si="15"/>
        <v>15972986</v>
      </c>
      <c r="I501" s="360"/>
      <c r="J501" s="361"/>
      <c r="K501" s="362"/>
      <c r="L501" s="362"/>
      <c r="M501" s="361">
        <v>662656</v>
      </c>
      <c r="N501" s="361">
        <v>1449560</v>
      </c>
      <c r="O501" s="361">
        <v>124248</v>
      </c>
      <c r="P501" s="361">
        <v>248496</v>
      </c>
      <c r="Q501" s="361">
        <v>82832</v>
      </c>
      <c r="R501" s="361">
        <v>82832</v>
      </c>
      <c r="S501" s="361">
        <v>165664</v>
      </c>
      <c r="T501" s="386">
        <v>930000</v>
      </c>
      <c r="U501" s="364">
        <f t="shared" si="16"/>
        <v>19719274</v>
      </c>
      <c r="V501" s="362"/>
      <c r="W501" s="365" t="str">
        <f>+VLOOKUP($B501,[2]Time_S4!$B:$G,6,0)</f>
        <v>Phòng Tổng hợp</v>
      </c>
      <c r="X501" s="365" t="str">
        <f>IF(W501="Phòng Kinh doanh","Trung tâm Kinh doanh - TCT CNC",+VLOOKUP($B501,[2]Time_S4!$B:$G,5,0))</f>
        <v>Khối 2 - TCT CNC</v>
      </c>
      <c r="Y501" s="366"/>
      <c r="Z501" s="366"/>
    </row>
    <row r="502" spans="1:26" ht="15.75" hidden="1">
      <c r="A502" s="367">
        <f>SUBTOTAL(3,$B$15:B502)</f>
        <v>2</v>
      </c>
      <c r="B502" s="382" t="s">
        <v>1351</v>
      </c>
      <c r="C502" s="383" t="s">
        <v>1352</v>
      </c>
      <c r="D502" s="384" t="s">
        <v>407</v>
      </c>
      <c r="E502" s="385">
        <v>21</v>
      </c>
      <c r="F502" s="384">
        <v>21</v>
      </c>
      <c r="G502" s="358">
        <v>45650853</v>
      </c>
      <c r="H502" s="359">
        <f t="shared" si="15"/>
        <v>44525925</v>
      </c>
      <c r="I502" s="360"/>
      <c r="J502" s="361"/>
      <c r="K502" s="362"/>
      <c r="L502" s="362"/>
      <c r="M502" s="361">
        <v>857088</v>
      </c>
      <c r="N502" s="361">
        <v>1874880</v>
      </c>
      <c r="O502" s="361">
        <v>160704</v>
      </c>
      <c r="P502" s="361">
        <v>321408</v>
      </c>
      <c r="Q502" s="361">
        <v>107136</v>
      </c>
      <c r="R502" s="361">
        <v>107136</v>
      </c>
      <c r="S502" s="361">
        <v>214272</v>
      </c>
      <c r="T502" s="386">
        <v>1030000</v>
      </c>
      <c r="U502" s="364">
        <f t="shared" si="16"/>
        <v>49198549</v>
      </c>
      <c r="V502" s="362"/>
      <c r="W502" s="365" t="str">
        <f>+VLOOKUP($B502,[2]Time_S4!$B:$G,6,0)</f>
        <v>Trung tâm Kỹ thuật công nghệ - TCT CNC</v>
      </c>
      <c r="X502" s="365" t="str">
        <f>IF(W502="Phòng Kinh doanh","Trung tâm Kinh doanh - TCT CNC",+VLOOKUP($B502,[2]Time_S4!$B:$G,5,0))</f>
        <v>Khối 2 - TCT CNC</v>
      </c>
      <c r="Y502" s="366"/>
      <c r="Z502" s="366"/>
    </row>
    <row r="503" spans="1:26" ht="15.75" hidden="1">
      <c r="A503" s="367">
        <f>SUBTOTAL(3,$B$15:B503)</f>
        <v>2</v>
      </c>
      <c r="B503" s="382" t="s">
        <v>1353</v>
      </c>
      <c r="C503" s="383" t="s">
        <v>1354</v>
      </c>
      <c r="D503" s="384" t="s">
        <v>407</v>
      </c>
      <c r="E503" s="385">
        <v>21</v>
      </c>
      <c r="F503" s="384">
        <v>21</v>
      </c>
      <c r="G503" s="358">
        <v>45650853</v>
      </c>
      <c r="H503" s="359">
        <f t="shared" si="15"/>
        <v>44525925</v>
      </c>
      <c r="I503" s="360"/>
      <c r="J503" s="361"/>
      <c r="K503" s="362"/>
      <c r="L503" s="362"/>
      <c r="M503" s="361">
        <v>857088</v>
      </c>
      <c r="N503" s="361">
        <v>1874880</v>
      </c>
      <c r="O503" s="361">
        <v>160704</v>
      </c>
      <c r="P503" s="361">
        <v>321408</v>
      </c>
      <c r="Q503" s="361">
        <v>107136</v>
      </c>
      <c r="R503" s="361">
        <v>107136</v>
      </c>
      <c r="S503" s="361">
        <v>214272</v>
      </c>
      <c r="T503" s="386">
        <v>1030000</v>
      </c>
      <c r="U503" s="364">
        <f t="shared" si="16"/>
        <v>49198549</v>
      </c>
      <c r="V503" s="362"/>
      <c r="W503" s="365" t="str">
        <f>+VLOOKUP($B503,[2]Time_S4!$B:$G,6,0)</f>
        <v>Trung tâm Nghiên cứu thiết bị vô tuyến băng rộng</v>
      </c>
      <c r="X503" s="365" t="str">
        <f>IF(W503="Phòng Kinh doanh","Trung tâm Kinh doanh - TCT CNC",+VLOOKUP($B503,[2]Time_S4!$B:$G,5,0))</f>
        <v>Khối 2 - TCT CNC</v>
      </c>
      <c r="Y503" s="366"/>
      <c r="Z503" s="366"/>
    </row>
    <row r="504" spans="1:26" ht="15.75" hidden="1">
      <c r="A504" s="367">
        <f>SUBTOTAL(3,$B$15:B504)</f>
        <v>2</v>
      </c>
      <c r="B504" s="382" t="s">
        <v>1355</v>
      </c>
      <c r="C504" s="383" t="s">
        <v>1356</v>
      </c>
      <c r="D504" s="384" t="s">
        <v>407</v>
      </c>
      <c r="E504" s="385">
        <v>21</v>
      </c>
      <c r="F504" s="384">
        <v>21</v>
      </c>
      <c r="G504" s="358">
        <v>92929416</v>
      </c>
      <c r="H504" s="359">
        <f t="shared" si="15"/>
        <v>91330560</v>
      </c>
      <c r="I504" s="360"/>
      <c r="J504" s="361"/>
      <c r="K504" s="362"/>
      <c r="L504" s="362"/>
      <c r="M504" s="361">
        <v>1218176</v>
      </c>
      <c r="N504" s="361">
        <v>2664760</v>
      </c>
      <c r="O504" s="361">
        <v>228408</v>
      </c>
      <c r="P504" s="361">
        <v>456816</v>
      </c>
      <c r="Q504" s="361">
        <v>152272</v>
      </c>
      <c r="R504" s="361">
        <v>152272</v>
      </c>
      <c r="S504" s="361">
        <v>304544</v>
      </c>
      <c r="T504" s="386">
        <v>1230000</v>
      </c>
      <c r="U504" s="364">
        <f t="shared" si="16"/>
        <v>97737808</v>
      </c>
      <c r="V504" s="362"/>
      <c r="W504" s="365" t="str">
        <f>+VLOOKUP($B504,[2]Time_S4!$B:$G,6,0)</f>
        <v>Trung tâm Nghiên cứu thiết bị vô tuyến băng rộng</v>
      </c>
      <c r="X504" s="365" t="str">
        <f>IF(W504="Phòng Kinh doanh","Trung tâm Kinh doanh - TCT CNC",+VLOOKUP($B504,[2]Time_S4!$B:$G,5,0))</f>
        <v>Khối 2 - TCT CNC</v>
      </c>
      <c r="Y504" s="366"/>
      <c r="Z504" s="366"/>
    </row>
    <row r="505" spans="1:26" ht="15.75" hidden="1">
      <c r="A505" s="367">
        <f>SUBTOTAL(3,$B$15:B505)</f>
        <v>2</v>
      </c>
      <c r="B505" s="382" t="s">
        <v>1357</v>
      </c>
      <c r="C505" s="383" t="s">
        <v>1358</v>
      </c>
      <c r="D505" s="384" t="s">
        <v>407</v>
      </c>
      <c r="E505" s="385">
        <v>21</v>
      </c>
      <c r="F505" s="384">
        <v>21</v>
      </c>
      <c r="G505" s="358">
        <v>41010023</v>
      </c>
      <c r="H505" s="359">
        <f t="shared" si="15"/>
        <v>39885095</v>
      </c>
      <c r="I505" s="360"/>
      <c r="J505" s="361"/>
      <c r="K505" s="362"/>
      <c r="L505" s="362"/>
      <c r="M505" s="361">
        <v>857088</v>
      </c>
      <c r="N505" s="361">
        <v>1874880</v>
      </c>
      <c r="O505" s="361">
        <v>160704</v>
      </c>
      <c r="P505" s="361">
        <v>321408</v>
      </c>
      <c r="Q505" s="361">
        <v>107136</v>
      </c>
      <c r="R505" s="361">
        <v>107136</v>
      </c>
      <c r="S505" s="361">
        <v>214272</v>
      </c>
      <c r="T505" s="386">
        <v>1030000</v>
      </c>
      <c r="U505" s="364">
        <f t="shared" si="16"/>
        <v>44557719</v>
      </c>
      <c r="V505" s="362"/>
      <c r="W505" s="365" t="str">
        <f>+VLOOKUP($B505,[2]Time_S4!$B:$G,6,0)</f>
        <v>Trung tâm Nghiên cứu Công nghệ chuyển mạch</v>
      </c>
      <c r="X505" s="365" t="str">
        <f>IF(W505="Phòng Kinh doanh","Trung tâm Kinh doanh - TCT CNC",+VLOOKUP($B505,[2]Time_S4!$B:$G,5,0))</f>
        <v>Khối 2 - TCT CNC</v>
      </c>
      <c r="Y505" s="366"/>
      <c r="Z505" s="366"/>
    </row>
    <row r="506" spans="1:26" ht="15.75" hidden="1">
      <c r="A506" s="367">
        <f>SUBTOTAL(3,$B$15:B506)</f>
        <v>2</v>
      </c>
      <c r="B506" s="382" t="s">
        <v>1359</v>
      </c>
      <c r="C506" s="383" t="s">
        <v>1360</v>
      </c>
      <c r="D506" s="384" t="s">
        <v>407</v>
      </c>
      <c r="E506" s="385">
        <v>21</v>
      </c>
      <c r="F506" s="384">
        <v>21</v>
      </c>
      <c r="G506" s="358">
        <v>31419206</v>
      </c>
      <c r="H506" s="359">
        <f t="shared" si="15"/>
        <v>30351566</v>
      </c>
      <c r="I506" s="360"/>
      <c r="J506" s="361"/>
      <c r="K506" s="362"/>
      <c r="L506" s="362"/>
      <c r="M506" s="361">
        <v>813440</v>
      </c>
      <c r="N506" s="361">
        <v>1779400</v>
      </c>
      <c r="O506" s="361">
        <v>152520</v>
      </c>
      <c r="P506" s="361">
        <v>305040</v>
      </c>
      <c r="Q506" s="361">
        <v>101680</v>
      </c>
      <c r="R506" s="361">
        <v>101680</v>
      </c>
      <c r="S506" s="361">
        <v>203360</v>
      </c>
      <c r="T506" s="386">
        <v>1147000</v>
      </c>
      <c r="U506" s="364">
        <f t="shared" si="16"/>
        <v>34955686</v>
      </c>
      <c r="V506" s="362"/>
      <c r="W506" s="365" t="str">
        <f>+VLOOKUP($B506,[2]Time_S4!$B:$G,6,0)</f>
        <v>Trung tâm Nền tảng IOT</v>
      </c>
      <c r="X506" s="365" t="str">
        <f>IF(W506="Phòng Kinh doanh","Trung tâm Kinh doanh - TCT CNC",+VLOOKUP($B506,[2]Time_S4!$B:$G,5,0))</f>
        <v>Khối 3 - TCT CNC</v>
      </c>
      <c r="Y506" s="366"/>
      <c r="Z506" s="366"/>
    </row>
    <row r="507" spans="1:26" ht="15.75" hidden="1">
      <c r="A507" s="367">
        <f>SUBTOTAL(3,$B$15:B507)</f>
        <v>2</v>
      </c>
      <c r="B507" s="382" t="s">
        <v>1361</v>
      </c>
      <c r="C507" s="383" t="s">
        <v>1362</v>
      </c>
      <c r="D507" s="384" t="s">
        <v>407</v>
      </c>
      <c r="E507" s="385">
        <v>21</v>
      </c>
      <c r="F507" s="384">
        <v>21</v>
      </c>
      <c r="G507" s="358">
        <v>21180114</v>
      </c>
      <c r="H507" s="359">
        <f t="shared" si="15"/>
        <v>20263506</v>
      </c>
      <c r="I507" s="360"/>
      <c r="J507" s="361"/>
      <c r="K507" s="362"/>
      <c r="L507" s="362"/>
      <c r="M507" s="361">
        <v>698368</v>
      </c>
      <c r="N507" s="361">
        <v>1527680</v>
      </c>
      <c r="O507" s="361">
        <v>130944</v>
      </c>
      <c r="P507" s="361">
        <v>261888</v>
      </c>
      <c r="Q507" s="361">
        <v>87296</v>
      </c>
      <c r="R507" s="361">
        <v>87296</v>
      </c>
      <c r="S507" s="361">
        <v>174592</v>
      </c>
      <c r="T507" s="386">
        <v>1047000</v>
      </c>
      <c r="U507" s="364">
        <f t="shared" si="16"/>
        <v>24278570</v>
      </c>
      <c r="V507" s="362"/>
      <c r="W507" s="365" t="str">
        <f>+VLOOKUP($B507,[2]Time_S4!$B:$G,6,0)</f>
        <v>Trung tâm Nghiên cứu thiết bị vô tuyến băng rộng</v>
      </c>
      <c r="X507" s="365" t="str">
        <f>IF(W507="Phòng Kinh doanh","Trung tâm Kinh doanh - TCT CNC",+VLOOKUP($B507,[2]Time_S4!$B:$G,5,0))</f>
        <v>Khối 2 - TCT CNC</v>
      </c>
      <c r="Y507" s="366"/>
      <c r="Z507" s="366"/>
    </row>
    <row r="508" spans="1:26" ht="15.75" hidden="1">
      <c r="A508" s="367">
        <f>SUBTOTAL(3,$B$15:B508)</f>
        <v>2</v>
      </c>
      <c r="B508" s="382" t="s">
        <v>1363</v>
      </c>
      <c r="C508" s="383" t="s">
        <v>1182</v>
      </c>
      <c r="D508" s="384" t="s">
        <v>407</v>
      </c>
      <c r="E508" s="385">
        <v>21</v>
      </c>
      <c r="F508" s="384">
        <v>21</v>
      </c>
      <c r="G508" s="358">
        <v>20344177</v>
      </c>
      <c r="H508" s="359">
        <f t="shared" si="15"/>
        <v>19427569</v>
      </c>
      <c r="I508" s="360"/>
      <c r="J508" s="361"/>
      <c r="K508" s="362"/>
      <c r="L508" s="362"/>
      <c r="M508" s="361">
        <v>698368</v>
      </c>
      <c r="N508" s="361">
        <v>1527680</v>
      </c>
      <c r="O508" s="361">
        <v>130944</v>
      </c>
      <c r="P508" s="361">
        <v>261888</v>
      </c>
      <c r="Q508" s="361">
        <v>87296</v>
      </c>
      <c r="R508" s="361">
        <v>87296</v>
      </c>
      <c r="S508" s="361">
        <v>174592</v>
      </c>
      <c r="T508" s="386">
        <v>1047000</v>
      </c>
      <c r="U508" s="364">
        <f t="shared" si="16"/>
        <v>23442633</v>
      </c>
      <c r="V508" s="362"/>
      <c r="W508" s="365" t="str">
        <f>+VLOOKUP($B508,[2]Time_S4!$B:$G,6,0)</f>
        <v>Trung tâm Nghiên cứu Công nghệ chuyển mạch</v>
      </c>
      <c r="X508" s="365" t="str">
        <f>IF(W508="Phòng Kinh doanh","Trung tâm Kinh doanh - TCT CNC",+VLOOKUP($B508,[2]Time_S4!$B:$G,5,0))</f>
        <v>Khối 2 - TCT CNC</v>
      </c>
      <c r="Y508" s="366"/>
      <c r="Z508" s="366"/>
    </row>
    <row r="509" spans="1:26" ht="15.75" hidden="1">
      <c r="A509" s="367">
        <f>SUBTOTAL(3,$B$15:B509)</f>
        <v>2</v>
      </c>
      <c r="B509" s="382" t="s">
        <v>1364</v>
      </c>
      <c r="C509" s="387" t="s">
        <v>1365</v>
      </c>
      <c r="D509" s="384" t="s">
        <v>407</v>
      </c>
      <c r="E509" s="385">
        <v>21</v>
      </c>
      <c r="F509" s="384">
        <v>21</v>
      </c>
      <c r="G509" s="358">
        <v>23034309</v>
      </c>
      <c r="H509" s="359">
        <f t="shared" si="15"/>
        <v>22070829</v>
      </c>
      <c r="I509" s="360"/>
      <c r="J509" s="361"/>
      <c r="K509" s="362"/>
      <c r="L509" s="362"/>
      <c r="M509" s="361">
        <v>734080</v>
      </c>
      <c r="N509" s="361">
        <v>1605800</v>
      </c>
      <c r="O509" s="361">
        <v>137640</v>
      </c>
      <c r="P509" s="361">
        <v>275280</v>
      </c>
      <c r="Q509" s="361">
        <v>91760</v>
      </c>
      <c r="R509" s="361">
        <v>91760</v>
      </c>
      <c r="S509" s="361">
        <v>183520</v>
      </c>
      <c r="T509" s="386">
        <v>1047000</v>
      </c>
      <c r="U509" s="364">
        <f t="shared" si="16"/>
        <v>26237669</v>
      </c>
      <c r="V509" s="362"/>
      <c r="W509" s="365" t="str">
        <f>+VLOOKUP($B509,[2]Time_S4!$B:$G,6,0)</f>
        <v>Phòng Hợp đồng</v>
      </c>
      <c r="X509" s="365" t="str">
        <f>IF(W509="Phòng Kinh doanh","Trung tâm Kinh doanh - TCT CNC",+VLOOKUP($B509,[2]Time_S4!$B:$G,5,0))</f>
        <v>Trung tâm Mua sắm - TCT CNC</v>
      </c>
      <c r="Y509" s="366"/>
      <c r="Z509" s="366"/>
    </row>
    <row r="510" spans="1:26" ht="15.75" hidden="1">
      <c r="A510" s="367">
        <f>SUBTOTAL(3,$B$15:B510)</f>
        <v>2</v>
      </c>
      <c r="B510" s="382" t="s">
        <v>1366</v>
      </c>
      <c r="C510" s="383" t="s">
        <v>1367</v>
      </c>
      <c r="D510" s="384" t="s">
        <v>407</v>
      </c>
      <c r="E510" s="385">
        <v>21</v>
      </c>
      <c r="F510" s="384">
        <v>21</v>
      </c>
      <c r="G510" s="358">
        <v>27425486</v>
      </c>
      <c r="H510" s="359">
        <f t="shared" si="15"/>
        <v>26409926</v>
      </c>
      <c r="I510" s="360"/>
      <c r="J510" s="361"/>
      <c r="K510" s="362"/>
      <c r="L510" s="362"/>
      <c r="M510" s="361">
        <v>773760</v>
      </c>
      <c r="N510" s="361">
        <v>1692600</v>
      </c>
      <c r="O510" s="361">
        <v>145080</v>
      </c>
      <c r="P510" s="361">
        <v>290160</v>
      </c>
      <c r="Q510" s="361">
        <v>96720</v>
      </c>
      <c r="R510" s="361">
        <v>96720</v>
      </c>
      <c r="S510" s="361">
        <v>193440</v>
      </c>
      <c r="T510" s="386">
        <v>1147000</v>
      </c>
      <c r="U510" s="364">
        <f t="shared" si="16"/>
        <v>30845406</v>
      </c>
      <c r="V510" s="362"/>
      <c r="W510" s="365" t="str">
        <f>+VLOOKUP($B510,[2]Time_S4!$B:$G,6,0)</f>
        <v>Phòng Kiểu dáng và đồ họa</v>
      </c>
      <c r="X510" s="365" t="str">
        <f>IF(W510="Phòng Kinh doanh","Trung tâm Kinh doanh - TCT CNC",+VLOOKUP($B510,[2]Time_S4!$B:$G,5,0))</f>
        <v>Khối 1 - TCT CNC</v>
      </c>
      <c r="Y510" s="366"/>
      <c r="Z510" s="366"/>
    </row>
    <row r="511" spans="1:26" ht="15.75" hidden="1">
      <c r="A511" s="367">
        <f>SUBTOTAL(3,$B$15:B511)</f>
        <v>2</v>
      </c>
      <c r="B511" s="382" t="s">
        <v>1368</v>
      </c>
      <c r="C511" s="383" t="s">
        <v>1369</v>
      </c>
      <c r="D511" s="384" t="s">
        <v>397</v>
      </c>
      <c r="E511" s="385">
        <v>21</v>
      </c>
      <c r="F511" s="384">
        <v>21</v>
      </c>
      <c r="G511" s="358">
        <v>67611423</v>
      </c>
      <c r="H511" s="359">
        <f t="shared" si="15"/>
        <v>66600543</v>
      </c>
      <c r="I511" s="360"/>
      <c r="J511" s="361"/>
      <c r="K511" s="362"/>
      <c r="L511" s="362"/>
      <c r="M511" s="361">
        <v>1010880</v>
      </c>
      <c r="N511" s="361">
        <v>2211300</v>
      </c>
      <c r="O511" s="361">
        <v>0</v>
      </c>
      <c r="P511" s="361">
        <v>0</v>
      </c>
      <c r="Q511" s="361">
        <v>0</v>
      </c>
      <c r="R511" s="361">
        <v>0</v>
      </c>
      <c r="S511" s="361">
        <v>252720</v>
      </c>
      <c r="T511" s="386">
        <v>1130000</v>
      </c>
      <c r="U511" s="364">
        <f t="shared" si="16"/>
        <v>71205443</v>
      </c>
      <c r="V511" s="362"/>
      <c r="W511" s="365" t="str">
        <f>+VLOOKUP($B511,[2]Time_S4!$B:$G,6,0)</f>
        <v>Trung tâm Quang điện tử</v>
      </c>
      <c r="X511" s="365" t="str">
        <f>IF(W511="Phòng Kinh doanh","Trung tâm Kinh doanh - TCT CNC",+VLOOKUP($B511,[2]Time_S4!$B:$G,5,0))</f>
        <v>Khối 1 - TCT CNC</v>
      </c>
      <c r="Y511" s="366"/>
      <c r="Z511" s="366"/>
    </row>
    <row r="512" spans="1:26" ht="15.75" hidden="1">
      <c r="A512" s="367">
        <f>SUBTOTAL(3,$B$15:B512)</f>
        <v>2</v>
      </c>
      <c r="B512" s="382" t="s">
        <v>1370</v>
      </c>
      <c r="C512" s="383" t="s">
        <v>1371</v>
      </c>
      <c r="D512" s="384" t="s">
        <v>407</v>
      </c>
      <c r="E512" s="385">
        <v>21</v>
      </c>
      <c r="F512" s="384">
        <v>21</v>
      </c>
      <c r="G512" s="358">
        <v>30459291</v>
      </c>
      <c r="H512" s="359">
        <f t="shared" si="15"/>
        <v>29391651</v>
      </c>
      <c r="I512" s="360"/>
      <c r="J512" s="361"/>
      <c r="K512" s="362"/>
      <c r="L512" s="362"/>
      <c r="M512" s="361">
        <v>813440</v>
      </c>
      <c r="N512" s="361">
        <v>1779400</v>
      </c>
      <c r="O512" s="361">
        <v>152520</v>
      </c>
      <c r="P512" s="361">
        <v>305040</v>
      </c>
      <c r="Q512" s="361">
        <v>101680</v>
      </c>
      <c r="R512" s="361">
        <v>101680</v>
      </c>
      <c r="S512" s="361">
        <v>203360</v>
      </c>
      <c r="T512" s="386">
        <v>1030000</v>
      </c>
      <c r="U512" s="364">
        <f t="shared" si="16"/>
        <v>33878771</v>
      </c>
      <c r="V512" s="362"/>
      <c r="W512" s="365" t="str">
        <f>+VLOOKUP($B512,[2]Time_S4!$B:$G,6,0)</f>
        <v>Trung tâm dịch vụ sau bán hàng</v>
      </c>
      <c r="X512" s="365" t="str">
        <f>IF(W512="Phòng Kinh doanh","Trung tâm Kinh doanh - TCT CNC",+VLOOKUP($B512,[2]Time_S4!$B:$G,5,0))</f>
        <v>Khối 1 - TCT CNC</v>
      </c>
      <c r="Y512" s="366"/>
      <c r="Z512" s="366"/>
    </row>
    <row r="513" spans="1:26" ht="15.75" hidden="1">
      <c r="A513" s="367">
        <f>SUBTOTAL(3,$B$15:B513)</f>
        <v>2</v>
      </c>
      <c r="B513" s="382" t="s">
        <v>1372</v>
      </c>
      <c r="C513" s="383" t="s">
        <v>1373</v>
      </c>
      <c r="D513" s="384" t="s">
        <v>407</v>
      </c>
      <c r="E513" s="385">
        <v>21</v>
      </c>
      <c r="F513" s="384">
        <v>16</v>
      </c>
      <c r="G513" s="358">
        <v>14707842</v>
      </c>
      <c r="H513" s="359">
        <f t="shared" si="15"/>
        <v>13791234</v>
      </c>
      <c r="I513" s="360"/>
      <c r="J513" s="361"/>
      <c r="K513" s="362"/>
      <c r="L513" s="362"/>
      <c r="M513" s="361">
        <v>698368</v>
      </c>
      <c r="N513" s="361">
        <v>1527680</v>
      </c>
      <c r="O513" s="361">
        <v>130944</v>
      </c>
      <c r="P513" s="361">
        <v>261888</v>
      </c>
      <c r="Q513" s="361">
        <v>87296</v>
      </c>
      <c r="R513" s="361">
        <v>87296</v>
      </c>
      <c r="S513" s="361">
        <v>174592</v>
      </c>
      <c r="T513" s="386">
        <v>797714</v>
      </c>
      <c r="U513" s="364">
        <f t="shared" si="16"/>
        <v>17557012</v>
      </c>
      <c r="V513" s="362"/>
      <c r="W513" s="365" t="str">
        <f>+VLOOKUP($B513,[2]Time_S4!$B:$G,6,0)</f>
        <v>Phòng Tổng hợp</v>
      </c>
      <c r="X513" s="365" t="str">
        <f>IF(W513="Phòng Kinh doanh","Trung tâm Kinh doanh - TCT CNC",+VLOOKUP($B513,[2]Time_S4!$B:$G,5,0))</f>
        <v>Khối 1 - TCT CNC</v>
      </c>
      <c r="Y513" s="366"/>
      <c r="Z513" s="366"/>
    </row>
    <row r="514" spans="1:26" ht="15.75" hidden="1">
      <c r="A514" s="367">
        <f>SUBTOTAL(3,$B$15:B514)</f>
        <v>2</v>
      </c>
      <c r="B514" s="382" t="s">
        <v>1374</v>
      </c>
      <c r="C514" s="383" t="s">
        <v>1375</v>
      </c>
      <c r="D514" s="384" t="s">
        <v>407</v>
      </c>
      <c r="E514" s="385">
        <v>21</v>
      </c>
      <c r="F514" s="384">
        <v>21</v>
      </c>
      <c r="G514" s="358">
        <v>47304747</v>
      </c>
      <c r="H514" s="359">
        <f t="shared" si="15"/>
        <v>46060035</v>
      </c>
      <c r="I514" s="360"/>
      <c r="J514" s="361"/>
      <c r="K514" s="362"/>
      <c r="L514" s="362"/>
      <c r="M514" s="361">
        <v>948352</v>
      </c>
      <c r="N514" s="361">
        <v>2074520</v>
      </c>
      <c r="O514" s="361">
        <v>177816</v>
      </c>
      <c r="P514" s="361">
        <v>355632</v>
      </c>
      <c r="Q514" s="361">
        <v>118544</v>
      </c>
      <c r="R514" s="361">
        <v>118544</v>
      </c>
      <c r="S514" s="361">
        <v>237088</v>
      </c>
      <c r="T514" s="386">
        <v>1030000</v>
      </c>
      <c r="U514" s="364">
        <f t="shared" si="16"/>
        <v>51120531</v>
      </c>
      <c r="V514" s="362"/>
      <c r="W514" s="365" t="str">
        <f>+VLOOKUP($B514,[2]Time_S4!$B:$G,6,0)</f>
        <v>Trung tâm Camera</v>
      </c>
      <c r="X514" s="365" t="str">
        <f>IF(W514="Phòng Kinh doanh","Trung tâm Kinh doanh - TCT CNC",+VLOOKUP($B514,[2]Time_S4!$B:$G,5,0))</f>
        <v>Khối 3 - TCT CNC</v>
      </c>
      <c r="Y514" s="366"/>
      <c r="Z514" s="366"/>
    </row>
    <row r="515" spans="1:26" ht="15.75" hidden="1">
      <c r="A515" s="367">
        <f>SUBTOTAL(3,$B$15:B515)</f>
        <v>2</v>
      </c>
      <c r="B515" s="382" t="s">
        <v>1376</v>
      </c>
      <c r="C515" s="383" t="s">
        <v>1377</v>
      </c>
      <c r="D515" s="384" t="s">
        <v>410</v>
      </c>
      <c r="E515" s="385">
        <v>21</v>
      </c>
      <c r="F515" s="384">
        <v>21</v>
      </c>
      <c r="G515" s="358">
        <v>40554274</v>
      </c>
      <c r="H515" s="359">
        <f t="shared" si="15"/>
        <v>39108716</v>
      </c>
      <c r="I515" s="360"/>
      <c r="J515" s="361"/>
      <c r="K515" s="362"/>
      <c r="L515" s="362"/>
      <c r="M515" s="361">
        <v>1445558</v>
      </c>
      <c r="N515" s="361">
        <v>3162159</v>
      </c>
      <c r="O515" s="361">
        <v>0</v>
      </c>
      <c r="P515" s="361">
        <v>0</v>
      </c>
      <c r="Q515" s="361">
        <v>0</v>
      </c>
      <c r="R515" s="361">
        <v>0</v>
      </c>
      <c r="S515" s="361">
        <v>361390</v>
      </c>
      <c r="T515" s="386">
        <v>1030000</v>
      </c>
      <c r="U515" s="364">
        <f t="shared" si="16"/>
        <v>45107823</v>
      </c>
      <c r="V515" s="362"/>
      <c r="W515" s="365" t="str">
        <f>+VLOOKUP($B515,[2]Time_S4!$B:$G,6,0)</f>
        <v>Trung tâm Quang điện tử</v>
      </c>
      <c r="X515" s="365" t="str">
        <f>IF(W515="Phòng Kinh doanh","Trung tâm Kinh doanh - TCT CNC",+VLOOKUP($B515,[2]Time_S4!$B:$G,5,0))</f>
        <v>Khối 1 - TCT CNC</v>
      </c>
      <c r="Y515" s="366"/>
      <c r="Z515" s="366"/>
    </row>
    <row r="516" spans="1:26" ht="15.75" hidden="1">
      <c r="A516" s="367">
        <f>SUBTOTAL(3,$B$15:B516)</f>
        <v>2</v>
      </c>
      <c r="B516" s="382" t="s">
        <v>1378</v>
      </c>
      <c r="C516" s="383" t="s">
        <v>1379</v>
      </c>
      <c r="D516" s="384" t="s">
        <v>397</v>
      </c>
      <c r="E516" s="385">
        <v>21</v>
      </c>
      <c r="F516" s="384">
        <v>21</v>
      </c>
      <c r="G516" s="358">
        <v>14678583</v>
      </c>
      <c r="H516" s="359">
        <f t="shared" si="15"/>
        <v>13640372</v>
      </c>
      <c r="I516" s="360"/>
      <c r="J516" s="361"/>
      <c r="K516" s="362"/>
      <c r="L516" s="362"/>
      <c r="M516" s="361">
        <v>1038211</v>
      </c>
      <c r="N516" s="361">
        <v>2271087</v>
      </c>
      <c r="O516" s="361">
        <v>0</v>
      </c>
      <c r="P516" s="361">
        <v>0</v>
      </c>
      <c r="Q516" s="361">
        <v>0</v>
      </c>
      <c r="R516" s="361">
        <v>0</v>
      </c>
      <c r="S516" s="361">
        <v>259553</v>
      </c>
      <c r="T516" s="386">
        <v>1780000</v>
      </c>
      <c r="U516" s="364">
        <f t="shared" si="16"/>
        <v>18989223</v>
      </c>
      <c r="V516" s="362"/>
      <c r="W516" s="365" t="str">
        <f>+VLOOKUP($B516,[2]Time_S4!$B:$G,6,0)</f>
        <v>Phòng Hành chính</v>
      </c>
      <c r="X516" s="365" t="str">
        <f>IF(W516="Phòng Kinh doanh","Trung tâm Kinh doanh - TCT CNC",+VLOOKUP($B516,[2]Time_S4!$B:$G,5,0))</f>
        <v>Khối cơ quan - TCT CNC</v>
      </c>
      <c r="Y516" s="366"/>
      <c r="Z516" s="380"/>
    </row>
    <row r="517" spans="1:26" ht="15.75" hidden="1">
      <c r="A517" s="367">
        <f>SUBTOTAL(3,$B$15:B517)</f>
        <v>2</v>
      </c>
      <c r="B517" s="382" t="s">
        <v>1380</v>
      </c>
      <c r="C517" s="383" t="s">
        <v>1381</v>
      </c>
      <c r="D517" s="384" t="s">
        <v>407</v>
      </c>
      <c r="E517" s="385">
        <v>21</v>
      </c>
      <c r="F517" s="384">
        <v>21</v>
      </c>
      <c r="G517" s="358">
        <v>36390160</v>
      </c>
      <c r="H517" s="359">
        <f t="shared" si="15"/>
        <v>35265232</v>
      </c>
      <c r="I517" s="360"/>
      <c r="J517" s="361"/>
      <c r="K517" s="362"/>
      <c r="L517" s="362"/>
      <c r="M517" s="361">
        <v>857088</v>
      </c>
      <c r="N517" s="361">
        <v>1874880</v>
      </c>
      <c r="O517" s="361">
        <v>160704</v>
      </c>
      <c r="P517" s="361">
        <v>321408</v>
      </c>
      <c r="Q517" s="361">
        <v>107136</v>
      </c>
      <c r="R517" s="361">
        <v>107136</v>
      </c>
      <c r="S517" s="361">
        <v>214272</v>
      </c>
      <c r="T517" s="386">
        <v>1030000</v>
      </c>
      <c r="U517" s="364">
        <f t="shared" si="16"/>
        <v>39937856</v>
      </c>
      <c r="V517" s="362"/>
      <c r="W517" s="365" t="str">
        <f>+VLOOKUP($B517,[2]Time_S4!$B:$G,6,0)</f>
        <v>Phòng Chiến lược - KHCN</v>
      </c>
      <c r="X517" s="365" t="str">
        <f>IF(W517="Phòng Kinh doanh","Trung tâm Kinh doanh - TCT CNC",+VLOOKUP($B517,[2]Time_S4!$B:$G,5,0))</f>
        <v>Khối cơ quan - TCT CNC</v>
      </c>
      <c r="Y517" s="366"/>
      <c r="Z517" s="366"/>
    </row>
    <row r="518" spans="1:26" ht="15.75" hidden="1">
      <c r="A518" s="367">
        <f>SUBTOTAL(3,$B$15:B518)</f>
        <v>2</v>
      </c>
      <c r="B518" s="382" t="s">
        <v>1382</v>
      </c>
      <c r="C518" s="383" t="s">
        <v>518</v>
      </c>
      <c r="D518" s="384" t="s">
        <v>407</v>
      </c>
      <c r="E518" s="385">
        <v>21</v>
      </c>
      <c r="F518" s="384">
        <v>21</v>
      </c>
      <c r="G518" s="358">
        <v>13798889</v>
      </c>
      <c r="H518" s="359">
        <f t="shared" si="15"/>
        <v>13012481</v>
      </c>
      <c r="I518" s="360"/>
      <c r="J518" s="361"/>
      <c r="K518" s="362"/>
      <c r="L518" s="362"/>
      <c r="M518" s="361">
        <v>599168</v>
      </c>
      <c r="N518" s="361">
        <v>1310680</v>
      </c>
      <c r="O518" s="361">
        <v>112344</v>
      </c>
      <c r="P518" s="361">
        <v>224688</v>
      </c>
      <c r="Q518" s="361">
        <v>74896</v>
      </c>
      <c r="R518" s="361">
        <v>74896</v>
      </c>
      <c r="S518" s="361">
        <v>149792</v>
      </c>
      <c r="T518" s="386">
        <v>930000</v>
      </c>
      <c r="U518" s="364">
        <f t="shared" si="16"/>
        <v>16488945</v>
      </c>
      <c r="V518" s="362"/>
      <c r="W518" s="365" t="str">
        <f>+VLOOKUP($B518,[2]Time_S4!$B:$G,6,0)</f>
        <v>Phòng Chiến lược - KHCN</v>
      </c>
      <c r="X518" s="365" t="str">
        <f>IF(W518="Phòng Kinh doanh","Trung tâm Kinh doanh - TCT CNC",+VLOOKUP($B518,[2]Time_S4!$B:$G,5,0))</f>
        <v>Khối cơ quan - TCT CNC</v>
      </c>
      <c r="Y518" s="366"/>
      <c r="Z518" s="366"/>
    </row>
    <row r="519" spans="1:26" ht="15.75" hidden="1">
      <c r="A519" s="367">
        <f>SUBTOTAL(3,$B$15:B519)</f>
        <v>2</v>
      </c>
      <c r="B519" s="382" t="s">
        <v>1383</v>
      </c>
      <c r="C519" s="383" t="s">
        <v>1384</v>
      </c>
      <c r="D519" s="384" t="s">
        <v>407</v>
      </c>
      <c r="E519" s="385">
        <v>21</v>
      </c>
      <c r="F519" s="384">
        <v>21</v>
      </c>
      <c r="G519" s="358">
        <v>50360304</v>
      </c>
      <c r="H519" s="359">
        <f t="shared" si="15"/>
        <v>49115592</v>
      </c>
      <c r="I519" s="360"/>
      <c r="J519" s="361"/>
      <c r="K519" s="362"/>
      <c r="L519" s="362"/>
      <c r="M519" s="361">
        <v>948352</v>
      </c>
      <c r="N519" s="361">
        <v>2074520</v>
      </c>
      <c r="O519" s="361">
        <v>177816</v>
      </c>
      <c r="P519" s="361">
        <v>355632</v>
      </c>
      <c r="Q519" s="361">
        <v>118544</v>
      </c>
      <c r="R519" s="361">
        <v>118544</v>
      </c>
      <c r="S519" s="361">
        <v>237088</v>
      </c>
      <c r="T519" s="386">
        <v>1030000</v>
      </c>
      <c r="U519" s="364">
        <f t="shared" si="16"/>
        <v>54176088</v>
      </c>
      <c r="V519" s="362"/>
      <c r="W519" s="365" t="str">
        <f>+VLOOKUP($B519,[2]Time_S4!$B:$G,6,0)</f>
        <v>Trung tâm Chỉ huy điều khiển</v>
      </c>
      <c r="X519" s="365" t="str">
        <f>IF(W519="Phòng Kinh doanh","Trung tâm Kinh doanh - TCT CNC",+VLOOKUP($B519,[2]Time_S4!$B:$G,5,0))</f>
        <v>Khối 1 - TCT CNC</v>
      </c>
      <c r="Y519" s="366"/>
      <c r="Z519" s="366"/>
    </row>
    <row r="520" spans="1:26" ht="15.75" hidden="1">
      <c r="A520" s="367">
        <f>SUBTOTAL(3,$B$15:B520)</f>
        <v>2</v>
      </c>
      <c r="B520" s="382" t="s">
        <v>1385</v>
      </c>
      <c r="C520" s="383" t="s">
        <v>1386</v>
      </c>
      <c r="D520" s="384" t="s">
        <v>407</v>
      </c>
      <c r="E520" s="385">
        <v>21</v>
      </c>
      <c r="F520" s="384">
        <v>21</v>
      </c>
      <c r="G520" s="358">
        <v>22088068</v>
      </c>
      <c r="H520" s="359">
        <f t="shared" si="15"/>
        <v>21124588</v>
      </c>
      <c r="I520" s="360"/>
      <c r="J520" s="361"/>
      <c r="K520" s="362"/>
      <c r="L520" s="362"/>
      <c r="M520" s="361">
        <v>734080</v>
      </c>
      <c r="N520" s="361">
        <v>1605800</v>
      </c>
      <c r="O520" s="361">
        <v>137640</v>
      </c>
      <c r="P520" s="361">
        <v>275280</v>
      </c>
      <c r="Q520" s="361">
        <v>91760</v>
      </c>
      <c r="R520" s="361">
        <v>91760</v>
      </c>
      <c r="S520" s="361">
        <v>183520</v>
      </c>
      <c r="T520" s="386">
        <v>930000</v>
      </c>
      <c r="U520" s="364">
        <f t="shared" si="16"/>
        <v>25174428</v>
      </c>
      <c r="V520" s="362"/>
      <c r="W520" s="365" t="str">
        <f>+VLOOKUP($B520,[2]Time_S4!$B:$G,6,0)</f>
        <v>Phòng Dự án</v>
      </c>
      <c r="X520" s="365" t="str">
        <f>IF(W520="Phòng Kinh doanh","Trung tâm Kinh doanh - TCT CNC",+VLOOKUP($B520,[2]Time_S4!$B:$G,5,0))</f>
        <v>Trung tâm Mua sắm - TCT CNC</v>
      </c>
      <c r="Y520" s="366"/>
      <c r="Z520" s="366"/>
    </row>
    <row r="521" spans="1:26" ht="15.75" hidden="1">
      <c r="A521" s="367">
        <f>SUBTOTAL(3,$B$15:B521)</f>
        <v>2</v>
      </c>
      <c r="B521" s="382" t="s">
        <v>1387</v>
      </c>
      <c r="C521" s="383" t="s">
        <v>1388</v>
      </c>
      <c r="D521" s="384" t="s">
        <v>407</v>
      </c>
      <c r="E521" s="385">
        <v>21</v>
      </c>
      <c r="F521" s="384">
        <v>21</v>
      </c>
      <c r="G521" s="358">
        <v>25217591</v>
      </c>
      <c r="H521" s="359">
        <f t="shared" si="15"/>
        <v>24254111</v>
      </c>
      <c r="I521" s="360"/>
      <c r="J521" s="361"/>
      <c r="K521" s="362"/>
      <c r="L521" s="362"/>
      <c r="M521" s="361">
        <v>734080</v>
      </c>
      <c r="N521" s="361">
        <v>1605800</v>
      </c>
      <c r="O521" s="361">
        <v>137640</v>
      </c>
      <c r="P521" s="361">
        <v>275280</v>
      </c>
      <c r="Q521" s="361">
        <v>91760</v>
      </c>
      <c r="R521" s="361">
        <v>91760</v>
      </c>
      <c r="S521" s="361">
        <v>183520</v>
      </c>
      <c r="T521" s="386">
        <v>1247000</v>
      </c>
      <c r="U521" s="364">
        <f t="shared" si="16"/>
        <v>28620951</v>
      </c>
      <c r="V521" s="362"/>
      <c r="W521" s="365" t="str">
        <f>+VLOOKUP($B521,[2]Time_S4!$B:$G,6,0)</f>
        <v>Phòng Thương hiệu và truyền thông</v>
      </c>
      <c r="X521" s="365" t="str">
        <f>IF(W521="Phòng Kinh doanh","Trung tâm Kinh doanh - TCT CNC",+VLOOKUP($B521,[2]Time_S4!$B:$G,5,0))</f>
        <v>Trung tâm Kinh doanh - TCT CNC</v>
      </c>
      <c r="Y521" s="366"/>
      <c r="Z521" s="366"/>
    </row>
    <row r="522" spans="1:26" ht="15.75" hidden="1">
      <c r="A522" s="367">
        <f>SUBTOTAL(3,$B$15:B522)</f>
        <v>2</v>
      </c>
      <c r="B522" s="382" t="s">
        <v>1389</v>
      </c>
      <c r="C522" s="383" t="s">
        <v>1390</v>
      </c>
      <c r="D522" s="384" t="s">
        <v>407</v>
      </c>
      <c r="E522" s="385">
        <v>21</v>
      </c>
      <c r="F522" s="384">
        <v>20</v>
      </c>
      <c r="G522" s="358">
        <v>20419306</v>
      </c>
      <c r="H522" s="359">
        <f t="shared" si="15"/>
        <v>19502698</v>
      </c>
      <c r="I522" s="360"/>
      <c r="J522" s="361"/>
      <c r="K522" s="362"/>
      <c r="L522" s="362"/>
      <c r="M522" s="361">
        <v>698368</v>
      </c>
      <c r="N522" s="361">
        <v>1527680</v>
      </c>
      <c r="O522" s="361">
        <v>130944</v>
      </c>
      <c r="P522" s="361">
        <v>261888</v>
      </c>
      <c r="Q522" s="361">
        <v>87296</v>
      </c>
      <c r="R522" s="361">
        <v>87296</v>
      </c>
      <c r="S522" s="361">
        <v>174592</v>
      </c>
      <c r="T522" s="386">
        <v>997143</v>
      </c>
      <c r="U522" s="364">
        <f t="shared" si="16"/>
        <v>23467905</v>
      </c>
      <c r="V522" s="362"/>
      <c r="W522" s="365" t="str">
        <f>+VLOOKUP($B522,[2]Time_S4!$B:$G,6,0)</f>
        <v>Phòng Hợp đồng</v>
      </c>
      <c r="X522" s="365" t="str">
        <f>IF(W522="Phòng Kinh doanh","Trung tâm Kinh doanh - TCT CNC",+VLOOKUP($B522,[2]Time_S4!$B:$G,5,0))</f>
        <v>Trung tâm Mua sắm - TCT CNC</v>
      </c>
      <c r="Y522" s="366"/>
      <c r="Z522" s="366"/>
    </row>
    <row r="523" spans="1:26" ht="15.75" hidden="1">
      <c r="A523" s="367">
        <f>SUBTOTAL(3,$B$15:B523)</f>
        <v>2</v>
      </c>
      <c r="B523" s="382" t="s">
        <v>1391</v>
      </c>
      <c r="C523" s="383" t="s">
        <v>1392</v>
      </c>
      <c r="D523" s="384" t="s">
        <v>407</v>
      </c>
      <c r="E523" s="385">
        <v>21</v>
      </c>
      <c r="F523" s="384">
        <v>21</v>
      </c>
      <c r="G523" s="358">
        <v>24790050</v>
      </c>
      <c r="H523" s="359">
        <f t="shared" si="15"/>
        <v>23774490</v>
      </c>
      <c r="I523" s="360"/>
      <c r="J523" s="361"/>
      <c r="K523" s="362"/>
      <c r="L523" s="362"/>
      <c r="M523" s="361">
        <v>773760</v>
      </c>
      <c r="N523" s="361">
        <v>1692600</v>
      </c>
      <c r="O523" s="361">
        <v>145080</v>
      </c>
      <c r="P523" s="361">
        <v>290160</v>
      </c>
      <c r="Q523" s="361">
        <v>96720</v>
      </c>
      <c r="R523" s="361">
        <v>96720</v>
      </c>
      <c r="S523" s="361">
        <v>193440</v>
      </c>
      <c r="T523" s="386">
        <v>1047000</v>
      </c>
      <c r="U523" s="364">
        <f t="shared" si="16"/>
        <v>28109970</v>
      </c>
      <c r="V523" s="362"/>
      <c r="W523" s="365" t="str">
        <f>+VLOOKUP($B523,[2]Time_S4!$B:$G,6,0)</f>
        <v>Phòng Đầu tư</v>
      </c>
      <c r="X523" s="365" t="str">
        <f>IF(W523="Phòng Kinh doanh","Trung tâm Kinh doanh - TCT CNC",+VLOOKUP($B523,[2]Time_S4!$B:$G,5,0))</f>
        <v>Trung tâm Mua sắm - TCT CNC</v>
      </c>
      <c r="Y523" s="366"/>
      <c r="Z523" s="366"/>
    </row>
    <row r="524" spans="1:26" ht="15.75" hidden="1">
      <c r="A524" s="367">
        <f>SUBTOTAL(3,$B$15:B524)</f>
        <v>2</v>
      </c>
      <c r="B524" s="382" t="s">
        <v>1393</v>
      </c>
      <c r="C524" s="383" t="s">
        <v>1394</v>
      </c>
      <c r="D524" s="384" t="s">
        <v>407</v>
      </c>
      <c r="E524" s="385">
        <v>21</v>
      </c>
      <c r="F524" s="384">
        <v>21</v>
      </c>
      <c r="G524" s="358">
        <v>52304747</v>
      </c>
      <c r="H524" s="359">
        <f t="shared" si="15"/>
        <v>51060035</v>
      </c>
      <c r="I524" s="360"/>
      <c r="J524" s="361"/>
      <c r="K524" s="362"/>
      <c r="L524" s="362"/>
      <c r="M524" s="361">
        <v>948352</v>
      </c>
      <c r="N524" s="361">
        <v>2074520</v>
      </c>
      <c r="O524" s="361">
        <v>177816</v>
      </c>
      <c r="P524" s="361">
        <v>355632</v>
      </c>
      <c r="Q524" s="361">
        <v>118544</v>
      </c>
      <c r="R524" s="361">
        <v>118544</v>
      </c>
      <c r="S524" s="361">
        <v>237088</v>
      </c>
      <c r="T524" s="386">
        <v>1230000</v>
      </c>
      <c r="U524" s="364">
        <f t="shared" si="16"/>
        <v>56320531</v>
      </c>
      <c r="V524" s="362"/>
      <c r="W524" s="365" t="str">
        <f>+VLOOKUP($B524,[2]Time_S4!$B:$G,6,0)</f>
        <v>Trung tâm Nghiên cứu Công nghệ chuyển mạch</v>
      </c>
      <c r="X524" s="365" t="str">
        <f>IF(W524="Phòng Kinh doanh","Trung tâm Kinh doanh - TCT CNC",+VLOOKUP($B524,[2]Time_S4!$B:$G,5,0))</f>
        <v>Khối 2 - TCT CNC</v>
      </c>
      <c r="Y524" s="366"/>
      <c r="Z524" s="366"/>
    </row>
    <row r="525" spans="1:26" ht="15.75" hidden="1">
      <c r="A525" s="367">
        <f>SUBTOTAL(3,$B$15:B525)</f>
        <v>2</v>
      </c>
      <c r="B525" s="382" t="s">
        <v>1395</v>
      </c>
      <c r="C525" s="383" t="s">
        <v>1396</v>
      </c>
      <c r="D525" s="384" t="s">
        <v>407</v>
      </c>
      <c r="E525" s="385">
        <v>21</v>
      </c>
      <c r="F525" s="384">
        <v>21</v>
      </c>
      <c r="G525" s="358">
        <v>81232676</v>
      </c>
      <c r="H525" s="359">
        <f t="shared" si="15"/>
        <v>79711940</v>
      </c>
      <c r="I525" s="360"/>
      <c r="J525" s="361"/>
      <c r="K525" s="362"/>
      <c r="L525" s="362"/>
      <c r="M525" s="361">
        <v>1158656</v>
      </c>
      <c r="N525" s="361">
        <v>2534560</v>
      </c>
      <c r="O525" s="361">
        <v>217248</v>
      </c>
      <c r="P525" s="361">
        <v>434496</v>
      </c>
      <c r="Q525" s="361">
        <v>144832</v>
      </c>
      <c r="R525" s="361">
        <v>144832</v>
      </c>
      <c r="S525" s="361">
        <v>289664</v>
      </c>
      <c r="T525" s="386">
        <v>1230000</v>
      </c>
      <c r="U525" s="364">
        <f t="shared" si="16"/>
        <v>85866228</v>
      </c>
      <c r="V525" s="362"/>
      <c r="W525" s="365" t="str">
        <f>+VLOOKUP($B525,[2]Time_S4!$B:$G,6,0)</f>
        <v>Trung tâm Nghiên cứu Công nghệ chuyển mạch</v>
      </c>
      <c r="X525" s="365" t="str">
        <f>IF(W525="Phòng Kinh doanh","Trung tâm Kinh doanh - TCT CNC",+VLOOKUP($B525,[2]Time_S4!$B:$G,5,0))</f>
        <v>Khối 2 - TCT CNC</v>
      </c>
      <c r="Y525" s="366"/>
      <c r="Z525" s="366"/>
    </row>
    <row r="526" spans="1:26" ht="15.75" hidden="1">
      <c r="A526" s="367">
        <f>SUBTOTAL(3,$B$15:B526)</f>
        <v>2</v>
      </c>
      <c r="B526" s="382" t="s">
        <v>1397</v>
      </c>
      <c r="C526" s="383" t="s">
        <v>1398</v>
      </c>
      <c r="D526" s="384" t="s">
        <v>407</v>
      </c>
      <c r="E526" s="385">
        <v>21</v>
      </c>
      <c r="F526" s="384">
        <v>21</v>
      </c>
      <c r="G526" s="358">
        <v>67611423</v>
      </c>
      <c r="H526" s="359">
        <f t="shared" si="15"/>
        <v>66236511</v>
      </c>
      <c r="I526" s="360"/>
      <c r="J526" s="361"/>
      <c r="K526" s="362"/>
      <c r="L526" s="362"/>
      <c r="M526" s="361">
        <v>1047552</v>
      </c>
      <c r="N526" s="361">
        <v>2291520</v>
      </c>
      <c r="O526" s="361">
        <v>196416</v>
      </c>
      <c r="P526" s="361">
        <v>392832</v>
      </c>
      <c r="Q526" s="361">
        <v>130944</v>
      </c>
      <c r="R526" s="361">
        <v>130944</v>
      </c>
      <c r="S526" s="361">
        <v>261888</v>
      </c>
      <c r="T526" s="386">
        <v>1130000</v>
      </c>
      <c r="U526" s="364">
        <f t="shared" si="16"/>
        <v>71818607</v>
      </c>
      <c r="V526" s="362"/>
      <c r="W526" s="365" t="str">
        <f>+VLOOKUP($B526,[2]Time_S4!$B:$G,6,0)</f>
        <v>Trung tâm Nghiên cứu thiết bị vô tuyến băng rộng</v>
      </c>
      <c r="X526" s="365" t="str">
        <f>IF(W526="Phòng Kinh doanh","Trung tâm Kinh doanh - TCT CNC",+VLOOKUP($B526,[2]Time_S4!$B:$G,5,0))</f>
        <v>Khối 2 - TCT CNC</v>
      </c>
      <c r="Y526" s="366"/>
      <c r="Z526" s="366"/>
    </row>
    <row r="527" spans="1:26" ht="15.75" hidden="1">
      <c r="A527" s="367">
        <f>SUBTOTAL(3,$B$15:B527)</f>
        <v>2</v>
      </c>
      <c r="B527" s="382" t="s">
        <v>1399</v>
      </c>
      <c r="C527" s="383" t="s">
        <v>1400</v>
      </c>
      <c r="D527" s="384" t="s">
        <v>410</v>
      </c>
      <c r="E527" s="385">
        <v>21</v>
      </c>
      <c r="F527" s="384">
        <v>21</v>
      </c>
      <c r="G527" s="358">
        <v>40415786</v>
      </c>
      <c r="H527" s="359">
        <f t="shared" si="15"/>
        <v>38794260</v>
      </c>
      <c r="I527" s="360"/>
      <c r="J527" s="361"/>
      <c r="K527" s="362"/>
      <c r="L527" s="362"/>
      <c r="M527" s="361">
        <v>1621526</v>
      </c>
      <c r="N527" s="361">
        <v>3547089</v>
      </c>
      <c r="O527" s="361">
        <v>0</v>
      </c>
      <c r="P527" s="361">
        <v>0</v>
      </c>
      <c r="Q527" s="361">
        <v>0</v>
      </c>
      <c r="R527" s="361">
        <v>0</v>
      </c>
      <c r="S527" s="361">
        <v>405382</v>
      </c>
      <c r="T527" s="386">
        <v>1230000</v>
      </c>
      <c r="U527" s="364">
        <f t="shared" si="16"/>
        <v>45598257</v>
      </c>
      <c r="V527" s="362"/>
      <c r="W527" s="365" t="str">
        <f>+VLOOKUP($B527,[2]Time_S4!$B:$G,6,0)</f>
        <v>Phòng Kinh doanh</v>
      </c>
      <c r="X527" s="365" t="str">
        <f>IF(W527="Phòng Kinh doanh","Trung tâm Kinh doanh - TCT CNC",+VLOOKUP($B527,[2]Time_S4!$B:$G,5,0))</f>
        <v>Trung tâm Kinh doanh - TCT CNC</v>
      </c>
      <c r="Y527" s="366"/>
      <c r="Z527" s="366"/>
    </row>
    <row r="528" spans="1:26" ht="15.75" hidden="1">
      <c r="A528" s="367">
        <f>SUBTOTAL(3,$B$15:B528)</f>
        <v>2</v>
      </c>
      <c r="B528" s="382" t="s">
        <v>1401</v>
      </c>
      <c r="C528" s="383" t="s">
        <v>1402</v>
      </c>
      <c r="D528" s="384" t="s">
        <v>407</v>
      </c>
      <c r="E528" s="385">
        <v>21</v>
      </c>
      <c r="F528" s="384">
        <v>21</v>
      </c>
      <c r="G528" s="358">
        <v>72378305</v>
      </c>
      <c r="H528" s="359">
        <f t="shared" ref="H528:H591" si="17">+G528-SUM(M528,O528,Q528)</f>
        <v>70930481</v>
      </c>
      <c r="I528" s="360"/>
      <c r="J528" s="361"/>
      <c r="K528" s="362"/>
      <c r="L528" s="362"/>
      <c r="M528" s="361">
        <v>1103104</v>
      </c>
      <c r="N528" s="361">
        <v>2413040</v>
      </c>
      <c r="O528" s="361">
        <v>206832</v>
      </c>
      <c r="P528" s="361">
        <v>413664</v>
      </c>
      <c r="Q528" s="361">
        <v>137888</v>
      </c>
      <c r="R528" s="361">
        <v>137888</v>
      </c>
      <c r="S528" s="361">
        <v>275776</v>
      </c>
      <c r="T528" s="386">
        <v>1230000</v>
      </c>
      <c r="U528" s="364">
        <f t="shared" ref="U528:U591" si="18">+SUM(H528:T528)</f>
        <v>76848673</v>
      </c>
      <c r="V528" s="362"/>
      <c r="W528" s="365" t="str">
        <f>+VLOOKUP($B528,[2]Time_S4!$B:$G,6,0)</f>
        <v>Trung tâm Nền tảng IOT</v>
      </c>
      <c r="X528" s="365" t="str">
        <f>IF(W528="Phòng Kinh doanh","Trung tâm Kinh doanh - TCT CNC",+VLOOKUP($B528,[2]Time_S4!$B:$G,5,0))</f>
        <v>Khối 3 - TCT CNC</v>
      </c>
      <c r="Y528" s="366"/>
      <c r="Z528" s="366"/>
    </row>
    <row r="529" spans="1:26" ht="15.75" hidden="1">
      <c r="A529" s="367">
        <f>SUBTOTAL(3,$B$15:B529)</f>
        <v>2</v>
      </c>
      <c r="B529" s="382" t="s">
        <v>1403</v>
      </c>
      <c r="C529" s="383" t="s">
        <v>1404</v>
      </c>
      <c r="D529" s="384" t="s">
        <v>407</v>
      </c>
      <c r="E529" s="385">
        <v>21</v>
      </c>
      <c r="F529" s="384">
        <v>21</v>
      </c>
      <c r="G529" s="358">
        <v>40415786</v>
      </c>
      <c r="H529" s="359">
        <f t="shared" si="17"/>
        <v>39233570</v>
      </c>
      <c r="I529" s="360"/>
      <c r="J529" s="361"/>
      <c r="K529" s="362"/>
      <c r="L529" s="362"/>
      <c r="M529" s="361">
        <v>900736</v>
      </c>
      <c r="N529" s="361">
        <v>1970360</v>
      </c>
      <c r="O529" s="361">
        <v>168888</v>
      </c>
      <c r="P529" s="361">
        <v>337776</v>
      </c>
      <c r="Q529" s="361">
        <v>112592</v>
      </c>
      <c r="R529" s="361">
        <v>112592</v>
      </c>
      <c r="S529" s="361">
        <v>225184</v>
      </c>
      <c r="T529" s="386">
        <v>1147000</v>
      </c>
      <c r="U529" s="364">
        <f t="shared" si="18"/>
        <v>44208698</v>
      </c>
      <c r="V529" s="362"/>
      <c r="W529" s="365" t="str">
        <f>+VLOOKUP($B529,[2]Time_S4!$B:$G,6,0)</f>
        <v>Trung tâm Phát triển nền tảng thanh toán</v>
      </c>
      <c r="X529" s="365" t="str">
        <f>IF(W529="Phòng Kinh doanh","Trung tâm Kinh doanh - TCT CNC",+VLOOKUP($B529,[2]Time_S4!$B:$G,5,0))</f>
        <v>Khối 2 - TCT CNC</v>
      </c>
      <c r="Y529" s="366"/>
      <c r="Z529" s="366"/>
    </row>
    <row r="530" spans="1:26" ht="15.75" hidden="1">
      <c r="A530" s="367">
        <f>SUBTOTAL(3,$B$15:B530)</f>
        <v>2</v>
      </c>
      <c r="B530" s="382" t="s">
        <v>1405</v>
      </c>
      <c r="C530" s="383" t="s">
        <v>1406</v>
      </c>
      <c r="D530" s="384" t="s">
        <v>400</v>
      </c>
      <c r="E530" s="385">
        <v>21</v>
      </c>
      <c r="F530" s="384">
        <v>21</v>
      </c>
      <c r="G530" s="358">
        <v>56969530</v>
      </c>
      <c r="H530" s="359">
        <f t="shared" si="17"/>
        <v>56118121</v>
      </c>
      <c r="I530" s="360"/>
      <c r="J530" s="361"/>
      <c r="K530" s="362"/>
      <c r="L530" s="362"/>
      <c r="M530" s="361">
        <v>716976</v>
      </c>
      <c r="N530" s="361">
        <v>1568385</v>
      </c>
      <c r="O530" s="361">
        <v>134433</v>
      </c>
      <c r="P530" s="361">
        <v>268866</v>
      </c>
      <c r="Q530" s="361">
        <v>0</v>
      </c>
      <c r="R530" s="361">
        <v>0</v>
      </c>
      <c r="S530" s="361">
        <v>179244</v>
      </c>
      <c r="T530" s="386">
        <v>1130000</v>
      </c>
      <c r="U530" s="364">
        <f t="shared" si="18"/>
        <v>60116025</v>
      </c>
      <c r="V530" s="362"/>
      <c r="W530" s="365" t="str">
        <f>+VLOOKUP($B530,[2]Time_S4!$B:$G,6,0)</f>
        <v>Trung tâm Phát triển nền tảng thanh toán</v>
      </c>
      <c r="X530" s="365" t="str">
        <f>IF(W530="Phòng Kinh doanh","Trung tâm Kinh doanh - TCT CNC",+VLOOKUP($B530,[2]Time_S4!$B:$G,5,0))</f>
        <v>Khối 2 - TCT CNC</v>
      </c>
      <c r="Y530" s="366"/>
      <c r="Z530" s="366"/>
    </row>
    <row r="531" spans="1:26" ht="15.75" hidden="1">
      <c r="A531" s="367">
        <f>SUBTOTAL(3,$B$15:B531)</f>
        <v>2</v>
      </c>
      <c r="B531" s="382" t="s">
        <v>1407</v>
      </c>
      <c r="C531" s="383" t="s">
        <v>1408</v>
      </c>
      <c r="D531" s="384" t="s">
        <v>407</v>
      </c>
      <c r="E531" s="385">
        <v>21</v>
      </c>
      <c r="F531" s="384">
        <v>21</v>
      </c>
      <c r="G531" s="358">
        <v>67611423</v>
      </c>
      <c r="H531" s="359">
        <f t="shared" si="17"/>
        <v>66236511</v>
      </c>
      <c r="I531" s="360"/>
      <c r="J531" s="361"/>
      <c r="K531" s="362"/>
      <c r="L531" s="362"/>
      <c r="M531" s="361">
        <v>1047552</v>
      </c>
      <c r="N531" s="361">
        <v>2291520</v>
      </c>
      <c r="O531" s="361">
        <v>196416</v>
      </c>
      <c r="P531" s="361">
        <v>392832</v>
      </c>
      <c r="Q531" s="361">
        <v>130944</v>
      </c>
      <c r="R531" s="361">
        <v>130944</v>
      </c>
      <c r="S531" s="361">
        <v>261888</v>
      </c>
      <c r="T531" s="386">
        <v>1230000</v>
      </c>
      <c r="U531" s="364">
        <f t="shared" si="18"/>
        <v>71918607</v>
      </c>
      <c r="V531" s="362"/>
      <c r="W531" s="365" t="str">
        <f>+VLOOKUP($B531,[2]Time_S4!$B:$G,6,0)</f>
        <v>Trung tâm Camera</v>
      </c>
      <c r="X531" s="365" t="str">
        <f>IF(W531="Phòng Kinh doanh","Trung tâm Kinh doanh - TCT CNC",+VLOOKUP($B531,[2]Time_S4!$B:$G,5,0))</f>
        <v>Khối 3 - TCT CNC</v>
      </c>
      <c r="Y531" s="366"/>
      <c r="Z531" s="366"/>
    </row>
    <row r="532" spans="1:26" ht="15.75" hidden="1">
      <c r="A532" s="367">
        <f>SUBTOTAL(3,$B$15:B532)</f>
        <v>2</v>
      </c>
      <c r="B532" s="382" t="s">
        <v>1409</v>
      </c>
      <c r="C532" s="383" t="s">
        <v>1410</v>
      </c>
      <c r="D532" s="384" t="s">
        <v>407</v>
      </c>
      <c r="E532" s="385">
        <v>21</v>
      </c>
      <c r="F532" s="384">
        <v>21</v>
      </c>
      <c r="G532" s="358">
        <v>56288263</v>
      </c>
      <c r="H532" s="359">
        <f t="shared" si="17"/>
        <v>55106047</v>
      </c>
      <c r="I532" s="360"/>
      <c r="J532" s="361"/>
      <c r="K532" s="362"/>
      <c r="L532" s="362"/>
      <c r="M532" s="361">
        <v>900736</v>
      </c>
      <c r="N532" s="361">
        <v>1970360</v>
      </c>
      <c r="O532" s="361">
        <v>168888</v>
      </c>
      <c r="P532" s="361">
        <v>337776</v>
      </c>
      <c r="Q532" s="361">
        <v>112592</v>
      </c>
      <c r="R532" s="361">
        <v>112592</v>
      </c>
      <c r="S532" s="361">
        <v>225184</v>
      </c>
      <c r="T532" s="386">
        <v>1130000</v>
      </c>
      <c r="U532" s="364">
        <f t="shared" si="18"/>
        <v>60064175</v>
      </c>
      <c r="V532" s="362"/>
      <c r="W532" s="365" t="str">
        <f>+VLOOKUP($B532,[2]Time_S4!$B:$G,6,0)</f>
        <v>Trung tâm Nghiên cứu thiết bị vô tuyến băng rộng</v>
      </c>
      <c r="X532" s="365" t="str">
        <f>IF(W532="Phòng Kinh doanh","Trung tâm Kinh doanh - TCT CNC",+VLOOKUP($B532,[2]Time_S4!$B:$G,5,0))</f>
        <v>Khối 2 - TCT CNC</v>
      </c>
      <c r="Y532" s="366"/>
      <c r="Z532" s="366"/>
    </row>
    <row r="533" spans="1:26" ht="15.75" hidden="1">
      <c r="A533" s="367">
        <f>SUBTOTAL(3,$B$15:B533)</f>
        <v>2</v>
      </c>
      <c r="B533" s="382" t="s">
        <v>1411</v>
      </c>
      <c r="C533" s="383" t="s">
        <v>1412</v>
      </c>
      <c r="D533" s="384" t="s">
        <v>407</v>
      </c>
      <c r="E533" s="385">
        <v>21</v>
      </c>
      <c r="F533" s="384">
        <v>21</v>
      </c>
      <c r="G533" s="358">
        <v>59836311</v>
      </c>
      <c r="H533" s="359">
        <f t="shared" si="17"/>
        <v>58529103</v>
      </c>
      <c r="I533" s="360"/>
      <c r="J533" s="361"/>
      <c r="K533" s="362"/>
      <c r="L533" s="362"/>
      <c r="M533" s="361">
        <v>995968</v>
      </c>
      <c r="N533" s="361">
        <v>2178680</v>
      </c>
      <c r="O533" s="361">
        <v>186744</v>
      </c>
      <c r="P533" s="361">
        <v>373488</v>
      </c>
      <c r="Q533" s="361">
        <v>124496</v>
      </c>
      <c r="R533" s="361">
        <v>124496</v>
      </c>
      <c r="S533" s="361">
        <v>248992</v>
      </c>
      <c r="T533" s="386">
        <v>1130000</v>
      </c>
      <c r="U533" s="364">
        <f t="shared" si="18"/>
        <v>63891967</v>
      </c>
      <c r="V533" s="362"/>
      <c r="W533" s="365" t="str">
        <f>+VLOOKUP($B533,[2]Time_S4!$B:$G,6,0)</f>
        <v>Trung tâm Nghiên cứu công nghệ Đa phương tiện</v>
      </c>
      <c r="X533" s="365" t="str">
        <f>IF(W533="Phòng Kinh doanh","Trung tâm Kinh doanh - TCT CNC",+VLOOKUP($B533,[2]Time_S4!$B:$G,5,0))</f>
        <v>Khối 2 - TCT CNC</v>
      </c>
      <c r="Y533" s="366"/>
      <c r="Z533" s="366"/>
    </row>
    <row r="534" spans="1:26" ht="15.75" hidden="1">
      <c r="A534" s="367">
        <f>SUBTOTAL(3,$B$15:B534)</f>
        <v>2</v>
      </c>
      <c r="B534" s="382" t="s">
        <v>1413</v>
      </c>
      <c r="C534" s="383" t="s">
        <v>1414</v>
      </c>
      <c r="D534" s="384" t="s">
        <v>407</v>
      </c>
      <c r="E534" s="385">
        <v>21</v>
      </c>
      <c r="F534" s="384">
        <v>21</v>
      </c>
      <c r="G534" s="358">
        <v>44993715</v>
      </c>
      <c r="H534" s="359">
        <f t="shared" si="17"/>
        <v>43811499</v>
      </c>
      <c r="I534" s="360"/>
      <c r="J534" s="361"/>
      <c r="K534" s="362"/>
      <c r="L534" s="362"/>
      <c r="M534" s="361">
        <v>900736</v>
      </c>
      <c r="N534" s="361">
        <v>1970360</v>
      </c>
      <c r="O534" s="361">
        <v>168888</v>
      </c>
      <c r="P534" s="361">
        <v>337776</v>
      </c>
      <c r="Q534" s="361">
        <v>112592</v>
      </c>
      <c r="R534" s="361">
        <v>112592</v>
      </c>
      <c r="S534" s="361">
        <v>225184</v>
      </c>
      <c r="T534" s="386">
        <v>1030000</v>
      </c>
      <c r="U534" s="364">
        <f t="shared" si="18"/>
        <v>48669627</v>
      </c>
      <c r="V534" s="362"/>
      <c r="W534" s="365" t="str">
        <f>+VLOOKUP($B534,[2]Time_S4!$B:$G,6,0)</f>
        <v>Trung tâm Nghiên cứu công nghệ Đa phương tiện</v>
      </c>
      <c r="X534" s="365" t="str">
        <f>IF(W534="Phòng Kinh doanh","Trung tâm Kinh doanh - TCT CNC",+VLOOKUP($B534,[2]Time_S4!$B:$G,5,0))</f>
        <v>Khối 2 - TCT CNC</v>
      </c>
      <c r="Y534" s="366"/>
      <c r="Z534" s="366"/>
    </row>
    <row r="535" spans="1:26" ht="15.75" hidden="1">
      <c r="A535" s="367">
        <f>SUBTOTAL(3,$B$15:B535)</f>
        <v>2</v>
      </c>
      <c r="B535" s="382" t="s">
        <v>1415</v>
      </c>
      <c r="C535" s="383" t="s">
        <v>1416</v>
      </c>
      <c r="D535" s="384" t="s">
        <v>407</v>
      </c>
      <c r="E535" s="385">
        <v>21</v>
      </c>
      <c r="F535" s="384">
        <v>21</v>
      </c>
      <c r="G535" s="358">
        <v>47162286</v>
      </c>
      <c r="H535" s="359">
        <f t="shared" si="17"/>
        <v>46037358</v>
      </c>
      <c r="I535" s="360"/>
      <c r="J535" s="361"/>
      <c r="K535" s="362"/>
      <c r="L535" s="362"/>
      <c r="M535" s="361">
        <v>857088</v>
      </c>
      <c r="N535" s="361">
        <v>1874880</v>
      </c>
      <c r="O535" s="361">
        <v>160704</v>
      </c>
      <c r="P535" s="361">
        <v>321408</v>
      </c>
      <c r="Q535" s="361">
        <v>107136</v>
      </c>
      <c r="R535" s="361">
        <v>107136</v>
      </c>
      <c r="S535" s="361">
        <v>214272</v>
      </c>
      <c r="T535" s="386">
        <v>1030000</v>
      </c>
      <c r="U535" s="364">
        <f t="shared" si="18"/>
        <v>50709982</v>
      </c>
      <c r="V535" s="362"/>
      <c r="W535" s="365" t="str">
        <f>+VLOOKUP($B535,[2]Time_S4!$B:$G,6,0)</f>
        <v>Trung tâm Kỹ thuật công nghệ - TCT CNC</v>
      </c>
      <c r="X535" s="365" t="str">
        <f>IF(W535="Phòng Kinh doanh","Trung tâm Kinh doanh - TCT CNC",+VLOOKUP($B535,[2]Time_S4!$B:$G,5,0))</f>
        <v>Khối 2 - TCT CNC</v>
      </c>
      <c r="Y535" s="366"/>
      <c r="Z535" s="366"/>
    </row>
    <row r="536" spans="1:26" ht="15.75" hidden="1">
      <c r="A536" s="367">
        <f>SUBTOTAL(3,$B$15:B536)</f>
        <v>2</v>
      </c>
      <c r="B536" s="382" t="s">
        <v>1417</v>
      </c>
      <c r="C536" s="383" t="s">
        <v>1418</v>
      </c>
      <c r="D536" s="384" t="s">
        <v>407</v>
      </c>
      <c r="E536" s="385">
        <v>21</v>
      </c>
      <c r="F536" s="384">
        <v>21</v>
      </c>
      <c r="G536" s="358">
        <v>44163248</v>
      </c>
      <c r="H536" s="359">
        <f t="shared" si="17"/>
        <v>42981032</v>
      </c>
      <c r="I536" s="360"/>
      <c r="J536" s="361"/>
      <c r="K536" s="362"/>
      <c r="L536" s="362"/>
      <c r="M536" s="361">
        <v>900736</v>
      </c>
      <c r="N536" s="361">
        <v>1970360</v>
      </c>
      <c r="O536" s="361">
        <v>168888</v>
      </c>
      <c r="P536" s="361">
        <v>337776</v>
      </c>
      <c r="Q536" s="361">
        <v>112592</v>
      </c>
      <c r="R536" s="361">
        <v>112592</v>
      </c>
      <c r="S536" s="361">
        <v>225184</v>
      </c>
      <c r="T536" s="386">
        <v>1030000</v>
      </c>
      <c r="U536" s="364">
        <f t="shared" si="18"/>
        <v>47839160</v>
      </c>
      <c r="V536" s="362"/>
      <c r="W536" s="365" t="str">
        <f>+VLOOKUP($B536,[2]Time_S4!$B:$G,6,0)</f>
        <v>Trung tâm Nghiên cứu thiết bị vô tuyến băng rộng</v>
      </c>
      <c r="X536" s="365" t="str">
        <f>IF(W536="Phòng Kinh doanh","Trung tâm Kinh doanh - TCT CNC",+VLOOKUP($B536,[2]Time_S4!$B:$G,5,0))</f>
        <v>Khối 2 - TCT CNC</v>
      </c>
      <c r="Y536" s="366"/>
      <c r="Z536" s="366"/>
    </row>
    <row r="537" spans="1:26" ht="15.75" hidden="1">
      <c r="A537" s="367">
        <f>SUBTOTAL(3,$B$15:B537)</f>
        <v>2</v>
      </c>
      <c r="B537" s="382" t="s">
        <v>1419</v>
      </c>
      <c r="C537" s="383" t="s">
        <v>1420</v>
      </c>
      <c r="D537" s="384" t="s">
        <v>400</v>
      </c>
      <c r="E537" s="385">
        <v>21</v>
      </c>
      <c r="F537" s="384">
        <v>21</v>
      </c>
      <c r="G537" s="358">
        <v>72815646</v>
      </c>
      <c r="H537" s="359">
        <f t="shared" si="17"/>
        <v>72075387</v>
      </c>
      <c r="I537" s="360"/>
      <c r="J537" s="361"/>
      <c r="K537" s="362"/>
      <c r="L537" s="362"/>
      <c r="M537" s="361">
        <v>623376</v>
      </c>
      <c r="N537" s="361">
        <v>1363635</v>
      </c>
      <c r="O537" s="361">
        <v>116883</v>
      </c>
      <c r="P537" s="361">
        <v>233766</v>
      </c>
      <c r="Q537" s="361">
        <v>0</v>
      </c>
      <c r="R537" s="361">
        <v>0</v>
      </c>
      <c r="S537" s="361">
        <v>155844</v>
      </c>
      <c r="T537" s="386">
        <v>1230000</v>
      </c>
      <c r="U537" s="364">
        <f t="shared" si="18"/>
        <v>75798891</v>
      </c>
      <c r="V537" s="362"/>
      <c r="W537" s="365" t="str">
        <f>+VLOOKUP($B537,[2]Time_S4!$B:$G,6,0)</f>
        <v>Trung tâm Tác chiến điện tử</v>
      </c>
      <c r="X537" s="365" t="str">
        <f>IF(W537="Phòng Kinh doanh","Trung tâm Kinh doanh - TCT CNC",+VLOOKUP($B537,[2]Time_S4!$B:$G,5,0))</f>
        <v>Khối 1 - TCT CNC</v>
      </c>
      <c r="Y537" s="366"/>
      <c r="Z537" s="366"/>
    </row>
    <row r="538" spans="1:26" ht="15.75" hidden="1">
      <c r="A538" s="367">
        <f>SUBTOTAL(3,$B$15:B538)</f>
        <v>2</v>
      </c>
      <c r="B538" s="382" t="s">
        <v>1421</v>
      </c>
      <c r="C538" s="383" t="s">
        <v>1422</v>
      </c>
      <c r="D538" s="384" t="s">
        <v>407</v>
      </c>
      <c r="E538" s="385">
        <v>21</v>
      </c>
      <c r="F538" s="384">
        <v>21</v>
      </c>
      <c r="G538" s="358">
        <v>44460429</v>
      </c>
      <c r="H538" s="359">
        <f t="shared" si="17"/>
        <v>43335501</v>
      </c>
      <c r="I538" s="360"/>
      <c r="J538" s="361"/>
      <c r="K538" s="362"/>
      <c r="L538" s="362"/>
      <c r="M538" s="361">
        <v>857088</v>
      </c>
      <c r="N538" s="361">
        <v>1874880</v>
      </c>
      <c r="O538" s="361">
        <v>160704</v>
      </c>
      <c r="P538" s="361">
        <v>321408</v>
      </c>
      <c r="Q538" s="361">
        <v>107136</v>
      </c>
      <c r="R538" s="361">
        <v>107136</v>
      </c>
      <c r="S538" s="361">
        <v>214272</v>
      </c>
      <c r="T538" s="386">
        <v>1130000</v>
      </c>
      <c r="U538" s="364">
        <f t="shared" si="18"/>
        <v>48108125</v>
      </c>
      <c r="V538" s="362"/>
      <c r="W538" s="365" t="str">
        <f>+VLOOKUP($B538,[2]Time_S4!$B:$G,6,0)</f>
        <v>Trung tâm Công nghệ Cơ khí - Tự động hóa</v>
      </c>
      <c r="X538" s="365" t="str">
        <f>IF(W538="Phòng Kinh doanh","Trung tâm Kinh doanh - TCT CNC",+VLOOKUP($B538,[2]Time_S4!$B:$G,5,0))</f>
        <v>Khối 1 - TCT CNC</v>
      </c>
      <c r="Y538" s="366"/>
      <c r="Z538" s="366"/>
    </row>
    <row r="539" spans="1:26" ht="15.75" hidden="1">
      <c r="A539" s="367">
        <f>SUBTOTAL(3,$B$15:B539)</f>
        <v>2</v>
      </c>
      <c r="B539" s="382" t="s">
        <v>1423</v>
      </c>
      <c r="C539" s="383" t="s">
        <v>1424</v>
      </c>
      <c r="D539" s="384" t="s">
        <v>407</v>
      </c>
      <c r="E539" s="385">
        <v>21</v>
      </c>
      <c r="F539" s="384">
        <v>21</v>
      </c>
      <c r="G539" s="358">
        <v>39993715</v>
      </c>
      <c r="H539" s="359">
        <f t="shared" si="17"/>
        <v>38811499</v>
      </c>
      <c r="I539" s="360"/>
      <c r="J539" s="361"/>
      <c r="K539" s="362"/>
      <c r="L539" s="362"/>
      <c r="M539" s="361">
        <v>900736</v>
      </c>
      <c r="N539" s="361">
        <v>1970360</v>
      </c>
      <c r="O539" s="361">
        <v>168888</v>
      </c>
      <c r="P539" s="361">
        <v>337776</v>
      </c>
      <c r="Q539" s="361">
        <v>112592</v>
      </c>
      <c r="R539" s="361">
        <v>112592</v>
      </c>
      <c r="S539" s="361">
        <v>225184</v>
      </c>
      <c r="T539" s="386">
        <v>1030000</v>
      </c>
      <c r="U539" s="364">
        <f t="shared" si="18"/>
        <v>43669627</v>
      </c>
      <c r="V539" s="362"/>
      <c r="W539" s="365" t="str">
        <f>+VLOOKUP($B539,[2]Time_S4!$B:$G,6,0)</f>
        <v>Trung tâm Mô hình mô phỏng</v>
      </c>
      <c r="X539" s="365" t="str">
        <f>IF(W539="Phòng Kinh doanh","Trung tâm Kinh doanh - TCT CNC",+VLOOKUP($B539,[2]Time_S4!$B:$G,5,0))</f>
        <v>Khối 1 - TCT CNC</v>
      </c>
      <c r="Y539" s="366"/>
      <c r="Z539" s="366"/>
    </row>
    <row r="540" spans="1:26" ht="15.75" hidden="1">
      <c r="A540" s="367">
        <f>SUBTOTAL(3,$B$15:B540)</f>
        <v>2</v>
      </c>
      <c r="B540" s="382" t="s">
        <v>1425</v>
      </c>
      <c r="C540" s="383" t="s">
        <v>1426</v>
      </c>
      <c r="D540" s="384" t="s">
        <v>407</v>
      </c>
      <c r="E540" s="385">
        <v>21</v>
      </c>
      <c r="F540" s="384">
        <v>21</v>
      </c>
      <c r="G540" s="358">
        <v>43010023</v>
      </c>
      <c r="H540" s="359">
        <f t="shared" si="17"/>
        <v>41885095</v>
      </c>
      <c r="I540" s="360"/>
      <c r="J540" s="361"/>
      <c r="K540" s="362"/>
      <c r="L540" s="362"/>
      <c r="M540" s="361">
        <v>857088</v>
      </c>
      <c r="N540" s="361">
        <v>1874880</v>
      </c>
      <c r="O540" s="361">
        <v>160704</v>
      </c>
      <c r="P540" s="361">
        <v>321408</v>
      </c>
      <c r="Q540" s="361">
        <v>107136</v>
      </c>
      <c r="R540" s="361">
        <v>107136</v>
      </c>
      <c r="S540" s="361">
        <v>214272</v>
      </c>
      <c r="T540" s="386">
        <v>1498000</v>
      </c>
      <c r="U540" s="364">
        <f t="shared" si="18"/>
        <v>47025719</v>
      </c>
      <c r="V540" s="362"/>
      <c r="W540" s="365" t="str">
        <f>+VLOOKUP($B540,[2]Time_S4!$B:$G,6,0)</f>
        <v>Trung tâm Khí cụ bay</v>
      </c>
      <c r="X540" s="365" t="str">
        <f>IF(W540="Phòng Kinh doanh","Trung tâm Kinh doanh - TCT CNC",+VLOOKUP($B540,[2]Time_S4!$B:$G,5,0))</f>
        <v>Khối 1 - TCT CNC</v>
      </c>
      <c r="Y540" s="366"/>
      <c r="Z540" s="366"/>
    </row>
    <row r="541" spans="1:26" ht="15.75" hidden="1">
      <c r="A541" s="367">
        <f>SUBTOTAL(3,$B$15:B541)</f>
        <v>2</v>
      </c>
      <c r="B541" s="382" t="s">
        <v>1427</v>
      </c>
      <c r="C541" s="383" t="s">
        <v>1428</v>
      </c>
      <c r="D541" s="384" t="s">
        <v>407</v>
      </c>
      <c r="E541" s="385">
        <v>21</v>
      </c>
      <c r="F541" s="384">
        <v>21</v>
      </c>
      <c r="G541" s="358">
        <v>86136960</v>
      </c>
      <c r="H541" s="359">
        <f t="shared" si="17"/>
        <v>84616224</v>
      </c>
      <c r="I541" s="360"/>
      <c r="J541" s="361"/>
      <c r="K541" s="362"/>
      <c r="L541" s="362"/>
      <c r="M541" s="361">
        <v>1158656</v>
      </c>
      <c r="N541" s="361">
        <v>2534560</v>
      </c>
      <c r="O541" s="361">
        <v>217248</v>
      </c>
      <c r="P541" s="361">
        <v>434496</v>
      </c>
      <c r="Q541" s="361">
        <v>144832</v>
      </c>
      <c r="R541" s="361">
        <v>144832</v>
      </c>
      <c r="S541" s="361">
        <v>289664</v>
      </c>
      <c r="T541" s="386">
        <v>1130000</v>
      </c>
      <c r="U541" s="364">
        <f t="shared" si="18"/>
        <v>90670512</v>
      </c>
      <c r="V541" s="362"/>
      <c r="W541" s="365" t="str">
        <f>+VLOOKUP($B541,[2]Time_S4!$B:$G,6,0)</f>
        <v>Trung tâm Quang điện tử</v>
      </c>
      <c r="X541" s="365" t="str">
        <f>IF(W541="Phòng Kinh doanh","Trung tâm Kinh doanh - TCT CNC",+VLOOKUP($B541,[2]Time_S4!$B:$G,5,0))</f>
        <v>Khối 1 - TCT CNC</v>
      </c>
      <c r="Y541" s="366"/>
      <c r="Z541" s="366"/>
    </row>
    <row r="542" spans="1:26" ht="15.75" hidden="1">
      <c r="A542" s="367">
        <f>SUBTOTAL(3,$B$15:B542)</f>
        <v>2</v>
      </c>
      <c r="B542" s="382" t="s">
        <v>1429</v>
      </c>
      <c r="C542" s="383" t="s">
        <v>1430</v>
      </c>
      <c r="D542" s="384" t="s">
        <v>407</v>
      </c>
      <c r="E542" s="385">
        <v>21</v>
      </c>
      <c r="F542" s="384">
        <v>21</v>
      </c>
      <c r="G542" s="358">
        <v>22088068</v>
      </c>
      <c r="H542" s="359">
        <f t="shared" si="17"/>
        <v>21124588</v>
      </c>
      <c r="I542" s="360"/>
      <c r="J542" s="361"/>
      <c r="K542" s="362"/>
      <c r="L542" s="362"/>
      <c r="M542" s="361">
        <v>734080</v>
      </c>
      <c r="N542" s="361">
        <v>1605800</v>
      </c>
      <c r="O542" s="361">
        <v>137640</v>
      </c>
      <c r="P542" s="361">
        <v>275280</v>
      </c>
      <c r="Q542" s="361">
        <v>91760</v>
      </c>
      <c r="R542" s="361">
        <v>91760</v>
      </c>
      <c r="S542" s="361">
        <v>183520</v>
      </c>
      <c r="T542" s="386">
        <v>930000</v>
      </c>
      <c r="U542" s="364">
        <f t="shared" si="18"/>
        <v>25174428</v>
      </c>
      <c r="V542" s="362"/>
      <c r="W542" s="365" t="str">
        <f>+VLOOKUP($B542,[2]Time_S4!$B:$G,6,0)</f>
        <v>Phòng Quản lý tiêu chuẩn và quy trình</v>
      </c>
      <c r="X542" s="365" t="str">
        <f>IF(W542="Phòng Kinh doanh","Trung tâm Kinh doanh - TCT CNC",+VLOOKUP($B542,[2]Time_S4!$B:$G,5,0))</f>
        <v>Trung tâm Quản lý chất lượng - TCT CNC</v>
      </c>
      <c r="Y542" s="366"/>
      <c r="Z542" s="366"/>
    </row>
    <row r="543" spans="1:26" ht="15.75" hidden="1">
      <c r="A543" s="367">
        <f>SUBTOTAL(3,$B$15:B543)</f>
        <v>2</v>
      </c>
      <c r="B543" s="382" t="s">
        <v>1431</v>
      </c>
      <c r="C543" s="383" t="s">
        <v>1432</v>
      </c>
      <c r="D543" s="384" t="s">
        <v>407</v>
      </c>
      <c r="E543" s="385">
        <v>21</v>
      </c>
      <c r="F543" s="384">
        <v>21</v>
      </c>
      <c r="G543" s="358">
        <v>32826640</v>
      </c>
      <c r="H543" s="359">
        <f t="shared" si="17"/>
        <v>31759000</v>
      </c>
      <c r="I543" s="360"/>
      <c r="J543" s="361"/>
      <c r="K543" s="362"/>
      <c r="L543" s="362"/>
      <c r="M543" s="361">
        <v>813440</v>
      </c>
      <c r="N543" s="361">
        <v>1779400</v>
      </c>
      <c r="O543" s="361">
        <v>152520</v>
      </c>
      <c r="P543" s="361">
        <v>305040</v>
      </c>
      <c r="Q543" s="361">
        <v>101680</v>
      </c>
      <c r="R543" s="361">
        <v>101680</v>
      </c>
      <c r="S543" s="361">
        <v>203360</v>
      </c>
      <c r="T543" s="386">
        <v>1030000</v>
      </c>
      <c r="U543" s="364">
        <f t="shared" si="18"/>
        <v>36246120</v>
      </c>
      <c r="V543" s="362"/>
      <c r="W543" s="365" t="str">
        <f>+VLOOKUP($B543,[2]Time_S4!$B:$G,6,0)</f>
        <v>Trung tâm Thông tin Quân sự</v>
      </c>
      <c r="X543" s="365" t="str">
        <f>IF(W543="Phòng Kinh doanh","Trung tâm Kinh doanh - TCT CNC",+VLOOKUP($B543,[2]Time_S4!$B:$G,5,0))</f>
        <v>Khối 1 - TCT CNC</v>
      </c>
      <c r="Y543" s="366"/>
      <c r="Z543" s="366"/>
    </row>
    <row r="544" spans="1:26" ht="15.75" hidden="1">
      <c r="A544" s="367">
        <f>SUBTOTAL(3,$B$15:B544)</f>
        <v>2</v>
      </c>
      <c r="B544" s="382" t="s">
        <v>1433</v>
      </c>
      <c r="C544" s="383" t="s">
        <v>1434</v>
      </c>
      <c r="D544" s="384" t="s">
        <v>407</v>
      </c>
      <c r="E544" s="385">
        <v>21</v>
      </c>
      <c r="F544" s="384">
        <v>21</v>
      </c>
      <c r="G544" s="358">
        <v>46189069</v>
      </c>
      <c r="H544" s="359">
        <f t="shared" si="17"/>
        <v>44944357</v>
      </c>
      <c r="I544" s="360"/>
      <c r="J544" s="361"/>
      <c r="K544" s="362"/>
      <c r="L544" s="362"/>
      <c r="M544" s="361">
        <v>948352</v>
      </c>
      <c r="N544" s="361">
        <v>2074520</v>
      </c>
      <c r="O544" s="361">
        <v>177816</v>
      </c>
      <c r="P544" s="361">
        <v>355632</v>
      </c>
      <c r="Q544" s="361">
        <v>118544</v>
      </c>
      <c r="R544" s="361">
        <v>118544</v>
      </c>
      <c r="S544" s="361">
        <v>237088</v>
      </c>
      <c r="T544" s="386">
        <v>1030000</v>
      </c>
      <c r="U544" s="364">
        <f t="shared" si="18"/>
        <v>50004853</v>
      </c>
      <c r="V544" s="362"/>
      <c r="W544" s="365" t="str">
        <f>+VLOOKUP($B544,[2]Time_S4!$B:$G,6,0)</f>
        <v>Trung tâm Camera</v>
      </c>
      <c r="X544" s="365" t="str">
        <f>IF(W544="Phòng Kinh doanh","Trung tâm Kinh doanh - TCT CNC",+VLOOKUP($B544,[2]Time_S4!$B:$G,5,0))</f>
        <v>Khối 3 - TCT CNC</v>
      </c>
      <c r="Y544" s="366"/>
      <c r="Z544" s="366"/>
    </row>
    <row r="545" spans="1:26" ht="15.75" hidden="1">
      <c r="A545" s="367">
        <f>SUBTOTAL(3,$B$15:B545)</f>
        <v>2</v>
      </c>
      <c r="B545" s="382" t="s">
        <v>1435</v>
      </c>
      <c r="C545" s="383" t="s">
        <v>1436</v>
      </c>
      <c r="D545" s="384" t="s">
        <v>407</v>
      </c>
      <c r="E545" s="385">
        <v>21</v>
      </c>
      <c r="F545" s="384">
        <v>21</v>
      </c>
      <c r="G545" s="358">
        <v>27531156</v>
      </c>
      <c r="H545" s="359">
        <f t="shared" si="17"/>
        <v>26515596</v>
      </c>
      <c r="I545" s="360"/>
      <c r="J545" s="361"/>
      <c r="K545" s="362"/>
      <c r="L545" s="362"/>
      <c r="M545" s="361">
        <v>773760</v>
      </c>
      <c r="N545" s="361">
        <v>1692600</v>
      </c>
      <c r="O545" s="361">
        <v>145080</v>
      </c>
      <c r="P545" s="361">
        <v>290160</v>
      </c>
      <c r="Q545" s="361">
        <v>96720</v>
      </c>
      <c r="R545" s="361">
        <v>96720</v>
      </c>
      <c r="S545" s="361">
        <v>193440</v>
      </c>
      <c r="T545" s="386">
        <v>1047000</v>
      </c>
      <c r="U545" s="364">
        <f t="shared" si="18"/>
        <v>30851076</v>
      </c>
      <c r="V545" s="362"/>
      <c r="W545" s="365" t="str">
        <f>+VLOOKUP($B545,[2]Time_S4!$B:$G,6,0)</f>
        <v>Trung tâm Rada</v>
      </c>
      <c r="X545" s="365" t="str">
        <f>IF(W545="Phòng Kinh doanh","Trung tâm Kinh doanh - TCT CNC",+VLOOKUP($B545,[2]Time_S4!$B:$G,5,0))</f>
        <v>Khối 1 - TCT CNC</v>
      </c>
      <c r="Y545" s="366"/>
      <c r="Z545" s="366"/>
    </row>
    <row r="546" spans="1:26" ht="15.75" hidden="1">
      <c r="A546" s="367">
        <f>SUBTOTAL(3,$B$15:B546)</f>
        <v>2</v>
      </c>
      <c r="B546" s="382" t="s">
        <v>1437</v>
      </c>
      <c r="C546" s="383" t="s">
        <v>1438</v>
      </c>
      <c r="D546" s="384" t="s">
        <v>397</v>
      </c>
      <c r="E546" s="385">
        <v>21</v>
      </c>
      <c r="F546" s="384">
        <v>21</v>
      </c>
      <c r="G546" s="358">
        <v>54628542</v>
      </c>
      <c r="H546" s="359">
        <f t="shared" si="17"/>
        <v>53617662</v>
      </c>
      <c r="I546" s="360"/>
      <c r="J546" s="361"/>
      <c r="K546" s="362"/>
      <c r="L546" s="362"/>
      <c r="M546" s="361">
        <v>1010880</v>
      </c>
      <c r="N546" s="361">
        <v>2211300</v>
      </c>
      <c r="O546" s="361">
        <v>0</v>
      </c>
      <c r="P546" s="361">
        <v>0</v>
      </c>
      <c r="Q546" s="361">
        <v>0</v>
      </c>
      <c r="R546" s="361">
        <v>0</v>
      </c>
      <c r="S546" s="361">
        <v>252720</v>
      </c>
      <c r="T546" s="386">
        <v>1598000</v>
      </c>
      <c r="U546" s="364">
        <f t="shared" si="18"/>
        <v>58690562</v>
      </c>
      <c r="V546" s="362"/>
      <c r="W546" s="365" t="str">
        <f>+VLOOKUP($B546,[2]Time_S4!$B:$G,6,0)</f>
        <v>Trung tâm Mô hình mô phỏng</v>
      </c>
      <c r="X546" s="365" t="str">
        <f>IF(W546="Phòng Kinh doanh","Trung tâm Kinh doanh - TCT CNC",+VLOOKUP($B546,[2]Time_S4!$B:$G,5,0))</f>
        <v>Khối 1 - TCT CNC</v>
      </c>
      <c r="Y546" s="366"/>
      <c r="Z546" s="366"/>
    </row>
    <row r="547" spans="1:26" ht="15.75" hidden="1">
      <c r="A547" s="367">
        <f>SUBTOTAL(3,$B$15:B547)</f>
        <v>2</v>
      </c>
      <c r="B547" s="382" t="s">
        <v>1439</v>
      </c>
      <c r="C547" s="383" t="s">
        <v>1440</v>
      </c>
      <c r="D547" s="384" t="s">
        <v>407</v>
      </c>
      <c r="E547" s="385">
        <v>21</v>
      </c>
      <c r="F547" s="384">
        <v>21</v>
      </c>
      <c r="G547" s="358">
        <v>39010023</v>
      </c>
      <c r="H547" s="359">
        <f t="shared" si="17"/>
        <v>37885095</v>
      </c>
      <c r="I547" s="360"/>
      <c r="J547" s="361"/>
      <c r="K547" s="362"/>
      <c r="L547" s="362"/>
      <c r="M547" s="361">
        <v>857088</v>
      </c>
      <c r="N547" s="361">
        <v>1874880</v>
      </c>
      <c r="O547" s="361">
        <v>160704</v>
      </c>
      <c r="P547" s="361">
        <v>321408</v>
      </c>
      <c r="Q547" s="361">
        <v>107136</v>
      </c>
      <c r="R547" s="361">
        <v>107136</v>
      </c>
      <c r="S547" s="361">
        <v>214272</v>
      </c>
      <c r="T547" s="386">
        <v>1030000</v>
      </c>
      <c r="U547" s="364">
        <f t="shared" si="18"/>
        <v>42557719</v>
      </c>
      <c r="V547" s="362"/>
      <c r="W547" s="365" t="str">
        <f>+VLOOKUP($B547,[2]Time_S4!$B:$G,6,0)</f>
        <v>Trung tâm Rada</v>
      </c>
      <c r="X547" s="365" t="str">
        <f>IF(W547="Phòng Kinh doanh","Trung tâm Kinh doanh - TCT CNC",+VLOOKUP($B547,[2]Time_S4!$B:$G,5,0))</f>
        <v>Khối 1 - TCT CNC</v>
      </c>
      <c r="Y547" s="366"/>
      <c r="Z547" s="366"/>
    </row>
    <row r="548" spans="1:26" ht="15.75" hidden="1">
      <c r="A548" s="367">
        <f>SUBTOTAL(3,$B$15:B548)</f>
        <v>2</v>
      </c>
      <c r="B548" s="382" t="s">
        <v>1441</v>
      </c>
      <c r="C548" s="383" t="s">
        <v>1442</v>
      </c>
      <c r="D548" s="384" t="s">
        <v>407</v>
      </c>
      <c r="E548" s="385">
        <v>21</v>
      </c>
      <c r="F548" s="384">
        <v>21</v>
      </c>
      <c r="G548" s="358">
        <v>55204673</v>
      </c>
      <c r="H548" s="359">
        <f t="shared" si="17"/>
        <v>53897465</v>
      </c>
      <c r="I548" s="360"/>
      <c r="J548" s="361"/>
      <c r="K548" s="362"/>
      <c r="L548" s="362"/>
      <c r="M548" s="361">
        <v>995968</v>
      </c>
      <c r="N548" s="361">
        <v>2178680</v>
      </c>
      <c r="O548" s="361">
        <v>186744</v>
      </c>
      <c r="P548" s="361">
        <v>373488</v>
      </c>
      <c r="Q548" s="361">
        <v>124496</v>
      </c>
      <c r="R548" s="361">
        <v>124496</v>
      </c>
      <c r="S548" s="361">
        <v>248992</v>
      </c>
      <c r="T548" s="386">
        <v>1130000</v>
      </c>
      <c r="U548" s="364">
        <f t="shared" si="18"/>
        <v>59260329</v>
      </c>
      <c r="V548" s="362"/>
      <c r="W548" s="365" t="str">
        <f>+VLOOKUP($B548,[2]Time_S4!$B:$G,6,0)</f>
        <v>Trung tâm Quang điện tử</v>
      </c>
      <c r="X548" s="365" t="str">
        <f>IF(W548="Phòng Kinh doanh","Trung tâm Kinh doanh - TCT CNC",+VLOOKUP($B548,[2]Time_S4!$B:$G,5,0))</f>
        <v>Khối 1 - TCT CNC</v>
      </c>
      <c r="Y548" s="366"/>
      <c r="Z548" s="366"/>
    </row>
    <row r="549" spans="1:26" ht="15.75" hidden="1">
      <c r="A549" s="367">
        <f>SUBTOTAL(3,$B$15:B549)</f>
        <v>2</v>
      </c>
      <c r="B549" s="382" t="s">
        <v>1443</v>
      </c>
      <c r="C549" s="383" t="s">
        <v>845</v>
      </c>
      <c r="D549" s="384" t="s">
        <v>407</v>
      </c>
      <c r="E549" s="385">
        <v>21</v>
      </c>
      <c r="F549" s="384">
        <v>21</v>
      </c>
      <c r="G549" s="358">
        <v>59628542</v>
      </c>
      <c r="H549" s="359">
        <f t="shared" si="17"/>
        <v>58321334</v>
      </c>
      <c r="I549" s="360"/>
      <c r="J549" s="361"/>
      <c r="K549" s="362"/>
      <c r="L549" s="362"/>
      <c r="M549" s="361">
        <v>995968</v>
      </c>
      <c r="N549" s="361">
        <v>2178680</v>
      </c>
      <c r="O549" s="361">
        <v>186744</v>
      </c>
      <c r="P549" s="361">
        <v>373488</v>
      </c>
      <c r="Q549" s="361">
        <v>124496</v>
      </c>
      <c r="R549" s="361">
        <v>124496</v>
      </c>
      <c r="S549" s="361">
        <v>248992</v>
      </c>
      <c r="T549" s="386">
        <v>1130000</v>
      </c>
      <c r="U549" s="364">
        <f t="shared" si="18"/>
        <v>63684198</v>
      </c>
      <c r="V549" s="362"/>
      <c r="W549" s="365" t="str">
        <f>+VLOOKUP($B549,[2]Time_S4!$B:$G,6,0)</f>
        <v>Trung tâm Chỉ huy điều khiển</v>
      </c>
      <c r="X549" s="365" t="str">
        <f>IF(W549="Phòng Kinh doanh","Trung tâm Kinh doanh - TCT CNC",+VLOOKUP($B549,[2]Time_S4!$B:$G,5,0))</f>
        <v>Khối 1 - TCT CNC</v>
      </c>
      <c r="Y549" s="366"/>
      <c r="Z549" s="366"/>
    </row>
    <row r="550" spans="1:26" ht="15.75" hidden="1">
      <c r="A550" s="367">
        <f>SUBTOTAL(3,$B$15:B550)</f>
        <v>2</v>
      </c>
      <c r="B550" s="382" t="s">
        <v>1444</v>
      </c>
      <c r="C550" s="383" t="s">
        <v>1445</v>
      </c>
      <c r="D550" s="384" t="s">
        <v>407</v>
      </c>
      <c r="E550" s="385">
        <v>21</v>
      </c>
      <c r="F550" s="384">
        <v>21</v>
      </c>
      <c r="G550" s="358">
        <v>23522926</v>
      </c>
      <c r="H550" s="359">
        <f t="shared" si="17"/>
        <v>22559446</v>
      </c>
      <c r="I550" s="360"/>
      <c r="J550" s="361"/>
      <c r="K550" s="362"/>
      <c r="L550" s="362"/>
      <c r="M550" s="361">
        <v>734080</v>
      </c>
      <c r="N550" s="361">
        <v>1605800</v>
      </c>
      <c r="O550" s="361">
        <v>137640</v>
      </c>
      <c r="P550" s="361">
        <v>275280</v>
      </c>
      <c r="Q550" s="361">
        <v>91760</v>
      </c>
      <c r="R550" s="361">
        <v>91760</v>
      </c>
      <c r="S550" s="361">
        <v>183520</v>
      </c>
      <c r="T550" s="386">
        <v>1398000</v>
      </c>
      <c r="U550" s="364">
        <f t="shared" si="18"/>
        <v>27077286</v>
      </c>
      <c r="V550" s="362"/>
      <c r="W550" s="365" t="str">
        <f>+VLOOKUP($B550,[2]Time_S4!$B:$G,6,0)</f>
        <v>Trung tâm sản xuất</v>
      </c>
      <c r="X550" s="365" t="str">
        <f>IF(W550="Phòng Kinh doanh","Trung tâm Kinh doanh - TCT CNC",+VLOOKUP($B550,[2]Time_S4!$B:$G,5,0))</f>
        <v>Khối 1 - TCT CNC</v>
      </c>
      <c r="Y550" s="366"/>
      <c r="Z550" s="366"/>
    </row>
    <row r="551" spans="1:26" ht="15.75" hidden="1">
      <c r="A551" s="367">
        <f>SUBTOTAL(3,$B$15:B551)</f>
        <v>2</v>
      </c>
      <c r="B551" s="382" t="s">
        <v>1446</v>
      </c>
      <c r="C551" s="383" t="s">
        <v>1447</v>
      </c>
      <c r="D551" s="384" t="s">
        <v>407</v>
      </c>
      <c r="E551" s="385">
        <v>21</v>
      </c>
      <c r="F551" s="384">
        <v>21</v>
      </c>
      <c r="G551" s="358">
        <v>39462584</v>
      </c>
      <c r="H551" s="359">
        <f t="shared" si="17"/>
        <v>38280368</v>
      </c>
      <c r="I551" s="360"/>
      <c r="J551" s="361"/>
      <c r="K551" s="362"/>
      <c r="L551" s="362"/>
      <c r="M551" s="361">
        <v>900736</v>
      </c>
      <c r="N551" s="361">
        <v>1970360</v>
      </c>
      <c r="O551" s="361">
        <v>168888</v>
      </c>
      <c r="P551" s="361">
        <v>337776</v>
      </c>
      <c r="Q551" s="361">
        <v>112592</v>
      </c>
      <c r="R551" s="361">
        <v>112592</v>
      </c>
      <c r="S551" s="361">
        <v>225184</v>
      </c>
      <c r="T551" s="386">
        <v>1030000</v>
      </c>
      <c r="U551" s="364">
        <f t="shared" si="18"/>
        <v>43138496</v>
      </c>
      <c r="V551" s="362"/>
      <c r="W551" s="365" t="str">
        <f>+VLOOKUP($B551,[2]Time_S4!$B:$G,6,0)</f>
        <v>Trung tâm Khí cụ bay</v>
      </c>
      <c r="X551" s="365" t="str">
        <f>IF(W551="Phòng Kinh doanh","Trung tâm Kinh doanh - TCT CNC",+VLOOKUP($B551,[2]Time_S4!$B:$G,5,0))</f>
        <v>Khối 1 - TCT CNC</v>
      </c>
      <c r="Y551" s="366"/>
      <c r="Z551" s="366"/>
    </row>
    <row r="552" spans="1:26" ht="15.75" hidden="1">
      <c r="A552" s="367">
        <f>SUBTOTAL(3,$B$15:B552)</f>
        <v>2</v>
      </c>
      <c r="B552" s="382" t="s">
        <v>1448</v>
      </c>
      <c r="C552" s="383" t="s">
        <v>1449</v>
      </c>
      <c r="D552" s="384" t="s">
        <v>407</v>
      </c>
      <c r="E552" s="385">
        <v>21</v>
      </c>
      <c r="F552" s="384">
        <v>21</v>
      </c>
      <c r="G552" s="358">
        <v>47663006</v>
      </c>
      <c r="H552" s="359">
        <f t="shared" si="17"/>
        <v>46418294</v>
      </c>
      <c r="I552" s="360"/>
      <c r="J552" s="361"/>
      <c r="K552" s="362"/>
      <c r="L552" s="362"/>
      <c r="M552" s="361">
        <v>948352</v>
      </c>
      <c r="N552" s="361">
        <v>2074520</v>
      </c>
      <c r="O552" s="361">
        <v>177816</v>
      </c>
      <c r="P552" s="361">
        <v>355632</v>
      </c>
      <c r="Q552" s="361">
        <v>118544</v>
      </c>
      <c r="R552" s="361">
        <v>118544</v>
      </c>
      <c r="S552" s="361">
        <v>237088</v>
      </c>
      <c r="T552" s="386">
        <v>1230000</v>
      </c>
      <c r="U552" s="364">
        <f t="shared" si="18"/>
        <v>51678790</v>
      </c>
      <c r="V552" s="362"/>
      <c r="W552" s="365" t="str">
        <f>+VLOOKUP($B552,[2]Time_S4!$B:$G,6,0)</f>
        <v>Trung tâm Quang điện tử</v>
      </c>
      <c r="X552" s="365" t="str">
        <f>IF(W552="Phòng Kinh doanh","Trung tâm Kinh doanh - TCT CNC",+VLOOKUP($B552,[2]Time_S4!$B:$G,5,0))</f>
        <v>Khối 1 - TCT CNC</v>
      </c>
      <c r="Y552" s="366"/>
      <c r="Z552" s="366"/>
    </row>
    <row r="553" spans="1:26" ht="15.75" hidden="1">
      <c r="A553" s="367">
        <f>SUBTOTAL(3,$B$15:B553)</f>
        <v>2</v>
      </c>
      <c r="B553" s="382" t="s">
        <v>1450</v>
      </c>
      <c r="C553" s="383" t="s">
        <v>1451</v>
      </c>
      <c r="D553" s="384" t="s">
        <v>407</v>
      </c>
      <c r="E553" s="385">
        <v>21</v>
      </c>
      <c r="F553" s="384">
        <v>21</v>
      </c>
      <c r="G553" s="358">
        <v>26400848</v>
      </c>
      <c r="H553" s="359">
        <f t="shared" si="17"/>
        <v>25385288</v>
      </c>
      <c r="I553" s="360"/>
      <c r="J553" s="361"/>
      <c r="K553" s="362"/>
      <c r="L553" s="362"/>
      <c r="M553" s="361">
        <v>773760</v>
      </c>
      <c r="N553" s="361">
        <v>1692600</v>
      </c>
      <c r="O553" s="361">
        <v>145080</v>
      </c>
      <c r="P553" s="361">
        <v>290160</v>
      </c>
      <c r="Q553" s="361">
        <v>96720</v>
      </c>
      <c r="R553" s="361">
        <v>96720</v>
      </c>
      <c r="S553" s="361">
        <v>193440</v>
      </c>
      <c r="T553" s="386">
        <v>1047000</v>
      </c>
      <c r="U553" s="364">
        <f t="shared" si="18"/>
        <v>29720768</v>
      </c>
      <c r="V553" s="362"/>
      <c r="W553" s="365" t="str">
        <f>+VLOOKUP($B553,[2]Time_S4!$B:$G,6,0)</f>
        <v>Trung tâm Nghiên cứu thiết bị vô tuyến băng rộng</v>
      </c>
      <c r="X553" s="365" t="str">
        <f>IF(W553="Phòng Kinh doanh","Trung tâm Kinh doanh - TCT CNC",+VLOOKUP($B553,[2]Time_S4!$B:$G,5,0))</f>
        <v>Khối 2 - TCT CNC</v>
      </c>
      <c r="Y553" s="366"/>
      <c r="Z553" s="366"/>
    </row>
    <row r="554" spans="1:26" ht="15.75" hidden="1">
      <c r="A554" s="367">
        <f>SUBTOTAL(3,$B$15:B554)</f>
        <v>2</v>
      </c>
      <c r="B554" s="382" t="s">
        <v>1452</v>
      </c>
      <c r="C554" s="383" t="s">
        <v>1453</v>
      </c>
      <c r="D554" s="384" t="s">
        <v>407</v>
      </c>
      <c r="E554" s="385">
        <v>21</v>
      </c>
      <c r="F554" s="384">
        <v>21</v>
      </c>
      <c r="G554" s="358">
        <v>34764702</v>
      </c>
      <c r="H554" s="359">
        <f t="shared" si="17"/>
        <v>33697062</v>
      </c>
      <c r="I554" s="360"/>
      <c r="J554" s="361"/>
      <c r="K554" s="362"/>
      <c r="L554" s="362"/>
      <c r="M554" s="361">
        <v>813440</v>
      </c>
      <c r="N554" s="361">
        <v>1779400</v>
      </c>
      <c r="O554" s="361">
        <v>152520</v>
      </c>
      <c r="P554" s="361">
        <v>305040</v>
      </c>
      <c r="Q554" s="361">
        <v>101680</v>
      </c>
      <c r="R554" s="361">
        <v>101680</v>
      </c>
      <c r="S554" s="361">
        <v>203360</v>
      </c>
      <c r="T554" s="386">
        <v>1030000</v>
      </c>
      <c r="U554" s="364">
        <f t="shared" si="18"/>
        <v>38184182</v>
      </c>
      <c r="V554" s="362"/>
      <c r="W554" s="365" t="str">
        <f>+VLOOKUP($B554,[2]Time_S4!$B:$G,6,0)</f>
        <v>Trung tâm Nghiên cứu thiết bị vô tuyến băng rộng</v>
      </c>
      <c r="X554" s="365" t="str">
        <f>IF(W554="Phòng Kinh doanh","Trung tâm Kinh doanh - TCT CNC",+VLOOKUP($B554,[2]Time_S4!$B:$G,5,0))</f>
        <v>Khối 2 - TCT CNC</v>
      </c>
      <c r="Y554" s="366"/>
      <c r="Z554" s="366"/>
    </row>
    <row r="555" spans="1:26" ht="15.75" hidden="1">
      <c r="A555" s="367">
        <f>SUBTOTAL(3,$B$15:B555)</f>
        <v>2</v>
      </c>
      <c r="B555" s="382" t="s">
        <v>1454</v>
      </c>
      <c r="C555" s="383" t="s">
        <v>1455</v>
      </c>
      <c r="D555" s="384" t="s">
        <v>407</v>
      </c>
      <c r="E555" s="385">
        <v>21</v>
      </c>
      <c r="F555" s="384">
        <v>21</v>
      </c>
      <c r="G555" s="358">
        <v>26810140</v>
      </c>
      <c r="H555" s="359">
        <f t="shared" si="17"/>
        <v>25794580</v>
      </c>
      <c r="I555" s="360"/>
      <c r="J555" s="361"/>
      <c r="K555" s="362"/>
      <c r="L555" s="362"/>
      <c r="M555" s="361">
        <v>773760</v>
      </c>
      <c r="N555" s="361">
        <v>1692600</v>
      </c>
      <c r="O555" s="361">
        <v>145080</v>
      </c>
      <c r="P555" s="361">
        <v>290160</v>
      </c>
      <c r="Q555" s="361">
        <v>96720</v>
      </c>
      <c r="R555" s="361">
        <v>96720</v>
      </c>
      <c r="S555" s="361">
        <v>193440</v>
      </c>
      <c r="T555" s="386">
        <v>1030000</v>
      </c>
      <c r="U555" s="364">
        <f t="shared" si="18"/>
        <v>30113060</v>
      </c>
      <c r="V555" s="362"/>
      <c r="W555" s="365" t="str">
        <f>+VLOOKUP($B555,[2]Time_S4!$B:$G,6,0)</f>
        <v>Trung tâm Khí cụ bay</v>
      </c>
      <c r="X555" s="365" t="str">
        <f>IF(W555="Phòng Kinh doanh","Trung tâm Kinh doanh - TCT CNC",+VLOOKUP($B555,[2]Time_S4!$B:$G,5,0))</f>
        <v>Khối 1 - TCT CNC</v>
      </c>
      <c r="Y555" s="366"/>
      <c r="Z555" s="366"/>
    </row>
    <row r="556" spans="1:26" ht="15.75" hidden="1">
      <c r="A556" s="367">
        <f>SUBTOTAL(3,$B$15:B556)</f>
        <v>2</v>
      </c>
      <c r="B556" s="382" t="s">
        <v>1456</v>
      </c>
      <c r="C556" s="383" t="s">
        <v>1457</v>
      </c>
      <c r="D556" s="384" t="s">
        <v>407</v>
      </c>
      <c r="E556" s="385">
        <v>21</v>
      </c>
      <c r="F556" s="384">
        <v>21</v>
      </c>
      <c r="G556" s="358">
        <v>21545666</v>
      </c>
      <c r="H556" s="359">
        <f t="shared" si="17"/>
        <v>20629058</v>
      </c>
      <c r="I556" s="360"/>
      <c r="J556" s="361"/>
      <c r="K556" s="362"/>
      <c r="L556" s="362"/>
      <c r="M556" s="361">
        <v>698368</v>
      </c>
      <c r="N556" s="361">
        <v>1527680</v>
      </c>
      <c r="O556" s="361">
        <v>130944</v>
      </c>
      <c r="P556" s="361">
        <v>261888</v>
      </c>
      <c r="Q556" s="361">
        <v>87296</v>
      </c>
      <c r="R556" s="361">
        <v>87296</v>
      </c>
      <c r="S556" s="361">
        <v>174592</v>
      </c>
      <c r="T556" s="386">
        <v>1030000</v>
      </c>
      <c r="U556" s="364">
        <f t="shared" si="18"/>
        <v>24627122</v>
      </c>
      <c r="V556" s="362"/>
      <c r="W556" s="365" t="str">
        <f>+VLOOKUP($B556,[2]Time_S4!$B:$G,6,0)</f>
        <v>Trung tâm Nghiên cứu thiết bị vô tuyến băng rộng</v>
      </c>
      <c r="X556" s="365" t="str">
        <f>IF(W556="Phòng Kinh doanh","Trung tâm Kinh doanh - TCT CNC",+VLOOKUP($B556,[2]Time_S4!$B:$G,5,0))</f>
        <v>Khối 2 - TCT CNC</v>
      </c>
      <c r="Y556" s="366"/>
      <c r="Z556" s="366"/>
    </row>
    <row r="557" spans="1:26" ht="15.75" hidden="1">
      <c r="A557" s="367">
        <f>SUBTOTAL(3,$B$15:B557)</f>
        <v>2</v>
      </c>
      <c r="B557" s="382" t="s">
        <v>1458</v>
      </c>
      <c r="C557" s="383" t="s">
        <v>570</v>
      </c>
      <c r="D557" s="384" t="s">
        <v>407</v>
      </c>
      <c r="E557" s="385">
        <v>21</v>
      </c>
      <c r="F557" s="384">
        <v>21</v>
      </c>
      <c r="G557" s="358">
        <v>36764702</v>
      </c>
      <c r="H557" s="359">
        <f t="shared" si="17"/>
        <v>35697062</v>
      </c>
      <c r="I557" s="360"/>
      <c r="J557" s="361"/>
      <c r="K557" s="362"/>
      <c r="L557" s="362"/>
      <c r="M557" s="361">
        <v>813440</v>
      </c>
      <c r="N557" s="361">
        <v>1779400</v>
      </c>
      <c r="O557" s="361">
        <v>152520</v>
      </c>
      <c r="P557" s="361">
        <v>305040</v>
      </c>
      <c r="Q557" s="361">
        <v>101680</v>
      </c>
      <c r="R557" s="361">
        <v>101680</v>
      </c>
      <c r="S557" s="361">
        <v>203360</v>
      </c>
      <c r="T557" s="386">
        <v>1030000</v>
      </c>
      <c r="U557" s="364">
        <f t="shared" si="18"/>
        <v>40184182</v>
      </c>
      <c r="V557" s="362"/>
      <c r="W557" s="365" t="str">
        <f>+VLOOKUP($B557,[2]Time_S4!$B:$G,6,0)</f>
        <v>Trung tâm Khí cụ bay</v>
      </c>
      <c r="X557" s="365" t="str">
        <f>IF(W557="Phòng Kinh doanh","Trung tâm Kinh doanh - TCT CNC",+VLOOKUP($B557,[2]Time_S4!$B:$G,5,0))</f>
        <v>Khối 1 - TCT CNC</v>
      </c>
      <c r="Y557" s="366"/>
      <c r="Z557" s="366"/>
    </row>
    <row r="558" spans="1:26" ht="15.75" hidden="1">
      <c r="A558" s="367">
        <f>SUBTOTAL(3,$B$15:B558)</f>
        <v>2</v>
      </c>
      <c r="B558" s="382" t="s">
        <v>1459</v>
      </c>
      <c r="C558" s="383" t="s">
        <v>1460</v>
      </c>
      <c r="D558" s="384" t="s">
        <v>407</v>
      </c>
      <c r="E558" s="385">
        <v>21</v>
      </c>
      <c r="F558" s="384">
        <v>21</v>
      </c>
      <c r="G558" s="358">
        <v>26960570</v>
      </c>
      <c r="H558" s="359">
        <f t="shared" si="17"/>
        <v>25945010</v>
      </c>
      <c r="I558" s="360"/>
      <c r="J558" s="361"/>
      <c r="K558" s="362"/>
      <c r="L558" s="362"/>
      <c r="M558" s="361">
        <v>773760</v>
      </c>
      <c r="N558" s="361">
        <v>1692600</v>
      </c>
      <c r="O558" s="361">
        <v>145080</v>
      </c>
      <c r="P558" s="361">
        <v>290160</v>
      </c>
      <c r="Q558" s="361">
        <v>96720</v>
      </c>
      <c r="R558" s="361">
        <v>96720</v>
      </c>
      <c r="S558" s="361">
        <v>193440</v>
      </c>
      <c r="T558" s="386">
        <v>930000</v>
      </c>
      <c r="U558" s="364">
        <f t="shared" si="18"/>
        <v>30163490</v>
      </c>
      <c r="V558" s="362"/>
      <c r="W558" s="365" t="str">
        <f>+VLOOKUP($B558,[2]Time_S4!$B:$G,6,0)</f>
        <v>Trung tâm sản xuất</v>
      </c>
      <c r="X558" s="365" t="str">
        <f>IF(W558="Phòng Kinh doanh","Trung tâm Kinh doanh - TCT CNC",+VLOOKUP($B558,[2]Time_S4!$B:$G,5,0))</f>
        <v>Khối 1 - TCT CNC</v>
      </c>
      <c r="Y558" s="366"/>
      <c r="Z558" s="366"/>
    </row>
    <row r="559" spans="1:26" ht="15.75" hidden="1">
      <c r="A559" s="367">
        <f>SUBTOTAL(3,$B$15:B559)</f>
        <v>2</v>
      </c>
      <c r="B559" s="382" t="s">
        <v>1461</v>
      </c>
      <c r="C559" s="383" t="s">
        <v>1462</v>
      </c>
      <c r="D559" s="384" t="s">
        <v>407</v>
      </c>
      <c r="E559" s="385">
        <v>21</v>
      </c>
      <c r="F559" s="384">
        <v>21</v>
      </c>
      <c r="G559" s="358">
        <v>34433791</v>
      </c>
      <c r="H559" s="359">
        <f t="shared" si="17"/>
        <v>33366151</v>
      </c>
      <c r="I559" s="360"/>
      <c r="J559" s="361"/>
      <c r="K559" s="362"/>
      <c r="L559" s="362"/>
      <c r="M559" s="361">
        <v>813440</v>
      </c>
      <c r="N559" s="361">
        <v>1779400</v>
      </c>
      <c r="O559" s="361">
        <v>152520</v>
      </c>
      <c r="P559" s="361">
        <v>305040</v>
      </c>
      <c r="Q559" s="361">
        <v>101680</v>
      </c>
      <c r="R559" s="361">
        <v>101680</v>
      </c>
      <c r="S559" s="361">
        <v>203360</v>
      </c>
      <c r="T559" s="386">
        <v>1030000</v>
      </c>
      <c r="U559" s="364">
        <f t="shared" si="18"/>
        <v>37853271</v>
      </c>
      <c r="V559" s="362"/>
      <c r="W559" s="365" t="str">
        <f>+VLOOKUP($B559,[2]Time_S4!$B:$G,6,0)</f>
        <v>Trung tâm Nghiên cứu công nghệ Đa phương tiện</v>
      </c>
      <c r="X559" s="365" t="str">
        <f>IF(W559="Phòng Kinh doanh","Trung tâm Kinh doanh - TCT CNC",+VLOOKUP($B559,[2]Time_S4!$B:$G,5,0))</f>
        <v>Khối 2 - TCT CNC</v>
      </c>
      <c r="Y559" s="366"/>
      <c r="Z559" s="366"/>
    </row>
    <row r="560" spans="1:26" ht="15.75" hidden="1">
      <c r="A560" s="367">
        <f>SUBTOTAL(3,$B$15:B560)</f>
        <v>2</v>
      </c>
      <c r="B560" s="382" t="s">
        <v>1463</v>
      </c>
      <c r="C560" s="383" t="s">
        <v>1464</v>
      </c>
      <c r="D560" s="384" t="s">
        <v>407</v>
      </c>
      <c r="E560" s="385">
        <v>21</v>
      </c>
      <c r="F560" s="384">
        <v>21</v>
      </c>
      <c r="G560" s="358">
        <v>41010023</v>
      </c>
      <c r="H560" s="359">
        <f t="shared" si="17"/>
        <v>39885095</v>
      </c>
      <c r="I560" s="360"/>
      <c r="J560" s="361"/>
      <c r="K560" s="362"/>
      <c r="L560" s="362"/>
      <c r="M560" s="361">
        <v>857088</v>
      </c>
      <c r="N560" s="361">
        <v>1874880</v>
      </c>
      <c r="O560" s="361">
        <v>160704</v>
      </c>
      <c r="P560" s="361">
        <v>321408</v>
      </c>
      <c r="Q560" s="361">
        <v>107136</v>
      </c>
      <c r="R560" s="361">
        <v>107136</v>
      </c>
      <c r="S560" s="361">
        <v>214272</v>
      </c>
      <c r="T560" s="386">
        <v>1030000</v>
      </c>
      <c r="U560" s="364">
        <f t="shared" si="18"/>
        <v>44557719</v>
      </c>
      <c r="V560" s="362"/>
      <c r="W560" s="365" t="str">
        <f>+VLOOKUP($B560,[2]Time_S4!$B:$G,6,0)</f>
        <v>Trung tâm Mô hình mô phỏng</v>
      </c>
      <c r="X560" s="365" t="str">
        <f>IF(W560="Phòng Kinh doanh","Trung tâm Kinh doanh - TCT CNC",+VLOOKUP($B560,[2]Time_S4!$B:$G,5,0))</f>
        <v>Khối 1 - TCT CNC</v>
      </c>
      <c r="Y560" s="366"/>
      <c r="Z560" s="366"/>
    </row>
    <row r="561" spans="1:26" ht="15.75" hidden="1">
      <c r="A561" s="367">
        <f>SUBTOTAL(3,$B$15:B561)</f>
        <v>2</v>
      </c>
      <c r="B561" s="382" t="s">
        <v>1465</v>
      </c>
      <c r="C561" s="383" t="s">
        <v>1466</v>
      </c>
      <c r="D561" s="384" t="s">
        <v>407</v>
      </c>
      <c r="E561" s="385">
        <v>21</v>
      </c>
      <c r="F561" s="384">
        <v>21</v>
      </c>
      <c r="G561" s="358">
        <v>53165298</v>
      </c>
      <c r="H561" s="359">
        <f t="shared" si="17"/>
        <v>51920586</v>
      </c>
      <c r="I561" s="360"/>
      <c r="J561" s="361"/>
      <c r="K561" s="362"/>
      <c r="L561" s="362"/>
      <c r="M561" s="361">
        <v>948352</v>
      </c>
      <c r="N561" s="361">
        <v>2074520</v>
      </c>
      <c r="O561" s="361">
        <v>177816</v>
      </c>
      <c r="P561" s="361">
        <v>355632</v>
      </c>
      <c r="Q561" s="361">
        <v>118544</v>
      </c>
      <c r="R561" s="361">
        <v>118544</v>
      </c>
      <c r="S561" s="361">
        <v>237088</v>
      </c>
      <c r="T561" s="386">
        <v>1130000</v>
      </c>
      <c r="U561" s="364">
        <f t="shared" si="18"/>
        <v>57081082</v>
      </c>
      <c r="V561" s="362"/>
      <c r="W561" s="365" t="str">
        <f>+VLOOKUP($B561,[2]Time_S4!$B:$G,6,0)</f>
        <v>Trung tâm Nghiên cứu công nghệ Đa phương tiện</v>
      </c>
      <c r="X561" s="365" t="str">
        <f>IF(W561="Phòng Kinh doanh","Trung tâm Kinh doanh - TCT CNC",+VLOOKUP($B561,[2]Time_S4!$B:$G,5,0))</f>
        <v>Khối 2 - TCT CNC</v>
      </c>
      <c r="Y561" s="366"/>
      <c r="Z561" s="366"/>
    </row>
    <row r="562" spans="1:26" ht="15.75" hidden="1">
      <c r="A562" s="367">
        <f>SUBTOTAL(3,$B$15:B562)</f>
        <v>2</v>
      </c>
      <c r="B562" s="382" t="s">
        <v>1467</v>
      </c>
      <c r="C562" s="383" t="s">
        <v>1468</v>
      </c>
      <c r="D562" s="384" t="s">
        <v>407</v>
      </c>
      <c r="E562" s="385">
        <v>21</v>
      </c>
      <c r="F562" s="384">
        <v>21</v>
      </c>
      <c r="G562" s="358">
        <v>17937553</v>
      </c>
      <c r="H562" s="359">
        <f t="shared" si="17"/>
        <v>17067817</v>
      </c>
      <c r="I562" s="360"/>
      <c r="J562" s="361"/>
      <c r="K562" s="362"/>
      <c r="L562" s="362"/>
      <c r="M562" s="361">
        <v>662656</v>
      </c>
      <c r="N562" s="361">
        <v>1449560</v>
      </c>
      <c r="O562" s="361">
        <v>124248</v>
      </c>
      <c r="P562" s="361">
        <v>248496</v>
      </c>
      <c r="Q562" s="361">
        <v>82832</v>
      </c>
      <c r="R562" s="361">
        <v>82832</v>
      </c>
      <c r="S562" s="361">
        <v>165664</v>
      </c>
      <c r="T562" s="386">
        <v>1047000</v>
      </c>
      <c r="U562" s="364">
        <f t="shared" si="18"/>
        <v>20931105</v>
      </c>
      <c r="V562" s="362"/>
      <c r="W562" s="365" t="str">
        <f>+VLOOKUP($B562,[2]Time_S4!$B:$G,6,0)</f>
        <v>Phòng Đảm bảo hàng hóa</v>
      </c>
      <c r="X562" s="365" t="str">
        <f>IF(W562="Phòng Kinh doanh","Trung tâm Kinh doanh - TCT CNC",+VLOOKUP($B562,[2]Time_S4!$B:$G,5,0))</f>
        <v>Trung tâm Mua sắm - TCT CNC</v>
      </c>
      <c r="Y562" s="366"/>
      <c r="Z562" s="366"/>
    </row>
    <row r="563" spans="1:26" ht="15.75" hidden="1">
      <c r="A563" s="367">
        <f>SUBTOTAL(3,$B$15:B563)</f>
        <v>2</v>
      </c>
      <c r="B563" s="382" t="s">
        <v>1469</v>
      </c>
      <c r="C563" s="383" t="s">
        <v>1470</v>
      </c>
      <c r="D563" s="384" t="s">
        <v>407</v>
      </c>
      <c r="E563" s="385">
        <v>21</v>
      </c>
      <c r="F563" s="384">
        <v>21</v>
      </c>
      <c r="G563" s="358">
        <v>49418622</v>
      </c>
      <c r="H563" s="359">
        <f t="shared" si="17"/>
        <v>48173910</v>
      </c>
      <c r="I563" s="360"/>
      <c r="J563" s="361"/>
      <c r="K563" s="362"/>
      <c r="L563" s="362"/>
      <c r="M563" s="361">
        <v>948352</v>
      </c>
      <c r="N563" s="361">
        <v>2074520</v>
      </c>
      <c r="O563" s="361">
        <v>177816</v>
      </c>
      <c r="P563" s="361">
        <v>355632</v>
      </c>
      <c r="Q563" s="361">
        <v>118544</v>
      </c>
      <c r="R563" s="361">
        <v>118544</v>
      </c>
      <c r="S563" s="361">
        <v>237088</v>
      </c>
      <c r="T563" s="386">
        <v>1030000</v>
      </c>
      <c r="U563" s="364">
        <f t="shared" si="18"/>
        <v>53234406</v>
      </c>
      <c r="V563" s="362"/>
      <c r="W563" s="365" t="str">
        <f>+VLOOKUP($B563,[2]Time_S4!$B:$G,6,0)</f>
        <v>Trung tâm Nghiên cứu Công nghệ chuyển mạch</v>
      </c>
      <c r="X563" s="365" t="str">
        <f>IF(W563="Phòng Kinh doanh","Trung tâm Kinh doanh - TCT CNC",+VLOOKUP($B563,[2]Time_S4!$B:$G,5,0))</f>
        <v>Khối 2 - TCT CNC</v>
      </c>
      <c r="Y563" s="366"/>
      <c r="Z563" s="366"/>
    </row>
    <row r="564" spans="1:26" ht="15.75" hidden="1">
      <c r="A564" s="367">
        <f>SUBTOTAL(3,$B$15:B564)</f>
        <v>2</v>
      </c>
      <c r="B564" s="382" t="s">
        <v>1471</v>
      </c>
      <c r="C564" s="383" t="s">
        <v>1472</v>
      </c>
      <c r="D564" s="384" t="s">
        <v>407</v>
      </c>
      <c r="E564" s="385">
        <v>21</v>
      </c>
      <c r="F564" s="384">
        <v>21</v>
      </c>
      <c r="G564" s="358">
        <v>24954138</v>
      </c>
      <c r="H564" s="359">
        <f t="shared" si="17"/>
        <v>23990658</v>
      </c>
      <c r="I564" s="360"/>
      <c r="J564" s="361"/>
      <c r="K564" s="362"/>
      <c r="L564" s="362"/>
      <c r="M564" s="361">
        <v>734080</v>
      </c>
      <c r="N564" s="361">
        <v>1605800</v>
      </c>
      <c r="O564" s="361">
        <v>137640</v>
      </c>
      <c r="P564" s="361">
        <v>275280</v>
      </c>
      <c r="Q564" s="361">
        <v>91760</v>
      </c>
      <c r="R564" s="361">
        <v>91760</v>
      </c>
      <c r="S564" s="361">
        <v>183520</v>
      </c>
      <c r="T564" s="386">
        <v>1030000</v>
      </c>
      <c r="U564" s="364">
        <f t="shared" si="18"/>
        <v>28140498</v>
      </c>
      <c r="V564" s="362"/>
      <c r="W564" s="365" t="str">
        <f>+VLOOKUP($B564,[2]Time_S4!$B:$G,6,0)</f>
        <v>Trung tâm Thông tin Quân sự</v>
      </c>
      <c r="X564" s="365" t="str">
        <f>IF(W564="Phòng Kinh doanh","Trung tâm Kinh doanh - TCT CNC",+VLOOKUP($B564,[2]Time_S4!$B:$G,5,0))</f>
        <v>Khối 1 - TCT CNC</v>
      </c>
      <c r="Y564" s="366"/>
      <c r="Z564" s="366"/>
    </row>
    <row r="565" spans="1:26" ht="15.75" hidden="1">
      <c r="A565" s="367">
        <f>SUBTOTAL(3,$B$15:B565)</f>
        <v>2</v>
      </c>
      <c r="B565" s="382" t="s">
        <v>1473</v>
      </c>
      <c r="C565" s="383" t="s">
        <v>1474</v>
      </c>
      <c r="D565" s="384" t="s">
        <v>407</v>
      </c>
      <c r="E565" s="385">
        <v>21</v>
      </c>
      <c r="F565" s="384">
        <v>21</v>
      </c>
      <c r="G565" s="358">
        <v>27714463</v>
      </c>
      <c r="H565" s="359">
        <f t="shared" si="17"/>
        <v>26698903</v>
      </c>
      <c r="I565" s="360"/>
      <c r="J565" s="361"/>
      <c r="K565" s="362"/>
      <c r="L565" s="362"/>
      <c r="M565" s="361">
        <v>773760</v>
      </c>
      <c r="N565" s="361">
        <v>1692600</v>
      </c>
      <c r="O565" s="361">
        <v>145080</v>
      </c>
      <c r="P565" s="361">
        <v>290160</v>
      </c>
      <c r="Q565" s="361">
        <v>96720</v>
      </c>
      <c r="R565" s="361">
        <v>96720</v>
      </c>
      <c r="S565" s="361">
        <v>193440</v>
      </c>
      <c r="T565" s="386">
        <v>1030000</v>
      </c>
      <c r="U565" s="364">
        <f t="shared" si="18"/>
        <v>31017383</v>
      </c>
      <c r="V565" s="362"/>
      <c r="W565" s="365" t="str">
        <f>+VLOOKUP($B565,[2]Time_S4!$B:$G,6,0)</f>
        <v>Trung tâm Nghiên cứu Công nghệ chuyển mạch</v>
      </c>
      <c r="X565" s="365" t="str">
        <f>IF(W565="Phòng Kinh doanh","Trung tâm Kinh doanh - TCT CNC",+VLOOKUP($B565,[2]Time_S4!$B:$G,5,0))</f>
        <v>Khối 2 - TCT CNC</v>
      </c>
      <c r="Y565" s="366"/>
      <c r="Z565" s="366"/>
    </row>
    <row r="566" spans="1:26" ht="15.75" hidden="1">
      <c r="A566" s="367">
        <f>SUBTOTAL(3,$B$15:B566)</f>
        <v>2</v>
      </c>
      <c r="B566" s="382" t="s">
        <v>1475</v>
      </c>
      <c r="C566" s="383" t="s">
        <v>1476</v>
      </c>
      <c r="D566" s="384" t="s">
        <v>407</v>
      </c>
      <c r="E566" s="385">
        <v>21</v>
      </c>
      <c r="F566" s="384">
        <v>21</v>
      </c>
      <c r="G566" s="358">
        <v>35100171</v>
      </c>
      <c r="H566" s="359">
        <f t="shared" si="17"/>
        <v>34032531</v>
      </c>
      <c r="I566" s="360"/>
      <c r="J566" s="361"/>
      <c r="K566" s="362"/>
      <c r="L566" s="362"/>
      <c r="M566" s="361">
        <v>813440</v>
      </c>
      <c r="N566" s="361">
        <v>1779400</v>
      </c>
      <c r="O566" s="361">
        <v>152520</v>
      </c>
      <c r="P566" s="361">
        <v>305040</v>
      </c>
      <c r="Q566" s="361">
        <v>101680</v>
      </c>
      <c r="R566" s="361">
        <v>101680</v>
      </c>
      <c r="S566" s="361">
        <v>203360</v>
      </c>
      <c r="T566" s="386">
        <v>1030000</v>
      </c>
      <c r="U566" s="364">
        <f t="shared" si="18"/>
        <v>38519651</v>
      </c>
      <c r="V566" s="362"/>
      <c r="W566" s="365" t="str">
        <f>+VLOOKUP($B566,[2]Time_S4!$B:$G,6,0)</f>
        <v>Trung tâm Mô hình mô phỏng</v>
      </c>
      <c r="X566" s="365" t="str">
        <f>IF(W566="Phòng Kinh doanh","Trung tâm Kinh doanh - TCT CNC",+VLOOKUP($B566,[2]Time_S4!$B:$G,5,0))</f>
        <v>Khối 1 - TCT CNC</v>
      </c>
      <c r="Y566" s="366"/>
      <c r="Z566" s="366"/>
    </row>
    <row r="567" spans="1:26" ht="15.75" hidden="1">
      <c r="A567" s="367">
        <f>SUBTOTAL(3,$B$15:B567)</f>
        <v>2</v>
      </c>
      <c r="B567" s="382" t="s">
        <v>1477</v>
      </c>
      <c r="C567" s="383" t="s">
        <v>1250</v>
      </c>
      <c r="D567" s="384" t="s">
        <v>407</v>
      </c>
      <c r="E567" s="385">
        <v>21</v>
      </c>
      <c r="F567" s="384">
        <v>21</v>
      </c>
      <c r="G567" s="358">
        <v>31960570</v>
      </c>
      <c r="H567" s="359">
        <f t="shared" si="17"/>
        <v>30945010</v>
      </c>
      <c r="I567" s="360"/>
      <c r="J567" s="361"/>
      <c r="K567" s="362"/>
      <c r="L567" s="362"/>
      <c r="M567" s="361">
        <v>773760</v>
      </c>
      <c r="N567" s="361">
        <v>1692600</v>
      </c>
      <c r="O567" s="361">
        <v>145080</v>
      </c>
      <c r="P567" s="361">
        <v>290160</v>
      </c>
      <c r="Q567" s="361">
        <v>96720</v>
      </c>
      <c r="R567" s="361">
        <v>96720</v>
      </c>
      <c r="S567" s="361">
        <v>193440</v>
      </c>
      <c r="T567" s="386">
        <v>930000</v>
      </c>
      <c r="U567" s="364">
        <f t="shared" si="18"/>
        <v>35163490</v>
      </c>
      <c r="V567" s="362"/>
      <c r="W567" s="365" t="str">
        <f>+VLOOKUP($B567,[2]Time_S4!$B:$G,6,0)</f>
        <v>Trung tâm Nghiên cứu thiết bị vô tuyến băng rộng</v>
      </c>
      <c r="X567" s="365" t="str">
        <f>IF(W567="Phòng Kinh doanh","Trung tâm Kinh doanh - TCT CNC",+VLOOKUP($B567,[2]Time_S4!$B:$G,5,0))</f>
        <v>Khối 2 - TCT CNC</v>
      </c>
      <c r="Y567" s="366"/>
      <c r="Z567" s="366"/>
    </row>
    <row r="568" spans="1:26" ht="15.75" hidden="1">
      <c r="A568" s="367">
        <f>SUBTOTAL(3,$B$15:B568)</f>
        <v>2</v>
      </c>
      <c r="B568" s="382" t="s">
        <v>1478</v>
      </c>
      <c r="C568" s="383" t="s">
        <v>1479</v>
      </c>
      <c r="D568" s="384" t="s">
        <v>407</v>
      </c>
      <c r="E568" s="385">
        <v>21</v>
      </c>
      <c r="F568" s="384">
        <v>21</v>
      </c>
      <c r="G568" s="358">
        <v>44418622</v>
      </c>
      <c r="H568" s="359">
        <f t="shared" si="17"/>
        <v>43173910</v>
      </c>
      <c r="I568" s="360"/>
      <c r="J568" s="361"/>
      <c r="K568" s="362"/>
      <c r="L568" s="362"/>
      <c r="M568" s="361">
        <v>948352</v>
      </c>
      <c r="N568" s="361">
        <v>2074520</v>
      </c>
      <c r="O568" s="361">
        <v>177816</v>
      </c>
      <c r="P568" s="361">
        <v>355632</v>
      </c>
      <c r="Q568" s="361">
        <v>118544</v>
      </c>
      <c r="R568" s="361">
        <v>118544</v>
      </c>
      <c r="S568" s="361">
        <v>237088</v>
      </c>
      <c r="T568" s="386">
        <v>1147000</v>
      </c>
      <c r="U568" s="364">
        <f t="shared" si="18"/>
        <v>48351406</v>
      </c>
      <c r="V568" s="362"/>
      <c r="W568" s="365" t="str">
        <f>+VLOOKUP($B568,[2]Time_S4!$B:$G,6,0)</f>
        <v>Trung tâm Camera</v>
      </c>
      <c r="X568" s="365" t="str">
        <f>IF(W568="Phòng Kinh doanh","Trung tâm Kinh doanh - TCT CNC",+VLOOKUP($B568,[2]Time_S4!$B:$G,5,0))</f>
        <v>Khối 3 - TCT CNC</v>
      </c>
      <c r="Y568" s="366"/>
      <c r="Z568" s="366"/>
    </row>
    <row r="569" spans="1:26" ht="15.75" hidden="1">
      <c r="A569" s="367">
        <f>SUBTOTAL(3,$B$15:B569)</f>
        <v>2</v>
      </c>
      <c r="B569" s="382" t="s">
        <v>1480</v>
      </c>
      <c r="C569" s="383" t="s">
        <v>1481</v>
      </c>
      <c r="D569" s="384" t="s">
        <v>407</v>
      </c>
      <c r="E569" s="385">
        <v>21</v>
      </c>
      <c r="F569" s="384">
        <v>21</v>
      </c>
      <c r="G569" s="358">
        <v>62611423</v>
      </c>
      <c r="H569" s="359">
        <f t="shared" si="17"/>
        <v>61236511</v>
      </c>
      <c r="I569" s="360"/>
      <c r="J569" s="361"/>
      <c r="K569" s="362"/>
      <c r="L569" s="362"/>
      <c r="M569" s="361">
        <v>1047552</v>
      </c>
      <c r="N569" s="361">
        <v>2291520</v>
      </c>
      <c r="O569" s="361">
        <v>196416</v>
      </c>
      <c r="P569" s="361">
        <v>392832</v>
      </c>
      <c r="Q569" s="361">
        <v>130944</v>
      </c>
      <c r="R569" s="361">
        <v>130944</v>
      </c>
      <c r="S569" s="361">
        <v>261888</v>
      </c>
      <c r="T569" s="386">
        <v>1230000</v>
      </c>
      <c r="U569" s="364">
        <f t="shared" si="18"/>
        <v>66918607</v>
      </c>
      <c r="V569" s="362"/>
      <c r="W569" s="365" t="str">
        <f>+VLOOKUP($B569,[2]Time_S4!$B:$G,6,0)</f>
        <v>Trung tâm Camera</v>
      </c>
      <c r="X569" s="365" t="str">
        <f>IF(W569="Phòng Kinh doanh","Trung tâm Kinh doanh - TCT CNC",+VLOOKUP($B569,[2]Time_S4!$B:$G,5,0))</f>
        <v>Khối 3 - TCT CNC</v>
      </c>
      <c r="Y569" s="366"/>
      <c r="Z569" s="366"/>
    </row>
    <row r="570" spans="1:26" ht="15.75" hidden="1">
      <c r="A570" s="367">
        <f>SUBTOTAL(3,$B$15:B570)</f>
        <v>2</v>
      </c>
      <c r="B570" s="382" t="s">
        <v>1482</v>
      </c>
      <c r="C570" s="383" t="s">
        <v>1483</v>
      </c>
      <c r="D570" s="384" t="s">
        <v>407</v>
      </c>
      <c r="E570" s="385">
        <v>21</v>
      </c>
      <c r="F570" s="384">
        <v>21</v>
      </c>
      <c r="G570" s="358">
        <v>44418622</v>
      </c>
      <c r="H570" s="359">
        <f t="shared" si="17"/>
        <v>43173910</v>
      </c>
      <c r="I570" s="360"/>
      <c r="J570" s="361"/>
      <c r="K570" s="362"/>
      <c r="L570" s="362"/>
      <c r="M570" s="361">
        <v>948352</v>
      </c>
      <c r="N570" s="361">
        <v>2074520</v>
      </c>
      <c r="O570" s="361">
        <v>177816</v>
      </c>
      <c r="P570" s="361">
        <v>355632</v>
      </c>
      <c r="Q570" s="361">
        <v>118544</v>
      </c>
      <c r="R570" s="361">
        <v>118544</v>
      </c>
      <c r="S570" s="361">
        <v>237088</v>
      </c>
      <c r="T570" s="386">
        <v>1230000</v>
      </c>
      <c r="U570" s="364">
        <f t="shared" si="18"/>
        <v>48434406</v>
      </c>
      <c r="V570" s="362"/>
      <c r="W570" s="365" t="str">
        <f>+VLOOKUP($B570,[2]Time_S4!$B:$G,6,0)</f>
        <v>Trung tâm dịch vụ sau bán hàng</v>
      </c>
      <c r="X570" s="365" t="str">
        <f>IF(W570="Phòng Kinh doanh","Trung tâm Kinh doanh - TCT CNC",+VLOOKUP($B570,[2]Time_S4!$B:$G,5,0))</f>
        <v>Khối 2 - TCT CNC</v>
      </c>
      <c r="Y570" s="366"/>
      <c r="Z570" s="366"/>
    </row>
    <row r="571" spans="1:26" ht="15.75" hidden="1">
      <c r="A571" s="367">
        <f>SUBTOTAL(3,$B$15:B571)</f>
        <v>2</v>
      </c>
      <c r="B571" s="382" t="s">
        <v>1484</v>
      </c>
      <c r="C571" s="383" t="s">
        <v>1485</v>
      </c>
      <c r="D571" s="384" t="s">
        <v>407</v>
      </c>
      <c r="E571" s="385">
        <v>21</v>
      </c>
      <c r="F571" s="384">
        <v>21</v>
      </c>
      <c r="G571" s="358">
        <v>35262511</v>
      </c>
      <c r="H571" s="359">
        <f t="shared" si="17"/>
        <v>34137583</v>
      </c>
      <c r="I571" s="360"/>
      <c r="J571" s="361"/>
      <c r="K571" s="362"/>
      <c r="L571" s="362"/>
      <c r="M571" s="361">
        <v>857088</v>
      </c>
      <c r="N571" s="361">
        <v>1874880</v>
      </c>
      <c r="O571" s="361">
        <v>160704</v>
      </c>
      <c r="P571" s="361">
        <v>321408</v>
      </c>
      <c r="Q571" s="361">
        <v>107136</v>
      </c>
      <c r="R571" s="361">
        <v>107136</v>
      </c>
      <c r="S571" s="361">
        <v>214272</v>
      </c>
      <c r="T571" s="386">
        <v>1030000</v>
      </c>
      <c r="U571" s="364">
        <f t="shared" si="18"/>
        <v>38810207</v>
      </c>
      <c r="V571" s="362"/>
      <c r="W571" s="365" t="str">
        <f>+VLOOKUP($B571,[2]Time_S4!$B:$G,6,0)</f>
        <v>Trung tâm Kỹ thuật công nghệ - TCT CNC</v>
      </c>
      <c r="X571" s="365" t="str">
        <f>IF(W571="Phòng Kinh doanh","Trung tâm Kinh doanh - TCT CNC",+VLOOKUP($B571,[2]Time_S4!$B:$G,5,0))</f>
        <v>Khối 2 - TCT CNC</v>
      </c>
      <c r="Y571" s="366"/>
      <c r="Z571" s="380"/>
    </row>
    <row r="572" spans="1:26" ht="15.75" hidden="1">
      <c r="A572" s="367">
        <f>SUBTOTAL(3,$B$15:B572)</f>
        <v>2</v>
      </c>
      <c r="B572" s="382" t="s">
        <v>1486</v>
      </c>
      <c r="C572" s="383" t="s">
        <v>1487</v>
      </c>
      <c r="D572" s="384" t="s">
        <v>407</v>
      </c>
      <c r="E572" s="385">
        <v>21</v>
      </c>
      <c r="F572" s="384">
        <v>21</v>
      </c>
      <c r="G572" s="358">
        <v>46954617</v>
      </c>
      <c r="H572" s="359">
        <f t="shared" si="17"/>
        <v>45709905</v>
      </c>
      <c r="I572" s="360"/>
      <c r="J572" s="361"/>
      <c r="K572" s="362"/>
      <c r="L572" s="362"/>
      <c r="M572" s="361">
        <v>948352</v>
      </c>
      <c r="N572" s="361">
        <v>2074520</v>
      </c>
      <c r="O572" s="361">
        <v>177816</v>
      </c>
      <c r="P572" s="361">
        <v>355632</v>
      </c>
      <c r="Q572" s="361">
        <v>118544</v>
      </c>
      <c r="R572" s="361">
        <v>118544</v>
      </c>
      <c r="S572" s="361">
        <v>237088</v>
      </c>
      <c r="T572" s="386">
        <v>1130000</v>
      </c>
      <c r="U572" s="364">
        <f t="shared" si="18"/>
        <v>50870401</v>
      </c>
      <c r="V572" s="362"/>
      <c r="W572" s="365" t="str">
        <f>+VLOOKUP($B572,[2]Time_S4!$B:$G,6,0)</f>
        <v>Trung tâm Phát triển nền tảng thanh toán</v>
      </c>
      <c r="X572" s="365" t="str">
        <f>IF(W572="Phòng Kinh doanh","Trung tâm Kinh doanh - TCT CNC",+VLOOKUP($B572,[2]Time_S4!$B:$G,5,0))</f>
        <v>Khối 2 - TCT CNC</v>
      </c>
      <c r="Y572" s="366"/>
      <c r="Z572" s="366"/>
    </row>
    <row r="573" spans="1:26" ht="15.75" hidden="1">
      <c r="A573" s="367">
        <f>SUBTOTAL(3,$B$15:B573)</f>
        <v>2</v>
      </c>
      <c r="B573" s="382" t="s">
        <v>1488</v>
      </c>
      <c r="C573" s="383" t="s">
        <v>1489</v>
      </c>
      <c r="D573" s="384" t="s">
        <v>410</v>
      </c>
      <c r="E573" s="385">
        <v>21</v>
      </c>
      <c r="F573" s="384">
        <v>21</v>
      </c>
      <c r="G573" s="358">
        <v>42162286</v>
      </c>
      <c r="H573" s="359">
        <f t="shared" si="17"/>
        <v>40679662</v>
      </c>
      <c r="I573" s="360"/>
      <c r="J573" s="361"/>
      <c r="K573" s="362"/>
      <c r="L573" s="362"/>
      <c r="M573" s="361">
        <v>1482624</v>
      </c>
      <c r="N573" s="361">
        <v>3243240</v>
      </c>
      <c r="O573" s="361">
        <v>0</v>
      </c>
      <c r="P573" s="361">
        <v>0</v>
      </c>
      <c r="Q573" s="361">
        <v>0</v>
      </c>
      <c r="R573" s="361">
        <v>0</v>
      </c>
      <c r="S573" s="361">
        <v>370656</v>
      </c>
      <c r="T573" s="386">
        <v>1030000</v>
      </c>
      <c r="U573" s="364">
        <f t="shared" si="18"/>
        <v>46806182</v>
      </c>
      <c r="V573" s="362"/>
      <c r="W573" s="365" t="str">
        <f>+VLOOKUP($B573,[2]Time_S4!$B:$G,6,0)</f>
        <v>Trung tâm Khí cụ bay</v>
      </c>
      <c r="X573" s="365" t="str">
        <f>IF(W573="Phòng Kinh doanh","Trung tâm Kinh doanh - TCT CNC",+VLOOKUP($B573,[2]Time_S4!$B:$G,5,0))</f>
        <v>Khối 1 - TCT CNC</v>
      </c>
      <c r="Y573" s="366"/>
      <c r="Z573" s="366"/>
    </row>
    <row r="574" spans="1:26" ht="15.75" hidden="1">
      <c r="A574" s="367">
        <f>SUBTOTAL(3,$B$15:B574)</f>
        <v>2</v>
      </c>
      <c r="B574" s="382" t="s">
        <v>1490</v>
      </c>
      <c r="C574" s="383" t="s">
        <v>1491</v>
      </c>
      <c r="D574" s="384" t="s">
        <v>407</v>
      </c>
      <c r="E574" s="385">
        <v>21</v>
      </c>
      <c r="F574" s="384">
        <v>21</v>
      </c>
      <c r="G574" s="358">
        <v>22555719</v>
      </c>
      <c r="H574" s="359">
        <f t="shared" si="17"/>
        <v>21592239</v>
      </c>
      <c r="I574" s="360"/>
      <c r="J574" s="361"/>
      <c r="K574" s="362"/>
      <c r="L574" s="362"/>
      <c r="M574" s="361">
        <v>734080</v>
      </c>
      <c r="N574" s="361">
        <v>1605800</v>
      </c>
      <c r="O574" s="361">
        <v>137640</v>
      </c>
      <c r="P574" s="361">
        <v>275280</v>
      </c>
      <c r="Q574" s="361">
        <v>91760</v>
      </c>
      <c r="R574" s="361">
        <v>91760</v>
      </c>
      <c r="S574" s="361">
        <v>183520</v>
      </c>
      <c r="T574" s="386">
        <v>1047000</v>
      </c>
      <c r="U574" s="364">
        <f t="shared" si="18"/>
        <v>25759079</v>
      </c>
      <c r="V574" s="362"/>
      <c r="W574" s="365" t="str">
        <f>+VLOOKUP($B574,[2]Time_S4!$B:$G,6,0)</f>
        <v>Phòng Nhân sự</v>
      </c>
      <c r="X574" s="365" t="str">
        <f>IF(W574="Phòng Kinh doanh","Trung tâm Kinh doanh - TCT CNC",+VLOOKUP($B574,[2]Time_S4!$B:$G,5,0))</f>
        <v>Khối cơ quan - TCT CNC</v>
      </c>
      <c r="Y574" s="366"/>
      <c r="Z574" s="366"/>
    </row>
    <row r="575" spans="1:26" ht="15.75" hidden="1">
      <c r="A575" s="367">
        <f>SUBTOTAL(3,$B$15:B575)</f>
        <v>2</v>
      </c>
      <c r="B575" s="382" t="s">
        <v>1492</v>
      </c>
      <c r="C575" s="383" t="s">
        <v>1493</v>
      </c>
      <c r="D575" s="384" t="s">
        <v>407</v>
      </c>
      <c r="E575" s="385">
        <v>21</v>
      </c>
      <c r="F575" s="384">
        <v>21</v>
      </c>
      <c r="G575" s="358">
        <v>24954138</v>
      </c>
      <c r="H575" s="359">
        <f t="shared" si="17"/>
        <v>23990658</v>
      </c>
      <c r="I575" s="360"/>
      <c r="J575" s="361"/>
      <c r="K575" s="362"/>
      <c r="L575" s="362"/>
      <c r="M575" s="361">
        <v>734080</v>
      </c>
      <c r="N575" s="361">
        <v>1605800</v>
      </c>
      <c r="O575" s="361">
        <v>137640</v>
      </c>
      <c r="P575" s="361">
        <v>275280</v>
      </c>
      <c r="Q575" s="361">
        <v>91760</v>
      </c>
      <c r="R575" s="361">
        <v>91760</v>
      </c>
      <c r="S575" s="361">
        <v>183520</v>
      </c>
      <c r="T575" s="386">
        <v>1147000</v>
      </c>
      <c r="U575" s="364">
        <f t="shared" si="18"/>
        <v>28257498</v>
      </c>
      <c r="V575" s="362"/>
      <c r="W575" s="365" t="str">
        <f>+VLOOKUP($B575,[2]Time_S4!$B:$G,6,0)</f>
        <v>Phòng Kinh doanh</v>
      </c>
      <c r="X575" s="365" t="str">
        <f>IF(W575="Phòng Kinh doanh","Trung tâm Kinh doanh - TCT CNC",+VLOOKUP($B575,[2]Time_S4!$B:$G,5,0))</f>
        <v>Trung tâm Kinh doanh - TCT CNC</v>
      </c>
      <c r="Y575" s="366"/>
      <c r="Z575" s="366"/>
    </row>
    <row r="576" spans="1:26" ht="15.75" hidden="1">
      <c r="A576" s="367">
        <f>SUBTOTAL(3,$B$15:B576)</f>
        <v>2</v>
      </c>
      <c r="B576" s="382" t="s">
        <v>1494</v>
      </c>
      <c r="C576" s="383" t="s">
        <v>1495</v>
      </c>
      <c r="D576" s="384" t="s">
        <v>407</v>
      </c>
      <c r="E576" s="385">
        <v>21</v>
      </c>
      <c r="F576" s="384">
        <v>21</v>
      </c>
      <c r="G576" s="358">
        <v>32515785</v>
      </c>
      <c r="H576" s="359">
        <f t="shared" si="17"/>
        <v>31448145</v>
      </c>
      <c r="I576" s="360"/>
      <c r="J576" s="361"/>
      <c r="K576" s="362"/>
      <c r="L576" s="362"/>
      <c r="M576" s="361">
        <v>813440</v>
      </c>
      <c r="N576" s="361">
        <v>1779400</v>
      </c>
      <c r="O576" s="361">
        <v>152520</v>
      </c>
      <c r="P576" s="361">
        <v>305040</v>
      </c>
      <c r="Q576" s="361">
        <v>101680</v>
      </c>
      <c r="R576" s="361">
        <v>101680</v>
      </c>
      <c r="S576" s="361">
        <v>203360</v>
      </c>
      <c r="T576" s="386">
        <v>1030000</v>
      </c>
      <c r="U576" s="364">
        <f t="shared" si="18"/>
        <v>35935265</v>
      </c>
      <c r="V576" s="362"/>
      <c r="W576" s="365" t="str">
        <f>+VLOOKUP($B576,[2]Time_S4!$B:$G,6,0)</f>
        <v>Trung tâm Thông tin Quân sự</v>
      </c>
      <c r="X576" s="365" t="str">
        <f>IF(W576="Phòng Kinh doanh","Trung tâm Kinh doanh - TCT CNC",+VLOOKUP($B576,[2]Time_S4!$B:$G,5,0))</f>
        <v>Khối 1 - TCT CNC</v>
      </c>
      <c r="Y576" s="366"/>
      <c r="Z576" s="366"/>
    </row>
    <row r="577" spans="1:26" ht="15.75" hidden="1">
      <c r="A577" s="367">
        <f>SUBTOTAL(3,$B$15:B577)</f>
        <v>2</v>
      </c>
      <c r="B577" s="382" t="s">
        <v>1496</v>
      </c>
      <c r="C577" s="383" t="s">
        <v>1497</v>
      </c>
      <c r="D577" s="384" t="s">
        <v>407</v>
      </c>
      <c r="E577" s="385">
        <v>21</v>
      </c>
      <c r="F577" s="384">
        <v>21</v>
      </c>
      <c r="G577" s="358">
        <v>48042106</v>
      </c>
      <c r="H577" s="359">
        <f t="shared" si="17"/>
        <v>46797394</v>
      </c>
      <c r="I577" s="360"/>
      <c r="J577" s="361"/>
      <c r="K577" s="362"/>
      <c r="L577" s="362"/>
      <c r="M577" s="361">
        <v>948352</v>
      </c>
      <c r="N577" s="361">
        <v>2074520</v>
      </c>
      <c r="O577" s="361">
        <v>177816</v>
      </c>
      <c r="P577" s="361">
        <v>355632</v>
      </c>
      <c r="Q577" s="361">
        <v>118544</v>
      </c>
      <c r="R577" s="361">
        <v>118544</v>
      </c>
      <c r="S577" s="361">
        <v>237088</v>
      </c>
      <c r="T577" s="386">
        <v>1030000</v>
      </c>
      <c r="U577" s="364">
        <f t="shared" si="18"/>
        <v>51857890</v>
      </c>
      <c r="V577" s="362"/>
      <c r="W577" s="365" t="str">
        <f>+VLOOKUP($B577,[2]Time_S4!$B:$G,6,0)</f>
        <v>Trung tâm Nghiên cứu Công nghệ chuyển mạch</v>
      </c>
      <c r="X577" s="365" t="str">
        <f>IF(W577="Phòng Kinh doanh","Trung tâm Kinh doanh - TCT CNC",+VLOOKUP($B577,[2]Time_S4!$B:$G,5,0))</f>
        <v>Khối 2 - TCT CNC</v>
      </c>
      <c r="Y577" s="366"/>
      <c r="Z577" s="366"/>
    </row>
    <row r="578" spans="1:26" ht="15.75" hidden="1">
      <c r="A578" s="367">
        <f>SUBTOTAL(3,$B$15:B578)</f>
        <v>2</v>
      </c>
      <c r="B578" s="382" t="s">
        <v>1498</v>
      </c>
      <c r="C578" s="383" t="s">
        <v>1499</v>
      </c>
      <c r="D578" s="384" t="s">
        <v>407</v>
      </c>
      <c r="E578" s="385">
        <v>21</v>
      </c>
      <c r="F578" s="384">
        <v>21</v>
      </c>
      <c r="G578" s="358">
        <v>25316044</v>
      </c>
      <c r="H578" s="359">
        <f t="shared" si="17"/>
        <v>24300484</v>
      </c>
      <c r="I578" s="360"/>
      <c r="J578" s="361"/>
      <c r="K578" s="362"/>
      <c r="L578" s="362"/>
      <c r="M578" s="361">
        <v>773760</v>
      </c>
      <c r="N578" s="361">
        <v>1692600</v>
      </c>
      <c r="O578" s="361">
        <v>145080</v>
      </c>
      <c r="P578" s="361">
        <v>290160</v>
      </c>
      <c r="Q578" s="361">
        <v>96720</v>
      </c>
      <c r="R578" s="361">
        <v>96720</v>
      </c>
      <c r="S578" s="361">
        <v>193440</v>
      </c>
      <c r="T578" s="386">
        <v>930000</v>
      </c>
      <c r="U578" s="364">
        <f t="shared" si="18"/>
        <v>28518964</v>
      </c>
      <c r="V578" s="362"/>
      <c r="W578" s="365" t="str">
        <f>+VLOOKUP($B578,[2]Time_S4!$B:$G,6,0)</f>
        <v>Trung tâm Kỹ thuật công nghệ - TCT CNC</v>
      </c>
      <c r="X578" s="365" t="str">
        <f>IF(W578="Phòng Kinh doanh","Trung tâm Kinh doanh - TCT CNC",+VLOOKUP($B578,[2]Time_S4!$B:$G,5,0))</f>
        <v>Khối 2 - TCT CNC</v>
      </c>
      <c r="Y578" s="366"/>
      <c r="Z578" s="366"/>
    </row>
    <row r="579" spans="1:26" ht="15.75" hidden="1">
      <c r="A579" s="367">
        <f>SUBTOTAL(3,$B$15:B579)</f>
        <v>2</v>
      </c>
      <c r="B579" s="382" t="s">
        <v>1500</v>
      </c>
      <c r="C579" s="383" t="s">
        <v>1501</v>
      </c>
      <c r="D579" s="384" t="s">
        <v>407</v>
      </c>
      <c r="E579" s="385">
        <v>21</v>
      </c>
      <c r="F579" s="384">
        <v>21</v>
      </c>
      <c r="G579" s="358">
        <v>19474511</v>
      </c>
      <c r="H579" s="359">
        <f t="shared" si="17"/>
        <v>18604775</v>
      </c>
      <c r="I579" s="360"/>
      <c r="J579" s="361"/>
      <c r="K579" s="362"/>
      <c r="L579" s="362"/>
      <c r="M579" s="361">
        <v>662656</v>
      </c>
      <c r="N579" s="361">
        <v>1449560</v>
      </c>
      <c r="O579" s="361">
        <v>124248</v>
      </c>
      <c r="P579" s="361">
        <v>248496</v>
      </c>
      <c r="Q579" s="361">
        <v>82832</v>
      </c>
      <c r="R579" s="361">
        <v>82832</v>
      </c>
      <c r="S579" s="361">
        <v>165664</v>
      </c>
      <c r="T579" s="386">
        <v>1047000</v>
      </c>
      <c r="U579" s="364">
        <f t="shared" si="18"/>
        <v>22468063</v>
      </c>
      <c r="V579" s="362"/>
      <c r="W579" s="365" t="str">
        <f>+VLOOKUP($B579,[2]Time_S4!$B:$G,6,0)</f>
        <v>Phòng Kiểu dáng và đồ họa</v>
      </c>
      <c r="X579" s="365" t="str">
        <f>IF(W579="Phòng Kinh doanh","Trung tâm Kinh doanh - TCT CNC",+VLOOKUP($B579,[2]Time_S4!$B:$G,5,0))</f>
        <v>Khối 1 - TCT CNC</v>
      </c>
      <c r="Y579" s="366"/>
      <c r="Z579" s="366"/>
    </row>
    <row r="580" spans="1:26" ht="15.75" hidden="1">
      <c r="A580" s="367">
        <f>SUBTOTAL(3,$B$15:B580)</f>
        <v>2</v>
      </c>
      <c r="B580" s="382" t="s">
        <v>1502</v>
      </c>
      <c r="C580" s="383" t="s">
        <v>1503</v>
      </c>
      <c r="D580" s="384" t="s">
        <v>407</v>
      </c>
      <c r="E580" s="385">
        <v>21</v>
      </c>
      <c r="F580" s="384">
        <v>21</v>
      </c>
      <c r="G580" s="358">
        <v>47147826</v>
      </c>
      <c r="H580" s="359">
        <f t="shared" si="17"/>
        <v>45965610</v>
      </c>
      <c r="I580" s="360"/>
      <c r="J580" s="361"/>
      <c r="K580" s="362"/>
      <c r="L580" s="362"/>
      <c r="M580" s="361">
        <v>900736</v>
      </c>
      <c r="N580" s="361">
        <v>1970360</v>
      </c>
      <c r="O580" s="361">
        <v>168888</v>
      </c>
      <c r="P580" s="361">
        <v>337776</v>
      </c>
      <c r="Q580" s="361">
        <v>112592</v>
      </c>
      <c r="R580" s="361">
        <v>112592</v>
      </c>
      <c r="S580" s="361">
        <v>225184</v>
      </c>
      <c r="T580" s="386">
        <v>1030000</v>
      </c>
      <c r="U580" s="364">
        <f t="shared" si="18"/>
        <v>50823738</v>
      </c>
      <c r="V580" s="362"/>
      <c r="W580" s="365" t="str">
        <f>+VLOOKUP($B580,[2]Time_S4!$B:$G,6,0)</f>
        <v>Trung tâm Tác chiến điện tử</v>
      </c>
      <c r="X580" s="365" t="str">
        <f>IF(W580="Phòng Kinh doanh","Trung tâm Kinh doanh - TCT CNC",+VLOOKUP($B580,[2]Time_S4!$B:$G,5,0))</f>
        <v>Khối 1 - TCT CNC</v>
      </c>
      <c r="Y580" s="366"/>
      <c r="Z580" s="366"/>
    </row>
    <row r="581" spans="1:26" ht="15.75" hidden="1">
      <c r="A581" s="367">
        <f>SUBTOTAL(3,$B$15:B581)</f>
        <v>2</v>
      </c>
      <c r="B581" s="382" t="s">
        <v>1504</v>
      </c>
      <c r="C581" s="383" t="s">
        <v>1505</v>
      </c>
      <c r="D581" s="384" t="s">
        <v>407</v>
      </c>
      <c r="E581" s="385">
        <v>21</v>
      </c>
      <c r="F581" s="384">
        <v>21</v>
      </c>
      <c r="G581" s="358">
        <v>38126632</v>
      </c>
      <c r="H581" s="359">
        <f t="shared" si="17"/>
        <v>37001704</v>
      </c>
      <c r="I581" s="360"/>
      <c r="J581" s="361"/>
      <c r="K581" s="362"/>
      <c r="L581" s="362"/>
      <c r="M581" s="361">
        <v>857088</v>
      </c>
      <c r="N581" s="361">
        <v>1874880</v>
      </c>
      <c r="O581" s="361">
        <v>160704</v>
      </c>
      <c r="P581" s="361">
        <v>321408</v>
      </c>
      <c r="Q581" s="361">
        <v>107136</v>
      </c>
      <c r="R581" s="361">
        <v>107136</v>
      </c>
      <c r="S581" s="361">
        <v>214272</v>
      </c>
      <c r="T581" s="386">
        <v>1030000</v>
      </c>
      <c r="U581" s="364">
        <f t="shared" si="18"/>
        <v>41674328</v>
      </c>
      <c r="V581" s="362"/>
      <c r="W581" s="365" t="str">
        <f>+VLOOKUP($B581,[2]Time_S4!$B:$G,6,0)</f>
        <v>Trung tâm Khí cụ bay</v>
      </c>
      <c r="X581" s="365" t="str">
        <f>IF(W581="Phòng Kinh doanh","Trung tâm Kinh doanh - TCT CNC",+VLOOKUP($B581,[2]Time_S4!$B:$G,5,0))</f>
        <v>Khối 1 - TCT CNC</v>
      </c>
      <c r="Y581" s="366"/>
      <c r="Z581" s="366"/>
    </row>
    <row r="582" spans="1:26" ht="15.75" hidden="1">
      <c r="A582" s="367">
        <f>SUBTOTAL(3,$B$15:B582)</f>
        <v>2</v>
      </c>
      <c r="B582" s="382" t="s">
        <v>1506</v>
      </c>
      <c r="C582" s="383" t="s">
        <v>1507</v>
      </c>
      <c r="D582" s="384" t="s">
        <v>407</v>
      </c>
      <c r="E582" s="385">
        <v>21</v>
      </c>
      <c r="F582" s="384">
        <v>21</v>
      </c>
      <c r="G582" s="358">
        <v>40554274</v>
      </c>
      <c r="H582" s="359">
        <f t="shared" si="17"/>
        <v>39429346</v>
      </c>
      <c r="I582" s="360"/>
      <c r="J582" s="361"/>
      <c r="K582" s="362"/>
      <c r="L582" s="362"/>
      <c r="M582" s="361">
        <v>857088</v>
      </c>
      <c r="N582" s="361">
        <v>1874880</v>
      </c>
      <c r="O582" s="361">
        <v>160704</v>
      </c>
      <c r="P582" s="361">
        <v>321408</v>
      </c>
      <c r="Q582" s="361">
        <v>107136</v>
      </c>
      <c r="R582" s="361">
        <v>107136</v>
      </c>
      <c r="S582" s="361">
        <v>214272</v>
      </c>
      <c r="T582" s="386">
        <v>1030000</v>
      </c>
      <c r="U582" s="364">
        <f t="shared" si="18"/>
        <v>44101970</v>
      </c>
      <c r="V582" s="362"/>
      <c r="W582" s="365" t="str">
        <f>+VLOOKUP($B582,[2]Time_S4!$B:$G,6,0)</f>
        <v>Trung tâm Thông tin Quân sự</v>
      </c>
      <c r="X582" s="365" t="str">
        <f>IF(W582="Phòng Kinh doanh","Trung tâm Kinh doanh - TCT CNC",+VLOOKUP($B582,[2]Time_S4!$B:$G,5,0))</f>
        <v>Khối 1 - TCT CNC</v>
      </c>
      <c r="Y582" s="366"/>
      <c r="Z582" s="366"/>
    </row>
    <row r="583" spans="1:26" ht="15.75" hidden="1">
      <c r="A583" s="367">
        <f>SUBTOTAL(3,$B$15:B583)</f>
        <v>2</v>
      </c>
      <c r="B583" s="382" t="s">
        <v>1508</v>
      </c>
      <c r="C583" s="383" t="s">
        <v>1509</v>
      </c>
      <c r="D583" s="384" t="s">
        <v>407</v>
      </c>
      <c r="E583" s="385">
        <v>21</v>
      </c>
      <c r="F583" s="384">
        <v>21</v>
      </c>
      <c r="G583" s="358">
        <v>26960570</v>
      </c>
      <c r="H583" s="359">
        <f t="shared" si="17"/>
        <v>25945010</v>
      </c>
      <c r="I583" s="360"/>
      <c r="J583" s="361"/>
      <c r="K583" s="362"/>
      <c r="L583" s="362"/>
      <c r="M583" s="361">
        <v>773760</v>
      </c>
      <c r="N583" s="361">
        <v>1692600</v>
      </c>
      <c r="O583" s="361">
        <v>145080</v>
      </c>
      <c r="P583" s="361">
        <v>290160</v>
      </c>
      <c r="Q583" s="361">
        <v>96720</v>
      </c>
      <c r="R583" s="361">
        <v>96720</v>
      </c>
      <c r="S583" s="361">
        <v>193440</v>
      </c>
      <c r="T583" s="386">
        <v>930000</v>
      </c>
      <c r="U583" s="364">
        <f t="shared" si="18"/>
        <v>30163490</v>
      </c>
      <c r="V583" s="362"/>
      <c r="W583" s="365" t="str">
        <f>+VLOOKUP($B583,[2]Time_S4!$B:$G,6,0)</f>
        <v>Trung tâm Thông tin Quân sự</v>
      </c>
      <c r="X583" s="365" t="str">
        <f>IF(W583="Phòng Kinh doanh","Trung tâm Kinh doanh - TCT CNC",+VLOOKUP($B583,[2]Time_S4!$B:$G,5,0))</f>
        <v>Khối 1 - TCT CNC</v>
      </c>
      <c r="Y583" s="366"/>
      <c r="Z583" s="366"/>
    </row>
    <row r="584" spans="1:26" ht="15.75" hidden="1">
      <c r="A584" s="367">
        <f>SUBTOTAL(3,$B$15:B584)</f>
        <v>2</v>
      </c>
      <c r="B584" s="382" t="s">
        <v>1510</v>
      </c>
      <c r="C584" s="383" t="s">
        <v>1511</v>
      </c>
      <c r="D584" s="384" t="s">
        <v>407</v>
      </c>
      <c r="E584" s="385">
        <v>21</v>
      </c>
      <c r="F584" s="384">
        <v>21</v>
      </c>
      <c r="G584" s="358">
        <v>26960570</v>
      </c>
      <c r="H584" s="359">
        <f t="shared" si="17"/>
        <v>25945010</v>
      </c>
      <c r="I584" s="360"/>
      <c r="J584" s="361"/>
      <c r="K584" s="362"/>
      <c r="L584" s="362"/>
      <c r="M584" s="361">
        <v>773760</v>
      </c>
      <c r="N584" s="361">
        <v>1692600</v>
      </c>
      <c r="O584" s="361">
        <v>145080</v>
      </c>
      <c r="P584" s="361">
        <v>290160</v>
      </c>
      <c r="Q584" s="361">
        <v>96720</v>
      </c>
      <c r="R584" s="361">
        <v>96720</v>
      </c>
      <c r="S584" s="361">
        <v>193440</v>
      </c>
      <c r="T584" s="386">
        <v>930000</v>
      </c>
      <c r="U584" s="364">
        <f t="shared" si="18"/>
        <v>30163490</v>
      </c>
      <c r="V584" s="362"/>
      <c r="W584" s="365" t="str">
        <f>+VLOOKUP($B584,[2]Time_S4!$B:$G,6,0)</f>
        <v>Phòng Phát triển thị trường trong nước</v>
      </c>
      <c r="X584" s="365" t="str">
        <f>IF(W584="Phòng Kinh doanh","Trung tâm Kinh doanh - TCT CNC",+VLOOKUP($B584,[2]Time_S4!$B:$G,5,0))</f>
        <v>Trung tâm Kinh doanh - TCT CNC</v>
      </c>
      <c r="Y584" s="366"/>
      <c r="Z584" s="366"/>
    </row>
    <row r="585" spans="1:26" ht="15.75" hidden="1">
      <c r="A585" s="367">
        <f>SUBTOTAL(3,$B$15:B585)</f>
        <v>2</v>
      </c>
      <c r="B585" s="382" t="s">
        <v>1512</v>
      </c>
      <c r="C585" s="383" t="s">
        <v>1513</v>
      </c>
      <c r="D585" s="384" t="s">
        <v>407</v>
      </c>
      <c r="E585" s="385">
        <v>21</v>
      </c>
      <c r="F585" s="384">
        <v>21</v>
      </c>
      <c r="G585" s="358">
        <v>50227211</v>
      </c>
      <c r="H585" s="359">
        <f t="shared" si="17"/>
        <v>49044995</v>
      </c>
      <c r="I585" s="360"/>
      <c r="J585" s="361"/>
      <c r="K585" s="362"/>
      <c r="L585" s="362"/>
      <c r="M585" s="361">
        <v>900736</v>
      </c>
      <c r="N585" s="361">
        <v>1970360</v>
      </c>
      <c r="O585" s="361">
        <v>168888</v>
      </c>
      <c r="P585" s="361">
        <v>337776</v>
      </c>
      <c r="Q585" s="361">
        <v>112592</v>
      </c>
      <c r="R585" s="361">
        <v>112592</v>
      </c>
      <c r="S585" s="361">
        <v>225184</v>
      </c>
      <c r="T585" s="386">
        <v>1130000</v>
      </c>
      <c r="U585" s="364">
        <f t="shared" si="18"/>
        <v>54003123</v>
      </c>
      <c r="V585" s="362"/>
      <c r="W585" s="365" t="str">
        <f>+VLOOKUP($B585,[2]Time_S4!$B:$G,6,0)</f>
        <v>Trung tâm Quang điện tử</v>
      </c>
      <c r="X585" s="365" t="str">
        <f>IF(W585="Phòng Kinh doanh","Trung tâm Kinh doanh - TCT CNC",+VLOOKUP($B585,[2]Time_S4!$B:$G,5,0))</f>
        <v>Khối 1 - TCT CNC</v>
      </c>
      <c r="Y585" s="366"/>
      <c r="Z585" s="366"/>
    </row>
    <row r="586" spans="1:26" ht="15.75" hidden="1">
      <c r="A586" s="367">
        <f>SUBTOTAL(3,$B$15:B586)</f>
        <v>2</v>
      </c>
      <c r="B586" s="382" t="s">
        <v>1514</v>
      </c>
      <c r="C586" s="383" t="s">
        <v>1515</v>
      </c>
      <c r="D586" s="384" t="s">
        <v>407</v>
      </c>
      <c r="E586" s="385">
        <v>21</v>
      </c>
      <c r="F586" s="384">
        <v>21</v>
      </c>
      <c r="G586" s="358">
        <v>57628542</v>
      </c>
      <c r="H586" s="359">
        <f t="shared" si="17"/>
        <v>56321334</v>
      </c>
      <c r="I586" s="360"/>
      <c r="J586" s="361"/>
      <c r="K586" s="362"/>
      <c r="L586" s="362"/>
      <c r="M586" s="361">
        <v>995968</v>
      </c>
      <c r="N586" s="361">
        <v>2178680</v>
      </c>
      <c r="O586" s="361">
        <v>186744</v>
      </c>
      <c r="P586" s="361">
        <v>373488</v>
      </c>
      <c r="Q586" s="361">
        <v>124496</v>
      </c>
      <c r="R586" s="361">
        <v>124496</v>
      </c>
      <c r="S586" s="361">
        <v>248992</v>
      </c>
      <c r="T586" s="386">
        <v>1130000</v>
      </c>
      <c r="U586" s="364">
        <f t="shared" si="18"/>
        <v>61684198</v>
      </c>
      <c r="V586" s="362"/>
      <c r="W586" s="365" t="str">
        <f>+VLOOKUP($B586,[2]Time_S4!$B:$G,6,0)</f>
        <v>Trung tâm Nghiên cứu Công nghệ truyền dẫn</v>
      </c>
      <c r="X586" s="365" t="str">
        <f>IF(W586="Phòng Kinh doanh","Trung tâm Kinh doanh - TCT CNC",+VLOOKUP($B586,[2]Time_S4!$B:$G,5,0))</f>
        <v>Khối 2 - TCT CNC</v>
      </c>
      <c r="Y586" s="366"/>
      <c r="Z586" s="366"/>
    </row>
    <row r="587" spans="1:26" ht="15.75" hidden="1">
      <c r="A587" s="367">
        <f>SUBTOTAL(3,$B$15:B587)</f>
        <v>2</v>
      </c>
      <c r="B587" s="382" t="s">
        <v>1516</v>
      </c>
      <c r="C587" s="383" t="s">
        <v>1517</v>
      </c>
      <c r="D587" s="384" t="s">
        <v>407</v>
      </c>
      <c r="E587" s="385">
        <v>21</v>
      </c>
      <c r="F587" s="384">
        <v>21</v>
      </c>
      <c r="G587" s="358">
        <v>47712319</v>
      </c>
      <c r="H587" s="359">
        <f t="shared" si="17"/>
        <v>46467607</v>
      </c>
      <c r="I587" s="360"/>
      <c r="J587" s="361"/>
      <c r="K587" s="362"/>
      <c r="L587" s="362"/>
      <c r="M587" s="361">
        <v>948352</v>
      </c>
      <c r="N587" s="361">
        <v>2074520</v>
      </c>
      <c r="O587" s="361">
        <v>177816</v>
      </c>
      <c r="P587" s="361">
        <v>355632</v>
      </c>
      <c r="Q587" s="361">
        <v>118544</v>
      </c>
      <c r="R587" s="361">
        <v>118544</v>
      </c>
      <c r="S587" s="361">
        <v>237088</v>
      </c>
      <c r="T587" s="386">
        <v>1030000</v>
      </c>
      <c r="U587" s="364">
        <f t="shared" si="18"/>
        <v>51528103</v>
      </c>
      <c r="V587" s="362"/>
      <c r="W587" s="365" t="str">
        <f>+VLOOKUP($B587,[2]Time_S4!$B:$G,6,0)</f>
        <v>Trung tâm Phát triển nền tảng thanh toán</v>
      </c>
      <c r="X587" s="365" t="str">
        <f>IF(W587="Phòng Kinh doanh","Trung tâm Kinh doanh - TCT CNC",+VLOOKUP($B587,[2]Time_S4!$B:$G,5,0))</f>
        <v>Khối 2 - TCT CNC</v>
      </c>
      <c r="Y587" s="366"/>
      <c r="Z587" s="366"/>
    </row>
    <row r="588" spans="1:26" ht="15.75" hidden="1">
      <c r="A588" s="367">
        <f>SUBTOTAL(3,$B$15:B588)</f>
        <v>2</v>
      </c>
      <c r="B588" s="382" t="s">
        <v>1518</v>
      </c>
      <c r="C588" s="383" t="s">
        <v>779</v>
      </c>
      <c r="D588" s="384" t="s">
        <v>407</v>
      </c>
      <c r="E588" s="385">
        <v>21</v>
      </c>
      <c r="F588" s="384">
        <v>21</v>
      </c>
      <c r="G588" s="358">
        <v>52304747</v>
      </c>
      <c r="H588" s="359">
        <f t="shared" si="17"/>
        <v>51060035</v>
      </c>
      <c r="I588" s="360"/>
      <c r="J588" s="361"/>
      <c r="K588" s="362"/>
      <c r="L588" s="362"/>
      <c r="M588" s="361">
        <v>948352</v>
      </c>
      <c r="N588" s="361">
        <v>2074520</v>
      </c>
      <c r="O588" s="361">
        <v>177816</v>
      </c>
      <c r="P588" s="361">
        <v>355632</v>
      </c>
      <c r="Q588" s="361">
        <v>118544</v>
      </c>
      <c r="R588" s="361">
        <v>118544</v>
      </c>
      <c r="S588" s="361">
        <v>237088</v>
      </c>
      <c r="T588" s="386">
        <v>1030000</v>
      </c>
      <c r="U588" s="364">
        <f t="shared" si="18"/>
        <v>56120531</v>
      </c>
      <c r="V588" s="362"/>
      <c r="W588" s="365" t="str">
        <f>+VLOOKUP($B588,[2]Time_S4!$B:$G,6,0)</f>
        <v>Trung tâm Nghiên cứu thiết bị vô tuyến băng rộng</v>
      </c>
      <c r="X588" s="365" t="str">
        <f>IF(W588="Phòng Kinh doanh","Trung tâm Kinh doanh - TCT CNC",+VLOOKUP($B588,[2]Time_S4!$B:$G,5,0))</f>
        <v>Khối 2 - TCT CNC</v>
      </c>
      <c r="Y588" s="366"/>
      <c r="Z588" s="366"/>
    </row>
    <row r="589" spans="1:26" ht="15.75" hidden="1">
      <c r="A589" s="367">
        <f>SUBTOTAL(3,$B$15:B589)</f>
        <v>2</v>
      </c>
      <c r="B589" s="382" t="s">
        <v>1519</v>
      </c>
      <c r="C589" s="383" t="s">
        <v>1520</v>
      </c>
      <c r="D589" s="384" t="s">
        <v>407</v>
      </c>
      <c r="E589" s="385">
        <v>21</v>
      </c>
      <c r="F589" s="384">
        <v>21</v>
      </c>
      <c r="G589" s="358">
        <v>41910634</v>
      </c>
      <c r="H589" s="359">
        <f t="shared" si="17"/>
        <v>40785706</v>
      </c>
      <c r="I589" s="360"/>
      <c r="J589" s="361"/>
      <c r="K589" s="362"/>
      <c r="L589" s="362"/>
      <c r="M589" s="361">
        <v>857088</v>
      </c>
      <c r="N589" s="361">
        <v>1874880</v>
      </c>
      <c r="O589" s="361">
        <v>160704</v>
      </c>
      <c r="P589" s="361">
        <v>321408</v>
      </c>
      <c r="Q589" s="361">
        <v>107136</v>
      </c>
      <c r="R589" s="361">
        <v>107136</v>
      </c>
      <c r="S589" s="361">
        <v>214272</v>
      </c>
      <c r="T589" s="386">
        <v>1030000</v>
      </c>
      <c r="U589" s="364">
        <f t="shared" si="18"/>
        <v>45458330</v>
      </c>
      <c r="V589" s="362"/>
      <c r="W589" s="365" t="str">
        <f>+VLOOKUP($B589,[2]Time_S4!$B:$G,6,0)</f>
        <v>Trung tâm Khí cụ bay</v>
      </c>
      <c r="X589" s="365" t="str">
        <f>IF(W589="Phòng Kinh doanh","Trung tâm Kinh doanh - TCT CNC",+VLOOKUP($B589,[2]Time_S4!$B:$G,5,0))</f>
        <v>Khối 1 - TCT CNC</v>
      </c>
      <c r="Y589" s="366"/>
      <c r="Z589" s="366"/>
    </row>
    <row r="590" spans="1:26" ht="15.75" hidden="1">
      <c r="A590" s="367">
        <f>SUBTOTAL(3,$B$15:B590)</f>
        <v>2</v>
      </c>
      <c r="B590" s="382" t="s">
        <v>1521</v>
      </c>
      <c r="C590" s="383" t="s">
        <v>1522</v>
      </c>
      <c r="D590" s="384" t="s">
        <v>407</v>
      </c>
      <c r="E590" s="385">
        <v>21</v>
      </c>
      <c r="F590" s="384">
        <v>21</v>
      </c>
      <c r="G590" s="358">
        <v>26960570</v>
      </c>
      <c r="H590" s="359">
        <f t="shared" si="17"/>
        <v>25945010</v>
      </c>
      <c r="I590" s="360"/>
      <c r="J590" s="361"/>
      <c r="K590" s="362"/>
      <c r="L590" s="362"/>
      <c r="M590" s="361">
        <v>773760</v>
      </c>
      <c r="N590" s="361">
        <v>1692600</v>
      </c>
      <c r="O590" s="361">
        <v>145080</v>
      </c>
      <c r="P590" s="361">
        <v>290160</v>
      </c>
      <c r="Q590" s="361">
        <v>96720</v>
      </c>
      <c r="R590" s="361">
        <v>96720</v>
      </c>
      <c r="S590" s="361">
        <v>193440</v>
      </c>
      <c r="T590" s="386">
        <v>930000</v>
      </c>
      <c r="U590" s="364">
        <f t="shared" si="18"/>
        <v>30163490</v>
      </c>
      <c r="V590" s="362"/>
      <c r="W590" s="365" t="str">
        <f>+VLOOKUP($B590,[2]Time_S4!$B:$G,6,0)</f>
        <v>Trung tâm Kỹ thuật công nghệ - TCT CNC</v>
      </c>
      <c r="X590" s="365" t="str">
        <f>IF(W590="Phòng Kinh doanh","Trung tâm Kinh doanh - TCT CNC",+VLOOKUP($B590,[2]Time_S4!$B:$G,5,0))</f>
        <v>Khối 2 - TCT CNC</v>
      </c>
      <c r="Y590" s="366"/>
      <c r="Z590" s="366"/>
    </row>
    <row r="591" spans="1:26" ht="15.75" hidden="1">
      <c r="A591" s="367">
        <f>SUBTOTAL(3,$B$15:B591)</f>
        <v>2</v>
      </c>
      <c r="B591" s="382" t="s">
        <v>1523</v>
      </c>
      <c r="C591" s="383" t="s">
        <v>1524</v>
      </c>
      <c r="D591" s="384" t="s">
        <v>407</v>
      </c>
      <c r="E591" s="385">
        <v>21</v>
      </c>
      <c r="F591" s="384">
        <v>21</v>
      </c>
      <c r="G591" s="358">
        <v>49993715</v>
      </c>
      <c r="H591" s="359">
        <f t="shared" si="17"/>
        <v>48811499</v>
      </c>
      <c r="I591" s="360"/>
      <c r="J591" s="361"/>
      <c r="K591" s="362"/>
      <c r="L591" s="362"/>
      <c r="M591" s="361">
        <v>900736</v>
      </c>
      <c r="N591" s="361">
        <v>1970360</v>
      </c>
      <c r="O591" s="361">
        <v>168888</v>
      </c>
      <c r="P591" s="361">
        <v>337776</v>
      </c>
      <c r="Q591" s="361">
        <v>112592</v>
      </c>
      <c r="R591" s="361">
        <v>112592</v>
      </c>
      <c r="S591" s="361">
        <v>225184</v>
      </c>
      <c r="T591" s="386">
        <v>1030000</v>
      </c>
      <c r="U591" s="364">
        <f t="shared" si="18"/>
        <v>53669627</v>
      </c>
      <c r="V591" s="362"/>
      <c r="W591" s="365" t="str">
        <f>+VLOOKUP($B591,[2]Time_S4!$B:$G,6,0)</f>
        <v>Trung tâm Nghiên cứu thiết bị vô tuyến băng rộng</v>
      </c>
      <c r="X591" s="365" t="str">
        <f>IF(W591="Phòng Kinh doanh","Trung tâm Kinh doanh - TCT CNC",+VLOOKUP($B591,[2]Time_S4!$B:$G,5,0))</f>
        <v>Khối 2 - TCT CNC</v>
      </c>
      <c r="Y591" s="366"/>
      <c r="Z591" s="366"/>
    </row>
    <row r="592" spans="1:26" ht="15.75" hidden="1">
      <c r="A592" s="367">
        <f>SUBTOTAL(3,$B$15:B592)</f>
        <v>2</v>
      </c>
      <c r="B592" s="382" t="s">
        <v>1525</v>
      </c>
      <c r="C592" s="383" t="s">
        <v>1526</v>
      </c>
      <c r="D592" s="384" t="s">
        <v>407</v>
      </c>
      <c r="E592" s="385">
        <v>21</v>
      </c>
      <c r="F592" s="384">
        <v>21</v>
      </c>
      <c r="G592" s="358">
        <v>48042106</v>
      </c>
      <c r="H592" s="359">
        <f t="shared" ref="H592:H655" si="19">+G592-SUM(M592,O592,Q592)</f>
        <v>46797394</v>
      </c>
      <c r="I592" s="360"/>
      <c r="J592" s="361"/>
      <c r="K592" s="362"/>
      <c r="L592" s="362"/>
      <c r="M592" s="361">
        <v>948352</v>
      </c>
      <c r="N592" s="361">
        <v>2074520</v>
      </c>
      <c r="O592" s="361">
        <v>177816</v>
      </c>
      <c r="P592" s="361">
        <v>355632</v>
      </c>
      <c r="Q592" s="361">
        <v>118544</v>
      </c>
      <c r="R592" s="361">
        <v>118544</v>
      </c>
      <c r="S592" s="361">
        <v>237088</v>
      </c>
      <c r="T592" s="386">
        <v>1030000</v>
      </c>
      <c r="U592" s="364">
        <f t="shared" ref="U592:U655" si="20">+SUM(H592:T592)</f>
        <v>51857890</v>
      </c>
      <c r="V592" s="362"/>
      <c r="W592" s="365" t="str">
        <f>+VLOOKUP($B592,[2]Time_S4!$B:$G,6,0)</f>
        <v>Trung tâm Nghiên cứu Công nghệ truyền dẫn</v>
      </c>
      <c r="X592" s="365" t="str">
        <f>IF(W592="Phòng Kinh doanh","Trung tâm Kinh doanh - TCT CNC",+VLOOKUP($B592,[2]Time_S4!$B:$G,5,0))</f>
        <v>Khối 2 - TCT CNC</v>
      </c>
      <c r="Y592" s="366"/>
      <c r="Z592" s="366"/>
    </row>
    <row r="593" spans="1:26" ht="15.75" hidden="1">
      <c r="A593" s="367">
        <f>SUBTOTAL(3,$B$15:B593)</f>
        <v>2</v>
      </c>
      <c r="B593" s="382" t="s">
        <v>1527</v>
      </c>
      <c r="C593" s="383" t="s">
        <v>1528</v>
      </c>
      <c r="D593" s="384" t="s">
        <v>407</v>
      </c>
      <c r="E593" s="385">
        <v>21</v>
      </c>
      <c r="F593" s="384">
        <v>21</v>
      </c>
      <c r="G593" s="358">
        <v>65037976</v>
      </c>
      <c r="H593" s="359">
        <f t="shared" si="19"/>
        <v>63663064</v>
      </c>
      <c r="I593" s="360"/>
      <c r="J593" s="361"/>
      <c r="K593" s="362"/>
      <c r="L593" s="362"/>
      <c r="M593" s="361">
        <v>1047552</v>
      </c>
      <c r="N593" s="361">
        <v>2291520</v>
      </c>
      <c r="O593" s="361">
        <v>196416</v>
      </c>
      <c r="P593" s="361">
        <v>392832</v>
      </c>
      <c r="Q593" s="361">
        <v>130944</v>
      </c>
      <c r="R593" s="361">
        <v>130944</v>
      </c>
      <c r="S593" s="361">
        <v>261888</v>
      </c>
      <c r="T593" s="386">
        <v>1230000</v>
      </c>
      <c r="U593" s="364">
        <f t="shared" si="20"/>
        <v>69345160</v>
      </c>
      <c r="V593" s="362"/>
      <c r="W593" s="365" t="str">
        <f>+VLOOKUP($B593,[2]Time_S4!$B:$G,6,0)</f>
        <v>Trung tâm Nghiên cứu Công nghệ truyền dẫn</v>
      </c>
      <c r="X593" s="365" t="str">
        <f>IF(W593="Phòng Kinh doanh","Trung tâm Kinh doanh - TCT CNC",+VLOOKUP($B593,[2]Time_S4!$B:$G,5,0))</f>
        <v>Khối 2 - TCT CNC</v>
      </c>
      <c r="Y593" s="366"/>
      <c r="Z593" s="366"/>
    </row>
    <row r="594" spans="1:26" ht="15.75" hidden="1">
      <c r="A594" s="367">
        <f>SUBTOTAL(3,$B$15:B594)</f>
        <v>2</v>
      </c>
      <c r="B594" s="382" t="s">
        <v>1529</v>
      </c>
      <c r="C594" s="383" t="s">
        <v>1530</v>
      </c>
      <c r="D594" s="384" t="s">
        <v>407</v>
      </c>
      <c r="E594" s="385">
        <v>21</v>
      </c>
      <c r="F594" s="384">
        <v>21</v>
      </c>
      <c r="G594" s="358">
        <v>44163248</v>
      </c>
      <c r="H594" s="359">
        <f t="shared" si="19"/>
        <v>42981032</v>
      </c>
      <c r="I594" s="360"/>
      <c r="J594" s="361"/>
      <c r="K594" s="362"/>
      <c r="L594" s="362"/>
      <c r="M594" s="361">
        <v>900736</v>
      </c>
      <c r="N594" s="361">
        <v>1970360</v>
      </c>
      <c r="O594" s="361">
        <v>168888</v>
      </c>
      <c r="P594" s="361">
        <v>337776</v>
      </c>
      <c r="Q594" s="361">
        <v>112592</v>
      </c>
      <c r="R594" s="361">
        <v>112592</v>
      </c>
      <c r="S594" s="361">
        <v>225184</v>
      </c>
      <c r="T594" s="386">
        <v>1030000</v>
      </c>
      <c r="U594" s="364">
        <f t="shared" si="20"/>
        <v>47839160</v>
      </c>
      <c r="V594" s="362"/>
      <c r="W594" s="365" t="str">
        <f>+VLOOKUP($B594,[2]Time_S4!$B:$G,6,0)</f>
        <v>Trung tâm Quang điện tử</v>
      </c>
      <c r="X594" s="365" t="str">
        <f>IF(W594="Phòng Kinh doanh","Trung tâm Kinh doanh - TCT CNC",+VLOOKUP($B594,[2]Time_S4!$B:$G,5,0))</f>
        <v>Khối 1 - TCT CNC</v>
      </c>
      <c r="Y594" s="366"/>
      <c r="Z594" s="366"/>
    </row>
    <row r="595" spans="1:26" ht="15.75" hidden="1">
      <c r="A595" s="367">
        <f>SUBTOTAL(3,$B$15:B595)</f>
        <v>2</v>
      </c>
      <c r="B595" s="382" t="s">
        <v>1531</v>
      </c>
      <c r="C595" s="383" t="s">
        <v>1532</v>
      </c>
      <c r="D595" s="384" t="s">
        <v>407</v>
      </c>
      <c r="E595" s="385">
        <v>21</v>
      </c>
      <c r="F595" s="384">
        <v>21</v>
      </c>
      <c r="G595" s="358">
        <v>30766500</v>
      </c>
      <c r="H595" s="359">
        <f t="shared" si="19"/>
        <v>29750940</v>
      </c>
      <c r="I595" s="360"/>
      <c r="J595" s="361"/>
      <c r="K595" s="362"/>
      <c r="L595" s="362"/>
      <c r="M595" s="361">
        <v>773760</v>
      </c>
      <c r="N595" s="361">
        <v>1692600</v>
      </c>
      <c r="O595" s="361">
        <v>145080</v>
      </c>
      <c r="P595" s="361">
        <v>290160</v>
      </c>
      <c r="Q595" s="361">
        <v>96720</v>
      </c>
      <c r="R595" s="361">
        <v>96720</v>
      </c>
      <c r="S595" s="361">
        <v>193440</v>
      </c>
      <c r="T595" s="386">
        <v>1030000</v>
      </c>
      <c r="U595" s="364">
        <f t="shared" si="20"/>
        <v>34069420</v>
      </c>
      <c r="V595" s="362"/>
      <c r="W595" s="365" t="str">
        <f>+VLOOKUP($B595,[2]Time_S4!$B:$G,6,0)</f>
        <v>Trung tâm Quang điện tử</v>
      </c>
      <c r="X595" s="365" t="str">
        <f>IF(W595="Phòng Kinh doanh","Trung tâm Kinh doanh - TCT CNC",+VLOOKUP($B595,[2]Time_S4!$B:$G,5,0))</f>
        <v>Khối 1 - TCT CNC</v>
      </c>
      <c r="Y595" s="366"/>
      <c r="Z595" s="366"/>
    </row>
    <row r="596" spans="1:26" ht="15.75" hidden="1">
      <c r="A596" s="367">
        <f>SUBTOTAL(3,$B$15:B596)</f>
        <v>2</v>
      </c>
      <c r="B596" s="382" t="s">
        <v>1533</v>
      </c>
      <c r="C596" s="383" t="s">
        <v>1534</v>
      </c>
      <c r="D596" s="384" t="s">
        <v>407</v>
      </c>
      <c r="E596" s="385">
        <v>21</v>
      </c>
      <c r="F596" s="384">
        <v>21</v>
      </c>
      <c r="G596" s="358">
        <v>47592687</v>
      </c>
      <c r="H596" s="359">
        <f t="shared" si="19"/>
        <v>46410471</v>
      </c>
      <c r="I596" s="360"/>
      <c r="J596" s="361"/>
      <c r="K596" s="362"/>
      <c r="L596" s="362"/>
      <c r="M596" s="361">
        <v>900736</v>
      </c>
      <c r="N596" s="361">
        <v>1970360</v>
      </c>
      <c r="O596" s="361">
        <v>168888</v>
      </c>
      <c r="P596" s="361">
        <v>337776</v>
      </c>
      <c r="Q596" s="361">
        <v>112592</v>
      </c>
      <c r="R596" s="361">
        <v>112592</v>
      </c>
      <c r="S596" s="361">
        <v>225184</v>
      </c>
      <c r="T596" s="386">
        <v>1030000</v>
      </c>
      <c r="U596" s="364">
        <f t="shared" si="20"/>
        <v>51268599</v>
      </c>
      <c r="V596" s="362"/>
      <c r="W596" s="365" t="str">
        <f>+VLOOKUP($B596,[2]Time_S4!$B:$G,6,0)</f>
        <v>Trung tâm Nghiên cứu Công nghệ chuyển mạch</v>
      </c>
      <c r="X596" s="365" t="str">
        <f>IF(W596="Phòng Kinh doanh","Trung tâm Kinh doanh - TCT CNC",+VLOOKUP($B596,[2]Time_S4!$B:$G,5,0))</f>
        <v>Khối 2 - TCT CNC</v>
      </c>
      <c r="Y596" s="366"/>
      <c r="Z596" s="366"/>
    </row>
    <row r="597" spans="1:26" ht="15.75" hidden="1">
      <c r="A597" s="367">
        <f>SUBTOTAL(3,$B$15:B597)</f>
        <v>2</v>
      </c>
      <c r="B597" s="382" t="s">
        <v>1535</v>
      </c>
      <c r="C597" s="383" t="s">
        <v>1536</v>
      </c>
      <c r="D597" s="384" t="s">
        <v>407</v>
      </c>
      <c r="E597" s="385">
        <v>21</v>
      </c>
      <c r="F597" s="384">
        <v>21</v>
      </c>
      <c r="G597" s="358">
        <v>20097134</v>
      </c>
      <c r="H597" s="359">
        <f t="shared" si="19"/>
        <v>19180526</v>
      </c>
      <c r="I597" s="360"/>
      <c r="J597" s="361"/>
      <c r="K597" s="362"/>
      <c r="L597" s="362"/>
      <c r="M597" s="361">
        <v>698368</v>
      </c>
      <c r="N597" s="361">
        <v>1527680</v>
      </c>
      <c r="O597" s="361">
        <v>130944</v>
      </c>
      <c r="P597" s="361">
        <v>261888</v>
      </c>
      <c r="Q597" s="361">
        <v>87296</v>
      </c>
      <c r="R597" s="361">
        <v>87296</v>
      </c>
      <c r="S597" s="361">
        <v>174592</v>
      </c>
      <c r="T597" s="386">
        <v>1047000</v>
      </c>
      <c r="U597" s="364">
        <f t="shared" si="20"/>
        <v>23195590</v>
      </c>
      <c r="V597" s="362"/>
      <c r="W597" s="365" t="str">
        <f>+VLOOKUP($B597,[2]Time_S4!$B:$G,6,0)</f>
        <v>Trung tâm Mô hình mô phỏng</v>
      </c>
      <c r="X597" s="365" t="str">
        <f>IF(W597="Phòng Kinh doanh","Trung tâm Kinh doanh - TCT CNC",+VLOOKUP($B597,[2]Time_S4!$B:$G,5,0))</f>
        <v>Khối 1 - TCT CNC</v>
      </c>
      <c r="Y597" s="366"/>
      <c r="Z597" s="366"/>
    </row>
    <row r="598" spans="1:26" ht="15.75" hidden="1">
      <c r="A598" s="367">
        <f>SUBTOTAL(3,$B$15:B598)</f>
        <v>2</v>
      </c>
      <c r="B598" s="382" t="s">
        <v>1537</v>
      </c>
      <c r="C598" s="383" t="s">
        <v>1538</v>
      </c>
      <c r="D598" s="384" t="s">
        <v>407</v>
      </c>
      <c r="E598" s="385">
        <v>21</v>
      </c>
      <c r="F598" s="384">
        <v>21</v>
      </c>
      <c r="G598" s="358">
        <v>34764702</v>
      </c>
      <c r="H598" s="359">
        <f t="shared" si="19"/>
        <v>33697062</v>
      </c>
      <c r="I598" s="360"/>
      <c r="J598" s="361"/>
      <c r="K598" s="362"/>
      <c r="L598" s="362"/>
      <c r="M598" s="361">
        <v>813440</v>
      </c>
      <c r="N598" s="361">
        <v>1779400</v>
      </c>
      <c r="O598" s="361">
        <v>152520</v>
      </c>
      <c r="P598" s="361">
        <v>305040</v>
      </c>
      <c r="Q598" s="361">
        <v>101680</v>
      </c>
      <c r="R598" s="361">
        <v>101680</v>
      </c>
      <c r="S598" s="361">
        <v>203360</v>
      </c>
      <c r="T598" s="386">
        <v>1030000</v>
      </c>
      <c r="U598" s="364">
        <f t="shared" si="20"/>
        <v>38184182</v>
      </c>
      <c r="V598" s="362"/>
      <c r="W598" s="365" t="str">
        <f>+VLOOKUP($B598,[2]Time_S4!$B:$G,6,0)</f>
        <v>Trung tâm Mô hình mô phỏng</v>
      </c>
      <c r="X598" s="365" t="str">
        <f>IF(W598="Phòng Kinh doanh","Trung tâm Kinh doanh - TCT CNC",+VLOOKUP($B598,[2]Time_S4!$B:$G,5,0))</f>
        <v>Khối 1 - TCT CNC</v>
      </c>
      <c r="Y598" s="366"/>
      <c r="Z598" s="366"/>
    </row>
    <row r="599" spans="1:26" ht="15.75" hidden="1">
      <c r="A599" s="367">
        <f>SUBTOTAL(3,$B$15:B599)</f>
        <v>2</v>
      </c>
      <c r="B599" s="382" t="s">
        <v>1539</v>
      </c>
      <c r="C599" s="383" t="s">
        <v>1540</v>
      </c>
      <c r="D599" s="384" t="s">
        <v>407</v>
      </c>
      <c r="E599" s="385">
        <v>21</v>
      </c>
      <c r="F599" s="384">
        <v>0</v>
      </c>
      <c r="G599" s="358">
        <v>11450470</v>
      </c>
      <c r="H599" s="359">
        <f t="shared" si="19"/>
        <v>11450470</v>
      </c>
      <c r="I599" s="360"/>
      <c r="J599" s="361"/>
      <c r="K599" s="362"/>
      <c r="L599" s="362"/>
      <c r="M599" s="361">
        <v>0</v>
      </c>
      <c r="N599" s="361">
        <v>0</v>
      </c>
      <c r="O599" s="361">
        <v>0</v>
      </c>
      <c r="P599" s="361">
        <v>0</v>
      </c>
      <c r="Q599" s="361">
        <v>0</v>
      </c>
      <c r="R599" s="361">
        <v>0</v>
      </c>
      <c r="S599" s="361">
        <v>0</v>
      </c>
      <c r="T599" s="386">
        <v>0</v>
      </c>
      <c r="U599" s="364">
        <f t="shared" si="20"/>
        <v>11450470</v>
      </c>
      <c r="V599" s="362"/>
      <c r="W599" s="365" t="str">
        <f>+VLOOKUP($B599,[2]Time_S4!$B:$G,6,0)</f>
        <v>Trung tâm Rada</v>
      </c>
      <c r="X599" s="365" t="str">
        <f>IF(W599="Phòng Kinh doanh","Trung tâm Kinh doanh - TCT CNC",+VLOOKUP($B599,[2]Time_S4!$B:$G,5,0))</f>
        <v>Khối 1 - TCT CNC</v>
      </c>
      <c r="Y599" s="366"/>
      <c r="Z599" s="366"/>
    </row>
    <row r="600" spans="1:26" ht="15.75" hidden="1">
      <c r="A600" s="367">
        <f>SUBTOTAL(3,$B$15:B600)</f>
        <v>2</v>
      </c>
      <c r="B600" s="382" t="s">
        <v>1541</v>
      </c>
      <c r="C600" s="383" t="s">
        <v>1438</v>
      </c>
      <c r="D600" s="384" t="s">
        <v>407</v>
      </c>
      <c r="E600" s="385">
        <v>21</v>
      </c>
      <c r="F600" s="384">
        <v>21</v>
      </c>
      <c r="G600" s="358">
        <v>22023744</v>
      </c>
      <c r="H600" s="359">
        <f t="shared" si="19"/>
        <v>21060264</v>
      </c>
      <c r="I600" s="360"/>
      <c r="J600" s="361"/>
      <c r="K600" s="362"/>
      <c r="L600" s="362"/>
      <c r="M600" s="361">
        <v>734080</v>
      </c>
      <c r="N600" s="361">
        <v>1605800</v>
      </c>
      <c r="O600" s="361">
        <v>137640</v>
      </c>
      <c r="P600" s="361">
        <v>275280</v>
      </c>
      <c r="Q600" s="361">
        <v>91760</v>
      </c>
      <c r="R600" s="361">
        <v>91760</v>
      </c>
      <c r="S600" s="361">
        <v>183520</v>
      </c>
      <c r="T600" s="386">
        <v>930000</v>
      </c>
      <c r="U600" s="364">
        <f t="shared" si="20"/>
        <v>25110104</v>
      </c>
      <c r="V600" s="362"/>
      <c r="W600" s="365" t="str">
        <f>+VLOOKUP($B600,[2]Time_S4!$B:$G,6,0)</f>
        <v>Hệ thống Lab dùng chung</v>
      </c>
      <c r="X600" s="365" t="str">
        <f>IF(W600="Phòng Kinh doanh","Trung tâm Kinh doanh - TCT CNC",+VLOOKUP($B600,[2]Time_S4!$B:$G,5,0))</f>
        <v>Trung tâm Quản lý chất lượng - TCT CNC</v>
      </c>
      <c r="Y600" s="366"/>
      <c r="Z600" s="366"/>
    </row>
    <row r="601" spans="1:26" ht="15.75" hidden="1">
      <c r="A601" s="367">
        <f>SUBTOTAL(3,$B$15:B601)</f>
        <v>2</v>
      </c>
      <c r="B601" s="382" t="s">
        <v>1542</v>
      </c>
      <c r="C601" s="383" t="s">
        <v>1543</v>
      </c>
      <c r="D601" s="384" t="s">
        <v>407</v>
      </c>
      <c r="E601" s="385">
        <v>21</v>
      </c>
      <c r="F601" s="384">
        <v>21</v>
      </c>
      <c r="G601" s="358">
        <v>35650853</v>
      </c>
      <c r="H601" s="359">
        <f t="shared" si="19"/>
        <v>34525925</v>
      </c>
      <c r="I601" s="360"/>
      <c r="J601" s="361"/>
      <c r="K601" s="362"/>
      <c r="L601" s="362"/>
      <c r="M601" s="361">
        <v>857088</v>
      </c>
      <c r="N601" s="361">
        <v>1874880</v>
      </c>
      <c r="O601" s="361">
        <v>160704</v>
      </c>
      <c r="P601" s="361">
        <v>321408</v>
      </c>
      <c r="Q601" s="361">
        <v>107136</v>
      </c>
      <c r="R601" s="361">
        <v>107136</v>
      </c>
      <c r="S601" s="361">
        <v>214272</v>
      </c>
      <c r="T601" s="386">
        <v>1030000</v>
      </c>
      <c r="U601" s="364">
        <f t="shared" si="20"/>
        <v>39198549</v>
      </c>
      <c r="V601" s="362"/>
      <c r="W601" s="365" t="str">
        <f>+VLOOKUP($B601,[2]Time_S4!$B:$G,6,0)</f>
        <v>Trung tâm Mô hình mô phỏng</v>
      </c>
      <c r="X601" s="365" t="str">
        <f>IF(W601="Phòng Kinh doanh","Trung tâm Kinh doanh - TCT CNC",+VLOOKUP($B601,[2]Time_S4!$B:$G,5,0))</f>
        <v>Khối 1 - TCT CNC</v>
      </c>
      <c r="Y601" s="366"/>
      <c r="Z601" s="366"/>
    </row>
    <row r="602" spans="1:26" ht="15.75" hidden="1">
      <c r="A602" s="367">
        <f>SUBTOTAL(3,$B$15:B602)</f>
        <v>2</v>
      </c>
      <c r="B602" s="382" t="s">
        <v>1544</v>
      </c>
      <c r="C602" s="383" t="s">
        <v>1545</v>
      </c>
      <c r="D602" s="384" t="s">
        <v>407</v>
      </c>
      <c r="E602" s="385">
        <v>21</v>
      </c>
      <c r="F602" s="384">
        <v>21</v>
      </c>
      <c r="G602" s="358">
        <v>44576202</v>
      </c>
      <c r="H602" s="359">
        <f t="shared" si="19"/>
        <v>43393986</v>
      </c>
      <c r="I602" s="360"/>
      <c r="J602" s="361"/>
      <c r="K602" s="362"/>
      <c r="L602" s="362"/>
      <c r="M602" s="361">
        <v>900736</v>
      </c>
      <c r="N602" s="361">
        <v>1970360</v>
      </c>
      <c r="O602" s="361">
        <v>168888</v>
      </c>
      <c r="P602" s="361">
        <v>337776</v>
      </c>
      <c r="Q602" s="361">
        <v>112592</v>
      </c>
      <c r="R602" s="361">
        <v>112592</v>
      </c>
      <c r="S602" s="361">
        <v>225184</v>
      </c>
      <c r="T602" s="386">
        <v>1030000</v>
      </c>
      <c r="U602" s="364">
        <f t="shared" si="20"/>
        <v>48252114</v>
      </c>
      <c r="V602" s="362"/>
      <c r="W602" s="365" t="str">
        <f>+VLOOKUP($B602,[2]Time_S4!$B:$G,6,0)</f>
        <v>Trung tâm Nghiên cứu thiết bị vô tuyến băng rộng</v>
      </c>
      <c r="X602" s="365" t="str">
        <f>IF(W602="Phòng Kinh doanh","Trung tâm Kinh doanh - TCT CNC",+VLOOKUP($B602,[2]Time_S4!$B:$G,5,0))</f>
        <v>Khối 2 - TCT CNC</v>
      </c>
      <c r="Y602" s="366"/>
      <c r="Z602" s="366"/>
    </row>
    <row r="603" spans="1:26" ht="15.75" hidden="1">
      <c r="A603" s="367">
        <f>SUBTOTAL(3,$B$15:B603)</f>
        <v>2</v>
      </c>
      <c r="B603" s="382" t="s">
        <v>1546</v>
      </c>
      <c r="C603" s="383" t="s">
        <v>1547</v>
      </c>
      <c r="D603" s="384" t="s">
        <v>407</v>
      </c>
      <c r="E603" s="385">
        <v>21</v>
      </c>
      <c r="F603" s="384">
        <v>21</v>
      </c>
      <c r="G603" s="358">
        <v>31750116</v>
      </c>
      <c r="H603" s="359">
        <f t="shared" si="19"/>
        <v>30682476</v>
      </c>
      <c r="I603" s="360"/>
      <c r="J603" s="361"/>
      <c r="K603" s="362"/>
      <c r="L603" s="362"/>
      <c r="M603" s="361">
        <v>813440</v>
      </c>
      <c r="N603" s="361">
        <v>1779400</v>
      </c>
      <c r="O603" s="361">
        <v>152520</v>
      </c>
      <c r="P603" s="361">
        <v>305040</v>
      </c>
      <c r="Q603" s="361">
        <v>101680</v>
      </c>
      <c r="R603" s="361">
        <v>101680</v>
      </c>
      <c r="S603" s="361">
        <v>203360</v>
      </c>
      <c r="T603" s="386">
        <v>1030000</v>
      </c>
      <c r="U603" s="364">
        <f t="shared" si="20"/>
        <v>35169596</v>
      </c>
      <c r="V603" s="362"/>
      <c r="W603" s="365" t="str">
        <f>+VLOOKUP($B603,[2]Time_S4!$B:$G,6,0)</f>
        <v>Trung tâm Kỹ thuật công nghệ - TCT CNC</v>
      </c>
      <c r="X603" s="365" t="str">
        <f>IF(W603="Phòng Kinh doanh","Trung tâm Kinh doanh - TCT CNC",+VLOOKUP($B603,[2]Time_S4!$B:$G,5,0))</f>
        <v>Khối 2 - TCT CNC</v>
      </c>
      <c r="Y603" s="366"/>
      <c r="Z603" s="366"/>
    </row>
    <row r="604" spans="1:26" ht="15.75" hidden="1">
      <c r="A604" s="367">
        <f>SUBTOTAL(3,$B$15:B604)</f>
        <v>2</v>
      </c>
      <c r="B604" s="382" t="s">
        <v>1548</v>
      </c>
      <c r="C604" s="383" t="s">
        <v>1549</v>
      </c>
      <c r="D604" s="384" t="s">
        <v>407</v>
      </c>
      <c r="E604" s="385">
        <v>21</v>
      </c>
      <c r="F604" s="384">
        <v>21</v>
      </c>
      <c r="G604" s="358">
        <v>42554274</v>
      </c>
      <c r="H604" s="359">
        <f t="shared" si="19"/>
        <v>41429346</v>
      </c>
      <c r="I604" s="360"/>
      <c r="J604" s="361"/>
      <c r="K604" s="362"/>
      <c r="L604" s="362"/>
      <c r="M604" s="361">
        <v>857088</v>
      </c>
      <c r="N604" s="361">
        <v>1874880</v>
      </c>
      <c r="O604" s="361">
        <v>160704</v>
      </c>
      <c r="P604" s="361">
        <v>321408</v>
      </c>
      <c r="Q604" s="361">
        <v>107136</v>
      </c>
      <c r="R604" s="361">
        <v>107136</v>
      </c>
      <c r="S604" s="361">
        <v>214272</v>
      </c>
      <c r="T604" s="386">
        <v>1030000</v>
      </c>
      <c r="U604" s="364">
        <f t="shared" si="20"/>
        <v>46101970</v>
      </c>
      <c r="V604" s="362"/>
      <c r="W604" s="365" t="str">
        <f>+VLOOKUP($B604,[2]Time_S4!$B:$G,6,0)</f>
        <v>Trung tâm Tác chiến điện tử</v>
      </c>
      <c r="X604" s="365" t="str">
        <f>IF(W604="Phòng Kinh doanh","Trung tâm Kinh doanh - TCT CNC",+VLOOKUP($B604,[2]Time_S4!$B:$G,5,0))</f>
        <v>Khối 1 - TCT CNC</v>
      </c>
      <c r="Y604" s="366"/>
      <c r="Z604" s="366"/>
    </row>
    <row r="605" spans="1:26" ht="15.75" hidden="1">
      <c r="A605" s="367">
        <f>SUBTOTAL(3,$B$15:B605)</f>
        <v>2</v>
      </c>
      <c r="B605" s="382" t="s">
        <v>1550</v>
      </c>
      <c r="C605" s="383" t="s">
        <v>1551</v>
      </c>
      <c r="D605" s="384" t="s">
        <v>407</v>
      </c>
      <c r="E605" s="385">
        <v>21</v>
      </c>
      <c r="F605" s="384">
        <v>21</v>
      </c>
      <c r="G605" s="358">
        <v>19304042</v>
      </c>
      <c r="H605" s="359">
        <f t="shared" si="19"/>
        <v>18387434</v>
      </c>
      <c r="I605" s="360"/>
      <c r="J605" s="361"/>
      <c r="K605" s="362"/>
      <c r="L605" s="362"/>
      <c r="M605" s="361">
        <v>698368</v>
      </c>
      <c r="N605" s="361">
        <v>1527680</v>
      </c>
      <c r="O605" s="361">
        <v>130944</v>
      </c>
      <c r="P605" s="361">
        <v>261888</v>
      </c>
      <c r="Q605" s="361">
        <v>87296</v>
      </c>
      <c r="R605" s="361">
        <v>87296</v>
      </c>
      <c r="S605" s="361">
        <v>174592</v>
      </c>
      <c r="T605" s="386">
        <v>1398000</v>
      </c>
      <c r="U605" s="364">
        <f t="shared" si="20"/>
        <v>22753498</v>
      </c>
      <c r="V605" s="362"/>
      <c r="W605" s="365" t="str">
        <f>+VLOOKUP($B605,[2]Time_S4!$B:$G,6,0)</f>
        <v>Phòng Thương hiệu và truyền thông</v>
      </c>
      <c r="X605" s="365" t="str">
        <f>IF(W605="Phòng Kinh doanh","Trung tâm Kinh doanh - TCT CNC",+VLOOKUP($B605,[2]Time_S4!$B:$G,5,0))</f>
        <v>Trung tâm Kinh doanh - TCT CNC</v>
      </c>
      <c r="Y605" s="366"/>
      <c r="Z605" s="366"/>
    </row>
    <row r="606" spans="1:26" ht="15.75" hidden="1">
      <c r="A606" s="367">
        <f>SUBTOTAL(3,$B$15:B606)</f>
        <v>2</v>
      </c>
      <c r="B606" s="382" t="s">
        <v>1552</v>
      </c>
      <c r="C606" s="383" t="s">
        <v>1553</v>
      </c>
      <c r="D606" s="384" t="s">
        <v>407</v>
      </c>
      <c r="E606" s="385">
        <v>21</v>
      </c>
      <c r="F606" s="384">
        <v>21</v>
      </c>
      <c r="G606" s="358">
        <v>36111135</v>
      </c>
      <c r="H606" s="359">
        <f t="shared" si="19"/>
        <v>35043495</v>
      </c>
      <c r="I606" s="360"/>
      <c r="J606" s="361"/>
      <c r="K606" s="362"/>
      <c r="L606" s="362"/>
      <c r="M606" s="361">
        <v>813440</v>
      </c>
      <c r="N606" s="361">
        <v>1779400</v>
      </c>
      <c r="O606" s="361">
        <v>152520</v>
      </c>
      <c r="P606" s="361">
        <v>305040</v>
      </c>
      <c r="Q606" s="361">
        <v>101680</v>
      </c>
      <c r="R606" s="361">
        <v>101680</v>
      </c>
      <c r="S606" s="361">
        <v>203360</v>
      </c>
      <c r="T606" s="386">
        <v>1030000</v>
      </c>
      <c r="U606" s="364">
        <f t="shared" si="20"/>
        <v>39530615</v>
      </c>
      <c r="V606" s="362"/>
      <c r="W606" s="365" t="str">
        <f>+VLOOKUP($B606,[2]Time_S4!$B:$G,6,0)</f>
        <v>Trung tâm Rada</v>
      </c>
      <c r="X606" s="365" t="str">
        <f>IF(W606="Phòng Kinh doanh","Trung tâm Kinh doanh - TCT CNC",+VLOOKUP($B606,[2]Time_S4!$B:$G,5,0))</f>
        <v>Khối 1 - TCT CNC</v>
      </c>
      <c r="Y606" s="366"/>
      <c r="Z606" s="366"/>
    </row>
    <row r="607" spans="1:26" ht="15.75" hidden="1">
      <c r="A607" s="367">
        <f>SUBTOTAL(3,$B$15:B607)</f>
        <v>2</v>
      </c>
      <c r="B607" s="382" t="s">
        <v>1554</v>
      </c>
      <c r="C607" s="383" t="s">
        <v>1555</v>
      </c>
      <c r="D607" s="384" t="s">
        <v>407</v>
      </c>
      <c r="E607" s="385">
        <v>21</v>
      </c>
      <c r="F607" s="384">
        <v>21</v>
      </c>
      <c r="G607" s="358">
        <v>36829476</v>
      </c>
      <c r="H607" s="359">
        <f t="shared" si="19"/>
        <v>35704548</v>
      </c>
      <c r="I607" s="360"/>
      <c r="J607" s="361"/>
      <c r="K607" s="362"/>
      <c r="L607" s="362"/>
      <c r="M607" s="361">
        <v>857088</v>
      </c>
      <c r="N607" s="361">
        <v>1874880</v>
      </c>
      <c r="O607" s="361">
        <v>160704</v>
      </c>
      <c r="P607" s="361">
        <v>321408</v>
      </c>
      <c r="Q607" s="361">
        <v>107136</v>
      </c>
      <c r="R607" s="361">
        <v>107136</v>
      </c>
      <c r="S607" s="361">
        <v>214272</v>
      </c>
      <c r="T607" s="386">
        <v>1030000</v>
      </c>
      <c r="U607" s="364">
        <f t="shared" si="20"/>
        <v>40377172</v>
      </c>
      <c r="V607" s="362"/>
      <c r="W607" s="365" t="str">
        <f>+VLOOKUP($B607,[2]Time_S4!$B:$G,6,0)</f>
        <v>Trung tâm Rada</v>
      </c>
      <c r="X607" s="365" t="str">
        <f>IF(W607="Phòng Kinh doanh","Trung tâm Kinh doanh - TCT CNC",+VLOOKUP($B607,[2]Time_S4!$B:$G,5,0))</f>
        <v>Khối 1 - TCT CNC</v>
      </c>
      <c r="Y607" s="366"/>
      <c r="Z607" s="366"/>
    </row>
    <row r="608" spans="1:26" ht="15.75" hidden="1">
      <c r="A608" s="367">
        <f>SUBTOTAL(3,$B$15:B608)</f>
        <v>2</v>
      </c>
      <c r="B608" s="382" t="s">
        <v>1556</v>
      </c>
      <c r="C608" s="383" t="s">
        <v>1557</v>
      </c>
      <c r="D608" s="384" t="s">
        <v>407</v>
      </c>
      <c r="E608" s="385">
        <v>21</v>
      </c>
      <c r="F608" s="384">
        <v>21</v>
      </c>
      <c r="G608" s="358">
        <v>41010023</v>
      </c>
      <c r="H608" s="359">
        <f t="shared" si="19"/>
        <v>39885095</v>
      </c>
      <c r="I608" s="360"/>
      <c r="J608" s="361"/>
      <c r="K608" s="362"/>
      <c r="L608" s="362"/>
      <c r="M608" s="361">
        <v>857088</v>
      </c>
      <c r="N608" s="361">
        <v>1874880</v>
      </c>
      <c r="O608" s="361">
        <v>160704</v>
      </c>
      <c r="P608" s="361">
        <v>321408</v>
      </c>
      <c r="Q608" s="361">
        <v>107136</v>
      </c>
      <c r="R608" s="361">
        <v>107136</v>
      </c>
      <c r="S608" s="361">
        <v>214272</v>
      </c>
      <c r="T608" s="386">
        <v>1030000</v>
      </c>
      <c r="U608" s="364">
        <f t="shared" si="20"/>
        <v>44557719</v>
      </c>
      <c r="V608" s="362"/>
      <c r="W608" s="365" t="str">
        <f>+VLOOKUP($B608,[2]Time_S4!$B:$G,6,0)</f>
        <v>Trung tâm Nghiên cứu thiết bị vô tuyến băng rộng</v>
      </c>
      <c r="X608" s="365" t="str">
        <f>IF(W608="Phòng Kinh doanh","Trung tâm Kinh doanh - TCT CNC",+VLOOKUP($B608,[2]Time_S4!$B:$G,5,0))</f>
        <v>Khối 2 - TCT CNC</v>
      </c>
      <c r="Y608" s="366"/>
      <c r="Z608" s="366"/>
    </row>
    <row r="609" spans="1:26" ht="15.75" hidden="1">
      <c r="A609" s="367">
        <f>SUBTOTAL(3,$B$15:B609)</f>
        <v>2</v>
      </c>
      <c r="B609" s="382" t="s">
        <v>1558</v>
      </c>
      <c r="C609" s="383" t="s">
        <v>1559</v>
      </c>
      <c r="D609" s="384" t="s">
        <v>407</v>
      </c>
      <c r="E609" s="385">
        <v>21</v>
      </c>
      <c r="F609" s="384">
        <v>21</v>
      </c>
      <c r="G609" s="358">
        <v>55230072</v>
      </c>
      <c r="H609" s="359">
        <f t="shared" si="19"/>
        <v>53985360</v>
      </c>
      <c r="I609" s="360"/>
      <c r="J609" s="361"/>
      <c r="K609" s="362"/>
      <c r="L609" s="362"/>
      <c r="M609" s="361">
        <v>948352</v>
      </c>
      <c r="N609" s="361">
        <v>2074520</v>
      </c>
      <c r="O609" s="361">
        <v>177816</v>
      </c>
      <c r="P609" s="361">
        <v>355632</v>
      </c>
      <c r="Q609" s="361">
        <v>118544</v>
      </c>
      <c r="R609" s="361">
        <v>118544</v>
      </c>
      <c r="S609" s="361">
        <v>237088</v>
      </c>
      <c r="T609" s="386">
        <v>1130000</v>
      </c>
      <c r="U609" s="364">
        <f t="shared" si="20"/>
        <v>59145856</v>
      </c>
      <c r="V609" s="362"/>
      <c r="W609" s="365" t="str">
        <f>+VLOOKUP($B609,[2]Time_S4!$B:$G,6,0)</f>
        <v>Trung tâm Nghiên cứu Công nghệ chuyển mạch</v>
      </c>
      <c r="X609" s="365" t="str">
        <f>IF(W609="Phòng Kinh doanh","Trung tâm Kinh doanh - TCT CNC",+VLOOKUP($B609,[2]Time_S4!$B:$G,5,0))</f>
        <v>Khối 2 - TCT CNC</v>
      </c>
      <c r="Y609" s="366"/>
      <c r="Z609" s="366"/>
    </row>
    <row r="610" spans="1:26" ht="15.75" hidden="1">
      <c r="A610" s="367">
        <f>SUBTOTAL(3,$B$15:B610)</f>
        <v>2</v>
      </c>
      <c r="B610" s="382" t="s">
        <v>1560</v>
      </c>
      <c r="C610" s="383" t="s">
        <v>1561</v>
      </c>
      <c r="D610" s="384" t="s">
        <v>407</v>
      </c>
      <c r="E610" s="385">
        <v>21</v>
      </c>
      <c r="F610" s="384">
        <v>21</v>
      </c>
      <c r="G610" s="358">
        <v>40278920</v>
      </c>
      <c r="H610" s="359">
        <f t="shared" si="19"/>
        <v>39153992</v>
      </c>
      <c r="I610" s="360"/>
      <c r="J610" s="361"/>
      <c r="K610" s="362"/>
      <c r="L610" s="362"/>
      <c r="M610" s="361">
        <v>857088</v>
      </c>
      <c r="N610" s="361">
        <v>1874880</v>
      </c>
      <c r="O610" s="361">
        <v>160704</v>
      </c>
      <c r="P610" s="361">
        <v>321408</v>
      </c>
      <c r="Q610" s="361">
        <v>107136</v>
      </c>
      <c r="R610" s="361">
        <v>107136</v>
      </c>
      <c r="S610" s="361">
        <v>214272</v>
      </c>
      <c r="T610" s="386">
        <v>1030000</v>
      </c>
      <c r="U610" s="364">
        <f t="shared" si="20"/>
        <v>43826616</v>
      </c>
      <c r="V610" s="362"/>
      <c r="W610" s="365" t="str">
        <f>+VLOOKUP($B610,[2]Time_S4!$B:$G,6,0)</f>
        <v>Trung tâm Camera</v>
      </c>
      <c r="X610" s="365" t="str">
        <f>IF(W610="Phòng Kinh doanh","Trung tâm Kinh doanh - TCT CNC",+VLOOKUP($B610,[2]Time_S4!$B:$G,5,0))</f>
        <v>Khối 3 - TCT CNC</v>
      </c>
      <c r="Y610" s="366"/>
      <c r="Z610" s="366"/>
    </row>
    <row r="611" spans="1:26" ht="15.75" hidden="1">
      <c r="A611" s="367">
        <f>SUBTOTAL(3,$B$15:B611)</f>
        <v>2</v>
      </c>
      <c r="B611" s="382" t="s">
        <v>1562</v>
      </c>
      <c r="C611" s="383" t="s">
        <v>1563</v>
      </c>
      <c r="D611" s="384" t="s">
        <v>407</v>
      </c>
      <c r="E611" s="385">
        <v>21</v>
      </c>
      <c r="F611" s="384">
        <v>21</v>
      </c>
      <c r="G611" s="358">
        <v>26960570</v>
      </c>
      <c r="H611" s="359">
        <f t="shared" si="19"/>
        <v>25945010</v>
      </c>
      <c r="I611" s="360"/>
      <c r="J611" s="361"/>
      <c r="K611" s="362"/>
      <c r="L611" s="362"/>
      <c r="M611" s="361">
        <v>773760</v>
      </c>
      <c r="N611" s="361">
        <v>1692600</v>
      </c>
      <c r="O611" s="361">
        <v>145080</v>
      </c>
      <c r="P611" s="361">
        <v>290160</v>
      </c>
      <c r="Q611" s="361">
        <v>96720</v>
      </c>
      <c r="R611" s="361">
        <v>96720</v>
      </c>
      <c r="S611" s="361">
        <v>193440</v>
      </c>
      <c r="T611" s="386">
        <v>1047000</v>
      </c>
      <c r="U611" s="364">
        <f t="shared" si="20"/>
        <v>30280490</v>
      </c>
      <c r="V611" s="362"/>
      <c r="W611" s="365" t="str">
        <f>+VLOOKUP($B611,[2]Time_S4!$B:$G,6,0)</f>
        <v>Trung tâm Thông tin Quân sự</v>
      </c>
      <c r="X611" s="365" t="str">
        <f>IF(W611="Phòng Kinh doanh","Trung tâm Kinh doanh - TCT CNC",+VLOOKUP($B611,[2]Time_S4!$B:$G,5,0))</f>
        <v>Khối 1 - TCT CNC</v>
      </c>
      <c r="Y611" s="366"/>
      <c r="Z611" s="366"/>
    </row>
    <row r="612" spans="1:26" ht="15.75" hidden="1">
      <c r="A612" s="367">
        <f>SUBTOTAL(3,$B$15:B612)</f>
        <v>2</v>
      </c>
      <c r="B612" s="382" t="s">
        <v>1564</v>
      </c>
      <c r="C612" s="383" t="s">
        <v>1565</v>
      </c>
      <c r="D612" s="384" t="s">
        <v>407</v>
      </c>
      <c r="E612" s="385">
        <v>21</v>
      </c>
      <c r="F612" s="384">
        <v>21</v>
      </c>
      <c r="G612" s="358">
        <v>41010023</v>
      </c>
      <c r="H612" s="359">
        <f t="shared" si="19"/>
        <v>39885095</v>
      </c>
      <c r="I612" s="360"/>
      <c r="J612" s="361"/>
      <c r="K612" s="362"/>
      <c r="L612" s="362"/>
      <c r="M612" s="361">
        <v>857088</v>
      </c>
      <c r="N612" s="361">
        <v>1874880</v>
      </c>
      <c r="O612" s="361">
        <v>160704</v>
      </c>
      <c r="P612" s="361">
        <v>321408</v>
      </c>
      <c r="Q612" s="361">
        <v>107136</v>
      </c>
      <c r="R612" s="361">
        <v>107136</v>
      </c>
      <c r="S612" s="361">
        <v>214272</v>
      </c>
      <c r="T612" s="386">
        <v>1030000</v>
      </c>
      <c r="U612" s="364">
        <f t="shared" si="20"/>
        <v>44557719</v>
      </c>
      <c r="V612" s="362"/>
      <c r="W612" s="365" t="str">
        <f>+VLOOKUP($B612,[2]Time_S4!$B:$G,6,0)</f>
        <v>Trung tâm Khí cụ bay</v>
      </c>
      <c r="X612" s="365" t="str">
        <f>IF(W612="Phòng Kinh doanh","Trung tâm Kinh doanh - TCT CNC",+VLOOKUP($B612,[2]Time_S4!$B:$G,5,0))</f>
        <v>Khối 1 - TCT CNC</v>
      </c>
      <c r="Y612" s="366"/>
      <c r="Z612" s="366"/>
    </row>
    <row r="613" spans="1:26" ht="15.75" hidden="1">
      <c r="A613" s="367">
        <f>SUBTOTAL(3,$B$15:B613)</f>
        <v>2</v>
      </c>
      <c r="B613" s="382" t="s">
        <v>1566</v>
      </c>
      <c r="C613" s="383" t="s">
        <v>1567</v>
      </c>
      <c r="D613" s="384" t="s">
        <v>407</v>
      </c>
      <c r="E613" s="385">
        <v>21</v>
      </c>
      <c r="F613" s="384">
        <v>21</v>
      </c>
      <c r="G613" s="358">
        <v>40278920</v>
      </c>
      <c r="H613" s="359">
        <f t="shared" si="19"/>
        <v>39153992</v>
      </c>
      <c r="I613" s="360"/>
      <c r="J613" s="361"/>
      <c r="K613" s="362"/>
      <c r="L613" s="362"/>
      <c r="M613" s="361">
        <v>857088</v>
      </c>
      <c r="N613" s="361">
        <v>1874880</v>
      </c>
      <c r="O613" s="361">
        <v>160704</v>
      </c>
      <c r="P613" s="361">
        <v>321408</v>
      </c>
      <c r="Q613" s="361">
        <v>107136</v>
      </c>
      <c r="R613" s="361">
        <v>107136</v>
      </c>
      <c r="S613" s="361">
        <v>214272</v>
      </c>
      <c r="T613" s="386">
        <v>1030000</v>
      </c>
      <c r="U613" s="364">
        <f t="shared" si="20"/>
        <v>43826616</v>
      </c>
      <c r="V613" s="362"/>
      <c r="W613" s="365" t="str">
        <f>+VLOOKUP($B613,[2]Time_S4!$B:$G,6,0)</f>
        <v>Trung tâm Nghiên cứu Công nghệ truyền dẫn</v>
      </c>
      <c r="X613" s="365" t="str">
        <f>IF(W613="Phòng Kinh doanh","Trung tâm Kinh doanh - TCT CNC",+VLOOKUP($B613,[2]Time_S4!$B:$G,5,0))</f>
        <v>Khối 2 - TCT CNC</v>
      </c>
      <c r="Y613" s="366"/>
      <c r="Z613" s="366"/>
    </row>
    <row r="614" spans="1:26" ht="15.75" hidden="1">
      <c r="A614" s="367">
        <f>SUBTOTAL(3,$B$15:B614)</f>
        <v>2</v>
      </c>
      <c r="B614" s="382" t="s">
        <v>1568</v>
      </c>
      <c r="C614" s="383" t="s">
        <v>1569</v>
      </c>
      <c r="D614" s="384" t="s">
        <v>407</v>
      </c>
      <c r="E614" s="385">
        <v>21</v>
      </c>
      <c r="F614" s="384">
        <v>21</v>
      </c>
      <c r="G614" s="358">
        <v>41010023</v>
      </c>
      <c r="H614" s="359">
        <f t="shared" si="19"/>
        <v>39885095</v>
      </c>
      <c r="I614" s="360"/>
      <c r="J614" s="361"/>
      <c r="K614" s="362"/>
      <c r="L614" s="362"/>
      <c r="M614" s="361">
        <v>857088</v>
      </c>
      <c r="N614" s="361">
        <v>1874880</v>
      </c>
      <c r="O614" s="361">
        <v>160704</v>
      </c>
      <c r="P614" s="361">
        <v>321408</v>
      </c>
      <c r="Q614" s="361">
        <v>107136</v>
      </c>
      <c r="R614" s="361">
        <v>107136</v>
      </c>
      <c r="S614" s="361">
        <v>214272</v>
      </c>
      <c r="T614" s="386">
        <v>1030000</v>
      </c>
      <c r="U614" s="364">
        <f t="shared" si="20"/>
        <v>44557719</v>
      </c>
      <c r="V614" s="362"/>
      <c r="W614" s="365" t="str">
        <f>+VLOOKUP($B614,[2]Time_S4!$B:$G,6,0)</f>
        <v>Trung tâm Mô hình mô phỏng</v>
      </c>
      <c r="X614" s="365" t="str">
        <f>IF(W614="Phòng Kinh doanh","Trung tâm Kinh doanh - TCT CNC",+VLOOKUP($B614,[2]Time_S4!$B:$G,5,0))</f>
        <v>Khối 1 - TCT CNC</v>
      </c>
      <c r="Y614" s="366"/>
      <c r="Z614" s="366"/>
    </row>
    <row r="615" spans="1:26" ht="15.75" hidden="1">
      <c r="A615" s="367">
        <f>SUBTOTAL(3,$B$15:B615)</f>
        <v>2</v>
      </c>
      <c r="B615" s="382" t="s">
        <v>1570</v>
      </c>
      <c r="C615" s="383" t="s">
        <v>1571</v>
      </c>
      <c r="D615" s="384" t="s">
        <v>407</v>
      </c>
      <c r="E615" s="385">
        <v>21</v>
      </c>
      <c r="F615" s="384">
        <v>21</v>
      </c>
      <c r="G615" s="358">
        <v>44993715</v>
      </c>
      <c r="H615" s="359">
        <f t="shared" si="19"/>
        <v>43811499</v>
      </c>
      <c r="I615" s="360"/>
      <c r="J615" s="361"/>
      <c r="K615" s="362"/>
      <c r="L615" s="362"/>
      <c r="M615" s="361">
        <v>900736</v>
      </c>
      <c r="N615" s="361">
        <v>1970360</v>
      </c>
      <c r="O615" s="361">
        <v>168888</v>
      </c>
      <c r="P615" s="361">
        <v>337776</v>
      </c>
      <c r="Q615" s="361">
        <v>112592</v>
      </c>
      <c r="R615" s="361">
        <v>112592</v>
      </c>
      <c r="S615" s="361">
        <v>225184</v>
      </c>
      <c r="T615" s="386">
        <v>1030000</v>
      </c>
      <c r="U615" s="364">
        <f t="shared" si="20"/>
        <v>48669627</v>
      </c>
      <c r="V615" s="362"/>
      <c r="W615" s="365" t="str">
        <f>+VLOOKUP($B615,[2]Time_S4!$B:$G,6,0)</f>
        <v>Trung tâm Mô hình mô phỏng</v>
      </c>
      <c r="X615" s="365" t="str">
        <f>IF(W615="Phòng Kinh doanh","Trung tâm Kinh doanh - TCT CNC",+VLOOKUP($B615,[2]Time_S4!$B:$G,5,0))</f>
        <v>Khối 1 - TCT CNC</v>
      </c>
      <c r="Y615" s="366"/>
      <c r="Z615" s="366"/>
    </row>
    <row r="616" spans="1:26" ht="15.75" hidden="1">
      <c r="A616" s="367">
        <f>SUBTOTAL(3,$B$15:B616)</f>
        <v>2</v>
      </c>
      <c r="B616" s="382" t="s">
        <v>1572</v>
      </c>
      <c r="C616" s="383" t="s">
        <v>1573</v>
      </c>
      <c r="D616" s="384" t="s">
        <v>407</v>
      </c>
      <c r="E616" s="385">
        <v>21</v>
      </c>
      <c r="F616" s="384">
        <v>21</v>
      </c>
      <c r="G616" s="358">
        <v>19070672</v>
      </c>
      <c r="H616" s="359">
        <f t="shared" si="19"/>
        <v>18200936</v>
      </c>
      <c r="I616" s="360"/>
      <c r="J616" s="361"/>
      <c r="K616" s="362"/>
      <c r="L616" s="362"/>
      <c r="M616" s="361">
        <v>662656</v>
      </c>
      <c r="N616" s="361">
        <v>1449560</v>
      </c>
      <c r="O616" s="361">
        <v>124248</v>
      </c>
      <c r="P616" s="361">
        <v>248496</v>
      </c>
      <c r="Q616" s="361">
        <v>82832</v>
      </c>
      <c r="R616" s="361">
        <v>82832</v>
      </c>
      <c r="S616" s="361">
        <v>165664</v>
      </c>
      <c r="T616" s="386">
        <v>1047000</v>
      </c>
      <c r="U616" s="364">
        <f t="shared" si="20"/>
        <v>22064224</v>
      </c>
      <c r="V616" s="362"/>
      <c r="W616" s="365" t="str">
        <f>+VLOOKUP($B616,[2]Time_S4!$B:$G,6,0)</f>
        <v>Trung tâm Nghiên cứu Công nghệ truyền dẫn</v>
      </c>
      <c r="X616" s="365" t="str">
        <f>IF(W616="Phòng Kinh doanh","Trung tâm Kinh doanh - TCT CNC",+VLOOKUP($B616,[2]Time_S4!$B:$G,5,0))</f>
        <v>Khối 2 - TCT CNC</v>
      </c>
      <c r="Y616" s="366"/>
      <c r="Z616" s="366"/>
    </row>
    <row r="617" spans="1:26" ht="15.75" hidden="1">
      <c r="A617" s="367">
        <f>SUBTOTAL(3,$B$15:B617)</f>
        <v>2</v>
      </c>
      <c r="B617" s="382" t="s">
        <v>1574</v>
      </c>
      <c r="C617" s="383" t="s">
        <v>1575</v>
      </c>
      <c r="D617" s="384" t="s">
        <v>407</v>
      </c>
      <c r="E617" s="385">
        <v>21</v>
      </c>
      <c r="F617" s="384">
        <v>21</v>
      </c>
      <c r="G617" s="358">
        <v>26024357</v>
      </c>
      <c r="H617" s="359">
        <f t="shared" si="19"/>
        <v>25060877</v>
      </c>
      <c r="I617" s="360"/>
      <c r="J617" s="361"/>
      <c r="K617" s="362"/>
      <c r="L617" s="362"/>
      <c r="M617" s="361">
        <v>734080</v>
      </c>
      <c r="N617" s="361">
        <v>1605800</v>
      </c>
      <c r="O617" s="361">
        <v>137640</v>
      </c>
      <c r="P617" s="361">
        <v>275280</v>
      </c>
      <c r="Q617" s="361">
        <v>91760</v>
      </c>
      <c r="R617" s="361">
        <v>91760</v>
      </c>
      <c r="S617" s="361">
        <v>183520</v>
      </c>
      <c r="T617" s="386">
        <v>1030000</v>
      </c>
      <c r="U617" s="364">
        <f t="shared" si="20"/>
        <v>29210717</v>
      </c>
      <c r="V617" s="362"/>
      <c r="W617" s="365" t="str">
        <f>+VLOOKUP($B617,[2]Time_S4!$B:$G,6,0)</f>
        <v>Trung tâm Mô hình mô phỏng</v>
      </c>
      <c r="X617" s="365" t="str">
        <f>IF(W617="Phòng Kinh doanh","Trung tâm Kinh doanh - TCT CNC",+VLOOKUP($B617,[2]Time_S4!$B:$G,5,0))</f>
        <v>Khối 1 - TCT CNC</v>
      </c>
      <c r="Y617" s="366"/>
      <c r="Z617" s="366"/>
    </row>
    <row r="618" spans="1:26" ht="15.75" hidden="1">
      <c r="A618" s="367">
        <f>SUBTOTAL(3,$B$15:B618)</f>
        <v>2</v>
      </c>
      <c r="B618" s="382" t="s">
        <v>1576</v>
      </c>
      <c r="C618" s="383" t="s">
        <v>1577</v>
      </c>
      <c r="D618" s="384" t="s">
        <v>407</v>
      </c>
      <c r="E618" s="385">
        <v>21</v>
      </c>
      <c r="F618" s="384">
        <v>21</v>
      </c>
      <c r="G618" s="358">
        <v>35650853</v>
      </c>
      <c r="H618" s="359">
        <f t="shared" si="19"/>
        <v>34525925</v>
      </c>
      <c r="I618" s="360"/>
      <c r="J618" s="361"/>
      <c r="K618" s="362"/>
      <c r="L618" s="362"/>
      <c r="M618" s="361">
        <v>857088</v>
      </c>
      <c r="N618" s="361">
        <v>1874880</v>
      </c>
      <c r="O618" s="361">
        <v>160704</v>
      </c>
      <c r="P618" s="361">
        <v>321408</v>
      </c>
      <c r="Q618" s="361">
        <v>107136</v>
      </c>
      <c r="R618" s="361">
        <v>107136</v>
      </c>
      <c r="S618" s="361">
        <v>214272</v>
      </c>
      <c r="T618" s="386">
        <v>1230000</v>
      </c>
      <c r="U618" s="364">
        <f t="shared" si="20"/>
        <v>39398549</v>
      </c>
      <c r="V618" s="362"/>
      <c r="W618" s="365" t="str">
        <f>+VLOOKUP($B618,[2]Time_S4!$B:$G,6,0)</f>
        <v>Trung tâm Nghiên cứu Công nghệ chuyển mạch</v>
      </c>
      <c r="X618" s="365" t="str">
        <f>IF(W618="Phòng Kinh doanh","Trung tâm Kinh doanh - TCT CNC",+VLOOKUP($B618,[2]Time_S4!$B:$G,5,0))</f>
        <v>Khối 2 - TCT CNC</v>
      </c>
      <c r="Y618" s="366"/>
      <c r="Z618" s="366"/>
    </row>
    <row r="619" spans="1:26" ht="15.75" hidden="1">
      <c r="A619" s="367">
        <f>SUBTOTAL(3,$B$15:B619)</f>
        <v>2</v>
      </c>
      <c r="B619" s="382" t="s">
        <v>1578</v>
      </c>
      <c r="C619" s="383" t="s">
        <v>1579</v>
      </c>
      <c r="D619" s="384" t="s">
        <v>407</v>
      </c>
      <c r="E619" s="385">
        <v>21</v>
      </c>
      <c r="F619" s="384">
        <v>21</v>
      </c>
      <c r="G619" s="358">
        <v>46954617</v>
      </c>
      <c r="H619" s="359">
        <f t="shared" si="19"/>
        <v>45709905</v>
      </c>
      <c r="I619" s="360"/>
      <c r="J619" s="361"/>
      <c r="K619" s="362"/>
      <c r="L619" s="362"/>
      <c r="M619" s="361">
        <v>948352</v>
      </c>
      <c r="N619" s="361">
        <v>2074520</v>
      </c>
      <c r="O619" s="361">
        <v>177816</v>
      </c>
      <c r="P619" s="361">
        <v>355632</v>
      </c>
      <c r="Q619" s="361">
        <v>118544</v>
      </c>
      <c r="R619" s="361">
        <v>118544</v>
      </c>
      <c r="S619" s="361">
        <v>237088</v>
      </c>
      <c r="T619" s="386">
        <v>1030000</v>
      </c>
      <c r="U619" s="364">
        <f t="shared" si="20"/>
        <v>50770401</v>
      </c>
      <c r="V619" s="362"/>
      <c r="W619" s="365" t="str">
        <f>+VLOOKUP($B619,[2]Time_S4!$B:$G,6,0)</f>
        <v>Trung tâm Phát triển nền tảng thanh toán</v>
      </c>
      <c r="X619" s="365" t="str">
        <f>IF(W619="Phòng Kinh doanh","Trung tâm Kinh doanh - TCT CNC",+VLOOKUP($B619,[2]Time_S4!$B:$G,5,0))</f>
        <v>Khối 2 - TCT CNC</v>
      </c>
      <c r="Y619" s="366"/>
      <c r="Z619" s="366"/>
    </row>
    <row r="620" spans="1:26" ht="15.75" hidden="1">
      <c r="A620" s="367">
        <f>SUBTOTAL(3,$B$15:B620)</f>
        <v>2</v>
      </c>
      <c r="B620" s="382" t="s">
        <v>1580</v>
      </c>
      <c r="C620" s="383" t="s">
        <v>1038</v>
      </c>
      <c r="D620" s="384" t="s">
        <v>407</v>
      </c>
      <c r="E620" s="385">
        <v>21</v>
      </c>
      <c r="F620" s="384">
        <v>21</v>
      </c>
      <c r="G620" s="358">
        <v>35459291</v>
      </c>
      <c r="H620" s="359">
        <f t="shared" si="19"/>
        <v>34391651</v>
      </c>
      <c r="I620" s="360"/>
      <c r="J620" s="361"/>
      <c r="K620" s="362"/>
      <c r="L620" s="362"/>
      <c r="M620" s="361">
        <v>813440</v>
      </c>
      <c r="N620" s="361">
        <v>1779400</v>
      </c>
      <c r="O620" s="361">
        <v>152520</v>
      </c>
      <c r="P620" s="361">
        <v>305040</v>
      </c>
      <c r="Q620" s="361">
        <v>101680</v>
      </c>
      <c r="R620" s="361">
        <v>101680</v>
      </c>
      <c r="S620" s="361">
        <v>203360</v>
      </c>
      <c r="T620" s="386">
        <v>1130000</v>
      </c>
      <c r="U620" s="364">
        <f t="shared" si="20"/>
        <v>38978771</v>
      </c>
      <c r="V620" s="362"/>
      <c r="W620" s="365" t="str">
        <f>+VLOOKUP($B620,[2]Time_S4!$B:$G,6,0)</f>
        <v>Trung tâm Phát triển nền tảng thanh toán</v>
      </c>
      <c r="X620" s="365" t="str">
        <f>IF(W620="Phòng Kinh doanh","Trung tâm Kinh doanh - TCT CNC",+VLOOKUP($B620,[2]Time_S4!$B:$G,5,0))</f>
        <v>Khối 2 - TCT CNC</v>
      </c>
      <c r="Y620" s="366"/>
      <c r="Z620" s="366"/>
    </row>
    <row r="621" spans="1:26" ht="15.75" hidden="1">
      <c r="A621" s="367">
        <f>SUBTOTAL(3,$B$15:B621)</f>
        <v>2</v>
      </c>
      <c r="B621" s="382" t="s">
        <v>1581</v>
      </c>
      <c r="C621" s="383" t="s">
        <v>1582</v>
      </c>
      <c r="D621" s="384" t="s">
        <v>407</v>
      </c>
      <c r="E621" s="385">
        <v>21</v>
      </c>
      <c r="F621" s="384">
        <v>20</v>
      </c>
      <c r="G621" s="358">
        <v>28976654</v>
      </c>
      <c r="H621" s="359">
        <f t="shared" si="19"/>
        <v>27961094</v>
      </c>
      <c r="I621" s="360"/>
      <c r="J621" s="361"/>
      <c r="K621" s="362"/>
      <c r="L621" s="362"/>
      <c r="M621" s="361">
        <v>773760</v>
      </c>
      <c r="N621" s="361">
        <v>1692600</v>
      </c>
      <c r="O621" s="361">
        <v>145080</v>
      </c>
      <c r="P621" s="361">
        <v>290160</v>
      </c>
      <c r="Q621" s="361">
        <v>96720</v>
      </c>
      <c r="R621" s="361">
        <v>96720</v>
      </c>
      <c r="S621" s="361">
        <v>193440</v>
      </c>
      <c r="T621" s="386">
        <v>980952</v>
      </c>
      <c r="U621" s="364">
        <f t="shared" si="20"/>
        <v>32230526</v>
      </c>
      <c r="V621" s="362"/>
      <c r="W621" s="365" t="str">
        <f>+VLOOKUP($B621,[2]Time_S4!$B:$G,6,0)</f>
        <v>Trung tâm Quang điện tử</v>
      </c>
      <c r="X621" s="365" t="str">
        <f>IF(W621="Phòng Kinh doanh","Trung tâm Kinh doanh - TCT CNC",+VLOOKUP($B621,[2]Time_S4!$B:$G,5,0))</f>
        <v>Khối 1 - TCT CNC</v>
      </c>
      <c r="Y621" s="366"/>
      <c r="Z621" s="366"/>
    </row>
    <row r="622" spans="1:26" ht="15.75" hidden="1">
      <c r="A622" s="367">
        <f>SUBTOTAL(3,$B$15:B622)</f>
        <v>2</v>
      </c>
      <c r="B622" s="382" t="s">
        <v>1583</v>
      </c>
      <c r="C622" s="383" t="s">
        <v>1584</v>
      </c>
      <c r="D622" s="384" t="s">
        <v>407</v>
      </c>
      <c r="E622" s="385">
        <v>21</v>
      </c>
      <c r="F622" s="384">
        <v>21</v>
      </c>
      <c r="G622" s="358">
        <v>37910634</v>
      </c>
      <c r="H622" s="359">
        <f t="shared" si="19"/>
        <v>36785706</v>
      </c>
      <c r="I622" s="360"/>
      <c r="J622" s="361"/>
      <c r="K622" s="362"/>
      <c r="L622" s="362"/>
      <c r="M622" s="361">
        <v>857088</v>
      </c>
      <c r="N622" s="361">
        <v>1874880</v>
      </c>
      <c r="O622" s="361">
        <v>160704</v>
      </c>
      <c r="P622" s="361">
        <v>321408</v>
      </c>
      <c r="Q622" s="361">
        <v>107136</v>
      </c>
      <c r="R622" s="361">
        <v>107136</v>
      </c>
      <c r="S622" s="361">
        <v>214272</v>
      </c>
      <c r="T622" s="386">
        <v>1030000</v>
      </c>
      <c r="U622" s="364">
        <f t="shared" si="20"/>
        <v>41458330</v>
      </c>
      <c r="V622" s="362"/>
      <c r="W622" s="365" t="str">
        <f>+VLOOKUP($B622,[2]Time_S4!$B:$G,6,0)</f>
        <v>Trung tâm Nghiên cứu Công nghệ truyền dẫn</v>
      </c>
      <c r="X622" s="365" t="str">
        <f>IF(W622="Phòng Kinh doanh","Trung tâm Kinh doanh - TCT CNC",+VLOOKUP($B622,[2]Time_S4!$B:$G,5,0))</f>
        <v>Khối 2 - TCT CNC</v>
      </c>
      <c r="Y622" s="366"/>
      <c r="Z622" s="366"/>
    </row>
    <row r="623" spans="1:26" ht="15.75" hidden="1">
      <c r="A623" s="367">
        <f>SUBTOTAL(3,$B$15:B623)</f>
        <v>2</v>
      </c>
      <c r="B623" s="382" t="s">
        <v>1585</v>
      </c>
      <c r="C623" s="383" t="s">
        <v>1586</v>
      </c>
      <c r="D623" s="384" t="s">
        <v>407</v>
      </c>
      <c r="E623" s="385">
        <v>21</v>
      </c>
      <c r="F623" s="384">
        <v>21</v>
      </c>
      <c r="G623" s="358">
        <v>47147826</v>
      </c>
      <c r="H623" s="359">
        <f t="shared" si="19"/>
        <v>45965610</v>
      </c>
      <c r="I623" s="360"/>
      <c r="J623" s="361"/>
      <c r="K623" s="362"/>
      <c r="L623" s="362"/>
      <c r="M623" s="361">
        <v>900736</v>
      </c>
      <c r="N623" s="361">
        <v>1970360</v>
      </c>
      <c r="O623" s="361">
        <v>168888</v>
      </c>
      <c r="P623" s="361">
        <v>337776</v>
      </c>
      <c r="Q623" s="361">
        <v>112592</v>
      </c>
      <c r="R623" s="361">
        <v>112592</v>
      </c>
      <c r="S623" s="361">
        <v>225184</v>
      </c>
      <c r="T623" s="386">
        <v>1030000</v>
      </c>
      <c r="U623" s="364">
        <f t="shared" si="20"/>
        <v>50823738</v>
      </c>
      <c r="V623" s="362"/>
      <c r="W623" s="365" t="str">
        <f>+VLOOKUP($B623,[2]Time_S4!$B:$G,6,0)</f>
        <v>Trung tâm Mô hình mô phỏng</v>
      </c>
      <c r="X623" s="365" t="str">
        <f>IF(W623="Phòng Kinh doanh","Trung tâm Kinh doanh - TCT CNC",+VLOOKUP($B623,[2]Time_S4!$B:$G,5,0))</f>
        <v>Khối 1 - TCT CNC</v>
      </c>
      <c r="Y623" s="366"/>
      <c r="Z623" s="366"/>
    </row>
    <row r="624" spans="1:26" ht="15.75" hidden="1">
      <c r="A624" s="367">
        <f>SUBTOTAL(3,$B$15:B624)</f>
        <v>2</v>
      </c>
      <c r="B624" s="382" t="s">
        <v>1587</v>
      </c>
      <c r="C624" s="383" t="s">
        <v>1588</v>
      </c>
      <c r="D624" s="384" t="s">
        <v>407</v>
      </c>
      <c r="E624" s="385">
        <v>21</v>
      </c>
      <c r="F624" s="384">
        <v>21</v>
      </c>
      <c r="G624" s="358">
        <v>27139244</v>
      </c>
      <c r="H624" s="359">
        <f t="shared" si="19"/>
        <v>26123684</v>
      </c>
      <c r="I624" s="360"/>
      <c r="J624" s="361"/>
      <c r="K624" s="362"/>
      <c r="L624" s="362"/>
      <c r="M624" s="361">
        <v>773760</v>
      </c>
      <c r="N624" s="361">
        <v>1692600</v>
      </c>
      <c r="O624" s="361">
        <v>145080</v>
      </c>
      <c r="P624" s="361">
        <v>290160</v>
      </c>
      <c r="Q624" s="361">
        <v>96720</v>
      </c>
      <c r="R624" s="361">
        <v>96720</v>
      </c>
      <c r="S624" s="361">
        <v>193440</v>
      </c>
      <c r="T624" s="386">
        <v>1030000</v>
      </c>
      <c r="U624" s="364">
        <f t="shared" si="20"/>
        <v>30442164</v>
      </c>
      <c r="V624" s="362"/>
      <c r="W624" s="365" t="str">
        <f>+VLOOKUP($B624,[2]Time_S4!$B:$G,6,0)</f>
        <v>Trung tâm Đảm bảo chất lượng</v>
      </c>
      <c r="X624" s="365" t="str">
        <f>IF(W624="Phòng Kinh doanh","Trung tâm Kinh doanh - TCT CNC",+VLOOKUP($B624,[2]Time_S4!$B:$G,5,0))</f>
        <v>Khối 1 - TCT CNC</v>
      </c>
      <c r="Y624" s="366"/>
      <c r="Z624" s="366"/>
    </row>
    <row r="625" spans="1:26" ht="15.75" hidden="1">
      <c r="A625" s="367">
        <f>SUBTOTAL(3,$B$15:B625)</f>
        <v>2</v>
      </c>
      <c r="B625" s="382" t="s">
        <v>1589</v>
      </c>
      <c r="C625" s="383" t="s">
        <v>1590</v>
      </c>
      <c r="D625" s="384" t="s">
        <v>407</v>
      </c>
      <c r="E625" s="385">
        <v>21</v>
      </c>
      <c r="F625" s="384">
        <v>21</v>
      </c>
      <c r="G625" s="358">
        <v>43415786</v>
      </c>
      <c r="H625" s="359">
        <f t="shared" si="19"/>
        <v>42233570</v>
      </c>
      <c r="I625" s="360"/>
      <c r="J625" s="361"/>
      <c r="K625" s="362"/>
      <c r="L625" s="362"/>
      <c r="M625" s="361">
        <v>900736</v>
      </c>
      <c r="N625" s="361">
        <v>1970360</v>
      </c>
      <c r="O625" s="361">
        <v>168888</v>
      </c>
      <c r="P625" s="361">
        <v>337776</v>
      </c>
      <c r="Q625" s="361">
        <v>112592</v>
      </c>
      <c r="R625" s="361">
        <v>112592</v>
      </c>
      <c r="S625" s="361">
        <v>225184</v>
      </c>
      <c r="T625" s="386">
        <v>1030000</v>
      </c>
      <c r="U625" s="364">
        <f t="shared" si="20"/>
        <v>47091698</v>
      </c>
      <c r="V625" s="362"/>
      <c r="W625" s="365" t="str">
        <f>+VLOOKUP($B625,[2]Time_S4!$B:$G,6,0)</f>
        <v>Trung tâm Mô hình mô phỏng</v>
      </c>
      <c r="X625" s="365" t="str">
        <f>IF(W625="Phòng Kinh doanh","Trung tâm Kinh doanh - TCT CNC",+VLOOKUP($B625,[2]Time_S4!$B:$G,5,0))</f>
        <v>Khối 1 - TCT CNC</v>
      </c>
      <c r="Y625" s="366"/>
      <c r="Z625" s="366"/>
    </row>
    <row r="626" spans="1:26" ht="15.75" hidden="1">
      <c r="A626" s="367">
        <f>SUBTOTAL(3,$B$15:B626)</f>
        <v>2</v>
      </c>
      <c r="B626" s="382" t="s">
        <v>1591</v>
      </c>
      <c r="C626" s="383" t="s">
        <v>1592</v>
      </c>
      <c r="D626" s="384" t="s">
        <v>407</v>
      </c>
      <c r="E626" s="385">
        <v>21</v>
      </c>
      <c r="F626" s="384">
        <v>21</v>
      </c>
      <c r="G626" s="358">
        <v>51322042</v>
      </c>
      <c r="H626" s="359">
        <f t="shared" si="19"/>
        <v>50077330</v>
      </c>
      <c r="I626" s="360"/>
      <c r="J626" s="361"/>
      <c r="K626" s="362"/>
      <c r="L626" s="362"/>
      <c r="M626" s="361">
        <v>948352</v>
      </c>
      <c r="N626" s="361">
        <v>2074520</v>
      </c>
      <c r="O626" s="361">
        <v>177816</v>
      </c>
      <c r="P626" s="361">
        <v>355632</v>
      </c>
      <c r="Q626" s="361">
        <v>118544</v>
      </c>
      <c r="R626" s="361">
        <v>118544</v>
      </c>
      <c r="S626" s="361">
        <v>237088</v>
      </c>
      <c r="T626" s="386">
        <v>1030000</v>
      </c>
      <c r="U626" s="364">
        <f t="shared" si="20"/>
        <v>55137826</v>
      </c>
      <c r="V626" s="362"/>
      <c r="W626" s="365" t="str">
        <f>+VLOOKUP($B626,[2]Time_S4!$B:$G,6,0)</f>
        <v>Trung tâm Tác chiến điện tử</v>
      </c>
      <c r="X626" s="365" t="str">
        <f>IF(W626="Phòng Kinh doanh","Trung tâm Kinh doanh - TCT CNC",+VLOOKUP($B626,[2]Time_S4!$B:$G,5,0))</f>
        <v>Khối 1 - TCT CNC</v>
      </c>
      <c r="Y626" s="366"/>
      <c r="Z626" s="366"/>
    </row>
    <row r="627" spans="1:26" ht="15.75" hidden="1">
      <c r="A627" s="367">
        <f>SUBTOTAL(3,$B$15:B627)</f>
        <v>2</v>
      </c>
      <c r="B627" s="382" t="s">
        <v>1593</v>
      </c>
      <c r="C627" s="383" t="s">
        <v>1594</v>
      </c>
      <c r="D627" s="384" t="s">
        <v>407</v>
      </c>
      <c r="E627" s="385">
        <v>21</v>
      </c>
      <c r="F627" s="384">
        <v>21</v>
      </c>
      <c r="G627" s="358">
        <v>65611423</v>
      </c>
      <c r="H627" s="359">
        <f t="shared" si="19"/>
        <v>64236511</v>
      </c>
      <c r="I627" s="360"/>
      <c r="J627" s="361"/>
      <c r="K627" s="362"/>
      <c r="L627" s="362"/>
      <c r="M627" s="361">
        <v>1047552</v>
      </c>
      <c r="N627" s="361">
        <v>2291520</v>
      </c>
      <c r="O627" s="361">
        <v>196416</v>
      </c>
      <c r="P627" s="361">
        <v>392832</v>
      </c>
      <c r="Q627" s="361">
        <v>130944</v>
      </c>
      <c r="R627" s="361">
        <v>130944</v>
      </c>
      <c r="S627" s="361">
        <v>261888</v>
      </c>
      <c r="T627" s="386">
        <v>1230000</v>
      </c>
      <c r="U627" s="364">
        <f t="shared" si="20"/>
        <v>69918607</v>
      </c>
      <c r="V627" s="362"/>
      <c r="W627" s="365" t="str">
        <f>+VLOOKUP($B627,[2]Time_S4!$B:$G,6,0)</f>
        <v>Trung tâm Rada</v>
      </c>
      <c r="X627" s="365" t="str">
        <f>IF(W627="Phòng Kinh doanh","Trung tâm Kinh doanh - TCT CNC",+VLOOKUP($B627,[2]Time_S4!$B:$G,5,0))</f>
        <v>Khối 1 - TCT CNC</v>
      </c>
      <c r="Y627" s="366"/>
      <c r="Z627" s="366"/>
    </row>
    <row r="628" spans="1:26" ht="15.75" hidden="1">
      <c r="A628" s="367">
        <f>SUBTOTAL(3,$B$15:B628)</f>
        <v>2</v>
      </c>
      <c r="B628" s="382" t="s">
        <v>1595</v>
      </c>
      <c r="C628" s="383" t="s">
        <v>1596</v>
      </c>
      <c r="D628" s="384" t="s">
        <v>407</v>
      </c>
      <c r="E628" s="385">
        <v>21</v>
      </c>
      <c r="F628" s="384">
        <v>21</v>
      </c>
      <c r="G628" s="358">
        <v>46042106</v>
      </c>
      <c r="H628" s="359">
        <f t="shared" si="19"/>
        <v>44797394</v>
      </c>
      <c r="I628" s="360"/>
      <c r="J628" s="361"/>
      <c r="K628" s="362"/>
      <c r="L628" s="362"/>
      <c r="M628" s="361">
        <v>948352</v>
      </c>
      <c r="N628" s="361">
        <v>2074520</v>
      </c>
      <c r="O628" s="361">
        <v>177816</v>
      </c>
      <c r="P628" s="361">
        <v>355632</v>
      </c>
      <c r="Q628" s="361">
        <v>118544</v>
      </c>
      <c r="R628" s="361">
        <v>118544</v>
      </c>
      <c r="S628" s="361">
        <v>237088</v>
      </c>
      <c r="T628" s="386">
        <v>1030000</v>
      </c>
      <c r="U628" s="364">
        <f t="shared" si="20"/>
        <v>49857890</v>
      </c>
      <c r="V628" s="362"/>
      <c r="W628" s="365" t="str">
        <f>+VLOOKUP($B628,[2]Time_S4!$B:$G,6,0)</f>
        <v>Trung tâm Phát triển nền tảng thanh toán</v>
      </c>
      <c r="X628" s="365" t="str">
        <f>IF(W628="Phòng Kinh doanh","Trung tâm Kinh doanh - TCT CNC",+VLOOKUP($B628,[2]Time_S4!$B:$G,5,0))</f>
        <v>Khối 2 - TCT CNC</v>
      </c>
      <c r="Y628" s="366"/>
      <c r="Z628" s="366"/>
    </row>
    <row r="629" spans="1:26" ht="15.75" hidden="1">
      <c r="A629" s="367">
        <f>SUBTOTAL(3,$B$15:B629)</f>
        <v>2</v>
      </c>
      <c r="B629" s="382" t="s">
        <v>1597</v>
      </c>
      <c r="C629" s="383" t="s">
        <v>1038</v>
      </c>
      <c r="D629" s="384" t="s">
        <v>407</v>
      </c>
      <c r="E629" s="385">
        <v>21</v>
      </c>
      <c r="F629" s="384">
        <v>21</v>
      </c>
      <c r="G629" s="358">
        <v>35650853</v>
      </c>
      <c r="H629" s="359">
        <f t="shared" si="19"/>
        <v>34525925</v>
      </c>
      <c r="I629" s="360"/>
      <c r="J629" s="361"/>
      <c r="K629" s="362"/>
      <c r="L629" s="362"/>
      <c r="M629" s="361">
        <v>857088</v>
      </c>
      <c r="N629" s="361">
        <v>1874880</v>
      </c>
      <c r="O629" s="361">
        <v>160704</v>
      </c>
      <c r="P629" s="361">
        <v>321408</v>
      </c>
      <c r="Q629" s="361">
        <v>107136</v>
      </c>
      <c r="R629" s="361">
        <v>107136</v>
      </c>
      <c r="S629" s="361">
        <v>214272</v>
      </c>
      <c r="T629" s="386">
        <v>1030000</v>
      </c>
      <c r="U629" s="364">
        <f t="shared" si="20"/>
        <v>39198549</v>
      </c>
      <c r="V629" s="362"/>
      <c r="W629" s="365" t="str">
        <f>+VLOOKUP($B629,[2]Time_S4!$B:$G,6,0)</f>
        <v>Phòng Quản lý tiêu chuẩn và quy trình</v>
      </c>
      <c r="X629" s="365" t="str">
        <f>IF(W629="Phòng Kinh doanh","Trung tâm Kinh doanh - TCT CNC",+VLOOKUP($B629,[2]Time_S4!$B:$G,5,0))</f>
        <v>Trung tâm Quản lý chất lượng - TCT CNC</v>
      </c>
      <c r="Y629" s="366"/>
      <c r="Z629" s="366"/>
    </row>
    <row r="630" spans="1:26" ht="15.75" hidden="1">
      <c r="A630" s="367">
        <f>SUBTOTAL(3,$B$15:B630)</f>
        <v>2</v>
      </c>
      <c r="B630" s="382" t="s">
        <v>1598</v>
      </c>
      <c r="C630" s="383" t="s">
        <v>1599</v>
      </c>
      <c r="D630" s="384" t="s">
        <v>407</v>
      </c>
      <c r="E630" s="385">
        <v>21</v>
      </c>
      <c r="F630" s="384">
        <v>21</v>
      </c>
      <c r="G630" s="358">
        <v>18674126</v>
      </c>
      <c r="H630" s="359">
        <f t="shared" si="19"/>
        <v>17804390</v>
      </c>
      <c r="I630" s="360"/>
      <c r="J630" s="361"/>
      <c r="K630" s="362"/>
      <c r="L630" s="362"/>
      <c r="M630" s="361">
        <v>662656</v>
      </c>
      <c r="N630" s="361">
        <v>1449560</v>
      </c>
      <c r="O630" s="361">
        <v>124248</v>
      </c>
      <c r="P630" s="361">
        <v>248496</v>
      </c>
      <c r="Q630" s="361">
        <v>82832</v>
      </c>
      <c r="R630" s="361">
        <v>82832</v>
      </c>
      <c r="S630" s="361">
        <v>165664</v>
      </c>
      <c r="T630" s="386">
        <v>1047000</v>
      </c>
      <c r="U630" s="364">
        <f t="shared" si="20"/>
        <v>21667678</v>
      </c>
      <c r="V630" s="362"/>
      <c r="W630" s="365" t="str">
        <f>+VLOOKUP($B630,[2]Time_S4!$B:$G,6,0)</f>
        <v>Trung tâm Chỉ huy điều khiển</v>
      </c>
      <c r="X630" s="365" t="str">
        <f>IF(W630="Phòng Kinh doanh","Trung tâm Kinh doanh - TCT CNC",+VLOOKUP($B630,[2]Time_S4!$B:$G,5,0))</f>
        <v>Khối 1 - TCT CNC</v>
      </c>
      <c r="Y630" s="366"/>
      <c r="Z630" s="366"/>
    </row>
    <row r="631" spans="1:26" ht="15.75" hidden="1">
      <c r="A631" s="367">
        <f>SUBTOTAL(3,$B$15:B631)</f>
        <v>2</v>
      </c>
      <c r="B631" s="382" t="s">
        <v>1600</v>
      </c>
      <c r="C631" s="383" t="s">
        <v>1601</v>
      </c>
      <c r="D631" s="384" t="s">
        <v>407</v>
      </c>
      <c r="E631" s="385">
        <v>21</v>
      </c>
      <c r="F631" s="384">
        <v>21</v>
      </c>
      <c r="G631" s="358">
        <v>14091513</v>
      </c>
      <c r="H631" s="359">
        <f t="shared" si="19"/>
        <v>13305105</v>
      </c>
      <c r="I631" s="360"/>
      <c r="J631" s="361"/>
      <c r="K631" s="362"/>
      <c r="L631" s="362"/>
      <c r="M631" s="361">
        <v>599168</v>
      </c>
      <c r="N631" s="361">
        <v>1310680</v>
      </c>
      <c r="O631" s="361">
        <v>112344</v>
      </c>
      <c r="P631" s="361">
        <v>224688</v>
      </c>
      <c r="Q631" s="361">
        <v>74896</v>
      </c>
      <c r="R631" s="361">
        <v>74896</v>
      </c>
      <c r="S631" s="361">
        <v>149792</v>
      </c>
      <c r="T631" s="386">
        <v>930000</v>
      </c>
      <c r="U631" s="364">
        <f t="shared" si="20"/>
        <v>16781569</v>
      </c>
      <c r="V631" s="362"/>
      <c r="W631" s="365" t="str">
        <f>+VLOOKUP($B631,[2]Time_S4!$B:$G,6,0)</f>
        <v>Trung tâm sản xuất</v>
      </c>
      <c r="X631" s="365" t="str">
        <f>IF(W631="Phòng Kinh doanh","Trung tâm Kinh doanh - TCT CNC",+VLOOKUP($B631,[2]Time_S4!$B:$G,5,0))</f>
        <v>Khối 1 - TCT CNC</v>
      </c>
      <c r="Y631" s="366"/>
      <c r="Z631" s="366"/>
    </row>
    <row r="632" spans="1:26" ht="15.75" hidden="1">
      <c r="A632" s="367">
        <f>SUBTOTAL(3,$B$15:B632)</f>
        <v>2</v>
      </c>
      <c r="B632" s="382" t="s">
        <v>1602</v>
      </c>
      <c r="C632" s="383" t="s">
        <v>1603</v>
      </c>
      <c r="D632" s="384" t="s">
        <v>407</v>
      </c>
      <c r="E632" s="385">
        <v>21</v>
      </c>
      <c r="F632" s="384">
        <v>21</v>
      </c>
      <c r="G632" s="358">
        <v>11530828</v>
      </c>
      <c r="H632" s="359">
        <f t="shared" si="19"/>
        <v>10780876</v>
      </c>
      <c r="I632" s="360"/>
      <c r="J632" s="361"/>
      <c r="K632" s="362"/>
      <c r="L632" s="362"/>
      <c r="M632" s="361">
        <v>571392</v>
      </c>
      <c r="N632" s="361">
        <v>1249920</v>
      </c>
      <c r="O632" s="361">
        <v>107136</v>
      </c>
      <c r="P632" s="361">
        <v>214272</v>
      </c>
      <c r="Q632" s="361">
        <v>71424</v>
      </c>
      <c r="R632" s="361">
        <v>71424</v>
      </c>
      <c r="S632" s="361">
        <v>142848</v>
      </c>
      <c r="T632" s="386">
        <v>930000</v>
      </c>
      <c r="U632" s="364">
        <f t="shared" si="20"/>
        <v>14139292</v>
      </c>
      <c r="V632" s="362"/>
      <c r="W632" s="365" t="str">
        <f>+VLOOKUP($B632,[2]Time_S4!$B:$G,6,0)</f>
        <v>Trung tâm sản xuất</v>
      </c>
      <c r="X632" s="365" t="str">
        <f>IF(W632="Phòng Kinh doanh","Trung tâm Kinh doanh - TCT CNC",+VLOOKUP($B632,[2]Time_S4!$B:$G,5,0))</f>
        <v>Khối 1 - TCT CNC</v>
      </c>
      <c r="Y632" s="366"/>
      <c r="Z632" s="366"/>
    </row>
    <row r="633" spans="1:26" ht="15.75" hidden="1">
      <c r="A633" s="367">
        <f>SUBTOTAL(3,$B$15:B633)</f>
        <v>2</v>
      </c>
      <c r="B633" s="382" t="s">
        <v>1604</v>
      </c>
      <c r="C633" s="383" t="s">
        <v>1605</v>
      </c>
      <c r="D633" s="384" t="s">
        <v>407</v>
      </c>
      <c r="E633" s="385">
        <v>21</v>
      </c>
      <c r="F633" s="384">
        <v>21</v>
      </c>
      <c r="G633" s="358">
        <v>21857433</v>
      </c>
      <c r="H633" s="359">
        <f t="shared" si="19"/>
        <v>20940825</v>
      </c>
      <c r="I633" s="360"/>
      <c r="J633" s="361"/>
      <c r="K633" s="362"/>
      <c r="L633" s="362"/>
      <c r="M633" s="361">
        <v>698368</v>
      </c>
      <c r="N633" s="361">
        <v>1527680</v>
      </c>
      <c r="O633" s="361">
        <v>130944</v>
      </c>
      <c r="P633" s="361">
        <v>261888</v>
      </c>
      <c r="Q633" s="361">
        <v>87296</v>
      </c>
      <c r="R633" s="361">
        <v>87296</v>
      </c>
      <c r="S633" s="361">
        <v>174592</v>
      </c>
      <c r="T633" s="386">
        <v>930000</v>
      </c>
      <c r="U633" s="364">
        <f t="shared" si="20"/>
        <v>24838889</v>
      </c>
      <c r="V633" s="362"/>
      <c r="W633" s="365" t="str">
        <f>+VLOOKUP($B633,[2]Time_S4!$B:$G,6,0)</f>
        <v>Phòng Phát triển thị trường Quốc tế</v>
      </c>
      <c r="X633" s="365" t="str">
        <f>IF(W633="Phòng Kinh doanh","Trung tâm Kinh doanh - TCT CNC",+VLOOKUP($B633,[2]Time_S4!$B:$G,5,0))</f>
        <v>Trung tâm Kinh doanh - TCT CNC</v>
      </c>
      <c r="Y633" s="366"/>
      <c r="Z633" s="366"/>
    </row>
    <row r="634" spans="1:26" ht="15.75" hidden="1">
      <c r="A634" s="367">
        <f>SUBTOTAL(3,$B$15:B634)</f>
        <v>2</v>
      </c>
      <c r="B634" s="382" t="s">
        <v>1606</v>
      </c>
      <c r="C634" s="383" t="s">
        <v>1607</v>
      </c>
      <c r="D634" s="384" t="s">
        <v>407</v>
      </c>
      <c r="E634" s="385">
        <v>21</v>
      </c>
      <c r="F634" s="384">
        <v>21</v>
      </c>
      <c r="G634" s="358">
        <v>41010023</v>
      </c>
      <c r="H634" s="359">
        <f t="shared" si="19"/>
        <v>39885095</v>
      </c>
      <c r="I634" s="360"/>
      <c r="J634" s="361"/>
      <c r="K634" s="362"/>
      <c r="L634" s="362"/>
      <c r="M634" s="361">
        <v>857088</v>
      </c>
      <c r="N634" s="361">
        <v>1874880</v>
      </c>
      <c r="O634" s="361">
        <v>160704</v>
      </c>
      <c r="P634" s="361">
        <v>321408</v>
      </c>
      <c r="Q634" s="361">
        <v>107136</v>
      </c>
      <c r="R634" s="361">
        <v>107136</v>
      </c>
      <c r="S634" s="361">
        <v>214272</v>
      </c>
      <c r="T634" s="386">
        <v>1030000</v>
      </c>
      <c r="U634" s="364">
        <f t="shared" si="20"/>
        <v>44557719</v>
      </c>
      <c r="V634" s="362"/>
      <c r="W634" s="365" t="str">
        <f>+VLOOKUP($B634,[2]Time_S4!$B:$G,6,0)</f>
        <v>Trung tâm Mô hình mô phỏng</v>
      </c>
      <c r="X634" s="365" t="str">
        <f>IF(W634="Phòng Kinh doanh","Trung tâm Kinh doanh - TCT CNC",+VLOOKUP($B634,[2]Time_S4!$B:$G,5,0))</f>
        <v>Khối 1 - TCT CNC</v>
      </c>
      <c r="Y634" s="366"/>
      <c r="Z634" s="366"/>
    </row>
    <row r="635" spans="1:26" ht="15.75" hidden="1">
      <c r="A635" s="367">
        <f>SUBTOTAL(3,$B$15:B635)</f>
        <v>2</v>
      </c>
      <c r="B635" s="382" t="s">
        <v>1608</v>
      </c>
      <c r="C635" s="383" t="s">
        <v>1609</v>
      </c>
      <c r="D635" s="384" t="s">
        <v>407</v>
      </c>
      <c r="E635" s="385">
        <v>21</v>
      </c>
      <c r="F635" s="384">
        <v>21</v>
      </c>
      <c r="G635" s="358">
        <v>34105615</v>
      </c>
      <c r="H635" s="359">
        <f t="shared" si="19"/>
        <v>33037975</v>
      </c>
      <c r="I635" s="360"/>
      <c r="J635" s="361"/>
      <c r="K635" s="362"/>
      <c r="L635" s="362"/>
      <c r="M635" s="361">
        <v>813440</v>
      </c>
      <c r="N635" s="361">
        <v>1779400</v>
      </c>
      <c r="O635" s="361">
        <v>152520</v>
      </c>
      <c r="P635" s="361">
        <v>305040</v>
      </c>
      <c r="Q635" s="361">
        <v>101680</v>
      </c>
      <c r="R635" s="361">
        <v>101680</v>
      </c>
      <c r="S635" s="361">
        <v>203360</v>
      </c>
      <c r="T635" s="386">
        <v>1030000</v>
      </c>
      <c r="U635" s="364">
        <f t="shared" si="20"/>
        <v>37525095</v>
      </c>
      <c r="V635" s="362"/>
      <c r="W635" s="365" t="str">
        <f>+VLOOKUP($B635,[2]Time_S4!$B:$G,6,0)</f>
        <v>Trung tâm Mô hình mô phỏng</v>
      </c>
      <c r="X635" s="365" t="str">
        <f>IF(W635="Phòng Kinh doanh","Trung tâm Kinh doanh - TCT CNC",+VLOOKUP($B635,[2]Time_S4!$B:$G,5,0))</f>
        <v>Khối 1 - TCT CNC</v>
      </c>
      <c r="Y635" s="366"/>
      <c r="Z635" s="366"/>
    </row>
    <row r="636" spans="1:26" ht="15.75" hidden="1">
      <c r="A636" s="367">
        <f>SUBTOTAL(3,$B$15:B636)</f>
        <v>2</v>
      </c>
      <c r="B636" s="382" t="s">
        <v>1610</v>
      </c>
      <c r="C636" s="383" t="s">
        <v>1611</v>
      </c>
      <c r="D636" s="384" t="s">
        <v>407</v>
      </c>
      <c r="E636" s="385">
        <v>21</v>
      </c>
      <c r="F636" s="384">
        <v>21</v>
      </c>
      <c r="G636" s="358">
        <v>17301764</v>
      </c>
      <c r="H636" s="359">
        <f t="shared" si="19"/>
        <v>16473692</v>
      </c>
      <c r="I636" s="360"/>
      <c r="J636" s="361"/>
      <c r="K636" s="362"/>
      <c r="L636" s="362"/>
      <c r="M636" s="361">
        <v>630912</v>
      </c>
      <c r="N636" s="361">
        <v>1380120</v>
      </c>
      <c r="O636" s="361">
        <v>118296</v>
      </c>
      <c r="P636" s="361">
        <v>236592</v>
      </c>
      <c r="Q636" s="361">
        <v>78864</v>
      </c>
      <c r="R636" s="361">
        <v>78864</v>
      </c>
      <c r="S636" s="361">
        <v>157728</v>
      </c>
      <c r="T636" s="386">
        <v>1047000</v>
      </c>
      <c r="U636" s="364">
        <f t="shared" si="20"/>
        <v>20202068</v>
      </c>
      <c r="V636" s="362"/>
      <c r="W636" s="365" t="str">
        <f>+VLOOKUP($B636,[2]Time_S4!$B:$G,6,0)</f>
        <v>Trung tâm Đảm bảo chất lượng</v>
      </c>
      <c r="X636" s="365" t="str">
        <f>IF(W636="Phòng Kinh doanh","Trung tâm Kinh doanh - TCT CNC",+VLOOKUP($B636,[2]Time_S4!$B:$G,5,0))</f>
        <v>Khối 1 - TCT CNC</v>
      </c>
      <c r="Y636" s="366"/>
      <c r="Z636" s="366"/>
    </row>
    <row r="637" spans="1:26" ht="15.75" hidden="1">
      <c r="A637" s="367">
        <f>SUBTOTAL(3,$B$15:B637)</f>
        <v>2</v>
      </c>
      <c r="B637" s="382" t="s">
        <v>1612</v>
      </c>
      <c r="C637" s="383" t="s">
        <v>1613</v>
      </c>
      <c r="D637" s="384" t="s">
        <v>407</v>
      </c>
      <c r="E637" s="385">
        <v>21</v>
      </c>
      <c r="F637" s="384">
        <v>21</v>
      </c>
      <c r="G637" s="358">
        <v>14678583</v>
      </c>
      <c r="H637" s="359">
        <f t="shared" si="19"/>
        <v>13845303</v>
      </c>
      <c r="I637" s="360"/>
      <c r="J637" s="361"/>
      <c r="K637" s="362"/>
      <c r="L637" s="362"/>
      <c r="M637" s="361">
        <v>634880</v>
      </c>
      <c r="N637" s="361">
        <v>1388800</v>
      </c>
      <c r="O637" s="361">
        <v>119040</v>
      </c>
      <c r="P637" s="361">
        <v>238080</v>
      </c>
      <c r="Q637" s="361">
        <v>79360</v>
      </c>
      <c r="R637" s="361">
        <v>79360</v>
      </c>
      <c r="S637" s="361">
        <v>158720</v>
      </c>
      <c r="T637" s="386">
        <v>1281000</v>
      </c>
      <c r="U637" s="364">
        <f t="shared" si="20"/>
        <v>17824543</v>
      </c>
      <c r="V637" s="362"/>
      <c r="W637" s="365" t="str">
        <f>+VLOOKUP($B637,[2]Time_S4!$B:$G,6,0)</f>
        <v>Trung tâm dịch vụ sau bán hàng</v>
      </c>
      <c r="X637" s="365" t="str">
        <f>IF(W637="Phòng Kinh doanh","Trung tâm Kinh doanh - TCT CNC",+VLOOKUP($B637,[2]Time_S4!$B:$G,5,0))</f>
        <v>Khối 1 - TCT CNC</v>
      </c>
      <c r="Y637" s="366"/>
      <c r="Z637" s="366"/>
    </row>
    <row r="638" spans="1:26" ht="15.75" hidden="1">
      <c r="A638" s="367">
        <f>SUBTOTAL(3,$B$15:B638)</f>
        <v>2</v>
      </c>
      <c r="B638" s="382" t="s">
        <v>1614</v>
      </c>
      <c r="C638" s="383" t="s">
        <v>1615</v>
      </c>
      <c r="D638" s="384" t="s">
        <v>407</v>
      </c>
      <c r="E638" s="385">
        <v>21</v>
      </c>
      <c r="F638" s="384">
        <v>21</v>
      </c>
      <c r="G638" s="358">
        <v>48496082</v>
      </c>
      <c r="H638" s="359">
        <f t="shared" si="19"/>
        <v>47251370</v>
      </c>
      <c r="I638" s="360"/>
      <c r="J638" s="361"/>
      <c r="K638" s="362"/>
      <c r="L638" s="362"/>
      <c r="M638" s="361">
        <v>948352</v>
      </c>
      <c r="N638" s="361">
        <v>2074520</v>
      </c>
      <c r="O638" s="361">
        <v>177816</v>
      </c>
      <c r="P638" s="361">
        <v>355632</v>
      </c>
      <c r="Q638" s="361">
        <v>118544</v>
      </c>
      <c r="R638" s="361">
        <v>118544</v>
      </c>
      <c r="S638" s="361">
        <v>237088</v>
      </c>
      <c r="T638" s="386">
        <v>1030000</v>
      </c>
      <c r="U638" s="364">
        <f t="shared" si="20"/>
        <v>52311866</v>
      </c>
      <c r="V638" s="362"/>
      <c r="W638" s="365" t="str">
        <f>+VLOOKUP($B638,[2]Time_S4!$B:$G,6,0)</f>
        <v>Trung tâm Thông tin Quân sự</v>
      </c>
      <c r="X638" s="365" t="str">
        <f>IF(W638="Phòng Kinh doanh","Trung tâm Kinh doanh - TCT CNC",+VLOOKUP($B638,[2]Time_S4!$B:$G,5,0))</f>
        <v>Khối 1 - TCT CNC</v>
      </c>
      <c r="Y638" s="366"/>
      <c r="Z638" s="366"/>
    </row>
    <row r="639" spans="1:26" ht="15.75" hidden="1">
      <c r="A639" s="367">
        <f>SUBTOTAL(3,$B$15:B639)</f>
        <v>2</v>
      </c>
      <c r="B639" s="382" t="s">
        <v>1616</v>
      </c>
      <c r="C639" s="383" t="s">
        <v>1617</v>
      </c>
      <c r="D639" s="384" t="s">
        <v>407</v>
      </c>
      <c r="E639" s="385">
        <v>21</v>
      </c>
      <c r="F639" s="384">
        <v>21</v>
      </c>
      <c r="G639" s="358">
        <v>23770882</v>
      </c>
      <c r="H639" s="359">
        <f t="shared" si="19"/>
        <v>22807402</v>
      </c>
      <c r="I639" s="360"/>
      <c r="J639" s="361"/>
      <c r="K639" s="362"/>
      <c r="L639" s="362"/>
      <c r="M639" s="361">
        <v>734080</v>
      </c>
      <c r="N639" s="361">
        <v>1605800</v>
      </c>
      <c r="O639" s="361">
        <v>137640</v>
      </c>
      <c r="P639" s="361">
        <v>275280</v>
      </c>
      <c r="Q639" s="361">
        <v>91760</v>
      </c>
      <c r="R639" s="361">
        <v>91760</v>
      </c>
      <c r="S639" s="361">
        <v>183520</v>
      </c>
      <c r="T639" s="386">
        <v>930000</v>
      </c>
      <c r="U639" s="364">
        <f t="shared" si="20"/>
        <v>26857242</v>
      </c>
      <c r="V639" s="362"/>
      <c r="W639" s="365" t="str">
        <f>+VLOOKUP($B639,[2]Time_S4!$B:$G,6,0)</f>
        <v>Phòng Công nghệ thông tin</v>
      </c>
      <c r="X639" s="365" t="str">
        <f>IF(W639="Phòng Kinh doanh","Trung tâm Kinh doanh - TCT CNC",+VLOOKUP($B639,[2]Time_S4!$B:$G,5,0))</f>
        <v>Khối cơ quan - TCT CNC</v>
      </c>
      <c r="Y639" s="366"/>
      <c r="Z639" s="366"/>
    </row>
    <row r="640" spans="1:26" ht="15.75" hidden="1">
      <c r="A640" s="367">
        <f>SUBTOTAL(3,$B$15:B640)</f>
        <v>2</v>
      </c>
      <c r="B640" s="382" t="s">
        <v>1618</v>
      </c>
      <c r="C640" s="383" t="s">
        <v>1619</v>
      </c>
      <c r="D640" s="384" t="s">
        <v>407</v>
      </c>
      <c r="E640" s="385">
        <v>21</v>
      </c>
      <c r="F640" s="384">
        <v>21</v>
      </c>
      <c r="G640" s="358">
        <v>50585369</v>
      </c>
      <c r="H640" s="359">
        <f t="shared" si="19"/>
        <v>49403153</v>
      </c>
      <c r="I640" s="360"/>
      <c r="J640" s="361"/>
      <c r="K640" s="362"/>
      <c r="L640" s="362"/>
      <c r="M640" s="361">
        <v>900736</v>
      </c>
      <c r="N640" s="361">
        <v>1970360</v>
      </c>
      <c r="O640" s="361">
        <v>168888</v>
      </c>
      <c r="P640" s="361">
        <v>337776</v>
      </c>
      <c r="Q640" s="361">
        <v>112592</v>
      </c>
      <c r="R640" s="361">
        <v>112592</v>
      </c>
      <c r="S640" s="361">
        <v>225184</v>
      </c>
      <c r="T640" s="386">
        <v>1247000</v>
      </c>
      <c r="U640" s="364">
        <f t="shared" si="20"/>
        <v>54478281</v>
      </c>
      <c r="V640" s="362"/>
      <c r="W640" s="365" t="str">
        <f>+VLOOKUP($B640,[2]Time_S4!$B:$G,6,0)</f>
        <v>Trung tâm Chỉ huy điều khiển</v>
      </c>
      <c r="X640" s="365" t="str">
        <f>IF(W640="Phòng Kinh doanh","Trung tâm Kinh doanh - TCT CNC",+VLOOKUP($B640,[2]Time_S4!$B:$G,5,0))</f>
        <v>Khối 1 - TCT CNC</v>
      </c>
      <c r="Y640" s="366"/>
      <c r="Z640" s="366"/>
    </row>
    <row r="641" spans="1:26" ht="15.75" hidden="1">
      <c r="A641" s="367">
        <f>SUBTOTAL(3,$B$15:B641)</f>
        <v>2</v>
      </c>
      <c r="B641" s="382" t="s">
        <v>1620</v>
      </c>
      <c r="C641" s="383" t="s">
        <v>1621</v>
      </c>
      <c r="D641" s="384" t="s">
        <v>407</v>
      </c>
      <c r="E641" s="385">
        <v>21</v>
      </c>
      <c r="F641" s="384">
        <v>21</v>
      </c>
      <c r="G641" s="358">
        <v>24436350</v>
      </c>
      <c r="H641" s="359">
        <f t="shared" si="19"/>
        <v>23472870</v>
      </c>
      <c r="I641" s="360"/>
      <c r="J641" s="361"/>
      <c r="K641" s="362"/>
      <c r="L641" s="362"/>
      <c r="M641" s="361">
        <v>734080</v>
      </c>
      <c r="N641" s="361">
        <v>1605800</v>
      </c>
      <c r="O641" s="361">
        <v>137640</v>
      </c>
      <c r="P641" s="361">
        <v>275280</v>
      </c>
      <c r="Q641" s="361">
        <v>91760</v>
      </c>
      <c r="R641" s="361">
        <v>91760</v>
      </c>
      <c r="S641" s="361">
        <v>183520</v>
      </c>
      <c r="T641" s="386">
        <v>1030000</v>
      </c>
      <c r="U641" s="364">
        <f t="shared" si="20"/>
        <v>27622710</v>
      </c>
      <c r="V641" s="362"/>
      <c r="W641" s="365" t="str">
        <f>+VLOOKUP($B641,[2]Time_S4!$B:$G,6,0)</f>
        <v>Phòng Kiểu dáng và đồ họa</v>
      </c>
      <c r="X641" s="365" t="str">
        <f>IF(W641="Phòng Kinh doanh","Trung tâm Kinh doanh - TCT CNC",+VLOOKUP($B641,[2]Time_S4!$B:$G,5,0))</f>
        <v>Khối 1 - TCT CNC</v>
      </c>
      <c r="Y641" s="366"/>
      <c r="Z641" s="366"/>
    </row>
    <row r="642" spans="1:26" ht="15.75" hidden="1">
      <c r="A642" s="367">
        <f>SUBTOTAL(3,$B$15:B642)</f>
        <v>2</v>
      </c>
      <c r="B642" s="382" t="s">
        <v>1622</v>
      </c>
      <c r="C642" s="383" t="s">
        <v>1623</v>
      </c>
      <c r="D642" s="384" t="s">
        <v>407</v>
      </c>
      <c r="E642" s="385">
        <v>21</v>
      </c>
      <c r="F642" s="384">
        <v>21</v>
      </c>
      <c r="G642" s="358">
        <v>32100171</v>
      </c>
      <c r="H642" s="359">
        <f t="shared" si="19"/>
        <v>31032531</v>
      </c>
      <c r="I642" s="360"/>
      <c r="J642" s="361"/>
      <c r="K642" s="362"/>
      <c r="L642" s="362"/>
      <c r="M642" s="361">
        <v>813440</v>
      </c>
      <c r="N642" s="361">
        <v>1779400</v>
      </c>
      <c r="O642" s="361">
        <v>152520</v>
      </c>
      <c r="P642" s="361">
        <v>305040</v>
      </c>
      <c r="Q642" s="361">
        <v>101680</v>
      </c>
      <c r="R642" s="361">
        <v>101680</v>
      </c>
      <c r="S642" s="361">
        <v>203360</v>
      </c>
      <c r="T642" s="386">
        <v>1030000</v>
      </c>
      <c r="U642" s="364">
        <f t="shared" si="20"/>
        <v>35519651</v>
      </c>
      <c r="V642" s="362"/>
      <c r="W642" s="365" t="str">
        <f>+VLOOKUP($B642,[2]Time_S4!$B:$G,6,0)</f>
        <v>Trung tâm Thông tin Quân sự</v>
      </c>
      <c r="X642" s="365" t="str">
        <f>IF(W642="Phòng Kinh doanh","Trung tâm Kinh doanh - TCT CNC",+VLOOKUP($B642,[2]Time_S4!$B:$G,5,0))</f>
        <v>Khối 1 - TCT CNC</v>
      </c>
      <c r="Y642" s="366"/>
      <c r="Z642" s="366"/>
    </row>
    <row r="643" spans="1:26" ht="15.75" hidden="1">
      <c r="A643" s="367">
        <f>SUBTOTAL(3,$B$15:B643)</f>
        <v>2</v>
      </c>
      <c r="B643" s="382" t="s">
        <v>1624</v>
      </c>
      <c r="C643" s="383" t="s">
        <v>1625</v>
      </c>
      <c r="D643" s="384" t="s">
        <v>407</v>
      </c>
      <c r="E643" s="385">
        <v>21</v>
      </c>
      <c r="F643" s="384">
        <v>21</v>
      </c>
      <c r="G643" s="358">
        <v>48842415</v>
      </c>
      <c r="H643" s="359">
        <f t="shared" si="19"/>
        <v>47660199</v>
      </c>
      <c r="I643" s="360"/>
      <c r="J643" s="361"/>
      <c r="K643" s="362"/>
      <c r="L643" s="362"/>
      <c r="M643" s="361">
        <v>900736</v>
      </c>
      <c r="N643" s="361">
        <v>1970360</v>
      </c>
      <c r="O643" s="361">
        <v>168888</v>
      </c>
      <c r="P643" s="361">
        <v>337776</v>
      </c>
      <c r="Q643" s="361">
        <v>112592</v>
      </c>
      <c r="R643" s="361">
        <v>112592</v>
      </c>
      <c r="S643" s="361">
        <v>225184</v>
      </c>
      <c r="T643" s="386">
        <v>1030000</v>
      </c>
      <c r="U643" s="364">
        <f t="shared" si="20"/>
        <v>52518327</v>
      </c>
      <c r="V643" s="362"/>
      <c r="W643" s="365" t="str">
        <f>+VLOOKUP($B643,[2]Time_S4!$B:$G,6,0)</f>
        <v>Trung tâm Chỉ huy điều khiển</v>
      </c>
      <c r="X643" s="365" t="str">
        <f>IF(W643="Phòng Kinh doanh","Trung tâm Kinh doanh - TCT CNC",+VLOOKUP($B643,[2]Time_S4!$B:$G,5,0))</f>
        <v>Khối 1 - TCT CNC</v>
      </c>
      <c r="Y643" s="366"/>
      <c r="Z643" s="366"/>
    </row>
    <row r="644" spans="1:26" ht="15.75" hidden="1">
      <c r="A644" s="367">
        <f>SUBTOTAL(3,$B$15:B644)</f>
        <v>2</v>
      </c>
      <c r="B644" s="382" t="s">
        <v>1626</v>
      </c>
      <c r="C644" s="383" t="s">
        <v>1627</v>
      </c>
      <c r="D644" s="384" t="s">
        <v>407</v>
      </c>
      <c r="E644" s="385">
        <v>21</v>
      </c>
      <c r="F644" s="384">
        <v>21</v>
      </c>
      <c r="G644" s="358">
        <v>36126632</v>
      </c>
      <c r="H644" s="359">
        <f t="shared" si="19"/>
        <v>35001704</v>
      </c>
      <c r="I644" s="360"/>
      <c r="J644" s="361"/>
      <c r="K644" s="362"/>
      <c r="L644" s="362"/>
      <c r="M644" s="361">
        <v>857088</v>
      </c>
      <c r="N644" s="361">
        <v>1874880</v>
      </c>
      <c r="O644" s="361">
        <v>160704</v>
      </c>
      <c r="P644" s="361">
        <v>321408</v>
      </c>
      <c r="Q644" s="361">
        <v>107136</v>
      </c>
      <c r="R644" s="361">
        <v>107136</v>
      </c>
      <c r="S644" s="361">
        <v>214272</v>
      </c>
      <c r="T644" s="386">
        <v>1030000</v>
      </c>
      <c r="U644" s="364">
        <f t="shared" si="20"/>
        <v>39674328</v>
      </c>
      <c r="V644" s="362"/>
      <c r="W644" s="365" t="str">
        <f>+VLOOKUP($B644,[2]Time_S4!$B:$G,6,0)</f>
        <v>Trung tâm Thông tin Quân sự</v>
      </c>
      <c r="X644" s="365" t="str">
        <f>IF(W644="Phòng Kinh doanh","Trung tâm Kinh doanh - TCT CNC",+VLOOKUP($B644,[2]Time_S4!$B:$G,5,0))</f>
        <v>Khối 1 - TCT CNC</v>
      </c>
      <c r="Y644" s="366"/>
      <c r="Z644" s="366"/>
    </row>
    <row r="645" spans="1:26" ht="15.75" hidden="1">
      <c r="A645" s="367">
        <f>SUBTOTAL(3,$B$15:B645)</f>
        <v>2</v>
      </c>
      <c r="B645" s="382" t="s">
        <v>1628</v>
      </c>
      <c r="C645" s="383" t="s">
        <v>1629</v>
      </c>
      <c r="D645" s="384" t="s">
        <v>407</v>
      </c>
      <c r="E645" s="385">
        <v>21</v>
      </c>
      <c r="F645" s="384">
        <v>21</v>
      </c>
      <c r="G645" s="358">
        <v>20097134</v>
      </c>
      <c r="H645" s="359">
        <f t="shared" si="19"/>
        <v>19180526</v>
      </c>
      <c r="I645" s="360"/>
      <c r="J645" s="361"/>
      <c r="K645" s="362"/>
      <c r="L645" s="362"/>
      <c r="M645" s="361">
        <v>698368</v>
      </c>
      <c r="N645" s="361">
        <v>1527680</v>
      </c>
      <c r="O645" s="361">
        <v>130944</v>
      </c>
      <c r="P645" s="361">
        <v>261888</v>
      </c>
      <c r="Q645" s="361">
        <v>87296</v>
      </c>
      <c r="R645" s="361">
        <v>87296</v>
      </c>
      <c r="S645" s="361">
        <v>174592</v>
      </c>
      <c r="T645" s="386">
        <v>1047000</v>
      </c>
      <c r="U645" s="364">
        <f t="shared" si="20"/>
        <v>23195590</v>
      </c>
      <c r="V645" s="362"/>
      <c r="W645" s="365" t="str">
        <f>+VLOOKUP($B645,[2]Time_S4!$B:$G,6,0)</f>
        <v>Phòng Tài chính</v>
      </c>
      <c r="X645" s="365" t="str">
        <f>IF(W645="Phòng Kinh doanh","Trung tâm Kinh doanh - TCT CNC",+VLOOKUP($B645,[2]Time_S4!$B:$G,5,0))</f>
        <v>Khối cơ quan - TCT CNC</v>
      </c>
      <c r="Y645" s="366"/>
      <c r="Z645" s="366"/>
    </row>
    <row r="646" spans="1:26" ht="15.75" hidden="1">
      <c r="A646" s="367">
        <f>SUBTOTAL(3,$B$15:B646)</f>
        <v>2</v>
      </c>
      <c r="B646" s="382" t="s">
        <v>1630</v>
      </c>
      <c r="C646" s="383" t="s">
        <v>1631</v>
      </c>
      <c r="D646" s="384" t="s">
        <v>407</v>
      </c>
      <c r="E646" s="385">
        <v>21</v>
      </c>
      <c r="F646" s="384">
        <v>21</v>
      </c>
      <c r="G646" s="358">
        <v>40415786</v>
      </c>
      <c r="H646" s="359">
        <f t="shared" si="19"/>
        <v>39233570</v>
      </c>
      <c r="I646" s="360"/>
      <c r="J646" s="361"/>
      <c r="K646" s="362"/>
      <c r="L646" s="362"/>
      <c r="M646" s="361">
        <v>900736</v>
      </c>
      <c r="N646" s="361">
        <v>1970360</v>
      </c>
      <c r="O646" s="361">
        <v>168888</v>
      </c>
      <c r="P646" s="361">
        <v>337776</v>
      </c>
      <c r="Q646" s="361">
        <v>112592</v>
      </c>
      <c r="R646" s="361">
        <v>112592</v>
      </c>
      <c r="S646" s="361">
        <v>225184</v>
      </c>
      <c r="T646" s="386">
        <v>1030000</v>
      </c>
      <c r="U646" s="364">
        <f t="shared" si="20"/>
        <v>44091698</v>
      </c>
      <c r="V646" s="362"/>
      <c r="W646" s="365" t="str">
        <f>+VLOOKUP($B646,[2]Time_S4!$B:$G,6,0)</f>
        <v>Trung tâm Nghiên cứu thiết bị vô tuyến băng rộng</v>
      </c>
      <c r="X646" s="365" t="str">
        <f>IF(W646="Phòng Kinh doanh","Trung tâm Kinh doanh - TCT CNC",+VLOOKUP($B646,[2]Time_S4!$B:$G,5,0))</f>
        <v>Khối 2 - TCT CNC</v>
      </c>
      <c r="Y646" s="366"/>
      <c r="Z646" s="366"/>
    </row>
    <row r="647" spans="1:26" ht="15.75" hidden="1">
      <c r="A647" s="367">
        <f>SUBTOTAL(3,$B$15:B647)</f>
        <v>2</v>
      </c>
      <c r="B647" s="382" t="s">
        <v>1632</v>
      </c>
      <c r="C647" s="383" t="s">
        <v>1633</v>
      </c>
      <c r="D647" s="384" t="s">
        <v>407</v>
      </c>
      <c r="E647" s="385">
        <v>21</v>
      </c>
      <c r="F647" s="384">
        <v>21</v>
      </c>
      <c r="G647" s="358">
        <v>44163248</v>
      </c>
      <c r="H647" s="359">
        <f t="shared" si="19"/>
        <v>42981032</v>
      </c>
      <c r="I647" s="360"/>
      <c r="J647" s="361"/>
      <c r="K647" s="362"/>
      <c r="L647" s="362"/>
      <c r="M647" s="361">
        <v>900736</v>
      </c>
      <c r="N647" s="361">
        <v>1970360</v>
      </c>
      <c r="O647" s="361">
        <v>168888</v>
      </c>
      <c r="P647" s="361">
        <v>337776</v>
      </c>
      <c r="Q647" s="361">
        <v>112592</v>
      </c>
      <c r="R647" s="361">
        <v>112592</v>
      </c>
      <c r="S647" s="361">
        <v>225184</v>
      </c>
      <c r="T647" s="386">
        <v>1030000</v>
      </c>
      <c r="U647" s="364">
        <f t="shared" si="20"/>
        <v>47839160</v>
      </c>
      <c r="V647" s="362"/>
      <c r="W647" s="365" t="str">
        <f>+VLOOKUP($B647,[2]Time_S4!$B:$G,6,0)</f>
        <v>Trung tâm Nền tảng IOT</v>
      </c>
      <c r="X647" s="365" t="str">
        <f>IF(W647="Phòng Kinh doanh","Trung tâm Kinh doanh - TCT CNC",+VLOOKUP($B647,[2]Time_S4!$B:$G,5,0))</f>
        <v>Khối 3 - TCT CNC</v>
      </c>
      <c r="Y647" s="366"/>
      <c r="Z647" s="366"/>
    </row>
    <row r="648" spans="1:26" ht="15.75" hidden="1">
      <c r="A648" s="367">
        <f>SUBTOTAL(3,$B$15:B648)</f>
        <v>2</v>
      </c>
      <c r="B648" s="382" t="s">
        <v>1634</v>
      </c>
      <c r="C648" s="383" t="s">
        <v>1635</v>
      </c>
      <c r="D648" s="384" t="s">
        <v>407</v>
      </c>
      <c r="E648" s="385">
        <v>21</v>
      </c>
      <c r="F648" s="384">
        <v>21</v>
      </c>
      <c r="G648" s="358">
        <v>58204673</v>
      </c>
      <c r="H648" s="359">
        <f t="shared" si="19"/>
        <v>56897465</v>
      </c>
      <c r="I648" s="360"/>
      <c r="J648" s="361"/>
      <c r="K648" s="362"/>
      <c r="L648" s="362"/>
      <c r="M648" s="361">
        <v>995968</v>
      </c>
      <c r="N648" s="361">
        <v>2178680</v>
      </c>
      <c r="O648" s="361">
        <v>186744</v>
      </c>
      <c r="P648" s="361">
        <v>373488</v>
      </c>
      <c r="Q648" s="361">
        <v>124496</v>
      </c>
      <c r="R648" s="361">
        <v>124496</v>
      </c>
      <c r="S648" s="361">
        <v>248992</v>
      </c>
      <c r="T648" s="386">
        <v>1130000</v>
      </c>
      <c r="U648" s="364">
        <f t="shared" si="20"/>
        <v>62260329</v>
      </c>
      <c r="V648" s="362"/>
      <c r="W648" s="365" t="str">
        <f>+VLOOKUP($B648,[2]Time_S4!$B:$G,6,0)</f>
        <v>Trung tâm Nghiên cứu Công nghệ truyền dẫn</v>
      </c>
      <c r="X648" s="365" t="str">
        <f>IF(W648="Phòng Kinh doanh","Trung tâm Kinh doanh - TCT CNC",+VLOOKUP($B648,[2]Time_S4!$B:$G,5,0))</f>
        <v>Khối 2 - TCT CNC</v>
      </c>
      <c r="Y648" s="366"/>
      <c r="Z648" s="366"/>
    </row>
    <row r="649" spans="1:26" ht="15.75" hidden="1">
      <c r="A649" s="367">
        <f>SUBTOTAL(3,$B$15:B649)</f>
        <v>2</v>
      </c>
      <c r="B649" s="382" t="s">
        <v>1636</v>
      </c>
      <c r="C649" s="383" t="s">
        <v>1637</v>
      </c>
      <c r="D649" s="384" t="s">
        <v>407</v>
      </c>
      <c r="E649" s="385">
        <v>21</v>
      </c>
      <c r="F649" s="384">
        <v>21</v>
      </c>
      <c r="G649" s="358">
        <v>14849964</v>
      </c>
      <c r="H649" s="359">
        <f t="shared" si="19"/>
        <v>14063556</v>
      </c>
      <c r="I649" s="360"/>
      <c r="J649" s="361"/>
      <c r="K649" s="362"/>
      <c r="L649" s="362"/>
      <c r="M649" s="361">
        <v>599168</v>
      </c>
      <c r="N649" s="361">
        <v>1310680</v>
      </c>
      <c r="O649" s="361">
        <v>112344</v>
      </c>
      <c r="P649" s="361">
        <v>224688</v>
      </c>
      <c r="Q649" s="361">
        <v>74896</v>
      </c>
      <c r="R649" s="361">
        <v>74896</v>
      </c>
      <c r="S649" s="361">
        <v>149792</v>
      </c>
      <c r="T649" s="386">
        <v>1047000</v>
      </c>
      <c r="U649" s="364">
        <f t="shared" si="20"/>
        <v>17657020</v>
      </c>
      <c r="V649" s="362"/>
      <c r="W649" s="365" t="str">
        <f>+VLOOKUP($B649,[2]Time_S4!$B:$G,6,0)</f>
        <v>Trung tâm Đảm bảo chất lượng</v>
      </c>
      <c r="X649" s="365" t="str">
        <f>IF(W649="Phòng Kinh doanh","Trung tâm Kinh doanh - TCT CNC",+VLOOKUP($B649,[2]Time_S4!$B:$G,5,0))</f>
        <v>Khối 1 - TCT CNC</v>
      </c>
      <c r="Y649" s="366"/>
      <c r="Z649" s="366"/>
    </row>
    <row r="650" spans="1:26" ht="15.75" hidden="1">
      <c r="A650" s="367">
        <f>SUBTOTAL(3,$B$15:B650)</f>
        <v>2</v>
      </c>
      <c r="B650" s="382" t="s">
        <v>1638</v>
      </c>
      <c r="C650" s="383" t="s">
        <v>1639</v>
      </c>
      <c r="D650" s="384" t="s">
        <v>407</v>
      </c>
      <c r="E650" s="385">
        <v>21</v>
      </c>
      <c r="F650" s="384">
        <v>21</v>
      </c>
      <c r="G650" s="358">
        <v>45360304</v>
      </c>
      <c r="H650" s="359">
        <f t="shared" si="19"/>
        <v>44115592</v>
      </c>
      <c r="I650" s="360"/>
      <c r="J650" s="361"/>
      <c r="K650" s="362"/>
      <c r="L650" s="362"/>
      <c r="M650" s="361">
        <v>948352</v>
      </c>
      <c r="N650" s="361">
        <v>2074520</v>
      </c>
      <c r="O650" s="361">
        <v>177816</v>
      </c>
      <c r="P650" s="361">
        <v>355632</v>
      </c>
      <c r="Q650" s="361">
        <v>118544</v>
      </c>
      <c r="R650" s="361">
        <v>118544</v>
      </c>
      <c r="S650" s="361">
        <v>237088</v>
      </c>
      <c r="T650" s="386">
        <v>1030000</v>
      </c>
      <c r="U650" s="364">
        <f t="shared" si="20"/>
        <v>49176088</v>
      </c>
      <c r="V650" s="362"/>
      <c r="W650" s="365" t="str">
        <f>+VLOOKUP($B650,[2]Time_S4!$B:$G,6,0)</f>
        <v>Trung tâm Camera</v>
      </c>
      <c r="X650" s="365" t="str">
        <f>IF(W650="Phòng Kinh doanh","Trung tâm Kinh doanh - TCT CNC",+VLOOKUP($B650,[2]Time_S4!$B:$G,5,0))</f>
        <v>Khối 3 - TCT CNC</v>
      </c>
      <c r="Y650" s="366"/>
      <c r="Z650" s="366"/>
    </row>
    <row r="651" spans="1:26" ht="15.75" hidden="1">
      <c r="A651" s="367">
        <f>SUBTOTAL(3,$B$15:B651)</f>
        <v>2</v>
      </c>
      <c r="B651" s="382" t="s">
        <v>1640</v>
      </c>
      <c r="C651" s="383" t="s">
        <v>1641</v>
      </c>
      <c r="D651" s="384" t="s">
        <v>407</v>
      </c>
      <c r="E651" s="385">
        <v>21</v>
      </c>
      <c r="F651" s="384">
        <v>21</v>
      </c>
      <c r="G651" s="358">
        <v>42162286</v>
      </c>
      <c r="H651" s="359">
        <f t="shared" si="19"/>
        <v>41037358</v>
      </c>
      <c r="I651" s="360"/>
      <c r="J651" s="361"/>
      <c r="K651" s="362"/>
      <c r="L651" s="362"/>
      <c r="M651" s="361">
        <v>857088</v>
      </c>
      <c r="N651" s="361">
        <v>1874880</v>
      </c>
      <c r="O651" s="361">
        <v>160704</v>
      </c>
      <c r="P651" s="361">
        <v>321408</v>
      </c>
      <c r="Q651" s="361">
        <v>107136</v>
      </c>
      <c r="R651" s="361">
        <v>107136</v>
      </c>
      <c r="S651" s="361">
        <v>214272</v>
      </c>
      <c r="T651" s="386">
        <v>1030000</v>
      </c>
      <c r="U651" s="364">
        <f t="shared" si="20"/>
        <v>45709982</v>
      </c>
      <c r="V651" s="362"/>
      <c r="W651" s="365" t="str">
        <f>+VLOOKUP($B651,[2]Time_S4!$B:$G,6,0)</f>
        <v>Trung tâm Nghiên cứu Công nghệ truyền dẫn</v>
      </c>
      <c r="X651" s="365" t="str">
        <f>IF(W651="Phòng Kinh doanh","Trung tâm Kinh doanh - TCT CNC",+VLOOKUP($B651,[2]Time_S4!$B:$G,5,0))</f>
        <v>Khối 2 - TCT CNC</v>
      </c>
      <c r="Y651" s="366"/>
      <c r="Z651" s="366"/>
    </row>
    <row r="652" spans="1:26" ht="15.75" hidden="1">
      <c r="A652" s="367">
        <f>SUBTOTAL(3,$B$15:B652)</f>
        <v>2</v>
      </c>
      <c r="B652" s="382" t="s">
        <v>1642</v>
      </c>
      <c r="C652" s="383" t="s">
        <v>1643</v>
      </c>
      <c r="D652" s="384" t="s">
        <v>407</v>
      </c>
      <c r="E652" s="385">
        <v>21</v>
      </c>
      <c r="F652" s="384">
        <v>21</v>
      </c>
      <c r="G652" s="358">
        <v>24021572</v>
      </c>
      <c r="H652" s="359">
        <f t="shared" si="19"/>
        <v>23058092</v>
      </c>
      <c r="I652" s="360"/>
      <c r="J652" s="361"/>
      <c r="K652" s="362"/>
      <c r="L652" s="362"/>
      <c r="M652" s="361">
        <v>734080</v>
      </c>
      <c r="N652" s="361">
        <v>1605800</v>
      </c>
      <c r="O652" s="361">
        <v>137640</v>
      </c>
      <c r="P652" s="361">
        <v>275280</v>
      </c>
      <c r="Q652" s="361">
        <v>91760</v>
      </c>
      <c r="R652" s="361">
        <v>91760</v>
      </c>
      <c r="S652" s="361">
        <v>183520</v>
      </c>
      <c r="T652" s="386">
        <v>930000</v>
      </c>
      <c r="U652" s="364">
        <f t="shared" si="20"/>
        <v>27107932</v>
      </c>
      <c r="V652" s="362"/>
      <c r="W652" s="365" t="str">
        <f>+VLOOKUP($B652,[2]Time_S4!$B:$G,6,0)</f>
        <v>Phòng Nhân sự</v>
      </c>
      <c r="X652" s="365" t="str">
        <f>IF(W652="Phòng Kinh doanh","Trung tâm Kinh doanh - TCT CNC",+VLOOKUP($B652,[2]Time_S4!$B:$G,5,0))</f>
        <v>Khối cơ quan - TCT CNC</v>
      </c>
      <c r="Y652" s="366"/>
      <c r="Z652" s="366"/>
    </row>
    <row r="653" spans="1:26" ht="15.75" hidden="1">
      <c r="A653" s="367">
        <f>SUBTOTAL(3,$B$15:B653)</f>
        <v>2</v>
      </c>
      <c r="B653" s="382" t="s">
        <v>1644</v>
      </c>
      <c r="C653" s="383" t="s">
        <v>1645</v>
      </c>
      <c r="D653" s="384" t="s">
        <v>407</v>
      </c>
      <c r="E653" s="385">
        <v>21</v>
      </c>
      <c r="F653" s="384">
        <v>21</v>
      </c>
      <c r="G653" s="358">
        <v>40415786</v>
      </c>
      <c r="H653" s="359">
        <f t="shared" si="19"/>
        <v>39233570</v>
      </c>
      <c r="I653" s="360"/>
      <c r="J653" s="361"/>
      <c r="K653" s="362"/>
      <c r="L653" s="362"/>
      <c r="M653" s="361">
        <v>900736</v>
      </c>
      <c r="N653" s="361">
        <v>1970360</v>
      </c>
      <c r="O653" s="361">
        <v>168888</v>
      </c>
      <c r="P653" s="361">
        <v>337776</v>
      </c>
      <c r="Q653" s="361">
        <v>112592</v>
      </c>
      <c r="R653" s="361">
        <v>112592</v>
      </c>
      <c r="S653" s="361">
        <v>225184</v>
      </c>
      <c r="T653" s="386">
        <v>1130000</v>
      </c>
      <c r="U653" s="364">
        <f t="shared" si="20"/>
        <v>44191698</v>
      </c>
      <c r="V653" s="362"/>
      <c r="W653" s="365" t="str">
        <f>+VLOOKUP($B653,[2]Time_S4!$B:$G,6,0)</f>
        <v>Phòng Phát triển thị trường Quốc tế</v>
      </c>
      <c r="X653" s="365" t="str">
        <f>IF(W653="Phòng Kinh doanh","Trung tâm Kinh doanh - TCT CNC",+VLOOKUP($B653,[2]Time_S4!$B:$G,5,0))</f>
        <v>Trung tâm Kinh doanh - TCT CNC</v>
      </c>
      <c r="Y653" s="366"/>
      <c r="Z653" s="366"/>
    </row>
    <row r="654" spans="1:26" ht="15.75" hidden="1">
      <c r="A654" s="367">
        <f>SUBTOTAL(3,$B$15:B654)</f>
        <v>2</v>
      </c>
      <c r="B654" s="382" t="s">
        <v>1646</v>
      </c>
      <c r="C654" s="383" t="s">
        <v>1647</v>
      </c>
      <c r="D654" s="384" t="s">
        <v>407</v>
      </c>
      <c r="E654" s="385">
        <v>21</v>
      </c>
      <c r="F654" s="384">
        <v>21</v>
      </c>
      <c r="G654" s="358">
        <v>33211072</v>
      </c>
      <c r="H654" s="359">
        <f t="shared" si="19"/>
        <v>32195512</v>
      </c>
      <c r="I654" s="360"/>
      <c r="J654" s="361"/>
      <c r="K654" s="362"/>
      <c r="L654" s="362"/>
      <c r="M654" s="361">
        <v>773760</v>
      </c>
      <c r="N654" s="361">
        <v>1692600</v>
      </c>
      <c r="O654" s="361">
        <v>145080</v>
      </c>
      <c r="P654" s="361">
        <v>290160</v>
      </c>
      <c r="Q654" s="361">
        <v>96720</v>
      </c>
      <c r="R654" s="361">
        <v>96720</v>
      </c>
      <c r="S654" s="361">
        <v>193440</v>
      </c>
      <c r="T654" s="386">
        <v>1030000</v>
      </c>
      <c r="U654" s="364">
        <f t="shared" si="20"/>
        <v>36513992</v>
      </c>
      <c r="V654" s="362"/>
      <c r="W654" s="365" t="str">
        <f>+VLOOKUP($B654,[2]Time_S4!$B:$G,6,0)</f>
        <v>Trung tâm Công nghệ Cơ khí - Tự động hóa</v>
      </c>
      <c r="X654" s="365" t="str">
        <f>IF(W654="Phòng Kinh doanh","Trung tâm Kinh doanh - TCT CNC",+VLOOKUP($B654,[2]Time_S4!$B:$G,5,0))</f>
        <v>Khối 1 - TCT CNC</v>
      </c>
      <c r="Y654" s="366"/>
      <c r="Z654" s="366"/>
    </row>
    <row r="655" spans="1:26" ht="15.75" hidden="1">
      <c r="A655" s="367">
        <f>SUBTOTAL(3,$B$15:B655)</f>
        <v>2</v>
      </c>
      <c r="B655" s="382" t="s">
        <v>1648</v>
      </c>
      <c r="C655" s="383" t="s">
        <v>1649</v>
      </c>
      <c r="D655" s="384" t="s">
        <v>407</v>
      </c>
      <c r="E655" s="385">
        <v>21</v>
      </c>
      <c r="F655" s="384">
        <v>21</v>
      </c>
      <c r="G655" s="358">
        <v>31601450</v>
      </c>
      <c r="H655" s="359">
        <f t="shared" si="19"/>
        <v>30585890</v>
      </c>
      <c r="I655" s="360"/>
      <c r="J655" s="361"/>
      <c r="K655" s="362"/>
      <c r="L655" s="362"/>
      <c r="M655" s="361">
        <v>773760</v>
      </c>
      <c r="N655" s="361">
        <v>1692600</v>
      </c>
      <c r="O655" s="361">
        <v>145080</v>
      </c>
      <c r="P655" s="361">
        <v>290160</v>
      </c>
      <c r="Q655" s="361">
        <v>96720</v>
      </c>
      <c r="R655" s="361">
        <v>96720</v>
      </c>
      <c r="S655" s="361">
        <v>193440</v>
      </c>
      <c r="T655" s="386">
        <v>1030000</v>
      </c>
      <c r="U655" s="364">
        <f t="shared" si="20"/>
        <v>34904370</v>
      </c>
      <c r="V655" s="362"/>
      <c r="W655" s="365" t="str">
        <f>+VLOOKUP($B655,[2]Time_S4!$B:$G,6,0)</f>
        <v>Trung tâm Tác chiến điện tử</v>
      </c>
      <c r="X655" s="365" t="str">
        <f>IF(W655="Phòng Kinh doanh","Trung tâm Kinh doanh - TCT CNC",+VLOOKUP($B655,[2]Time_S4!$B:$G,5,0))</f>
        <v>Khối 1 - TCT CNC</v>
      </c>
      <c r="Y655" s="366"/>
      <c r="Z655" s="366"/>
    </row>
    <row r="656" spans="1:26" ht="15.75" hidden="1">
      <c r="A656" s="367">
        <f>SUBTOTAL(3,$B$15:B656)</f>
        <v>2</v>
      </c>
      <c r="B656" s="382" t="s">
        <v>1650</v>
      </c>
      <c r="C656" s="383" t="s">
        <v>1651</v>
      </c>
      <c r="D656" s="384" t="s">
        <v>407</v>
      </c>
      <c r="E656" s="385">
        <v>21</v>
      </c>
      <c r="F656" s="384">
        <v>21</v>
      </c>
      <c r="G656" s="358">
        <v>30142054</v>
      </c>
      <c r="H656" s="359">
        <f t="shared" ref="H656:H719" si="21">+G656-SUM(M656,O656,Q656)</f>
        <v>29074414</v>
      </c>
      <c r="I656" s="360"/>
      <c r="J656" s="361"/>
      <c r="K656" s="362"/>
      <c r="L656" s="362"/>
      <c r="M656" s="361">
        <v>813440</v>
      </c>
      <c r="N656" s="361">
        <v>1779400</v>
      </c>
      <c r="O656" s="361">
        <v>152520</v>
      </c>
      <c r="P656" s="361">
        <v>305040</v>
      </c>
      <c r="Q656" s="361">
        <v>101680</v>
      </c>
      <c r="R656" s="361">
        <v>101680</v>
      </c>
      <c r="S656" s="361">
        <v>203360</v>
      </c>
      <c r="T656" s="386">
        <v>1030000</v>
      </c>
      <c r="U656" s="364">
        <f t="shared" ref="U656:U719" si="22">+SUM(H656:T656)</f>
        <v>33561534</v>
      </c>
      <c r="V656" s="362"/>
      <c r="W656" s="365" t="str">
        <f>+VLOOKUP($B656,[2]Time_S4!$B:$G,6,0)</f>
        <v>Trung tâm Tác chiến điện tử</v>
      </c>
      <c r="X656" s="365" t="str">
        <f>IF(W656="Phòng Kinh doanh","Trung tâm Kinh doanh - TCT CNC",+VLOOKUP($B656,[2]Time_S4!$B:$G,5,0))</f>
        <v>Khối 1 - TCT CNC</v>
      </c>
      <c r="Y656" s="366"/>
      <c r="Z656" s="366"/>
    </row>
    <row r="657" spans="1:26" ht="15.75" hidden="1">
      <c r="A657" s="367">
        <f>SUBTOTAL(3,$B$15:B657)</f>
        <v>2</v>
      </c>
      <c r="B657" s="382" t="s">
        <v>1652</v>
      </c>
      <c r="C657" s="383" t="s">
        <v>1653</v>
      </c>
      <c r="D657" s="384" t="s">
        <v>407</v>
      </c>
      <c r="E657" s="385">
        <v>21</v>
      </c>
      <c r="F657" s="384">
        <v>21</v>
      </c>
      <c r="G657" s="358">
        <v>26960570</v>
      </c>
      <c r="H657" s="359">
        <f t="shared" si="21"/>
        <v>25945010</v>
      </c>
      <c r="I657" s="360"/>
      <c r="J657" s="361"/>
      <c r="K657" s="362"/>
      <c r="L657" s="362"/>
      <c r="M657" s="361">
        <v>773760</v>
      </c>
      <c r="N657" s="361">
        <v>1692600</v>
      </c>
      <c r="O657" s="361">
        <v>145080</v>
      </c>
      <c r="P657" s="361">
        <v>290160</v>
      </c>
      <c r="Q657" s="361">
        <v>96720</v>
      </c>
      <c r="R657" s="361">
        <v>96720</v>
      </c>
      <c r="S657" s="361">
        <v>193440</v>
      </c>
      <c r="T657" s="386">
        <v>1047000</v>
      </c>
      <c r="U657" s="364">
        <f t="shared" si="22"/>
        <v>30280490</v>
      </c>
      <c r="V657" s="362"/>
      <c r="W657" s="365" t="str">
        <f>+VLOOKUP($B657,[2]Time_S4!$B:$G,6,0)</f>
        <v>Trung tâm Chỉ huy điều khiển</v>
      </c>
      <c r="X657" s="365" t="str">
        <f>IF(W657="Phòng Kinh doanh","Trung tâm Kinh doanh - TCT CNC",+VLOOKUP($B657,[2]Time_S4!$B:$G,5,0))</f>
        <v>Khối 1 - TCT CNC</v>
      </c>
      <c r="Y657" s="366"/>
      <c r="Z657" s="366"/>
    </row>
    <row r="658" spans="1:26" ht="15.75" hidden="1">
      <c r="A658" s="367">
        <f>SUBTOTAL(3,$B$15:B658)</f>
        <v>2</v>
      </c>
      <c r="B658" s="382" t="s">
        <v>1654</v>
      </c>
      <c r="C658" s="383" t="s">
        <v>1655</v>
      </c>
      <c r="D658" s="384" t="s">
        <v>410</v>
      </c>
      <c r="E658" s="385">
        <v>21</v>
      </c>
      <c r="F658" s="384">
        <v>21</v>
      </c>
      <c r="G658" s="358">
        <v>39993715</v>
      </c>
      <c r="H658" s="359">
        <f t="shared" si="21"/>
        <v>38523446</v>
      </c>
      <c r="I658" s="360"/>
      <c r="J658" s="361"/>
      <c r="K658" s="362"/>
      <c r="L658" s="362"/>
      <c r="M658" s="361">
        <v>1470269</v>
      </c>
      <c r="N658" s="361">
        <v>3216213</v>
      </c>
      <c r="O658" s="361">
        <v>0</v>
      </c>
      <c r="P658" s="361">
        <v>0</v>
      </c>
      <c r="Q658" s="361">
        <v>0</v>
      </c>
      <c r="R658" s="361">
        <v>0</v>
      </c>
      <c r="S658" s="361">
        <v>367567</v>
      </c>
      <c r="T658" s="386">
        <v>1030000</v>
      </c>
      <c r="U658" s="364">
        <f t="shared" si="22"/>
        <v>44607495</v>
      </c>
      <c r="V658" s="362"/>
      <c r="W658" s="365" t="str">
        <f>+VLOOKUP($B658,[2]Time_S4!$B:$G,6,0)</f>
        <v>Trung tâm Nghiên cứu Công nghệ chuyển mạch</v>
      </c>
      <c r="X658" s="365" t="str">
        <f>IF(W658="Phòng Kinh doanh","Trung tâm Kinh doanh - TCT CNC",+VLOOKUP($B658,[2]Time_S4!$B:$G,5,0))</f>
        <v>Khối 2 - TCT CNC</v>
      </c>
      <c r="Y658" s="366"/>
      <c r="Z658" s="366"/>
    </row>
    <row r="659" spans="1:26" ht="15.75" hidden="1">
      <c r="A659" s="367">
        <f>SUBTOTAL(3,$B$15:B659)</f>
        <v>2</v>
      </c>
      <c r="B659" s="382" t="s">
        <v>1656</v>
      </c>
      <c r="C659" s="383" t="s">
        <v>1657</v>
      </c>
      <c r="D659" s="384" t="s">
        <v>407</v>
      </c>
      <c r="E659" s="385">
        <v>21</v>
      </c>
      <c r="F659" s="384">
        <v>21</v>
      </c>
      <c r="G659" s="358">
        <v>38634444</v>
      </c>
      <c r="H659" s="359">
        <f t="shared" si="21"/>
        <v>37509516</v>
      </c>
      <c r="I659" s="360"/>
      <c r="J659" s="361"/>
      <c r="K659" s="362"/>
      <c r="L659" s="362"/>
      <c r="M659" s="361">
        <v>857088</v>
      </c>
      <c r="N659" s="361">
        <v>1874880</v>
      </c>
      <c r="O659" s="361">
        <v>160704</v>
      </c>
      <c r="P659" s="361">
        <v>321408</v>
      </c>
      <c r="Q659" s="361">
        <v>107136</v>
      </c>
      <c r="R659" s="361">
        <v>107136</v>
      </c>
      <c r="S659" s="361">
        <v>214272</v>
      </c>
      <c r="T659" s="386">
        <v>1030000</v>
      </c>
      <c r="U659" s="364">
        <f t="shared" si="22"/>
        <v>42182140</v>
      </c>
      <c r="V659" s="362"/>
      <c r="W659" s="365" t="str">
        <f>+VLOOKUP($B659,[2]Time_S4!$B:$G,6,0)</f>
        <v>Trung tâm Mô hình mô phỏng</v>
      </c>
      <c r="X659" s="365" t="str">
        <f>IF(W659="Phòng Kinh doanh","Trung tâm Kinh doanh - TCT CNC",+VLOOKUP($B659,[2]Time_S4!$B:$G,5,0))</f>
        <v>Khối 1 - TCT CNC</v>
      </c>
      <c r="Y659" s="366"/>
      <c r="Z659" s="366"/>
    </row>
    <row r="660" spans="1:26" ht="15.75" hidden="1">
      <c r="A660" s="367">
        <f>SUBTOTAL(3,$B$15:B660)</f>
        <v>2</v>
      </c>
      <c r="B660" s="382" t="s">
        <v>1658</v>
      </c>
      <c r="C660" s="383" t="s">
        <v>1659</v>
      </c>
      <c r="D660" s="384" t="s">
        <v>407</v>
      </c>
      <c r="E660" s="385">
        <v>21</v>
      </c>
      <c r="F660" s="384">
        <v>21</v>
      </c>
      <c r="G660" s="358">
        <v>26855736</v>
      </c>
      <c r="H660" s="359">
        <f t="shared" si="21"/>
        <v>25840176</v>
      </c>
      <c r="I660" s="360"/>
      <c r="J660" s="361"/>
      <c r="K660" s="362"/>
      <c r="L660" s="362"/>
      <c r="M660" s="361">
        <v>773760</v>
      </c>
      <c r="N660" s="361">
        <v>1692600</v>
      </c>
      <c r="O660" s="361">
        <v>145080</v>
      </c>
      <c r="P660" s="361">
        <v>290160</v>
      </c>
      <c r="Q660" s="361">
        <v>96720</v>
      </c>
      <c r="R660" s="361">
        <v>96720</v>
      </c>
      <c r="S660" s="361">
        <v>193440</v>
      </c>
      <c r="T660" s="386">
        <v>1030000</v>
      </c>
      <c r="U660" s="364">
        <f t="shared" si="22"/>
        <v>30158656</v>
      </c>
      <c r="V660" s="362"/>
      <c r="W660" s="365" t="str">
        <f>+VLOOKUP($B660,[2]Time_S4!$B:$G,6,0)</f>
        <v>Trung tâm Rada</v>
      </c>
      <c r="X660" s="365" t="str">
        <f>IF(W660="Phòng Kinh doanh","Trung tâm Kinh doanh - TCT CNC",+VLOOKUP($B660,[2]Time_S4!$B:$G,5,0))</f>
        <v>Khối 1 - TCT CNC</v>
      </c>
      <c r="Y660" s="366"/>
      <c r="Z660" s="366"/>
    </row>
    <row r="661" spans="1:26" ht="15.75" hidden="1">
      <c r="A661" s="367">
        <f>SUBTOTAL(3,$B$15:B661)</f>
        <v>2</v>
      </c>
      <c r="B661" s="382" t="s">
        <v>1660</v>
      </c>
      <c r="C661" s="383" t="s">
        <v>1661</v>
      </c>
      <c r="D661" s="384" t="s">
        <v>407</v>
      </c>
      <c r="E661" s="385">
        <v>21</v>
      </c>
      <c r="F661" s="384">
        <v>21</v>
      </c>
      <c r="G661" s="358">
        <v>33781086</v>
      </c>
      <c r="H661" s="359">
        <f t="shared" si="21"/>
        <v>32713446</v>
      </c>
      <c r="I661" s="360"/>
      <c r="J661" s="361"/>
      <c r="K661" s="362"/>
      <c r="L661" s="362"/>
      <c r="M661" s="361">
        <v>813440</v>
      </c>
      <c r="N661" s="361">
        <v>1779400</v>
      </c>
      <c r="O661" s="361">
        <v>152520</v>
      </c>
      <c r="P661" s="361">
        <v>305040</v>
      </c>
      <c r="Q661" s="361">
        <v>101680</v>
      </c>
      <c r="R661" s="361">
        <v>101680</v>
      </c>
      <c r="S661" s="361">
        <v>203360</v>
      </c>
      <c r="T661" s="386">
        <v>1030000</v>
      </c>
      <c r="U661" s="364">
        <f t="shared" si="22"/>
        <v>37200566</v>
      </c>
      <c r="V661" s="362"/>
      <c r="W661" s="365" t="str">
        <f>+VLOOKUP($B661,[2]Time_S4!$B:$G,6,0)</f>
        <v>Trung tâm Rada</v>
      </c>
      <c r="X661" s="365" t="str">
        <f>IF(W661="Phòng Kinh doanh","Trung tâm Kinh doanh - TCT CNC",+VLOOKUP($B661,[2]Time_S4!$B:$G,5,0))</f>
        <v>Khối 1 - TCT CNC</v>
      </c>
      <c r="Y661" s="366"/>
      <c r="Z661" s="366"/>
    </row>
    <row r="662" spans="1:26" ht="15.75" hidden="1">
      <c r="A662" s="367">
        <f>SUBTOTAL(3,$B$15:B662)</f>
        <v>2</v>
      </c>
      <c r="B662" s="382" t="s">
        <v>1662</v>
      </c>
      <c r="C662" s="383" t="s">
        <v>1663</v>
      </c>
      <c r="D662" s="384" t="s">
        <v>407</v>
      </c>
      <c r="E662" s="385">
        <v>21</v>
      </c>
      <c r="F662" s="384">
        <v>21</v>
      </c>
      <c r="G662" s="358">
        <v>31601450</v>
      </c>
      <c r="H662" s="359">
        <f t="shared" si="21"/>
        <v>30585890</v>
      </c>
      <c r="I662" s="360"/>
      <c r="J662" s="361"/>
      <c r="K662" s="362"/>
      <c r="L662" s="362"/>
      <c r="M662" s="361">
        <v>773760</v>
      </c>
      <c r="N662" s="361">
        <v>1692600</v>
      </c>
      <c r="O662" s="361">
        <v>145080</v>
      </c>
      <c r="P662" s="361">
        <v>290160</v>
      </c>
      <c r="Q662" s="361">
        <v>96720</v>
      </c>
      <c r="R662" s="361">
        <v>96720</v>
      </c>
      <c r="S662" s="361">
        <v>193440</v>
      </c>
      <c r="T662" s="386">
        <v>1030000</v>
      </c>
      <c r="U662" s="364">
        <f t="shared" si="22"/>
        <v>34904370</v>
      </c>
      <c r="V662" s="362"/>
      <c r="W662" s="365" t="str">
        <f>+VLOOKUP($B662,[2]Time_S4!$B:$G,6,0)</f>
        <v>Trung tâm Mô hình mô phỏng</v>
      </c>
      <c r="X662" s="365" t="str">
        <f>IF(W662="Phòng Kinh doanh","Trung tâm Kinh doanh - TCT CNC",+VLOOKUP($B662,[2]Time_S4!$B:$G,5,0))</f>
        <v>Khối 1 - TCT CNC</v>
      </c>
      <c r="Y662" s="366"/>
      <c r="Z662" s="366"/>
    </row>
    <row r="663" spans="1:26" ht="15.75" hidden="1">
      <c r="A663" s="367">
        <f>SUBTOTAL(3,$B$15:B663)</f>
        <v>2</v>
      </c>
      <c r="B663" s="382" t="s">
        <v>1664</v>
      </c>
      <c r="C663" s="383" t="s">
        <v>1665</v>
      </c>
      <c r="D663" s="384" t="s">
        <v>407</v>
      </c>
      <c r="E663" s="385">
        <v>21</v>
      </c>
      <c r="F663" s="384">
        <v>21</v>
      </c>
      <c r="G663" s="358">
        <v>82955600</v>
      </c>
      <c r="H663" s="359">
        <f t="shared" si="21"/>
        <v>81434864</v>
      </c>
      <c r="I663" s="360"/>
      <c r="J663" s="361"/>
      <c r="K663" s="362"/>
      <c r="L663" s="362"/>
      <c r="M663" s="361">
        <v>1158656</v>
      </c>
      <c r="N663" s="361">
        <v>2534560</v>
      </c>
      <c r="O663" s="361">
        <v>217248</v>
      </c>
      <c r="P663" s="361">
        <v>434496</v>
      </c>
      <c r="Q663" s="361">
        <v>144832</v>
      </c>
      <c r="R663" s="361">
        <v>144832</v>
      </c>
      <c r="S663" s="361">
        <v>289664</v>
      </c>
      <c r="T663" s="386">
        <v>1730000</v>
      </c>
      <c r="U663" s="364">
        <f t="shared" si="22"/>
        <v>88089152</v>
      </c>
      <c r="V663" s="362"/>
      <c r="W663" s="365" t="str">
        <f>+VLOOKUP($B663,[2]Time_S4!$B:$G,6,0)</f>
        <v>Ban Giám đốc</v>
      </c>
      <c r="X663" s="365" t="str">
        <f>IF(W663="Phòng Kinh doanh","Trung tâm Kinh doanh - TCT CNC",+VLOOKUP($B663,[2]Time_S4!$B:$G,5,0))</f>
        <v>Trung tâm Kinh doanh - TCT CNC</v>
      </c>
      <c r="Y663" s="366"/>
      <c r="Z663" s="366"/>
    </row>
    <row r="664" spans="1:26" ht="15.75" hidden="1">
      <c r="A664" s="367">
        <f>SUBTOTAL(3,$B$15:B664)</f>
        <v>2</v>
      </c>
      <c r="B664" s="382" t="s">
        <v>1666</v>
      </c>
      <c r="C664" s="383" t="s">
        <v>1667</v>
      </c>
      <c r="D664" s="384" t="s">
        <v>407</v>
      </c>
      <c r="E664" s="385">
        <v>21</v>
      </c>
      <c r="F664" s="384">
        <v>21</v>
      </c>
      <c r="G664" s="358">
        <v>22088068</v>
      </c>
      <c r="H664" s="359">
        <f t="shared" si="21"/>
        <v>21124588</v>
      </c>
      <c r="I664" s="360"/>
      <c r="J664" s="361"/>
      <c r="K664" s="362"/>
      <c r="L664" s="362"/>
      <c r="M664" s="361">
        <v>734080</v>
      </c>
      <c r="N664" s="361">
        <v>1605800</v>
      </c>
      <c r="O664" s="361">
        <v>137640</v>
      </c>
      <c r="P664" s="361">
        <v>275280</v>
      </c>
      <c r="Q664" s="361">
        <v>91760</v>
      </c>
      <c r="R664" s="361">
        <v>91760</v>
      </c>
      <c r="S664" s="361">
        <v>183520</v>
      </c>
      <c r="T664" s="386">
        <v>930000</v>
      </c>
      <c r="U664" s="364">
        <f t="shared" si="22"/>
        <v>25174428</v>
      </c>
      <c r="V664" s="362"/>
      <c r="W664" s="365" t="str">
        <f>+VLOOKUP($B664,[2]Time_S4!$B:$G,6,0)</f>
        <v>Trung tâm Thông tin Quân sự</v>
      </c>
      <c r="X664" s="365" t="str">
        <f>IF(W664="Phòng Kinh doanh","Trung tâm Kinh doanh - TCT CNC",+VLOOKUP($B664,[2]Time_S4!$B:$G,5,0))</f>
        <v>Khối 1 - TCT CNC</v>
      </c>
      <c r="Y664" s="366"/>
      <c r="Z664" s="366"/>
    </row>
    <row r="665" spans="1:26" ht="15.75" hidden="1">
      <c r="A665" s="367">
        <f>SUBTOTAL(3,$B$15:B665)</f>
        <v>2</v>
      </c>
      <c r="B665" s="382" t="s">
        <v>1668</v>
      </c>
      <c r="C665" s="383" t="s">
        <v>1669</v>
      </c>
      <c r="D665" s="384" t="s">
        <v>407</v>
      </c>
      <c r="E665" s="385">
        <v>21</v>
      </c>
      <c r="F665" s="384">
        <v>21</v>
      </c>
      <c r="G665" s="358">
        <v>26730480</v>
      </c>
      <c r="H665" s="359">
        <f t="shared" si="21"/>
        <v>25767000</v>
      </c>
      <c r="I665" s="360"/>
      <c r="J665" s="361"/>
      <c r="K665" s="362"/>
      <c r="L665" s="362"/>
      <c r="M665" s="361">
        <v>734080</v>
      </c>
      <c r="N665" s="361">
        <v>1605800</v>
      </c>
      <c r="O665" s="361">
        <v>137640</v>
      </c>
      <c r="P665" s="361">
        <v>275280</v>
      </c>
      <c r="Q665" s="361">
        <v>91760</v>
      </c>
      <c r="R665" s="361">
        <v>91760</v>
      </c>
      <c r="S665" s="361">
        <v>183520</v>
      </c>
      <c r="T665" s="386">
        <v>930000</v>
      </c>
      <c r="U665" s="364">
        <f t="shared" si="22"/>
        <v>29816840</v>
      </c>
      <c r="V665" s="362"/>
      <c r="W665" s="365" t="str">
        <f>+VLOOKUP($B665,[2]Time_S4!$B:$G,6,0)</f>
        <v>Trung tâm Quang điện tử</v>
      </c>
      <c r="X665" s="365" t="str">
        <f>IF(W665="Phòng Kinh doanh","Trung tâm Kinh doanh - TCT CNC",+VLOOKUP($B665,[2]Time_S4!$B:$G,5,0))</f>
        <v>Khối 1 - TCT CNC</v>
      </c>
      <c r="Y665" s="366"/>
      <c r="Z665" s="366"/>
    </row>
    <row r="666" spans="1:26" ht="15.75" hidden="1">
      <c r="A666" s="367">
        <f>SUBTOTAL(3,$B$15:B666)</f>
        <v>2</v>
      </c>
      <c r="B666" s="382" t="s">
        <v>1670</v>
      </c>
      <c r="C666" s="383" t="s">
        <v>1671</v>
      </c>
      <c r="D666" s="384" t="s">
        <v>407</v>
      </c>
      <c r="E666" s="385">
        <v>21</v>
      </c>
      <c r="F666" s="384">
        <v>21</v>
      </c>
      <c r="G666" s="358">
        <v>37438374</v>
      </c>
      <c r="H666" s="359">
        <f t="shared" si="21"/>
        <v>36313446</v>
      </c>
      <c r="I666" s="360"/>
      <c r="J666" s="361"/>
      <c r="K666" s="362"/>
      <c r="L666" s="362"/>
      <c r="M666" s="361">
        <v>857088</v>
      </c>
      <c r="N666" s="361">
        <v>1874880</v>
      </c>
      <c r="O666" s="361">
        <v>160704</v>
      </c>
      <c r="P666" s="361">
        <v>321408</v>
      </c>
      <c r="Q666" s="361">
        <v>107136</v>
      </c>
      <c r="R666" s="361">
        <v>107136</v>
      </c>
      <c r="S666" s="361">
        <v>214272</v>
      </c>
      <c r="T666" s="386">
        <v>1030000</v>
      </c>
      <c r="U666" s="364">
        <f t="shared" si="22"/>
        <v>40986070</v>
      </c>
      <c r="V666" s="362"/>
      <c r="W666" s="365" t="str">
        <f>+VLOOKUP($B666,[2]Time_S4!$B:$G,6,0)</f>
        <v>Trung tâm Quang điện tử</v>
      </c>
      <c r="X666" s="365" t="str">
        <f>IF(W666="Phòng Kinh doanh","Trung tâm Kinh doanh - TCT CNC",+VLOOKUP($B666,[2]Time_S4!$B:$G,5,0))</f>
        <v>Khối 1 - TCT CNC</v>
      </c>
      <c r="Y666" s="366"/>
      <c r="Z666" s="366"/>
    </row>
    <row r="667" spans="1:26" ht="15.75" hidden="1">
      <c r="A667" s="367">
        <f>SUBTOTAL(3,$B$15:B667)</f>
        <v>2</v>
      </c>
      <c r="B667" s="382" t="s">
        <v>1672</v>
      </c>
      <c r="C667" s="383" t="s">
        <v>1673</v>
      </c>
      <c r="D667" s="384" t="s">
        <v>407</v>
      </c>
      <c r="E667" s="385">
        <v>21</v>
      </c>
      <c r="F667" s="384">
        <v>21</v>
      </c>
      <c r="G667" s="358">
        <v>36971720</v>
      </c>
      <c r="H667" s="359">
        <f t="shared" si="21"/>
        <v>35846792</v>
      </c>
      <c r="I667" s="360"/>
      <c r="J667" s="361"/>
      <c r="K667" s="362"/>
      <c r="L667" s="362"/>
      <c r="M667" s="361">
        <v>857088</v>
      </c>
      <c r="N667" s="361">
        <v>1874880</v>
      </c>
      <c r="O667" s="361">
        <v>160704</v>
      </c>
      <c r="P667" s="361">
        <v>321408</v>
      </c>
      <c r="Q667" s="361">
        <v>107136</v>
      </c>
      <c r="R667" s="361">
        <v>107136</v>
      </c>
      <c r="S667" s="361">
        <v>214272</v>
      </c>
      <c r="T667" s="386">
        <v>1147000</v>
      </c>
      <c r="U667" s="364">
        <f t="shared" si="22"/>
        <v>40636416</v>
      </c>
      <c r="V667" s="362"/>
      <c r="W667" s="365" t="str">
        <f>+VLOOKUP($B667,[2]Time_S4!$B:$G,6,0)</f>
        <v>Trung tâm Camera</v>
      </c>
      <c r="X667" s="365" t="str">
        <f>IF(W667="Phòng Kinh doanh","Trung tâm Kinh doanh - TCT CNC",+VLOOKUP($B667,[2]Time_S4!$B:$G,5,0))</f>
        <v>Khối 3 - TCT CNC</v>
      </c>
      <c r="Y667" s="366"/>
      <c r="Z667" s="366"/>
    </row>
    <row r="668" spans="1:26" ht="15.75" hidden="1">
      <c r="A668" s="367">
        <f>SUBTOTAL(3,$B$15:B668)</f>
        <v>2</v>
      </c>
      <c r="B668" s="382" t="s">
        <v>1674</v>
      </c>
      <c r="C668" s="383" t="s">
        <v>1675</v>
      </c>
      <c r="D668" s="384" t="s">
        <v>407</v>
      </c>
      <c r="E668" s="385">
        <v>21</v>
      </c>
      <c r="F668" s="384">
        <v>21</v>
      </c>
      <c r="G668" s="358">
        <v>41010023</v>
      </c>
      <c r="H668" s="359">
        <f t="shared" si="21"/>
        <v>39885095</v>
      </c>
      <c r="I668" s="360"/>
      <c r="J668" s="361"/>
      <c r="K668" s="362"/>
      <c r="L668" s="362"/>
      <c r="M668" s="361">
        <v>857088</v>
      </c>
      <c r="N668" s="361">
        <v>1874880</v>
      </c>
      <c r="O668" s="361">
        <v>160704</v>
      </c>
      <c r="P668" s="361">
        <v>321408</v>
      </c>
      <c r="Q668" s="361">
        <v>107136</v>
      </c>
      <c r="R668" s="361">
        <v>107136</v>
      </c>
      <c r="S668" s="361">
        <v>214272</v>
      </c>
      <c r="T668" s="386">
        <v>1030000</v>
      </c>
      <c r="U668" s="364">
        <f t="shared" si="22"/>
        <v>44557719</v>
      </c>
      <c r="V668" s="362"/>
      <c r="W668" s="365" t="str">
        <f>+VLOOKUP($B668,[2]Time_S4!$B:$G,6,0)</f>
        <v>Trung tâm Nghiên cứu thiết bị vô tuyến băng rộng</v>
      </c>
      <c r="X668" s="365" t="str">
        <f>IF(W668="Phòng Kinh doanh","Trung tâm Kinh doanh - TCT CNC",+VLOOKUP($B668,[2]Time_S4!$B:$G,5,0))</f>
        <v>Khối 2 - TCT CNC</v>
      </c>
      <c r="Y668" s="366"/>
      <c r="Z668" s="366"/>
    </row>
    <row r="669" spans="1:26" ht="15.75" hidden="1">
      <c r="A669" s="367">
        <f>SUBTOTAL(3,$B$15:B669)</f>
        <v>2</v>
      </c>
      <c r="B669" s="382" t="s">
        <v>1676</v>
      </c>
      <c r="C669" s="383" t="s">
        <v>1677</v>
      </c>
      <c r="D669" s="384" t="s">
        <v>407</v>
      </c>
      <c r="E669" s="385">
        <v>21</v>
      </c>
      <c r="F669" s="384">
        <v>21</v>
      </c>
      <c r="G669" s="358">
        <v>35650853</v>
      </c>
      <c r="H669" s="359">
        <f t="shared" si="21"/>
        <v>34525925</v>
      </c>
      <c r="I669" s="360"/>
      <c r="J669" s="361"/>
      <c r="K669" s="362"/>
      <c r="L669" s="362"/>
      <c r="M669" s="361">
        <v>857088</v>
      </c>
      <c r="N669" s="361">
        <v>1874880</v>
      </c>
      <c r="O669" s="361">
        <v>160704</v>
      </c>
      <c r="P669" s="361">
        <v>321408</v>
      </c>
      <c r="Q669" s="361">
        <v>107136</v>
      </c>
      <c r="R669" s="361">
        <v>107136</v>
      </c>
      <c r="S669" s="361">
        <v>214272</v>
      </c>
      <c r="T669" s="386">
        <v>1030000</v>
      </c>
      <c r="U669" s="364">
        <f t="shared" si="22"/>
        <v>39198549</v>
      </c>
      <c r="V669" s="362"/>
      <c r="W669" s="365" t="str">
        <f>+VLOOKUP($B669,[2]Time_S4!$B:$G,6,0)</f>
        <v>Trung tâm Nghiên cứu thiết bị vô tuyến băng rộng</v>
      </c>
      <c r="X669" s="365" t="str">
        <f>IF(W669="Phòng Kinh doanh","Trung tâm Kinh doanh - TCT CNC",+VLOOKUP($B669,[2]Time_S4!$B:$G,5,0))</f>
        <v>Khối 2 - TCT CNC</v>
      </c>
      <c r="Y669" s="366"/>
      <c r="Z669" s="366"/>
    </row>
    <row r="670" spans="1:26" ht="15.75" hidden="1">
      <c r="A670" s="367">
        <f>SUBTOTAL(3,$B$15:B670)</f>
        <v>2</v>
      </c>
      <c r="B670" s="382" t="s">
        <v>1678</v>
      </c>
      <c r="C670" s="383" t="s">
        <v>1679</v>
      </c>
      <c r="D670" s="384" t="s">
        <v>407</v>
      </c>
      <c r="E670" s="385">
        <v>21</v>
      </c>
      <c r="F670" s="384">
        <v>21</v>
      </c>
      <c r="G670" s="358">
        <v>22320526</v>
      </c>
      <c r="H670" s="359">
        <f t="shared" si="21"/>
        <v>21357046</v>
      </c>
      <c r="I670" s="360"/>
      <c r="J670" s="361"/>
      <c r="K670" s="362"/>
      <c r="L670" s="362"/>
      <c r="M670" s="361">
        <v>734080</v>
      </c>
      <c r="N670" s="361">
        <v>1605800</v>
      </c>
      <c r="O670" s="361">
        <v>137640</v>
      </c>
      <c r="P670" s="361">
        <v>275280</v>
      </c>
      <c r="Q670" s="361">
        <v>91760</v>
      </c>
      <c r="R670" s="361">
        <v>91760</v>
      </c>
      <c r="S670" s="361">
        <v>183520</v>
      </c>
      <c r="T670" s="386">
        <v>1047000</v>
      </c>
      <c r="U670" s="364">
        <f t="shared" si="22"/>
        <v>25523886</v>
      </c>
      <c r="V670" s="362"/>
      <c r="W670" s="365" t="str">
        <f>+VLOOKUP($B670,[2]Time_S4!$B:$G,6,0)</f>
        <v>Phòng Quản lý chất lượng</v>
      </c>
      <c r="X670" s="365" t="str">
        <f>IF(W670="Phòng Kinh doanh","Trung tâm Kinh doanh - TCT CNC",+VLOOKUP($B670,[2]Time_S4!$B:$G,5,0))</f>
        <v>Khối 3 - TCT CNC</v>
      </c>
      <c r="Y670" s="366"/>
      <c r="Z670" s="366"/>
    </row>
    <row r="671" spans="1:26" ht="15.75" hidden="1">
      <c r="A671" s="367">
        <f>SUBTOTAL(3,$B$15:B671)</f>
        <v>2</v>
      </c>
      <c r="B671" s="382" t="s">
        <v>1680</v>
      </c>
      <c r="C671" s="383" t="s">
        <v>1681</v>
      </c>
      <c r="D671" s="384" t="s">
        <v>407</v>
      </c>
      <c r="E671" s="385">
        <v>21</v>
      </c>
      <c r="F671" s="384">
        <v>21</v>
      </c>
      <c r="G671" s="358">
        <v>44163248</v>
      </c>
      <c r="H671" s="359">
        <f t="shared" si="21"/>
        <v>42981032</v>
      </c>
      <c r="I671" s="360"/>
      <c r="J671" s="361"/>
      <c r="K671" s="362"/>
      <c r="L671" s="362"/>
      <c r="M671" s="361">
        <v>900736</v>
      </c>
      <c r="N671" s="361">
        <v>1970360</v>
      </c>
      <c r="O671" s="361">
        <v>168888</v>
      </c>
      <c r="P671" s="361">
        <v>337776</v>
      </c>
      <c r="Q671" s="361">
        <v>112592</v>
      </c>
      <c r="R671" s="361">
        <v>112592</v>
      </c>
      <c r="S671" s="361">
        <v>225184</v>
      </c>
      <c r="T671" s="386">
        <v>1030000</v>
      </c>
      <c r="U671" s="364">
        <f t="shared" si="22"/>
        <v>47839160</v>
      </c>
      <c r="V671" s="362"/>
      <c r="W671" s="365" t="str">
        <f>+VLOOKUP($B671,[2]Time_S4!$B:$G,6,0)</f>
        <v>Trung tâm Chỉ huy điều khiển</v>
      </c>
      <c r="X671" s="365" t="str">
        <f>IF(W671="Phòng Kinh doanh","Trung tâm Kinh doanh - TCT CNC",+VLOOKUP($B671,[2]Time_S4!$B:$G,5,0))</f>
        <v>Khối 1 - TCT CNC</v>
      </c>
      <c r="Y671" s="366"/>
      <c r="Z671" s="366"/>
    </row>
    <row r="672" spans="1:26" ht="15.75" hidden="1">
      <c r="A672" s="367">
        <f>SUBTOTAL(3,$B$15:B672)</f>
        <v>2</v>
      </c>
      <c r="B672" s="382" t="s">
        <v>1682</v>
      </c>
      <c r="C672" s="383" t="s">
        <v>1683</v>
      </c>
      <c r="D672" s="384" t="s">
        <v>407</v>
      </c>
      <c r="E672" s="385">
        <v>21</v>
      </c>
      <c r="F672" s="384">
        <v>21</v>
      </c>
      <c r="G672" s="358">
        <v>28302445</v>
      </c>
      <c r="H672" s="359">
        <f t="shared" si="21"/>
        <v>27286885</v>
      </c>
      <c r="I672" s="360"/>
      <c r="J672" s="361"/>
      <c r="K672" s="362"/>
      <c r="L672" s="362"/>
      <c r="M672" s="361">
        <v>773760</v>
      </c>
      <c r="N672" s="361">
        <v>1692600</v>
      </c>
      <c r="O672" s="361">
        <v>145080</v>
      </c>
      <c r="P672" s="361">
        <v>290160</v>
      </c>
      <c r="Q672" s="361">
        <v>96720</v>
      </c>
      <c r="R672" s="361">
        <v>96720</v>
      </c>
      <c r="S672" s="361">
        <v>193440</v>
      </c>
      <c r="T672" s="386">
        <v>1030000</v>
      </c>
      <c r="U672" s="364">
        <f t="shared" si="22"/>
        <v>31605365</v>
      </c>
      <c r="V672" s="362"/>
      <c r="W672" s="365" t="str">
        <f>+VLOOKUP($B672,[2]Time_S4!$B:$G,6,0)</f>
        <v>Trung tâm Tác chiến điện tử</v>
      </c>
      <c r="X672" s="365" t="str">
        <f>IF(W672="Phòng Kinh doanh","Trung tâm Kinh doanh - TCT CNC",+VLOOKUP($B672,[2]Time_S4!$B:$G,5,0))</f>
        <v>Khối 1 - TCT CNC</v>
      </c>
      <c r="Y672" s="366"/>
      <c r="Z672" s="366"/>
    </row>
    <row r="673" spans="1:26" ht="15.75" hidden="1">
      <c r="A673" s="367">
        <f>SUBTOTAL(3,$B$15:B673)</f>
        <v>2</v>
      </c>
      <c r="B673" s="382" t="s">
        <v>1684</v>
      </c>
      <c r="C673" s="383" t="s">
        <v>1685</v>
      </c>
      <c r="D673" s="384" t="s">
        <v>407</v>
      </c>
      <c r="E673" s="385">
        <v>21</v>
      </c>
      <c r="F673" s="384">
        <v>21</v>
      </c>
      <c r="G673" s="358">
        <v>41773944</v>
      </c>
      <c r="H673" s="359">
        <f t="shared" si="21"/>
        <v>40649016</v>
      </c>
      <c r="I673" s="360"/>
      <c r="J673" s="361"/>
      <c r="K673" s="362"/>
      <c r="L673" s="362"/>
      <c r="M673" s="361">
        <v>857088</v>
      </c>
      <c r="N673" s="361">
        <v>1874880</v>
      </c>
      <c r="O673" s="361">
        <v>160704</v>
      </c>
      <c r="P673" s="361">
        <v>321408</v>
      </c>
      <c r="Q673" s="361">
        <v>107136</v>
      </c>
      <c r="R673" s="361">
        <v>107136</v>
      </c>
      <c r="S673" s="361">
        <v>214272</v>
      </c>
      <c r="T673" s="386">
        <v>1030000</v>
      </c>
      <c r="U673" s="364">
        <f t="shared" si="22"/>
        <v>45321640</v>
      </c>
      <c r="V673" s="362"/>
      <c r="W673" s="365" t="str">
        <f>+VLOOKUP($B673,[2]Time_S4!$B:$G,6,0)</f>
        <v>Trung tâm Camera</v>
      </c>
      <c r="X673" s="365" t="str">
        <f>IF(W673="Phòng Kinh doanh","Trung tâm Kinh doanh - TCT CNC",+VLOOKUP($B673,[2]Time_S4!$B:$G,5,0))</f>
        <v>Khối 3 - TCT CNC</v>
      </c>
      <c r="Y673" s="366"/>
      <c r="Z673" s="366"/>
    </row>
    <row r="674" spans="1:26" ht="15.75" hidden="1">
      <c r="A674" s="367">
        <f>SUBTOTAL(3,$B$15:B674)</f>
        <v>2</v>
      </c>
      <c r="B674" s="382" t="s">
        <v>1686</v>
      </c>
      <c r="C674" s="383" t="s">
        <v>1687</v>
      </c>
      <c r="D674" s="384" t="s">
        <v>407</v>
      </c>
      <c r="E674" s="385">
        <v>21</v>
      </c>
      <c r="F674" s="384">
        <v>21</v>
      </c>
      <c r="G674" s="358">
        <v>20958596</v>
      </c>
      <c r="H674" s="359">
        <f t="shared" si="21"/>
        <v>20041988</v>
      </c>
      <c r="I674" s="360"/>
      <c r="J674" s="361"/>
      <c r="K674" s="362"/>
      <c r="L674" s="362"/>
      <c r="M674" s="361">
        <v>698368</v>
      </c>
      <c r="N674" s="361">
        <v>1527680</v>
      </c>
      <c r="O674" s="361">
        <v>130944</v>
      </c>
      <c r="P674" s="361">
        <v>261888</v>
      </c>
      <c r="Q674" s="361">
        <v>87296</v>
      </c>
      <c r="R674" s="361">
        <v>87296</v>
      </c>
      <c r="S674" s="361">
        <v>174592</v>
      </c>
      <c r="T674" s="386">
        <v>1047000</v>
      </c>
      <c r="U674" s="364">
        <f t="shared" si="22"/>
        <v>24057052</v>
      </c>
      <c r="V674" s="362"/>
      <c r="W674" s="365" t="str">
        <f>+VLOOKUP($B674,[2]Time_S4!$B:$G,6,0)</f>
        <v>Trung tâm Rada</v>
      </c>
      <c r="X674" s="365" t="str">
        <f>IF(W674="Phòng Kinh doanh","Trung tâm Kinh doanh - TCT CNC",+VLOOKUP($B674,[2]Time_S4!$B:$G,5,0))</f>
        <v>Khối 1 - TCT CNC</v>
      </c>
      <c r="Y674" s="366"/>
      <c r="Z674" s="366"/>
    </row>
    <row r="675" spans="1:26" ht="15.75" hidden="1">
      <c r="A675" s="367">
        <f>SUBTOTAL(3,$B$15:B675)</f>
        <v>2</v>
      </c>
      <c r="B675" s="382" t="s">
        <v>1688</v>
      </c>
      <c r="C675" s="383" t="s">
        <v>1689</v>
      </c>
      <c r="D675" s="384" t="s">
        <v>407</v>
      </c>
      <c r="E675" s="385">
        <v>21</v>
      </c>
      <c r="F675" s="384">
        <v>21</v>
      </c>
      <c r="G675" s="358">
        <v>37949908</v>
      </c>
      <c r="H675" s="359">
        <f t="shared" si="21"/>
        <v>36824980</v>
      </c>
      <c r="I675" s="360"/>
      <c r="J675" s="361"/>
      <c r="K675" s="362"/>
      <c r="L675" s="362"/>
      <c r="M675" s="361">
        <v>857088</v>
      </c>
      <c r="N675" s="361">
        <v>1874880</v>
      </c>
      <c r="O675" s="361">
        <v>160704</v>
      </c>
      <c r="P675" s="361">
        <v>321408</v>
      </c>
      <c r="Q675" s="361">
        <v>107136</v>
      </c>
      <c r="R675" s="361">
        <v>107136</v>
      </c>
      <c r="S675" s="361">
        <v>214272</v>
      </c>
      <c r="T675" s="386">
        <v>1030000</v>
      </c>
      <c r="U675" s="364">
        <f t="shared" si="22"/>
        <v>41497604</v>
      </c>
      <c r="V675" s="362"/>
      <c r="W675" s="365" t="str">
        <f>+VLOOKUP($B675,[2]Time_S4!$B:$G,6,0)</f>
        <v>Trung tâm Phát triển nền tảng thanh toán</v>
      </c>
      <c r="X675" s="365" t="str">
        <f>IF(W675="Phòng Kinh doanh","Trung tâm Kinh doanh - TCT CNC",+VLOOKUP($B675,[2]Time_S4!$B:$G,5,0))</f>
        <v>Khối 2 - TCT CNC</v>
      </c>
      <c r="Y675" s="366"/>
      <c r="Z675" s="366"/>
    </row>
    <row r="676" spans="1:26" ht="15.75" hidden="1">
      <c r="A676" s="367">
        <f>SUBTOTAL(3,$B$15:B676)</f>
        <v>2</v>
      </c>
      <c r="B676" s="382" t="s">
        <v>1690</v>
      </c>
      <c r="C676" s="383" t="s">
        <v>1691</v>
      </c>
      <c r="D676" s="384" t="s">
        <v>407</v>
      </c>
      <c r="E676" s="385">
        <v>21</v>
      </c>
      <c r="F676" s="384">
        <v>21</v>
      </c>
      <c r="G676" s="358">
        <v>18317690</v>
      </c>
      <c r="H676" s="359">
        <f t="shared" si="21"/>
        <v>17447954</v>
      </c>
      <c r="I676" s="360"/>
      <c r="J676" s="361"/>
      <c r="K676" s="362"/>
      <c r="L676" s="362"/>
      <c r="M676" s="361">
        <v>662656</v>
      </c>
      <c r="N676" s="361">
        <v>1449560</v>
      </c>
      <c r="O676" s="361">
        <v>124248</v>
      </c>
      <c r="P676" s="361">
        <v>248496</v>
      </c>
      <c r="Q676" s="361">
        <v>82832</v>
      </c>
      <c r="R676" s="361">
        <v>82832</v>
      </c>
      <c r="S676" s="361">
        <v>165664</v>
      </c>
      <c r="T676" s="386">
        <v>1047000</v>
      </c>
      <c r="U676" s="364">
        <f t="shared" si="22"/>
        <v>21311242</v>
      </c>
      <c r="V676" s="362"/>
      <c r="W676" s="365" t="str">
        <f>+VLOOKUP($B676,[2]Time_S4!$B:$G,6,0)</f>
        <v>Trung tâm Nghiên cứu thiết bị vô tuyến băng rộng</v>
      </c>
      <c r="X676" s="365" t="str">
        <f>IF(W676="Phòng Kinh doanh","Trung tâm Kinh doanh - TCT CNC",+VLOOKUP($B676,[2]Time_S4!$B:$G,5,0))</f>
        <v>Khối 2 - TCT CNC</v>
      </c>
      <c r="Y676" s="366"/>
      <c r="Z676" s="366"/>
    </row>
    <row r="677" spans="1:26" ht="15.75" hidden="1">
      <c r="A677" s="367">
        <f>SUBTOTAL(3,$B$15:B677)</f>
        <v>2</v>
      </c>
      <c r="B677" s="382" t="s">
        <v>336</v>
      </c>
      <c r="C677" s="383" t="s">
        <v>337</v>
      </c>
      <c r="D677" s="384" t="s">
        <v>407</v>
      </c>
      <c r="E677" s="385">
        <v>21</v>
      </c>
      <c r="F677" s="384">
        <v>21</v>
      </c>
      <c r="G677" s="358">
        <v>40554274</v>
      </c>
      <c r="H677" s="359">
        <f t="shared" si="21"/>
        <v>39429346</v>
      </c>
      <c r="I677" s="360"/>
      <c r="J677" s="361"/>
      <c r="K677" s="362"/>
      <c r="L677" s="362"/>
      <c r="M677" s="361">
        <v>857088</v>
      </c>
      <c r="N677" s="361">
        <v>1874880</v>
      </c>
      <c r="O677" s="361">
        <v>160704</v>
      </c>
      <c r="P677" s="361">
        <v>321408</v>
      </c>
      <c r="Q677" s="361">
        <v>107136</v>
      </c>
      <c r="R677" s="361">
        <v>107136</v>
      </c>
      <c r="S677" s="361">
        <v>214272</v>
      </c>
      <c r="T677" s="386">
        <v>1030000</v>
      </c>
      <c r="U677" s="364">
        <f t="shared" si="22"/>
        <v>44101970</v>
      </c>
      <c r="V677" s="362"/>
      <c r="W677" s="365" t="str">
        <f>+VLOOKUP($B677,[2]Time_S4!$B:$G,6,0)</f>
        <v>Trung tâm Mô hình mô phỏng</v>
      </c>
      <c r="X677" s="365" t="str">
        <f>IF(W677="Phòng Kinh doanh","Trung tâm Kinh doanh - TCT CNC",+VLOOKUP($B677,[2]Time_S4!$B:$G,5,0))</f>
        <v>Khối 1 - TCT CNC</v>
      </c>
      <c r="Y677" s="366"/>
      <c r="Z677" s="366"/>
    </row>
    <row r="678" spans="1:26" ht="15.75" hidden="1">
      <c r="A678" s="367">
        <f>SUBTOTAL(3,$B$15:B678)</f>
        <v>2</v>
      </c>
      <c r="B678" s="382" t="s">
        <v>1692</v>
      </c>
      <c r="C678" s="383" t="s">
        <v>1693</v>
      </c>
      <c r="D678" s="384" t="s">
        <v>407</v>
      </c>
      <c r="E678" s="385">
        <v>21</v>
      </c>
      <c r="F678" s="384">
        <v>21</v>
      </c>
      <c r="G678" s="358">
        <v>55759711</v>
      </c>
      <c r="H678" s="359">
        <f t="shared" si="21"/>
        <v>54514999</v>
      </c>
      <c r="I678" s="360"/>
      <c r="J678" s="361"/>
      <c r="K678" s="362"/>
      <c r="L678" s="362"/>
      <c r="M678" s="361">
        <v>948352</v>
      </c>
      <c r="N678" s="361">
        <v>2074520</v>
      </c>
      <c r="O678" s="361">
        <v>177816</v>
      </c>
      <c r="P678" s="361">
        <v>355632</v>
      </c>
      <c r="Q678" s="361">
        <v>118544</v>
      </c>
      <c r="R678" s="361">
        <v>118544</v>
      </c>
      <c r="S678" s="361">
        <v>237088</v>
      </c>
      <c r="T678" s="386">
        <v>1230000</v>
      </c>
      <c r="U678" s="364">
        <f t="shared" si="22"/>
        <v>59775495</v>
      </c>
      <c r="V678" s="362"/>
      <c r="W678" s="365" t="str">
        <f>+VLOOKUP($B678,[2]Time_S4!$B:$G,6,0)</f>
        <v>Trung tâm Tác chiến điện tử</v>
      </c>
      <c r="X678" s="365" t="str">
        <f>IF(W678="Phòng Kinh doanh","Trung tâm Kinh doanh - TCT CNC",+VLOOKUP($B678,[2]Time_S4!$B:$G,5,0))</f>
        <v>Khối 1 - TCT CNC</v>
      </c>
      <c r="Y678" s="366"/>
      <c r="Z678" s="366"/>
    </row>
    <row r="679" spans="1:26" ht="15.75" hidden="1">
      <c r="A679" s="367">
        <f>SUBTOTAL(3,$B$15:B679)</f>
        <v>2</v>
      </c>
      <c r="B679" s="382" t="s">
        <v>1694</v>
      </c>
      <c r="C679" s="383" t="s">
        <v>941</v>
      </c>
      <c r="D679" s="384" t="s">
        <v>407</v>
      </c>
      <c r="E679" s="385">
        <v>21</v>
      </c>
      <c r="F679" s="384">
        <v>21</v>
      </c>
      <c r="G679" s="358">
        <v>27139244</v>
      </c>
      <c r="H679" s="359">
        <f t="shared" si="21"/>
        <v>26123684</v>
      </c>
      <c r="I679" s="360"/>
      <c r="J679" s="361"/>
      <c r="K679" s="362"/>
      <c r="L679" s="362"/>
      <c r="M679" s="361">
        <v>773760</v>
      </c>
      <c r="N679" s="361">
        <v>1692600</v>
      </c>
      <c r="O679" s="361">
        <v>145080</v>
      </c>
      <c r="P679" s="361">
        <v>290160</v>
      </c>
      <c r="Q679" s="361">
        <v>96720</v>
      </c>
      <c r="R679" s="361">
        <v>96720</v>
      </c>
      <c r="S679" s="361">
        <v>193440</v>
      </c>
      <c r="T679" s="386">
        <v>1030000</v>
      </c>
      <c r="U679" s="364">
        <f t="shared" si="22"/>
        <v>30442164</v>
      </c>
      <c r="V679" s="362"/>
      <c r="W679" s="365" t="str">
        <f>+VLOOKUP($B679,[2]Time_S4!$B:$G,6,0)</f>
        <v>Trung tâm Quang điện tử</v>
      </c>
      <c r="X679" s="365" t="str">
        <f>IF(W679="Phòng Kinh doanh","Trung tâm Kinh doanh - TCT CNC",+VLOOKUP($B679,[2]Time_S4!$B:$G,5,0))</f>
        <v>Khối 1 - TCT CNC</v>
      </c>
      <c r="Y679" s="366"/>
      <c r="Z679" s="366"/>
    </row>
    <row r="680" spans="1:26" ht="15.75" hidden="1">
      <c r="A680" s="367">
        <f>SUBTOTAL(3,$B$15:B680)</f>
        <v>2</v>
      </c>
      <c r="B680" s="382" t="s">
        <v>1695</v>
      </c>
      <c r="C680" s="383" t="s">
        <v>1696</v>
      </c>
      <c r="D680" s="384" t="s">
        <v>407</v>
      </c>
      <c r="E680" s="385">
        <v>21</v>
      </c>
      <c r="F680" s="384">
        <v>21</v>
      </c>
      <c r="G680" s="358">
        <v>62245996</v>
      </c>
      <c r="H680" s="359">
        <f t="shared" si="21"/>
        <v>60871084</v>
      </c>
      <c r="I680" s="360"/>
      <c r="J680" s="361"/>
      <c r="K680" s="362"/>
      <c r="L680" s="362"/>
      <c r="M680" s="361">
        <v>1047552</v>
      </c>
      <c r="N680" s="361">
        <v>2291520</v>
      </c>
      <c r="O680" s="361">
        <v>196416</v>
      </c>
      <c r="P680" s="361">
        <v>392832</v>
      </c>
      <c r="Q680" s="361">
        <v>130944</v>
      </c>
      <c r="R680" s="361">
        <v>130944</v>
      </c>
      <c r="S680" s="361">
        <v>261888</v>
      </c>
      <c r="T680" s="386">
        <v>1030000</v>
      </c>
      <c r="U680" s="364">
        <f t="shared" si="22"/>
        <v>66353180</v>
      </c>
      <c r="V680" s="362"/>
      <c r="W680" s="365" t="str">
        <f>+VLOOKUP($B680,[2]Time_S4!$B:$G,6,0)</f>
        <v>Trung tâm Thông tin Quân sự</v>
      </c>
      <c r="X680" s="365" t="str">
        <f>IF(W680="Phòng Kinh doanh","Trung tâm Kinh doanh - TCT CNC",+VLOOKUP($B680,[2]Time_S4!$B:$G,5,0))</f>
        <v>Khối 1 - TCT CNC</v>
      </c>
      <c r="Y680" s="366"/>
      <c r="Z680" s="366"/>
    </row>
    <row r="681" spans="1:26" ht="15.75" hidden="1">
      <c r="A681" s="367">
        <f>SUBTOTAL(3,$B$15:B681)</f>
        <v>2</v>
      </c>
      <c r="B681" s="382" t="s">
        <v>1697</v>
      </c>
      <c r="C681" s="383" t="s">
        <v>1698</v>
      </c>
      <c r="D681" s="384" t="s">
        <v>407</v>
      </c>
      <c r="E681" s="385">
        <v>21</v>
      </c>
      <c r="F681" s="384">
        <v>0</v>
      </c>
      <c r="G681" s="358">
        <v>9479780</v>
      </c>
      <c r="H681" s="359">
        <f t="shared" si="21"/>
        <v>9479780</v>
      </c>
      <c r="I681" s="360"/>
      <c r="J681" s="361"/>
      <c r="K681" s="362"/>
      <c r="L681" s="362"/>
      <c r="M681" s="361">
        <v>0</v>
      </c>
      <c r="N681" s="361">
        <v>0</v>
      </c>
      <c r="O681" s="361">
        <v>0</v>
      </c>
      <c r="P681" s="361">
        <v>0</v>
      </c>
      <c r="Q681" s="361">
        <v>0</v>
      </c>
      <c r="R681" s="361">
        <v>0</v>
      </c>
      <c r="S681" s="361">
        <v>0</v>
      </c>
      <c r="T681" s="386">
        <v>0</v>
      </c>
      <c r="U681" s="364">
        <f t="shared" si="22"/>
        <v>9479780</v>
      </c>
      <c r="V681" s="362"/>
      <c r="W681" s="365" t="str">
        <f>+VLOOKUP($B681,[2]Time_S4!$B:$G,6,0)</f>
        <v>Trung tâm Đảm bảo chất lượng</v>
      </c>
      <c r="X681" s="365" t="str">
        <f>IF(W681="Phòng Kinh doanh","Trung tâm Kinh doanh - TCT CNC",+VLOOKUP($B681,[2]Time_S4!$B:$G,5,0))</f>
        <v>Khối 1 - TCT CNC</v>
      </c>
      <c r="Y681" s="366"/>
      <c r="Z681" s="366"/>
    </row>
    <row r="682" spans="1:26" ht="15.75" hidden="1">
      <c r="A682" s="367">
        <f>SUBTOTAL(3,$B$15:B682)</f>
        <v>2</v>
      </c>
      <c r="B682" s="382" t="s">
        <v>1699</v>
      </c>
      <c r="C682" s="383" t="s">
        <v>1700</v>
      </c>
      <c r="D682" s="384" t="s">
        <v>407</v>
      </c>
      <c r="E682" s="385">
        <v>21</v>
      </c>
      <c r="F682" s="384">
        <v>21</v>
      </c>
      <c r="G682" s="358">
        <v>30781086</v>
      </c>
      <c r="H682" s="359">
        <f t="shared" si="21"/>
        <v>29713446</v>
      </c>
      <c r="I682" s="360"/>
      <c r="J682" s="361"/>
      <c r="K682" s="362"/>
      <c r="L682" s="362"/>
      <c r="M682" s="361">
        <v>813440</v>
      </c>
      <c r="N682" s="361">
        <v>1779400</v>
      </c>
      <c r="O682" s="361">
        <v>152520</v>
      </c>
      <c r="P682" s="361">
        <v>305040</v>
      </c>
      <c r="Q682" s="361">
        <v>101680</v>
      </c>
      <c r="R682" s="361">
        <v>101680</v>
      </c>
      <c r="S682" s="361">
        <v>203360</v>
      </c>
      <c r="T682" s="386">
        <v>1030000</v>
      </c>
      <c r="U682" s="364">
        <f t="shared" si="22"/>
        <v>34200566</v>
      </c>
      <c r="V682" s="362"/>
      <c r="W682" s="365" t="str">
        <f>+VLOOKUP($B682,[2]Time_S4!$B:$G,6,0)</f>
        <v>Trung tâm Đảm bảo chất lượng</v>
      </c>
      <c r="X682" s="365" t="str">
        <f>IF(W682="Phòng Kinh doanh","Trung tâm Kinh doanh - TCT CNC",+VLOOKUP($B682,[2]Time_S4!$B:$G,5,0))</f>
        <v>Khối 1 - TCT CNC</v>
      </c>
      <c r="Y682" s="366"/>
      <c r="Z682" s="366"/>
    </row>
    <row r="683" spans="1:26" ht="15.75" hidden="1">
      <c r="A683" s="367">
        <f>SUBTOTAL(3,$B$15:B683)</f>
        <v>2</v>
      </c>
      <c r="B683" s="382" t="s">
        <v>1701</v>
      </c>
      <c r="C683" s="383" t="s">
        <v>1702</v>
      </c>
      <c r="D683" s="384" t="s">
        <v>407</v>
      </c>
      <c r="E683" s="385">
        <v>21</v>
      </c>
      <c r="F683" s="384">
        <v>21</v>
      </c>
      <c r="G683" s="358">
        <v>23522926</v>
      </c>
      <c r="H683" s="359">
        <f t="shared" si="21"/>
        <v>22559446</v>
      </c>
      <c r="I683" s="360"/>
      <c r="J683" s="361"/>
      <c r="K683" s="362"/>
      <c r="L683" s="362"/>
      <c r="M683" s="361">
        <v>734080</v>
      </c>
      <c r="N683" s="361">
        <v>1605800</v>
      </c>
      <c r="O683" s="361">
        <v>137640</v>
      </c>
      <c r="P683" s="361">
        <v>275280</v>
      </c>
      <c r="Q683" s="361">
        <v>91760</v>
      </c>
      <c r="R683" s="361">
        <v>91760</v>
      </c>
      <c r="S683" s="361">
        <v>183520</v>
      </c>
      <c r="T683" s="386">
        <v>930000</v>
      </c>
      <c r="U683" s="364">
        <f t="shared" si="22"/>
        <v>26609286</v>
      </c>
      <c r="V683" s="362"/>
      <c r="W683" s="365" t="str">
        <f>+VLOOKUP($B683,[2]Time_S4!$B:$G,6,0)</f>
        <v>Trung tâm Thông tin Quân sự</v>
      </c>
      <c r="X683" s="365" t="str">
        <f>IF(W683="Phòng Kinh doanh","Trung tâm Kinh doanh - TCT CNC",+VLOOKUP($B683,[2]Time_S4!$B:$G,5,0))</f>
        <v>Khối 1 - TCT CNC</v>
      </c>
      <c r="Y683" s="366"/>
      <c r="Z683" s="366"/>
    </row>
    <row r="684" spans="1:26" ht="15.75" hidden="1">
      <c r="A684" s="367">
        <f>SUBTOTAL(3,$B$15:B684)</f>
        <v>2</v>
      </c>
      <c r="B684" s="382" t="s">
        <v>1703</v>
      </c>
      <c r="C684" s="383" t="s">
        <v>1704</v>
      </c>
      <c r="D684" s="384" t="s">
        <v>407</v>
      </c>
      <c r="E684" s="385">
        <v>21</v>
      </c>
      <c r="F684" s="384">
        <v>21</v>
      </c>
      <c r="G684" s="358">
        <v>31903190</v>
      </c>
      <c r="H684" s="359">
        <f t="shared" si="21"/>
        <v>30887630</v>
      </c>
      <c r="I684" s="360"/>
      <c r="J684" s="361"/>
      <c r="K684" s="362"/>
      <c r="L684" s="362"/>
      <c r="M684" s="361">
        <v>773760</v>
      </c>
      <c r="N684" s="361">
        <v>1692600</v>
      </c>
      <c r="O684" s="361">
        <v>145080</v>
      </c>
      <c r="P684" s="361">
        <v>290160</v>
      </c>
      <c r="Q684" s="361">
        <v>96720</v>
      </c>
      <c r="R684" s="361">
        <v>96720</v>
      </c>
      <c r="S684" s="361">
        <v>193440</v>
      </c>
      <c r="T684" s="386">
        <v>1030000</v>
      </c>
      <c r="U684" s="364">
        <f t="shared" si="22"/>
        <v>35206110</v>
      </c>
      <c r="V684" s="362"/>
      <c r="W684" s="365" t="str">
        <f>+VLOOKUP($B684,[2]Time_S4!$B:$G,6,0)</f>
        <v>Trung tâm Quang điện tử</v>
      </c>
      <c r="X684" s="365" t="str">
        <f>IF(W684="Phòng Kinh doanh","Trung tâm Kinh doanh - TCT CNC",+VLOOKUP($B684,[2]Time_S4!$B:$G,5,0))</f>
        <v>Khối 1 - TCT CNC</v>
      </c>
      <c r="Y684" s="366"/>
      <c r="Z684" s="366"/>
    </row>
    <row r="685" spans="1:26" ht="15.75" hidden="1">
      <c r="A685" s="367">
        <f>SUBTOTAL(3,$B$15:B685)</f>
        <v>2</v>
      </c>
      <c r="B685" s="382" t="s">
        <v>1705</v>
      </c>
      <c r="C685" s="383" t="s">
        <v>1706</v>
      </c>
      <c r="D685" s="384" t="s">
        <v>407</v>
      </c>
      <c r="E685" s="385">
        <v>21</v>
      </c>
      <c r="F685" s="384">
        <v>21</v>
      </c>
      <c r="G685" s="358">
        <v>27021572</v>
      </c>
      <c r="H685" s="359">
        <f t="shared" si="21"/>
        <v>26058092</v>
      </c>
      <c r="I685" s="360"/>
      <c r="J685" s="361"/>
      <c r="K685" s="362"/>
      <c r="L685" s="362"/>
      <c r="M685" s="361">
        <v>734080</v>
      </c>
      <c r="N685" s="361">
        <v>1605800</v>
      </c>
      <c r="O685" s="361">
        <v>137640</v>
      </c>
      <c r="P685" s="361">
        <v>275280</v>
      </c>
      <c r="Q685" s="361">
        <v>91760</v>
      </c>
      <c r="R685" s="361">
        <v>91760</v>
      </c>
      <c r="S685" s="361">
        <v>183520</v>
      </c>
      <c r="T685" s="386">
        <v>930000</v>
      </c>
      <c r="U685" s="364">
        <f t="shared" si="22"/>
        <v>30107932</v>
      </c>
      <c r="V685" s="362"/>
      <c r="W685" s="365" t="str">
        <f>+VLOOKUP($B685,[2]Time_S4!$B:$G,6,0)</f>
        <v>Trung tâm Thông tin Quân sự</v>
      </c>
      <c r="X685" s="365" t="str">
        <f>IF(W685="Phòng Kinh doanh","Trung tâm Kinh doanh - TCT CNC",+VLOOKUP($B685,[2]Time_S4!$B:$G,5,0))</f>
        <v>Khối 1 - TCT CNC</v>
      </c>
      <c r="Y685" s="366"/>
      <c r="Z685" s="366"/>
    </row>
    <row r="686" spans="1:26" ht="15.75" hidden="1">
      <c r="A686" s="367">
        <f>SUBTOTAL(3,$B$15:B686)</f>
        <v>2</v>
      </c>
      <c r="B686" s="382" t="s">
        <v>1707</v>
      </c>
      <c r="C686" s="383" t="s">
        <v>1708</v>
      </c>
      <c r="D686" s="384" t="s">
        <v>407</v>
      </c>
      <c r="E686" s="385">
        <v>21</v>
      </c>
      <c r="F686" s="384">
        <v>21</v>
      </c>
      <c r="G686" s="358">
        <v>31960570</v>
      </c>
      <c r="H686" s="359">
        <f t="shared" si="21"/>
        <v>30945010</v>
      </c>
      <c r="I686" s="360"/>
      <c r="J686" s="361"/>
      <c r="K686" s="362"/>
      <c r="L686" s="362"/>
      <c r="M686" s="361">
        <v>773760</v>
      </c>
      <c r="N686" s="361">
        <v>1692600</v>
      </c>
      <c r="O686" s="361">
        <v>145080</v>
      </c>
      <c r="P686" s="361">
        <v>290160</v>
      </c>
      <c r="Q686" s="361">
        <v>96720</v>
      </c>
      <c r="R686" s="361">
        <v>96720</v>
      </c>
      <c r="S686" s="361">
        <v>193440</v>
      </c>
      <c r="T686" s="386">
        <v>930000</v>
      </c>
      <c r="U686" s="364">
        <f t="shared" si="22"/>
        <v>35163490</v>
      </c>
      <c r="V686" s="362"/>
      <c r="W686" s="365" t="str">
        <f>+VLOOKUP($B686,[2]Time_S4!$B:$G,6,0)</f>
        <v>Trung tâm Nghiên cứu công nghệ Đa phương tiện</v>
      </c>
      <c r="X686" s="365" t="str">
        <f>IF(W686="Phòng Kinh doanh","Trung tâm Kinh doanh - TCT CNC",+VLOOKUP($B686,[2]Time_S4!$B:$G,5,0))</f>
        <v>Khối 2 - TCT CNC</v>
      </c>
      <c r="Y686" s="366"/>
      <c r="Z686" s="366"/>
    </row>
    <row r="687" spans="1:26" ht="15.75" hidden="1">
      <c r="A687" s="367">
        <f>SUBTOTAL(3,$B$15:B687)</f>
        <v>2</v>
      </c>
      <c r="B687" s="382" t="s">
        <v>338</v>
      </c>
      <c r="C687" s="383" t="s">
        <v>339</v>
      </c>
      <c r="D687" s="384" t="s">
        <v>407</v>
      </c>
      <c r="E687" s="385">
        <v>21</v>
      </c>
      <c r="F687" s="384">
        <v>21</v>
      </c>
      <c r="G687" s="358">
        <v>25051680</v>
      </c>
      <c r="H687" s="359">
        <f t="shared" si="21"/>
        <v>24036120</v>
      </c>
      <c r="I687" s="360"/>
      <c r="J687" s="361"/>
      <c r="K687" s="362"/>
      <c r="L687" s="362"/>
      <c r="M687" s="361">
        <v>773760</v>
      </c>
      <c r="N687" s="361">
        <v>1692600</v>
      </c>
      <c r="O687" s="361">
        <v>145080</v>
      </c>
      <c r="P687" s="361">
        <v>290160</v>
      </c>
      <c r="Q687" s="361">
        <v>96720</v>
      </c>
      <c r="R687" s="361">
        <v>96720</v>
      </c>
      <c r="S687" s="361">
        <v>193440</v>
      </c>
      <c r="T687" s="386">
        <v>930000</v>
      </c>
      <c r="U687" s="364">
        <f t="shared" si="22"/>
        <v>28254600</v>
      </c>
      <c r="V687" s="362"/>
      <c r="W687" s="365" t="str">
        <f>+VLOOKUP($B687,[2]Time_S4!$B:$G,6,0)</f>
        <v>Trung tâm Mô hình mô phỏng</v>
      </c>
      <c r="X687" s="365" t="str">
        <f>IF(W687="Phòng Kinh doanh","Trung tâm Kinh doanh - TCT CNC",+VLOOKUP($B687,[2]Time_S4!$B:$G,5,0))</f>
        <v>Khối 1 - TCT CNC</v>
      </c>
      <c r="Y687" s="366"/>
      <c r="Z687" s="366"/>
    </row>
    <row r="688" spans="1:26" ht="15.75" hidden="1">
      <c r="A688" s="367">
        <f>SUBTOTAL(3,$B$15:B688)</f>
        <v>2</v>
      </c>
      <c r="B688" s="382" t="s">
        <v>1709</v>
      </c>
      <c r="C688" s="383" t="s">
        <v>1710</v>
      </c>
      <c r="D688" s="384" t="s">
        <v>407</v>
      </c>
      <c r="E688" s="385">
        <v>21</v>
      </c>
      <c r="F688" s="384">
        <v>21</v>
      </c>
      <c r="G688" s="358">
        <v>38126632</v>
      </c>
      <c r="H688" s="359">
        <f t="shared" si="21"/>
        <v>37001704</v>
      </c>
      <c r="I688" s="360"/>
      <c r="J688" s="361"/>
      <c r="K688" s="362"/>
      <c r="L688" s="362"/>
      <c r="M688" s="361">
        <v>857088</v>
      </c>
      <c r="N688" s="361">
        <v>1874880</v>
      </c>
      <c r="O688" s="361">
        <v>160704</v>
      </c>
      <c r="P688" s="361">
        <v>321408</v>
      </c>
      <c r="Q688" s="361">
        <v>107136</v>
      </c>
      <c r="R688" s="361">
        <v>107136</v>
      </c>
      <c r="S688" s="361">
        <v>214272</v>
      </c>
      <c r="T688" s="386">
        <v>1030000</v>
      </c>
      <c r="U688" s="364">
        <f t="shared" si="22"/>
        <v>41674328</v>
      </c>
      <c r="V688" s="362"/>
      <c r="W688" s="365" t="str">
        <f>+VLOOKUP($B688,[2]Time_S4!$B:$G,6,0)</f>
        <v>Trung tâm Nghiên cứu thiết bị vô tuyến băng rộng</v>
      </c>
      <c r="X688" s="365" t="str">
        <f>IF(W688="Phòng Kinh doanh","Trung tâm Kinh doanh - TCT CNC",+VLOOKUP($B688,[2]Time_S4!$B:$G,5,0))</f>
        <v>Khối 2 - TCT CNC</v>
      </c>
      <c r="Y688" s="366"/>
      <c r="Z688" s="366"/>
    </row>
    <row r="689" spans="1:26" ht="15.75" hidden="1">
      <c r="A689" s="367">
        <f>SUBTOTAL(3,$B$15:B689)</f>
        <v>2</v>
      </c>
      <c r="B689" s="382" t="s">
        <v>1711</v>
      </c>
      <c r="C689" s="383" t="s">
        <v>1712</v>
      </c>
      <c r="D689" s="384" t="s">
        <v>407</v>
      </c>
      <c r="E689" s="385">
        <v>21</v>
      </c>
      <c r="F689" s="384">
        <v>21</v>
      </c>
      <c r="G689" s="358">
        <v>41350100</v>
      </c>
      <c r="H689" s="359">
        <f t="shared" si="21"/>
        <v>40225172</v>
      </c>
      <c r="I689" s="360"/>
      <c r="J689" s="361"/>
      <c r="K689" s="362"/>
      <c r="L689" s="362"/>
      <c r="M689" s="361">
        <v>857088</v>
      </c>
      <c r="N689" s="361">
        <v>1874880</v>
      </c>
      <c r="O689" s="361">
        <v>160704</v>
      </c>
      <c r="P689" s="361">
        <v>321408</v>
      </c>
      <c r="Q689" s="361">
        <v>107136</v>
      </c>
      <c r="R689" s="361">
        <v>107136</v>
      </c>
      <c r="S689" s="361">
        <v>214272</v>
      </c>
      <c r="T689" s="386">
        <v>1030000</v>
      </c>
      <c r="U689" s="364">
        <f t="shared" si="22"/>
        <v>44897796</v>
      </c>
      <c r="V689" s="362"/>
      <c r="W689" s="365" t="str">
        <f>+VLOOKUP($B689,[2]Time_S4!$B:$G,6,0)</f>
        <v>Trung tâm Thông tin Quân sự</v>
      </c>
      <c r="X689" s="365" t="str">
        <f>IF(W689="Phòng Kinh doanh","Trung tâm Kinh doanh - TCT CNC",+VLOOKUP($B689,[2]Time_S4!$B:$G,5,0))</f>
        <v>Khối 1 - TCT CNC</v>
      </c>
      <c r="Y689" s="366"/>
      <c r="Z689" s="366"/>
    </row>
    <row r="690" spans="1:26" ht="15.75" hidden="1">
      <c r="A690" s="367">
        <f>SUBTOTAL(3,$B$15:B690)</f>
        <v>2</v>
      </c>
      <c r="B690" s="382" t="s">
        <v>1713</v>
      </c>
      <c r="C690" s="383" t="s">
        <v>1714</v>
      </c>
      <c r="D690" s="384" t="s">
        <v>407</v>
      </c>
      <c r="E690" s="385">
        <v>21</v>
      </c>
      <c r="F690" s="384">
        <v>21</v>
      </c>
      <c r="G690" s="358">
        <v>40650853</v>
      </c>
      <c r="H690" s="359">
        <f t="shared" si="21"/>
        <v>39525925</v>
      </c>
      <c r="I690" s="360"/>
      <c r="J690" s="361"/>
      <c r="K690" s="362"/>
      <c r="L690" s="362"/>
      <c r="M690" s="361">
        <v>857088</v>
      </c>
      <c r="N690" s="361">
        <v>1874880</v>
      </c>
      <c r="O690" s="361">
        <v>160704</v>
      </c>
      <c r="P690" s="361">
        <v>321408</v>
      </c>
      <c r="Q690" s="361">
        <v>107136</v>
      </c>
      <c r="R690" s="361">
        <v>107136</v>
      </c>
      <c r="S690" s="361">
        <v>214272</v>
      </c>
      <c r="T690" s="386">
        <v>1030000</v>
      </c>
      <c r="U690" s="364">
        <f t="shared" si="22"/>
        <v>44198549</v>
      </c>
      <c r="V690" s="362"/>
      <c r="W690" s="365" t="str">
        <f>+VLOOKUP($B690,[2]Time_S4!$B:$G,6,0)</f>
        <v>Trung tâm Camera</v>
      </c>
      <c r="X690" s="365" t="str">
        <f>IF(W690="Phòng Kinh doanh","Trung tâm Kinh doanh - TCT CNC",+VLOOKUP($B690,[2]Time_S4!$B:$G,5,0))</f>
        <v>Khối 3 - TCT CNC</v>
      </c>
      <c r="Y690" s="366"/>
      <c r="Z690" s="366"/>
    </row>
    <row r="691" spans="1:26" ht="15.75" hidden="1">
      <c r="A691" s="367">
        <f>SUBTOTAL(3,$B$15:B691)</f>
        <v>2</v>
      </c>
      <c r="B691" s="382" t="s">
        <v>1715</v>
      </c>
      <c r="C691" s="383" t="s">
        <v>1716</v>
      </c>
      <c r="D691" s="384" t="s">
        <v>407</v>
      </c>
      <c r="E691" s="385">
        <v>21</v>
      </c>
      <c r="F691" s="384">
        <v>21</v>
      </c>
      <c r="G691" s="358">
        <v>29515785</v>
      </c>
      <c r="H691" s="359">
        <f t="shared" si="21"/>
        <v>28448145</v>
      </c>
      <c r="I691" s="360"/>
      <c r="J691" s="361"/>
      <c r="K691" s="362"/>
      <c r="L691" s="362"/>
      <c r="M691" s="361">
        <v>813440</v>
      </c>
      <c r="N691" s="361">
        <v>1779400</v>
      </c>
      <c r="O691" s="361">
        <v>152520</v>
      </c>
      <c r="P691" s="361">
        <v>305040</v>
      </c>
      <c r="Q691" s="361">
        <v>101680</v>
      </c>
      <c r="R691" s="361">
        <v>101680</v>
      </c>
      <c r="S691" s="361">
        <v>203360</v>
      </c>
      <c r="T691" s="386">
        <v>1030000</v>
      </c>
      <c r="U691" s="364">
        <f t="shared" si="22"/>
        <v>32935265</v>
      </c>
      <c r="V691" s="362"/>
      <c r="W691" s="365" t="str">
        <f>+VLOOKUP($B691,[2]Time_S4!$B:$G,6,0)</f>
        <v>Trung tâm Nghiên cứu thiết bị vô tuyến băng rộng</v>
      </c>
      <c r="X691" s="365" t="str">
        <f>IF(W691="Phòng Kinh doanh","Trung tâm Kinh doanh - TCT CNC",+VLOOKUP($B691,[2]Time_S4!$B:$G,5,0))</f>
        <v>Khối 2 - TCT CNC</v>
      </c>
      <c r="Y691" s="366"/>
      <c r="Z691" s="366"/>
    </row>
    <row r="692" spans="1:26" ht="15.75" hidden="1">
      <c r="A692" s="367">
        <f>SUBTOTAL(3,$B$15:B692)</f>
        <v>2</v>
      </c>
      <c r="B692" s="382" t="s">
        <v>1717</v>
      </c>
      <c r="C692" s="383" t="s">
        <v>1718</v>
      </c>
      <c r="D692" s="384" t="s">
        <v>407</v>
      </c>
      <c r="E692" s="385">
        <v>21</v>
      </c>
      <c r="F692" s="384">
        <v>21</v>
      </c>
      <c r="G692" s="358">
        <v>29678886</v>
      </c>
      <c r="H692" s="359">
        <f t="shared" si="21"/>
        <v>28663326</v>
      </c>
      <c r="I692" s="360"/>
      <c r="J692" s="361"/>
      <c r="K692" s="362"/>
      <c r="L692" s="362"/>
      <c r="M692" s="361">
        <v>773760</v>
      </c>
      <c r="N692" s="361">
        <v>1692600</v>
      </c>
      <c r="O692" s="361">
        <v>145080</v>
      </c>
      <c r="P692" s="361">
        <v>290160</v>
      </c>
      <c r="Q692" s="361">
        <v>96720</v>
      </c>
      <c r="R692" s="361">
        <v>96720</v>
      </c>
      <c r="S692" s="361">
        <v>193440</v>
      </c>
      <c r="T692" s="386">
        <v>930000</v>
      </c>
      <c r="U692" s="364">
        <f t="shared" si="22"/>
        <v>32881806</v>
      </c>
      <c r="V692" s="362"/>
      <c r="W692" s="365" t="str">
        <f>+VLOOKUP($B692,[2]Time_S4!$B:$G,6,0)</f>
        <v>Trung tâm Quang điện tử</v>
      </c>
      <c r="X692" s="365" t="str">
        <f>IF(W692="Phòng Kinh doanh","Trung tâm Kinh doanh - TCT CNC",+VLOOKUP($B692,[2]Time_S4!$B:$G,5,0))</f>
        <v>Khối 1 - TCT CNC</v>
      </c>
      <c r="Y692" s="366"/>
      <c r="Z692" s="366"/>
    </row>
    <row r="693" spans="1:26" ht="15.75" hidden="1">
      <c r="A693" s="367">
        <f>SUBTOTAL(3,$B$15:B693)</f>
        <v>2</v>
      </c>
      <c r="B693" s="382" t="s">
        <v>1719</v>
      </c>
      <c r="C693" s="383" t="s">
        <v>1720</v>
      </c>
      <c r="D693" s="384" t="s">
        <v>410</v>
      </c>
      <c r="E693" s="385">
        <v>21</v>
      </c>
      <c r="F693" s="384">
        <v>21</v>
      </c>
      <c r="G693" s="358">
        <v>51496082</v>
      </c>
      <c r="H693" s="359">
        <f t="shared" si="21"/>
        <v>50013458</v>
      </c>
      <c r="I693" s="360"/>
      <c r="J693" s="361"/>
      <c r="K693" s="362"/>
      <c r="L693" s="362"/>
      <c r="M693" s="361">
        <v>1482624</v>
      </c>
      <c r="N693" s="361">
        <v>3243240</v>
      </c>
      <c r="O693" s="361">
        <v>0</v>
      </c>
      <c r="P693" s="361">
        <v>0</v>
      </c>
      <c r="Q693" s="361">
        <v>0</v>
      </c>
      <c r="R693" s="361">
        <v>0</v>
      </c>
      <c r="S693" s="361">
        <v>370656</v>
      </c>
      <c r="T693" s="386">
        <v>1030000</v>
      </c>
      <c r="U693" s="364">
        <f t="shared" si="22"/>
        <v>56139978</v>
      </c>
      <c r="V693" s="362"/>
      <c r="W693" s="365" t="str">
        <f>+VLOOKUP($B693,[2]Time_S4!$B:$G,6,0)</f>
        <v>Trung tâm Chỉ huy điều khiển</v>
      </c>
      <c r="X693" s="365" t="str">
        <f>IF(W693="Phòng Kinh doanh","Trung tâm Kinh doanh - TCT CNC",+VLOOKUP($B693,[2]Time_S4!$B:$G,5,0))</f>
        <v>Khối 1 - TCT CNC</v>
      </c>
      <c r="Y693" s="366"/>
      <c r="Z693" s="366"/>
    </row>
    <row r="694" spans="1:26" ht="15.75" hidden="1">
      <c r="A694" s="367">
        <f>SUBTOTAL(3,$B$15:B694)</f>
        <v>2</v>
      </c>
      <c r="B694" s="382" t="s">
        <v>1721</v>
      </c>
      <c r="C694" s="383" t="s">
        <v>1722</v>
      </c>
      <c r="D694" s="384" t="s">
        <v>407</v>
      </c>
      <c r="E694" s="385">
        <v>21</v>
      </c>
      <c r="F694" s="384">
        <v>21</v>
      </c>
      <c r="G694" s="358">
        <v>24693421</v>
      </c>
      <c r="H694" s="359">
        <f t="shared" si="21"/>
        <v>23729941</v>
      </c>
      <c r="I694" s="360"/>
      <c r="J694" s="361"/>
      <c r="K694" s="362"/>
      <c r="L694" s="362"/>
      <c r="M694" s="361">
        <v>734080</v>
      </c>
      <c r="N694" s="361">
        <v>1605800</v>
      </c>
      <c r="O694" s="361">
        <v>137640</v>
      </c>
      <c r="P694" s="361">
        <v>275280</v>
      </c>
      <c r="Q694" s="361">
        <v>91760</v>
      </c>
      <c r="R694" s="361">
        <v>91760</v>
      </c>
      <c r="S694" s="361">
        <v>183520</v>
      </c>
      <c r="T694" s="386">
        <v>1030000</v>
      </c>
      <c r="U694" s="364">
        <f t="shared" si="22"/>
        <v>27879781</v>
      </c>
      <c r="V694" s="362"/>
      <c r="W694" s="365" t="str">
        <f>+VLOOKUP($B694,[2]Time_S4!$B:$G,6,0)</f>
        <v>Trung tâm Tác chiến điện tử</v>
      </c>
      <c r="X694" s="365" t="str">
        <f>IF(W694="Phòng Kinh doanh","Trung tâm Kinh doanh - TCT CNC",+VLOOKUP($B694,[2]Time_S4!$B:$G,5,0))</f>
        <v>Khối 1 - TCT CNC</v>
      </c>
      <c r="Y694" s="366"/>
      <c r="Z694" s="366"/>
    </row>
    <row r="695" spans="1:26" ht="15.75" hidden="1">
      <c r="A695" s="367">
        <f>SUBTOTAL(3,$B$15:B695)</f>
        <v>2</v>
      </c>
      <c r="B695" s="382" t="s">
        <v>1723</v>
      </c>
      <c r="C695" s="383" t="s">
        <v>1724</v>
      </c>
      <c r="D695" s="384" t="s">
        <v>407</v>
      </c>
      <c r="E695" s="385">
        <v>21</v>
      </c>
      <c r="F695" s="384">
        <v>21</v>
      </c>
      <c r="G695" s="358">
        <v>25752700</v>
      </c>
      <c r="H695" s="359">
        <f t="shared" si="21"/>
        <v>24789220</v>
      </c>
      <c r="I695" s="360"/>
      <c r="J695" s="361"/>
      <c r="K695" s="362"/>
      <c r="L695" s="362"/>
      <c r="M695" s="361">
        <v>734080</v>
      </c>
      <c r="N695" s="361">
        <v>1605800</v>
      </c>
      <c r="O695" s="361">
        <v>137640</v>
      </c>
      <c r="P695" s="361">
        <v>275280</v>
      </c>
      <c r="Q695" s="361">
        <v>91760</v>
      </c>
      <c r="R695" s="361">
        <v>91760</v>
      </c>
      <c r="S695" s="361">
        <v>183520</v>
      </c>
      <c r="T695" s="386">
        <v>1030000</v>
      </c>
      <c r="U695" s="364">
        <f t="shared" si="22"/>
        <v>28939060</v>
      </c>
      <c r="V695" s="362"/>
      <c r="W695" s="365" t="str">
        <f>+VLOOKUP($B695,[2]Time_S4!$B:$G,6,0)</f>
        <v>Trung tâm Thông tin Quân sự</v>
      </c>
      <c r="X695" s="365" t="str">
        <f>IF(W695="Phòng Kinh doanh","Trung tâm Kinh doanh - TCT CNC",+VLOOKUP($B695,[2]Time_S4!$B:$G,5,0))</f>
        <v>Khối 1 - TCT CNC</v>
      </c>
      <c r="Y695" s="366"/>
      <c r="Z695" s="366"/>
    </row>
    <row r="696" spans="1:26" ht="15.75" hidden="1">
      <c r="A696" s="367">
        <f>SUBTOTAL(3,$B$15:B696)</f>
        <v>2</v>
      </c>
      <c r="B696" s="382" t="s">
        <v>1725</v>
      </c>
      <c r="C696" s="383" t="s">
        <v>1726</v>
      </c>
      <c r="D696" s="384" t="s">
        <v>407</v>
      </c>
      <c r="E696" s="385">
        <v>21</v>
      </c>
      <c r="F696" s="384">
        <v>21</v>
      </c>
      <c r="G696" s="358">
        <v>24274996</v>
      </c>
      <c r="H696" s="359">
        <f t="shared" si="21"/>
        <v>23311516</v>
      </c>
      <c r="I696" s="360"/>
      <c r="J696" s="361"/>
      <c r="K696" s="362"/>
      <c r="L696" s="362"/>
      <c r="M696" s="361">
        <v>734080</v>
      </c>
      <c r="N696" s="361">
        <v>1605800</v>
      </c>
      <c r="O696" s="361">
        <v>137640</v>
      </c>
      <c r="P696" s="361">
        <v>275280</v>
      </c>
      <c r="Q696" s="361">
        <v>91760</v>
      </c>
      <c r="R696" s="361">
        <v>91760</v>
      </c>
      <c r="S696" s="361">
        <v>183520</v>
      </c>
      <c r="T696" s="386">
        <v>930000</v>
      </c>
      <c r="U696" s="364">
        <f t="shared" si="22"/>
        <v>27361356</v>
      </c>
      <c r="V696" s="362"/>
      <c r="W696" s="365" t="str">
        <f>+VLOOKUP($B696,[2]Time_S4!$B:$G,6,0)</f>
        <v>Trung tâm Thông tin Quân sự</v>
      </c>
      <c r="X696" s="365" t="str">
        <f>IF(W696="Phòng Kinh doanh","Trung tâm Kinh doanh - TCT CNC",+VLOOKUP($B696,[2]Time_S4!$B:$G,5,0))</f>
        <v>Khối 1 - TCT CNC</v>
      </c>
      <c r="Y696" s="366"/>
      <c r="Z696" s="366"/>
    </row>
    <row r="697" spans="1:26" ht="15.75" hidden="1">
      <c r="A697" s="367">
        <f>SUBTOTAL(3,$B$15:B697)</f>
        <v>2</v>
      </c>
      <c r="B697" s="382" t="s">
        <v>1727</v>
      </c>
      <c r="C697" s="383" t="s">
        <v>1728</v>
      </c>
      <c r="D697" s="384" t="s">
        <v>407</v>
      </c>
      <c r="E697" s="385">
        <v>21</v>
      </c>
      <c r="F697" s="384">
        <v>21</v>
      </c>
      <c r="G697" s="358">
        <v>36829476</v>
      </c>
      <c r="H697" s="359">
        <f t="shared" si="21"/>
        <v>35704548</v>
      </c>
      <c r="I697" s="360"/>
      <c r="J697" s="361"/>
      <c r="K697" s="362"/>
      <c r="L697" s="362"/>
      <c r="M697" s="361">
        <v>857088</v>
      </c>
      <c r="N697" s="361">
        <v>1874880</v>
      </c>
      <c r="O697" s="361">
        <v>160704</v>
      </c>
      <c r="P697" s="361">
        <v>321408</v>
      </c>
      <c r="Q697" s="361">
        <v>107136</v>
      </c>
      <c r="R697" s="361">
        <v>107136</v>
      </c>
      <c r="S697" s="361">
        <v>214272</v>
      </c>
      <c r="T697" s="386">
        <v>1030000</v>
      </c>
      <c r="U697" s="364">
        <f t="shared" si="22"/>
        <v>40377172</v>
      </c>
      <c r="V697" s="362"/>
      <c r="W697" s="365" t="str">
        <f>+VLOOKUP($B697,[2]Time_S4!$B:$G,6,0)</f>
        <v>Trung tâm Rada</v>
      </c>
      <c r="X697" s="365" t="str">
        <f>IF(W697="Phòng Kinh doanh","Trung tâm Kinh doanh - TCT CNC",+VLOOKUP($B697,[2]Time_S4!$B:$G,5,0))</f>
        <v>Khối 1 - TCT CNC</v>
      </c>
      <c r="Y697" s="366"/>
      <c r="Z697" s="366"/>
    </row>
    <row r="698" spans="1:26" ht="15.75" hidden="1">
      <c r="A698" s="367">
        <f>SUBTOTAL(3,$B$15:B698)</f>
        <v>2</v>
      </c>
      <c r="B698" s="382" t="s">
        <v>1729</v>
      </c>
      <c r="C698" s="383" t="s">
        <v>1438</v>
      </c>
      <c r="D698" s="384" t="s">
        <v>407</v>
      </c>
      <c r="E698" s="385">
        <v>21</v>
      </c>
      <c r="F698" s="384">
        <v>21</v>
      </c>
      <c r="G698" s="358">
        <v>30139244</v>
      </c>
      <c r="H698" s="359">
        <f t="shared" si="21"/>
        <v>29123684</v>
      </c>
      <c r="I698" s="360"/>
      <c r="J698" s="361"/>
      <c r="K698" s="362"/>
      <c r="L698" s="362"/>
      <c r="M698" s="361">
        <v>773760</v>
      </c>
      <c r="N698" s="361">
        <v>1692600</v>
      </c>
      <c r="O698" s="361">
        <v>145080</v>
      </c>
      <c r="P698" s="361">
        <v>290160</v>
      </c>
      <c r="Q698" s="361">
        <v>96720</v>
      </c>
      <c r="R698" s="361">
        <v>96720</v>
      </c>
      <c r="S698" s="361">
        <v>193440</v>
      </c>
      <c r="T698" s="386">
        <v>1030000</v>
      </c>
      <c r="U698" s="364">
        <f t="shared" si="22"/>
        <v>33442164</v>
      </c>
      <c r="V698" s="362"/>
      <c r="W698" s="365" t="str">
        <f>+VLOOKUP($B698,[2]Time_S4!$B:$G,6,0)</f>
        <v>Trung tâm Quang điện tử</v>
      </c>
      <c r="X698" s="365" t="str">
        <f>IF(W698="Phòng Kinh doanh","Trung tâm Kinh doanh - TCT CNC",+VLOOKUP($B698,[2]Time_S4!$B:$G,5,0))</f>
        <v>Khối 1 - TCT CNC</v>
      </c>
      <c r="Y698" s="366"/>
      <c r="Z698" s="366"/>
    </row>
    <row r="699" spans="1:26" ht="15.75" hidden="1">
      <c r="A699" s="367">
        <f>SUBTOTAL(3,$B$15:B699)</f>
        <v>2</v>
      </c>
      <c r="B699" s="382" t="s">
        <v>1730</v>
      </c>
      <c r="C699" s="383" t="s">
        <v>1731</v>
      </c>
      <c r="D699" s="384" t="s">
        <v>407</v>
      </c>
      <c r="E699" s="385">
        <v>21</v>
      </c>
      <c r="F699" s="384">
        <v>21</v>
      </c>
      <c r="G699" s="358">
        <v>40650853</v>
      </c>
      <c r="H699" s="359">
        <f t="shared" si="21"/>
        <v>39525925</v>
      </c>
      <c r="I699" s="360"/>
      <c r="J699" s="361"/>
      <c r="K699" s="362"/>
      <c r="L699" s="362"/>
      <c r="M699" s="361">
        <v>857088</v>
      </c>
      <c r="N699" s="361">
        <v>1874880</v>
      </c>
      <c r="O699" s="361">
        <v>160704</v>
      </c>
      <c r="P699" s="361">
        <v>321408</v>
      </c>
      <c r="Q699" s="361">
        <v>107136</v>
      </c>
      <c r="R699" s="361">
        <v>107136</v>
      </c>
      <c r="S699" s="361">
        <v>214272</v>
      </c>
      <c r="T699" s="386">
        <v>1030000</v>
      </c>
      <c r="U699" s="364">
        <f t="shared" si="22"/>
        <v>44198549</v>
      </c>
      <c r="V699" s="362"/>
      <c r="W699" s="365" t="str">
        <f>+VLOOKUP($B699,[2]Time_S4!$B:$G,6,0)</f>
        <v>Trung tâm Khí cụ bay</v>
      </c>
      <c r="X699" s="365" t="str">
        <f>IF(W699="Phòng Kinh doanh","Trung tâm Kinh doanh - TCT CNC",+VLOOKUP($B699,[2]Time_S4!$B:$G,5,0))</f>
        <v>Khối 1 - TCT CNC</v>
      </c>
      <c r="Y699" s="366"/>
      <c r="Z699" s="366"/>
    </row>
    <row r="700" spans="1:26" ht="15.75" hidden="1">
      <c r="A700" s="367">
        <f>SUBTOTAL(3,$B$15:B700)</f>
        <v>2</v>
      </c>
      <c r="B700" s="382" t="s">
        <v>1732</v>
      </c>
      <c r="C700" s="383" t="s">
        <v>1733</v>
      </c>
      <c r="D700" s="384" t="s">
        <v>407</v>
      </c>
      <c r="E700" s="385">
        <v>21</v>
      </c>
      <c r="F700" s="384">
        <v>21</v>
      </c>
      <c r="G700" s="358">
        <v>43415786</v>
      </c>
      <c r="H700" s="359">
        <f t="shared" si="21"/>
        <v>42233570</v>
      </c>
      <c r="I700" s="360"/>
      <c r="J700" s="361"/>
      <c r="K700" s="362"/>
      <c r="L700" s="362"/>
      <c r="M700" s="361">
        <v>900736</v>
      </c>
      <c r="N700" s="361">
        <v>1970360</v>
      </c>
      <c r="O700" s="361">
        <v>168888</v>
      </c>
      <c r="P700" s="361">
        <v>337776</v>
      </c>
      <c r="Q700" s="361">
        <v>112592</v>
      </c>
      <c r="R700" s="361">
        <v>112592</v>
      </c>
      <c r="S700" s="361">
        <v>225184</v>
      </c>
      <c r="T700" s="386">
        <v>1030000</v>
      </c>
      <c r="U700" s="364">
        <f t="shared" si="22"/>
        <v>47091698</v>
      </c>
      <c r="V700" s="362"/>
      <c r="W700" s="365" t="str">
        <f>+VLOOKUP($B700,[2]Time_S4!$B:$G,6,0)</f>
        <v>Trung tâm Rada</v>
      </c>
      <c r="X700" s="365" t="str">
        <f>IF(W700="Phòng Kinh doanh","Trung tâm Kinh doanh - TCT CNC",+VLOOKUP($B700,[2]Time_S4!$B:$G,5,0))</f>
        <v>Khối 1 - TCT CNC</v>
      </c>
      <c r="Y700" s="366"/>
      <c r="Z700" s="366"/>
    </row>
    <row r="701" spans="1:26" ht="15.75" hidden="1">
      <c r="A701" s="367">
        <f>SUBTOTAL(3,$B$15:B701)</f>
        <v>2</v>
      </c>
      <c r="B701" s="382" t="s">
        <v>1734</v>
      </c>
      <c r="C701" s="383" t="s">
        <v>1735</v>
      </c>
      <c r="D701" s="384" t="s">
        <v>407</v>
      </c>
      <c r="E701" s="385">
        <v>21</v>
      </c>
      <c r="F701" s="384">
        <v>21</v>
      </c>
      <c r="G701" s="358">
        <v>31601450</v>
      </c>
      <c r="H701" s="359">
        <f t="shared" si="21"/>
        <v>30585890</v>
      </c>
      <c r="I701" s="360"/>
      <c r="J701" s="361"/>
      <c r="K701" s="362"/>
      <c r="L701" s="362"/>
      <c r="M701" s="361">
        <v>773760</v>
      </c>
      <c r="N701" s="361">
        <v>1692600</v>
      </c>
      <c r="O701" s="361">
        <v>145080</v>
      </c>
      <c r="P701" s="361">
        <v>290160</v>
      </c>
      <c r="Q701" s="361">
        <v>96720</v>
      </c>
      <c r="R701" s="361">
        <v>96720</v>
      </c>
      <c r="S701" s="361">
        <v>193440</v>
      </c>
      <c r="T701" s="386">
        <v>1030000</v>
      </c>
      <c r="U701" s="364">
        <f t="shared" si="22"/>
        <v>34904370</v>
      </c>
      <c r="V701" s="362"/>
      <c r="W701" s="365" t="str">
        <f>+VLOOKUP($B701,[2]Time_S4!$B:$G,6,0)</f>
        <v>Trung tâm Tác chiến điện tử</v>
      </c>
      <c r="X701" s="365" t="str">
        <f>IF(W701="Phòng Kinh doanh","Trung tâm Kinh doanh - TCT CNC",+VLOOKUP($B701,[2]Time_S4!$B:$G,5,0))</f>
        <v>Khối 1 - TCT CNC</v>
      </c>
      <c r="Y701" s="366"/>
      <c r="Z701" s="366"/>
    </row>
    <row r="702" spans="1:26" ht="15.75" hidden="1">
      <c r="A702" s="367">
        <f>SUBTOTAL(3,$B$15:B702)</f>
        <v>2</v>
      </c>
      <c r="B702" s="382" t="s">
        <v>1736</v>
      </c>
      <c r="C702" s="383" t="s">
        <v>1737</v>
      </c>
      <c r="D702" s="384" t="s">
        <v>407</v>
      </c>
      <c r="E702" s="385">
        <v>21</v>
      </c>
      <c r="F702" s="384">
        <v>21</v>
      </c>
      <c r="G702" s="358">
        <v>33142054</v>
      </c>
      <c r="H702" s="359">
        <f t="shared" si="21"/>
        <v>32074414</v>
      </c>
      <c r="I702" s="360"/>
      <c r="J702" s="361"/>
      <c r="K702" s="362"/>
      <c r="L702" s="362"/>
      <c r="M702" s="361">
        <v>813440</v>
      </c>
      <c r="N702" s="361">
        <v>1779400</v>
      </c>
      <c r="O702" s="361">
        <v>152520</v>
      </c>
      <c r="P702" s="361">
        <v>305040</v>
      </c>
      <c r="Q702" s="361">
        <v>101680</v>
      </c>
      <c r="R702" s="361">
        <v>101680</v>
      </c>
      <c r="S702" s="361">
        <v>203360</v>
      </c>
      <c r="T702" s="386">
        <v>1030000</v>
      </c>
      <c r="U702" s="364">
        <f t="shared" si="22"/>
        <v>36561534</v>
      </c>
      <c r="V702" s="362"/>
      <c r="W702" s="365" t="str">
        <f>+VLOOKUP($B702,[2]Time_S4!$B:$G,6,0)</f>
        <v>Trung tâm Nghiên cứu thiết bị vô tuyến băng rộng</v>
      </c>
      <c r="X702" s="365" t="str">
        <f>IF(W702="Phòng Kinh doanh","Trung tâm Kinh doanh - TCT CNC",+VLOOKUP($B702,[2]Time_S4!$B:$G,5,0))</f>
        <v>Khối 2 - TCT CNC</v>
      </c>
      <c r="Y702" s="366"/>
      <c r="Z702" s="366"/>
    </row>
    <row r="703" spans="1:26" ht="15.75" hidden="1">
      <c r="A703" s="367">
        <f>SUBTOTAL(3,$B$15:B703)</f>
        <v>2</v>
      </c>
      <c r="B703" s="382" t="s">
        <v>1738</v>
      </c>
      <c r="C703" s="383" t="s">
        <v>1739</v>
      </c>
      <c r="D703" s="384" t="s">
        <v>407</v>
      </c>
      <c r="E703" s="385">
        <v>21</v>
      </c>
      <c r="F703" s="384">
        <v>21</v>
      </c>
      <c r="G703" s="358">
        <v>23522926</v>
      </c>
      <c r="H703" s="359">
        <f t="shared" si="21"/>
        <v>22559446</v>
      </c>
      <c r="I703" s="360"/>
      <c r="J703" s="361"/>
      <c r="K703" s="362"/>
      <c r="L703" s="362"/>
      <c r="M703" s="361">
        <v>734080</v>
      </c>
      <c r="N703" s="361">
        <v>1605800</v>
      </c>
      <c r="O703" s="361">
        <v>137640</v>
      </c>
      <c r="P703" s="361">
        <v>275280</v>
      </c>
      <c r="Q703" s="361">
        <v>91760</v>
      </c>
      <c r="R703" s="361">
        <v>91760</v>
      </c>
      <c r="S703" s="361">
        <v>183520</v>
      </c>
      <c r="T703" s="386">
        <v>930000</v>
      </c>
      <c r="U703" s="364">
        <f t="shared" si="22"/>
        <v>26609286</v>
      </c>
      <c r="V703" s="362"/>
      <c r="W703" s="365" t="str">
        <f>+VLOOKUP($B703,[2]Time_S4!$B:$G,6,0)</f>
        <v>Trung tâm Rada</v>
      </c>
      <c r="X703" s="365" t="str">
        <f>IF(W703="Phòng Kinh doanh","Trung tâm Kinh doanh - TCT CNC",+VLOOKUP($B703,[2]Time_S4!$B:$G,5,0))</f>
        <v>Khối 1 - TCT CNC</v>
      </c>
      <c r="Y703" s="366"/>
      <c r="Z703" s="366"/>
    </row>
    <row r="704" spans="1:26" ht="15.75" hidden="1">
      <c r="A704" s="367">
        <f>SUBTOTAL(3,$B$15:B704)</f>
        <v>2</v>
      </c>
      <c r="B704" s="382" t="s">
        <v>1740</v>
      </c>
      <c r="C704" s="383" t="s">
        <v>1741</v>
      </c>
      <c r="D704" s="384" t="s">
        <v>407</v>
      </c>
      <c r="E704" s="385">
        <v>21</v>
      </c>
      <c r="F704" s="384">
        <v>21</v>
      </c>
      <c r="G704" s="358">
        <v>36475775</v>
      </c>
      <c r="H704" s="359">
        <f t="shared" si="21"/>
        <v>35350847</v>
      </c>
      <c r="I704" s="360"/>
      <c r="J704" s="361"/>
      <c r="K704" s="362"/>
      <c r="L704" s="362"/>
      <c r="M704" s="361">
        <v>857088</v>
      </c>
      <c r="N704" s="361">
        <v>1874880</v>
      </c>
      <c r="O704" s="361">
        <v>160704</v>
      </c>
      <c r="P704" s="361">
        <v>321408</v>
      </c>
      <c r="Q704" s="361">
        <v>107136</v>
      </c>
      <c r="R704" s="361">
        <v>107136</v>
      </c>
      <c r="S704" s="361">
        <v>214272</v>
      </c>
      <c r="T704" s="386">
        <v>1030000</v>
      </c>
      <c r="U704" s="364">
        <f t="shared" si="22"/>
        <v>40023471</v>
      </c>
      <c r="V704" s="362"/>
      <c r="W704" s="365" t="str">
        <f>+VLOOKUP($B704,[2]Time_S4!$B:$G,6,0)</f>
        <v>Trung tâm Rada</v>
      </c>
      <c r="X704" s="365" t="str">
        <f>IF(W704="Phòng Kinh doanh","Trung tâm Kinh doanh - TCT CNC",+VLOOKUP($B704,[2]Time_S4!$B:$G,5,0))</f>
        <v>Khối 1 - TCT CNC</v>
      </c>
      <c r="Y704" s="366"/>
      <c r="Z704" s="366"/>
    </row>
    <row r="705" spans="1:26" ht="15.75" hidden="1">
      <c r="A705" s="367">
        <f>SUBTOTAL(3,$B$15:B705)</f>
        <v>2</v>
      </c>
      <c r="B705" s="382" t="s">
        <v>1742</v>
      </c>
      <c r="C705" s="383" t="s">
        <v>1445</v>
      </c>
      <c r="D705" s="384" t="s">
        <v>407</v>
      </c>
      <c r="E705" s="385">
        <v>21</v>
      </c>
      <c r="F705" s="384">
        <v>21</v>
      </c>
      <c r="G705" s="358">
        <v>31324708</v>
      </c>
      <c r="H705" s="359">
        <f t="shared" si="21"/>
        <v>30309148</v>
      </c>
      <c r="I705" s="360"/>
      <c r="J705" s="361"/>
      <c r="K705" s="362"/>
      <c r="L705" s="362"/>
      <c r="M705" s="361">
        <v>773760</v>
      </c>
      <c r="N705" s="361">
        <v>1692600</v>
      </c>
      <c r="O705" s="361">
        <v>145080</v>
      </c>
      <c r="P705" s="361">
        <v>290160</v>
      </c>
      <c r="Q705" s="361">
        <v>96720</v>
      </c>
      <c r="R705" s="361">
        <v>96720</v>
      </c>
      <c r="S705" s="361">
        <v>193440</v>
      </c>
      <c r="T705" s="386">
        <v>930000</v>
      </c>
      <c r="U705" s="364">
        <f t="shared" si="22"/>
        <v>34527628</v>
      </c>
      <c r="V705" s="362"/>
      <c r="W705" s="365" t="str">
        <f>+VLOOKUP($B705,[2]Time_S4!$B:$G,6,0)</f>
        <v>Trung tâm Camera</v>
      </c>
      <c r="X705" s="365" t="str">
        <f>IF(W705="Phòng Kinh doanh","Trung tâm Kinh doanh - TCT CNC",+VLOOKUP($B705,[2]Time_S4!$B:$G,5,0))</f>
        <v>Khối 3 - TCT CNC</v>
      </c>
      <c r="Y705" s="366"/>
      <c r="Z705" s="366"/>
    </row>
    <row r="706" spans="1:26" ht="15.75" hidden="1">
      <c r="A706" s="367">
        <f>SUBTOTAL(3,$B$15:B706)</f>
        <v>2</v>
      </c>
      <c r="B706" s="382" t="s">
        <v>1743</v>
      </c>
      <c r="C706" s="383" t="s">
        <v>1744</v>
      </c>
      <c r="D706" s="384" t="s">
        <v>407</v>
      </c>
      <c r="E706" s="385">
        <v>21</v>
      </c>
      <c r="F706" s="384">
        <v>21</v>
      </c>
      <c r="G706" s="358">
        <v>25852064</v>
      </c>
      <c r="H706" s="359">
        <f t="shared" si="21"/>
        <v>24836504</v>
      </c>
      <c r="I706" s="360"/>
      <c r="J706" s="361"/>
      <c r="K706" s="362"/>
      <c r="L706" s="362"/>
      <c r="M706" s="361">
        <v>773760</v>
      </c>
      <c r="N706" s="361">
        <v>1692600</v>
      </c>
      <c r="O706" s="361">
        <v>145080</v>
      </c>
      <c r="P706" s="361">
        <v>290160</v>
      </c>
      <c r="Q706" s="361">
        <v>96720</v>
      </c>
      <c r="R706" s="361">
        <v>96720</v>
      </c>
      <c r="S706" s="361">
        <v>193440</v>
      </c>
      <c r="T706" s="386">
        <v>930000</v>
      </c>
      <c r="U706" s="364">
        <f t="shared" si="22"/>
        <v>29054984</v>
      </c>
      <c r="V706" s="362"/>
      <c r="W706" s="365" t="str">
        <f>+VLOOKUP($B706,[2]Time_S4!$B:$G,6,0)</f>
        <v>Trung tâm Rada</v>
      </c>
      <c r="X706" s="365" t="str">
        <f>IF(W706="Phòng Kinh doanh","Trung tâm Kinh doanh - TCT CNC",+VLOOKUP($B706,[2]Time_S4!$B:$G,5,0))</f>
        <v>Khối 1 - TCT CNC</v>
      </c>
      <c r="Y706" s="366"/>
      <c r="Z706" s="366"/>
    </row>
    <row r="707" spans="1:26" ht="15.75" hidden="1">
      <c r="A707" s="367">
        <f>SUBTOTAL(3,$B$15:B707)</f>
        <v>2</v>
      </c>
      <c r="B707" s="382" t="s">
        <v>1745</v>
      </c>
      <c r="C707" s="383" t="s">
        <v>1746</v>
      </c>
      <c r="D707" s="384" t="s">
        <v>407</v>
      </c>
      <c r="E707" s="385">
        <v>21</v>
      </c>
      <c r="F707" s="384">
        <v>21</v>
      </c>
      <c r="G707" s="358">
        <v>24790050</v>
      </c>
      <c r="H707" s="359">
        <f t="shared" si="21"/>
        <v>23774490</v>
      </c>
      <c r="I707" s="360"/>
      <c r="J707" s="361"/>
      <c r="K707" s="362"/>
      <c r="L707" s="362"/>
      <c r="M707" s="361">
        <v>773760</v>
      </c>
      <c r="N707" s="361">
        <v>1692600</v>
      </c>
      <c r="O707" s="361">
        <v>145080</v>
      </c>
      <c r="P707" s="361">
        <v>290160</v>
      </c>
      <c r="Q707" s="361">
        <v>96720</v>
      </c>
      <c r="R707" s="361">
        <v>96720</v>
      </c>
      <c r="S707" s="361">
        <v>193440</v>
      </c>
      <c r="T707" s="386">
        <v>930000</v>
      </c>
      <c r="U707" s="364">
        <f t="shared" si="22"/>
        <v>27992970</v>
      </c>
      <c r="V707" s="362"/>
      <c r="W707" s="365" t="str">
        <f>+VLOOKUP($B707,[2]Time_S4!$B:$G,6,0)</f>
        <v>Trung tâm Kỹ thuật công nghệ - TCT CNC</v>
      </c>
      <c r="X707" s="365" t="str">
        <f>IF(W707="Phòng Kinh doanh","Trung tâm Kinh doanh - TCT CNC",+VLOOKUP($B707,[2]Time_S4!$B:$G,5,0))</f>
        <v>Khối 2 - TCT CNC</v>
      </c>
      <c r="Y707" s="366"/>
      <c r="Z707" s="366"/>
    </row>
    <row r="708" spans="1:26" ht="15.75" hidden="1">
      <c r="A708" s="367">
        <f>SUBTOTAL(3,$B$15:B708)</f>
        <v>2</v>
      </c>
      <c r="B708" s="382" t="s">
        <v>1747</v>
      </c>
      <c r="C708" s="383" t="s">
        <v>1748</v>
      </c>
      <c r="D708" s="384" t="s">
        <v>407</v>
      </c>
      <c r="E708" s="385">
        <v>21</v>
      </c>
      <c r="F708" s="384">
        <v>21</v>
      </c>
      <c r="G708" s="358">
        <v>37100171</v>
      </c>
      <c r="H708" s="359">
        <f t="shared" si="21"/>
        <v>36032531</v>
      </c>
      <c r="I708" s="360"/>
      <c r="J708" s="361"/>
      <c r="K708" s="362"/>
      <c r="L708" s="362"/>
      <c r="M708" s="361">
        <v>813440</v>
      </c>
      <c r="N708" s="361">
        <v>1779400</v>
      </c>
      <c r="O708" s="361">
        <v>152520</v>
      </c>
      <c r="P708" s="361">
        <v>305040</v>
      </c>
      <c r="Q708" s="361">
        <v>101680</v>
      </c>
      <c r="R708" s="361">
        <v>101680</v>
      </c>
      <c r="S708" s="361">
        <v>203360</v>
      </c>
      <c r="T708" s="386">
        <v>1030000</v>
      </c>
      <c r="U708" s="364">
        <f t="shared" si="22"/>
        <v>40519651</v>
      </c>
      <c r="V708" s="362"/>
      <c r="W708" s="365" t="str">
        <f>+VLOOKUP($B708,[2]Time_S4!$B:$G,6,0)</f>
        <v>Trung tâm Mô hình mô phỏng</v>
      </c>
      <c r="X708" s="365" t="str">
        <f>IF(W708="Phòng Kinh doanh","Trung tâm Kinh doanh - TCT CNC",+VLOOKUP($B708,[2]Time_S4!$B:$G,5,0))</f>
        <v>Khối 1 - TCT CNC</v>
      </c>
      <c r="Y708" s="366"/>
      <c r="Z708" s="366"/>
    </row>
    <row r="709" spans="1:26" ht="15.75" hidden="1">
      <c r="A709" s="367">
        <f>SUBTOTAL(3,$B$15:B709)</f>
        <v>2</v>
      </c>
      <c r="B709" s="382" t="s">
        <v>1749</v>
      </c>
      <c r="C709" s="383" t="s">
        <v>1750</v>
      </c>
      <c r="D709" s="384" t="s">
        <v>407</v>
      </c>
      <c r="E709" s="385">
        <v>21</v>
      </c>
      <c r="F709" s="384">
        <v>21</v>
      </c>
      <c r="G709" s="358">
        <v>28770882</v>
      </c>
      <c r="H709" s="359">
        <f t="shared" si="21"/>
        <v>27807402</v>
      </c>
      <c r="I709" s="360"/>
      <c r="J709" s="361"/>
      <c r="K709" s="362"/>
      <c r="L709" s="362"/>
      <c r="M709" s="361">
        <v>734080</v>
      </c>
      <c r="N709" s="361">
        <v>1605800</v>
      </c>
      <c r="O709" s="361">
        <v>137640</v>
      </c>
      <c r="P709" s="361">
        <v>275280</v>
      </c>
      <c r="Q709" s="361">
        <v>91760</v>
      </c>
      <c r="R709" s="361">
        <v>91760</v>
      </c>
      <c r="S709" s="361">
        <v>183520</v>
      </c>
      <c r="T709" s="386">
        <v>1515000</v>
      </c>
      <c r="U709" s="364">
        <f t="shared" si="22"/>
        <v>32442242</v>
      </c>
      <c r="V709" s="362"/>
      <c r="W709" s="365" t="str">
        <f>+VLOOKUP($B709,[2]Time_S4!$B:$G,6,0)</f>
        <v>Trung tâm Đảm bảo chất lượng</v>
      </c>
      <c r="X709" s="365" t="str">
        <f>IF(W709="Phòng Kinh doanh","Trung tâm Kinh doanh - TCT CNC",+VLOOKUP($B709,[2]Time_S4!$B:$G,5,0))</f>
        <v>Khối 1 - TCT CNC</v>
      </c>
      <c r="Y709" s="366"/>
      <c r="Z709" s="366"/>
    </row>
    <row r="710" spans="1:26" ht="15.75" hidden="1">
      <c r="A710" s="367">
        <f>SUBTOTAL(3,$B$15:B710)</f>
        <v>2</v>
      </c>
      <c r="B710" s="382" t="s">
        <v>1751</v>
      </c>
      <c r="C710" s="383" t="s">
        <v>1752</v>
      </c>
      <c r="D710" s="384" t="s">
        <v>407</v>
      </c>
      <c r="E710" s="385">
        <v>21</v>
      </c>
      <c r="F710" s="384">
        <v>21</v>
      </c>
      <c r="G710" s="358">
        <v>30127468</v>
      </c>
      <c r="H710" s="359">
        <f t="shared" si="21"/>
        <v>29111908</v>
      </c>
      <c r="I710" s="360"/>
      <c r="J710" s="361"/>
      <c r="K710" s="362"/>
      <c r="L710" s="362"/>
      <c r="M710" s="361">
        <v>773760</v>
      </c>
      <c r="N710" s="361">
        <v>1692600</v>
      </c>
      <c r="O710" s="361">
        <v>145080</v>
      </c>
      <c r="P710" s="361">
        <v>290160</v>
      </c>
      <c r="Q710" s="361">
        <v>96720</v>
      </c>
      <c r="R710" s="361">
        <v>96720</v>
      </c>
      <c r="S710" s="361">
        <v>193440</v>
      </c>
      <c r="T710" s="386">
        <v>1030000</v>
      </c>
      <c r="U710" s="364">
        <f t="shared" si="22"/>
        <v>33430388</v>
      </c>
      <c r="V710" s="362"/>
      <c r="W710" s="365" t="str">
        <f>+VLOOKUP($B710,[2]Time_S4!$B:$G,6,0)</f>
        <v>Trung tâm Quang điện tử</v>
      </c>
      <c r="X710" s="365" t="str">
        <f>IF(W710="Phòng Kinh doanh","Trung tâm Kinh doanh - TCT CNC",+VLOOKUP($B710,[2]Time_S4!$B:$G,5,0))</f>
        <v>Khối 1 - TCT CNC</v>
      </c>
      <c r="Y710" s="366"/>
      <c r="Z710" s="366"/>
    </row>
    <row r="711" spans="1:26" ht="15.75" hidden="1">
      <c r="A711" s="367">
        <f>SUBTOTAL(3,$B$15:B711)</f>
        <v>2</v>
      </c>
      <c r="B711" s="382" t="s">
        <v>1753</v>
      </c>
      <c r="C711" s="383" t="s">
        <v>1754</v>
      </c>
      <c r="D711" s="384" t="s">
        <v>407</v>
      </c>
      <c r="E711" s="385">
        <v>21</v>
      </c>
      <c r="F711" s="384">
        <v>21</v>
      </c>
      <c r="G711" s="358">
        <v>29960570</v>
      </c>
      <c r="H711" s="359">
        <f t="shared" si="21"/>
        <v>28945010</v>
      </c>
      <c r="I711" s="360"/>
      <c r="J711" s="361"/>
      <c r="K711" s="362"/>
      <c r="L711" s="362"/>
      <c r="M711" s="361">
        <v>773760</v>
      </c>
      <c r="N711" s="361">
        <v>1692600</v>
      </c>
      <c r="O711" s="361">
        <v>145080</v>
      </c>
      <c r="P711" s="361">
        <v>290160</v>
      </c>
      <c r="Q711" s="361">
        <v>96720</v>
      </c>
      <c r="R711" s="361">
        <v>96720</v>
      </c>
      <c r="S711" s="361">
        <v>193440</v>
      </c>
      <c r="T711" s="386">
        <v>930000</v>
      </c>
      <c r="U711" s="364">
        <f t="shared" si="22"/>
        <v>33163490</v>
      </c>
      <c r="V711" s="362"/>
      <c r="W711" s="365" t="str">
        <f>+VLOOKUP($B711,[2]Time_S4!$B:$G,6,0)</f>
        <v>Trung tâm Quang điện tử</v>
      </c>
      <c r="X711" s="365" t="str">
        <f>IF(W711="Phòng Kinh doanh","Trung tâm Kinh doanh - TCT CNC",+VLOOKUP($B711,[2]Time_S4!$B:$G,5,0))</f>
        <v>Khối 1 - TCT CNC</v>
      </c>
      <c r="Y711" s="366"/>
      <c r="Z711" s="366"/>
    </row>
    <row r="712" spans="1:26" ht="15.75" hidden="1">
      <c r="A712" s="367">
        <f>SUBTOTAL(3,$B$15:B712)</f>
        <v>2</v>
      </c>
      <c r="B712" s="382" t="s">
        <v>1755</v>
      </c>
      <c r="C712" s="383" t="s">
        <v>1557</v>
      </c>
      <c r="D712" s="384" t="s">
        <v>407</v>
      </c>
      <c r="E712" s="385">
        <v>21</v>
      </c>
      <c r="F712" s="384">
        <v>21</v>
      </c>
      <c r="G712" s="358">
        <v>28316044</v>
      </c>
      <c r="H712" s="359">
        <f t="shared" si="21"/>
        <v>27300484</v>
      </c>
      <c r="I712" s="360"/>
      <c r="J712" s="361"/>
      <c r="K712" s="362"/>
      <c r="L712" s="362"/>
      <c r="M712" s="361">
        <v>773760</v>
      </c>
      <c r="N712" s="361">
        <v>1692600</v>
      </c>
      <c r="O712" s="361">
        <v>145080</v>
      </c>
      <c r="P712" s="361">
        <v>290160</v>
      </c>
      <c r="Q712" s="361">
        <v>96720</v>
      </c>
      <c r="R712" s="361">
        <v>96720</v>
      </c>
      <c r="S712" s="361">
        <v>193440</v>
      </c>
      <c r="T712" s="386">
        <v>930000</v>
      </c>
      <c r="U712" s="364">
        <f t="shared" si="22"/>
        <v>31518964</v>
      </c>
      <c r="V712" s="362"/>
      <c r="W712" s="365" t="str">
        <f>+VLOOKUP($B712,[2]Time_S4!$B:$G,6,0)</f>
        <v>Trung tâm Rada</v>
      </c>
      <c r="X712" s="365" t="str">
        <f>IF(W712="Phòng Kinh doanh","Trung tâm Kinh doanh - TCT CNC",+VLOOKUP($B712,[2]Time_S4!$B:$G,5,0))</f>
        <v>Khối 1 - TCT CNC</v>
      </c>
      <c r="Y712" s="366"/>
      <c r="Z712" s="366"/>
    </row>
    <row r="713" spans="1:26" ht="15.75" hidden="1">
      <c r="A713" s="367">
        <f>SUBTOTAL(3,$B$15:B713)</f>
        <v>2</v>
      </c>
      <c r="B713" s="382" t="s">
        <v>1756</v>
      </c>
      <c r="C713" s="383" t="s">
        <v>1757</v>
      </c>
      <c r="D713" s="384" t="s">
        <v>407</v>
      </c>
      <c r="E713" s="385">
        <v>21</v>
      </c>
      <c r="F713" s="384">
        <v>21</v>
      </c>
      <c r="G713" s="358">
        <v>40650853</v>
      </c>
      <c r="H713" s="359">
        <f t="shared" si="21"/>
        <v>39525925</v>
      </c>
      <c r="I713" s="360"/>
      <c r="J713" s="361"/>
      <c r="K713" s="362"/>
      <c r="L713" s="362"/>
      <c r="M713" s="361">
        <v>857088</v>
      </c>
      <c r="N713" s="361">
        <v>1874880</v>
      </c>
      <c r="O713" s="361">
        <v>160704</v>
      </c>
      <c r="P713" s="361">
        <v>321408</v>
      </c>
      <c r="Q713" s="361">
        <v>107136</v>
      </c>
      <c r="R713" s="361">
        <v>107136</v>
      </c>
      <c r="S713" s="361">
        <v>214272</v>
      </c>
      <c r="T713" s="386">
        <v>1030000</v>
      </c>
      <c r="U713" s="364">
        <f t="shared" si="22"/>
        <v>44198549</v>
      </c>
      <c r="V713" s="362"/>
      <c r="W713" s="365" t="str">
        <f>+VLOOKUP($B713,[2]Time_S4!$B:$G,6,0)</f>
        <v>Trung tâm Công nghệ Cơ khí - Tự động hóa</v>
      </c>
      <c r="X713" s="365" t="str">
        <f>IF(W713="Phòng Kinh doanh","Trung tâm Kinh doanh - TCT CNC",+VLOOKUP($B713,[2]Time_S4!$B:$G,5,0))</f>
        <v>Khối 1 - TCT CNC</v>
      </c>
      <c r="Y713" s="366"/>
      <c r="Z713" s="366"/>
    </row>
    <row r="714" spans="1:26" ht="15.75" hidden="1">
      <c r="A714" s="367">
        <f>SUBTOTAL(3,$B$15:B714)</f>
        <v>2</v>
      </c>
      <c r="B714" s="382" t="s">
        <v>1758</v>
      </c>
      <c r="C714" s="383" t="s">
        <v>1358</v>
      </c>
      <c r="D714" s="384" t="s">
        <v>407</v>
      </c>
      <c r="E714" s="385">
        <v>21</v>
      </c>
      <c r="F714" s="384">
        <v>21</v>
      </c>
      <c r="G714" s="358">
        <v>35781086</v>
      </c>
      <c r="H714" s="359">
        <f t="shared" si="21"/>
        <v>34713446</v>
      </c>
      <c r="I714" s="360"/>
      <c r="J714" s="361"/>
      <c r="K714" s="362"/>
      <c r="L714" s="362"/>
      <c r="M714" s="361">
        <v>813440</v>
      </c>
      <c r="N714" s="361">
        <v>1779400</v>
      </c>
      <c r="O714" s="361">
        <v>152520</v>
      </c>
      <c r="P714" s="361">
        <v>305040</v>
      </c>
      <c r="Q714" s="361">
        <v>101680</v>
      </c>
      <c r="R714" s="361">
        <v>101680</v>
      </c>
      <c r="S714" s="361">
        <v>203360</v>
      </c>
      <c r="T714" s="386">
        <v>1498000</v>
      </c>
      <c r="U714" s="364">
        <f t="shared" si="22"/>
        <v>39668566</v>
      </c>
      <c r="V714" s="362"/>
      <c r="W714" s="365" t="str">
        <f>+VLOOKUP($B714,[2]Time_S4!$B:$G,6,0)</f>
        <v>Trung tâm Công nghệ Cơ khí - Tự động hóa</v>
      </c>
      <c r="X714" s="365" t="str">
        <f>IF(W714="Phòng Kinh doanh","Trung tâm Kinh doanh - TCT CNC",+VLOOKUP($B714,[2]Time_S4!$B:$G,5,0))</f>
        <v>Khối 1 - TCT CNC</v>
      </c>
      <c r="Y714" s="366"/>
      <c r="Z714" s="366"/>
    </row>
    <row r="715" spans="1:26" ht="15.75" hidden="1">
      <c r="A715" s="367">
        <f>SUBTOTAL(3,$B$15:B715)</f>
        <v>2</v>
      </c>
      <c r="B715" s="382" t="s">
        <v>1759</v>
      </c>
      <c r="C715" s="383" t="s">
        <v>1760</v>
      </c>
      <c r="D715" s="384" t="s">
        <v>407</v>
      </c>
      <c r="E715" s="385">
        <v>21</v>
      </c>
      <c r="F715" s="384">
        <v>21</v>
      </c>
      <c r="G715" s="358">
        <v>34546905</v>
      </c>
      <c r="H715" s="359">
        <f t="shared" si="21"/>
        <v>33421977</v>
      </c>
      <c r="I715" s="360"/>
      <c r="J715" s="361"/>
      <c r="K715" s="362"/>
      <c r="L715" s="362"/>
      <c r="M715" s="361">
        <v>857088</v>
      </c>
      <c r="N715" s="361">
        <v>1874880</v>
      </c>
      <c r="O715" s="361">
        <v>160704</v>
      </c>
      <c r="P715" s="361">
        <v>321408</v>
      </c>
      <c r="Q715" s="361">
        <v>107136</v>
      </c>
      <c r="R715" s="361">
        <v>107136</v>
      </c>
      <c r="S715" s="361">
        <v>214272</v>
      </c>
      <c r="T715" s="386">
        <v>1030000</v>
      </c>
      <c r="U715" s="364">
        <f t="shared" si="22"/>
        <v>38094601</v>
      </c>
      <c r="V715" s="362"/>
      <c r="W715" s="365" t="str">
        <f>+VLOOKUP($B715,[2]Time_S4!$B:$G,6,0)</f>
        <v>Phòng Công nghệ thông tin</v>
      </c>
      <c r="X715" s="365" t="str">
        <f>IF(W715="Phòng Kinh doanh","Trung tâm Kinh doanh - TCT CNC",+VLOOKUP($B715,[2]Time_S4!$B:$G,5,0))</f>
        <v>Khối cơ quan - TCT CNC</v>
      </c>
      <c r="Y715" s="366"/>
      <c r="Z715" s="366"/>
    </row>
    <row r="716" spans="1:26" ht="15.75" hidden="1">
      <c r="A716" s="367">
        <f>SUBTOTAL(3,$B$15:B716)</f>
        <v>2</v>
      </c>
      <c r="B716" s="382" t="s">
        <v>1761</v>
      </c>
      <c r="C716" s="383" t="s">
        <v>1762</v>
      </c>
      <c r="D716" s="384" t="s">
        <v>407</v>
      </c>
      <c r="E716" s="385">
        <v>21</v>
      </c>
      <c r="F716" s="384">
        <v>21</v>
      </c>
      <c r="G716" s="358">
        <v>19102578</v>
      </c>
      <c r="H716" s="359">
        <f t="shared" si="21"/>
        <v>18185970</v>
      </c>
      <c r="I716" s="360"/>
      <c r="J716" s="361"/>
      <c r="K716" s="362"/>
      <c r="L716" s="362"/>
      <c r="M716" s="361">
        <v>698368</v>
      </c>
      <c r="N716" s="361">
        <v>1527680</v>
      </c>
      <c r="O716" s="361">
        <v>130944</v>
      </c>
      <c r="P716" s="361">
        <v>261888</v>
      </c>
      <c r="Q716" s="361">
        <v>87296</v>
      </c>
      <c r="R716" s="361">
        <v>87296</v>
      </c>
      <c r="S716" s="361">
        <v>174592</v>
      </c>
      <c r="T716" s="386">
        <v>930000</v>
      </c>
      <c r="U716" s="364">
        <f t="shared" si="22"/>
        <v>22084034</v>
      </c>
      <c r="V716" s="362"/>
      <c r="W716" s="365" t="str">
        <f>+VLOOKUP($B716,[2]Time_S4!$B:$G,6,0)</f>
        <v>Trung tâm Rada</v>
      </c>
      <c r="X716" s="365" t="str">
        <f>IF(W716="Phòng Kinh doanh","Trung tâm Kinh doanh - TCT CNC",+VLOOKUP($B716,[2]Time_S4!$B:$G,5,0))</f>
        <v>Khối 1 - TCT CNC</v>
      </c>
      <c r="Y716" s="366"/>
      <c r="Z716" s="366"/>
    </row>
    <row r="717" spans="1:26" ht="15.75" hidden="1">
      <c r="A717" s="367">
        <f>SUBTOTAL(3,$B$15:B717)</f>
        <v>2</v>
      </c>
      <c r="B717" s="382" t="s">
        <v>1763</v>
      </c>
      <c r="C717" s="383" t="s">
        <v>1764</v>
      </c>
      <c r="D717" s="384" t="s">
        <v>407</v>
      </c>
      <c r="E717" s="385">
        <v>21</v>
      </c>
      <c r="F717" s="384">
        <v>21</v>
      </c>
      <c r="G717" s="358">
        <v>20097134</v>
      </c>
      <c r="H717" s="359">
        <f t="shared" si="21"/>
        <v>19180526</v>
      </c>
      <c r="I717" s="360"/>
      <c r="J717" s="361"/>
      <c r="K717" s="362"/>
      <c r="L717" s="362"/>
      <c r="M717" s="361">
        <v>698368</v>
      </c>
      <c r="N717" s="361">
        <v>1527680</v>
      </c>
      <c r="O717" s="361">
        <v>130944</v>
      </c>
      <c r="P717" s="361">
        <v>261888</v>
      </c>
      <c r="Q717" s="361">
        <v>87296</v>
      </c>
      <c r="R717" s="361">
        <v>87296</v>
      </c>
      <c r="S717" s="361">
        <v>174592</v>
      </c>
      <c r="T717" s="386">
        <v>930000</v>
      </c>
      <c r="U717" s="364">
        <f t="shared" si="22"/>
        <v>23078590</v>
      </c>
      <c r="V717" s="362"/>
      <c r="W717" s="365" t="str">
        <f>+VLOOKUP($B717,[2]Time_S4!$B:$G,6,0)</f>
        <v>Trung tâm Phát triển nền tảng thanh toán</v>
      </c>
      <c r="X717" s="365" t="str">
        <f>IF(W717="Phòng Kinh doanh","Trung tâm Kinh doanh - TCT CNC",+VLOOKUP($B717,[2]Time_S4!$B:$G,5,0))</f>
        <v>Khối 2 - TCT CNC</v>
      </c>
      <c r="Y717" s="366"/>
      <c r="Z717" s="366"/>
    </row>
    <row r="718" spans="1:26" ht="15.75" hidden="1">
      <c r="A718" s="367">
        <f>SUBTOTAL(3,$B$15:B718)</f>
        <v>2</v>
      </c>
      <c r="B718" s="382" t="s">
        <v>1765</v>
      </c>
      <c r="C718" s="383" t="s">
        <v>1766</v>
      </c>
      <c r="D718" s="384" t="s">
        <v>407</v>
      </c>
      <c r="E718" s="385">
        <v>21</v>
      </c>
      <c r="F718" s="384">
        <v>21</v>
      </c>
      <c r="G718" s="358">
        <v>35160730</v>
      </c>
      <c r="H718" s="359">
        <f t="shared" si="21"/>
        <v>34035802</v>
      </c>
      <c r="I718" s="360"/>
      <c r="J718" s="361"/>
      <c r="K718" s="362"/>
      <c r="L718" s="362"/>
      <c r="M718" s="361">
        <v>857088</v>
      </c>
      <c r="N718" s="361">
        <v>1874880</v>
      </c>
      <c r="O718" s="361">
        <v>160704</v>
      </c>
      <c r="P718" s="361">
        <v>321408</v>
      </c>
      <c r="Q718" s="361">
        <v>107136</v>
      </c>
      <c r="R718" s="361">
        <v>107136</v>
      </c>
      <c r="S718" s="361">
        <v>214272</v>
      </c>
      <c r="T718" s="386">
        <v>1030000</v>
      </c>
      <c r="U718" s="364">
        <f t="shared" si="22"/>
        <v>38708426</v>
      </c>
      <c r="V718" s="362"/>
      <c r="W718" s="365" t="str">
        <f>+VLOOKUP($B718,[2]Time_S4!$B:$G,6,0)</f>
        <v>Trung tâm Nghiên cứu Công nghệ chuyển mạch</v>
      </c>
      <c r="X718" s="365" t="str">
        <f>IF(W718="Phòng Kinh doanh","Trung tâm Kinh doanh - TCT CNC",+VLOOKUP($B718,[2]Time_S4!$B:$G,5,0))</f>
        <v>Khối 2 - TCT CNC</v>
      </c>
      <c r="Y718" s="366"/>
      <c r="Z718" s="366"/>
    </row>
    <row r="719" spans="1:26" ht="15.75" hidden="1">
      <c r="A719" s="367">
        <f>SUBTOTAL(3,$B$15:B719)</f>
        <v>2</v>
      </c>
      <c r="B719" s="382" t="s">
        <v>1767</v>
      </c>
      <c r="C719" s="383" t="s">
        <v>1768</v>
      </c>
      <c r="D719" s="384" t="s">
        <v>407</v>
      </c>
      <c r="E719" s="385">
        <v>21</v>
      </c>
      <c r="F719" s="384">
        <v>21</v>
      </c>
      <c r="G719" s="358">
        <v>24531156</v>
      </c>
      <c r="H719" s="359">
        <f t="shared" si="21"/>
        <v>23515596</v>
      </c>
      <c r="I719" s="360"/>
      <c r="J719" s="361"/>
      <c r="K719" s="362"/>
      <c r="L719" s="362"/>
      <c r="M719" s="361">
        <v>773760</v>
      </c>
      <c r="N719" s="361">
        <v>1692600</v>
      </c>
      <c r="O719" s="361">
        <v>145080</v>
      </c>
      <c r="P719" s="361">
        <v>290160</v>
      </c>
      <c r="Q719" s="361">
        <v>96720</v>
      </c>
      <c r="R719" s="361">
        <v>96720</v>
      </c>
      <c r="S719" s="361">
        <v>193440</v>
      </c>
      <c r="T719" s="386">
        <v>1047000</v>
      </c>
      <c r="U719" s="364">
        <f t="shared" si="22"/>
        <v>27851076</v>
      </c>
      <c r="V719" s="362"/>
      <c r="W719" s="365" t="str">
        <f>+VLOOKUP($B719,[2]Time_S4!$B:$G,6,0)</f>
        <v>Trung tâm Rada</v>
      </c>
      <c r="X719" s="365" t="str">
        <f>IF(W719="Phòng Kinh doanh","Trung tâm Kinh doanh - TCT CNC",+VLOOKUP($B719,[2]Time_S4!$B:$G,5,0))</f>
        <v>Khối 1 - TCT CNC</v>
      </c>
      <c r="Y719" s="366"/>
      <c r="Z719" s="366"/>
    </row>
    <row r="720" spans="1:26" ht="15.75" hidden="1">
      <c r="A720" s="367">
        <f>SUBTOTAL(3,$B$15:B720)</f>
        <v>2</v>
      </c>
      <c r="B720" s="382" t="s">
        <v>1769</v>
      </c>
      <c r="C720" s="383" t="s">
        <v>1770</v>
      </c>
      <c r="D720" s="384" t="s">
        <v>407</v>
      </c>
      <c r="E720" s="385">
        <v>21</v>
      </c>
      <c r="F720" s="384">
        <v>21</v>
      </c>
      <c r="G720" s="358">
        <v>23277706</v>
      </c>
      <c r="H720" s="359">
        <f t="shared" ref="H720:H783" si="23">+G720-SUM(M720,O720,Q720)</f>
        <v>22314226</v>
      </c>
      <c r="I720" s="360"/>
      <c r="J720" s="361"/>
      <c r="K720" s="362"/>
      <c r="L720" s="362"/>
      <c r="M720" s="361">
        <v>734080</v>
      </c>
      <c r="N720" s="361">
        <v>1605800</v>
      </c>
      <c r="O720" s="361">
        <v>137640</v>
      </c>
      <c r="P720" s="361">
        <v>275280</v>
      </c>
      <c r="Q720" s="361">
        <v>91760</v>
      </c>
      <c r="R720" s="361">
        <v>91760</v>
      </c>
      <c r="S720" s="361">
        <v>183520</v>
      </c>
      <c r="T720" s="386">
        <v>1047000</v>
      </c>
      <c r="U720" s="364">
        <f t="shared" ref="U720:U783" si="24">+SUM(H720:T720)</f>
        <v>26481066</v>
      </c>
      <c r="V720" s="362"/>
      <c r="W720" s="365" t="str">
        <f>+VLOOKUP($B720,[2]Time_S4!$B:$G,6,0)</f>
        <v>Trung tâm Nghiên cứu Công nghệ chuyển mạch</v>
      </c>
      <c r="X720" s="365" t="str">
        <f>IF(W720="Phòng Kinh doanh","Trung tâm Kinh doanh - TCT CNC",+VLOOKUP($B720,[2]Time_S4!$B:$G,5,0))</f>
        <v>Khối 2 - TCT CNC</v>
      </c>
      <c r="Y720" s="366"/>
      <c r="Z720" s="366"/>
    </row>
    <row r="721" spans="1:26" ht="15.75" hidden="1">
      <c r="A721" s="367">
        <f>SUBTOTAL(3,$B$15:B721)</f>
        <v>2</v>
      </c>
      <c r="B721" s="382" t="s">
        <v>1771</v>
      </c>
      <c r="C721" s="383" t="s">
        <v>1772</v>
      </c>
      <c r="D721" s="384" t="s">
        <v>407</v>
      </c>
      <c r="E721" s="385">
        <v>21</v>
      </c>
      <c r="F721" s="384">
        <v>19</v>
      </c>
      <c r="G721" s="358">
        <v>18569119</v>
      </c>
      <c r="H721" s="359">
        <f t="shared" si="23"/>
        <v>17652511</v>
      </c>
      <c r="I721" s="360"/>
      <c r="J721" s="361"/>
      <c r="K721" s="362"/>
      <c r="L721" s="362"/>
      <c r="M721" s="361">
        <v>698368</v>
      </c>
      <c r="N721" s="361">
        <v>1527680</v>
      </c>
      <c r="O721" s="361">
        <v>130944</v>
      </c>
      <c r="P721" s="361">
        <v>261888</v>
      </c>
      <c r="Q721" s="361">
        <v>87296</v>
      </c>
      <c r="R721" s="361">
        <v>87296</v>
      </c>
      <c r="S721" s="361">
        <v>174592</v>
      </c>
      <c r="T721" s="386">
        <v>1370714</v>
      </c>
      <c r="U721" s="364">
        <f t="shared" si="24"/>
        <v>21991289</v>
      </c>
      <c r="V721" s="362"/>
      <c r="W721" s="365" t="str">
        <f>+VLOOKUP($B721,[2]Time_S4!$B:$G,6,0)</f>
        <v>Trung tâm Nghiên cứu Công nghệ chuyển mạch</v>
      </c>
      <c r="X721" s="365" t="str">
        <f>IF(W721="Phòng Kinh doanh","Trung tâm Kinh doanh - TCT CNC",+VLOOKUP($B721,[2]Time_S4!$B:$G,5,0))</f>
        <v>Khối 2 - TCT CNC</v>
      </c>
      <c r="Y721" s="366"/>
      <c r="Z721" s="366"/>
    </row>
    <row r="722" spans="1:26" ht="15.75" hidden="1">
      <c r="A722" s="367">
        <f>SUBTOTAL(3,$B$15:B722)</f>
        <v>2</v>
      </c>
      <c r="B722" s="382" t="s">
        <v>1773</v>
      </c>
      <c r="C722" s="383" t="s">
        <v>1774</v>
      </c>
      <c r="D722" s="384" t="s">
        <v>407</v>
      </c>
      <c r="E722" s="385">
        <v>21</v>
      </c>
      <c r="F722" s="384">
        <v>21</v>
      </c>
      <c r="G722" s="358">
        <v>29693421</v>
      </c>
      <c r="H722" s="359">
        <f t="shared" si="23"/>
        <v>28729941</v>
      </c>
      <c r="I722" s="360"/>
      <c r="J722" s="361"/>
      <c r="K722" s="362"/>
      <c r="L722" s="362"/>
      <c r="M722" s="361">
        <v>734080</v>
      </c>
      <c r="N722" s="361">
        <v>1605800</v>
      </c>
      <c r="O722" s="361">
        <v>137640</v>
      </c>
      <c r="P722" s="361">
        <v>275280</v>
      </c>
      <c r="Q722" s="361">
        <v>91760</v>
      </c>
      <c r="R722" s="361">
        <v>91760</v>
      </c>
      <c r="S722" s="361">
        <v>183520</v>
      </c>
      <c r="T722" s="386">
        <v>1030000</v>
      </c>
      <c r="U722" s="364">
        <f t="shared" si="24"/>
        <v>32879781</v>
      </c>
      <c r="V722" s="362"/>
      <c r="W722" s="365" t="str">
        <f>+VLOOKUP($B722,[2]Time_S4!$B:$G,6,0)</f>
        <v>Trung tâm Phát triển nền tảng thanh toán</v>
      </c>
      <c r="X722" s="365" t="str">
        <f>IF(W722="Phòng Kinh doanh","Trung tâm Kinh doanh - TCT CNC",+VLOOKUP($B722,[2]Time_S4!$B:$G,5,0))</f>
        <v>Khối 2 - TCT CNC</v>
      </c>
      <c r="Y722" s="366"/>
      <c r="Z722" s="366"/>
    </row>
    <row r="723" spans="1:26" ht="15.75" hidden="1">
      <c r="A723" s="367">
        <f>SUBTOTAL(3,$B$15:B723)</f>
        <v>2</v>
      </c>
      <c r="B723" s="382" t="s">
        <v>1775</v>
      </c>
      <c r="C723" s="383" t="s">
        <v>1776</v>
      </c>
      <c r="D723" s="384" t="s">
        <v>407</v>
      </c>
      <c r="E723" s="385">
        <v>21</v>
      </c>
      <c r="F723" s="384">
        <v>21</v>
      </c>
      <c r="G723" s="358">
        <v>21037514</v>
      </c>
      <c r="H723" s="359">
        <f t="shared" si="23"/>
        <v>20120906</v>
      </c>
      <c r="I723" s="360"/>
      <c r="J723" s="361"/>
      <c r="K723" s="362"/>
      <c r="L723" s="362"/>
      <c r="M723" s="361">
        <v>698368</v>
      </c>
      <c r="N723" s="361">
        <v>1527680</v>
      </c>
      <c r="O723" s="361">
        <v>130944</v>
      </c>
      <c r="P723" s="361">
        <v>261888</v>
      </c>
      <c r="Q723" s="361">
        <v>87296</v>
      </c>
      <c r="R723" s="361">
        <v>87296</v>
      </c>
      <c r="S723" s="361">
        <v>174592</v>
      </c>
      <c r="T723" s="386">
        <v>1030000</v>
      </c>
      <c r="U723" s="364">
        <f t="shared" si="24"/>
        <v>24118970</v>
      </c>
      <c r="V723" s="362"/>
      <c r="W723" s="365" t="str">
        <f>+VLOOKUP($B723,[2]Time_S4!$B:$G,6,0)</f>
        <v>Trung tâm Camera</v>
      </c>
      <c r="X723" s="365" t="str">
        <f>IF(W723="Phòng Kinh doanh","Trung tâm Kinh doanh - TCT CNC",+VLOOKUP($B723,[2]Time_S4!$B:$G,5,0))</f>
        <v>Khối 3 - TCT CNC</v>
      </c>
      <c r="Y723" s="366"/>
      <c r="Z723" s="366"/>
    </row>
    <row r="724" spans="1:26" ht="15.75" hidden="1">
      <c r="A724" s="367">
        <f>SUBTOTAL(3,$B$15:B724)</f>
        <v>2</v>
      </c>
      <c r="B724" s="382" t="s">
        <v>1777</v>
      </c>
      <c r="C724" s="383" t="s">
        <v>1778</v>
      </c>
      <c r="D724" s="384" t="s">
        <v>407</v>
      </c>
      <c r="E724" s="385">
        <v>21</v>
      </c>
      <c r="F724" s="384">
        <v>21</v>
      </c>
      <c r="G724" s="358">
        <v>19070672</v>
      </c>
      <c r="H724" s="359">
        <f t="shared" si="23"/>
        <v>18200936</v>
      </c>
      <c r="I724" s="360"/>
      <c r="J724" s="361"/>
      <c r="K724" s="362"/>
      <c r="L724" s="362"/>
      <c r="M724" s="361">
        <v>662656</v>
      </c>
      <c r="N724" s="361">
        <v>1449560</v>
      </c>
      <c r="O724" s="361">
        <v>124248</v>
      </c>
      <c r="P724" s="361">
        <v>248496</v>
      </c>
      <c r="Q724" s="361">
        <v>82832</v>
      </c>
      <c r="R724" s="361">
        <v>82832</v>
      </c>
      <c r="S724" s="361">
        <v>165664</v>
      </c>
      <c r="T724" s="386">
        <v>1398000</v>
      </c>
      <c r="U724" s="364">
        <f t="shared" si="24"/>
        <v>22415224</v>
      </c>
      <c r="V724" s="362"/>
      <c r="W724" s="365" t="str">
        <f>+VLOOKUP($B724,[2]Time_S4!$B:$G,6,0)</f>
        <v>Trung tâm Nghiên cứu Công nghệ truyền dẫn</v>
      </c>
      <c r="X724" s="365" t="str">
        <f>IF(W724="Phòng Kinh doanh","Trung tâm Kinh doanh - TCT CNC",+VLOOKUP($B724,[2]Time_S4!$B:$G,5,0))</f>
        <v>Khối 2 - TCT CNC</v>
      </c>
      <c r="Y724" s="366"/>
      <c r="Z724" s="366"/>
    </row>
    <row r="725" spans="1:26" ht="15.75" hidden="1">
      <c r="A725" s="367">
        <f>SUBTOTAL(3,$B$15:B725)</f>
        <v>2</v>
      </c>
      <c r="B725" s="382" t="s">
        <v>1779</v>
      </c>
      <c r="C725" s="383" t="s">
        <v>1780</v>
      </c>
      <c r="D725" s="384" t="s">
        <v>407</v>
      </c>
      <c r="E725" s="385">
        <v>21</v>
      </c>
      <c r="F725" s="384">
        <v>21</v>
      </c>
      <c r="G725" s="358">
        <v>33781086</v>
      </c>
      <c r="H725" s="359">
        <f t="shared" si="23"/>
        <v>32713446</v>
      </c>
      <c r="I725" s="360"/>
      <c r="J725" s="361"/>
      <c r="K725" s="362"/>
      <c r="L725" s="362"/>
      <c r="M725" s="361">
        <v>813440</v>
      </c>
      <c r="N725" s="361">
        <v>1779400</v>
      </c>
      <c r="O725" s="361">
        <v>152520</v>
      </c>
      <c r="P725" s="361">
        <v>305040</v>
      </c>
      <c r="Q725" s="361">
        <v>101680</v>
      </c>
      <c r="R725" s="361">
        <v>101680</v>
      </c>
      <c r="S725" s="361">
        <v>203360</v>
      </c>
      <c r="T725" s="386">
        <v>1030000</v>
      </c>
      <c r="U725" s="364">
        <f t="shared" si="24"/>
        <v>37200566</v>
      </c>
      <c r="V725" s="362"/>
      <c r="W725" s="365" t="str">
        <f>+VLOOKUP($B725,[2]Time_S4!$B:$G,6,0)</f>
        <v>Trung tâm Mô hình mô phỏng</v>
      </c>
      <c r="X725" s="365" t="str">
        <f>IF(W725="Phòng Kinh doanh","Trung tâm Kinh doanh - TCT CNC",+VLOOKUP($B725,[2]Time_S4!$B:$G,5,0))</f>
        <v>Khối 1 - TCT CNC</v>
      </c>
      <c r="Y725" s="366"/>
      <c r="Z725" s="366"/>
    </row>
    <row r="726" spans="1:26" ht="15.75" hidden="1">
      <c r="A726" s="367">
        <f>SUBTOTAL(3,$B$15:B726)</f>
        <v>2</v>
      </c>
      <c r="B726" s="382" t="s">
        <v>1781</v>
      </c>
      <c r="C726" s="383" t="s">
        <v>1782</v>
      </c>
      <c r="D726" s="384" t="s">
        <v>407</v>
      </c>
      <c r="E726" s="385">
        <v>21</v>
      </c>
      <c r="F726" s="384">
        <v>21</v>
      </c>
      <c r="G726" s="358">
        <v>19680532</v>
      </c>
      <c r="H726" s="359">
        <f t="shared" si="23"/>
        <v>18810796</v>
      </c>
      <c r="I726" s="360"/>
      <c r="J726" s="361"/>
      <c r="K726" s="362"/>
      <c r="L726" s="362"/>
      <c r="M726" s="361">
        <v>662656</v>
      </c>
      <c r="N726" s="361">
        <v>1449560</v>
      </c>
      <c r="O726" s="361">
        <v>124248</v>
      </c>
      <c r="P726" s="361">
        <v>248496</v>
      </c>
      <c r="Q726" s="361">
        <v>82832</v>
      </c>
      <c r="R726" s="361">
        <v>82832</v>
      </c>
      <c r="S726" s="361">
        <v>165664</v>
      </c>
      <c r="T726" s="386">
        <v>930000</v>
      </c>
      <c r="U726" s="364">
        <f t="shared" si="24"/>
        <v>22557084</v>
      </c>
      <c r="V726" s="362"/>
      <c r="W726" s="365" t="str">
        <f>+VLOOKUP($B726,[2]Time_S4!$B:$G,6,0)</f>
        <v>Trung tâm Nghiên cứu thiết bị vô tuyến băng rộng</v>
      </c>
      <c r="X726" s="365" t="str">
        <f>IF(W726="Phòng Kinh doanh","Trung tâm Kinh doanh - TCT CNC",+VLOOKUP($B726,[2]Time_S4!$B:$G,5,0))</f>
        <v>Khối 2 - TCT CNC</v>
      </c>
      <c r="Y726" s="366"/>
      <c r="Z726" s="366"/>
    </row>
    <row r="727" spans="1:26" ht="15.75" hidden="1">
      <c r="A727" s="367">
        <f>SUBTOTAL(3,$B$15:B727)</f>
        <v>2</v>
      </c>
      <c r="B727" s="382" t="s">
        <v>1783</v>
      </c>
      <c r="C727" s="383" t="s">
        <v>1784</v>
      </c>
      <c r="D727" s="384" t="s">
        <v>407</v>
      </c>
      <c r="E727" s="385">
        <v>21</v>
      </c>
      <c r="F727" s="384">
        <v>0</v>
      </c>
      <c r="G727" s="358">
        <v>8995600</v>
      </c>
      <c r="H727" s="359">
        <f t="shared" si="23"/>
        <v>8995600</v>
      </c>
      <c r="I727" s="360"/>
      <c r="J727" s="361"/>
      <c r="K727" s="362"/>
      <c r="L727" s="362"/>
      <c r="M727" s="361">
        <v>0</v>
      </c>
      <c r="N727" s="361">
        <v>0</v>
      </c>
      <c r="O727" s="361">
        <v>0</v>
      </c>
      <c r="P727" s="361">
        <v>0</v>
      </c>
      <c r="Q727" s="361">
        <v>0</v>
      </c>
      <c r="R727" s="361">
        <v>0</v>
      </c>
      <c r="S727" s="361">
        <v>0</v>
      </c>
      <c r="T727" s="386">
        <v>0</v>
      </c>
      <c r="U727" s="364">
        <f t="shared" si="24"/>
        <v>8995600</v>
      </c>
      <c r="V727" s="362"/>
      <c r="W727" s="365" t="str">
        <f>+VLOOKUP($B727,[2]Time_S4!$B:$G,6,0)</f>
        <v>Trung tâm Nghiên cứu Công nghệ truyền dẫn</v>
      </c>
      <c r="X727" s="365" t="str">
        <f>IF(W727="Phòng Kinh doanh","Trung tâm Kinh doanh - TCT CNC",+VLOOKUP($B727,[2]Time_S4!$B:$G,5,0))</f>
        <v>Khối 2 - TCT CNC</v>
      </c>
      <c r="Y727" s="366"/>
      <c r="Z727" s="366"/>
    </row>
    <row r="728" spans="1:26" ht="15.75" hidden="1">
      <c r="A728" s="367">
        <f>SUBTOTAL(3,$B$15:B728)</f>
        <v>2</v>
      </c>
      <c r="B728" s="382" t="s">
        <v>1785</v>
      </c>
      <c r="C728" s="383" t="s">
        <v>1786</v>
      </c>
      <c r="D728" s="384" t="s">
        <v>407</v>
      </c>
      <c r="E728" s="385">
        <v>21</v>
      </c>
      <c r="F728" s="384">
        <v>21</v>
      </c>
      <c r="G728" s="358">
        <v>36105615</v>
      </c>
      <c r="H728" s="359">
        <f t="shared" si="23"/>
        <v>35037975</v>
      </c>
      <c r="I728" s="360"/>
      <c r="J728" s="361"/>
      <c r="K728" s="362"/>
      <c r="L728" s="362"/>
      <c r="M728" s="361">
        <v>813440</v>
      </c>
      <c r="N728" s="361">
        <v>1779400</v>
      </c>
      <c r="O728" s="361">
        <v>152520</v>
      </c>
      <c r="P728" s="361">
        <v>305040</v>
      </c>
      <c r="Q728" s="361">
        <v>101680</v>
      </c>
      <c r="R728" s="361">
        <v>101680</v>
      </c>
      <c r="S728" s="361">
        <v>203360</v>
      </c>
      <c r="T728" s="386">
        <v>1030000</v>
      </c>
      <c r="U728" s="364">
        <f t="shared" si="24"/>
        <v>39525095</v>
      </c>
      <c r="V728" s="362"/>
      <c r="W728" s="365" t="str">
        <f>+VLOOKUP($B728,[2]Time_S4!$B:$G,6,0)</f>
        <v>Trung tâm Phát triển nền tảng thanh toán</v>
      </c>
      <c r="X728" s="365" t="str">
        <f>IF(W728="Phòng Kinh doanh","Trung tâm Kinh doanh - TCT CNC",+VLOOKUP($B728,[2]Time_S4!$B:$G,5,0))</f>
        <v>Khối 2 - TCT CNC</v>
      </c>
      <c r="Y728" s="366"/>
      <c r="Z728" s="366"/>
    </row>
    <row r="729" spans="1:26" ht="15.75" hidden="1">
      <c r="A729" s="367">
        <f>SUBTOTAL(3,$B$15:B729)</f>
        <v>2</v>
      </c>
      <c r="B729" s="382" t="s">
        <v>1787</v>
      </c>
      <c r="C729" s="383" t="s">
        <v>1788</v>
      </c>
      <c r="D729" s="384" t="s">
        <v>407</v>
      </c>
      <c r="E729" s="385">
        <v>21</v>
      </c>
      <c r="F729" s="384">
        <v>21</v>
      </c>
      <c r="G729" s="358">
        <v>23034309</v>
      </c>
      <c r="H729" s="359">
        <f t="shared" si="23"/>
        <v>22070829</v>
      </c>
      <c r="I729" s="360"/>
      <c r="J729" s="361"/>
      <c r="K729" s="362"/>
      <c r="L729" s="362"/>
      <c r="M729" s="361">
        <v>734080</v>
      </c>
      <c r="N729" s="361">
        <v>1605800</v>
      </c>
      <c r="O729" s="361">
        <v>137640</v>
      </c>
      <c r="P729" s="361">
        <v>275280</v>
      </c>
      <c r="Q729" s="361">
        <v>91760</v>
      </c>
      <c r="R729" s="361">
        <v>91760</v>
      </c>
      <c r="S729" s="361">
        <v>183520</v>
      </c>
      <c r="T729" s="386">
        <v>930000</v>
      </c>
      <c r="U729" s="364">
        <f t="shared" si="24"/>
        <v>26120669</v>
      </c>
      <c r="V729" s="362"/>
      <c r="W729" s="365" t="str">
        <f>+VLOOKUP($B729,[2]Time_S4!$B:$G,6,0)</f>
        <v>Trung tâm Nghiên cứu thiết bị vô tuyến băng rộng</v>
      </c>
      <c r="X729" s="365" t="str">
        <f>IF(W729="Phòng Kinh doanh","Trung tâm Kinh doanh - TCT CNC",+VLOOKUP($B729,[2]Time_S4!$B:$G,5,0))</f>
        <v>Khối 2 - TCT CNC</v>
      </c>
      <c r="Y729" s="366"/>
      <c r="Z729" s="366"/>
    </row>
    <row r="730" spans="1:26" ht="15.75" hidden="1">
      <c r="A730" s="367">
        <f>SUBTOTAL(3,$B$15:B730)</f>
        <v>2</v>
      </c>
      <c r="B730" s="382" t="s">
        <v>1789</v>
      </c>
      <c r="C730" s="383" t="s">
        <v>1790</v>
      </c>
      <c r="D730" s="384" t="s">
        <v>410</v>
      </c>
      <c r="E730" s="385">
        <v>21</v>
      </c>
      <c r="F730" s="384">
        <v>21</v>
      </c>
      <c r="G730" s="358">
        <v>64957806</v>
      </c>
      <c r="H730" s="359">
        <f t="shared" si="23"/>
        <v>63632430</v>
      </c>
      <c r="I730" s="360"/>
      <c r="J730" s="361"/>
      <c r="K730" s="362"/>
      <c r="L730" s="362"/>
      <c r="M730" s="361">
        <v>1325376</v>
      </c>
      <c r="N730" s="361">
        <v>2899260</v>
      </c>
      <c r="O730" s="361">
        <v>0</v>
      </c>
      <c r="P730" s="361">
        <v>0</v>
      </c>
      <c r="Q730" s="361">
        <v>0</v>
      </c>
      <c r="R730" s="361">
        <v>0</v>
      </c>
      <c r="S730" s="361">
        <v>331344</v>
      </c>
      <c r="T730" s="386">
        <v>1230000</v>
      </c>
      <c r="U730" s="364">
        <f t="shared" si="24"/>
        <v>69418410</v>
      </c>
      <c r="V730" s="362"/>
      <c r="W730" s="365" t="str">
        <f>+VLOOKUP($B730,[2]Time_S4!$B:$G,6,0)</f>
        <v>Trung tâm Camera</v>
      </c>
      <c r="X730" s="365" t="str">
        <f>IF(W730="Phòng Kinh doanh","Trung tâm Kinh doanh - TCT CNC",+VLOOKUP($B730,[2]Time_S4!$B:$G,5,0))</f>
        <v>Khối 3 - TCT CNC</v>
      </c>
      <c r="Y730" s="366"/>
      <c r="Z730" s="366"/>
    </row>
    <row r="731" spans="1:26" ht="15.75" hidden="1">
      <c r="A731" s="367">
        <f>SUBTOTAL(3,$B$15:B731)</f>
        <v>2</v>
      </c>
      <c r="B731" s="382" t="s">
        <v>1791</v>
      </c>
      <c r="C731" s="383" t="s">
        <v>1792</v>
      </c>
      <c r="D731" s="384" t="s">
        <v>410</v>
      </c>
      <c r="E731" s="385">
        <v>21</v>
      </c>
      <c r="F731" s="384">
        <v>21</v>
      </c>
      <c r="G731" s="358">
        <v>29826640</v>
      </c>
      <c r="H731" s="359">
        <f t="shared" si="23"/>
        <v>28393437</v>
      </c>
      <c r="I731" s="360"/>
      <c r="J731" s="361"/>
      <c r="K731" s="362"/>
      <c r="L731" s="362"/>
      <c r="M731" s="361">
        <v>1433203</v>
      </c>
      <c r="N731" s="361">
        <v>3135132</v>
      </c>
      <c r="O731" s="361">
        <v>0</v>
      </c>
      <c r="P731" s="361">
        <v>0</v>
      </c>
      <c r="Q731" s="361">
        <v>0</v>
      </c>
      <c r="R731" s="361">
        <v>0</v>
      </c>
      <c r="S731" s="361">
        <v>358301</v>
      </c>
      <c r="T731" s="386">
        <v>1030000</v>
      </c>
      <c r="U731" s="364">
        <f t="shared" si="24"/>
        <v>34350073</v>
      </c>
      <c r="V731" s="362"/>
      <c r="W731" s="365" t="str">
        <f>+VLOOKUP($B731,[2]Time_S4!$B:$G,6,0)</f>
        <v>Trung tâm Tác chiến điện tử</v>
      </c>
      <c r="X731" s="365" t="str">
        <f>IF(W731="Phòng Kinh doanh","Trung tâm Kinh doanh - TCT CNC",+VLOOKUP($B731,[2]Time_S4!$B:$G,5,0))</f>
        <v>Khối 1 - TCT CNC</v>
      </c>
      <c r="Y731" s="366"/>
      <c r="Z731" s="366"/>
    </row>
    <row r="732" spans="1:26" ht="15.75" hidden="1">
      <c r="A732" s="367">
        <f>SUBTOTAL(3,$B$15:B732)</f>
        <v>2</v>
      </c>
      <c r="B732" s="382" t="s">
        <v>1793</v>
      </c>
      <c r="C732" s="383" t="s">
        <v>1794</v>
      </c>
      <c r="D732" s="384" t="s">
        <v>410</v>
      </c>
      <c r="E732" s="385">
        <v>21</v>
      </c>
      <c r="F732" s="384">
        <v>21</v>
      </c>
      <c r="G732" s="358">
        <v>33142054</v>
      </c>
      <c r="H732" s="359">
        <f t="shared" si="23"/>
        <v>31989651</v>
      </c>
      <c r="I732" s="360"/>
      <c r="J732" s="361"/>
      <c r="K732" s="362"/>
      <c r="L732" s="362"/>
      <c r="M732" s="361">
        <v>1152403</v>
      </c>
      <c r="N732" s="361">
        <v>2520882</v>
      </c>
      <c r="O732" s="361">
        <v>0</v>
      </c>
      <c r="P732" s="361">
        <v>0</v>
      </c>
      <c r="Q732" s="361">
        <v>0</v>
      </c>
      <c r="R732" s="361">
        <v>0</v>
      </c>
      <c r="S732" s="361">
        <v>288101</v>
      </c>
      <c r="T732" s="386">
        <v>1030000</v>
      </c>
      <c r="U732" s="364">
        <f t="shared" si="24"/>
        <v>36981037</v>
      </c>
      <c r="V732" s="362"/>
      <c r="W732" s="365" t="str">
        <f>+VLOOKUP($B732,[2]Time_S4!$B:$G,6,0)</f>
        <v>Trung tâm Thông tin Quân sự</v>
      </c>
      <c r="X732" s="365" t="str">
        <f>IF(W732="Phòng Kinh doanh","Trung tâm Kinh doanh - TCT CNC",+VLOOKUP($B732,[2]Time_S4!$B:$G,5,0))</f>
        <v>Khối 1 - TCT CNC</v>
      </c>
      <c r="Y732" s="366"/>
      <c r="Z732" s="366"/>
    </row>
    <row r="733" spans="1:26" ht="15.75" hidden="1">
      <c r="A733" s="367">
        <f>SUBTOTAL(3,$B$15:B733)</f>
        <v>2</v>
      </c>
      <c r="B733" s="382" t="s">
        <v>1795</v>
      </c>
      <c r="C733" s="383" t="s">
        <v>1796</v>
      </c>
      <c r="D733" s="384" t="s">
        <v>410</v>
      </c>
      <c r="E733" s="385">
        <v>21</v>
      </c>
      <c r="F733" s="384">
        <v>21</v>
      </c>
      <c r="G733" s="358">
        <v>29826640</v>
      </c>
      <c r="H733" s="359">
        <f t="shared" si="23"/>
        <v>28684346</v>
      </c>
      <c r="I733" s="360"/>
      <c r="J733" s="361"/>
      <c r="K733" s="362"/>
      <c r="L733" s="362"/>
      <c r="M733" s="361">
        <v>1142294</v>
      </c>
      <c r="N733" s="361">
        <v>2498769</v>
      </c>
      <c r="O733" s="361">
        <v>0</v>
      </c>
      <c r="P733" s="361">
        <v>0</v>
      </c>
      <c r="Q733" s="361">
        <v>0</v>
      </c>
      <c r="R733" s="361">
        <v>0</v>
      </c>
      <c r="S733" s="361">
        <v>285574</v>
      </c>
      <c r="T733" s="386">
        <v>1030000</v>
      </c>
      <c r="U733" s="364">
        <f t="shared" si="24"/>
        <v>33640983</v>
      </c>
      <c r="V733" s="362"/>
      <c r="W733" s="365" t="str">
        <f>+VLOOKUP($B733,[2]Time_S4!$B:$G,6,0)</f>
        <v>Trung tâm Nghiên cứu thiết bị vô tuyến băng rộng</v>
      </c>
      <c r="X733" s="365" t="str">
        <f>IF(W733="Phòng Kinh doanh","Trung tâm Kinh doanh - TCT CNC",+VLOOKUP($B733,[2]Time_S4!$B:$G,5,0))</f>
        <v>Khối 2 - TCT CNC</v>
      </c>
      <c r="Y733" s="366"/>
      <c r="Z733" s="366"/>
    </row>
    <row r="734" spans="1:26" ht="15.75" hidden="1">
      <c r="A734" s="367">
        <f>SUBTOTAL(3,$B$15:B734)</f>
        <v>2</v>
      </c>
      <c r="B734" s="382" t="s">
        <v>1797</v>
      </c>
      <c r="C734" s="383" t="s">
        <v>1798</v>
      </c>
      <c r="D734" s="384" t="s">
        <v>407</v>
      </c>
      <c r="E734" s="385">
        <v>21</v>
      </c>
      <c r="F734" s="384">
        <v>21</v>
      </c>
      <c r="G734" s="358">
        <v>19772260</v>
      </c>
      <c r="H734" s="359">
        <f t="shared" si="23"/>
        <v>18855652</v>
      </c>
      <c r="I734" s="360"/>
      <c r="J734" s="361"/>
      <c r="K734" s="362"/>
      <c r="L734" s="362"/>
      <c r="M734" s="361">
        <v>698368</v>
      </c>
      <c r="N734" s="361">
        <v>1527680</v>
      </c>
      <c r="O734" s="361">
        <v>130944</v>
      </c>
      <c r="P734" s="361">
        <v>261888</v>
      </c>
      <c r="Q734" s="361">
        <v>87296</v>
      </c>
      <c r="R734" s="361">
        <v>87296</v>
      </c>
      <c r="S734" s="361">
        <v>174592</v>
      </c>
      <c r="T734" s="386">
        <v>930000</v>
      </c>
      <c r="U734" s="364">
        <f t="shared" si="24"/>
        <v>22753716</v>
      </c>
      <c r="V734" s="362"/>
      <c r="W734" s="365" t="str">
        <f>+VLOOKUP($B734,[2]Time_S4!$B:$G,6,0)</f>
        <v>Trung tâm Phát triển nền tảng thanh toán</v>
      </c>
      <c r="X734" s="365" t="str">
        <f>IF(W734="Phòng Kinh doanh","Trung tâm Kinh doanh - TCT CNC",+VLOOKUP($B734,[2]Time_S4!$B:$G,5,0))</f>
        <v>Khối 2 - TCT CNC</v>
      </c>
      <c r="Y734" s="366"/>
      <c r="Z734" s="366"/>
    </row>
    <row r="735" spans="1:26" ht="15.75" hidden="1">
      <c r="A735" s="367">
        <f>SUBTOTAL(3,$B$15:B735)</f>
        <v>2</v>
      </c>
      <c r="B735" s="382" t="s">
        <v>1799</v>
      </c>
      <c r="C735" s="383" t="s">
        <v>1800</v>
      </c>
      <c r="D735" s="384" t="s">
        <v>407</v>
      </c>
      <c r="E735" s="385">
        <v>21</v>
      </c>
      <c r="F735" s="384">
        <v>21</v>
      </c>
      <c r="G735" s="358">
        <v>26522926</v>
      </c>
      <c r="H735" s="359">
        <f t="shared" si="23"/>
        <v>25559446</v>
      </c>
      <c r="I735" s="360"/>
      <c r="J735" s="361"/>
      <c r="K735" s="362"/>
      <c r="L735" s="362"/>
      <c r="M735" s="361">
        <v>734080</v>
      </c>
      <c r="N735" s="361">
        <v>1605800</v>
      </c>
      <c r="O735" s="361">
        <v>137640</v>
      </c>
      <c r="P735" s="361">
        <v>275280</v>
      </c>
      <c r="Q735" s="361">
        <v>91760</v>
      </c>
      <c r="R735" s="361">
        <v>91760</v>
      </c>
      <c r="S735" s="361">
        <v>183520</v>
      </c>
      <c r="T735" s="386">
        <v>930000</v>
      </c>
      <c r="U735" s="364">
        <f t="shared" si="24"/>
        <v>29609286</v>
      </c>
      <c r="V735" s="362"/>
      <c r="W735" s="365" t="str">
        <f>+VLOOKUP($B735,[2]Time_S4!$B:$G,6,0)</f>
        <v>Trung tâm Thông tin Quân sự</v>
      </c>
      <c r="X735" s="365" t="str">
        <f>IF(W735="Phòng Kinh doanh","Trung tâm Kinh doanh - TCT CNC",+VLOOKUP($B735,[2]Time_S4!$B:$G,5,0))</f>
        <v>Khối 1 - TCT CNC</v>
      </c>
      <c r="Y735" s="366"/>
      <c r="Z735" s="366"/>
    </row>
    <row r="736" spans="1:26" ht="15.75" hidden="1">
      <c r="A736" s="367">
        <f>SUBTOTAL(3,$B$15:B736)</f>
        <v>2</v>
      </c>
      <c r="B736" s="382" t="s">
        <v>1801</v>
      </c>
      <c r="C736" s="383" t="s">
        <v>1802</v>
      </c>
      <c r="D736" s="384" t="s">
        <v>407</v>
      </c>
      <c r="E736" s="385">
        <v>21</v>
      </c>
      <c r="F736" s="384">
        <v>21</v>
      </c>
      <c r="G736" s="358">
        <v>28522926</v>
      </c>
      <c r="H736" s="359">
        <f t="shared" si="23"/>
        <v>27559446</v>
      </c>
      <c r="I736" s="360"/>
      <c r="J736" s="361"/>
      <c r="K736" s="362"/>
      <c r="L736" s="362"/>
      <c r="M736" s="361">
        <v>734080</v>
      </c>
      <c r="N736" s="361">
        <v>1605800</v>
      </c>
      <c r="O736" s="361">
        <v>137640</v>
      </c>
      <c r="P736" s="361">
        <v>275280</v>
      </c>
      <c r="Q736" s="361">
        <v>91760</v>
      </c>
      <c r="R736" s="361">
        <v>91760</v>
      </c>
      <c r="S736" s="361">
        <v>183520</v>
      </c>
      <c r="T736" s="386">
        <v>930000</v>
      </c>
      <c r="U736" s="364">
        <f t="shared" si="24"/>
        <v>31609286</v>
      </c>
      <c r="V736" s="362"/>
      <c r="W736" s="365" t="str">
        <f>+VLOOKUP($B736,[2]Time_S4!$B:$G,6,0)</f>
        <v>Trung tâm Nghiên cứu thiết bị vô tuyến băng rộng</v>
      </c>
      <c r="X736" s="365" t="str">
        <f>IF(W736="Phòng Kinh doanh","Trung tâm Kinh doanh - TCT CNC",+VLOOKUP($B736,[2]Time_S4!$B:$G,5,0))</f>
        <v>Khối 2 - TCT CNC</v>
      </c>
      <c r="Y736" s="366"/>
      <c r="Z736" s="366"/>
    </row>
    <row r="737" spans="1:26" ht="15.75" hidden="1">
      <c r="A737" s="367">
        <f>SUBTOTAL(3,$B$15:B737)</f>
        <v>2</v>
      </c>
      <c r="B737" s="382" t="s">
        <v>1803</v>
      </c>
      <c r="C737" s="383" t="s">
        <v>1804</v>
      </c>
      <c r="D737" s="384" t="s">
        <v>407</v>
      </c>
      <c r="E737" s="385">
        <v>21</v>
      </c>
      <c r="F737" s="384">
        <v>21</v>
      </c>
      <c r="G737" s="358">
        <v>38634444</v>
      </c>
      <c r="H737" s="359">
        <f t="shared" si="23"/>
        <v>37509516</v>
      </c>
      <c r="I737" s="360"/>
      <c r="J737" s="361"/>
      <c r="K737" s="362"/>
      <c r="L737" s="362"/>
      <c r="M737" s="361">
        <v>857088</v>
      </c>
      <c r="N737" s="361">
        <v>1874880</v>
      </c>
      <c r="O737" s="361">
        <v>160704</v>
      </c>
      <c r="P737" s="361">
        <v>321408</v>
      </c>
      <c r="Q737" s="361">
        <v>107136</v>
      </c>
      <c r="R737" s="361">
        <v>107136</v>
      </c>
      <c r="S737" s="361">
        <v>214272</v>
      </c>
      <c r="T737" s="386">
        <v>1030000</v>
      </c>
      <c r="U737" s="364">
        <f t="shared" si="24"/>
        <v>42182140</v>
      </c>
      <c r="V737" s="362"/>
      <c r="W737" s="365" t="str">
        <f>+VLOOKUP($B737,[2]Time_S4!$B:$G,6,0)</f>
        <v>Trung tâm Rada</v>
      </c>
      <c r="X737" s="365" t="str">
        <f>IF(W737="Phòng Kinh doanh","Trung tâm Kinh doanh - TCT CNC",+VLOOKUP($B737,[2]Time_S4!$B:$G,5,0))</f>
        <v>Khối 1 - TCT CNC</v>
      </c>
      <c r="Y737" s="366"/>
      <c r="Z737" s="366"/>
    </row>
    <row r="738" spans="1:26" ht="15.75" hidden="1">
      <c r="A738" s="367">
        <f>SUBTOTAL(3,$B$15:B738)</f>
        <v>2</v>
      </c>
      <c r="B738" s="382" t="s">
        <v>1805</v>
      </c>
      <c r="C738" s="383" t="s">
        <v>1806</v>
      </c>
      <c r="D738" s="384" t="s">
        <v>407</v>
      </c>
      <c r="E738" s="385">
        <v>21</v>
      </c>
      <c r="F738" s="384">
        <v>21</v>
      </c>
      <c r="G738" s="358">
        <v>29207664</v>
      </c>
      <c r="H738" s="359">
        <f t="shared" si="23"/>
        <v>28140024</v>
      </c>
      <c r="I738" s="360"/>
      <c r="J738" s="361"/>
      <c r="K738" s="362"/>
      <c r="L738" s="362"/>
      <c r="M738" s="361">
        <v>813440</v>
      </c>
      <c r="N738" s="361">
        <v>1779400</v>
      </c>
      <c r="O738" s="361">
        <v>152520</v>
      </c>
      <c r="P738" s="361">
        <v>305040</v>
      </c>
      <c r="Q738" s="361">
        <v>101680</v>
      </c>
      <c r="R738" s="361">
        <v>101680</v>
      </c>
      <c r="S738" s="361">
        <v>203360</v>
      </c>
      <c r="T738" s="386">
        <v>1147000</v>
      </c>
      <c r="U738" s="364">
        <f t="shared" si="24"/>
        <v>32744144</v>
      </c>
      <c r="V738" s="362"/>
      <c r="W738" s="365" t="str">
        <f>+VLOOKUP($B738,[2]Time_S4!$B:$G,6,0)</f>
        <v>Trung tâm Mô hình mô phỏng</v>
      </c>
      <c r="X738" s="365" t="str">
        <f>IF(W738="Phòng Kinh doanh","Trung tâm Kinh doanh - TCT CNC",+VLOOKUP($B738,[2]Time_S4!$B:$G,5,0))</f>
        <v>Khối 1 - TCT CNC</v>
      </c>
      <c r="Y738" s="366"/>
      <c r="Z738" s="366"/>
    </row>
    <row r="739" spans="1:26" ht="15.75" hidden="1">
      <c r="A739" s="367">
        <f>SUBTOTAL(3,$B$15:B739)</f>
        <v>2</v>
      </c>
      <c r="B739" s="382" t="s">
        <v>1807</v>
      </c>
      <c r="C739" s="383" t="s">
        <v>1808</v>
      </c>
      <c r="D739" s="384" t="s">
        <v>407</v>
      </c>
      <c r="E739" s="385">
        <v>21</v>
      </c>
      <c r="F739" s="384">
        <v>21</v>
      </c>
      <c r="G739" s="358">
        <v>35100171</v>
      </c>
      <c r="H739" s="359">
        <f t="shared" si="23"/>
        <v>34032531</v>
      </c>
      <c r="I739" s="360"/>
      <c r="J739" s="361"/>
      <c r="K739" s="362"/>
      <c r="L739" s="362"/>
      <c r="M739" s="361">
        <v>813440</v>
      </c>
      <c r="N739" s="361">
        <v>1779400</v>
      </c>
      <c r="O739" s="361">
        <v>152520</v>
      </c>
      <c r="P739" s="361">
        <v>305040</v>
      </c>
      <c r="Q739" s="361">
        <v>101680</v>
      </c>
      <c r="R739" s="361">
        <v>101680</v>
      </c>
      <c r="S739" s="361">
        <v>203360</v>
      </c>
      <c r="T739" s="386">
        <v>1030000</v>
      </c>
      <c r="U739" s="364">
        <f t="shared" si="24"/>
        <v>38519651</v>
      </c>
      <c r="V739" s="362"/>
      <c r="W739" s="365" t="str">
        <f>+VLOOKUP($B739,[2]Time_S4!$B:$G,6,0)</f>
        <v>Trung tâm Quang điện tử</v>
      </c>
      <c r="X739" s="365" t="str">
        <f>IF(W739="Phòng Kinh doanh","Trung tâm Kinh doanh - TCT CNC",+VLOOKUP($B739,[2]Time_S4!$B:$G,5,0))</f>
        <v>Khối 1 - TCT CNC</v>
      </c>
      <c r="Y739" s="366"/>
      <c r="Z739" s="366"/>
    </row>
    <row r="740" spans="1:26" ht="15.75" hidden="1">
      <c r="A740" s="367">
        <f>SUBTOTAL(3,$B$15:B740)</f>
        <v>2</v>
      </c>
      <c r="B740" s="382" t="s">
        <v>1809</v>
      </c>
      <c r="C740" s="383" t="s">
        <v>1041</v>
      </c>
      <c r="D740" s="384" t="s">
        <v>407</v>
      </c>
      <c r="E740" s="385">
        <v>21</v>
      </c>
      <c r="F740" s="384">
        <v>21</v>
      </c>
      <c r="G740" s="358">
        <v>31419206</v>
      </c>
      <c r="H740" s="359">
        <f t="shared" si="23"/>
        <v>30351566</v>
      </c>
      <c r="I740" s="360"/>
      <c r="J740" s="361"/>
      <c r="K740" s="362"/>
      <c r="L740" s="362"/>
      <c r="M740" s="361">
        <v>813440</v>
      </c>
      <c r="N740" s="361">
        <v>1779400</v>
      </c>
      <c r="O740" s="361">
        <v>152520</v>
      </c>
      <c r="P740" s="361">
        <v>305040</v>
      </c>
      <c r="Q740" s="361">
        <v>101680</v>
      </c>
      <c r="R740" s="361">
        <v>101680</v>
      </c>
      <c r="S740" s="361">
        <v>203360</v>
      </c>
      <c r="T740" s="386">
        <v>1030000</v>
      </c>
      <c r="U740" s="364">
        <f t="shared" si="24"/>
        <v>34838686</v>
      </c>
      <c r="V740" s="362"/>
      <c r="W740" s="365" t="str">
        <f>+VLOOKUP($B740,[2]Time_S4!$B:$G,6,0)</f>
        <v>Trung tâm dịch vụ sau bán hàng</v>
      </c>
      <c r="X740" s="365" t="str">
        <f>IF(W740="Phòng Kinh doanh","Trung tâm Kinh doanh - TCT CNC",+VLOOKUP($B740,[2]Time_S4!$B:$G,5,0))</f>
        <v>Khối 1 - TCT CNC</v>
      </c>
      <c r="Y740" s="366"/>
      <c r="Z740" s="366"/>
    </row>
    <row r="741" spans="1:26" ht="15.75" hidden="1">
      <c r="A741" s="367">
        <f>SUBTOTAL(3,$B$15:B741)</f>
        <v>2</v>
      </c>
      <c r="B741" s="382" t="s">
        <v>1810</v>
      </c>
      <c r="C741" s="383" t="s">
        <v>1811</v>
      </c>
      <c r="D741" s="384" t="s">
        <v>407</v>
      </c>
      <c r="E741" s="385">
        <v>21</v>
      </c>
      <c r="F741" s="384">
        <v>21</v>
      </c>
      <c r="G741" s="358">
        <v>32438374</v>
      </c>
      <c r="H741" s="359">
        <f t="shared" si="23"/>
        <v>31313446</v>
      </c>
      <c r="I741" s="360"/>
      <c r="J741" s="361"/>
      <c r="K741" s="362"/>
      <c r="L741" s="362"/>
      <c r="M741" s="361">
        <v>857088</v>
      </c>
      <c r="N741" s="361">
        <v>1874880</v>
      </c>
      <c r="O741" s="361">
        <v>160704</v>
      </c>
      <c r="P741" s="361">
        <v>321408</v>
      </c>
      <c r="Q741" s="361">
        <v>107136</v>
      </c>
      <c r="R741" s="361">
        <v>107136</v>
      </c>
      <c r="S741" s="361">
        <v>214272</v>
      </c>
      <c r="T741" s="386">
        <v>1030000</v>
      </c>
      <c r="U741" s="364">
        <f t="shared" si="24"/>
        <v>35986070</v>
      </c>
      <c r="V741" s="362"/>
      <c r="W741" s="365" t="str">
        <f>+VLOOKUP($B741,[2]Time_S4!$B:$G,6,0)</f>
        <v>Trung tâm Quang điện tử</v>
      </c>
      <c r="X741" s="365" t="str">
        <f>IF(W741="Phòng Kinh doanh","Trung tâm Kinh doanh - TCT CNC",+VLOOKUP($B741,[2]Time_S4!$B:$G,5,0))</f>
        <v>Khối 1 - TCT CNC</v>
      </c>
      <c r="Y741" s="366"/>
      <c r="Z741" s="366"/>
    </row>
    <row r="742" spans="1:26" ht="15.75" hidden="1">
      <c r="A742" s="367">
        <f>SUBTOTAL(3,$B$15:B742)</f>
        <v>2</v>
      </c>
      <c r="B742" s="382" t="s">
        <v>1812</v>
      </c>
      <c r="C742" s="383" t="s">
        <v>1813</v>
      </c>
      <c r="D742" s="384" t="s">
        <v>407</v>
      </c>
      <c r="E742" s="385">
        <v>21</v>
      </c>
      <c r="F742" s="384">
        <v>21</v>
      </c>
      <c r="G742" s="358">
        <v>16492667</v>
      </c>
      <c r="H742" s="359">
        <f t="shared" si="23"/>
        <v>15664595</v>
      </c>
      <c r="I742" s="360"/>
      <c r="J742" s="361"/>
      <c r="K742" s="362"/>
      <c r="L742" s="362"/>
      <c r="M742" s="361">
        <v>630912</v>
      </c>
      <c r="N742" s="361">
        <v>1380120</v>
      </c>
      <c r="O742" s="361">
        <v>118296</v>
      </c>
      <c r="P742" s="361">
        <v>236592</v>
      </c>
      <c r="Q742" s="361">
        <v>78864</v>
      </c>
      <c r="R742" s="361">
        <v>78864</v>
      </c>
      <c r="S742" s="361">
        <v>157728</v>
      </c>
      <c r="T742" s="386">
        <v>1047000</v>
      </c>
      <c r="U742" s="364">
        <f t="shared" si="24"/>
        <v>19392971</v>
      </c>
      <c r="V742" s="362"/>
      <c r="W742" s="365" t="str">
        <f>+VLOOKUP($B742,[2]Time_S4!$B:$G,6,0)</f>
        <v>Trung tâm Nghiên cứu thiết bị vô tuyến băng rộng</v>
      </c>
      <c r="X742" s="365" t="str">
        <f>IF(W742="Phòng Kinh doanh","Trung tâm Kinh doanh - TCT CNC",+VLOOKUP($B742,[2]Time_S4!$B:$G,5,0))</f>
        <v>Khối 2 - TCT CNC</v>
      </c>
      <c r="Y742" s="366"/>
      <c r="Z742" s="366"/>
    </row>
    <row r="743" spans="1:26" ht="15.75" hidden="1">
      <c r="A743" s="367">
        <f>SUBTOTAL(3,$B$15:B743)</f>
        <v>2</v>
      </c>
      <c r="B743" s="382" t="s">
        <v>1814</v>
      </c>
      <c r="C743" s="383" t="s">
        <v>1815</v>
      </c>
      <c r="D743" s="384" t="s">
        <v>407</v>
      </c>
      <c r="E743" s="385">
        <v>21</v>
      </c>
      <c r="F743" s="384">
        <v>21</v>
      </c>
      <c r="G743" s="358">
        <v>19507328</v>
      </c>
      <c r="H743" s="359">
        <f t="shared" si="23"/>
        <v>18590720</v>
      </c>
      <c r="I743" s="360"/>
      <c r="J743" s="361"/>
      <c r="K743" s="362"/>
      <c r="L743" s="362"/>
      <c r="M743" s="361">
        <v>698368</v>
      </c>
      <c r="N743" s="361">
        <v>1527680</v>
      </c>
      <c r="O743" s="361">
        <v>130944</v>
      </c>
      <c r="P743" s="361">
        <v>261888</v>
      </c>
      <c r="Q743" s="361">
        <v>87296</v>
      </c>
      <c r="R743" s="361">
        <v>87296</v>
      </c>
      <c r="S743" s="361">
        <v>174592</v>
      </c>
      <c r="T743" s="386">
        <v>1047000</v>
      </c>
      <c r="U743" s="364">
        <f t="shared" si="24"/>
        <v>22605784</v>
      </c>
      <c r="V743" s="362"/>
      <c r="W743" s="365" t="str">
        <f>+VLOOKUP($B743,[2]Time_S4!$B:$G,6,0)</f>
        <v>Trung tâm Nghiên cứu thiết bị vô tuyến băng rộng</v>
      </c>
      <c r="X743" s="365" t="str">
        <f>IF(W743="Phòng Kinh doanh","Trung tâm Kinh doanh - TCT CNC",+VLOOKUP($B743,[2]Time_S4!$B:$G,5,0))</f>
        <v>Khối 2 - TCT CNC</v>
      </c>
      <c r="Y743" s="366"/>
      <c r="Z743" s="366"/>
    </row>
    <row r="744" spans="1:26" ht="15.75" hidden="1">
      <c r="A744" s="367">
        <f>SUBTOTAL(3,$B$15:B744)</f>
        <v>2</v>
      </c>
      <c r="B744" s="382" t="s">
        <v>1816</v>
      </c>
      <c r="C744" s="383" t="s">
        <v>1817</v>
      </c>
      <c r="D744" s="384" t="s">
        <v>407</v>
      </c>
      <c r="E744" s="385">
        <v>21</v>
      </c>
      <c r="F744" s="384">
        <v>21</v>
      </c>
      <c r="G744" s="358">
        <v>15487172</v>
      </c>
      <c r="H744" s="359">
        <f t="shared" si="23"/>
        <v>14659100</v>
      </c>
      <c r="I744" s="360"/>
      <c r="J744" s="361"/>
      <c r="K744" s="362"/>
      <c r="L744" s="362"/>
      <c r="M744" s="361">
        <v>630912</v>
      </c>
      <c r="N744" s="361">
        <v>1380120</v>
      </c>
      <c r="O744" s="361">
        <v>118296</v>
      </c>
      <c r="P744" s="361">
        <v>236592</v>
      </c>
      <c r="Q744" s="361">
        <v>78864</v>
      </c>
      <c r="R744" s="361">
        <v>78864</v>
      </c>
      <c r="S744" s="361">
        <v>157728</v>
      </c>
      <c r="T744" s="386">
        <v>1047000</v>
      </c>
      <c r="U744" s="364">
        <f t="shared" si="24"/>
        <v>18387476</v>
      </c>
      <c r="V744" s="362"/>
      <c r="W744" s="365" t="str">
        <f>+VLOOKUP($B744,[2]Time_S4!$B:$G,6,0)</f>
        <v>Phòng Quản lý chất lượng</v>
      </c>
      <c r="X744" s="365" t="str">
        <f>IF(W744="Phòng Kinh doanh","Trung tâm Kinh doanh - TCT CNC",+VLOOKUP($B744,[2]Time_S4!$B:$G,5,0))</f>
        <v>Khối 3 - TCT CNC</v>
      </c>
      <c r="Y744" s="366"/>
      <c r="Z744" s="366"/>
    </row>
    <row r="745" spans="1:26" ht="15.75" hidden="1">
      <c r="A745" s="367">
        <f>SUBTOTAL(3,$B$15:B745)</f>
        <v>2</v>
      </c>
      <c r="B745" s="382" t="s">
        <v>1818</v>
      </c>
      <c r="C745" s="383" t="s">
        <v>1819</v>
      </c>
      <c r="D745" s="384" t="s">
        <v>407</v>
      </c>
      <c r="E745" s="385">
        <v>21</v>
      </c>
      <c r="F745" s="384">
        <v>21</v>
      </c>
      <c r="G745" s="358">
        <v>19680532</v>
      </c>
      <c r="H745" s="359">
        <f t="shared" si="23"/>
        <v>18810796</v>
      </c>
      <c r="I745" s="360"/>
      <c r="J745" s="361"/>
      <c r="K745" s="362"/>
      <c r="L745" s="362"/>
      <c r="M745" s="361">
        <v>662656</v>
      </c>
      <c r="N745" s="361">
        <v>1449560</v>
      </c>
      <c r="O745" s="361">
        <v>124248</v>
      </c>
      <c r="P745" s="361">
        <v>248496</v>
      </c>
      <c r="Q745" s="361">
        <v>82832</v>
      </c>
      <c r="R745" s="361">
        <v>82832</v>
      </c>
      <c r="S745" s="361">
        <v>165664</v>
      </c>
      <c r="T745" s="386">
        <v>1047000</v>
      </c>
      <c r="U745" s="364">
        <f t="shared" si="24"/>
        <v>22674084</v>
      </c>
      <c r="V745" s="362"/>
      <c r="W745" s="365" t="str">
        <f>+VLOOKUP($B745,[2]Time_S4!$B:$G,6,0)</f>
        <v>Phòng Kiểu dáng và đồ họa</v>
      </c>
      <c r="X745" s="365" t="str">
        <f>IF(W745="Phòng Kinh doanh","Trung tâm Kinh doanh - TCT CNC",+VLOOKUP($B745,[2]Time_S4!$B:$G,5,0))</f>
        <v>Khối 1 - TCT CNC</v>
      </c>
      <c r="Y745" s="366"/>
      <c r="Z745" s="366"/>
    </row>
    <row r="746" spans="1:26" ht="15.75" hidden="1">
      <c r="A746" s="367">
        <f>SUBTOTAL(3,$B$15:B746)</f>
        <v>2</v>
      </c>
      <c r="B746" s="382" t="s">
        <v>1820</v>
      </c>
      <c r="C746" s="383" t="s">
        <v>1821</v>
      </c>
      <c r="D746" s="384" t="s">
        <v>407</v>
      </c>
      <c r="E746" s="385">
        <v>21</v>
      </c>
      <c r="F746" s="384">
        <v>21</v>
      </c>
      <c r="G746" s="358">
        <v>26125544</v>
      </c>
      <c r="H746" s="359">
        <f t="shared" si="23"/>
        <v>25109984</v>
      </c>
      <c r="I746" s="360"/>
      <c r="J746" s="361"/>
      <c r="K746" s="362"/>
      <c r="L746" s="362"/>
      <c r="M746" s="361">
        <v>773760</v>
      </c>
      <c r="N746" s="361">
        <v>1692600</v>
      </c>
      <c r="O746" s="361">
        <v>145080</v>
      </c>
      <c r="P746" s="361">
        <v>290160</v>
      </c>
      <c r="Q746" s="361">
        <v>96720</v>
      </c>
      <c r="R746" s="361">
        <v>96720</v>
      </c>
      <c r="S746" s="361">
        <v>193440</v>
      </c>
      <c r="T746" s="386">
        <v>1047000</v>
      </c>
      <c r="U746" s="364">
        <f t="shared" si="24"/>
        <v>29445464</v>
      </c>
      <c r="V746" s="362"/>
      <c r="W746" s="365" t="str">
        <f>+VLOOKUP($B746,[2]Time_S4!$B:$G,6,0)</f>
        <v>Phòng Kiểu dáng và đồ họa</v>
      </c>
      <c r="X746" s="365" t="str">
        <f>IF(W746="Phòng Kinh doanh","Trung tâm Kinh doanh - TCT CNC",+VLOOKUP($B746,[2]Time_S4!$B:$G,5,0))</f>
        <v>Khối 1 - TCT CNC</v>
      </c>
      <c r="Y746" s="366"/>
      <c r="Z746" s="366"/>
    </row>
    <row r="747" spans="1:26" ht="15.75" hidden="1">
      <c r="A747" s="367">
        <f>SUBTOTAL(3,$B$15:B747)</f>
        <v>2</v>
      </c>
      <c r="B747" s="382" t="s">
        <v>1822</v>
      </c>
      <c r="C747" s="383" t="s">
        <v>1823</v>
      </c>
      <c r="D747" s="384" t="s">
        <v>407</v>
      </c>
      <c r="E747" s="385">
        <v>21</v>
      </c>
      <c r="F747" s="384">
        <v>21</v>
      </c>
      <c r="G747" s="358">
        <v>33139244</v>
      </c>
      <c r="H747" s="359">
        <f t="shared" si="23"/>
        <v>32123684</v>
      </c>
      <c r="I747" s="360"/>
      <c r="J747" s="361"/>
      <c r="K747" s="362"/>
      <c r="L747" s="362"/>
      <c r="M747" s="361">
        <v>773760</v>
      </c>
      <c r="N747" s="361">
        <v>1692600</v>
      </c>
      <c r="O747" s="361">
        <v>145080</v>
      </c>
      <c r="P747" s="361">
        <v>290160</v>
      </c>
      <c r="Q747" s="361">
        <v>96720</v>
      </c>
      <c r="R747" s="361">
        <v>96720</v>
      </c>
      <c r="S747" s="361">
        <v>193440</v>
      </c>
      <c r="T747" s="386">
        <v>1030000</v>
      </c>
      <c r="U747" s="364">
        <f t="shared" si="24"/>
        <v>36442164</v>
      </c>
      <c r="V747" s="362"/>
      <c r="W747" s="365" t="str">
        <f>+VLOOKUP($B747,[2]Time_S4!$B:$G,6,0)</f>
        <v>Trung tâm Khí cụ bay</v>
      </c>
      <c r="X747" s="365" t="str">
        <f>IF(W747="Phòng Kinh doanh","Trung tâm Kinh doanh - TCT CNC",+VLOOKUP($B747,[2]Time_S4!$B:$G,5,0))</f>
        <v>Khối 1 - TCT CNC</v>
      </c>
      <c r="Y747" s="366"/>
      <c r="Z747" s="366"/>
    </row>
    <row r="748" spans="1:26" ht="15.75" hidden="1">
      <c r="A748" s="367">
        <f>SUBTOTAL(3,$B$15:B748)</f>
        <v>2</v>
      </c>
      <c r="B748" s="382" t="s">
        <v>1824</v>
      </c>
      <c r="C748" s="383" t="s">
        <v>1825</v>
      </c>
      <c r="D748" s="384" t="s">
        <v>407</v>
      </c>
      <c r="E748" s="385">
        <v>21</v>
      </c>
      <c r="F748" s="384">
        <v>21</v>
      </c>
      <c r="G748" s="358">
        <v>30142054</v>
      </c>
      <c r="H748" s="359">
        <f t="shared" si="23"/>
        <v>29074414</v>
      </c>
      <c r="I748" s="360"/>
      <c r="J748" s="361"/>
      <c r="K748" s="362"/>
      <c r="L748" s="362"/>
      <c r="M748" s="361">
        <v>813440</v>
      </c>
      <c r="N748" s="361">
        <v>1779400</v>
      </c>
      <c r="O748" s="361">
        <v>152520</v>
      </c>
      <c r="P748" s="361">
        <v>305040</v>
      </c>
      <c r="Q748" s="361">
        <v>101680</v>
      </c>
      <c r="R748" s="361">
        <v>101680</v>
      </c>
      <c r="S748" s="361">
        <v>203360</v>
      </c>
      <c r="T748" s="386">
        <v>1030000</v>
      </c>
      <c r="U748" s="364">
        <f t="shared" si="24"/>
        <v>33561534</v>
      </c>
      <c r="V748" s="362"/>
      <c r="W748" s="365" t="str">
        <f>+VLOOKUP($B748,[2]Time_S4!$B:$G,6,0)</f>
        <v>Trung tâm Đảm bảo chất lượng</v>
      </c>
      <c r="X748" s="365" t="str">
        <f>IF(W748="Phòng Kinh doanh","Trung tâm Kinh doanh - TCT CNC",+VLOOKUP($B748,[2]Time_S4!$B:$G,5,0))</f>
        <v>Khối 1 - TCT CNC</v>
      </c>
      <c r="Y748" s="366"/>
      <c r="Z748" s="366"/>
    </row>
    <row r="749" spans="1:26" ht="15.75" hidden="1">
      <c r="A749" s="367">
        <f>SUBTOTAL(3,$B$15:B749)</f>
        <v>2</v>
      </c>
      <c r="B749" s="382" t="s">
        <v>1826</v>
      </c>
      <c r="C749" s="383" t="s">
        <v>1827</v>
      </c>
      <c r="D749" s="384" t="s">
        <v>407</v>
      </c>
      <c r="E749" s="385">
        <v>21</v>
      </c>
      <c r="F749" s="384">
        <v>21</v>
      </c>
      <c r="G749" s="358">
        <v>29960570</v>
      </c>
      <c r="H749" s="359">
        <f t="shared" si="23"/>
        <v>28945010</v>
      </c>
      <c r="I749" s="360"/>
      <c r="J749" s="361"/>
      <c r="K749" s="362"/>
      <c r="L749" s="362"/>
      <c r="M749" s="361">
        <v>773760</v>
      </c>
      <c r="N749" s="361">
        <v>1692600</v>
      </c>
      <c r="O749" s="361">
        <v>145080</v>
      </c>
      <c r="P749" s="361">
        <v>290160</v>
      </c>
      <c r="Q749" s="361">
        <v>96720</v>
      </c>
      <c r="R749" s="361">
        <v>96720</v>
      </c>
      <c r="S749" s="361">
        <v>193440</v>
      </c>
      <c r="T749" s="386">
        <v>930000</v>
      </c>
      <c r="U749" s="364">
        <f t="shared" si="24"/>
        <v>33163490</v>
      </c>
      <c r="V749" s="362"/>
      <c r="W749" s="365" t="str">
        <f>+VLOOKUP($B749,[2]Time_S4!$B:$G,6,0)</f>
        <v>Trung tâm Mô hình mô phỏng</v>
      </c>
      <c r="X749" s="365" t="str">
        <f>IF(W749="Phòng Kinh doanh","Trung tâm Kinh doanh - TCT CNC",+VLOOKUP($B749,[2]Time_S4!$B:$G,5,0))</f>
        <v>Khối 1 - TCT CNC</v>
      </c>
      <c r="Y749" s="366"/>
      <c r="Z749" s="366"/>
    </row>
    <row r="750" spans="1:26" ht="15.75" hidden="1">
      <c r="A750" s="367">
        <f>SUBTOTAL(3,$B$15:B750)</f>
        <v>2</v>
      </c>
      <c r="B750" s="382" t="s">
        <v>1828</v>
      </c>
      <c r="C750" s="383" t="s">
        <v>1829</v>
      </c>
      <c r="D750" s="384" t="s">
        <v>407</v>
      </c>
      <c r="E750" s="385">
        <v>21</v>
      </c>
      <c r="F750" s="384">
        <v>21</v>
      </c>
      <c r="G750" s="358">
        <v>15324908</v>
      </c>
      <c r="H750" s="359">
        <f t="shared" si="23"/>
        <v>14496836</v>
      </c>
      <c r="I750" s="360"/>
      <c r="J750" s="361"/>
      <c r="K750" s="362"/>
      <c r="L750" s="362"/>
      <c r="M750" s="361">
        <v>630912</v>
      </c>
      <c r="N750" s="361">
        <v>1380120</v>
      </c>
      <c r="O750" s="361">
        <v>118296</v>
      </c>
      <c r="P750" s="361">
        <v>236592</v>
      </c>
      <c r="Q750" s="361">
        <v>78864</v>
      </c>
      <c r="R750" s="361">
        <v>78864</v>
      </c>
      <c r="S750" s="361">
        <v>157728</v>
      </c>
      <c r="T750" s="386">
        <v>1047000</v>
      </c>
      <c r="U750" s="364">
        <f t="shared" si="24"/>
        <v>18225212</v>
      </c>
      <c r="V750" s="362"/>
      <c r="W750" s="365" t="str">
        <f>+VLOOKUP($B750,[2]Time_S4!$B:$G,6,0)</f>
        <v>Trung tâm Phát triển nền tảng thanh toán</v>
      </c>
      <c r="X750" s="365" t="str">
        <f>IF(W750="Phòng Kinh doanh","Trung tâm Kinh doanh - TCT CNC",+VLOOKUP($B750,[2]Time_S4!$B:$G,5,0))</f>
        <v>Khối 2 - TCT CNC</v>
      </c>
      <c r="Y750" s="366"/>
      <c r="Z750" s="366"/>
    </row>
    <row r="751" spans="1:26" ht="15.75" hidden="1">
      <c r="A751" s="367">
        <f>SUBTOTAL(3,$B$15:B751)</f>
        <v>2</v>
      </c>
      <c r="B751" s="382" t="s">
        <v>1830</v>
      </c>
      <c r="C751" s="383" t="s">
        <v>1831</v>
      </c>
      <c r="D751" s="384" t="s">
        <v>407</v>
      </c>
      <c r="E751" s="385">
        <v>21</v>
      </c>
      <c r="F751" s="384">
        <v>21</v>
      </c>
      <c r="G751" s="358">
        <v>37910634</v>
      </c>
      <c r="H751" s="359">
        <f t="shared" si="23"/>
        <v>36785706</v>
      </c>
      <c r="I751" s="360"/>
      <c r="J751" s="361"/>
      <c r="K751" s="362"/>
      <c r="L751" s="362"/>
      <c r="M751" s="361">
        <v>857088</v>
      </c>
      <c r="N751" s="361">
        <v>1874880</v>
      </c>
      <c r="O751" s="361">
        <v>160704</v>
      </c>
      <c r="P751" s="361">
        <v>321408</v>
      </c>
      <c r="Q751" s="361">
        <v>107136</v>
      </c>
      <c r="R751" s="361">
        <v>107136</v>
      </c>
      <c r="S751" s="361">
        <v>214272</v>
      </c>
      <c r="T751" s="386">
        <v>1030000</v>
      </c>
      <c r="U751" s="364">
        <f t="shared" si="24"/>
        <v>41458330</v>
      </c>
      <c r="V751" s="362"/>
      <c r="W751" s="365" t="str">
        <f>+VLOOKUP($B751,[2]Time_S4!$B:$G,6,0)</f>
        <v>Trung tâm Nghiên cứu Công nghệ truyền dẫn</v>
      </c>
      <c r="X751" s="365" t="str">
        <f>IF(W751="Phòng Kinh doanh","Trung tâm Kinh doanh - TCT CNC",+VLOOKUP($B751,[2]Time_S4!$B:$G,5,0))</f>
        <v>Khối 2 - TCT CNC</v>
      </c>
      <c r="Y751" s="366"/>
      <c r="Z751" s="366"/>
    </row>
    <row r="752" spans="1:26" ht="15.75" hidden="1">
      <c r="A752" s="367">
        <f>SUBTOTAL(3,$B$15:B752)</f>
        <v>2</v>
      </c>
      <c r="B752" s="382" t="s">
        <v>1832</v>
      </c>
      <c r="C752" s="383" t="s">
        <v>1833</v>
      </c>
      <c r="D752" s="384" t="s">
        <v>407</v>
      </c>
      <c r="E752" s="385">
        <v>21</v>
      </c>
      <c r="F752" s="384">
        <v>21</v>
      </c>
      <c r="G752" s="358">
        <v>17855406</v>
      </c>
      <c r="H752" s="359">
        <f t="shared" si="23"/>
        <v>16985670</v>
      </c>
      <c r="I752" s="360"/>
      <c r="J752" s="361"/>
      <c r="K752" s="362"/>
      <c r="L752" s="362"/>
      <c r="M752" s="361">
        <v>662656</v>
      </c>
      <c r="N752" s="361">
        <v>1449560</v>
      </c>
      <c r="O752" s="361">
        <v>124248</v>
      </c>
      <c r="P752" s="361">
        <v>248496</v>
      </c>
      <c r="Q752" s="361">
        <v>82832</v>
      </c>
      <c r="R752" s="361">
        <v>82832</v>
      </c>
      <c r="S752" s="361">
        <v>165664</v>
      </c>
      <c r="T752" s="386">
        <v>930000</v>
      </c>
      <c r="U752" s="364">
        <f t="shared" si="24"/>
        <v>20731958</v>
      </c>
      <c r="V752" s="362"/>
      <c r="W752" s="365" t="str">
        <f>+VLOOKUP($B752,[2]Time_S4!$B:$G,6,0)</f>
        <v>Phòng Quản lý sản xuất</v>
      </c>
      <c r="X752" s="365" t="str">
        <f>IF(W752="Phòng Kinh doanh","Trung tâm Kinh doanh - TCT CNC",+VLOOKUP($B752,[2]Time_S4!$B:$G,5,0))</f>
        <v>Khối 2 - TCT CNC</v>
      </c>
      <c r="Y752" s="366"/>
      <c r="Z752" s="366"/>
    </row>
    <row r="753" spans="1:26" ht="15.75" hidden="1">
      <c r="A753" s="367">
        <f>SUBTOTAL(3,$B$15:B753)</f>
        <v>2</v>
      </c>
      <c r="B753" s="382" t="s">
        <v>1834</v>
      </c>
      <c r="C753" s="383" t="s">
        <v>1835</v>
      </c>
      <c r="D753" s="384" t="s">
        <v>407</v>
      </c>
      <c r="E753" s="385">
        <v>21</v>
      </c>
      <c r="F753" s="384">
        <v>21</v>
      </c>
      <c r="G753" s="358">
        <v>23277706</v>
      </c>
      <c r="H753" s="359">
        <f t="shared" si="23"/>
        <v>22314226</v>
      </c>
      <c r="I753" s="360"/>
      <c r="J753" s="361"/>
      <c r="K753" s="362"/>
      <c r="L753" s="362"/>
      <c r="M753" s="361">
        <v>734080</v>
      </c>
      <c r="N753" s="361">
        <v>1605800</v>
      </c>
      <c r="O753" s="361">
        <v>137640</v>
      </c>
      <c r="P753" s="361">
        <v>275280</v>
      </c>
      <c r="Q753" s="361">
        <v>91760</v>
      </c>
      <c r="R753" s="361">
        <v>91760</v>
      </c>
      <c r="S753" s="361">
        <v>183520</v>
      </c>
      <c r="T753" s="386">
        <v>1147000</v>
      </c>
      <c r="U753" s="364">
        <f t="shared" si="24"/>
        <v>26581066</v>
      </c>
      <c r="V753" s="362"/>
      <c r="W753" s="365" t="str">
        <f>+VLOOKUP($B753,[2]Time_S4!$B:$G,6,0)</f>
        <v>Trung tâm Phát triển nền tảng thanh toán</v>
      </c>
      <c r="X753" s="365" t="str">
        <f>IF(W753="Phòng Kinh doanh","Trung tâm Kinh doanh - TCT CNC",+VLOOKUP($B753,[2]Time_S4!$B:$G,5,0))</f>
        <v>Khối 2 - TCT CNC</v>
      </c>
      <c r="Y753" s="366"/>
      <c r="Z753" s="366"/>
    </row>
    <row r="754" spans="1:26" ht="15.75" hidden="1">
      <c r="A754" s="367">
        <f>SUBTOTAL(3,$B$15:B754)</f>
        <v>2</v>
      </c>
      <c r="B754" s="382" t="s">
        <v>1836</v>
      </c>
      <c r="C754" s="383" t="s">
        <v>1837</v>
      </c>
      <c r="D754" s="384" t="s">
        <v>407</v>
      </c>
      <c r="E754" s="385">
        <v>21</v>
      </c>
      <c r="F754" s="384">
        <v>21</v>
      </c>
      <c r="G754" s="358">
        <v>30714463</v>
      </c>
      <c r="H754" s="359">
        <f t="shared" si="23"/>
        <v>29698903</v>
      </c>
      <c r="I754" s="360"/>
      <c r="J754" s="361"/>
      <c r="K754" s="362"/>
      <c r="L754" s="362"/>
      <c r="M754" s="361">
        <v>773760</v>
      </c>
      <c r="N754" s="361">
        <v>1692600</v>
      </c>
      <c r="O754" s="361">
        <v>145080</v>
      </c>
      <c r="P754" s="361">
        <v>290160</v>
      </c>
      <c r="Q754" s="361">
        <v>96720</v>
      </c>
      <c r="R754" s="361">
        <v>96720</v>
      </c>
      <c r="S754" s="361">
        <v>193440</v>
      </c>
      <c r="T754" s="386">
        <v>1030000</v>
      </c>
      <c r="U754" s="364">
        <f t="shared" si="24"/>
        <v>34017383</v>
      </c>
      <c r="V754" s="362"/>
      <c r="W754" s="365" t="str">
        <f>+VLOOKUP($B754,[2]Time_S4!$B:$G,6,0)</f>
        <v>Trung tâm Công nghệ Cơ khí - Tự động hóa</v>
      </c>
      <c r="X754" s="365" t="str">
        <f>IF(W754="Phòng Kinh doanh","Trung tâm Kinh doanh - TCT CNC",+VLOOKUP($B754,[2]Time_S4!$B:$G,5,0))</f>
        <v>Khối 1 - TCT CNC</v>
      </c>
      <c r="Y754" s="366"/>
      <c r="Z754" s="366"/>
    </row>
    <row r="755" spans="1:26" ht="15.75" hidden="1">
      <c r="A755" s="367">
        <f>SUBTOTAL(3,$B$15:B755)</f>
        <v>2</v>
      </c>
      <c r="B755" s="382" t="s">
        <v>1838</v>
      </c>
      <c r="C755" s="383" t="s">
        <v>1839</v>
      </c>
      <c r="D755" s="384" t="s">
        <v>407</v>
      </c>
      <c r="E755" s="385">
        <v>21</v>
      </c>
      <c r="F755" s="384">
        <v>21</v>
      </c>
      <c r="G755" s="358">
        <v>21163859</v>
      </c>
      <c r="H755" s="359">
        <f t="shared" si="23"/>
        <v>20247251</v>
      </c>
      <c r="I755" s="360"/>
      <c r="J755" s="361"/>
      <c r="K755" s="362"/>
      <c r="L755" s="362"/>
      <c r="M755" s="361">
        <v>698368</v>
      </c>
      <c r="N755" s="361">
        <v>1527680</v>
      </c>
      <c r="O755" s="361">
        <v>130944</v>
      </c>
      <c r="P755" s="361">
        <v>261888</v>
      </c>
      <c r="Q755" s="361">
        <v>87296</v>
      </c>
      <c r="R755" s="361">
        <v>87296</v>
      </c>
      <c r="S755" s="361">
        <v>174592</v>
      </c>
      <c r="T755" s="386">
        <v>1398000</v>
      </c>
      <c r="U755" s="364">
        <f t="shared" si="24"/>
        <v>24613315</v>
      </c>
      <c r="V755" s="362"/>
      <c r="W755" s="365" t="str">
        <f>+VLOOKUP($B755,[2]Time_S4!$B:$G,6,0)</f>
        <v>Trung tâm Nghiên cứu Công nghệ truyền dẫn</v>
      </c>
      <c r="X755" s="365" t="str">
        <f>IF(W755="Phòng Kinh doanh","Trung tâm Kinh doanh - TCT CNC",+VLOOKUP($B755,[2]Time_S4!$B:$G,5,0))</f>
        <v>Khối 2 - TCT CNC</v>
      </c>
      <c r="Y755" s="366"/>
      <c r="Z755" s="366"/>
    </row>
    <row r="756" spans="1:26" ht="15.75" hidden="1">
      <c r="A756" s="367">
        <f>SUBTOTAL(3,$B$15:B756)</f>
        <v>2</v>
      </c>
      <c r="B756" s="382" t="s">
        <v>1840</v>
      </c>
      <c r="C756" s="383" t="s">
        <v>1841</v>
      </c>
      <c r="D756" s="384" t="s">
        <v>407</v>
      </c>
      <c r="E756" s="385">
        <v>21</v>
      </c>
      <c r="F756" s="384">
        <v>21</v>
      </c>
      <c r="G756" s="358">
        <v>25051680</v>
      </c>
      <c r="H756" s="359">
        <f t="shared" si="23"/>
        <v>24036120</v>
      </c>
      <c r="I756" s="360"/>
      <c r="J756" s="361"/>
      <c r="K756" s="362"/>
      <c r="L756" s="362"/>
      <c r="M756" s="361">
        <v>773760</v>
      </c>
      <c r="N756" s="361">
        <v>1692600</v>
      </c>
      <c r="O756" s="361">
        <v>145080</v>
      </c>
      <c r="P756" s="361">
        <v>290160</v>
      </c>
      <c r="Q756" s="361">
        <v>96720</v>
      </c>
      <c r="R756" s="361">
        <v>96720</v>
      </c>
      <c r="S756" s="361">
        <v>193440</v>
      </c>
      <c r="T756" s="386">
        <v>1398000</v>
      </c>
      <c r="U756" s="364">
        <f t="shared" si="24"/>
        <v>28722600</v>
      </c>
      <c r="V756" s="362"/>
      <c r="W756" s="365" t="str">
        <f>+VLOOKUP($B756,[2]Time_S4!$B:$G,6,0)</f>
        <v>Trung tâm Nền tảng IOT</v>
      </c>
      <c r="X756" s="365" t="str">
        <f>IF(W756="Phòng Kinh doanh","Trung tâm Kinh doanh - TCT CNC",+VLOOKUP($B756,[2]Time_S4!$B:$G,5,0))</f>
        <v>Khối 3 - TCT CNC</v>
      </c>
      <c r="Y756" s="366"/>
      <c r="Z756" s="366"/>
    </row>
    <row r="757" spans="1:26" ht="15.75" hidden="1">
      <c r="A757" s="367">
        <f>SUBTOTAL(3,$B$15:B757)</f>
        <v>2</v>
      </c>
      <c r="B757" s="382" t="s">
        <v>1842</v>
      </c>
      <c r="C757" s="383" t="s">
        <v>1843</v>
      </c>
      <c r="D757" s="384" t="s">
        <v>407</v>
      </c>
      <c r="E757" s="385">
        <v>21</v>
      </c>
      <c r="F757" s="384">
        <v>21</v>
      </c>
      <c r="G757" s="358">
        <v>30139244</v>
      </c>
      <c r="H757" s="359">
        <f t="shared" si="23"/>
        <v>29123684</v>
      </c>
      <c r="I757" s="360"/>
      <c r="J757" s="361"/>
      <c r="K757" s="362"/>
      <c r="L757" s="362"/>
      <c r="M757" s="361">
        <v>773760</v>
      </c>
      <c r="N757" s="361">
        <v>1692600</v>
      </c>
      <c r="O757" s="361">
        <v>145080</v>
      </c>
      <c r="P757" s="361">
        <v>290160</v>
      </c>
      <c r="Q757" s="361">
        <v>96720</v>
      </c>
      <c r="R757" s="361">
        <v>96720</v>
      </c>
      <c r="S757" s="361">
        <v>193440</v>
      </c>
      <c r="T757" s="386">
        <v>1030000</v>
      </c>
      <c r="U757" s="364">
        <f t="shared" si="24"/>
        <v>33442164</v>
      </c>
      <c r="V757" s="362"/>
      <c r="W757" s="365" t="str">
        <f>+VLOOKUP($B757,[2]Time_S4!$B:$G,6,0)</f>
        <v>Trung tâm Rada</v>
      </c>
      <c r="X757" s="365" t="str">
        <f>IF(W757="Phòng Kinh doanh","Trung tâm Kinh doanh - TCT CNC",+VLOOKUP($B757,[2]Time_S4!$B:$G,5,0))</f>
        <v>Khối 1 - TCT CNC</v>
      </c>
      <c r="Y757" s="366"/>
      <c r="Z757" s="366"/>
    </row>
    <row r="758" spans="1:26" ht="15.75" hidden="1">
      <c r="A758" s="367">
        <f>SUBTOTAL(3,$B$15:B758)</f>
        <v>2</v>
      </c>
      <c r="B758" s="382" t="s">
        <v>1844</v>
      </c>
      <c r="C758" s="383" t="s">
        <v>1845</v>
      </c>
      <c r="D758" s="384" t="s">
        <v>407</v>
      </c>
      <c r="E758" s="385">
        <v>21</v>
      </c>
      <c r="F758" s="384">
        <v>21</v>
      </c>
      <c r="G758" s="358">
        <v>25582231</v>
      </c>
      <c r="H758" s="359">
        <f t="shared" si="23"/>
        <v>24566671</v>
      </c>
      <c r="I758" s="360"/>
      <c r="J758" s="361"/>
      <c r="K758" s="362"/>
      <c r="L758" s="362"/>
      <c r="M758" s="361">
        <v>773760</v>
      </c>
      <c r="N758" s="361">
        <v>1692600</v>
      </c>
      <c r="O758" s="361">
        <v>145080</v>
      </c>
      <c r="P758" s="361">
        <v>290160</v>
      </c>
      <c r="Q758" s="361">
        <v>96720</v>
      </c>
      <c r="R758" s="361">
        <v>96720</v>
      </c>
      <c r="S758" s="361">
        <v>193440</v>
      </c>
      <c r="T758" s="386">
        <v>930000</v>
      </c>
      <c r="U758" s="364">
        <f t="shared" si="24"/>
        <v>28785151</v>
      </c>
      <c r="V758" s="362"/>
      <c r="W758" s="365" t="str">
        <f>+VLOOKUP($B758,[2]Time_S4!$B:$G,6,0)</f>
        <v>Trung tâm Mô hình mô phỏng</v>
      </c>
      <c r="X758" s="365" t="str">
        <f>IF(W758="Phòng Kinh doanh","Trung tâm Kinh doanh - TCT CNC",+VLOOKUP($B758,[2]Time_S4!$B:$G,5,0))</f>
        <v>Khối 1 - TCT CNC</v>
      </c>
      <c r="Y758" s="366"/>
      <c r="Z758" s="366"/>
    </row>
    <row r="759" spans="1:26" ht="15.75" hidden="1">
      <c r="A759" s="367">
        <f>SUBTOTAL(3,$B$15:B759)</f>
        <v>2</v>
      </c>
      <c r="B759" s="382" t="s">
        <v>1846</v>
      </c>
      <c r="C759" s="383" t="s">
        <v>1847</v>
      </c>
      <c r="D759" s="384" t="s">
        <v>407</v>
      </c>
      <c r="E759" s="385">
        <v>21</v>
      </c>
      <c r="F759" s="384">
        <v>21</v>
      </c>
      <c r="G759" s="358">
        <v>20680583</v>
      </c>
      <c r="H759" s="359">
        <f t="shared" si="23"/>
        <v>19763975</v>
      </c>
      <c r="I759" s="360"/>
      <c r="J759" s="361"/>
      <c r="K759" s="362"/>
      <c r="L759" s="362"/>
      <c r="M759" s="361">
        <v>698368</v>
      </c>
      <c r="N759" s="361">
        <v>1527680</v>
      </c>
      <c r="O759" s="361">
        <v>130944</v>
      </c>
      <c r="P759" s="361">
        <v>261888</v>
      </c>
      <c r="Q759" s="361">
        <v>87296</v>
      </c>
      <c r="R759" s="361">
        <v>87296</v>
      </c>
      <c r="S759" s="361">
        <v>174592</v>
      </c>
      <c r="T759" s="386">
        <v>930000</v>
      </c>
      <c r="U759" s="364">
        <f t="shared" si="24"/>
        <v>23662039</v>
      </c>
      <c r="V759" s="362"/>
      <c r="W759" s="365" t="str">
        <f>+VLOOKUP($B759,[2]Time_S4!$B:$G,6,0)</f>
        <v>Trung tâm Công nghệ Cơ khí - Tự động hóa</v>
      </c>
      <c r="X759" s="365" t="str">
        <f>IF(W759="Phòng Kinh doanh","Trung tâm Kinh doanh - TCT CNC",+VLOOKUP($B759,[2]Time_S4!$B:$G,5,0))</f>
        <v>Khối 1 - TCT CNC</v>
      </c>
      <c r="Y759" s="366"/>
      <c r="Z759" s="366"/>
    </row>
    <row r="760" spans="1:26" ht="15.75" hidden="1">
      <c r="A760" s="367">
        <f>SUBTOTAL(3,$B$15:B760)</f>
        <v>2</v>
      </c>
      <c r="B760" s="382" t="s">
        <v>1848</v>
      </c>
      <c r="C760" s="383" t="s">
        <v>1849</v>
      </c>
      <c r="D760" s="384" t="s">
        <v>407</v>
      </c>
      <c r="E760" s="385">
        <v>21</v>
      </c>
      <c r="F760" s="384">
        <v>21</v>
      </c>
      <c r="G760" s="358">
        <v>45147826</v>
      </c>
      <c r="H760" s="359">
        <f t="shared" si="23"/>
        <v>43965610</v>
      </c>
      <c r="I760" s="360"/>
      <c r="J760" s="361"/>
      <c r="K760" s="362"/>
      <c r="L760" s="362"/>
      <c r="M760" s="361">
        <v>900736</v>
      </c>
      <c r="N760" s="361">
        <v>1970360</v>
      </c>
      <c r="O760" s="361">
        <v>168888</v>
      </c>
      <c r="P760" s="361">
        <v>337776</v>
      </c>
      <c r="Q760" s="361">
        <v>112592</v>
      </c>
      <c r="R760" s="361">
        <v>112592</v>
      </c>
      <c r="S760" s="361">
        <v>225184</v>
      </c>
      <c r="T760" s="386">
        <v>1030000</v>
      </c>
      <c r="U760" s="364">
        <f t="shared" si="24"/>
        <v>48823738</v>
      </c>
      <c r="V760" s="362"/>
      <c r="W760" s="365" t="str">
        <f>+VLOOKUP($B760,[2]Time_S4!$B:$G,6,0)</f>
        <v>Trung tâm Nghiên cứu Công nghệ truyền dẫn</v>
      </c>
      <c r="X760" s="365" t="str">
        <f>IF(W760="Phòng Kinh doanh","Trung tâm Kinh doanh - TCT CNC",+VLOOKUP($B760,[2]Time_S4!$B:$G,5,0))</f>
        <v>Khối 2 - TCT CNC</v>
      </c>
      <c r="Y760" s="366"/>
      <c r="Z760" s="366"/>
    </row>
    <row r="761" spans="1:26" ht="15.75" hidden="1">
      <c r="A761" s="367">
        <f>SUBTOTAL(3,$B$15:B761)</f>
        <v>2</v>
      </c>
      <c r="B761" s="382" t="s">
        <v>1850</v>
      </c>
      <c r="C761" s="383" t="s">
        <v>1851</v>
      </c>
      <c r="D761" s="384" t="s">
        <v>407</v>
      </c>
      <c r="E761" s="385">
        <v>21</v>
      </c>
      <c r="F761" s="384">
        <v>21</v>
      </c>
      <c r="G761" s="358">
        <v>26277706</v>
      </c>
      <c r="H761" s="359">
        <f t="shared" si="23"/>
        <v>25314226</v>
      </c>
      <c r="I761" s="360"/>
      <c r="J761" s="361"/>
      <c r="K761" s="362"/>
      <c r="L761" s="362"/>
      <c r="M761" s="361">
        <v>734080</v>
      </c>
      <c r="N761" s="361">
        <v>1605800</v>
      </c>
      <c r="O761" s="361">
        <v>137640</v>
      </c>
      <c r="P761" s="361">
        <v>275280</v>
      </c>
      <c r="Q761" s="361">
        <v>91760</v>
      </c>
      <c r="R761" s="361">
        <v>91760</v>
      </c>
      <c r="S761" s="361">
        <v>183520</v>
      </c>
      <c r="T761" s="386">
        <v>930000</v>
      </c>
      <c r="U761" s="364">
        <f t="shared" si="24"/>
        <v>29364066</v>
      </c>
      <c r="V761" s="362"/>
      <c r="W761" s="365" t="str">
        <f>+VLOOKUP($B761,[2]Time_S4!$B:$G,6,0)</f>
        <v>Trung tâm Nghiên cứu Công nghệ truyền dẫn</v>
      </c>
      <c r="X761" s="365" t="str">
        <f>IF(W761="Phòng Kinh doanh","Trung tâm Kinh doanh - TCT CNC",+VLOOKUP($B761,[2]Time_S4!$B:$G,5,0))</f>
        <v>Khối 2 - TCT CNC</v>
      </c>
      <c r="Y761" s="366"/>
      <c r="Z761" s="366"/>
    </row>
    <row r="762" spans="1:26" ht="15.75" hidden="1">
      <c r="A762" s="367">
        <f>SUBTOTAL(3,$B$15:B762)</f>
        <v>2</v>
      </c>
      <c r="B762" s="382" t="s">
        <v>1852</v>
      </c>
      <c r="C762" s="383" t="s">
        <v>1853</v>
      </c>
      <c r="D762" s="384" t="s">
        <v>407</v>
      </c>
      <c r="E762" s="385">
        <v>21</v>
      </c>
      <c r="F762" s="384">
        <v>21</v>
      </c>
      <c r="G762" s="358">
        <v>19680532</v>
      </c>
      <c r="H762" s="359">
        <f t="shared" si="23"/>
        <v>18810796</v>
      </c>
      <c r="I762" s="360"/>
      <c r="J762" s="361"/>
      <c r="K762" s="362"/>
      <c r="L762" s="362"/>
      <c r="M762" s="361">
        <v>662656</v>
      </c>
      <c r="N762" s="361">
        <v>1449560</v>
      </c>
      <c r="O762" s="361">
        <v>124248</v>
      </c>
      <c r="P762" s="361">
        <v>248496</v>
      </c>
      <c r="Q762" s="361">
        <v>82832</v>
      </c>
      <c r="R762" s="361">
        <v>82832</v>
      </c>
      <c r="S762" s="361">
        <v>165664</v>
      </c>
      <c r="T762" s="386">
        <v>1398000</v>
      </c>
      <c r="U762" s="364">
        <f t="shared" si="24"/>
        <v>23025084</v>
      </c>
      <c r="V762" s="362"/>
      <c r="W762" s="365" t="str">
        <f>+VLOOKUP($B762,[2]Time_S4!$B:$G,6,0)</f>
        <v>Trung tâm Phát triển nền tảng thanh toán</v>
      </c>
      <c r="X762" s="365" t="str">
        <f>IF(W762="Phòng Kinh doanh","Trung tâm Kinh doanh - TCT CNC",+VLOOKUP($B762,[2]Time_S4!$B:$G,5,0))</f>
        <v>Khối 2 - TCT CNC</v>
      </c>
      <c r="Y762" s="366"/>
      <c r="Z762" s="366"/>
    </row>
    <row r="763" spans="1:26" ht="15.75" hidden="1">
      <c r="A763" s="367">
        <f>SUBTOTAL(3,$B$15:B763)</f>
        <v>2</v>
      </c>
      <c r="B763" s="382" t="s">
        <v>1854</v>
      </c>
      <c r="C763" s="383" t="s">
        <v>1855</v>
      </c>
      <c r="D763" s="384" t="s">
        <v>407</v>
      </c>
      <c r="E763" s="385">
        <v>21</v>
      </c>
      <c r="F763" s="384">
        <v>10</v>
      </c>
      <c r="G763" s="358">
        <v>15402343</v>
      </c>
      <c r="H763" s="359">
        <f t="shared" si="23"/>
        <v>14334703</v>
      </c>
      <c r="I763" s="360"/>
      <c r="J763" s="361"/>
      <c r="K763" s="362"/>
      <c r="L763" s="362"/>
      <c r="M763" s="361">
        <v>813440</v>
      </c>
      <c r="N763" s="361">
        <v>1779400</v>
      </c>
      <c r="O763" s="361">
        <v>152520</v>
      </c>
      <c r="P763" s="361">
        <v>305040</v>
      </c>
      <c r="Q763" s="361">
        <v>101680</v>
      </c>
      <c r="R763" s="361">
        <v>101680</v>
      </c>
      <c r="S763" s="361">
        <v>203360</v>
      </c>
      <c r="T763" s="386">
        <v>490476</v>
      </c>
      <c r="U763" s="364">
        <f t="shared" si="24"/>
        <v>18282299</v>
      </c>
      <c r="V763" s="362"/>
      <c r="W763" s="365" t="str">
        <f>+VLOOKUP($B763,[2]Time_S4!$B:$G,6,0)</f>
        <v>Trung tâm Tác chiến điện tử</v>
      </c>
      <c r="X763" s="365" t="str">
        <f>IF(W763="Phòng Kinh doanh","Trung tâm Kinh doanh - TCT CNC",+VLOOKUP($B763,[2]Time_S4!$B:$G,5,0))</f>
        <v>Khối 1 - TCT CNC</v>
      </c>
      <c r="Y763" s="366"/>
      <c r="Z763" s="366"/>
    </row>
    <row r="764" spans="1:26" ht="15.75" hidden="1">
      <c r="A764" s="367">
        <f>SUBTOTAL(3,$B$15:B764)</f>
        <v>2</v>
      </c>
      <c r="B764" s="382" t="s">
        <v>1856</v>
      </c>
      <c r="C764" s="383" t="s">
        <v>1857</v>
      </c>
      <c r="D764" s="384" t="s">
        <v>407</v>
      </c>
      <c r="E764" s="385">
        <v>21</v>
      </c>
      <c r="F764" s="384">
        <v>21</v>
      </c>
      <c r="G764" s="358">
        <v>25051680</v>
      </c>
      <c r="H764" s="359">
        <f t="shared" si="23"/>
        <v>24036120</v>
      </c>
      <c r="I764" s="360"/>
      <c r="J764" s="361"/>
      <c r="K764" s="362"/>
      <c r="L764" s="362"/>
      <c r="M764" s="361">
        <v>773760</v>
      </c>
      <c r="N764" s="361">
        <v>1692600</v>
      </c>
      <c r="O764" s="361">
        <v>145080</v>
      </c>
      <c r="P764" s="361">
        <v>290160</v>
      </c>
      <c r="Q764" s="361">
        <v>96720</v>
      </c>
      <c r="R764" s="361">
        <v>96720</v>
      </c>
      <c r="S764" s="361">
        <v>193440</v>
      </c>
      <c r="T764" s="386">
        <v>930000</v>
      </c>
      <c r="U764" s="364">
        <f t="shared" si="24"/>
        <v>28254600</v>
      </c>
      <c r="V764" s="362"/>
      <c r="W764" s="365" t="str">
        <f>+VLOOKUP($B764,[2]Time_S4!$B:$G,6,0)</f>
        <v>Trung tâm Tác chiến điện tử</v>
      </c>
      <c r="X764" s="365" t="str">
        <f>IF(W764="Phòng Kinh doanh","Trung tâm Kinh doanh - TCT CNC",+VLOOKUP($B764,[2]Time_S4!$B:$G,5,0))</f>
        <v>Khối 1 - TCT CNC</v>
      </c>
      <c r="Y764" s="366"/>
      <c r="Z764" s="366"/>
    </row>
    <row r="765" spans="1:26" ht="15.75" hidden="1">
      <c r="A765" s="367">
        <f>SUBTOTAL(3,$B$15:B765)</f>
        <v>2</v>
      </c>
      <c r="B765" s="382" t="s">
        <v>1858</v>
      </c>
      <c r="C765" s="383" t="s">
        <v>1859</v>
      </c>
      <c r="D765" s="384" t="s">
        <v>407</v>
      </c>
      <c r="E765" s="385">
        <v>21</v>
      </c>
      <c r="F765" s="384">
        <v>21</v>
      </c>
      <c r="G765" s="358">
        <v>26960570</v>
      </c>
      <c r="H765" s="359">
        <f t="shared" si="23"/>
        <v>25945010</v>
      </c>
      <c r="I765" s="360"/>
      <c r="J765" s="361"/>
      <c r="K765" s="362"/>
      <c r="L765" s="362"/>
      <c r="M765" s="361">
        <v>773760</v>
      </c>
      <c r="N765" s="361">
        <v>1692600</v>
      </c>
      <c r="O765" s="361">
        <v>145080</v>
      </c>
      <c r="P765" s="361">
        <v>290160</v>
      </c>
      <c r="Q765" s="361">
        <v>96720</v>
      </c>
      <c r="R765" s="361">
        <v>96720</v>
      </c>
      <c r="S765" s="361">
        <v>193440</v>
      </c>
      <c r="T765" s="386">
        <v>930000</v>
      </c>
      <c r="U765" s="364">
        <f t="shared" si="24"/>
        <v>30163490</v>
      </c>
      <c r="V765" s="362"/>
      <c r="W765" s="365" t="str">
        <f>+VLOOKUP($B765,[2]Time_S4!$B:$G,6,0)</f>
        <v>Trung tâm Camera</v>
      </c>
      <c r="X765" s="365" t="str">
        <f>IF(W765="Phòng Kinh doanh","Trung tâm Kinh doanh - TCT CNC",+VLOOKUP($B765,[2]Time_S4!$B:$G,5,0))</f>
        <v>Khối 3 - TCT CNC</v>
      </c>
      <c r="Y765" s="366"/>
      <c r="Z765" s="366"/>
    </row>
    <row r="766" spans="1:26" ht="15.75" hidden="1">
      <c r="A766" s="367">
        <f>SUBTOTAL(3,$B$15:B766)</f>
        <v>2</v>
      </c>
      <c r="B766" s="382" t="s">
        <v>1860</v>
      </c>
      <c r="C766" s="383" t="s">
        <v>1861</v>
      </c>
      <c r="D766" s="384" t="s">
        <v>407</v>
      </c>
      <c r="E766" s="385">
        <v>21</v>
      </c>
      <c r="F766" s="384">
        <v>21</v>
      </c>
      <c r="G766" s="358">
        <v>19070672</v>
      </c>
      <c r="H766" s="359">
        <f t="shared" si="23"/>
        <v>18200936</v>
      </c>
      <c r="I766" s="360"/>
      <c r="J766" s="361"/>
      <c r="K766" s="362"/>
      <c r="L766" s="362"/>
      <c r="M766" s="361">
        <v>662656</v>
      </c>
      <c r="N766" s="361">
        <v>1449560</v>
      </c>
      <c r="O766" s="361">
        <v>124248</v>
      </c>
      <c r="P766" s="361">
        <v>248496</v>
      </c>
      <c r="Q766" s="361">
        <v>82832</v>
      </c>
      <c r="R766" s="361">
        <v>82832</v>
      </c>
      <c r="S766" s="361">
        <v>165664</v>
      </c>
      <c r="T766" s="386">
        <v>930000</v>
      </c>
      <c r="U766" s="364">
        <f t="shared" si="24"/>
        <v>21947224</v>
      </c>
      <c r="V766" s="362"/>
      <c r="W766" s="365" t="str">
        <f>+VLOOKUP($B766,[2]Time_S4!$B:$G,6,0)</f>
        <v>Trung tâm Nền tảng IOT</v>
      </c>
      <c r="X766" s="365" t="str">
        <f>IF(W766="Phòng Kinh doanh","Trung tâm Kinh doanh - TCT CNC",+VLOOKUP($B766,[2]Time_S4!$B:$G,5,0))</f>
        <v>Khối 3 - TCT CNC</v>
      </c>
      <c r="Y766" s="366"/>
      <c r="Z766" s="366"/>
    </row>
    <row r="767" spans="1:26" ht="15.75" hidden="1">
      <c r="A767" s="367">
        <f>SUBTOTAL(3,$B$15:B767)</f>
        <v>2</v>
      </c>
      <c r="B767" s="382" t="s">
        <v>1862</v>
      </c>
      <c r="C767" s="383" t="s">
        <v>1863</v>
      </c>
      <c r="D767" s="384" t="s">
        <v>407</v>
      </c>
      <c r="E767" s="385">
        <v>21</v>
      </c>
      <c r="F767" s="384">
        <v>21</v>
      </c>
      <c r="G767" s="358">
        <v>15006759</v>
      </c>
      <c r="H767" s="359">
        <f t="shared" si="23"/>
        <v>14178687</v>
      </c>
      <c r="I767" s="360"/>
      <c r="J767" s="361"/>
      <c r="K767" s="362"/>
      <c r="L767" s="362"/>
      <c r="M767" s="361">
        <v>630912</v>
      </c>
      <c r="N767" s="361">
        <v>1380120</v>
      </c>
      <c r="O767" s="361">
        <v>118296</v>
      </c>
      <c r="P767" s="361">
        <v>236592</v>
      </c>
      <c r="Q767" s="361">
        <v>78864</v>
      </c>
      <c r="R767" s="361">
        <v>78864</v>
      </c>
      <c r="S767" s="361">
        <v>157728</v>
      </c>
      <c r="T767" s="386">
        <v>1147000</v>
      </c>
      <c r="U767" s="364">
        <f t="shared" si="24"/>
        <v>18007063</v>
      </c>
      <c r="V767" s="362"/>
      <c r="W767" s="365" t="str">
        <f>+VLOOKUP($B767,[2]Time_S4!$B:$G,6,0)</f>
        <v>Trung tâm Phát triển nền tảng thanh toán</v>
      </c>
      <c r="X767" s="365" t="str">
        <f>IF(W767="Phòng Kinh doanh","Trung tâm Kinh doanh - TCT CNC",+VLOOKUP($B767,[2]Time_S4!$B:$G,5,0))</f>
        <v>Khối 2 - TCT CNC</v>
      </c>
      <c r="Y767" s="366"/>
      <c r="Z767" s="366"/>
    </row>
    <row r="768" spans="1:26" ht="15.75" hidden="1">
      <c r="A768" s="367">
        <f>SUBTOTAL(3,$B$15:B768)</f>
        <v>2</v>
      </c>
      <c r="B768" s="382" t="s">
        <v>1864</v>
      </c>
      <c r="C768" s="383" t="s">
        <v>1557</v>
      </c>
      <c r="D768" s="384" t="s">
        <v>407</v>
      </c>
      <c r="E768" s="385">
        <v>21</v>
      </c>
      <c r="F768" s="384">
        <v>21</v>
      </c>
      <c r="G768" s="358">
        <v>17121074</v>
      </c>
      <c r="H768" s="359">
        <f t="shared" si="23"/>
        <v>16293002</v>
      </c>
      <c r="I768" s="360"/>
      <c r="J768" s="361"/>
      <c r="K768" s="362"/>
      <c r="L768" s="362"/>
      <c r="M768" s="361">
        <v>630912</v>
      </c>
      <c r="N768" s="361">
        <v>1380120</v>
      </c>
      <c r="O768" s="361">
        <v>118296</v>
      </c>
      <c r="P768" s="361">
        <v>236592</v>
      </c>
      <c r="Q768" s="361">
        <v>78864</v>
      </c>
      <c r="R768" s="361">
        <v>78864</v>
      </c>
      <c r="S768" s="361">
        <v>157728</v>
      </c>
      <c r="T768" s="386">
        <v>930000</v>
      </c>
      <c r="U768" s="364">
        <f t="shared" si="24"/>
        <v>19904378</v>
      </c>
      <c r="V768" s="362"/>
      <c r="W768" s="365" t="str">
        <f>+VLOOKUP($B768,[2]Time_S4!$B:$G,6,0)</f>
        <v>Trung tâm Camera</v>
      </c>
      <c r="X768" s="365" t="str">
        <f>IF(W768="Phòng Kinh doanh","Trung tâm Kinh doanh - TCT CNC",+VLOOKUP($B768,[2]Time_S4!$B:$G,5,0))</f>
        <v>Khối 3 - TCT CNC</v>
      </c>
      <c r="Y768" s="366"/>
      <c r="Z768" s="366"/>
    </row>
    <row r="769" spans="1:26" ht="15.75" hidden="1">
      <c r="A769" s="367">
        <f>SUBTOTAL(3,$B$15:B769)</f>
        <v>2</v>
      </c>
      <c r="B769" s="382" t="s">
        <v>1865</v>
      </c>
      <c r="C769" s="383" t="s">
        <v>1866</v>
      </c>
      <c r="D769" s="384" t="s">
        <v>407</v>
      </c>
      <c r="E769" s="385">
        <v>21</v>
      </c>
      <c r="F769" s="384">
        <v>21</v>
      </c>
      <c r="G769" s="358">
        <v>14849964</v>
      </c>
      <c r="H769" s="359">
        <f t="shared" si="23"/>
        <v>14063556</v>
      </c>
      <c r="I769" s="360"/>
      <c r="J769" s="361"/>
      <c r="K769" s="362"/>
      <c r="L769" s="362"/>
      <c r="M769" s="361">
        <v>599168</v>
      </c>
      <c r="N769" s="361">
        <v>1310680</v>
      </c>
      <c r="O769" s="361">
        <v>112344</v>
      </c>
      <c r="P769" s="361">
        <v>224688</v>
      </c>
      <c r="Q769" s="361">
        <v>74896</v>
      </c>
      <c r="R769" s="361">
        <v>74896</v>
      </c>
      <c r="S769" s="361">
        <v>149792</v>
      </c>
      <c r="T769" s="386">
        <v>1047000</v>
      </c>
      <c r="U769" s="364">
        <f t="shared" si="24"/>
        <v>17657020</v>
      </c>
      <c r="V769" s="362"/>
      <c r="W769" s="365" t="str">
        <f>+VLOOKUP($B769,[2]Time_S4!$B:$G,6,0)</f>
        <v>Trung tâm Phát triển nền tảng thanh toán</v>
      </c>
      <c r="X769" s="365" t="str">
        <f>IF(W769="Phòng Kinh doanh","Trung tâm Kinh doanh - TCT CNC",+VLOOKUP($B769,[2]Time_S4!$B:$G,5,0))</f>
        <v>Khối 2 - TCT CNC</v>
      </c>
      <c r="Y769" s="366"/>
      <c r="Z769" s="366"/>
    </row>
    <row r="770" spans="1:26" ht="15.75" hidden="1">
      <c r="A770" s="367">
        <f>SUBTOTAL(3,$B$15:B770)</f>
        <v>2</v>
      </c>
      <c r="B770" s="382" t="s">
        <v>1867</v>
      </c>
      <c r="C770" s="383" t="s">
        <v>1868</v>
      </c>
      <c r="D770" s="384" t="s">
        <v>407</v>
      </c>
      <c r="E770" s="385">
        <v>21</v>
      </c>
      <c r="F770" s="384">
        <v>21</v>
      </c>
      <c r="G770" s="358">
        <v>36433791</v>
      </c>
      <c r="H770" s="359">
        <f t="shared" si="23"/>
        <v>35366151</v>
      </c>
      <c r="I770" s="360"/>
      <c r="J770" s="361"/>
      <c r="K770" s="362"/>
      <c r="L770" s="362"/>
      <c r="M770" s="361">
        <v>813440</v>
      </c>
      <c r="N770" s="361">
        <v>1779400</v>
      </c>
      <c r="O770" s="361">
        <v>152520</v>
      </c>
      <c r="P770" s="361">
        <v>305040</v>
      </c>
      <c r="Q770" s="361">
        <v>101680</v>
      </c>
      <c r="R770" s="361">
        <v>101680</v>
      </c>
      <c r="S770" s="361">
        <v>203360</v>
      </c>
      <c r="T770" s="386">
        <v>1030000</v>
      </c>
      <c r="U770" s="364">
        <f t="shared" si="24"/>
        <v>39853271</v>
      </c>
      <c r="V770" s="362"/>
      <c r="W770" s="365" t="str">
        <f>+VLOOKUP($B770,[2]Time_S4!$B:$G,6,0)</f>
        <v>Trung tâm Tác chiến điện tử</v>
      </c>
      <c r="X770" s="365" t="str">
        <f>IF(W770="Phòng Kinh doanh","Trung tâm Kinh doanh - TCT CNC",+VLOOKUP($B770,[2]Time_S4!$B:$G,5,0))</f>
        <v>Khối 1 - TCT CNC</v>
      </c>
      <c r="Y770" s="366"/>
      <c r="Z770" s="366"/>
    </row>
    <row r="771" spans="1:26" ht="15.75" hidden="1">
      <c r="A771" s="367">
        <f>SUBTOTAL(3,$B$15:B771)</f>
        <v>2</v>
      </c>
      <c r="B771" s="382" t="s">
        <v>1869</v>
      </c>
      <c r="C771" s="383" t="s">
        <v>1870</v>
      </c>
      <c r="D771" s="384" t="s">
        <v>407</v>
      </c>
      <c r="E771" s="385">
        <v>21</v>
      </c>
      <c r="F771" s="384">
        <v>21</v>
      </c>
      <c r="G771" s="358">
        <v>18902938</v>
      </c>
      <c r="H771" s="359">
        <f t="shared" si="23"/>
        <v>17986330</v>
      </c>
      <c r="I771" s="360"/>
      <c r="J771" s="361"/>
      <c r="K771" s="362"/>
      <c r="L771" s="362"/>
      <c r="M771" s="361">
        <v>698368</v>
      </c>
      <c r="N771" s="361">
        <v>1527680</v>
      </c>
      <c r="O771" s="361">
        <v>130944</v>
      </c>
      <c r="P771" s="361">
        <v>261888</v>
      </c>
      <c r="Q771" s="361">
        <v>87296</v>
      </c>
      <c r="R771" s="361">
        <v>87296</v>
      </c>
      <c r="S771" s="361">
        <v>174592</v>
      </c>
      <c r="T771" s="386">
        <v>1047000</v>
      </c>
      <c r="U771" s="364">
        <f t="shared" si="24"/>
        <v>22001394</v>
      </c>
      <c r="V771" s="362"/>
      <c r="W771" s="365" t="str">
        <f>+VLOOKUP($B771,[2]Time_S4!$B:$G,6,0)</f>
        <v>Trung tâm Chỉ huy điều khiển</v>
      </c>
      <c r="X771" s="365" t="str">
        <f>IF(W771="Phòng Kinh doanh","Trung tâm Kinh doanh - TCT CNC",+VLOOKUP($B771,[2]Time_S4!$B:$G,5,0))</f>
        <v>Khối 1 - TCT CNC</v>
      </c>
      <c r="Y771" s="366"/>
      <c r="Z771" s="366"/>
    </row>
    <row r="772" spans="1:26" ht="15.75" hidden="1">
      <c r="A772" s="367">
        <f>SUBTOTAL(3,$B$15:B772)</f>
        <v>2</v>
      </c>
      <c r="B772" s="382" t="s">
        <v>1871</v>
      </c>
      <c r="C772" s="383" t="s">
        <v>1872</v>
      </c>
      <c r="D772" s="384" t="s">
        <v>407</v>
      </c>
      <c r="E772" s="385">
        <v>21</v>
      </c>
      <c r="F772" s="384">
        <v>21</v>
      </c>
      <c r="G772" s="358">
        <v>31024357</v>
      </c>
      <c r="H772" s="359">
        <f t="shared" si="23"/>
        <v>30060877</v>
      </c>
      <c r="I772" s="360"/>
      <c r="J772" s="361"/>
      <c r="K772" s="362"/>
      <c r="L772" s="362"/>
      <c r="M772" s="361">
        <v>734080</v>
      </c>
      <c r="N772" s="361">
        <v>1605800</v>
      </c>
      <c r="O772" s="361">
        <v>137640</v>
      </c>
      <c r="P772" s="361">
        <v>275280</v>
      </c>
      <c r="Q772" s="361">
        <v>91760</v>
      </c>
      <c r="R772" s="361">
        <v>91760</v>
      </c>
      <c r="S772" s="361">
        <v>183520</v>
      </c>
      <c r="T772" s="386">
        <v>1030000</v>
      </c>
      <c r="U772" s="364">
        <f t="shared" si="24"/>
        <v>34210717</v>
      </c>
      <c r="V772" s="362"/>
      <c r="W772" s="365" t="str">
        <f>+VLOOKUP($B772,[2]Time_S4!$B:$G,6,0)</f>
        <v>Trung tâm Mô hình mô phỏng</v>
      </c>
      <c r="X772" s="365" t="str">
        <f>IF(W772="Phòng Kinh doanh","Trung tâm Kinh doanh - TCT CNC",+VLOOKUP($B772,[2]Time_S4!$B:$G,5,0))</f>
        <v>Khối 1 - TCT CNC</v>
      </c>
      <c r="Y772" s="366"/>
      <c r="Z772" s="366"/>
    </row>
    <row r="773" spans="1:26" ht="15.75" hidden="1">
      <c r="A773" s="367">
        <f>SUBTOTAL(3,$B$15:B773)</f>
        <v>2</v>
      </c>
      <c r="B773" s="382" t="s">
        <v>1873</v>
      </c>
      <c r="C773" s="383" t="s">
        <v>1874</v>
      </c>
      <c r="D773" s="384" t="s">
        <v>407</v>
      </c>
      <c r="E773" s="385">
        <v>21</v>
      </c>
      <c r="F773" s="384">
        <v>21</v>
      </c>
      <c r="G773" s="358">
        <v>23455025</v>
      </c>
      <c r="H773" s="359">
        <f t="shared" si="23"/>
        <v>22491545</v>
      </c>
      <c r="I773" s="360"/>
      <c r="J773" s="361"/>
      <c r="K773" s="362"/>
      <c r="L773" s="362"/>
      <c r="M773" s="361">
        <v>734080</v>
      </c>
      <c r="N773" s="361">
        <v>1605800</v>
      </c>
      <c r="O773" s="361">
        <v>137640</v>
      </c>
      <c r="P773" s="361">
        <v>275280</v>
      </c>
      <c r="Q773" s="361">
        <v>91760</v>
      </c>
      <c r="R773" s="361">
        <v>91760</v>
      </c>
      <c r="S773" s="361">
        <v>183520</v>
      </c>
      <c r="T773" s="386">
        <v>930000</v>
      </c>
      <c r="U773" s="364">
        <f t="shared" si="24"/>
        <v>26541385</v>
      </c>
      <c r="V773" s="362"/>
      <c r="W773" s="365" t="str">
        <f>+VLOOKUP($B773,[2]Time_S4!$B:$G,6,0)</f>
        <v>Trung tâm Nghiên cứu Công nghệ chuyển mạch</v>
      </c>
      <c r="X773" s="365" t="str">
        <f>IF(W773="Phòng Kinh doanh","Trung tâm Kinh doanh - TCT CNC",+VLOOKUP($B773,[2]Time_S4!$B:$G,5,0))</f>
        <v>Khối 2 - TCT CNC</v>
      </c>
      <c r="Y773" s="366"/>
      <c r="Z773" s="366"/>
    </row>
    <row r="774" spans="1:26" ht="15.75" hidden="1">
      <c r="A774" s="367">
        <f>SUBTOTAL(3,$B$15:B774)</f>
        <v>2</v>
      </c>
      <c r="B774" s="382" t="s">
        <v>1875</v>
      </c>
      <c r="C774" s="383" t="s">
        <v>1876</v>
      </c>
      <c r="D774" s="384" t="s">
        <v>407</v>
      </c>
      <c r="E774" s="385">
        <v>21</v>
      </c>
      <c r="F774" s="384">
        <v>21</v>
      </c>
      <c r="G774" s="358">
        <v>72378305</v>
      </c>
      <c r="H774" s="359">
        <f t="shared" si="23"/>
        <v>70930481</v>
      </c>
      <c r="I774" s="360"/>
      <c r="J774" s="361"/>
      <c r="K774" s="362"/>
      <c r="L774" s="362"/>
      <c r="M774" s="361">
        <v>1103104</v>
      </c>
      <c r="N774" s="361">
        <v>2413040</v>
      </c>
      <c r="O774" s="361">
        <v>206832</v>
      </c>
      <c r="P774" s="361">
        <v>413664</v>
      </c>
      <c r="Q774" s="361">
        <v>137888</v>
      </c>
      <c r="R774" s="361">
        <v>137888</v>
      </c>
      <c r="S774" s="361">
        <v>275776</v>
      </c>
      <c r="T774" s="386">
        <v>1230000</v>
      </c>
      <c r="U774" s="364">
        <f t="shared" si="24"/>
        <v>76848673</v>
      </c>
      <c r="V774" s="362"/>
      <c r="W774" s="365" t="str">
        <f>+VLOOKUP($B774,[2]Time_S4!$B:$G,6,0)</f>
        <v>Trung tâm Kỹ thuật công nghệ - TCT CNC</v>
      </c>
      <c r="X774" s="365" t="str">
        <f>IF(W774="Phòng Kinh doanh","Trung tâm Kinh doanh - TCT CNC",+VLOOKUP($B774,[2]Time_S4!$B:$G,5,0))</f>
        <v>Khối 2 - TCT CNC</v>
      </c>
      <c r="Y774" s="366"/>
      <c r="Z774" s="366"/>
    </row>
    <row r="775" spans="1:26" ht="15.75" hidden="1">
      <c r="A775" s="367">
        <f>SUBTOTAL(3,$B$15:B775)</f>
        <v>2</v>
      </c>
      <c r="B775" s="382" t="s">
        <v>1877</v>
      </c>
      <c r="C775" s="383" t="s">
        <v>1878</v>
      </c>
      <c r="D775" s="384" t="s">
        <v>407</v>
      </c>
      <c r="E775" s="385">
        <v>21</v>
      </c>
      <c r="F775" s="384">
        <v>21</v>
      </c>
      <c r="G775" s="358">
        <v>26960570</v>
      </c>
      <c r="H775" s="359">
        <f t="shared" si="23"/>
        <v>25945010</v>
      </c>
      <c r="I775" s="360"/>
      <c r="J775" s="361"/>
      <c r="K775" s="362"/>
      <c r="L775" s="362"/>
      <c r="M775" s="361">
        <v>773760</v>
      </c>
      <c r="N775" s="361">
        <v>1692600</v>
      </c>
      <c r="O775" s="361">
        <v>145080</v>
      </c>
      <c r="P775" s="361">
        <v>290160</v>
      </c>
      <c r="Q775" s="361">
        <v>96720</v>
      </c>
      <c r="R775" s="361">
        <v>96720</v>
      </c>
      <c r="S775" s="361">
        <v>193440</v>
      </c>
      <c r="T775" s="386">
        <v>930000</v>
      </c>
      <c r="U775" s="364">
        <f t="shared" si="24"/>
        <v>30163490</v>
      </c>
      <c r="V775" s="362"/>
      <c r="W775" s="365" t="str">
        <f>+VLOOKUP($B775,[2]Time_S4!$B:$G,6,0)</f>
        <v>Trung tâm Nghiên cứu thiết bị vô tuyến băng rộng</v>
      </c>
      <c r="X775" s="365" t="str">
        <f>IF(W775="Phòng Kinh doanh","Trung tâm Kinh doanh - TCT CNC",+VLOOKUP($B775,[2]Time_S4!$B:$G,5,0))</f>
        <v>Khối 2 - TCT CNC</v>
      </c>
      <c r="Y775" s="366"/>
      <c r="Z775" s="366"/>
    </row>
    <row r="776" spans="1:26" ht="15.75" hidden="1">
      <c r="A776" s="367">
        <f>SUBTOTAL(3,$B$15:B776)</f>
        <v>2</v>
      </c>
      <c r="B776" s="382" t="s">
        <v>1879</v>
      </c>
      <c r="C776" s="383" t="s">
        <v>1880</v>
      </c>
      <c r="D776" s="384" t="s">
        <v>407</v>
      </c>
      <c r="E776" s="385">
        <v>21</v>
      </c>
      <c r="F776" s="384">
        <v>21</v>
      </c>
      <c r="G776" s="358">
        <v>15006759</v>
      </c>
      <c r="H776" s="359">
        <f t="shared" si="23"/>
        <v>14178687</v>
      </c>
      <c r="I776" s="360"/>
      <c r="J776" s="361"/>
      <c r="K776" s="362"/>
      <c r="L776" s="362"/>
      <c r="M776" s="361">
        <v>630912</v>
      </c>
      <c r="N776" s="361">
        <v>1380120</v>
      </c>
      <c r="O776" s="361">
        <v>118296</v>
      </c>
      <c r="P776" s="361">
        <v>236592</v>
      </c>
      <c r="Q776" s="361">
        <v>78864</v>
      </c>
      <c r="R776" s="361">
        <v>78864</v>
      </c>
      <c r="S776" s="361">
        <v>157728</v>
      </c>
      <c r="T776" s="386">
        <v>1047000</v>
      </c>
      <c r="U776" s="364">
        <f t="shared" si="24"/>
        <v>17907063</v>
      </c>
      <c r="V776" s="362"/>
      <c r="W776" s="365" t="str">
        <f>+VLOOKUP($B776,[2]Time_S4!$B:$G,6,0)</f>
        <v>Trung tâm Nghiên cứu Công nghệ truyền dẫn</v>
      </c>
      <c r="X776" s="365" t="str">
        <f>IF(W776="Phòng Kinh doanh","Trung tâm Kinh doanh - TCT CNC",+VLOOKUP($B776,[2]Time_S4!$B:$G,5,0))</f>
        <v>Khối 2 - TCT CNC</v>
      </c>
      <c r="Y776" s="366"/>
      <c r="Z776" s="366"/>
    </row>
    <row r="777" spans="1:26" ht="15.75" hidden="1">
      <c r="A777" s="367">
        <f>SUBTOTAL(3,$B$15:B777)</f>
        <v>2</v>
      </c>
      <c r="B777" s="382" t="s">
        <v>1881</v>
      </c>
      <c r="C777" s="383" t="s">
        <v>1882</v>
      </c>
      <c r="D777" s="384" t="s">
        <v>407</v>
      </c>
      <c r="E777" s="385">
        <v>21</v>
      </c>
      <c r="F777" s="384">
        <v>21</v>
      </c>
      <c r="G777" s="358">
        <v>33302445</v>
      </c>
      <c r="H777" s="359">
        <f t="shared" si="23"/>
        <v>32286885</v>
      </c>
      <c r="I777" s="360"/>
      <c r="J777" s="361"/>
      <c r="K777" s="362"/>
      <c r="L777" s="362"/>
      <c r="M777" s="361">
        <v>773760</v>
      </c>
      <c r="N777" s="361">
        <v>1692600</v>
      </c>
      <c r="O777" s="361">
        <v>145080</v>
      </c>
      <c r="P777" s="361">
        <v>290160</v>
      </c>
      <c r="Q777" s="361">
        <v>96720</v>
      </c>
      <c r="R777" s="361">
        <v>96720</v>
      </c>
      <c r="S777" s="361">
        <v>193440</v>
      </c>
      <c r="T777" s="386">
        <v>1030000</v>
      </c>
      <c r="U777" s="364">
        <f t="shared" si="24"/>
        <v>36605365</v>
      </c>
      <c r="V777" s="362"/>
      <c r="W777" s="365" t="str">
        <f>+VLOOKUP($B777,[2]Time_S4!$B:$G,6,0)</f>
        <v>Trung tâm Nghiên cứu thiết bị vô tuyến băng rộng</v>
      </c>
      <c r="X777" s="365" t="str">
        <f>IF(W777="Phòng Kinh doanh","Trung tâm Kinh doanh - TCT CNC",+VLOOKUP($B777,[2]Time_S4!$B:$G,5,0))</f>
        <v>Khối 2 - TCT CNC</v>
      </c>
      <c r="Y777" s="366"/>
      <c r="Z777" s="366"/>
    </row>
    <row r="778" spans="1:26" ht="15.75" hidden="1">
      <c r="A778" s="367">
        <f>SUBTOTAL(3,$B$15:B778)</f>
        <v>2</v>
      </c>
      <c r="B778" s="382" t="s">
        <v>1883</v>
      </c>
      <c r="C778" s="383" t="s">
        <v>1884</v>
      </c>
      <c r="D778" s="384" t="s">
        <v>407</v>
      </c>
      <c r="E778" s="385">
        <v>21</v>
      </c>
      <c r="F778" s="384">
        <v>21</v>
      </c>
      <c r="G778" s="358">
        <v>23034309</v>
      </c>
      <c r="H778" s="359">
        <f t="shared" si="23"/>
        <v>22070829</v>
      </c>
      <c r="I778" s="360"/>
      <c r="J778" s="361"/>
      <c r="K778" s="362"/>
      <c r="L778" s="362"/>
      <c r="M778" s="361">
        <v>734080</v>
      </c>
      <c r="N778" s="361">
        <v>1605800</v>
      </c>
      <c r="O778" s="361">
        <v>137640</v>
      </c>
      <c r="P778" s="361">
        <v>275280</v>
      </c>
      <c r="Q778" s="361">
        <v>91760</v>
      </c>
      <c r="R778" s="361">
        <v>91760</v>
      </c>
      <c r="S778" s="361">
        <v>183520</v>
      </c>
      <c r="T778" s="386">
        <v>1281000</v>
      </c>
      <c r="U778" s="364">
        <f t="shared" si="24"/>
        <v>26471669</v>
      </c>
      <c r="V778" s="362"/>
      <c r="W778" s="365" t="str">
        <f>+VLOOKUP($B778,[2]Time_S4!$B:$G,6,0)</f>
        <v>Trung tâm Kỹ thuật công nghệ - TCT CNC</v>
      </c>
      <c r="X778" s="365" t="str">
        <f>IF(W778="Phòng Kinh doanh","Trung tâm Kinh doanh - TCT CNC",+VLOOKUP($B778,[2]Time_S4!$B:$G,5,0))</f>
        <v>Khối 2 - TCT CNC</v>
      </c>
      <c r="Y778" s="366"/>
      <c r="Z778" s="366"/>
    </row>
    <row r="779" spans="1:26" ht="15.75" hidden="1">
      <c r="A779" s="367">
        <f>SUBTOTAL(3,$B$15:B779)</f>
        <v>2</v>
      </c>
      <c r="B779" s="382" t="s">
        <v>1885</v>
      </c>
      <c r="C779" s="383" t="s">
        <v>1886</v>
      </c>
      <c r="D779" s="384" t="s">
        <v>407</v>
      </c>
      <c r="E779" s="385">
        <v>21</v>
      </c>
      <c r="F779" s="384">
        <v>21</v>
      </c>
      <c r="G779" s="358">
        <v>29826640</v>
      </c>
      <c r="H779" s="359">
        <f t="shared" si="23"/>
        <v>28759000</v>
      </c>
      <c r="I779" s="360"/>
      <c r="J779" s="361"/>
      <c r="K779" s="362"/>
      <c r="L779" s="362"/>
      <c r="M779" s="361">
        <v>813440</v>
      </c>
      <c r="N779" s="361">
        <v>1779400</v>
      </c>
      <c r="O779" s="361">
        <v>152520</v>
      </c>
      <c r="P779" s="361">
        <v>305040</v>
      </c>
      <c r="Q779" s="361">
        <v>101680</v>
      </c>
      <c r="R779" s="361">
        <v>101680</v>
      </c>
      <c r="S779" s="361">
        <v>203360</v>
      </c>
      <c r="T779" s="386">
        <v>1030000</v>
      </c>
      <c r="U779" s="364">
        <f t="shared" si="24"/>
        <v>33246120</v>
      </c>
      <c r="V779" s="362"/>
      <c r="W779" s="365" t="str">
        <f>+VLOOKUP($B779,[2]Time_S4!$B:$G,6,0)</f>
        <v>Trung tâm Nghiên cứu thiết bị vô tuyến băng rộng</v>
      </c>
      <c r="X779" s="365" t="str">
        <f>IF(W779="Phòng Kinh doanh","Trung tâm Kinh doanh - TCT CNC",+VLOOKUP($B779,[2]Time_S4!$B:$G,5,0))</f>
        <v>Khối 2 - TCT CNC</v>
      </c>
      <c r="Y779" s="366"/>
      <c r="Z779" s="366"/>
    </row>
    <row r="780" spans="1:26" ht="15.75" hidden="1">
      <c r="A780" s="367">
        <f>SUBTOTAL(3,$B$15:B780)</f>
        <v>2</v>
      </c>
      <c r="B780" s="382" t="s">
        <v>1887</v>
      </c>
      <c r="C780" s="383" t="s">
        <v>1888</v>
      </c>
      <c r="D780" s="384" t="s">
        <v>407</v>
      </c>
      <c r="E780" s="385">
        <v>21</v>
      </c>
      <c r="F780" s="384">
        <v>21</v>
      </c>
      <c r="G780" s="358">
        <v>22555719</v>
      </c>
      <c r="H780" s="359">
        <f t="shared" si="23"/>
        <v>21592239</v>
      </c>
      <c r="I780" s="360"/>
      <c r="J780" s="361"/>
      <c r="K780" s="362"/>
      <c r="L780" s="362"/>
      <c r="M780" s="361">
        <v>734080</v>
      </c>
      <c r="N780" s="361">
        <v>1605800</v>
      </c>
      <c r="O780" s="361">
        <v>137640</v>
      </c>
      <c r="P780" s="361">
        <v>275280</v>
      </c>
      <c r="Q780" s="361">
        <v>91760</v>
      </c>
      <c r="R780" s="361">
        <v>91760</v>
      </c>
      <c r="S780" s="361">
        <v>183520</v>
      </c>
      <c r="T780" s="386">
        <v>1047000</v>
      </c>
      <c r="U780" s="364">
        <f t="shared" si="24"/>
        <v>25759079</v>
      </c>
      <c r="V780" s="362"/>
      <c r="W780" s="365" t="str">
        <f>+VLOOKUP($B780,[2]Time_S4!$B:$G,6,0)</f>
        <v>Trung tâm Phát triển nền tảng thanh toán</v>
      </c>
      <c r="X780" s="365" t="str">
        <f>IF(W780="Phòng Kinh doanh","Trung tâm Kinh doanh - TCT CNC",+VLOOKUP($B780,[2]Time_S4!$B:$G,5,0))</f>
        <v>Khối 2 - TCT CNC</v>
      </c>
      <c r="Y780" s="366"/>
      <c r="Z780" s="366"/>
    </row>
    <row r="781" spans="1:26" ht="15.75" hidden="1">
      <c r="A781" s="367">
        <f>SUBTOTAL(3,$B$15:B781)</f>
        <v>2</v>
      </c>
      <c r="B781" s="382" t="s">
        <v>1889</v>
      </c>
      <c r="C781" s="383" t="s">
        <v>1890</v>
      </c>
      <c r="D781" s="384" t="s">
        <v>407</v>
      </c>
      <c r="E781" s="385">
        <v>21</v>
      </c>
      <c r="F781" s="384">
        <v>21</v>
      </c>
      <c r="G781" s="358">
        <v>25316044</v>
      </c>
      <c r="H781" s="359">
        <f t="shared" si="23"/>
        <v>24300484</v>
      </c>
      <c r="I781" s="360"/>
      <c r="J781" s="361"/>
      <c r="K781" s="362"/>
      <c r="L781" s="362"/>
      <c r="M781" s="361">
        <v>773760</v>
      </c>
      <c r="N781" s="361">
        <v>1692600</v>
      </c>
      <c r="O781" s="361">
        <v>145080</v>
      </c>
      <c r="P781" s="361">
        <v>290160</v>
      </c>
      <c r="Q781" s="361">
        <v>96720</v>
      </c>
      <c r="R781" s="361">
        <v>96720</v>
      </c>
      <c r="S781" s="361">
        <v>193440</v>
      </c>
      <c r="T781" s="386">
        <v>930000</v>
      </c>
      <c r="U781" s="364">
        <f t="shared" si="24"/>
        <v>28518964</v>
      </c>
      <c r="V781" s="362"/>
      <c r="W781" s="365" t="str">
        <f>+VLOOKUP($B781,[2]Time_S4!$B:$G,6,0)</f>
        <v>Trung tâm Mô hình mô phỏng</v>
      </c>
      <c r="X781" s="365" t="str">
        <f>IF(W781="Phòng Kinh doanh","Trung tâm Kinh doanh - TCT CNC",+VLOOKUP($B781,[2]Time_S4!$B:$G,5,0))</f>
        <v>Khối 1 - TCT CNC</v>
      </c>
      <c r="Y781" s="366"/>
      <c r="Z781" s="366"/>
    </row>
    <row r="782" spans="1:26" ht="15.75" hidden="1">
      <c r="A782" s="367">
        <f>SUBTOTAL(3,$B$15:B782)</f>
        <v>2</v>
      </c>
      <c r="B782" s="382" t="s">
        <v>1891</v>
      </c>
      <c r="C782" s="383" t="s">
        <v>1892</v>
      </c>
      <c r="D782" s="384" t="s">
        <v>407</v>
      </c>
      <c r="E782" s="385">
        <v>21</v>
      </c>
      <c r="F782" s="384">
        <v>21</v>
      </c>
      <c r="G782" s="358">
        <v>30142054</v>
      </c>
      <c r="H782" s="359">
        <f t="shared" si="23"/>
        <v>29074414</v>
      </c>
      <c r="I782" s="360"/>
      <c r="J782" s="361"/>
      <c r="K782" s="362"/>
      <c r="L782" s="362"/>
      <c r="M782" s="361">
        <v>813440</v>
      </c>
      <c r="N782" s="361">
        <v>1779400</v>
      </c>
      <c r="O782" s="361">
        <v>152520</v>
      </c>
      <c r="P782" s="361">
        <v>305040</v>
      </c>
      <c r="Q782" s="361">
        <v>101680</v>
      </c>
      <c r="R782" s="361">
        <v>101680</v>
      </c>
      <c r="S782" s="361">
        <v>203360</v>
      </c>
      <c r="T782" s="386">
        <v>1030000</v>
      </c>
      <c r="U782" s="364">
        <f t="shared" si="24"/>
        <v>33561534</v>
      </c>
      <c r="V782" s="362"/>
      <c r="W782" s="365" t="str">
        <f>+VLOOKUP($B782,[2]Time_S4!$B:$G,6,0)</f>
        <v>Trung tâm sản xuất</v>
      </c>
      <c r="X782" s="365" t="str">
        <f>IF(W782="Phòng Kinh doanh","Trung tâm Kinh doanh - TCT CNC",+VLOOKUP($B782,[2]Time_S4!$B:$G,5,0))</f>
        <v>Khối 1 - TCT CNC</v>
      </c>
      <c r="Y782" s="366"/>
      <c r="Z782" s="366"/>
    </row>
    <row r="783" spans="1:26" ht="15.75" hidden="1">
      <c r="A783" s="367">
        <f>SUBTOTAL(3,$B$15:B783)</f>
        <v>2</v>
      </c>
      <c r="B783" s="382" t="s">
        <v>1893</v>
      </c>
      <c r="C783" s="383" t="s">
        <v>1894</v>
      </c>
      <c r="D783" s="384" t="s">
        <v>407</v>
      </c>
      <c r="E783" s="385">
        <v>21</v>
      </c>
      <c r="F783" s="384">
        <v>21</v>
      </c>
      <c r="G783" s="358">
        <v>19216369</v>
      </c>
      <c r="H783" s="359">
        <f t="shared" si="23"/>
        <v>18346633</v>
      </c>
      <c r="I783" s="360"/>
      <c r="J783" s="361"/>
      <c r="K783" s="362"/>
      <c r="L783" s="362"/>
      <c r="M783" s="361">
        <v>662656</v>
      </c>
      <c r="N783" s="361">
        <v>1449560</v>
      </c>
      <c r="O783" s="361">
        <v>124248</v>
      </c>
      <c r="P783" s="361">
        <v>248496</v>
      </c>
      <c r="Q783" s="361">
        <v>82832</v>
      </c>
      <c r="R783" s="361">
        <v>82832</v>
      </c>
      <c r="S783" s="361">
        <v>165664</v>
      </c>
      <c r="T783" s="386">
        <v>930000</v>
      </c>
      <c r="U783" s="364">
        <f t="shared" si="24"/>
        <v>22092921</v>
      </c>
      <c r="V783" s="362"/>
      <c r="W783" s="365" t="str">
        <f>+VLOOKUP($B783,[2]Time_S4!$B:$G,6,0)</f>
        <v>Trung tâm Quang điện tử</v>
      </c>
      <c r="X783" s="365" t="str">
        <f>IF(W783="Phòng Kinh doanh","Trung tâm Kinh doanh - TCT CNC",+VLOOKUP($B783,[2]Time_S4!$B:$G,5,0))</f>
        <v>Khối 1 - TCT CNC</v>
      </c>
      <c r="Y783" s="366"/>
      <c r="Z783" s="366"/>
    </row>
    <row r="784" spans="1:26" ht="15.75" hidden="1">
      <c r="A784" s="367">
        <f>SUBTOTAL(3,$B$15:B784)</f>
        <v>2</v>
      </c>
      <c r="B784" s="382" t="s">
        <v>1895</v>
      </c>
      <c r="C784" s="383" t="s">
        <v>1896</v>
      </c>
      <c r="D784" s="384" t="s">
        <v>407</v>
      </c>
      <c r="E784" s="385">
        <v>21</v>
      </c>
      <c r="F784" s="384">
        <v>21</v>
      </c>
      <c r="G784" s="358">
        <v>15324908</v>
      </c>
      <c r="H784" s="359">
        <f t="shared" ref="H784:H847" si="25">+G784-SUM(M784,O784,Q784)</f>
        <v>14496836</v>
      </c>
      <c r="I784" s="360"/>
      <c r="J784" s="361"/>
      <c r="K784" s="362"/>
      <c r="L784" s="362"/>
      <c r="M784" s="361">
        <v>630912</v>
      </c>
      <c r="N784" s="361">
        <v>1380120</v>
      </c>
      <c r="O784" s="361">
        <v>118296</v>
      </c>
      <c r="P784" s="361">
        <v>236592</v>
      </c>
      <c r="Q784" s="361">
        <v>78864</v>
      </c>
      <c r="R784" s="361">
        <v>78864</v>
      </c>
      <c r="S784" s="361">
        <v>157728</v>
      </c>
      <c r="T784" s="386">
        <v>1983000</v>
      </c>
      <c r="U784" s="364">
        <f t="shared" ref="U784:U847" si="26">+SUM(H784:T784)</f>
        <v>19161212</v>
      </c>
      <c r="V784" s="362"/>
      <c r="W784" s="365" t="str">
        <f>+VLOOKUP($B784,[2]Time_S4!$B:$G,6,0)</f>
        <v>Phòng Chính trị</v>
      </c>
      <c r="X784" s="365" t="str">
        <f>IF(W784="Phòng Kinh doanh","Trung tâm Kinh doanh - TCT CNC",+VLOOKUP($B784,[2]Time_S4!$B:$G,5,0))</f>
        <v>Khối cơ quan - TCT CNC</v>
      </c>
      <c r="Y784" s="366"/>
      <c r="Z784" s="366"/>
    </row>
    <row r="785" spans="1:26" ht="15.75" hidden="1">
      <c r="A785" s="367">
        <f>SUBTOTAL(3,$B$15:B785)</f>
        <v>2</v>
      </c>
      <c r="B785" s="382" t="s">
        <v>1897</v>
      </c>
      <c r="C785" s="383" t="s">
        <v>1898</v>
      </c>
      <c r="D785" s="384" t="s">
        <v>407</v>
      </c>
      <c r="E785" s="385">
        <v>21</v>
      </c>
      <c r="F785" s="384">
        <v>21</v>
      </c>
      <c r="G785" s="358">
        <v>28601450</v>
      </c>
      <c r="H785" s="359">
        <f t="shared" si="25"/>
        <v>27585890</v>
      </c>
      <c r="I785" s="360"/>
      <c r="J785" s="361"/>
      <c r="K785" s="362"/>
      <c r="L785" s="362"/>
      <c r="M785" s="361">
        <v>773760</v>
      </c>
      <c r="N785" s="361">
        <v>1692600</v>
      </c>
      <c r="O785" s="361">
        <v>145080</v>
      </c>
      <c r="P785" s="361">
        <v>290160</v>
      </c>
      <c r="Q785" s="361">
        <v>96720</v>
      </c>
      <c r="R785" s="361">
        <v>96720</v>
      </c>
      <c r="S785" s="361">
        <v>193440</v>
      </c>
      <c r="T785" s="386">
        <v>1147000</v>
      </c>
      <c r="U785" s="364">
        <f t="shared" si="26"/>
        <v>32021370</v>
      </c>
      <c r="V785" s="362"/>
      <c r="W785" s="365" t="str">
        <f>+VLOOKUP($B785,[2]Time_S4!$B:$G,6,0)</f>
        <v>Phòng Quản lý sản xuất</v>
      </c>
      <c r="X785" s="365" t="str">
        <f>IF(W785="Phòng Kinh doanh","Trung tâm Kinh doanh - TCT CNC",+VLOOKUP($B785,[2]Time_S4!$B:$G,5,0))</f>
        <v>Khối 2 - TCT CNC</v>
      </c>
      <c r="Y785" s="366"/>
      <c r="Z785" s="366"/>
    </row>
    <row r="786" spans="1:26" ht="15.75" hidden="1">
      <c r="A786" s="367">
        <f>SUBTOTAL(3,$B$15:B786)</f>
        <v>2</v>
      </c>
      <c r="B786" s="382" t="s">
        <v>1899</v>
      </c>
      <c r="C786" s="383" t="s">
        <v>1900</v>
      </c>
      <c r="D786" s="384" t="s">
        <v>407</v>
      </c>
      <c r="E786" s="385">
        <v>21</v>
      </c>
      <c r="F786" s="384">
        <v>21</v>
      </c>
      <c r="G786" s="358">
        <v>22320526</v>
      </c>
      <c r="H786" s="359">
        <f t="shared" si="25"/>
        <v>21357046</v>
      </c>
      <c r="I786" s="360"/>
      <c r="J786" s="361"/>
      <c r="K786" s="362"/>
      <c r="L786" s="362"/>
      <c r="M786" s="361">
        <v>734080</v>
      </c>
      <c r="N786" s="361">
        <v>1605800</v>
      </c>
      <c r="O786" s="361">
        <v>137640</v>
      </c>
      <c r="P786" s="361">
        <v>275280</v>
      </c>
      <c r="Q786" s="361">
        <v>91760</v>
      </c>
      <c r="R786" s="361">
        <v>91760</v>
      </c>
      <c r="S786" s="361">
        <v>183520</v>
      </c>
      <c r="T786" s="386">
        <v>930000</v>
      </c>
      <c r="U786" s="364">
        <f t="shared" si="26"/>
        <v>25406886</v>
      </c>
      <c r="V786" s="362"/>
      <c r="W786" s="365" t="str">
        <f>+VLOOKUP($B786,[2]Time_S4!$B:$G,6,0)</f>
        <v>Trung tâm Mô hình mô phỏng</v>
      </c>
      <c r="X786" s="365" t="str">
        <f>IF(W786="Phòng Kinh doanh","Trung tâm Kinh doanh - TCT CNC",+VLOOKUP($B786,[2]Time_S4!$B:$G,5,0))</f>
        <v>Khối 1 - TCT CNC</v>
      </c>
      <c r="Y786" s="366"/>
      <c r="Z786" s="366"/>
    </row>
    <row r="787" spans="1:26" ht="15.75" hidden="1">
      <c r="A787" s="367">
        <f>SUBTOTAL(3,$B$15:B787)</f>
        <v>2</v>
      </c>
      <c r="B787" s="382" t="s">
        <v>1901</v>
      </c>
      <c r="C787" s="383" t="s">
        <v>1902</v>
      </c>
      <c r="D787" s="384" t="s">
        <v>407</v>
      </c>
      <c r="E787" s="385">
        <v>21</v>
      </c>
      <c r="F787" s="384">
        <v>21</v>
      </c>
      <c r="G787" s="358">
        <v>17906559</v>
      </c>
      <c r="H787" s="359">
        <f t="shared" si="25"/>
        <v>17036823</v>
      </c>
      <c r="I787" s="360"/>
      <c r="J787" s="361"/>
      <c r="K787" s="362"/>
      <c r="L787" s="362"/>
      <c r="M787" s="361">
        <v>662656</v>
      </c>
      <c r="N787" s="361">
        <v>1449560</v>
      </c>
      <c r="O787" s="361">
        <v>124248</v>
      </c>
      <c r="P787" s="361">
        <v>248496</v>
      </c>
      <c r="Q787" s="361">
        <v>82832</v>
      </c>
      <c r="R787" s="361">
        <v>82832</v>
      </c>
      <c r="S787" s="361">
        <v>165664</v>
      </c>
      <c r="T787" s="386">
        <v>1047000</v>
      </c>
      <c r="U787" s="364">
        <f t="shared" si="26"/>
        <v>20900111</v>
      </c>
      <c r="V787" s="362"/>
      <c r="W787" s="365" t="str">
        <f>+VLOOKUP($B787,[2]Time_S4!$B:$G,6,0)</f>
        <v>Trung tâm Chỉ huy điều khiển</v>
      </c>
      <c r="X787" s="365" t="str">
        <f>IF(W787="Phòng Kinh doanh","Trung tâm Kinh doanh - TCT CNC",+VLOOKUP($B787,[2]Time_S4!$B:$G,5,0))</f>
        <v>Khối 1 - TCT CNC</v>
      </c>
      <c r="Y787" s="366"/>
      <c r="Z787" s="366"/>
    </row>
    <row r="788" spans="1:26" ht="15.75" hidden="1">
      <c r="A788" s="367">
        <f>SUBTOTAL(3,$B$15:B788)</f>
        <v>2</v>
      </c>
      <c r="B788" s="382" t="s">
        <v>1903</v>
      </c>
      <c r="C788" s="383" t="s">
        <v>1904</v>
      </c>
      <c r="D788" s="384" t="s">
        <v>407</v>
      </c>
      <c r="E788" s="385">
        <v>21</v>
      </c>
      <c r="F788" s="384">
        <v>21</v>
      </c>
      <c r="G788" s="358">
        <v>23277706</v>
      </c>
      <c r="H788" s="359">
        <f t="shared" si="25"/>
        <v>22314226</v>
      </c>
      <c r="I788" s="360"/>
      <c r="J788" s="361"/>
      <c r="K788" s="362"/>
      <c r="L788" s="362"/>
      <c r="M788" s="361">
        <v>734080</v>
      </c>
      <c r="N788" s="361">
        <v>1605800</v>
      </c>
      <c r="O788" s="361">
        <v>137640</v>
      </c>
      <c r="P788" s="361">
        <v>275280</v>
      </c>
      <c r="Q788" s="361">
        <v>91760</v>
      </c>
      <c r="R788" s="361">
        <v>91760</v>
      </c>
      <c r="S788" s="361">
        <v>183520</v>
      </c>
      <c r="T788" s="386">
        <v>930000</v>
      </c>
      <c r="U788" s="364">
        <f t="shared" si="26"/>
        <v>26364066</v>
      </c>
      <c r="V788" s="362"/>
      <c r="W788" s="365" t="str">
        <f>+VLOOKUP($B788,[2]Time_S4!$B:$G,6,0)</f>
        <v>Trung tâm Nghiên cứu thiết bị vô tuyến băng rộng</v>
      </c>
      <c r="X788" s="365" t="str">
        <f>IF(W788="Phòng Kinh doanh","Trung tâm Kinh doanh - TCT CNC",+VLOOKUP($B788,[2]Time_S4!$B:$G,5,0))</f>
        <v>Khối 2 - TCT CNC</v>
      </c>
      <c r="Y788" s="366"/>
      <c r="Z788" s="366"/>
    </row>
    <row r="789" spans="1:26" ht="15.75" hidden="1">
      <c r="A789" s="367">
        <f>SUBTOTAL(3,$B$15:B789)</f>
        <v>2</v>
      </c>
      <c r="B789" s="382" t="s">
        <v>1905</v>
      </c>
      <c r="C789" s="383" t="s">
        <v>1906</v>
      </c>
      <c r="D789" s="384" t="s">
        <v>407</v>
      </c>
      <c r="E789" s="385">
        <v>21</v>
      </c>
      <c r="F789" s="384">
        <v>7</v>
      </c>
      <c r="G789" s="358">
        <v>9976707</v>
      </c>
      <c r="H789" s="359">
        <f t="shared" si="25"/>
        <v>9976707</v>
      </c>
      <c r="I789" s="360"/>
      <c r="J789" s="361"/>
      <c r="K789" s="362"/>
      <c r="L789" s="362"/>
      <c r="M789" s="361">
        <v>0</v>
      </c>
      <c r="N789" s="361">
        <v>0</v>
      </c>
      <c r="O789" s="361">
        <v>0</v>
      </c>
      <c r="P789" s="361">
        <v>0</v>
      </c>
      <c r="Q789" s="361">
        <v>0</v>
      </c>
      <c r="R789" s="361">
        <v>0</v>
      </c>
      <c r="S789" s="361">
        <v>0</v>
      </c>
      <c r="T789" s="386">
        <v>349000</v>
      </c>
      <c r="U789" s="364">
        <f t="shared" si="26"/>
        <v>10325707</v>
      </c>
      <c r="V789" s="362"/>
      <c r="W789" s="365" t="str">
        <f>+VLOOKUP($B789,[2]Time_S4!$B:$G,6,0)</f>
        <v>Bộ phận Hỗ trợ nghiệp vụ</v>
      </c>
      <c r="X789" s="365" t="str">
        <f>IF(W789="Phòng Kinh doanh","Trung tâm Kinh doanh - TCT CNC",+VLOOKUP($B789,[2]Time_S4!$B:$G,5,0))</f>
        <v>Trung tâm Kinh doanh - TCT CNC</v>
      </c>
      <c r="Y789" s="366"/>
      <c r="Z789" s="366"/>
    </row>
    <row r="790" spans="1:26" ht="15.75" hidden="1">
      <c r="A790" s="367">
        <f>SUBTOTAL(3,$B$15:B790)</f>
        <v>2</v>
      </c>
      <c r="B790" s="382" t="s">
        <v>1907</v>
      </c>
      <c r="C790" s="383" t="s">
        <v>1908</v>
      </c>
      <c r="D790" s="384" t="s">
        <v>407</v>
      </c>
      <c r="E790" s="385">
        <v>21</v>
      </c>
      <c r="F790" s="384">
        <v>21</v>
      </c>
      <c r="G790" s="358">
        <v>25210248</v>
      </c>
      <c r="H790" s="359">
        <f t="shared" si="25"/>
        <v>24246768</v>
      </c>
      <c r="I790" s="360"/>
      <c r="J790" s="361"/>
      <c r="K790" s="362"/>
      <c r="L790" s="362"/>
      <c r="M790" s="361">
        <v>734080</v>
      </c>
      <c r="N790" s="361">
        <v>1605800</v>
      </c>
      <c r="O790" s="361">
        <v>137640</v>
      </c>
      <c r="P790" s="361">
        <v>275280</v>
      </c>
      <c r="Q790" s="361">
        <v>91760</v>
      </c>
      <c r="R790" s="361">
        <v>91760</v>
      </c>
      <c r="S790" s="361">
        <v>183520</v>
      </c>
      <c r="T790" s="386">
        <v>930000</v>
      </c>
      <c r="U790" s="364">
        <f t="shared" si="26"/>
        <v>28296608</v>
      </c>
      <c r="V790" s="362"/>
      <c r="W790" s="365" t="str">
        <f>+VLOOKUP($B790,[2]Time_S4!$B:$G,6,0)</f>
        <v>Trung tâm Khí cụ bay</v>
      </c>
      <c r="X790" s="365" t="str">
        <f>IF(W790="Phòng Kinh doanh","Trung tâm Kinh doanh - TCT CNC",+VLOOKUP($B790,[2]Time_S4!$B:$G,5,0))</f>
        <v>Khối 1 - TCT CNC</v>
      </c>
      <c r="Y790" s="366"/>
      <c r="Z790" s="366"/>
    </row>
    <row r="791" spans="1:26" ht="15.75" hidden="1">
      <c r="A791" s="367">
        <f>SUBTOTAL(3,$B$15:B791)</f>
        <v>2</v>
      </c>
      <c r="B791" s="382" t="s">
        <v>1909</v>
      </c>
      <c r="C791" s="383" t="s">
        <v>1910</v>
      </c>
      <c r="D791" s="384" t="s">
        <v>400</v>
      </c>
      <c r="E791" s="385">
        <v>21</v>
      </c>
      <c r="F791" s="384">
        <v>21</v>
      </c>
      <c r="G791" s="358">
        <v>30139244</v>
      </c>
      <c r="H791" s="359">
        <f t="shared" si="25"/>
        <v>29332362</v>
      </c>
      <c r="I791" s="360"/>
      <c r="J791" s="361"/>
      <c r="K791" s="362"/>
      <c r="L791" s="362"/>
      <c r="M791" s="361">
        <v>679480</v>
      </c>
      <c r="N791" s="361">
        <v>1486362</v>
      </c>
      <c r="O791" s="361">
        <v>127402</v>
      </c>
      <c r="P791" s="361">
        <v>254805</v>
      </c>
      <c r="Q791" s="361">
        <v>0</v>
      </c>
      <c r="R791" s="361">
        <v>0</v>
      </c>
      <c r="S791" s="361">
        <v>169870</v>
      </c>
      <c r="T791" s="386">
        <v>1030000</v>
      </c>
      <c r="U791" s="364">
        <f t="shared" si="26"/>
        <v>33080281</v>
      </c>
      <c r="V791" s="362"/>
      <c r="W791" s="365" t="str">
        <f>+VLOOKUP($B791,[2]Time_S4!$B:$G,6,0)</f>
        <v>Trung tâm Tác chiến điện tử</v>
      </c>
      <c r="X791" s="365" t="str">
        <f>IF(W791="Phòng Kinh doanh","Trung tâm Kinh doanh - TCT CNC",+VLOOKUP($B791,[2]Time_S4!$B:$G,5,0))</f>
        <v>Khối 1 - TCT CNC</v>
      </c>
      <c r="Y791" s="366"/>
      <c r="Z791" s="366"/>
    </row>
    <row r="792" spans="1:26" ht="15.75" hidden="1">
      <c r="A792" s="367">
        <f>SUBTOTAL(3,$B$15:B792)</f>
        <v>2</v>
      </c>
      <c r="B792" s="382" t="s">
        <v>1911</v>
      </c>
      <c r="C792" s="383" t="s">
        <v>1912</v>
      </c>
      <c r="D792" s="384" t="s">
        <v>407</v>
      </c>
      <c r="E792" s="385">
        <v>21</v>
      </c>
      <c r="F792" s="384">
        <v>21</v>
      </c>
      <c r="G792" s="358">
        <v>47304747</v>
      </c>
      <c r="H792" s="359">
        <f t="shared" si="25"/>
        <v>46060035</v>
      </c>
      <c r="I792" s="360"/>
      <c r="J792" s="361"/>
      <c r="K792" s="362"/>
      <c r="L792" s="362"/>
      <c r="M792" s="361">
        <v>948352</v>
      </c>
      <c r="N792" s="361">
        <v>2074520</v>
      </c>
      <c r="O792" s="361">
        <v>177816</v>
      </c>
      <c r="P792" s="361">
        <v>355632</v>
      </c>
      <c r="Q792" s="361">
        <v>118544</v>
      </c>
      <c r="R792" s="361">
        <v>118544</v>
      </c>
      <c r="S792" s="361">
        <v>237088</v>
      </c>
      <c r="T792" s="386">
        <v>1030000</v>
      </c>
      <c r="U792" s="364">
        <f t="shared" si="26"/>
        <v>51120531</v>
      </c>
      <c r="V792" s="362"/>
      <c r="W792" s="365" t="str">
        <f>+VLOOKUP($B792,[2]Time_S4!$B:$G,6,0)</f>
        <v>Phòng Chiến lược - KHCN</v>
      </c>
      <c r="X792" s="365" t="str">
        <f>IF(W792="Phòng Kinh doanh","Trung tâm Kinh doanh - TCT CNC",+VLOOKUP($B792,[2]Time_S4!$B:$G,5,0))</f>
        <v>Khối cơ quan - TCT CNC</v>
      </c>
      <c r="Y792" s="366"/>
      <c r="Z792" s="366"/>
    </row>
    <row r="793" spans="1:26" ht="15.75" hidden="1">
      <c r="A793" s="367">
        <f>SUBTOTAL(3,$B$15:B793)</f>
        <v>2</v>
      </c>
      <c r="B793" s="382" t="s">
        <v>1913</v>
      </c>
      <c r="C793" s="383" t="s">
        <v>1914</v>
      </c>
      <c r="D793" s="384" t="s">
        <v>407</v>
      </c>
      <c r="E793" s="385">
        <v>21</v>
      </c>
      <c r="F793" s="384">
        <v>0</v>
      </c>
      <c r="G793" s="358">
        <v>8729600</v>
      </c>
      <c r="H793" s="359">
        <f t="shared" si="25"/>
        <v>8729600</v>
      </c>
      <c r="I793" s="360"/>
      <c r="J793" s="361"/>
      <c r="K793" s="362"/>
      <c r="L793" s="362"/>
      <c r="M793" s="361">
        <v>0</v>
      </c>
      <c r="N793" s="361">
        <v>0</v>
      </c>
      <c r="O793" s="361">
        <v>0</v>
      </c>
      <c r="P793" s="361">
        <v>0</v>
      </c>
      <c r="Q793" s="361">
        <v>0</v>
      </c>
      <c r="R793" s="361">
        <v>0</v>
      </c>
      <c r="S793" s="361">
        <v>0</v>
      </c>
      <c r="T793" s="386">
        <v>0</v>
      </c>
      <c r="U793" s="364">
        <f t="shared" si="26"/>
        <v>8729600</v>
      </c>
      <c r="V793" s="362"/>
      <c r="W793" s="365" t="str">
        <f>+VLOOKUP($B793,[2]Time_S4!$B:$G,6,0)</f>
        <v>Trung tâm Đảm bảo chất lượng</v>
      </c>
      <c r="X793" s="365" t="str">
        <f>IF(W793="Phòng Kinh doanh","Trung tâm Kinh doanh - TCT CNC",+VLOOKUP($B793,[2]Time_S4!$B:$G,5,0))</f>
        <v>Khối 1 - TCT CNC</v>
      </c>
      <c r="Y793" s="366"/>
      <c r="Z793" s="366"/>
    </row>
    <row r="794" spans="1:26" ht="15.75" hidden="1">
      <c r="A794" s="367">
        <f>SUBTOTAL(3,$B$15:B794)</f>
        <v>2</v>
      </c>
      <c r="B794" s="382" t="s">
        <v>1915</v>
      </c>
      <c r="C794" s="383" t="s">
        <v>1916</v>
      </c>
      <c r="D794" s="384" t="s">
        <v>407</v>
      </c>
      <c r="E794" s="385">
        <v>21</v>
      </c>
      <c r="F794" s="384">
        <v>21</v>
      </c>
      <c r="G794" s="358">
        <v>26125544</v>
      </c>
      <c r="H794" s="359">
        <f t="shared" si="25"/>
        <v>25109984</v>
      </c>
      <c r="I794" s="360"/>
      <c r="J794" s="361"/>
      <c r="K794" s="362"/>
      <c r="L794" s="362"/>
      <c r="M794" s="361">
        <v>773760</v>
      </c>
      <c r="N794" s="361">
        <v>1692600</v>
      </c>
      <c r="O794" s="361">
        <v>145080</v>
      </c>
      <c r="P794" s="361">
        <v>290160</v>
      </c>
      <c r="Q794" s="361">
        <v>96720</v>
      </c>
      <c r="R794" s="361">
        <v>96720</v>
      </c>
      <c r="S794" s="361">
        <v>193440</v>
      </c>
      <c r="T794" s="386">
        <v>930000</v>
      </c>
      <c r="U794" s="364">
        <f t="shared" si="26"/>
        <v>29328464</v>
      </c>
      <c r="V794" s="362"/>
      <c r="W794" s="365" t="str">
        <f>+VLOOKUP($B794,[2]Time_S4!$B:$G,6,0)</f>
        <v>Trung tâm Camera</v>
      </c>
      <c r="X794" s="365" t="str">
        <f>IF(W794="Phòng Kinh doanh","Trung tâm Kinh doanh - TCT CNC",+VLOOKUP($B794,[2]Time_S4!$B:$G,5,0))</f>
        <v>Khối 3 - TCT CNC</v>
      </c>
      <c r="Y794" s="366"/>
      <c r="Z794" s="366"/>
    </row>
    <row r="795" spans="1:26" ht="15.75" hidden="1">
      <c r="A795" s="367">
        <f>SUBTOTAL(3,$B$15:B795)</f>
        <v>2</v>
      </c>
      <c r="B795" s="382" t="s">
        <v>1917</v>
      </c>
      <c r="C795" s="383" t="s">
        <v>1918</v>
      </c>
      <c r="D795" s="384" t="s">
        <v>407</v>
      </c>
      <c r="E795" s="385">
        <v>21</v>
      </c>
      <c r="F795" s="384">
        <v>21</v>
      </c>
      <c r="G795" s="358">
        <v>35650853</v>
      </c>
      <c r="H795" s="359">
        <f t="shared" si="25"/>
        <v>34525925</v>
      </c>
      <c r="I795" s="360"/>
      <c r="J795" s="361"/>
      <c r="K795" s="362"/>
      <c r="L795" s="362"/>
      <c r="M795" s="361">
        <v>857088</v>
      </c>
      <c r="N795" s="361">
        <v>1874880</v>
      </c>
      <c r="O795" s="361">
        <v>160704</v>
      </c>
      <c r="P795" s="361">
        <v>321408</v>
      </c>
      <c r="Q795" s="361">
        <v>107136</v>
      </c>
      <c r="R795" s="361">
        <v>107136</v>
      </c>
      <c r="S795" s="361">
        <v>214272</v>
      </c>
      <c r="T795" s="386">
        <v>1030000</v>
      </c>
      <c r="U795" s="364">
        <f t="shared" si="26"/>
        <v>39198549</v>
      </c>
      <c r="V795" s="362"/>
      <c r="W795" s="365" t="str">
        <f>+VLOOKUP($B795,[2]Time_S4!$B:$G,6,0)</f>
        <v>Trung tâm Mô hình mô phỏng</v>
      </c>
      <c r="X795" s="365" t="str">
        <f>IF(W795="Phòng Kinh doanh","Trung tâm Kinh doanh - TCT CNC",+VLOOKUP($B795,[2]Time_S4!$B:$G,5,0))</f>
        <v>Khối 1 - TCT CNC</v>
      </c>
      <c r="Y795" s="366"/>
      <c r="Z795" s="366"/>
    </row>
    <row r="796" spans="1:26" ht="15.75" hidden="1">
      <c r="A796" s="367">
        <f>SUBTOTAL(3,$B$15:B796)</f>
        <v>2</v>
      </c>
      <c r="B796" s="382" t="s">
        <v>1919</v>
      </c>
      <c r="C796" s="383" t="s">
        <v>1920</v>
      </c>
      <c r="D796" s="384" t="s">
        <v>407</v>
      </c>
      <c r="E796" s="385">
        <v>21</v>
      </c>
      <c r="F796" s="384">
        <v>21</v>
      </c>
      <c r="G796" s="358">
        <v>30781086</v>
      </c>
      <c r="H796" s="359">
        <f t="shared" si="25"/>
        <v>29713446</v>
      </c>
      <c r="I796" s="360"/>
      <c r="J796" s="361"/>
      <c r="K796" s="362"/>
      <c r="L796" s="362"/>
      <c r="M796" s="361">
        <v>813440</v>
      </c>
      <c r="N796" s="361">
        <v>1779400</v>
      </c>
      <c r="O796" s="361">
        <v>152520</v>
      </c>
      <c r="P796" s="361">
        <v>305040</v>
      </c>
      <c r="Q796" s="361">
        <v>101680</v>
      </c>
      <c r="R796" s="361">
        <v>101680</v>
      </c>
      <c r="S796" s="361">
        <v>203360</v>
      </c>
      <c r="T796" s="386">
        <v>1147000</v>
      </c>
      <c r="U796" s="364">
        <f t="shared" si="26"/>
        <v>34317566</v>
      </c>
      <c r="V796" s="362"/>
      <c r="W796" s="365" t="str">
        <f>+VLOOKUP($B796,[2]Time_S4!$B:$G,6,0)</f>
        <v>Trung tâm Nghiên cứu thiết bị vô tuyến băng rộng</v>
      </c>
      <c r="X796" s="365" t="str">
        <f>IF(W796="Phòng Kinh doanh","Trung tâm Kinh doanh - TCT CNC",+VLOOKUP($B796,[2]Time_S4!$B:$G,5,0))</f>
        <v>Khối 2 - TCT CNC</v>
      </c>
      <c r="Y796" s="366"/>
      <c r="Z796" s="366"/>
    </row>
    <row r="797" spans="1:26" ht="15.75" hidden="1">
      <c r="A797" s="367">
        <f>SUBTOTAL(3,$B$15:B797)</f>
        <v>2</v>
      </c>
      <c r="B797" s="382" t="s">
        <v>1921</v>
      </c>
      <c r="C797" s="383" t="s">
        <v>1922</v>
      </c>
      <c r="D797" s="384" t="s">
        <v>407</v>
      </c>
      <c r="E797" s="385">
        <v>21</v>
      </c>
      <c r="F797" s="384">
        <v>21</v>
      </c>
      <c r="G797" s="358">
        <v>18620892</v>
      </c>
      <c r="H797" s="359">
        <f t="shared" si="25"/>
        <v>17751156</v>
      </c>
      <c r="I797" s="360"/>
      <c r="J797" s="361"/>
      <c r="K797" s="362"/>
      <c r="L797" s="362"/>
      <c r="M797" s="361">
        <v>662656</v>
      </c>
      <c r="N797" s="361">
        <v>1449560</v>
      </c>
      <c r="O797" s="361">
        <v>124248</v>
      </c>
      <c r="P797" s="361">
        <v>248496</v>
      </c>
      <c r="Q797" s="361">
        <v>82832</v>
      </c>
      <c r="R797" s="361">
        <v>82832</v>
      </c>
      <c r="S797" s="361">
        <v>165664</v>
      </c>
      <c r="T797" s="386">
        <v>930000</v>
      </c>
      <c r="U797" s="364">
        <f t="shared" si="26"/>
        <v>21497444</v>
      </c>
      <c r="V797" s="362"/>
      <c r="W797" s="365" t="str">
        <f>+VLOOKUP($B797,[2]Time_S4!$B:$G,6,0)</f>
        <v>Trung tâm Đảm bảo chất lượng</v>
      </c>
      <c r="X797" s="365" t="str">
        <f>IF(W797="Phòng Kinh doanh","Trung tâm Kinh doanh - TCT CNC",+VLOOKUP($B797,[2]Time_S4!$B:$G,5,0))</f>
        <v>Khối 1 - TCT CNC</v>
      </c>
      <c r="Y797" s="366"/>
      <c r="Z797" s="366"/>
    </row>
    <row r="798" spans="1:26" ht="15.75" hidden="1">
      <c r="A798" s="367">
        <f>SUBTOTAL(3,$B$15:B798)</f>
        <v>2</v>
      </c>
      <c r="B798" s="382" t="s">
        <v>1923</v>
      </c>
      <c r="C798" s="383" t="s">
        <v>1379</v>
      </c>
      <c r="D798" s="384" t="s">
        <v>407</v>
      </c>
      <c r="E798" s="385">
        <v>21</v>
      </c>
      <c r="F798" s="384">
        <v>21</v>
      </c>
      <c r="G798" s="358">
        <v>23277706</v>
      </c>
      <c r="H798" s="359">
        <f t="shared" si="25"/>
        <v>22314226</v>
      </c>
      <c r="I798" s="360"/>
      <c r="J798" s="361"/>
      <c r="K798" s="362"/>
      <c r="L798" s="362"/>
      <c r="M798" s="361">
        <v>734080</v>
      </c>
      <c r="N798" s="361">
        <v>1605800</v>
      </c>
      <c r="O798" s="361">
        <v>137640</v>
      </c>
      <c r="P798" s="361">
        <v>275280</v>
      </c>
      <c r="Q798" s="361">
        <v>91760</v>
      </c>
      <c r="R798" s="361">
        <v>91760</v>
      </c>
      <c r="S798" s="361">
        <v>183520</v>
      </c>
      <c r="T798" s="386">
        <v>930000</v>
      </c>
      <c r="U798" s="364">
        <f t="shared" si="26"/>
        <v>26364066</v>
      </c>
      <c r="V798" s="362"/>
      <c r="W798" s="365" t="str">
        <f>+VLOOKUP($B798,[2]Time_S4!$B:$G,6,0)</f>
        <v>Trung tâm Nghiên cứu thiết bị vô tuyến băng rộng</v>
      </c>
      <c r="X798" s="365" t="str">
        <f>IF(W798="Phòng Kinh doanh","Trung tâm Kinh doanh - TCT CNC",+VLOOKUP($B798,[2]Time_S4!$B:$G,5,0))</f>
        <v>Khối 2 - TCT CNC</v>
      </c>
      <c r="Y798" s="366"/>
      <c r="Z798" s="366"/>
    </row>
    <row r="799" spans="1:26" ht="15.75" hidden="1">
      <c r="A799" s="367">
        <f>SUBTOTAL(3,$B$15:B799)</f>
        <v>2</v>
      </c>
      <c r="B799" s="382" t="s">
        <v>1924</v>
      </c>
      <c r="C799" s="383" t="s">
        <v>1925</v>
      </c>
      <c r="D799" s="384" t="s">
        <v>407</v>
      </c>
      <c r="E799" s="385">
        <v>21</v>
      </c>
      <c r="F799" s="384">
        <v>21</v>
      </c>
      <c r="G799" s="358">
        <v>22728704</v>
      </c>
      <c r="H799" s="359">
        <f t="shared" si="25"/>
        <v>21765224</v>
      </c>
      <c r="I799" s="360"/>
      <c r="J799" s="361"/>
      <c r="K799" s="362"/>
      <c r="L799" s="362"/>
      <c r="M799" s="361">
        <v>734080</v>
      </c>
      <c r="N799" s="361">
        <v>1605800</v>
      </c>
      <c r="O799" s="361">
        <v>137640</v>
      </c>
      <c r="P799" s="361">
        <v>275280</v>
      </c>
      <c r="Q799" s="361">
        <v>91760</v>
      </c>
      <c r="R799" s="361">
        <v>91760</v>
      </c>
      <c r="S799" s="361">
        <v>183520</v>
      </c>
      <c r="T799" s="386">
        <v>930000</v>
      </c>
      <c r="U799" s="364">
        <f t="shared" si="26"/>
        <v>25815064</v>
      </c>
      <c r="V799" s="362"/>
      <c r="W799" s="365" t="str">
        <f>+VLOOKUP($B799,[2]Time_S4!$B:$G,6,0)</f>
        <v>Trung tâm Nghiên cứu thiết bị vô tuyến băng rộng</v>
      </c>
      <c r="X799" s="365" t="str">
        <f>IF(W799="Phòng Kinh doanh","Trung tâm Kinh doanh - TCT CNC",+VLOOKUP($B799,[2]Time_S4!$B:$G,5,0))</f>
        <v>Khối 2 - TCT CNC</v>
      </c>
      <c r="Y799" s="366"/>
      <c r="Z799" s="366"/>
    </row>
    <row r="800" spans="1:26" ht="15.75" hidden="1">
      <c r="A800" s="367">
        <f>SUBTOTAL(3,$B$15:B800)</f>
        <v>2</v>
      </c>
      <c r="B800" s="382" t="s">
        <v>1926</v>
      </c>
      <c r="C800" s="383" t="s">
        <v>1927</v>
      </c>
      <c r="D800" s="384" t="s">
        <v>407</v>
      </c>
      <c r="E800" s="385">
        <v>21</v>
      </c>
      <c r="F800" s="384">
        <v>21</v>
      </c>
      <c r="G800" s="358">
        <v>25678495</v>
      </c>
      <c r="H800" s="359">
        <f t="shared" si="25"/>
        <v>24662935</v>
      </c>
      <c r="I800" s="360"/>
      <c r="J800" s="361"/>
      <c r="K800" s="362"/>
      <c r="L800" s="362"/>
      <c r="M800" s="361">
        <v>773760</v>
      </c>
      <c r="N800" s="361">
        <v>1692600</v>
      </c>
      <c r="O800" s="361">
        <v>145080</v>
      </c>
      <c r="P800" s="361">
        <v>290160</v>
      </c>
      <c r="Q800" s="361">
        <v>96720</v>
      </c>
      <c r="R800" s="361">
        <v>96720</v>
      </c>
      <c r="S800" s="361">
        <v>193440</v>
      </c>
      <c r="T800" s="386">
        <v>1030000</v>
      </c>
      <c r="U800" s="364">
        <f t="shared" si="26"/>
        <v>28981415</v>
      </c>
      <c r="V800" s="362"/>
      <c r="W800" s="365" t="str">
        <f>+VLOOKUP($B800,[2]Time_S4!$B:$G,6,0)</f>
        <v>Trung tâm Nghiên cứu thiết bị vô tuyến băng rộng</v>
      </c>
      <c r="X800" s="365" t="str">
        <f>IF(W800="Phòng Kinh doanh","Trung tâm Kinh doanh - TCT CNC",+VLOOKUP($B800,[2]Time_S4!$B:$G,5,0))</f>
        <v>Khối 2 - TCT CNC</v>
      </c>
      <c r="Y800" s="366"/>
      <c r="Z800" s="366"/>
    </row>
    <row r="801" spans="1:26" ht="15.75" hidden="1">
      <c r="A801" s="367">
        <f>SUBTOTAL(3,$B$15:B801)</f>
        <v>2</v>
      </c>
      <c r="B801" s="382" t="s">
        <v>1928</v>
      </c>
      <c r="C801" s="383" t="s">
        <v>1929</v>
      </c>
      <c r="D801" s="384" t="s">
        <v>407</v>
      </c>
      <c r="E801" s="385">
        <v>21</v>
      </c>
      <c r="F801" s="384">
        <v>21</v>
      </c>
      <c r="G801" s="358">
        <v>40842415</v>
      </c>
      <c r="H801" s="359">
        <f t="shared" si="25"/>
        <v>39660199</v>
      </c>
      <c r="I801" s="360"/>
      <c r="J801" s="361"/>
      <c r="K801" s="362"/>
      <c r="L801" s="362"/>
      <c r="M801" s="361">
        <v>900736</v>
      </c>
      <c r="N801" s="361">
        <v>1970360</v>
      </c>
      <c r="O801" s="361">
        <v>168888</v>
      </c>
      <c r="P801" s="361">
        <v>337776</v>
      </c>
      <c r="Q801" s="361">
        <v>112592</v>
      </c>
      <c r="R801" s="361">
        <v>112592</v>
      </c>
      <c r="S801" s="361">
        <v>225184</v>
      </c>
      <c r="T801" s="386">
        <v>1030000</v>
      </c>
      <c r="U801" s="364">
        <f t="shared" si="26"/>
        <v>44518327</v>
      </c>
      <c r="V801" s="362"/>
      <c r="W801" s="365" t="str">
        <f>+VLOOKUP($B801,[2]Time_S4!$B:$G,6,0)</f>
        <v>Trung tâm Rada</v>
      </c>
      <c r="X801" s="365" t="str">
        <f>IF(W801="Phòng Kinh doanh","Trung tâm Kinh doanh - TCT CNC",+VLOOKUP($B801,[2]Time_S4!$B:$G,5,0))</f>
        <v>Khối 1 - TCT CNC</v>
      </c>
      <c r="Y801" s="366"/>
      <c r="Z801" s="366"/>
    </row>
    <row r="802" spans="1:26" ht="15.75" hidden="1">
      <c r="A802" s="367">
        <f>SUBTOTAL(3,$B$15:B802)</f>
        <v>2</v>
      </c>
      <c r="B802" s="382" t="s">
        <v>1930</v>
      </c>
      <c r="C802" s="383" t="s">
        <v>1931</v>
      </c>
      <c r="D802" s="384" t="s">
        <v>407</v>
      </c>
      <c r="E802" s="385">
        <v>21</v>
      </c>
      <c r="F802" s="384">
        <v>21</v>
      </c>
      <c r="G802" s="358">
        <v>30781086</v>
      </c>
      <c r="H802" s="359">
        <f t="shared" si="25"/>
        <v>29713446</v>
      </c>
      <c r="I802" s="360"/>
      <c r="J802" s="361"/>
      <c r="K802" s="362"/>
      <c r="L802" s="362"/>
      <c r="M802" s="361">
        <v>813440</v>
      </c>
      <c r="N802" s="361">
        <v>1779400</v>
      </c>
      <c r="O802" s="361">
        <v>152520</v>
      </c>
      <c r="P802" s="361">
        <v>305040</v>
      </c>
      <c r="Q802" s="361">
        <v>101680</v>
      </c>
      <c r="R802" s="361">
        <v>101680</v>
      </c>
      <c r="S802" s="361">
        <v>203360</v>
      </c>
      <c r="T802" s="386">
        <v>1030000</v>
      </c>
      <c r="U802" s="364">
        <f t="shared" si="26"/>
        <v>34200566</v>
      </c>
      <c r="V802" s="362"/>
      <c r="W802" s="365" t="str">
        <f>+VLOOKUP($B802,[2]Time_S4!$B:$G,6,0)</f>
        <v>Phòng Đảm bảo chất lượng</v>
      </c>
      <c r="X802" s="365" t="str">
        <f>IF(W802="Phòng Kinh doanh","Trung tâm Kinh doanh - TCT CNC",+VLOOKUP($B802,[2]Time_S4!$B:$G,5,0))</f>
        <v>Trung tâm Quản lý chất lượng - TCT CNC</v>
      </c>
      <c r="Y802" s="366"/>
      <c r="Z802" s="366"/>
    </row>
    <row r="803" spans="1:26" ht="15.75" hidden="1">
      <c r="A803" s="367">
        <f>SUBTOTAL(3,$B$15:B803)</f>
        <v>2</v>
      </c>
      <c r="B803" s="382" t="s">
        <v>1932</v>
      </c>
      <c r="C803" s="383" t="s">
        <v>1933</v>
      </c>
      <c r="D803" s="384" t="s">
        <v>407</v>
      </c>
      <c r="E803" s="385">
        <v>21</v>
      </c>
      <c r="F803" s="384">
        <v>21</v>
      </c>
      <c r="G803" s="358">
        <v>18566540</v>
      </c>
      <c r="H803" s="359">
        <f t="shared" si="25"/>
        <v>17696804</v>
      </c>
      <c r="I803" s="360"/>
      <c r="J803" s="361"/>
      <c r="K803" s="362"/>
      <c r="L803" s="362"/>
      <c r="M803" s="361">
        <v>662656</v>
      </c>
      <c r="N803" s="361">
        <v>1449560</v>
      </c>
      <c r="O803" s="361">
        <v>124248</v>
      </c>
      <c r="P803" s="361">
        <v>248496</v>
      </c>
      <c r="Q803" s="361">
        <v>82832</v>
      </c>
      <c r="R803" s="361">
        <v>82832</v>
      </c>
      <c r="S803" s="361">
        <v>165664</v>
      </c>
      <c r="T803" s="386">
        <v>930000</v>
      </c>
      <c r="U803" s="364">
        <f t="shared" si="26"/>
        <v>21443092</v>
      </c>
      <c r="V803" s="362"/>
      <c r="W803" s="365" t="str">
        <f>+VLOOKUP($B803,[2]Time_S4!$B:$G,6,0)</f>
        <v>Trung tâm Nghiên cứu Công nghệ truyền dẫn</v>
      </c>
      <c r="X803" s="365" t="str">
        <f>IF(W803="Phòng Kinh doanh","Trung tâm Kinh doanh - TCT CNC",+VLOOKUP($B803,[2]Time_S4!$B:$G,5,0))</f>
        <v>Khối 2 - TCT CNC</v>
      </c>
      <c r="Y803" s="366"/>
      <c r="Z803" s="366"/>
    </row>
    <row r="804" spans="1:26" ht="15.75" hidden="1">
      <c r="A804" s="367">
        <f>SUBTOTAL(3,$B$15:B804)</f>
        <v>2</v>
      </c>
      <c r="B804" s="382" t="s">
        <v>1934</v>
      </c>
      <c r="C804" s="383" t="s">
        <v>1935</v>
      </c>
      <c r="D804" s="384" t="s">
        <v>407</v>
      </c>
      <c r="E804" s="385">
        <v>21</v>
      </c>
      <c r="F804" s="384">
        <v>21</v>
      </c>
      <c r="G804" s="358">
        <v>29826640</v>
      </c>
      <c r="H804" s="359">
        <f t="shared" si="25"/>
        <v>28759000</v>
      </c>
      <c r="I804" s="360"/>
      <c r="J804" s="361"/>
      <c r="K804" s="362"/>
      <c r="L804" s="362"/>
      <c r="M804" s="361">
        <v>813440</v>
      </c>
      <c r="N804" s="361">
        <v>1779400</v>
      </c>
      <c r="O804" s="361">
        <v>152520</v>
      </c>
      <c r="P804" s="361">
        <v>305040</v>
      </c>
      <c r="Q804" s="361">
        <v>101680</v>
      </c>
      <c r="R804" s="361">
        <v>101680</v>
      </c>
      <c r="S804" s="361">
        <v>203360</v>
      </c>
      <c r="T804" s="386">
        <v>1030000</v>
      </c>
      <c r="U804" s="364">
        <f t="shared" si="26"/>
        <v>33246120</v>
      </c>
      <c r="V804" s="362"/>
      <c r="W804" s="365" t="str">
        <f>+VLOOKUP($B804,[2]Time_S4!$B:$G,6,0)</f>
        <v>Phòng Quản lý sản xuất</v>
      </c>
      <c r="X804" s="365" t="str">
        <f>IF(W804="Phòng Kinh doanh","Trung tâm Kinh doanh - TCT CNC",+VLOOKUP($B804,[2]Time_S4!$B:$G,5,0))</f>
        <v>Khối 2 - TCT CNC</v>
      </c>
      <c r="Y804" s="366"/>
      <c r="Z804" s="366"/>
    </row>
    <row r="805" spans="1:26" ht="15.75" hidden="1">
      <c r="A805" s="367">
        <f>SUBTOTAL(3,$B$15:B805)</f>
        <v>2</v>
      </c>
      <c r="B805" s="382" t="s">
        <v>1936</v>
      </c>
      <c r="C805" s="383" t="s">
        <v>1937</v>
      </c>
      <c r="D805" s="384" t="s">
        <v>407</v>
      </c>
      <c r="E805" s="385">
        <v>21</v>
      </c>
      <c r="F805" s="384">
        <v>21</v>
      </c>
      <c r="G805" s="358">
        <v>30055117</v>
      </c>
      <c r="H805" s="359">
        <f t="shared" si="25"/>
        <v>28987477</v>
      </c>
      <c r="I805" s="360"/>
      <c r="J805" s="361"/>
      <c r="K805" s="362"/>
      <c r="L805" s="362"/>
      <c r="M805" s="361">
        <v>813440</v>
      </c>
      <c r="N805" s="361">
        <v>1779400</v>
      </c>
      <c r="O805" s="361">
        <v>152520</v>
      </c>
      <c r="P805" s="361">
        <v>305040</v>
      </c>
      <c r="Q805" s="361">
        <v>101680</v>
      </c>
      <c r="R805" s="361">
        <v>101680</v>
      </c>
      <c r="S805" s="361">
        <v>203360</v>
      </c>
      <c r="T805" s="386">
        <v>1030000</v>
      </c>
      <c r="U805" s="364">
        <f t="shared" si="26"/>
        <v>33474597</v>
      </c>
      <c r="V805" s="362"/>
      <c r="W805" s="365" t="str">
        <f>+VLOOKUP($B805,[2]Time_S4!$B:$G,6,0)</f>
        <v>Trung tâm Nghiên cứu thiết bị vô tuyến băng rộng</v>
      </c>
      <c r="X805" s="365" t="str">
        <f>IF(W805="Phòng Kinh doanh","Trung tâm Kinh doanh - TCT CNC",+VLOOKUP($B805,[2]Time_S4!$B:$G,5,0))</f>
        <v>Khối 2 - TCT CNC</v>
      </c>
      <c r="Y805" s="366"/>
      <c r="Z805" s="366"/>
    </row>
    <row r="806" spans="1:26" ht="15.75" hidden="1">
      <c r="A806" s="367">
        <f>SUBTOTAL(3,$B$15:B806)</f>
        <v>2</v>
      </c>
      <c r="B806" s="382" t="s">
        <v>1938</v>
      </c>
      <c r="C806" s="383" t="s">
        <v>1939</v>
      </c>
      <c r="D806" s="384" t="s">
        <v>407</v>
      </c>
      <c r="E806" s="385">
        <v>21</v>
      </c>
      <c r="F806" s="384">
        <v>21</v>
      </c>
      <c r="G806" s="358">
        <v>14849964</v>
      </c>
      <c r="H806" s="359">
        <f t="shared" si="25"/>
        <v>14063556</v>
      </c>
      <c r="I806" s="360"/>
      <c r="J806" s="361"/>
      <c r="K806" s="362"/>
      <c r="L806" s="362"/>
      <c r="M806" s="361">
        <v>599168</v>
      </c>
      <c r="N806" s="361">
        <v>1310680</v>
      </c>
      <c r="O806" s="361">
        <v>112344</v>
      </c>
      <c r="P806" s="361">
        <v>224688</v>
      </c>
      <c r="Q806" s="361">
        <v>74896</v>
      </c>
      <c r="R806" s="361">
        <v>74896</v>
      </c>
      <c r="S806" s="361">
        <v>149792</v>
      </c>
      <c r="T806" s="386">
        <v>1047000</v>
      </c>
      <c r="U806" s="364">
        <f t="shared" si="26"/>
        <v>17657020</v>
      </c>
      <c r="V806" s="362"/>
      <c r="W806" s="365" t="str">
        <f>+VLOOKUP($B806,[2]Time_S4!$B:$G,6,0)</f>
        <v>Trung tâm Nghiên cứu thiết bị vô tuyến băng rộng</v>
      </c>
      <c r="X806" s="365" t="str">
        <f>IF(W806="Phòng Kinh doanh","Trung tâm Kinh doanh - TCT CNC",+VLOOKUP($B806,[2]Time_S4!$B:$G,5,0))</f>
        <v>Khối 2 - TCT CNC</v>
      </c>
      <c r="Y806" s="366"/>
      <c r="Z806" s="366"/>
    </row>
    <row r="807" spans="1:26" ht="15.75" hidden="1">
      <c r="A807" s="367">
        <f>SUBTOTAL(3,$B$15:B807)</f>
        <v>2</v>
      </c>
      <c r="B807" s="382" t="s">
        <v>1940</v>
      </c>
      <c r="C807" s="383" t="s">
        <v>1941</v>
      </c>
      <c r="D807" s="384" t="s">
        <v>407</v>
      </c>
      <c r="E807" s="385">
        <v>21</v>
      </c>
      <c r="F807" s="384">
        <v>21</v>
      </c>
      <c r="G807" s="358">
        <v>19680532</v>
      </c>
      <c r="H807" s="359">
        <f t="shared" si="25"/>
        <v>18810796</v>
      </c>
      <c r="I807" s="360"/>
      <c r="J807" s="361"/>
      <c r="K807" s="362"/>
      <c r="L807" s="362"/>
      <c r="M807" s="361">
        <v>662656</v>
      </c>
      <c r="N807" s="361">
        <v>1449560</v>
      </c>
      <c r="O807" s="361">
        <v>124248</v>
      </c>
      <c r="P807" s="361">
        <v>248496</v>
      </c>
      <c r="Q807" s="361">
        <v>82832</v>
      </c>
      <c r="R807" s="361">
        <v>82832</v>
      </c>
      <c r="S807" s="361">
        <v>165664</v>
      </c>
      <c r="T807" s="386">
        <v>1047000</v>
      </c>
      <c r="U807" s="364">
        <f t="shared" si="26"/>
        <v>22674084</v>
      </c>
      <c r="V807" s="362"/>
      <c r="W807" s="365" t="str">
        <f>+VLOOKUP($B807,[2]Time_S4!$B:$G,6,0)</f>
        <v>Trung tâm Nghiên cứu thiết bị vô tuyến băng rộng</v>
      </c>
      <c r="X807" s="365" t="str">
        <f>IF(W807="Phòng Kinh doanh","Trung tâm Kinh doanh - TCT CNC",+VLOOKUP($B807,[2]Time_S4!$B:$G,5,0))</f>
        <v>Khối 2 - TCT CNC</v>
      </c>
      <c r="Y807" s="366"/>
      <c r="Z807" s="366"/>
    </row>
    <row r="808" spans="1:26" ht="15.75" hidden="1">
      <c r="A808" s="367">
        <f>SUBTOTAL(3,$B$15:B808)</f>
        <v>2</v>
      </c>
      <c r="B808" s="382" t="s">
        <v>1942</v>
      </c>
      <c r="C808" s="383" t="s">
        <v>1943</v>
      </c>
      <c r="D808" s="384" t="s">
        <v>407</v>
      </c>
      <c r="E808" s="385">
        <v>21</v>
      </c>
      <c r="F808" s="384">
        <v>21</v>
      </c>
      <c r="G808" s="358">
        <v>14240104</v>
      </c>
      <c r="H808" s="359">
        <f t="shared" si="25"/>
        <v>13453696</v>
      </c>
      <c r="I808" s="360"/>
      <c r="J808" s="361"/>
      <c r="K808" s="362"/>
      <c r="L808" s="362"/>
      <c r="M808" s="361">
        <v>599168</v>
      </c>
      <c r="N808" s="361">
        <v>1310680</v>
      </c>
      <c r="O808" s="361">
        <v>112344</v>
      </c>
      <c r="P808" s="361">
        <v>224688</v>
      </c>
      <c r="Q808" s="361">
        <v>74896</v>
      </c>
      <c r="R808" s="361">
        <v>74896</v>
      </c>
      <c r="S808" s="361">
        <v>149792</v>
      </c>
      <c r="T808" s="386">
        <v>1047000</v>
      </c>
      <c r="U808" s="364">
        <f t="shared" si="26"/>
        <v>17047160</v>
      </c>
      <c r="V808" s="362"/>
      <c r="W808" s="365" t="str">
        <f>+VLOOKUP($B808,[2]Time_S4!$B:$G,6,0)</f>
        <v>Trung tâm Kỹ thuật công nghệ - TCT CNC</v>
      </c>
      <c r="X808" s="365" t="str">
        <f>IF(W808="Phòng Kinh doanh","Trung tâm Kinh doanh - TCT CNC",+VLOOKUP($B808,[2]Time_S4!$B:$G,5,0))</f>
        <v>Khối 2 - TCT CNC</v>
      </c>
      <c r="Y808" s="366"/>
      <c r="Z808" s="366"/>
    </row>
    <row r="809" spans="1:26" ht="15.75" hidden="1">
      <c r="A809" s="367">
        <f>SUBTOTAL(3,$B$15:B809)</f>
        <v>2</v>
      </c>
      <c r="B809" s="382" t="s">
        <v>1944</v>
      </c>
      <c r="C809" s="383" t="s">
        <v>1945</v>
      </c>
      <c r="D809" s="384" t="s">
        <v>407</v>
      </c>
      <c r="E809" s="385">
        <v>21</v>
      </c>
      <c r="F809" s="384">
        <v>21</v>
      </c>
      <c r="G809" s="358">
        <v>22320526</v>
      </c>
      <c r="H809" s="359">
        <f t="shared" si="25"/>
        <v>21357046</v>
      </c>
      <c r="I809" s="360"/>
      <c r="J809" s="361"/>
      <c r="K809" s="362"/>
      <c r="L809" s="362"/>
      <c r="M809" s="361">
        <v>734080</v>
      </c>
      <c r="N809" s="361">
        <v>1605800</v>
      </c>
      <c r="O809" s="361">
        <v>137640</v>
      </c>
      <c r="P809" s="361">
        <v>275280</v>
      </c>
      <c r="Q809" s="361">
        <v>91760</v>
      </c>
      <c r="R809" s="361">
        <v>91760</v>
      </c>
      <c r="S809" s="361">
        <v>183520</v>
      </c>
      <c r="T809" s="386">
        <v>930000</v>
      </c>
      <c r="U809" s="364">
        <f t="shared" si="26"/>
        <v>25406886</v>
      </c>
      <c r="V809" s="362"/>
      <c r="W809" s="365" t="str">
        <f>+VLOOKUP($B809,[2]Time_S4!$B:$G,6,0)</f>
        <v>Trung tâm Kỹ thuật công nghệ - TCT CNC</v>
      </c>
      <c r="X809" s="365" t="str">
        <f>IF(W809="Phòng Kinh doanh","Trung tâm Kinh doanh - TCT CNC",+VLOOKUP($B809,[2]Time_S4!$B:$G,5,0))</f>
        <v>Khối 2 - TCT CNC</v>
      </c>
      <c r="Y809" s="366"/>
      <c r="Z809" s="366"/>
    </row>
    <row r="810" spans="1:26" ht="15.75" hidden="1">
      <c r="A810" s="367">
        <f>SUBTOTAL(3,$B$15:B810)</f>
        <v>2</v>
      </c>
      <c r="B810" s="382" t="s">
        <v>1946</v>
      </c>
      <c r="C810" s="383" t="s">
        <v>1947</v>
      </c>
      <c r="D810" s="384" t="s">
        <v>407</v>
      </c>
      <c r="E810" s="385">
        <v>21</v>
      </c>
      <c r="F810" s="384">
        <v>10</v>
      </c>
      <c r="G810" s="358">
        <v>16665008</v>
      </c>
      <c r="H810" s="359">
        <f t="shared" si="25"/>
        <v>15701528</v>
      </c>
      <c r="I810" s="360"/>
      <c r="J810" s="361"/>
      <c r="K810" s="362"/>
      <c r="L810" s="362"/>
      <c r="M810" s="361">
        <v>734080</v>
      </c>
      <c r="N810" s="361">
        <v>1605800</v>
      </c>
      <c r="O810" s="361">
        <v>137640</v>
      </c>
      <c r="P810" s="361">
        <v>275280</v>
      </c>
      <c r="Q810" s="361">
        <v>91760</v>
      </c>
      <c r="R810" s="361">
        <v>91760</v>
      </c>
      <c r="S810" s="361">
        <v>183520</v>
      </c>
      <c r="T810" s="386">
        <v>498571</v>
      </c>
      <c r="U810" s="364">
        <f t="shared" si="26"/>
        <v>19319939</v>
      </c>
      <c r="V810" s="362"/>
      <c r="W810" s="365" t="str">
        <f>+VLOOKUP($B810,[2]Time_S4!$B:$G,6,0)</f>
        <v>Phòng Thương hiệu và truyền thông</v>
      </c>
      <c r="X810" s="365" t="str">
        <f>IF(W810="Phòng Kinh doanh","Trung tâm Kinh doanh - TCT CNC",+VLOOKUP($B810,[2]Time_S4!$B:$G,5,0))</f>
        <v>Trung tâm Kinh doanh - TCT CNC</v>
      </c>
      <c r="Y810" s="366"/>
      <c r="Z810" s="366"/>
    </row>
    <row r="811" spans="1:26" ht="15.75" hidden="1">
      <c r="A811" s="367">
        <f>SUBTOTAL(3,$B$15:B811)</f>
        <v>2</v>
      </c>
      <c r="B811" s="382" t="s">
        <v>1948</v>
      </c>
      <c r="C811" s="383" t="s">
        <v>1949</v>
      </c>
      <c r="D811" s="384" t="s">
        <v>407</v>
      </c>
      <c r="E811" s="385">
        <v>21</v>
      </c>
      <c r="F811" s="384">
        <v>21</v>
      </c>
      <c r="G811" s="358">
        <v>26960570</v>
      </c>
      <c r="H811" s="359">
        <f t="shared" si="25"/>
        <v>25945010</v>
      </c>
      <c r="I811" s="360"/>
      <c r="J811" s="361"/>
      <c r="K811" s="362"/>
      <c r="L811" s="362"/>
      <c r="M811" s="361">
        <v>773760</v>
      </c>
      <c r="N811" s="361">
        <v>1692600</v>
      </c>
      <c r="O811" s="361">
        <v>145080</v>
      </c>
      <c r="P811" s="361">
        <v>290160</v>
      </c>
      <c r="Q811" s="361">
        <v>96720</v>
      </c>
      <c r="R811" s="361">
        <v>96720</v>
      </c>
      <c r="S811" s="361">
        <v>193440</v>
      </c>
      <c r="T811" s="386">
        <v>1047000</v>
      </c>
      <c r="U811" s="364">
        <f t="shared" si="26"/>
        <v>30280490</v>
      </c>
      <c r="V811" s="362"/>
      <c r="W811" s="365" t="str">
        <f>+VLOOKUP($B811,[2]Time_S4!$B:$G,6,0)</f>
        <v>Phòng Kiểu dáng và đồ họa</v>
      </c>
      <c r="X811" s="365" t="str">
        <f>IF(W811="Phòng Kinh doanh","Trung tâm Kinh doanh - TCT CNC",+VLOOKUP($B811,[2]Time_S4!$B:$G,5,0))</f>
        <v>Khối 1 - TCT CNC</v>
      </c>
      <c r="Y811" s="366"/>
      <c r="Z811" s="366"/>
    </row>
    <row r="812" spans="1:26" ht="15.75" hidden="1">
      <c r="A812" s="367">
        <f>SUBTOTAL(3,$B$15:B812)</f>
        <v>2</v>
      </c>
      <c r="B812" s="382" t="s">
        <v>1950</v>
      </c>
      <c r="C812" s="383" t="s">
        <v>1951</v>
      </c>
      <c r="D812" s="384" t="s">
        <v>407</v>
      </c>
      <c r="E812" s="385">
        <v>21</v>
      </c>
      <c r="F812" s="384">
        <v>21</v>
      </c>
      <c r="G812" s="358">
        <v>24119403</v>
      </c>
      <c r="H812" s="359">
        <f t="shared" si="25"/>
        <v>23202795</v>
      </c>
      <c r="I812" s="360"/>
      <c r="J812" s="361"/>
      <c r="K812" s="362"/>
      <c r="L812" s="362"/>
      <c r="M812" s="361">
        <v>698368</v>
      </c>
      <c r="N812" s="361">
        <v>1527680</v>
      </c>
      <c r="O812" s="361">
        <v>130944</v>
      </c>
      <c r="P812" s="361">
        <v>261888</v>
      </c>
      <c r="Q812" s="361">
        <v>87296</v>
      </c>
      <c r="R812" s="361">
        <v>87296</v>
      </c>
      <c r="S812" s="361">
        <v>174592</v>
      </c>
      <c r="T812" s="386">
        <v>1047000</v>
      </c>
      <c r="U812" s="364">
        <f t="shared" si="26"/>
        <v>27217859</v>
      </c>
      <c r="V812" s="362"/>
      <c r="W812" s="365" t="str">
        <f>+VLOOKUP($B812,[2]Time_S4!$B:$G,6,0)</f>
        <v>Trung tâm Phát triển nền tảng thanh toán</v>
      </c>
      <c r="X812" s="365" t="str">
        <f>IF(W812="Phòng Kinh doanh","Trung tâm Kinh doanh - TCT CNC",+VLOOKUP($B812,[2]Time_S4!$B:$G,5,0))</f>
        <v>Khối 2 - TCT CNC</v>
      </c>
      <c r="Y812" s="366"/>
      <c r="Z812" s="366"/>
    </row>
    <row r="813" spans="1:26" ht="15.75" hidden="1">
      <c r="A813" s="367">
        <f>SUBTOTAL(3,$B$15:B813)</f>
        <v>2</v>
      </c>
      <c r="B813" s="382" t="s">
        <v>1952</v>
      </c>
      <c r="C813" s="383" t="s">
        <v>1953</v>
      </c>
      <c r="D813" s="384" t="s">
        <v>407</v>
      </c>
      <c r="E813" s="385">
        <v>21</v>
      </c>
      <c r="F813" s="384">
        <v>21</v>
      </c>
      <c r="G813" s="358">
        <v>28221511</v>
      </c>
      <c r="H813" s="359">
        <f t="shared" si="25"/>
        <v>27205951</v>
      </c>
      <c r="I813" s="360"/>
      <c r="J813" s="361"/>
      <c r="K813" s="362"/>
      <c r="L813" s="362"/>
      <c r="M813" s="361">
        <v>773760</v>
      </c>
      <c r="N813" s="361">
        <v>1692600</v>
      </c>
      <c r="O813" s="361">
        <v>145080</v>
      </c>
      <c r="P813" s="361">
        <v>290160</v>
      </c>
      <c r="Q813" s="361">
        <v>96720</v>
      </c>
      <c r="R813" s="361">
        <v>96720</v>
      </c>
      <c r="S813" s="361">
        <v>193440</v>
      </c>
      <c r="T813" s="386">
        <v>1030000</v>
      </c>
      <c r="U813" s="364">
        <f t="shared" si="26"/>
        <v>31524431</v>
      </c>
      <c r="V813" s="362"/>
      <c r="W813" s="365" t="str">
        <f>+VLOOKUP($B813,[2]Time_S4!$B:$G,6,0)</f>
        <v>Trung tâm Phát triển nền tảng thanh toán</v>
      </c>
      <c r="X813" s="365" t="str">
        <f>IF(W813="Phòng Kinh doanh","Trung tâm Kinh doanh - TCT CNC",+VLOOKUP($B813,[2]Time_S4!$B:$G,5,0))</f>
        <v>Khối 2 - TCT CNC</v>
      </c>
      <c r="Y813" s="366"/>
      <c r="Z813" s="366"/>
    </row>
    <row r="814" spans="1:26" ht="15.75" hidden="1">
      <c r="A814" s="367">
        <f>SUBTOTAL(3,$B$15:B814)</f>
        <v>2</v>
      </c>
      <c r="B814" s="382" t="s">
        <v>1954</v>
      </c>
      <c r="C814" s="383" t="s">
        <v>1955</v>
      </c>
      <c r="D814" s="384" t="s">
        <v>407</v>
      </c>
      <c r="E814" s="385">
        <v>21</v>
      </c>
      <c r="F814" s="384">
        <v>21</v>
      </c>
      <c r="G814" s="358">
        <v>18620892</v>
      </c>
      <c r="H814" s="359">
        <f t="shared" si="25"/>
        <v>17751156</v>
      </c>
      <c r="I814" s="360"/>
      <c r="J814" s="361"/>
      <c r="K814" s="362"/>
      <c r="L814" s="362"/>
      <c r="M814" s="361">
        <v>662656</v>
      </c>
      <c r="N814" s="361">
        <v>1449560</v>
      </c>
      <c r="O814" s="361">
        <v>124248</v>
      </c>
      <c r="P814" s="361">
        <v>248496</v>
      </c>
      <c r="Q814" s="361">
        <v>82832</v>
      </c>
      <c r="R814" s="361">
        <v>82832</v>
      </c>
      <c r="S814" s="361">
        <v>165664</v>
      </c>
      <c r="T814" s="386">
        <v>1047000</v>
      </c>
      <c r="U814" s="364">
        <f t="shared" si="26"/>
        <v>21614444</v>
      </c>
      <c r="V814" s="362"/>
      <c r="W814" s="365" t="str">
        <f>+VLOOKUP($B814,[2]Time_S4!$B:$G,6,0)</f>
        <v>Trung tâm Phát triển nền tảng thanh toán</v>
      </c>
      <c r="X814" s="365" t="str">
        <f>IF(W814="Phòng Kinh doanh","Trung tâm Kinh doanh - TCT CNC",+VLOOKUP($B814,[2]Time_S4!$B:$G,5,0))</f>
        <v>Khối 2 - TCT CNC</v>
      </c>
      <c r="Y814" s="366"/>
      <c r="Z814" s="366"/>
    </row>
    <row r="815" spans="1:26" ht="15.75" hidden="1">
      <c r="A815" s="367">
        <f>SUBTOTAL(3,$B$15:B815)</f>
        <v>2</v>
      </c>
      <c r="B815" s="382" t="s">
        <v>1956</v>
      </c>
      <c r="C815" s="383" t="s">
        <v>1957</v>
      </c>
      <c r="D815" s="384" t="s">
        <v>407</v>
      </c>
      <c r="E815" s="385">
        <v>21</v>
      </c>
      <c r="F815" s="384">
        <v>21</v>
      </c>
      <c r="G815" s="358">
        <v>44576202</v>
      </c>
      <c r="H815" s="359">
        <f t="shared" si="25"/>
        <v>43393986</v>
      </c>
      <c r="I815" s="360"/>
      <c r="J815" s="361"/>
      <c r="K815" s="362"/>
      <c r="L815" s="362"/>
      <c r="M815" s="361">
        <v>900736</v>
      </c>
      <c r="N815" s="361">
        <v>1970360</v>
      </c>
      <c r="O815" s="361">
        <v>168888</v>
      </c>
      <c r="P815" s="361">
        <v>337776</v>
      </c>
      <c r="Q815" s="361">
        <v>112592</v>
      </c>
      <c r="R815" s="361">
        <v>112592</v>
      </c>
      <c r="S815" s="361">
        <v>225184</v>
      </c>
      <c r="T815" s="386">
        <v>1030000</v>
      </c>
      <c r="U815" s="364">
        <f t="shared" si="26"/>
        <v>48252114</v>
      </c>
      <c r="V815" s="362"/>
      <c r="W815" s="365" t="str">
        <f>+VLOOKUP($B815,[2]Time_S4!$B:$G,6,0)</f>
        <v>Trung tâm Khí cụ bay</v>
      </c>
      <c r="X815" s="365" t="str">
        <f>IF(W815="Phòng Kinh doanh","Trung tâm Kinh doanh - TCT CNC",+VLOOKUP($B815,[2]Time_S4!$B:$G,5,0))</f>
        <v>Khối 1 - TCT CNC</v>
      </c>
      <c r="Y815" s="366"/>
      <c r="Z815" s="366"/>
    </row>
    <row r="816" spans="1:26" ht="15.75" hidden="1">
      <c r="A816" s="367">
        <f>SUBTOTAL(3,$B$15:B816)</f>
        <v>2</v>
      </c>
      <c r="B816" s="382" t="s">
        <v>1958</v>
      </c>
      <c r="C816" s="383" t="s">
        <v>1959</v>
      </c>
      <c r="D816" s="384" t="s">
        <v>407</v>
      </c>
      <c r="E816" s="385">
        <v>21</v>
      </c>
      <c r="F816" s="384">
        <v>21</v>
      </c>
      <c r="G816" s="358">
        <v>45415786</v>
      </c>
      <c r="H816" s="359">
        <f t="shared" si="25"/>
        <v>44233570</v>
      </c>
      <c r="I816" s="360"/>
      <c r="J816" s="361"/>
      <c r="K816" s="362"/>
      <c r="L816" s="362"/>
      <c r="M816" s="361">
        <v>900736</v>
      </c>
      <c r="N816" s="361">
        <v>1970360</v>
      </c>
      <c r="O816" s="361">
        <v>168888</v>
      </c>
      <c r="P816" s="361">
        <v>337776</v>
      </c>
      <c r="Q816" s="361">
        <v>112592</v>
      </c>
      <c r="R816" s="361">
        <v>112592</v>
      </c>
      <c r="S816" s="361">
        <v>225184</v>
      </c>
      <c r="T816" s="386">
        <v>1030000</v>
      </c>
      <c r="U816" s="364">
        <f t="shared" si="26"/>
        <v>49091698</v>
      </c>
      <c r="V816" s="362"/>
      <c r="W816" s="365" t="str">
        <f>+VLOOKUP($B816,[2]Time_S4!$B:$G,6,0)</f>
        <v>Trung tâm Camera</v>
      </c>
      <c r="X816" s="365" t="str">
        <f>IF(W816="Phòng Kinh doanh","Trung tâm Kinh doanh - TCT CNC",+VLOOKUP($B816,[2]Time_S4!$B:$G,5,0))</f>
        <v>Khối 3 - TCT CNC</v>
      </c>
      <c r="Y816" s="366"/>
      <c r="Z816" s="366"/>
    </row>
    <row r="817" spans="1:26" ht="15.75" hidden="1">
      <c r="A817" s="367">
        <f>SUBTOTAL(3,$B$15:B817)</f>
        <v>2</v>
      </c>
      <c r="B817" s="382" t="s">
        <v>1960</v>
      </c>
      <c r="C817" s="383" t="s">
        <v>1961</v>
      </c>
      <c r="D817" s="384" t="s">
        <v>407</v>
      </c>
      <c r="E817" s="385">
        <v>21</v>
      </c>
      <c r="F817" s="384">
        <v>21</v>
      </c>
      <c r="G817" s="358">
        <v>28601450</v>
      </c>
      <c r="H817" s="359">
        <f t="shared" si="25"/>
        <v>27585890</v>
      </c>
      <c r="I817" s="360"/>
      <c r="J817" s="361"/>
      <c r="K817" s="362"/>
      <c r="L817" s="362"/>
      <c r="M817" s="361">
        <v>773760</v>
      </c>
      <c r="N817" s="361">
        <v>1692600</v>
      </c>
      <c r="O817" s="361">
        <v>145080</v>
      </c>
      <c r="P817" s="361">
        <v>290160</v>
      </c>
      <c r="Q817" s="361">
        <v>96720</v>
      </c>
      <c r="R817" s="361">
        <v>96720</v>
      </c>
      <c r="S817" s="361">
        <v>193440</v>
      </c>
      <c r="T817" s="386">
        <v>1147000</v>
      </c>
      <c r="U817" s="364">
        <f t="shared" si="26"/>
        <v>32021370</v>
      </c>
      <c r="V817" s="362"/>
      <c r="W817" s="365" t="str">
        <f>+VLOOKUP($B817,[2]Time_S4!$B:$G,6,0)</f>
        <v>Phòng Quản lý sản xuất</v>
      </c>
      <c r="X817" s="365" t="str">
        <f>IF(W817="Phòng Kinh doanh","Trung tâm Kinh doanh - TCT CNC",+VLOOKUP($B817,[2]Time_S4!$B:$G,5,0))</f>
        <v>Khối 2 - TCT CNC</v>
      </c>
      <c r="Y817" s="366"/>
      <c r="Z817" s="366"/>
    </row>
    <row r="818" spans="1:26" ht="15.75" hidden="1">
      <c r="A818" s="367">
        <f>SUBTOTAL(3,$B$15:B818)</f>
        <v>2</v>
      </c>
      <c r="B818" s="382" t="s">
        <v>1962</v>
      </c>
      <c r="C818" s="383" t="s">
        <v>1963</v>
      </c>
      <c r="D818" s="384" t="s">
        <v>407</v>
      </c>
      <c r="E818" s="385">
        <v>21</v>
      </c>
      <c r="F818" s="384">
        <v>21</v>
      </c>
      <c r="G818" s="358">
        <v>20309536</v>
      </c>
      <c r="H818" s="359">
        <f t="shared" si="25"/>
        <v>19392928</v>
      </c>
      <c r="I818" s="360"/>
      <c r="J818" s="361"/>
      <c r="K818" s="362"/>
      <c r="L818" s="362"/>
      <c r="M818" s="361">
        <v>698368</v>
      </c>
      <c r="N818" s="361">
        <v>1527680</v>
      </c>
      <c r="O818" s="361">
        <v>130944</v>
      </c>
      <c r="P818" s="361">
        <v>261888</v>
      </c>
      <c r="Q818" s="361">
        <v>87296</v>
      </c>
      <c r="R818" s="361">
        <v>87296</v>
      </c>
      <c r="S818" s="361">
        <v>174592</v>
      </c>
      <c r="T818" s="386">
        <v>930000</v>
      </c>
      <c r="U818" s="364">
        <f t="shared" si="26"/>
        <v>23290992</v>
      </c>
      <c r="V818" s="362"/>
      <c r="W818" s="365" t="str">
        <f>+VLOOKUP($B818,[2]Time_S4!$B:$G,6,0)</f>
        <v>Phòng Công nghệ thông tin</v>
      </c>
      <c r="X818" s="365" t="str">
        <f>IF(W818="Phòng Kinh doanh","Trung tâm Kinh doanh - TCT CNC",+VLOOKUP($B818,[2]Time_S4!$B:$G,5,0))</f>
        <v>Khối cơ quan - TCT CNC</v>
      </c>
      <c r="Y818" s="366"/>
      <c r="Z818" s="366"/>
    </row>
    <row r="819" spans="1:26" ht="15.75" hidden="1">
      <c r="A819" s="367">
        <f>SUBTOTAL(3,$B$15:B819)</f>
        <v>2</v>
      </c>
      <c r="B819" s="382" t="s">
        <v>1964</v>
      </c>
      <c r="C819" s="383" t="s">
        <v>1965</v>
      </c>
      <c r="D819" s="384" t="s">
        <v>407</v>
      </c>
      <c r="E819" s="385">
        <v>21</v>
      </c>
      <c r="F819" s="384">
        <v>21</v>
      </c>
      <c r="G819" s="358">
        <v>32826640</v>
      </c>
      <c r="H819" s="359">
        <f t="shared" si="25"/>
        <v>31759000</v>
      </c>
      <c r="I819" s="360"/>
      <c r="J819" s="361"/>
      <c r="K819" s="362"/>
      <c r="L819" s="362"/>
      <c r="M819" s="361">
        <v>813440</v>
      </c>
      <c r="N819" s="361">
        <v>1779400</v>
      </c>
      <c r="O819" s="361">
        <v>152520</v>
      </c>
      <c r="P819" s="361">
        <v>305040</v>
      </c>
      <c r="Q819" s="361">
        <v>101680</v>
      </c>
      <c r="R819" s="361">
        <v>101680</v>
      </c>
      <c r="S819" s="361">
        <v>203360</v>
      </c>
      <c r="T819" s="386">
        <v>1030000</v>
      </c>
      <c r="U819" s="364">
        <f t="shared" si="26"/>
        <v>36246120</v>
      </c>
      <c r="V819" s="362"/>
      <c r="W819" s="365" t="str">
        <f>+VLOOKUP($B819,[2]Time_S4!$B:$G,6,0)</f>
        <v>Trung tâm Kỹ thuật công nghệ - TCT CNC</v>
      </c>
      <c r="X819" s="365" t="str">
        <f>IF(W819="Phòng Kinh doanh","Trung tâm Kinh doanh - TCT CNC",+VLOOKUP($B819,[2]Time_S4!$B:$G,5,0))</f>
        <v>Khối 2 - TCT CNC</v>
      </c>
      <c r="Y819" s="366"/>
      <c r="Z819" s="366"/>
    </row>
    <row r="820" spans="1:26" ht="15.75" hidden="1">
      <c r="A820" s="367">
        <f>SUBTOTAL(3,$B$15:B820)</f>
        <v>2</v>
      </c>
      <c r="B820" s="382" t="s">
        <v>1966</v>
      </c>
      <c r="C820" s="383" t="s">
        <v>1967</v>
      </c>
      <c r="D820" s="384" t="s">
        <v>407</v>
      </c>
      <c r="E820" s="385">
        <v>21</v>
      </c>
      <c r="F820" s="384">
        <v>21</v>
      </c>
      <c r="G820" s="358">
        <v>24021572</v>
      </c>
      <c r="H820" s="359">
        <f t="shared" si="25"/>
        <v>23058092</v>
      </c>
      <c r="I820" s="360"/>
      <c r="J820" s="361"/>
      <c r="K820" s="362"/>
      <c r="L820" s="362"/>
      <c r="M820" s="361">
        <v>734080</v>
      </c>
      <c r="N820" s="361">
        <v>1605800</v>
      </c>
      <c r="O820" s="361">
        <v>137640</v>
      </c>
      <c r="P820" s="361">
        <v>275280</v>
      </c>
      <c r="Q820" s="361">
        <v>91760</v>
      </c>
      <c r="R820" s="361">
        <v>91760</v>
      </c>
      <c r="S820" s="361">
        <v>183520</v>
      </c>
      <c r="T820" s="386">
        <v>930000</v>
      </c>
      <c r="U820" s="364">
        <f t="shared" si="26"/>
        <v>27107932</v>
      </c>
      <c r="V820" s="362"/>
      <c r="W820" s="365" t="str">
        <f>+VLOOKUP($B820,[2]Time_S4!$B:$G,6,0)</f>
        <v>Trung tâm Nghiên cứu thiết bị vô tuyến băng rộng</v>
      </c>
      <c r="X820" s="365" t="str">
        <f>IF(W820="Phòng Kinh doanh","Trung tâm Kinh doanh - TCT CNC",+VLOOKUP($B820,[2]Time_S4!$B:$G,5,0))</f>
        <v>Khối 2 - TCT CNC</v>
      </c>
      <c r="Y820" s="366"/>
      <c r="Z820" s="366"/>
    </row>
    <row r="821" spans="1:26" ht="15.75" hidden="1">
      <c r="A821" s="367">
        <f>SUBTOTAL(3,$B$15:B821)</f>
        <v>2</v>
      </c>
      <c r="B821" s="382" t="s">
        <v>1968</v>
      </c>
      <c r="C821" s="383" t="s">
        <v>1969</v>
      </c>
      <c r="D821" s="384" t="s">
        <v>407</v>
      </c>
      <c r="E821" s="385">
        <v>21</v>
      </c>
      <c r="F821" s="384">
        <v>21</v>
      </c>
      <c r="G821" s="358">
        <v>25464289</v>
      </c>
      <c r="H821" s="359">
        <f t="shared" si="25"/>
        <v>24547681</v>
      </c>
      <c r="I821" s="360"/>
      <c r="J821" s="361"/>
      <c r="K821" s="362"/>
      <c r="L821" s="362"/>
      <c r="M821" s="361">
        <v>698368</v>
      </c>
      <c r="N821" s="361">
        <v>1527680</v>
      </c>
      <c r="O821" s="361">
        <v>130944</v>
      </c>
      <c r="P821" s="361">
        <v>261888</v>
      </c>
      <c r="Q821" s="361">
        <v>87296</v>
      </c>
      <c r="R821" s="361">
        <v>87296</v>
      </c>
      <c r="S821" s="361">
        <v>174592</v>
      </c>
      <c r="T821" s="386">
        <v>1147000</v>
      </c>
      <c r="U821" s="364">
        <f t="shared" si="26"/>
        <v>28662745</v>
      </c>
      <c r="V821" s="362"/>
      <c r="W821" s="365" t="str">
        <f>+VLOOKUP($B821,[2]Time_S4!$B:$G,6,0)</f>
        <v>Trung tâm Phát triển nền tảng thanh toán</v>
      </c>
      <c r="X821" s="365" t="str">
        <f>IF(W821="Phòng Kinh doanh","Trung tâm Kinh doanh - TCT CNC",+VLOOKUP($B821,[2]Time_S4!$B:$G,5,0))</f>
        <v>Khối 2 - TCT CNC</v>
      </c>
      <c r="Y821" s="366"/>
      <c r="Z821" s="366"/>
    </row>
    <row r="822" spans="1:26" ht="15.75" hidden="1">
      <c r="A822" s="367">
        <f>SUBTOTAL(3,$B$15:B822)</f>
        <v>2</v>
      </c>
      <c r="B822" s="382" t="s">
        <v>1970</v>
      </c>
      <c r="C822" s="383" t="s">
        <v>1971</v>
      </c>
      <c r="D822" s="384" t="s">
        <v>407</v>
      </c>
      <c r="E822" s="385">
        <v>21</v>
      </c>
      <c r="F822" s="384">
        <v>21</v>
      </c>
      <c r="G822" s="358">
        <v>21857433</v>
      </c>
      <c r="H822" s="359">
        <f t="shared" si="25"/>
        <v>20940825</v>
      </c>
      <c r="I822" s="360"/>
      <c r="J822" s="361"/>
      <c r="K822" s="362"/>
      <c r="L822" s="362"/>
      <c r="M822" s="361">
        <v>698368</v>
      </c>
      <c r="N822" s="361">
        <v>1527680</v>
      </c>
      <c r="O822" s="361">
        <v>130944</v>
      </c>
      <c r="P822" s="361">
        <v>261888</v>
      </c>
      <c r="Q822" s="361">
        <v>87296</v>
      </c>
      <c r="R822" s="361">
        <v>87296</v>
      </c>
      <c r="S822" s="361">
        <v>174592</v>
      </c>
      <c r="T822" s="386">
        <v>1398000</v>
      </c>
      <c r="U822" s="364">
        <f t="shared" si="26"/>
        <v>25306889</v>
      </c>
      <c r="V822" s="362"/>
      <c r="W822" s="365" t="str">
        <f>+VLOOKUP($B822,[2]Time_S4!$B:$G,6,0)</f>
        <v>Trung tâm sản xuất</v>
      </c>
      <c r="X822" s="365" t="str">
        <f>IF(W822="Phòng Kinh doanh","Trung tâm Kinh doanh - TCT CNC",+VLOOKUP($B822,[2]Time_S4!$B:$G,5,0))</f>
        <v>Khối 1 - TCT CNC</v>
      </c>
      <c r="Y822" s="366"/>
      <c r="Z822" s="366"/>
    </row>
    <row r="823" spans="1:26" ht="15.75" hidden="1">
      <c r="A823" s="367">
        <f>SUBTOTAL(3,$B$15:B823)</f>
        <v>2</v>
      </c>
      <c r="B823" s="382" t="s">
        <v>1972</v>
      </c>
      <c r="C823" s="383" t="s">
        <v>1973</v>
      </c>
      <c r="D823" s="384" t="s">
        <v>407</v>
      </c>
      <c r="E823" s="385">
        <v>21</v>
      </c>
      <c r="F823" s="384">
        <v>21</v>
      </c>
      <c r="G823" s="358">
        <v>33475775</v>
      </c>
      <c r="H823" s="359">
        <f t="shared" si="25"/>
        <v>32350847</v>
      </c>
      <c r="I823" s="360"/>
      <c r="J823" s="361"/>
      <c r="K823" s="362"/>
      <c r="L823" s="362"/>
      <c r="M823" s="361">
        <v>857088</v>
      </c>
      <c r="N823" s="361">
        <v>1874880</v>
      </c>
      <c r="O823" s="361">
        <v>160704</v>
      </c>
      <c r="P823" s="361">
        <v>321408</v>
      </c>
      <c r="Q823" s="361">
        <v>107136</v>
      </c>
      <c r="R823" s="361">
        <v>107136</v>
      </c>
      <c r="S823" s="361">
        <v>214272</v>
      </c>
      <c r="T823" s="386">
        <v>1030000</v>
      </c>
      <c r="U823" s="364">
        <f t="shared" si="26"/>
        <v>37023471</v>
      </c>
      <c r="V823" s="362"/>
      <c r="W823" s="365" t="str">
        <f>+VLOOKUP($B823,[2]Time_S4!$B:$G,6,0)</f>
        <v>Trung tâm Kỹ thuật công nghệ - TCT CNC</v>
      </c>
      <c r="X823" s="365" t="str">
        <f>IF(W823="Phòng Kinh doanh","Trung tâm Kinh doanh - TCT CNC",+VLOOKUP($B823,[2]Time_S4!$B:$G,5,0))</f>
        <v>Khối 2 - TCT CNC</v>
      </c>
      <c r="Y823" s="366"/>
      <c r="Z823" s="366"/>
    </row>
    <row r="824" spans="1:26" ht="15.75" hidden="1">
      <c r="A824" s="367">
        <f>SUBTOTAL(3,$B$15:B824)</f>
        <v>2</v>
      </c>
      <c r="B824" s="382" t="s">
        <v>1974</v>
      </c>
      <c r="C824" s="383" t="s">
        <v>1975</v>
      </c>
      <c r="D824" s="384" t="s">
        <v>410</v>
      </c>
      <c r="E824" s="385">
        <v>21</v>
      </c>
      <c r="F824" s="384">
        <v>21</v>
      </c>
      <c r="G824" s="358">
        <v>40722084</v>
      </c>
      <c r="H824" s="359">
        <f t="shared" si="25"/>
        <v>39692484</v>
      </c>
      <c r="I824" s="360"/>
      <c r="J824" s="361"/>
      <c r="K824" s="362"/>
      <c r="L824" s="362"/>
      <c r="M824" s="361">
        <v>1029600</v>
      </c>
      <c r="N824" s="361">
        <v>2252250</v>
      </c>
      <c r="O824" s="361">
        <v>0</v>
      </c>
      <c r="P824" s="361">
        <v>0</v>
      </c>
      <c r="Q824" s="361">
        <v>0</v>
      </c>
      <c r="R824" s="361">
        <v>0</v>
      </c>
      <c r="S824" s="361">
        <v>257400</v>
      </c>
      <c r="T824" s="386">
        <v>1230000</v>
      </c>
      <c r="U824" s="364">
        <f t="shared" si="26"/>
        <v>44461734</v>
      </c>
      <c r="V824" s="362"/>
      <c r="W824" s="365" t="str">
        <f>+VLOOKUP($B824,[2]Time_S4!$B:$G,6,0)</f>
        <v>Trung tâm Nền tảng IOT</v>
      </c>
      <c r="X824" s="365" t="str">
        <f>IF(W824="Phòng Kinh doanh","Trung tâm Kinh doanh - TCT CNC",+VLOOKUP($B824,[2]Time_S4!$B:$G,5,0))</f>
        <v>Khối 3 - TCT CNC</v>
      </c>
      <c r="Y824" s="366"/>
      <c r="Z824" s="366"/>
    </row>
    <row r="825" spans="1:26" ht="15.75" hidden="1">
      <c r="A825" s="367">
        <f>SUBTOTAL(3,$B$15:B825)</f>
        <v>2</v>
      </c>
      <c r="B825" s="382" t="s">
        <v>1976</v>
      </c>
      <c r="C825" s="383" t="s">
        <v>1977</v>
      </c>
      <c r="D825" s="384" t="s">
        <v>407</v>
      </c>
      <c r="E825" s="385">
        <v>21</v>
      </c>
      <c r="F825" s="384">
        <v>21</v>
      </c>
      <c r="G825" s="358">
        <v>31324708</v>
      </c>
      <c r="H825" s="359">
        <f t="shared" si="25"/>
        <v>30361228</v>
      </c>
      <c r="I825" s="360"/>
      <c r="J825" s="361"/>
      <c r="K825" s="362"/>
      <c r="L825" s="362"/>
      <c r="M825" s="361">
        <v>734080</v>
      </c>
      <c r="N825" s="361">
        <v>1605800</v>
      </c>
      <c r="O825" s="361">
        <v>137640</v>
      </c>
      <c r="P825" s="361">
        <v>275280</v>
      </c>
      <c r="Q825" s="361">
        <v>91760</v>
      </c>
      <c r="R825" s="361">
        <v>91760</v>
      </c>
      <c r="S825" s="361">
        <v>183520</v>
      </c>
      <c r="T825" s="386">
        <v>930000</v>
      </c>
      <c r="U825" s="364">
        <f t="shared" si="26"/>
        <v>34411068</v>
      </c>
      <c r="V825" s="362"/>
      <c r="W825" s="365" t="str">
        <f>+VLOOKUP($B825,[2]Time_S4!$B:$G,6,0)</f>
        <v>Trung tâm Khí cụ bay</v>
      </c>
      <c r="X825" s="365" t="str">
        <f>IF(W825="Phòng Kinh doanh","Trung tâm Kinh doanh - TCT CNC",+VLOOKUP($B825,[2]Time_S4!$B:$G,5,0))</f>
        <v>Khối 1 - TCT CNC</v>
      </c>
      <c r="Y825" s="366"/>
      <c r="Z825" s="366"/>
    </row>
    <row r="826" spans="1:26" ht="15.75" hidden="1">
      <c r="A826" s="367">
        <f>SUBTOTAL(3,$B$15:B826)</f>
        <v>2</v>
      </c>
      <c r="B826" s="382" t="s">
        <v>1978</v>
      </c>
      <c r="C826" s="383" t="s">
        <v>1098</v>
      </c>
      <c r="D826" s="384" t="s">
        <v>407</v>
      </c>
      <c r="E826" s="385">
        <v>21</v>
      </c>
      <c r="F826" s="384">
        <v>21</v>
      </c>
      <c r="G826" s="358">
        <v>24021572</v>
      </c>
      <c r="H826" s="359">
        <f t="shared" si="25"/>
        <v>23058092</v>
      </c>
      <c r="I826" s="360"/>
      <c r="J826" s="361"/>
      <c r="K826" s="362"/>
      <c r="L826" s="362"/>
      <c r="M826" s="361">
        <v>734080</v>
      </c>
      <c r="N826" s="361">
        <v>1605800</v>
      </c>
      <c r="O826" s="361">
        <v>137640</v>
      </c>
      <c r="P826" s="361">
        <v>275280</v>
      </c>
      <c r="Q826" s="361">
        <v>91760</v>
      </c>
      <c r="R826" s="361">
        <v>91760</v>
      </c>
      <c r="S826" s="361">
        <v>183520</v>
      </c>
      <c r="T826" s="386">
        <v>930000</v>
      </c>
      <c r="U826" s="364">
        <f t="shared" si="26"/>
        <v>27107932</v>
      </c>
      <c r="V826" s="362"/>
      <c r="W826" s="365" t="str">
        <f>+VLOOKUP($B826,[2]Time_S4!$B:$G,6,0)</f>
        <v>Trung tâm Nghiên cứu thiết bị vô tuyến băng rộng</v>
      </c>
      <c r="X826" s="365" t="str">
        <f>IF(W826="Phòng Kinh doanh","Trung tâm Kinh doanh - TCT CNC",+VLOOKUP($B826,[2]Time_S4!$B:$G,5,0))</f>
        <v>Khối 2 - TCT CNC</v>
      </c>
      <c r="Y826" s="366"/>
      <c r="Z826" s="366"/>
    </row>
    <row r="827" spans="1:26" ht="15.75" hidden="1">
      <c r="A827" s="367">
        <f>SUBTOTAL(3,$B$15:B827)</f>
        <v>2</v>
      </c>
      <c r="B827" s="382" t="s">
        <v>1979</v>
      </c>
      <c r="C827" s="383" t="s">
        <v>1980</v>
      </c>
      <c r="D827" s="384" t="s">
        <v>407</v>
      </c>
      <c r="E827" s="385">
        <v>21</v>
      </c>
      <c r="F827" s="384">
        <v>21</v>
      </c>
      <c r="G827" s="358">
        <v>26960570</v>
      </c>
      <c r="H827" s="359">
        <f t="shared" si="25"/>
        <v>25945010</v>
      </c>
      <c r="I827" s="360"/>
      <c r="J827" s="361"/>
      <c r="K827" s="362"/>
      <c r="L827" s="362"/>
      <c r="M827" s="361">
        <v>773760</v>
      </c>
      <c r="N827" s="361">
        <v>1692600</v>
      </c>
      <c r="O827" s="361">
        <v>145080</v>
      </c>
      <c r="P827" s="361">
        <v>290160</v>
      </c>
      <c r="Q827" s="361">
        <v>96720</v>
      </c>
      <c r="R827" s="361">
        <v>96720</v>
      </c>
      <c r="S827" s="361">
        <v>193440</v>
      </c>
      <c r="T827" s="386">
        <v>1398000</v>
      </c>
      <c r="U827" s="364">
        <f t="shared" si="26"/>
        <v>30631490</v>
      </c>
      <c r="V827" s="362"/>
      <c r="W827" s="365" t="str">
        <f>+VLOOKUP($B827,[2]Time_S4!$B:$G,6,0)</f>
        <v>Trung tâm Kỹ thuật công nghệ - TCT CNC</v>
      </c>
      <c r="X827" s="365" t="str">
        <f>IF(W827="Phòng Kinh doanh","Trung tâm Kinh doanh - TCT CNC",+VLOOKUP($B827,[2]Time_S4!$B:$G,5,0))</f>
        <v>Khối 2 - TCT CNC</v>
      </c>
      <c r="Y827" s="366"/>
      <c r="Z827" s="366"/>
    </row>
    <row r="828" spans="1:26" ht="15.75" hidden="1">
      <c r="A828" s="367">
        <f>SUBTOTAL(3,$B$15:B828)</f>
        <v>2</v>
      </c>
      <c r="B828" s="382" t="s">
        <v>1981</v>
      </c>
      <c r="C828" s="383" t="s">
        <v>1982</v>
      </c>
      <c r="D828" s="384" t="s">
        <v>407</v>
      </c>
      <c r="E828" s="385">
        <v>21</v>
      </c>
      <c r="F828" s="384">
        <v>21</v>
      </c>
      <c r="G828" s="358">
        <v>46673008</v>
      </c>
      <c r="H828" s="359">
        <f t="shared" si="25"/>
        <v>45428296</v>
      </c>
      <c r="I828" s="360"/>
      <c r="J828" s="361"/>
      <c r="K828" s="362"/>
      <c r="L828" s="362"/>
      <c r="M828" s="361">
        <v>948352</v>
      </c>
      <c r="N828" s="361">
        <v>2074520</v>
      </c>
      <c r="O828" s="361">
        <v>177816</v>
      </c>
      <c r="P828" s="361">
        <v>355632</v>
      </c>
      <c r="Q828" s="361">
        <v>118544</v>
      </c>
      <c r="R828" s="361">
        <v>118544</v>
      </c>
      <c r="S828" s="361">
        <v>237088</v>
      </c>
      <c r="T828" s="386">
        <v>1230000</v>
      </c>
      <c r="U828" s="364">
        <f t="shared" si="26"/>
        <v>50688792</v>
      </c>
      <c r="V828" s="362"/>
      <c r="W828" s="365" t="str">
        <f>+VLOOKUP($B828,[2]Time_S4!$B:$G,6,0)</f>
        <v>Trung tâm Quang điện tử</v>
      </c>
      <c r="X828" s="365" t="str">
        <f>IF(W828="Phòng Kinh doanh","Trung tâm Kinh doanh - TCT CNC",+VLOOKUP($B828,[2]Time_S4!$B:$G,5,0))</f>
        <v>Khối 1 - TCT CNC</v>
      </c>
      <c r="Y828" s="366"/>
      <c r="Z828" s="366"/>
    </row>
    <row r="829" spans="1:26" ht="15.75" hidden="1">
      <c r="A829" s="367">
        <f>SUBTOTAL(3,$B$15:B829)</f>
        <v>2</v>
      </c>
      <c r="B829" s="382" t="s">
        <v>1983</v>
      </c>
      <c r="C829" s="383" t="s">
        <v>1984</v>
      </c>
      <c r="D829" s="384" t="s">
        <v>407</v>
      </c>
      <c r="E829" s="385">
        <v>21</v>
      </c>
      <c r="F829" s="384">
        <v>21</v>
      </c>
      <c r="G829" s="358">
        <v>28483778</v>
      </c>
      <c r="H829" s="359">
        <f t="shared" si="25"/>
        <v>27520298</v>
      </c>
      <c r="I829" s="360"/>
      <c r="J829" s="361"/>
      <c r="K829" s="362"/>
      <c r="L829" s="362"/>
      <c r="M829" s="361">
        <v>734080</v>
      </c>
      <c r="N829" s="361">
        <v>1605800</v>
      </c>
      <c r="O829" s="361">
        <v>137640</v>
      </c>
      <c r="P829" s="361">
        <v>275280</v>
      </c>
      <c r="Q829" s="361">
        <v>91760</v>
      </c>
      <c r="R829" s="361">
        <v>91760</v>
      </c>
      <c r="S829" s="361">
        <v>183520</v>
      </c>
      <c r="T829" s="386">
        <v>1030000</v>
      </c>
      <c r="U829" s="364">
        <f t="shared" si="26"/>
        <v>31670138</v>
      </c>
      <c r="V829" s="362"/>
      <c r="W829" s="365" t="str">
        <f>+VLOOKUP($B829,[2]Time_S4!$B:$G,6,0)</f>
        <v>Trung tâm Tác chiến điện tử</v>
      </c>
      <c r="X829" s="365" t="str">
        <f>IF(W829="Phòng Kinh doanh","Trung tâm Kinh doanh - TCT CNC",+VLOOKUP($B829,[2]Time_S4!$B:$G,5,0))</f>
        <v>Khối 1 - TCT CNC</v>
      </c>
      <c r="Y829" s="366"/>
      <c r="Z829" s="366"/>
    </row>
    <row r="830" spans="1:26" ht="15.75" hidden="1">
      <c r="A830" s="367">
        <f>SUBTOTAL(3,$B$15:B830)</f>
        <v>2</v>
      </c>
      <c r="B830" s="382" t="s">
        <v>1985</v>
      </c>
      <c r="C830" s="383" t="s">
        <v>1986</v>
      </c>
      <c r="D830" s="384" t="s">
        <v>407</v>
      </c>
      <c r="E830" s="385">
        <v>21</v>
      </c>
      <c r="F830" s="384">
        <v>21</v>
      </c>
      <c r="G830" s="358">
        <v>20958596</v>
      </c>
      <c r="H830" s="359">
        <f t="shared" si="25"/>
        <v>20041988</v>
      </c>
      <c r="I830" s="360"/>
      <c r="J830" s="361"/>
      <c r="K830" s="362"/>
      <c r="L830" s="362"/>
      <c r="M830" s="361">
        <v>698368</v>
      </c>
      <c r="N830" s="361">
        <v>1527680</v>
      </c>
      <c r="O830" s="361">
        <v>130944</v>
      </c>
      <c r="P830" s="361">
        <v>261888</v>
      </c>
      <c r="Q830" s="361">
        <v>87296</v>
      </c>
      <c r="R830" s="361">
        <v>87296</v>
      </c>
      <c r="S830" s="361">
        <v>174592</v>
      </c>
      <c r="T830" s="386">
        <v>1047000</v>
      </c>
      <c r="U830" s="364">
        <f t="shared" si="26"/>
        <v>24057052</v>
      </c>
      <c r="V830" s="362"/>
      <c r="W830" s="365" t="str">
        <f>+VLOOKUP($B830,[2]Time_S4!$B:$G,6,0)</f>
        <v>Trung tâm Nghiên cứu thiết bị vô tuyến băng rộng</v>
      </c>
      <c r="X830" s="365" t="str">
        <f>IF(W830="Phòng Kinh doanh","Trung tâm Kinh doanh - TCT CNC",+VLOOKUP($B830,[2]Time_S4!$B:$G,5,0))</f>
        <v>Khối 2 - TCT CNC</v>
      </c>
      <c r="Y830" s="366"/>
      <c r="Z830" s="366"/>
    </row>
    <row r="831" spans="1:26" ht="15.75" hidden="1">
      <c r="A831" s="367">
        <f>SUBTOTAL(3,$B$15:B831)</f>
        <v>2</v>
      </c>
      <c r="B831" s="382" t="s">
        <v>1987</v>
      </c>
      <c r="C831" s="383" t="s">
        <v>1988</v>
      </c>
      <c r="D831" s="384" t="s">
        <v>407</v>
      </c>
      <c r="E831" s="385">
        <v>21</v>
      </c>
      <c r="F831" s="384">
        <v>21</v>
      </c>
      <c r="G831" s="358">
        <v>20523762</v>
      </c>
      <c r="H831" s="359">
        <f t="shared" si="25"/>
        <v>19607154</v>
      </c>
      <c r="I831" s="360"/>
      <c r="J831" s="361"/>
      <c r="K831" s="362"/>
      <c r="L831" s="362"/>
      <c r="M831" s="361">
        <v>698368</v>
      </c>
      <c r="N831" s="361">
        <v>1527680</v>
      </c>
      <c r="O831" s="361">
        <v>130944</v>
      </c>
      <c r="P831" s="361">
        <v>261888</v>
      </c>
      <c r="Q831" s="361">
        <v>87296</v>
      </c>
      <c r="R831" s="361">
        <v>87296</v>
      </c>
      <c r="S831" s="361">
        <v>174592</v>
      </c>
      <c r="T831" s="386">
        <v>930000</v>
      </c>
      <c r="U831" s="364">
        <f t="shared" si="26"/>
        <v>23505218</v>
      </c>
      <c r="V831" s="362"/>
      <c r="W831" s="365" t="str">
        <f>+VLOOKUP($B831,[2]Time_S4!$B:$G,6,0)</f>
        <v>Trung tâm Camera</v>
      </c>
      <c r="X831" s="365" t="str">
        <f>IF(W831="Phòng Kinh doanh","Trung tâm Kinh doanh - TCT CNC",+VLOOKUP($B831,[2]Time_S4!$B:$G,5,0))</f>
        <v>Khối 3 - TCT CNC</v>
      </c>
      <c r="Y831" s="366"/>
      <c r="Z831" s="366"/>
    </row>
    <row r="832" spans="1:26" ht="15.75" hidden="1">
      <c r="A832" s="367">
        <f>SUBTOTAL(3,$B$15:B832)</f>
        <v>2</v>
      </c>
      <c r="B832" s="382" t="s">
        <v>1989</v>
      </c>
      <c r="C832" s="383" t="s">
        <v>1990</v>
      </c>
      <c r="D832" s="384" t="s">
        <v>407</v>
      </c>
      <c r="E832" s="385">
        <v>21</v>
      </c>
      <c r="F832" s="384">
        <v>21</v>
      </c>
      <c r="G832" s="358">
        <v>27425486</v>
      </c>
      <c r="H832" s="359">
        <f t="shared" si="25"/>
        <v>26409926</v>
      </c>
      <c r="I832" s="360"/>
      <c r="J832" s="361"/>
      <c r="K832" s="362"/>
      <c r="L832" s="362"/>
      <c r="M832" s="361">
        <v>773760</v>
      </c>
      <c r="N832" s="361">
        <v>1692600</v>
      </c>
      <c r="O832" s="361">
        <v>145080</v>
      </c>
      <c r="P832" s="361">
        <v>290160</v>
      </c>
      <c r="Q832" s="361">
        <v>96720</v>
      </c>
      <c r="R832" s="361">
        <v>96720</v>
      </c>
      <c r="S832" s="361">
        <v>193440</v>
      </c>
      <c r="T832" s="386">
        <v>1030000</v>
      </c>
      <c r="U832" s="364">
        <f t="shared" si="26"/>
        <v>30728406</v>
      </c>
      <c r="V832" s="362"/>
      <c r="W832" s="365" t="str">
        <f>+VLOOKUP($B832,[2]Time_S4!$B:$G,6,0)</f>
        <v>Trung tâm Nghiên cứu công nghệ Đa phương tiện</v>
      </c>
      <c r="X832" s="365" t="str">
        <f>IF(W832="Phòng Kinh doanh","Trung tâm Kinh doanh - TCT CNC",+VLOOKUP($B832,[2]Time_S4!$B:$G,5,0))</f>
        <v>Khối 2 - TCT CNC</v>
      </c>
      <c r="Y832" s="366"/>
      <c r="Z832" s="366"/>
    </row>
    <row r="833" spans="1:26" ht="15.75" hidden="1">
      <c r="A833" s="367">
        <f>SUBTOTAL(3,$B$15:B833)</f>
        <v>2</v>
      </c>
      <c r="B833" s="382" t="s">
        <v>352</v>
      </c>
      <c r="C833" s="383" t="s">
        <v>353</v>
      </c>
      <c r="D833" s="384" t="s">
        <v>407</v>
      </c>
      <c r="E833" s="385">
        <v>21</v>
      </c>
      <c r="F833" s="384">
        <v>21</v>
      </c>
      <c r="G833" s="358">
        <v>25316044</v>
      </c>
      <c r="H833" s="359">
        <f t="shared" si="25"/>
        <v>24300484</v>
      </c>
      <c r="I833" s="360"/>
      <c r="J833" s="361"/>
      <c r="K833" s="362"/>
      <c r="L833" s="362"/>
      <c r="M833" s="361">
        <v>773760</v>
      </c>
      <c r="N833" s="361">
        <v>1692600</v>
      </c>
      <c r="O833" s="361">
        <v>145080</v>
      </c>
      <c r="P833" s="361">
        <v>290160</v>
      </c>
      <c r="Q833" s="361">
        <v>96720</v>
      </c>
      <c r="R833" s="361">
        <v>96720</v>
      </c>
      <c r="S833" s="361">
        <v>193440</v>
      </c>
      <c r="T833" s="386">
        <v>930000</v>
      </c>
      <c r="U833" s="364">
        <f t="shared" si="26"/>
        <v>28518964</v>
      </c>
      <c r="V833" s="362"/>
      <c r="W833" s="365" t="str">
        <f>+VLOOKUP($B833,[2]Time_S4!$B:$G,6,0)</f>
        <v>Trung tâm Mô hình mô phỏng</v>
      </c>
      <c r="X833" s="365" t="str">
        <f>IF(W833="Phòng Kinh doanh","Trung tâm Kinh doanh - TCT CNC",+VLOOKUP($B833,[2]Time_S4!$B:$G,5,0))</f>
        <v>Khối 1 - TCT CNC</v>
      </c>
      <c r="Y833" s="366"/>
      <c r="Z833" s="366"/>
    </row>
    <row r="834" spans="1:26" ht="15.75" hidden="1">
      <c r="A834" s="367">
        <f>SUBTOTAL(3,$B$15:B834)</f>
        <v>2</v>
      </c>
      <c r="B834" s="382" t="s">
        <v>1991</v>
      </c>
      <c r="C834" s="383" t="s">
        <v>1992</v>
      </c>
      <c r="D834" s="384" t="s">
        <v>407</v>
      </c>
      <c r="E834" s="385">
        <v>21</v>
      </c>
      <c r="F834" s="384">
        <v>21</v>
      </c>
      <c r="G834" s="358">
        <v>26324708</v>
      </c>
      <c r="H834" s="359">
        <f t="shared" si="25"/>
        <v>25309148</v>
      </c>
      <c r="I834" s="360"/>
      <c r="J834" s="361"/>
      <c r="K834" s="362"/>
      <c r="L834" s="362"/>
      <c r="M834" s="361">
        <v>773760</v>
      </c>
      <c r="N834" s="361">
        <v>1692600</v>
      </c>
      <c r="O834" s="361">
        <v>145080</v>
      </c>
      <c r="P834" s="361">
        <v>290160</v>
      </c>
      <c r="Q834" s="361">
        <v>96720</v>
      </c>
      <c r="R834" s="361">
        <v>96720</v>
      </c>
      <c r="S834" s="361">
        <v>193440</v>
      </c>
      <c r="T834" s="386">
        <v>930000</v>
      </c>
      <c r="U834" s="364">
        <f t="shared" si="26"/>
        <v>29527628</v>
      </c>
      <c r="V834" s="362"/>
      <c r="W834" s="365" t="str">
        <f>+VLOOKUP($B834,[2]Time_S4!$B:$G,6,0)</f>
        <v>Trung tâm Nghiên cứu thiết bị vô tuyến băng rộng</v>
      </c>
      <c r="X834" s="365" t="str">
        <f>IF(W834="Phòng Kinh doanh","Trung tâm Kinh doanh - TCT CNC",+VLOOKUP($B834,[2]Time_S4!$B:$G,5,0))</f>
        <v>Khối 2 - TCT CNC</v>
      </c>
      <c r="Y834" s="366"/>
      <c r="Z834" s="366"/>
    </row>
    <row r="835" spans="1:26" ht="15.75" hidden="1">
      <c r="A835" s="367">
        <f>SUBTOTAL(3,$B$15:B835)</f>
        <v>2</v>
      </c>
      <c r="B835" s="382" t="s">
        <v>1993</v>
      </c>
      <c r="C835" s="383" t="s">
        <v>1969</v>
      </c>
      <c r="D835" s="384" t="s">
        <v>407</v>
      </c>
      <c r="E835" s="385">
        <v>21</v>
      </c>
      <c r="F835" s="384">
        <v>21</v>
      </c>
      <c r="G835" s="358">
        <v>14050229</v>
      </c>
      <c r="H835" s="359">
        <f t="shared" si="25"/>
        <v>13263821</v>
      </c>
      <c r="I835" s="360"/>
      <c r="J835" s="361"/>
      <c r="K835" s="362"/>
      <c r="L835" s="362"/>
      <c r="M835" s="361">
        <v>599168</v>
      </c>
      <c r="N835" s="361">
        <v>1310680</v>
      </c>
      <c r="O835" s="361">
        <v>112344</v>
      </c>
      <c r="P835" s="361">
        <v>224688</v>
      </c>
      <c r="Q835" s="361">
        <v>74896</v>
      </c>
      <c r="R835" s="361">
        <v>74896</v>
      </c>
      <c r="S835" s="361">
        <v>149792</v>
      </c>
      <c r="T835" s="386">
        <v>1047000</v>
      </c>
      <c r="U835" s="364">
        <f t="shared" si="26"/>
        <v>16857285</v>
      </c>
      <c r="V835" s="362"/>
      <c r="W835" s="365" t="str">
        <f>+VLOOKUP($B835,[2]Time_S4!$B:$G,6,0)</f>
        <v>Trung tâm Nghiên cứu thiết bị vô tuyến băng rộng</v>
      </c>
      <c r="X835" s="365" t="str">
        <f>IF(W835="Phòng Kinh doanh","Trung tâm Kinh doanh - TCT CNC",+VLOOKUP($B835,[2]Time_S4!$B:$G,5,0))</f>
        <v>Khối 2 - TCT CNC</v>
      </c>
      <c r="Y835" s="366"/>
      <c r="Z835" s="366"/>
    </row>
    <row r="836" spans="1:26" ht="15.75" hidden="1">
      <c r="A836" s="367">
        <f>SUBTOTAL(3,$B$15:B836)</f>
        <v>2</v>
      </c>
      <c r="B836" s="382" t="s">
        <v>1994</v>
      </c>
      <c r="C836" s="383" t="s">
        <v>1995</v>
      </c>
      <c r="D836" s="384" t="s">
        <v>407</v>
      </c>
      <c r="E836" s="385">
        <v>21</v>
      </c>
      <c r="F836" s="384">
        <v>21</v>
      </c>
      <c r="G836" s="358">
        <v>18233699</v>
      </c>
      <c r="H836" s="359">
        <f t="shared" si="25"/>
        <v>17363963</v>
      </c>
      <c r="I836" s="360"/>
      <c r="J836" s="361"/>
      <c r="K836" s="362"/>
      <c r="L836" s="362"/>
      <c r="M836" s="361">
        <v>662656</v>
      </c>
      <c r="N836" s="361">
        <v>1449560</v>
      </c>
      <c r="O836" s="361">
        <v>124248</v>
      </c>
      <c r="P836" s="361">
        <v>248496</v>
      </c>
      <c r="Q836" s="361">
        <v>82832</v>
      </c>
      <c r="R836" s="361">
        <v>82832</v>
      </c>
      <c r="S836" s="361">
        <v>165664</v>
      </c>
      <c r="T836" s="386">
        <v>930000</v>
      </c>
      <c r="U836" s="364">
        <f t="shared" si="26"/>
        <v>21110251</v>
      </c>
      <c r="V836" s="362"/>
      <c r="W836" s="365" t="str">
        <f>+VLOOKUP($B836,[2]Time_S4!$B:$G,6,0)</f>
        <v>Trung tâm Nghiên cứu thiết bị vô tuyến băng rộng</v>
      </c>
      <c r="X836" s="365" t="str">
        <f>IF(W836="Phòng Kinh doanh","Trung tâm Kinh doanh - TCT CNC",+VLOOKUP($B836,[2]Time_S4!$B:$G,5,0))</f>
        <v>Khối 2 - TCT CNC</v>
      </c>
      <c r="Y836" s="366"/>
      <c r="Z836" s="366"/>
    </row>
    <row r="837" spans="1:26" ht="15.75" hidden="1">
      <c r="A837" s="367">
        <f>SUBTOTAL(3,$B$15:B837)</f>
        <v>2</v>
      </c>
      <c r="B837" s="382" t="s">
        <v>1996</v>
      </c>
      <c r="C837" s="383" t="s">
        <v>1997</v>
      </c>
      <c r="D837" s="384" t="s">
        <v>407</v>
      </c>
      <c r="E837" s="385">
        <v>21</v>
      </c>
      <c r="F837" s="384">
        <v>21</v>
      </c>
      <c r="G837" s="358">
        <v>18510950</v>
      </c>
      <c r="H837" s="359">
        <f t="shared" si="25"/>
        <v>17594342</v>
      </c>
      <c r="I837" s="360"/>
      <c r="J837" s="361"/>
      <c r="K837" s="362"/>
      <c r="L837" s="362"/>
      <c r="M837" s="361">
        <v>698368</v>
      </c>
      <c r="N837" s="361">
        <v>1527680</v>
      </c>
      <c r="O837" s="361">
        <v>130944</v>
      </c>
      <c r="P837" s="361">
        <v>261888</v>
      </c>
      <c r="Q837" s="361">
        <v>87296</v>
      </c>
      <c r="R837" s="361">
        <v>87296</v>
      </c>
      <c r="S837" s="361">
        <v>174592</v>
      </c>
      <c r="T837" s="386">
        <v>1047000</v>
      </c>
      <c r="U837" s="364">
        <f t="shared" si="26"/>
        <v>21609406</v>
      </c>
      <c r="V837" s="362"/>
      <c r="W837" s="365" t="str">
        <f>+VLOOKUP($B837,[2]Time_S4!$B:$G,6,0)</f>
        <v>Trung tâm Kỹ thuật công nghệ - TCT CNC</v>
      </c>
      <c r="X837" s="365" t="str">
        <f>IF(W837="Phòng Kinh doanh","Trung tâm Kinh doanh - TCT CNC",+VLOOKUP($B837,[2]Time_S4!$B:$G,5,0))</f>
        <v>Khối 2 - TCT CNC</v>
      </c>
      <c r="Y837" s="366"/>
      <c r="Z837" s="366"/>
    </row>
    <row r="838" spans="1:26" ht="15.75" hidden="1">
      <c r="A838" s="367">
        <f>SUBTOTAL(3,$B$15:B838)</f>
        <v>2</v>
      </c>
      <c r="B838" s="382" t="s">
        <v>1998</v>
      </c>
      <c r="C838" s="383" t="s">
        <v>1999</v>
      </c>
      <c r="D838" s="384" t="s">
        <v>407</v>
      </c>
      <c r="E838" s="385">
        <v>21</v>
      </c>
      <c r="F838" s="384">
        <v>21</v>
      </c>
      <c r="G838" s="358">
        <v>25582231</v>
      </c>
      <c r="H838" s="359">
        <f t="shared" si="25"/>
        <v>24566671</v>
      </c>
      <c r="I838" s="360"/>
      <c r="J838" s="361"/>
      <c r="K838" s="362"/>
      <c r="L838" s="362"/>
      <c r="M838" s="361">
        <v>773760</v>
      </c>
      <c r="N838" s="361">
        <v>1692600</v>
      </c>
      <c r="O838" s="361">
        <v>145080</v>
      </c>
      <c r="P838" s="361">
        <v>290160</v>
      </c>
      <c r="Q838" s="361">
        <v>96720</v>
      </c>
      <c r="R838" s="361">
        <v>96720</v>
      </c>
      <c r="S838" s="361">
        <v>193440</v>
      </c>
      <c r="T838" s="386">
        <v>930000</v>
      </c>
      <c r="U838" s="364">
        <f t="shared" si="26"/>
        <v>28785151</v>
      </c>
      <c r="V838" s="362"/>
      <c r="W838" s="365" t="str">
        <f>+VLOOKUP($B838,[2]Time_S4!$B:$G,6,0)</f>
        <v>Trung tâm Nghiên cứu công nghệ Đa phương tiện</v>
      </c>
      <c r="X838" s="365" t="str">
        <f>IF(W838="Phòng Kinh doanh","Trung tâm Kinh doanh - TCT CNC",+VLOOKUP($B838,[2]Time_S4!$B:$G,5,0))</f>
        <v>Khối 2 - TCT CNC</v>
      </c>
      <c r="Y838" s="366"/>
      <c r="Z838" s="366"/>
    </row>
    <row r="839" spans="1:26" ht="15.75" hidden="1">
      <c r="A839" s="367">
        <f>SUBTOTAL(3,$B$15:B839)</f>
        <v>2</v>
      </c>
      <c r="B839" s="382" t="s">
        <v>2000</v>
      </c>
      <c r="C839" s="383" t="s">
        <v>2001</v>
      </c>
      <c r="D839" s="384" t="s">
        <v>407</v>
      </c>
      <c r="E839" s="385">
        <v>21</v>
      </c>
      <c r="F839" s="384">
        <v>21</v>
      </c>
      <c r="G839" s="358">
        <v>21857433</v>
      </c>
      <c r="H839" s="359">
        <f t="shared" si="25"/>
        <v>20940825</v>
      </c>
      <c r="I839" s="360"/>
      <c r="J839" s="361"/>
      <c r="K839" s="362"/>
      <c r="L839" s="362"/>
      <c r="M839" s="361">
        <v>698368</v>
      </c>
      <c r="N839" s="361">
        <v>1527680</v>
      </c>
      <c r="O839" s="361">
        <v>130944</v>
      </c>
      <c r="P839" s="361">
        <v>261888</v>
      </c>
      <c r="Q839" s="361">
        <v>87296</v>
      </c>
      <c r="R839" s="361">
        <v>87296</v>
      </c>
      <c r="S839" s="361">
        <v>174592</v>
      </c>
      <c r="T839" s="386">
        <v>930000</v>
      </c>
      <c r="U839" s="364">
        <f t="shared" si="26"/>
        <v>24838889</v>
      </c>
      <c r="V839" s="362"/>
      <c r="W839" s="365" t="str">
        <f>+VLOOKUP($B839,[2]Time_S4!$B:$G,6,0)</f>
        <v>Trung tâm Kỹ thuật công nghệ - TCT CNC</v>
      </c>
      <c r="X839" s="365" t="str">
        <f>IF(W839="Phòng Kinh doanh","Trung tâm Kinh doanh - TCT CNC",+VLOOKUP($B839,[2]Time_S4!$B:$G,5,0))</f>
        <v>Khối 2 - TCT CNC</v>
      </c>
      <c r="Y839" s="366"/>
      <c r="Z839" s="366"/>
    </row>
    <row r="840" spans="1:26" ht="15.75" hidden="1">
      <c r="A840" s="367">
        <f>SUBTOTAL(3,$B$15:B840)</f>
        <v>2</v>
      </c>
      <c r="B840" s="382" t="s">
        <v>2002</v>
      </c>
      <c r="C840" s="383" t="s">
        <v>2003</v>
      </c>
      <c r="D840" s="384" t="s">
        <v>407</v>
      </c>
      <c r="E840" s="385">
        <v>21</v>
      </c>
      <c r="F840" s="384">
        <v>21</v>
      </c>
      <c r="G840" s="358">
        <v>26324708</v>
      </c>
      <c r="H840" s="359">
        <f t="shared" si="25"/>
        <v>25309148</v>
      </c>
      <c r="I840" s="360"/>
      <c r="J840" s="361"/>
      <c r="K840" s="362"/>
      <c r="L840" s="362"/>
      <c r="M840" s="361">
        <v>773760</v>
      </c>
      <c r="N840" s="361">
        <v>1692600</v>
      </c>
      <c r="O840" s="361">
        <v>145080</v>
      </c>
      <c r="P840" s="361">
        <v>290160</v>
      </c>
      <c r="Q840" s="361">
        <v>96720</v>
      </c>
      <c r="R840" s="361">
        <v>96720</v>
      </c>
      <c r="S840" s="361">
        <v>193440</v>
      </c>
      <c r="T840" s="386">
        <v>930000</v>
      </c>
      <c r="U840" s="364">
        <f t="shared" si="26"/>
        <v>29527628</v>
      </c>
      <c r="V840" s="362"/>
      <c r="W840" s="365" t="str">
        <f>+VLOOKUP($B840,[2]Time_S4!$B:$G,6,0)</f>
        <v>Trung tâm Nghiên cứu thiết bị vô tuyến băng rộng</v>
      </c>
      <c r="X840" s="365" t="str">
        <f>IF(W840="Phòng Kinh doanh","Trung tâm Kinh doanh - TCT CNC",+VLOOKUP($B840,[2]Time_S4!$B:$G,5,0))</f>
        <v>Khối 2 - TCT CNC</v>
      </c>
      <c r="Y840" s="366"/>
      <c r="Z840" s="366"/>
    </row>
    <row r="841" spans="1:26" ht="15.75" hidden="1">
      <c r="A841" s="367">
        <f>SUBTOTAL(3,$B$15:B841)</f>
        <v>2</v>
      </c>
      <c r="B841" s="382" t="s">
        <v>2004</v>
      </c>
      <c r="C841" s="383" t="s">
        <v>2005</v>
      </c>
      <c r="D841" s="384" t="s">
        <v>407</v>
      </c>
      <c r="E841" s="385">
        <v>21</v>
      </c>
      <c r="F841" s="384">
        <v>21</v>
      </c>
      <c r="G841" s="358">
        <v>20250665</v>
      </c>
      <c r="H841" s="359">
        <f t="shared" si="25"/>
        <v>19334057</v>
      </c>
      <c r="I841" s="360"/>
      <c r="J841" s="361"/>
      <c r="K841" s="362"/>
      <c r="L841" s="362"/>
      <c r="M841" s="361">
        <v>698368</v>
      </c>
      <c r="N841" s="361">
        <v>1527680</v>
      </c>
      <c r="O841" s="361">
        <v>130944</v>
      </c>
      <c r="P841" s="361">
        <v>261888</v>
      </c>
      <c r="Q841" s="361">
        <v>87296</v>
      </c>
      <c r="R841" s="361">
        <v>87296</v>
      </c>
      <c r="S841" s="361">
        <v>174592</v>
      </c>
      <c r="T841" s="386">
        <v>930000</v>
      </c>
      <c r="U841" s="364">
        <f t="shared" si="26"/>
        <v>23232121</v>
      </c>
      <c r="V841" s="362"/>
      <c r="W841" s="365" t="str">
        <f>+VLOOKUP($B841,[2]Time_S4!$B:$G,6,0)</f>
        <v>Trung tâm Tác chiến điện tử</v>
      </c>
      <c r="X841" s="365" t="str">
        <f>IF(W841="Phòng Kinh doanh","Trung tâm Kinh doanh - TCT CNC",+VLOOKUP($B841,[2]Time_S4!$B:$G,5,0))</f>
        <v>Khối 1 - TCT CNC</v>
      </c>
      <c r="Y841" s="366"/>
      <c r="Z841" s="366"/>
    </row>
    <row r="842" spans="1:26" ht="15.75" hidden="1">
      <c r="A842" s="367">
        <f>SUBTOTAL(3,$B$15:B842)</f>
        <v>2</v>
      </c>
      <c r="B842" s="382" t="s">
        <v>2006</v>
      </c>
      <c r="C842" s="383" t="s">
        <v>2007</v>
      </c>
      <c r="D842" s="384" t="s">
        <v>407</v>
      </c>
      <c r="E842" s="385">
        <v>21</v>
      </c>
      <c r="F842" s="384">
        <v>21</v>
      </c>
      <c r="G842" s="358">
        <v>18620892</v>
      </c>
      <c r="H842" s="359">
        <f t="shared" si="25"/>
        <v>17751156</v>
      </c>
      <c r="I842" s="360"/>
      <c r="J842" s="361"/>
      <c r="K842" s="362"/>
      <c r="L842" s="362"/>
      <c r="M842" s="361">
        <v>662656</v>
      </c>
      <c r="N842" s="361">
        <v>1449560</v>
      </c>
      <c r="O842" s="361">
        <v>124248</v>
      </c>
      <c r="P842" s="361">
        <v>248496</v>
      </c>
      <c r="Q842" s="361">
        <v>82832</v>
      </c>
      <c r="R842" s="361">
        <v>82832</v>
      </c>
      <c r="S842" s="361">
        <v>165664</v>
      </c>
      <c r="T842" s="386">
        <v>930000</v>
      </c>
      <c r="U842" s="364">
        <f t="shared" si="26"/>
        <v>21497444</v>
      </c>
      <c r="V842" s="362"/>
      <c r="W842" s="365" t="str">
        <f>+VLOOKUP($B842,[2]Time_S4!$B:$G,6,0)</f>
        <v>Trung tâm Thông tin Quân sự</v>
      </c>
      <c r="X842" s="365" t="str">
        <f>IF(W842="Phòng Kinh doanh","Trung tâm Kinh doanh - TCT CNC",+VLOOKUP($B842,[2]Time_S4!$B:$G,5,0))</f>
        <v>Khối 1 - TCT CNC</v>
      </c>
      <c r="Y842" s="366"/>
      <c r="Z842" s="366"/>
    </row>
    <row r="843" spans="1:26" ht="15.75" hidden="1">
      <c r="A843" s="367">
        <f>SUBTOTAL(3,$B$15:B843)</f>
        <v>2</v>
      </c>
      <c r="B843" s="382" t="s">
        <v>2008</v>
      </c>
      <c r="C843" s="383" t="s">
        <v>2009</v>
      </c>
      <c r="D843" s="384" t="s">
        <v>407</v>
      </c>
      <c r="E843" s="385">
        <v>21</v>
      </c>
      <c r="F843" s="384">
        <v>21</v>
      </c>
      <c r="G843" s="358">
        <v>33015589</v>
      </c>
      <c r="H843" s="359">
        <f t="shared" si="25"/>
        <v>31947949</v>
      </c>
      <c r="I843" s="360"/>
      <c r="J843" s="361"/>
      <c r="K843" s="362"/>
      <c r="L843" s="362"/>
      <c r="M843" s="361">
        <v>813440</v>
      </c>
      <c r="N843" s="361">
        <v>1779400</v>
      </c>
      <c r="O843" s="361">
        <v>152520</v>
      </c>
      <c r="P843" s="361">
        <v>305040</v>
      </c>
      <c r="Q843" s="361">
        <v>101680</v>
      </c>
      <c r="R843" s="361">
        <v>101680</v>
      </c>
      <c r="S843" s="361">
        <v>203360</v>
      </c>
      <c r="T843" s="386">
        <v>1030000</v>
      </c>
      <c r="U843" s="364">
        <f t="shared" si="26"/>
        <v>36435069</v>
      </c>
      <c r="V843" s="362"/>
      <c r="W843" s="365" t="str">
        <f>+VLOOKUP($B843,[2]Time_S4!$B:$G,6,0)</f>
        <v>Trung tâm Nghiên cứu thiết bị vô tuyến băng rộng</v>
      </c>
      <c r="X843" s="365" t="str">
        <f>IF(W843="Phòng Kinh doanh","Trung tâm Kinh doanh - TCT CNC",+VLOOKUP($B843,[2]Time_S4!$B:$G,5,0))</f>
        <v>Khối 2 - TCT CNC</v>
      </c>
      <c r="Y843" s="366"/>
      <c r="Z843" s="366"/>
    </row>
    <row r="844" spans="1:26" ht="15.75" hidden="1">
      <c r="A844" s="367">
        <f>SUBTOTAL(3,$B$15:B844)</f>
        <v>2</v>
      </c>
      <c r="B844" s="382" t="s">
        <v>2010</v>
      </c>
      <c r="C844" s="383" t="s">
        <v>2011</v>
      </c>
      <c r="D844" s="384" t="s">
        <v>407</v>
      </c>
      <c r="E844" s="385">
        <v>21</v>
      </c>
      <c r="F844" s="384">
        <v>21</v>
      </c>
      <c r="G844" s="358">
        <v>27060820</v>
      </c>
      <c r="H844" s="359">
        <f t="shared" si="25"/>
        <v>26045260</v>
      </c>
      <c r="I844" s="360"/>
      <c r="J844" s="361"/>
      <c r="K844" s="362"/>
      <c r="L844" s="362"/>
      <c r="M844" s="361">
        <v>773760</v>
      </c>
      <c r="N844" s="361">
        <v>1692600</v>
      </c>
      <c r="O844" s="361">
        <v>145080</v>
      </c>
      <c r="P844" s="361">
        <v>290160</v>
      </c>
      <c r="Q844" s="361">
        <v>96720</v>
      </c>
      <c r="R844" s="361">
        <v>96720</v>
      </c>
      <c r="S844" s="361">
        <v>193440</v>
      </c>
      <c r="T844" s="386">
        <v>1030000</v>
      </c>
      <c r="U844" s="364">
        <f t="shared" si="26"/>
        <v>30363740</v>
      </c>
      <c r="V844" s="362"/>
      <c r="W844" s="365" t="str">
        <f>+VLOOKUP($B844,[2]Time_S4!$B:$G,6,0)</f>
        <v>Trung tâm Phát triển nền tảng thanh toán</v>
      </c>
      <c r="X844" s="365" t="str">
        <f>IF(W844="Phòng Kinh doanh","Trung tâm Kinh doanh - TCT CNC",+VLOOKUP($B844,[2]Time_S4!$B:$G,5,0))</f>
        <v>Khối 2 - TCT CNC</v>
      </c>
      <c r="Y844" s="366"/>
      <c r="Z844" s="366"/>
    </row>
    <row r="845" spans="1:26" ht="15.75" hidden="1">
      <c r="A845" s="367">
        <f>SUBTOTAL(3,$B$15:B845)</f>
        <v>2</v>
      </c>
      <c r="B845" s="382" t="s">
        <v>2012</v>
      </c>
      <c r="C845" s="383" t="s">
        <v>2013</v>
      </c>
      <c r="D845" s="384" t="s">
        <v>407</v>
      </c>
      <c r="E845" s="385">
        <v>21</v>
      </c>
      <c r="F845" s="384">
        <v>21</v>
      </c>
      <c r="G845" s="358">
        <v>18620892</v>
      </c>
      <c r="H845" s="359">
        <f t="shared" si="25"/>
        <v>17751156</v>
      </c>
      <c r="I845" s="360"/>
      <c r="J845" s="361"/>
      <c r="K845" s="362"/>
      <c r="L845" s="362"/>
      <c r="M845" s="361">
        <v>662656</v>
      </c>
      <c r="N845" s="361">
        <v>1449560</v>
      </c>
      <c r="O845" s="361">
        <v>124248</v>
      </c>
      <c r="P845" s="361">
        <v>248496</v>
      </c>
      <c r="Q845" s="361">
        <v>82832</v>
      </c>
      <c r="R845" s="361">
        <v>82832</v>
      </c>
      <c r="S845" s="361">
        <v>165664</v>
      </c>
      <c r="T845" s="386">
        <v>930000</v>
      </c>
      <c r="U845" s="364">
        <f t="shared" si="26"/>
        <v>21497444</v>
      </c>
      <c r="V845" s="362"/>
      <c r="W845" s="365" t="str">
        <f>+VLOOKUP($B845,[2]Time_S4!$B:$G,6,0)</f>
        <v>Trung tâm Đảm bảo chất lượng</v>
      </c>
      <c r="X845" s="365" t="str">
        <f>IF(W845="Phòng Kinh doanh","Trung tâm Kinh doanh - TCT CNC",+VLOOKUP($B845,[2]Time_S4!$B:$G,5,0))</f>
        <v>Khối 1 - TCT CNC</v>
      </c>
      <c r="Y845" s="366"/>
      <c r="Z845" s="366"/>
    </row>
    <row r="846" spans="1:26" ht="15.75" hidden="1">
      <c r="A846" s="367">
        <f>SUBTOTAL(3,$B$15:B846)</f>
        <v>2</v>
      </c>
      <c r="B846" s="382" t="s">
        <v>2014</v>
      </c>
      <c r="C846" s="383" t="s">
        <v>2015</v>
      </c>
      <c r="D846" s="384" t="s">
        <v>407</v>
      </c>
      <c r="E846" s="385">
        <v>21</v>
      </c>
      <c r="F846" s="384">
        <v>21</v>
      </c>
      <c r="G846" s="358">
        <v>30242346</v>
      </c>
      <c r="H846" s="359">
        <f t="shared" si="25"/>
        <v>29226786</v>
      </c>
      <c r="I846" s="360"/>
      <c r="J846" s="361"/>
      <c r="K846" s="362"/>
      <c r="L846" s="362"/>
      <c r="M846" s="361">
        <v>773760</v>
      </c>
      <c r="N846" s="361">
        <v>1692600</v>
      </c>
      <c r="O846" s="361">
        <v>145080</v>
      </c>
      <c r="P846" s="361">
        <v>290160</v>
      </c>
      <c r="Q846" s="361">
        <v>96720</v>
      </c>
      <c r="R846" s="361">
        <v>96720</v>
      </c>
      <c r="S846" s="361">
        <v>193440</v>
      </c>
      <c r="T846" s="386">
        <v>930000</v>
      </c>
      <c r="U846" s="364">
        <f t="shared" si="26"/>
        <v>33445266</v>
      </c>
      <c r="V846" s="362"/>
      <c r="W846" s="365" t="str">
        <f>+VLOOKUP($B846,[2]Time_S4!$B:$G,6,0)</f>
        <v>Trung tâm Phát triển nền tảng thanh toán</v>
      </c>
      <c r="X846" s="365" t="str">
        <f>IF(W846="Phòng Kinh doanh","Trung tâm Kinh doanh - TCT CNC",+VLOOKUP($B846,[2]Time_S4!$B:$G,5,0))</f>
        <v>Khối 2 - TCT CNC</v>
      </c>
      <c r="Y846" s="366"/>
      <c r="Z846" s="366"/>
    </row>
    <row r="847" spans="1:26" ht="15.75" hidden="1">
      <c r="A847" s="367">
        <f>SUBTOTAL(3,$B$15:B847)</f>
        <v>2</v>
      </c>
      <c r="B847" s="382" t="s">
        <v>2016</v>
      </c>
      <c r="C847" s="383" t="s">
        <v>2017</v>
      </c>
      <c r="D847" s="384" t="s">
        <v>407</v>
      </c>
      <c r="E847" s="385">
        <v>21</v>
      </c>
      <c r="F847" s="384">
        <v>21</v>
      </c>
      <c r="G847" s="358">
        <v>20817659</v>
      </c>
      <c r="H847" s="359">
        <f t="shared" si="25"/>
        <v>19901051</v>
      </c>
      <c r="I847" s="360"/>
      <c r="J847" s="361"/>
      <c r="K847" s="362"/>
      <c r="L847" s="362"/>
      <c r="M847" s="361">
        <v>698368</v>
      </c>
      <c r="N847" s="361">
        <v>1527680</v>
      </c>
      <c r="O847" s="361">
        <v>130944</v>
      </c>
      <c r="P847" s="361">
        <v>261888</v>
      </c>
      <c r="Q847" s="361">
        <v>87296</v>
      </c>
      <c r="R847" s="361">
        <v>87296</v>
      </c>
      <c r="S847" s="361">
        <v>174592</v>
      </c>
      <c r="T847" s="386">
        <v>1147000</v>
      </c>
      <c r="U847" s="364">
        <f t="shared" si="26"/>
        <v>24016115</v>
      </c>
      <c r="V847" s="362"/>
      <c r="W847" s="365" t="str">
        <f>+VLOOKUP($B847,[2]Time_S4!$B:$G,6,0)</f>
        <v>Phòng Nhân sự</v>
      </c>
      <c r="X847" s="365" t="str">
        <f>IF(W847="Phòng Kinh doanh","Trung tâm Kinh doanh - TCT CNC",+VLOOKUP($B847,[2]Time_S4!$B:$G,5,0))</f>
        <v>Khối cơ quan - TCT CNC</v>
      </c>
      <c r="Y847" s="366"/>
      <c r="Z847" s="366"/>
    </row>
    <row r="848" spans="1:26" ht="15.75" hidden="1">
      <c r="A848" s="367">
        <f>SUBTOTAL(3,$B$15:B848)</f>
        <v>2</v>
      </c>
      <c r="B848" s="382" t="s">
        <v>2018</v>
      </c>
      <c r="C848" s="383" t="s">
        <v>2019</v>
      </c>
      <c r="D848" s="384" t="s">
        <v>407</v>
      </c>
      <c r="E848" s="385">
        <v>21</v>
      </c>
      <c r="F848" s="384">
        <v>21</v>
      </c>
      <c r="G848" s="358">
        <v>32671121</v>
      </c>
      <c r="H848" s="359">
        <f t="shared" ref="H848:H911" si="27">+G848-SUM(M848,O848,Q848)</f>
        <v>31603481</v>
      </c>
      <c r="I848" s="360"/>
      <c r="J848" s="361"/>
      <c r="K848" s="362"/>
      <c r="L848" s="362"/>
      <c r="M848" s="361">
        <v>813440</v>
      </c>
      <c r="N848" s="361">
        <v>1779400</v>
      </c>
      <c r="O848" s="361">
        <v>152520</v>
      </c>
      <c r="P848" s="361">
        <v>305040</v>
      </c>
      <c r="Q848" s="361">
        <v>101680</v>
      </c>
      <c r="R848" s="361">
        <v>101680</v>
      </c>
      <c r="S848" s="361">
        <v>203360</v>
      </c>
      <c r="T848" s="386">
        <v>1147000</v>
      </c>
      <c r="U848" s="364">
        <f t="shared" ref="U848:U911" si="28">+SUM(H848:T848)</f>
        <v>36207601</v>
      </c>
      <c r="V848" s="362"/>
      <c r="W848" s="365" t="str">
        <f>+VLOOKUP($B848,[2]Time_S4!$B:$G,6,0)</f>
        <v>Văn phòng</v>
      </c>
      <c r="X848" s="365" t="str">
        <f>IF(W848="Phòng Kinh doanh","Trung tâm Kinh doanh - TCT CNC",+VLOOKUP($B848,[2]Time_S4!$B:$G,5,0))</f>
        <v>Khối cơ quan - TCT CNC</v>
      </c>
      <c r="Y848" s="366"/>
      <c r="Z848" s="366"/>
    </row>
    <row r="849" spans="1:26" ht="15.75" hidden="1">
      <c r="A849" s="367">
        <f>SUBTOTAL(3,$B$15:B849)</f>
        <v>2</v>
      </c>
      <c r="B849" s="382" t="s">
        <v>2020</v>
      </c>
      <c r="C849" s="383" t="s">
        <v>2021</v>
      </c>
      <c r="D849" s="384" t="s">
        <v>407</v>
      </c>
      <c r="E849" s="385">
        <v>21</v>
      </c>
      <c r="F849" s="384">
        <v>21</v>
      </c>
      <c r="G849" s="358">
        <v>18816714</v>
      </c>
      <c r="H849" s="359">
        <f t="shared" si="27"/>
        <v>17946978</v>
      </c>
      <c r="I849" s="360"/>
      <c r="J849" s="361"/>
      <c r="K849" s="362"/>
      <c r="L849" s="362"/>
      <c r="M849" s="361">
        <v>662656</v>
      </c>
      <c r="N849" s="361">
        <v>1449560</v>
      </c>
      <c r="O849" s="361">
        <v>124248</v>
      </c>
      <c r="P849" s="361">
        <v>248496</v>
      </c>
      <c r="Q849" s="361">
        <v>82832</v>
      </c>
      <c r="R849" s="361">
        <v>82832</v>
      </c>
      <c r="S849" s="361">
        <v>165664</v>
      </c>
      <c r="T849" s="386">
        <v>1047000</v>
      </c>
      <c r="U849" s="364">
        <f t="shared" si="28"/>
        <v>21810266</v>
      </c>
      <c r="V849" s="362"/>
      <c r="W849" s="365" t="str">
        <f>+VLOOKUP($B849,[2]Time_S4!$B:$G,6,0)</f>
        <v>Trung tâm Phát triển nền tảng thanh toán</v>
      </c>
      <c r="X849" s="365" t="str">
        <f>IF(W849="Phòng Kinh doanh","Trung tâm Kinh doanh - TCT CNC",+VLOOKUP($B849,[2]Time_S4!$B:$G,5,0))</f>
        <v>Khối 2 - TCT CNC</v>
      </c>
      <c r="Y849" s="366"/>
      <c r="Z849" s="366"/>
    </row>
    <row r="850" spans="1:26" ht="15.75" hidden="1">
      <c r="A850" s="367">
        <f>SUBTOTAL(3,$B$15:B850)</f>
        <v>2</v>
      </c>
      <c r="B850" s="382" t="s">
        <v>2022</v>
      </c>
      <c r="C850" s="383" t="s">
        <v>2023</v>
      </c>
      <c r="D850" s="384" t="s">
        <v>407</v>
      </c>
      <c r="E850" s="385">
        <v>21</v>
      </c>
      <c r="F850" s="384">
        <v>21</v>
      </c>
      <c r="G850" s="358">
        <v>31992864</v>
      </c>
      <c r="H850" s="359">
        <f t="shared" si="27"/>
        <v>30925224</v>
      </c>
      <c r="I850" s="360"/>
      <c r="J850" s="361"/>
      <c r="K850" s="362"/>
      <c r="L850" s="362"/>
      <c r="M850" s="361">
        <v>813440</v>
      </c>
      <c r="N850" s="361">
        <v>1779400</v>
      </c>
      <c r="O850" s="361">
        <v>152520</v>
      </c>
      <c r="P850" s="361">
        <v>305040</v>
      </c>
      <c r="Q850" s="361">
        <v>101680</v>
      </c>
      <c r="R850" s="361">
        <v>101680</v>
      </c>
      <c r="S850" s="361">
        <v>203360</v>
      </c>
      <c r="T850" s="386">
        <v>1030000</v>
      </c>
      <c r="U850" s="364">
        <f t="shared" si="28"/>
        <v>35412344</v>
      </c>
      <c r="V850" s="362"/>
      <c r="W850" s="365" t="str">
        <f>+VLOOKUP($B850,[2]Time_S4!$B:$G,6,0)</f>
        <v>Phòng Kiểu dáng và đồ họa</v>
      </c>
      <c r="X850" s="365" t="str">
        <f>IF(W850="Phòng Kinh doanh","Trung tâm Kinh doanh - TCT CNC",+VLOOKUP($B850,[2]Time_S4!$B:$G,5,0))</f>
        <v>Khối 1 - TCT CNC</v>
      </c>
      <c r="Y850" s="366"/>
      <c r="Z850" s="366"/>
    </row>
    <row r="851" spans="1:26" ht="15.75" hidden="1">
      <c r="A851" s="367">
        <f>SUBTOTAL(3,$B$15:B851)</f>
        <v>2</v>
      </c>
      <c r="B851" s="382" t="s">
        <v>2024</v>
      </c>
      <c r="C851" s="383" t="s">
        <v>2025</v>
      </c>
      <c r="D851" s="384" t="s">
        <v>407</v>
      </c>
      <c r="E851" s="385">
        <v>21</v>
      </c>
      <c r="F851" s="384">
        <v>21</v>
      </c>
      <c r="G851" s="358">
        <v>36794009</v>
      </c>
      <c r="H851" s="359">
        <f t="shared" si="27"/>
        <v>35669081</v>
      </c>
      <c r="I851" s="360"/>
      <c r="J851" s="361"/>
      <c r="K851" s="362"/>
      <c r="L851" s="362"/>
      <c r="M851" s="361">
        <v>857088</v>
      </c>
      <c r="N851" s="361">
        <v>1874880</v>
      </c>
      <c r="O851" s="361">
        <v>160704</v>
      </c>
      <c r="P851" s="361">
        <v>321408</v>
      </c>
      <c r="Q851" s="361">
        <v>107136</v>
      </c>
      <c r="R851" s="361">
        <v>107136</v>
      </c>
      <c r="S851" s="361">
        <v>214272</v>
      </c>
      <c r="T851" s="386">
        <v>1030000</v>
      </c>
      <c r="U851" s="364">
        <f t="shared" si="28"/>
        <v>40341705</v>
      </c>
      <c r="V851" s="362"/>
      <c r="W851" s="365" t="str">
        <f>+VLOOKUP($B851,[2]Time_S4!$B:$G,6,0)</f>
        <v>Trung tâm Khí cụ bay</v>
      </c>
      <c r="X851" s="365" t="str">
        <f>IF(W851="Phòng Kinh doanh","Trung tâm Kinh doanh - TCT CNC",+VLOOKUP($B851,[2]Time_S4!$B:$G,5,0))</f>
        <v>Khối 1 - TCT CNC</v>
      </c>
      <c r="Y851" s="366"/>
      <c r="Z851" s="366"/>
    </row>
    <row r="852" spans="1:26" ht="15.75" hidden="1">
      <c r="A852" s="367">
        <f>SUBTOTAL(3,$B$15:B852)</f>
        <v>2</v>
      </c>
      <c r="B852" s="382" t="s">
        <v>2026</v>
      </c>
      <c r="C852" s="383" t="s">
        <v>2027</v>
      </c>
      <c r="D852" s="384" t="s">
        <v>407</v>
      </c>
      <c r="E852" s="385">
        <v>21</v>
      </c>
      <c r="F852" s="384">
        <v>21</v>
      </c>
      <c r="G852" s="358">
        <v>29324708</v>
      </c>
      <c r="H852" s="359">
        <f t="shared" si="27"/>
        <v>28309148</v>
      </c>
      <c r="I852" s="360"/>
      <c r="J852" s="361"/>
      <c r="K852" s="362"/>
      <c r="L852" s="362"/>
      <c r="M852" s="361">
        <v>773760</v>
      </c>
      <c r="N852" s="361">
        <v>1692600</v>
      </c>
      <c r="O852" s="361">
        <v>145080</v>
      </c>
      <c r="P852" s="361">
        <v>290160</v>
      </c>
      <c r="Q852" s="361">
        <v>96720</v>
      </c>
      <c r="R852" s="361">
        <v>96720</v>
      </c>
      <c r="S852" s="361">
        <v>193440</v>
      </c>
      <c r="T852" s="386">
        <v>930000</v>
      </c>
      <c r="U852" s="364">
        <f t="shared" si="28"/>
        <v>32527628</v>
      </c>
      <c r="V852" s="362"/>
      <c r="W852" s="365" t="str">
        <f>+VLOOKUP($B852,[2]Time_S4!$B:$G,6,0)</f>
        <v>Trung tâm Nghiên cứu Công nghệ truyền dẫn</v>
      </c>
      <c r="X852" s="365" t="str">
        <f>IF(W852="Phòng Kinh doanh","Trung tâm Kinh doanh - TCT CNC",+VLOOKUP($B852,[2]Time_S4!$B:$G,5,0))</f>
        <v>Khối 2 - TCT CNC</v>
      </c>
      <c r="Y852" s="366"/>
      <c r="Z852" s="366"/>
    </row>
    <row r="853" spans="1:26" ht="15.75" hidden="1">
      <c r="A853" s="367">
        <f>SUBTOTAL(3,$B$15:B853)</f>
        <v>2</v>
      </c>
      <c r="B853" s="382" t="s">
        <v>2028</v>
      </c>
      <c r="C853" s="383" t="s">
        <v>2029</v>
      </c>
      <c r="D853" s="384" t="s">
        <v>407</v>
      </c>
      <c r="E853" s="385">
        <v>21</v>
      </c>
      <c r="F853" s="384">
        <v>21</v>
      </c>
      <c r="G853" s="358">
        <v>25678495</v>
      </c>
      <c r="H853" s="359">
        <f t="shared" si="27"/>
        <v>24662935</v>
      </c>
      <c r="I853" s="360"/>
      <c r="J853" s="361"/>
      <c r="K853" s="362"/>
      <c r="L853" s="362"/>
      <c r="M853" s="361">
        <v>773760</v>
      </c>
      <c r="N853" s="361">
        <v>1692600</v>
      </c>
      <c r="O853" s="361">
        <v>145080</v>
      </c>
      <c r="P853" s="361">
        <v>290160</v>
      </c>
      <c r="Q853" s="361">
        <v>96720</v>
      </c>
      <c r="R853" s="361">
        <v>96720</v>
      </c>
      <c r="S853" s="361">
        <v>193440</v>
      </c>
      <c r="T853" s="386">
        <v>1030000</v>
      </c>
      <c r="U853" s="364">
        <f t="shared" si="28"/>
        <v>28981415</v>
      </c>
      <c r="V853" s="362"/>
      <c r="W853" s="365" t="str">
        <f>+VLOOKUP($B853,[2]Time_S4!$B:$G,6,0)</f>
        <v>Trung tâm Đảm bảo chất lượng</v>
      </c>
      <c r="X853" s="365" t="str">
        <f>IF(W853="Phòng Kinh doanh","Trung tâm Kinh doanh - TCT CNC",+VLOOKUP($B853,[2]Time_S4!$B:$G,5,0))</f>
        <v>Khối 1 - TCT CNC</v>
      </c>
      <c r="Y853" s="366"/>
      <c r="Z853" s="366"/>
    </row>
    <row r="854" spans="1:26" ht="15.75" hidden="1">
      <c r="A854" s="367">
        <f>SUBTOTAL(3,$B$15:B854)</f>
        <v>2</v>
      </c>
      <c r="B854" s="382" t="s">
        <v>2030</v>
      </c>
      <c r="C854" s="383" t="s">
        <v>2031</v>
      </c>
      <c r="D854" s="384" t="s">
        <v>407</v>
      </c>
      <c r="E854" s="385">
        <v>21</v>
      </c>
      <c r="F854" s="384">
        <v>21</v>
      </c>
      <c r="G854" s="358">
        <v>24256060</v>
      </c>
      <c r="H854" s="359">
        <f t="shared" si="27"/>
        <v>23292580</v>
      </c>
      <c r="I854" s="360"/>
      <c r="J854" s="361"/>
      <c r="K854" s="362"/>
      <c r="L854" s="362"/>
      <c r="M854" s="361">
        <v>734080</v>
      </c>
      <c r="N854" s="361">
        <v>1605800</v>
      </c>
      <c r="O854" s="361">
        <v>137640</v>
      </c>
      <c r="P854" s="361">
        <v>275280</v>
      </c>
      <c r="Q854" s="361">
        <v>91760</v>
      </c>
      <c r="R854" s="361">
        <v>91760</v>
      </c>
      <c r="S854" s="361">
        <v>183520</v>
      </c>
      <c r="T854" s="386">
        <v>930000</v>
      </c>
      <c r="U854" s="364">
        <f t="shared" si="28"/>
        <v>27342420</v>
      </c>
      <c r="V854" s="362"/>
      <c r="W854" s="365" t="str">
        <f>+VLOOKUP($B854,[2]Time_S4!$B:$G,6,0)</f>
        <v>Trung tâm Khí cụ bay</v>
      </c>
      <c r="X854" s="365" t="str">
        <f>IF(W854="Phòng Kinh doanh","Trung tâm Kinh doanh - TCT CNC",+VLOOKUP($B854,[2]Time_S4!$B:$G,5,0))</f>
        <v>Khối 1 - TCT CNC</v>
      </c>
      <c r="Y854" s="366"/>
      <c r="Z854" s="366"/>
    </row>
    <row r="855" spans="1:26" ht="15.75" hidden="1">
      <c r="A855" s="367">
        <f>SUBTOTAL(3,$B$15:B855)</f>
        <v>2</v>
      </c>
      <c r="B855" s="382" t="s">
        <v>2032</v>
      </c>
      <c r="C855" s="383" t="s">
        <v>2033</v>
      </c>
      <c r="D855" s="384" t="s">
        <v>407</v>
      </c>
      <c r="E855" s="385">
        <v>21</v>
      </c>
      <c r="F855" s="384">
        <v>21</v>
      </c>
      <c r="G855" s="358">
        <v>15096096</v>
      </c>
      <c r="H855" s="359">
        <f t="shared" si="27"/>
        <v>14309688</v>
      </c>
      <c r="I855" s="360"/>
      <c r="J855" s="361"/>
      <c r="K855" s="362"/>
      <c r="L855" s="362"/>
      <c r="M855" s="361">
        <v>599168</v>
      </c>
      <c r="N855" s="361">
        <v>1310680</v>
      </c>
      <c r="O855" s="361">
        <v>112344</v>
      </c>
      <c r="P855" s="361">
        <v>224688</v>
      </c>
      <c r="Q855" s="361">
        <v>74896</v>
      </c>
      <c r="R855" s="361">
        <v>74896</v>
      </c>
      <c r="S855" s="361">
        <v>149792</v>
      </c>
      <c r="T855" s="386">
        <v>1047000</v>
      </c>
      <c r="U855" s="364">
        <f t="shared" si="28"/>
        <v>17903152</v>
      </c>
      <c r="V855" s="362"/>
      <c r="W855" s="365" t="str">
        <f>+VLOOKUP($B855,[2]Time_S4!$B:$G,6,0)</f>
        <v>Trung tâm Phát triển nền tảng thanh toán</v>
      </c>
      <c r="X855" s="365" t="str">
        <f>IF(W855="Phòng Kinh doanh","Trung tâm Kinh doanh - TCT CNC",+VLOOKUP($B855,[2]Time_S4!$B:$G,5,0))</f>
        <v>Khối 2 - TCT CNC</v>
      </c>
      <c r="Y855" s="366"/>
      <c r="Z855" s="366"/>
    </row>
    <row r="856" spans="1:26" ht="15.75" hidden="1">
      <c r="A856" s="367">
        <f>SUBTOTAL(3,$B$15:B856)</f>
        <v>2</v>
      </c>
      <c r="B856" s="382" t="s">
        <v>2034</v>
      </c>
      <c r="C856" s="383" t="s">
        <v>1483</v>
      </c>
      <c r="D856" s="384" t="s">
        <v>407</v>
      </c>
      <c r="E856" s="385">
        <v>21</v>
      </c>
      <c r="F856" s="384">
        <v>21</v>
      </c>
      <c r="G856" s="358">
        <v>38031611</v>
      </c>
      <c r="H856" s="359">
        <f t="shared" si="27"/>
        <v>36906683</v>
      </c>
      <c r="I856" s="360"/>
      <c r="J856" s="361"/>
      <c r="K856" s="362"/>
      <c r="L856" s="362"/>
      <c r="M856" s="361">
        <v>857088</v>
      </c>
      <c r="N856" s="361">
        <v>1874880</v>
      </c>
      <c r="O856" s="361">
        <v>160704</v>
      </c>
      <c r="P856" s="361">
        <v>321408</v>
      </c>
      <c r="Q856" s="361">
        <v>107136</v>
      </c>
      <c r="R856" s="361">
        <v>107136</v>
      </c>
      <c r="S856" s="361">
        <v>214272</v>
      </c>
      <c r="T856" s="386">
        <v>1030000</v>
      </c>
      <c r="U856" s="364">
        <f t="shared" si="28"/>
        <v>41579307</v>
      </c>
      <c r="V856" s="362"/>
      <c r="W856" s="365" t="str">
        <f>+VLOOKUP($B856,[2]Time_S4!$B:$G,6,0)</f>
        <v>Trung tâm Camera</v>
      </c>
      <c r="X856" s="365" t="str">
        <f>IF(W856="Phòng Kinh doanh","Trung tâm Kinh doanh - TCT CNC",+VLOOKUP($B856,[2]Time_S4!$B:$G,5,0))</f>
        <v>Khối 3 - TCT CNC</v>
      </c>
      <c r="Y856" s="366"/>
      <c r="Z856" s="366"/>
    </row>
    <row r="857" spans="1:26" ht="15.75" hidden="1">
      <c r="A857" s="367">
        <f>SUBTOTAL(3,$B$15:B857)</f>
        <v>2</v>
      </c>
      <c r="B857" s="382" t="s">
        <v>2035</v>
      </c>
      <c r="C857" s="383" t="s">
        <v>2036</v>
      </c>
      <c r="D857" s="384" t="s">
        <v>407</v>
      </c>
      <c r="E857" s="385">
        <v>21</v>
      </c>
      <c r="F857" s="384">
        <v>21</v>
      </c>
      <c r="G857" s="358">
        <v>20464289</v>
      </c>
      <c r="H857" s="359">
        <f t="shared" si="27"/>
        <v>19547681</v>
      </c>
      <c r="I857" s="360"/>
      <c r="J857" s="361"/>
      <c r="K857" s="362"/>
      <c r="L857" s="362"/>
      <c r="M857" s="361">
        <v>698368</v>
      </c>
      <c r="N857" s="361">
        <v>1527680</v>
      </c>
      <c r="O857" s="361">
        <v>130944</v>
      </c>
      <c r="P857" s="361">
        <v>261888</v>
      </c>
      <c r="Q857" s="361">
        <v>87296</v>
      </c>
      <c r="R857" s="361">
        <v>87296</v>
      </c>
      <c r="S857" s="361">
        <v>174592</v>
      </c>
      <c r="T857" s="386">
        <v>930000</v>
      </c>
      <c r="U857" s="364">
        <f t="shared" si="28"/>
        <v>23445745</v>
      </c>
      <c r="V857" s="362"/>
      <c r="W857" s="365" t="str">
        <f>+VLOOKUP($B857,[2]Time_S4!$B:$G,6,0)</f>
        <v>Trung tâm Nghiên cứu Công nghệ chuyển mạch</v>
      </c>
      <c r="X857" s="365" t="str">
        <f>IF(W857="Phòng Kinh doanh","Trung tâm Kinh doanh - TCT CNC",+VLOOKUP($B857,[2]Time_S4!$B:$G,5,0))</f>
        <v>Khối 2 - TCT CNC</v>
      </c>
      <c r="Y857" s="366"/>
      <c r="Z857" s="366"/>
    </row>
    <row r="858" spans="1:26" ht="15.75" hidden="1">
      <c r="A858" s="367">
        <f>SUBTOTAL(3,$B$15:B858)</f>
        <v>2</v>
      </c>
      <c r="B858" s="382" t="s">
        <v>2037</v>
      </c>
      <c r="C858" s="383" t="s">
        <v>2038</v>
      </c>
      <c r="D858" s="384" t="s">
        <v>407</v>
      </c>
      <c r="E858" s="385">
        <v>21</v>
      </c>
      <c r="F858" s="384">
        <v>21</v>
      </c>
      <c r="G858" s="358">
        <v>26778659</v>
      </c>
      <c r="H858" s="359">
        <f t="shared" si="27"/>
        <v>25763099</v>
      </c>
      <c r="I858" s="360"/>
      <c r="J858" s="361"/>
      <c r="K858" s="362"/>
      <c r="L858" s="362"/>
      <c r="M858" s="361">
        <v>773760</v>
      </c>
      <c r="N858" s="361">
        <v>1692600</v>
      </c>
      <c r="O858" s="361">
        <v>145080</v>
      </c>
      <c r="P858" s="361">
        <v>290160</v>
      </c>
      <c r="Q858" s="361">
        <v>96720</v>
      </c>
      <c r="R858" s="361">
        <v>96720</v>
      </c>
      <c r="S858" s="361">
        <v>193440</v>
      </c>
      <c r="T858" s="386">
        <v>1030000</v>
      </c>
      <c r="U858" s="364">
        <f t="shared" si="28"/>
        <v>30081579</v>
      </c>
      <c r="V858" s="362"/>
      <c r="W858" s="365" t="str">
        <f>+VLOOKUP($B858,[2]Time_S4!$B:$G,6,0)</f>
        <v>Trung tâm Rada</v>
      </c>
      <c r="X858" s="365" t="str">
        <f>IF(W858="Phòng Kinh doanh","Trung tâm Kinh doanh - TCT CNC",+VLOOKUP($B858,[2]Time_S4!$B:$G,5,0))</f>
        <v>Khối 1 - TCT CNC</v>
      </c>
      <c r="Y858" s="366"/>
      <c r="Z858" s="366"/>
    </row>
    <row r="859" spans="1:26" ht="15.75" hidden="1">
      <c r="A859" s="367">
        <f>SUBTOTAL(3,$B$15:B859)</f>
        <v>2</v>
      </c>
      <c r="B859" s="382" t="s">
        <v>2039</v>
      </c>
      <c r="C859" s="383" t="s">
        <v>731</v>
      </c>
      <c r="D859" s="384" t="s">
        <v>407</v>
      </c>
      <c r="E859" s="385">
        <v>21</v>
      </c>
      <c r="F859" s="384">
        <v>21</v>
      </c>
      <c r="G859" s="358">
        <v>22728704</v>
      </c>
      <c r="H859" s="359">
        <f t="shared" si="27"/>
        <v>21765224</v>
      </c>
      <c r="I859" s="360"/>
      <c r="J859" s="361"/>
      <c r="K859" s="362"/>
      <c r="L859" s="362"/>
      <c r="M859" s="361">
        <v>734080</v>
      </c>
      <c r="N859" s="361">
        <v>1605800</v>
      </c>
      <c r="O859" s="361">
        <v>137640</v>
      </c>
      <c r="P859" s="361">
        <v>275280</v>
      </c>
      <c r="Q859" s="361">
        <v>91760</v>
      </c>
      <c r="R859" s="361">
        <v>91760</v>
      </c>
      <c r="S859" s="361">
        <v>183520</v>
      </c>
      <c r="T859" s="386">
        <v>1047000</v>
      </c>
      <c r="U859" s="364">
        <f t="shared" si="28"/>
        <v>25932064</v>
      </c>
      <c r="V859" s="362"/>
      <c r="W859" s="365" t="str">
        <f>+VLOOKUP($B859,[2]Time_S4!$B:$G,6,0)</f>
        <v>Phòng Thương hiệu và truyền thông</v>
      </c>
      <c r="X859" s="365" t="str">
        <f>IF(W859="Phòng Kinh doanh","Trung tâm Kinh doanh - TCT CNC",+VLOOKUP($B859,[2]Time_S4!$B:$G,5,0))</f>
        <v>Trung tâm Kinh doanh - TCT CNC</v>
      </c>
      <c r="Y859" s="366"/>
      <c r="Z859" s="366"/>
    </row>
    <row r="860" spans="1:26" ht="15.75" hidden="1">
      <c r="A860" s="367">
        <f>SUBTOTAL(3,$B$15:B860)</f>
        <v>2</v>
      </c>
      <c r="B860" s="382" t="s">
        <v>2040</v>
      </c>
      <c r="C860" s="383" t="s">
        <v>2041</v>
      </c>
      <c r="D860" s="384" t="s">
        <v>407</v>
      </c>
      <c r="E860" s="385">
        <v>21</v>
      </c>
      <c r="F860" s="384">
        <v>21</v>
      </c>
      <c r="G860" s="358">
        <v>18233699</v>
      </c>
      <c r="H860" s="359">
        <f t="shared" si="27"/>
        <v>17363963</v>
      </c>
      <c r="I860" s="360"/>
      <c r="J860" s="361"/>
      <c r="K860" s="362"/>
      <c r="L860" s="362"/>
      <c r="M860" s="361">
        <v>662656</v>
      </c>
      <c r="N860" s="361">
        <v>1449560</v>
      </c>
      <c r="O860" s="361">
        <v>124248</v>
      </c>
      <c r="P860" s="361">
        <v>248496</v>
      </c>
      <c r="Q860" s="361">
        <v>82832</v>
      </c>
      <c r="R860" s="361">
        <v>82832</v>
      </c>
      <c r="S860" s="361">
        <v>165664</v>
      </c>
      <c r="T860" s="386">
        <v>930000</v>
      </c>
      <c r="U860" s="364">
        <f t="shared" si="28"/>
        <v>21110251</v>
      </c>
      <c r="V860" s="362"/>
      <c r="W860" s="365" t="str">
        <f>+VLOOKUP($B860,[2]Time_S4!$B:$G,6,0)</f>
        <v>Trung tâm Khí cụ bay</v>
      </c>
      <c r="X860" s="365" t="str">
        <f>IF(W860="Phòng Kinh doanh","Trung tâm Kinh doanh - TCT CNC",+VLOOKUP($B860,[2]Time_S4!$B:$G,5,0))</f>
        <v>Khối 1 - TCT CNC</v>
      </c>
      <c r="Y860" s="366"/>
      <c r="Z860" s="366"/>
    </row>
    <row r="861" spans="1:26" ht="15.75" hidden="1">
      <c r="A861" s="367">
        <f>SUBTOTAL(3,$B$15:B861)</f>
        <v>2</v>
      </c>
      <c r="B861" s="382" t="s">
        <v>2042</v>
      </c>
      <c r="C861" s="383" t="s">
        <v>2043</v>
      </c>
      <c r="D861" s="384" t="s">
        <v>407</v>
      </c>
      <c r="E861" s="385">
        <v>21</v>
      </c>
      <c r="F861" s="384">
        <v>21</v>
      </c>
      <c r="G861" s="358">
        <v>35055117</v>
      </c>
      <c r="H861" s="359">
        <f t="shared" si="27"/>
        <v>33987477</v>
      </c>
      <c r="I861" s="360"/>
      <c r="J861" s="361"/>
      <c r="K861" s="362"/>
      <c r="L861" s="362"/>
      <c r="M861" s="361">
        <v>813440</v>
      </c>
      <c r="N861" s="361">
        <v>1779400</v>
      </c>
      <c r="O861" s="361">
        <v>152520</v>
      </c>
      <c r="P861" s="361">
        <v>305040</v>
      </c>
      <c r="Q861" s="361">
        <v>101680</v>
      </c>
      <c r="R861" s="361">
        <v>101680</v>
      </c>
      <c r="S861" s="361">
        <v>203360</v>
      </c>
      <c r="T861" s="386">
        <v>1030000</v>
      </c>
      <c r="U861" s="364">
        <f t="shared" si="28"/>
        <v>38474597</v>
      </c>
      <c r="V861" s="362"/>
      <c r="W861" s="365" t="str">
        <f>+VLOOKUP($B861,[2]Time_S4!$B:$G,6,0)</f>
        <v>Trung tâm Camera</v>
      </c>
      <c r="X861" s="365" t="str">
        <f>IF(W861="Phòng Kinh doanh","Trung tâm Kinh doanh - TCT CNC",+VLOOKUP($B861,[2]Time_S4!$B:$G,5,0))</f>
        <v>Khối 3 - TCT CNC</v>
      </c>
      <c r="Y861" s="366"/>
      <c r="Z861" s="366"/>
    </row>
    <row r="862" spans="1:26" ht="15.75" hidden="1">
      <c r="A862" s="367">
        <f>SUBTOTAL(3,$B$15:B862)</f>
        <v>2</v>
      </c>
      <c r="B862" s="382" t="s">
        <v>2044</v>
      </c>
      <c r="C862" s="383" t="s">
        <v>656</v>
      </c>
      <c r="D862" s="384" t="s">
        <v>407</v>
      </c>
      <c r="E862" s="385">
        <v>21</v>
      </c>
      <c r="F862" s="384">
        <v>21</v>
      </c>
      <c r="G862" s="358">
        <v>35692428</v>
      </c>
      <c r="H862" s="359">
        <f t="shared" si="27"/>
        <v>34624788</v>
      </c>
      <c r="I862" s="360"/>
      <c r="J862" s="361"/>
      <c r="K862" s="362"/>
      <c r="L862" s="362"/>
      <c r="M862" s="361">
        <v>813440</v>
      </c>
      <c r="N862" s="361">
        <v>1779400</v>
      </c>
      <c r="O862" s="361">
        <v>152520</v>
      </c>
      <c r="P862" s="361">
        <v>305040</v>
      </c>
      <c r="Q862" s="361">
        <v>101680</v>
      </c>
      <c r="R862" s="361">
        <v>101680</v>
      </c>
      <c r="S862" s="361">
        <v>203360</v>
      </c>
      <c r="T862" s="386">
        <v>1030000</v>
      </c>
      <c r="U862" s="364">
        <f t="shared" si="28"/>
        <v>39111908</v>
      </c>
      <c r="V862" s="362"/>
      <c r="W862" s="365" t="str">
        <f>+VLOOKUP($B862,[2]Time_S4!$B:$G,6,0)</f>
        <v>Trung tâm Nghiên cứu Công nghệ chuyển mạch</v>
      </c>
      <c r="X862" s="365" t="str">
        <f>IF(W862="Phòng Kinh doanh","Trung tâm Kinh doanh - TCT CNC",+VLOOKUP($B862,[2]Time_S4!$B:$G,5,0))</f>
        <v>Khối 2 - TCT CNC</v>
      </c>
      <c r="Y862" s="366"/>
      <c r="Z862" s="366"/>
    </row>
    <row r="863" spans="1:26" ht="15.75" hidden="1">
      <c r="A863" s="367">
        <f>SUBTOTAL(3,$B$15:B863)</f>
        <v>2</v>
      </c>
      <c r="B863" s="382" t="s">
        <v>2045</v>
      </c>
      <c r="C863" s="383" t="s">
        <v>1927</v>
      </c>
      <c r="D863" s="384" t="s">
        <v>407</v>
      </c>
      <c r="E863" s="385">
        <v>21</v>
      </c>
      <c r="F863" s="384">
        <v>21</v>
      </c>
      <c r="G863" s="358">
        <v>22256060</v>
      </c>
      <c r="H863" s="359">
        <f t="shared" si="27"/>
        <v>21292580</v>
      </c>
      <c r="I863" s="360"/>
      <c r="J863" s="361"/>
      <c r="K863" s="362"/>
      <c r="L863" s="362"/>
      <c r="M863" s="361">
        <v>734080</v>
      </c>
      <c r="N863" s="361">
        <v>1605800</v>
      </c>
      <c r="O863" s="361">
        <v>137640</v>
      </c>
      <c r="P863" s="361">
        <v>275280</v>
      </c>
      <c r="Q863" s="361">
        <v>91760</v>
      </c>
      <c r="R863" s="361">
        <v>91760</v>
      </c>
      <c r="S863" s="361">
        <v>183520</v>
      </c>
      <c r="T863" s="386">
        <v>1281000</v>
      </c>
      <c r="U863" s="364">
        <f t="shared" si="28"/>
        <v>25693420</v>
      </c>
      <c r="V863" s="362"/>
      <c r="W863" s="365" t="str">
        <f>+VLOOKUP($B863,[2]Time_S4!$B:$G,6,0)</f>
        <v>Trung tâm Nghiên cứu công nghệ Đa phương tiện</v>
      </c>
      <c r="X863" s="365" t="str">
        <f>IF(W863="Phòng Kinh doanh","Trung tâm Kinh doanh - TCT CNC",+VLOOKUP($B863,[2]Time_S4!$B:$G,5,0))</f>
        <v>Khối 2 - TCT CNC</v>
      </c>
      <c r="Y863" s="366"/>
      <c r="Z863" s="366"/>
    </row>
    <row r="864" spans="1:26" ht="15.75" hidden="1">
      <c r="A864" s="367">
        <f>SUBTOTAL(3,$B$15:B864)</f>
        <v>2</v>
      </c>
      <c r="B864" s="382" t="s">
        <v>2046</v>
      </c>
      <c r="C864" s="383" t="s">
        <v>1182</v>
      </c>
      <c r="D864" s="384" t="s">
        <v>407</v>
      </c>
      <c r="E864" s="385">
        <v>21</v>
      </c>
      <c r="F864" s="384">
        <v>21</v>
      </c>
      <c r="G864" s="358">
        <v>22256060</v>
      </c>
      <c r="H864" s="359">
        <f t="shared" si="27"/>
        <v>21292580</v>
      </c>
      <c r="I864" s="360"/>
      <c r="J864" s="361"/>
      <c r="K864" s="362"/>
      <c r="L864" s="362"/>
      <c r="M864" s="361">
        <v>734080</v>
      </c>
      <c r="N864" s="361">
        <v>1605800</v>
      </c>
      <c r="O864" s="361">
        <v>137640</v>
      </c>
      <c r="P864" s="361">
        <v>275280</v>
      </c>
      <c r="Q864" s="361">
        <v>91760</v>
      </c>
      <c r="R864" s="361">
        <v>91760</v>
      </c>
      <c r="S864" s="361">
        <v>183520</v>
      </c>
      <c r="T864" s="386">
        <v>1047000</v>
      </c>
      <c r="U864" s="364">
        <f t="shared" si="28"/>
        <v>25459420</v>
      </c>
      <c r="V864" s="362"/>
      <c r="W864" s="365" t="str">
        <f>+VLOOKUP($B864,[2]Time_S4!$B:$G,6,0)</f>
        <v>Trung tâm Phát triển nền tảng thanh toán</v>
      </c>
      <c r="X864" s="365" t="str">
        <f>IF(W864="Phòng Kinh doanh","Trung tâm Kinh doanh - TCT CNC",+VLOOKUP($B864,[2]Time_S4!$B:$G,5,0))</f>
        <v>Khối 2 - TCT CNC</v>
      </c>
      <c r="Y864" s="366"/>
      <c r="Z864" s="366"/>
    </row>
    <row r="865" spans="1:26" ht="15.75" hidden="1">
      <c r="A865" s="367">
        <f>SUBTOTAL(3,$B$15:B865)</f>
        <v>2</v>
      </c>
      <c r="B865" s="382" t="s">
        <v>2047</v>
      </c>
      <c r="C865" s="383" t="s">
        <v>2048</v>
      </c>
      <c r="D865" s="384" t="s">
        <v>407</v>
      </c>
      <c r="E865" s="385">
        <v>21</v>
      </c>
      <c r="F865" s="384">
        <v>21</v>
      </c>
      <c r="G865" s="358">
        <v>13473444</v>
      </c>
      <c r="H865" s="359">
        <f t="shared" si="27"/>
        <v>12687036</v>
      </c>
      <c r="I865" s="360"/>
      <c r="J865" s="361"/>
      <c r="K865" s="362"/>
      <c r="L865" s="362"/>
      <c r="M865" s="361">
        <v>599168</v>
      </c>
      <c r="N865" s="361">
        <v>1310680</v>
      </c>
      <c r="O865" s="361">
        <v>112344</v>
      </c>
      <c r="P865" s="361">
        <v>224688</v>
      </c>
      <c r="Q865" s="361">
        <v>74896</v>
      </c>
      <c r="R865" s="361">
        <v>74896</v>
      </c>
      <c r="S865" s="361">
        <v>149792</v>
      </c>
      <c r="T865" s="386">
        <v>1047000</v>
      </c>
      <c r="U865" s="364">
        <f t="shared" si="28"/>
        <v>16280500</v>
      </c>
      <c r="V865" s="362"/>
      <c r="W865" s="365" t="str">
        <f>+VLOOKUP($B865,[2]Time_S4!$B:$G,6,0)</f>
        <v>Trung tâm Phát triển nền tảng thanh toán</v>
      </c>
      <c r="X865" s="365" t="str">
        <f>IF(W865="Phòng Kinh doanh","Trung tâm Kinh doanh - TCT CNC",+VLOOKUP($B865,[2]Time_S4!$B:$G,5,0))</f>
        <v>Khối 2 - TCT CNC</v>
      </c>
      <c r="Y865" s="366"/>
      <c r="Z865" s="366"/>
    </row>
    <row r="866" spans="1:26" ht="15.75" hidden="1">
      <c r="A866" s="367">
        <f>SUBTOTAL(3,$B$15:B866)</f>
        <v>2</v>
      </c>
      <c r="B866" s="382" t="s">
        <v>2049</v>
      </c>
      <c r="C866" s="383" t="s">
        <v>2050</v>
      </c>
      <c r="D866" s="384" t="s">
        <v>407</v>
      </c>
      <c r="E866" s="385">
        <v>21</v>
      </c>
      <c r="F866" s="384">
        <v>0</v>
      </c>
      <c r="G866" s="358">
        <v>10238229</v>
      </c>
      <c r="H866" s="359">
        <f t="shared" si="27"/>
        <v>10238229</v>
      </c>
      <c r="I866" s="360"/>
      <c r="J866" s="361"/>
      <c r="K866" s="362"/>
      <c r="L866" s="362"/>
      <c r="M866" s="361">
        <v>0</v>
      </c>
      <c r="N866" s="361">
        <v>0</v>
      </c>
      <c r="O866" s="361">
        <v>0</v>
      </c>
      <c r="P866" s="361">
        <v>0</v>
      </c>
      <c r="Q866" s="361">
        <v>0</v>
      </c>
      <c r="R866" s="361">
        <v>0</v>
      </c>
      <c r="S866" s="361">
        <v>0</v>
      </c>
      <c r="T866" s="386">
        <v>0</v>
      </c>
      <c r="U866" s="364">
        <f t="shared" si="28"/>
        <v>10238229</v>
      </c>
      <c r="V866" s="362"/>
      <c r="W866" s="365" t="str">
        <f>+VLOOKUP($B866,[2]Time_S4!$B:$G,6,0)</f>
        <v>Trung tâm Phát triển nền tảng thanh toán</v>
      </c>
      <c r="X866" s="365" t="str">
        <f>IF(W866="Phòng Kinh doanh","Trung tâm Kinh doanh - TCT CNC",+VLOOKUP($B866,[2]Time_S4!$B:$G,5,0))</f>
        <v>Khối 2 - TCT CNC</v>
      </c>
      <c r="Y866" s="366"/>
      <c r="Z866" s="366"/>
    </row>
    <row r="867" spans="1:26" ht="15.75" hidden="1">
      <c r="A867" s="367">
        <f>SUBTOTAL(3,$B$15:B867)</f>
        <v>2</v>
      </c>
      <c r="B867" s="382" t="s">
        <v>2051</v>
      </c>
      <c r="C867" s="383" t="s">
        <v>2052</v>
      </c>
      <c r="D867" s="384" t="s">
        <v>407</v>
      </c>
      <c r="E867" s="385">
        <v>21</v>
      </c>
      <c r="F867" s="384">
        <v>21</v>
      </c>
      <c r="G867" s="358">
        <v>26324708</v>
      </c>
      <c r="H867" s="359">
        <f t="shared" si="27"/>
        <v>25309148</v>
      </c>
      <c r="I867" s="360"/>
      <c r="J867" s="361"/>
      <c r="K867" s="362"/>
      <c r="L867" s="362"/>
      <c r="M867" s="361">
        <v>773760</v>
      </c>
      <c r="N867" s="361">
        <v>1692600</v>
      </c>
      <c r="O867" s="361">
        <v>145080</v>
      </c>
      <c r="P867" s="361">
        <v>290160</v>
      </c>
      <c r="Q867" s="361">
        <v>96720</v>
      </c>
      <c r="R867" s="361">
        <v>96720</v>
      </c>
      <c r="S867" s="361">
        <v>193440</v>
      </c>
      <c r="T867" s="386">
        <v>930000</v>
      </c>
      <c r="U867" s="364">
        <f t="shared" si="28"/>
        <v>29527628</v>
      </c>
      <c r="V867" s="362"/>
      <c r="W867" s="365" t="str">
        <f>+VLOOKUP($B867,[2]Time_S4!$B:$G,6,0)</f>
        <v>Trung tâm Tác chiến điện tử</v>
      </c>
      <c r="X867" s="365" t="str">
        <f>IF(W867="Phòng Kinh doanh","Trung tâm Kinh doanh - TCT CNC",+VLOOKUP($B867,[2]Time_S4!$B:$G,5,0))</f>
        <v>Khối 1 - TCT CNC</v>
      </c>
      <c r="Y867" s="366"/>
      <c r="Z867" s="366"/>
    </row>
    <row r="868" spans="1:26" ht="15.75" hidden="1">
      <c r="A868" s="367">
        <f>SUBTOTAL(3,$B$15:B868)</f>
        <v>2</v>
      </c>
      <c r="B868" s="382" t="s">
        <v>2053</v>
      </c>
      <c r="C868" s="383" t="s">
        <v>2054</v>
      </c>
      <c r="D868" s="384" t="s">
        <v>407</v>
      </c>
      <c r="E868" s="385">
        <v>21</v>
      </c>
      <c r="F868" s="384">
        <v>21</v>
      </c>
      <c r="G868" s="358">
        <v>20039711</v>
      </c>
      <c r="H868" s="359">
        <f t="shared" si="27"/>
        <v>19123103</v>
      </c>
      <c r="I868" s="360"/>
      <c r="J868" s="361"/>
      <c r="K868" s="362"/>
      <c r="L868" s="362"/>
      <c r="M868" s="361">
        <v>698368</v>
      </c>
      <c r="N868" s="361">
        <v>1527680</v>
      </c>
      <c r="O868" s="361">
        <v>130944</v>
      </c>
      <c r="P868" s="361">
        <v>261888</v>
      </c>
      <c r="Q868" s="361">
        <v>87296</v>
      </c>
      <c r="R868" s="361">
        <v>87296</v>
      </c>
      <c r="S868" s="361">
        <v>174592</v>
      </c>
      <c r="T868" s="386">
        <v>1047000</v>
      </c>
      <c r="U868" s="364">
        <f t="shared" si="28"/>
        <v>23138167</v>
      </c>
      <c r="V868" s="362"/>
      <c r="W868" s="365" t="str">
        <f>+VLOOKUP($B868,[2]Time_S4!$B:$G,6,0)</f>
        <v>Phòng Quản lý chất lượng</v>
      </c>
      <c r="X868" s="365" t="str">
        <f>IF(W868="Phòng Kinh doanh","Trung tâm Kinh doanh - TCT CNC",+VLOOKUP($B868,[2]Time_S4!$B:$G,5,0))</f>
        <v>Khối 3 - TCT CNC</v>
      </c>
      <c r="Y868" s="366"/>
      <c r="Z868" s="366"/>
    </row>
    <row r="869" spans="1:26" ht="15.75" hidden="1">
      <c r="A869" s="367">
        <f>SUBTOTAL(3,$B$15:B869)</f>
        <v>2</v>
      </c>
      <c r="B869" s="382" t="s">
        <v>2055</v>
      </c>
      <c r="C869" s="383" t="s">
        <v>2056</v>
      </c>
      <c r="D869" s="384" t="s">
        <v>407</v>
      </c>
      <c r="E869" s="385">
        <v>21</v>
      </c>
      <c r="F869" s="384">
        <v>21</v>
      </c>
      <c r="G869" s="358">
        <v>36343091</v>
      </c>
      <c r="H869" s="359">
        <f t="shared" si="27"/>
        <v>35275451</v>
      </c>
      <c r="I869" s="360"/>
      <c r="J869" s="361"/>
      <c r="K869" s="362"/>
      <c r="L869" s="362"/>
      <c r="M869" s="361">
        <v>813440</v>
      </c>
      <c r="N869" s="361">
        <v>1779400</v>
      </c>
      <c r="O869" s="361">
        <v>152520</v>
      </c>
      <c r="P869" s="361">
        <v>305040</v>
      </c>
      <c r="Q869" s="361">
        <v>101680</v>
      </c>
      <c r="R869" s="361">
        <v>101680</v>
      </c>
      <c r="S869" s="361">
        <v>203360</v>
      </c>
      <c r="T869" s="386">
        <v>1030000</v>
      </c>
      <c r="U869" s="364">
        <f t="shared" si="28"/>
        <v>39762571</v>
      </c>
      <c r="V869" s="362"/>
      <c r="W869" s="365" t="str">
        <f>+VLOOKUP($B869,[2]Time_S4!$B:$G,6,0)</f>
        <v>Trung tâm Nghiên cứu Công nghệ chuyển mạch</v>
      </c>
      <c r="X869" s="365" t="str">
        <f>IF(W869="Phòng Kinh doanh","Trung tâm Kinh doanh - TCT CNC",+VLOOKUP($B869,[2]Time_S4!$B:$G,5,0))</f>
        <v>Khối 2 - TCT CNC</v>
      </c>
      <c r="Y869" s="366"/>
      <c r="Z869" s="366"/>
    </row>
    <row r="870" spans="1:26" ht="15.75" hidden="1">
      <c r="A870" s="367">
        <f>SUBTOTAL(3,$B$15:B870)</f>
        <v>2</v>
      </c>
      <c r="B870" s="382" t="s">
        <v>2057</v>
      </c>
      <c r="C870" s="383" t="s">
        <v>2058</v>
      </c>
      <c r="D870" s="384" t="s">
        <v>407</v>
      </c>
      <c r="E870" s="385">
        <v>21</v>
      </c>
      <c r="F870" s="384">
        <v>21</v>
      </c>
      <c r="G870" s="358">
        <v>19864362</v>
      </c>
      <c r="H870" s="359">
        <f t="shared" si="27"/>
        <v>18947754</v>
      </c>
      <c r="I870" s="360"/>
      <c r="J870" s="361"/>
      <c r="K870" s="362"/>
      <c r="L870" s="362"/>
      <c r="M870" s="361">
        <v>698368</v>
      </c>
      <c r="N870" s="361">
        <v>1527680</v>
      </c>
      <c r="O870" s="361">
        <v>130944</v>
      </c>
      <c r="P870" s="361">
        <v>261888</v>
      </c>
      <c r="Q870" s="361">
        <v>87296</v>
      </c>
      <c r="R870" s="361">
        <v>87296</v>
      </c>
      <c r="S870" s="361">
        <v>174592</v>
      </c>
      <c r="T870" s="386">
        <v>1047000</v>
      </c>
      <c r="U870" s="364">
        <f t="shared" si="28"/>
        <v>22962818</v>
      </c>
      <c r="V870" s="362"/>
      <c r="W870" s="365" t="str">
        <f>+VLOOKUP($B870,[2]Time_S4!$B:$G,6,0)</f>
        <v>Trung tâm Thông tin Quân sự</v>
      </c>
      <c r="X870" s="365" t="str">
        <f>IF(W870="Phòng Kinh doanh","Trung tâm Kinh doanh - TCT CNC",+VLOOKUP($B870,[2]Time_S4!$B:$G,5,0))</f>
        <v>Khối 1 - TCT CNC</v>
      </c>
      <c r="Y870" s="366"/>
      <c r="Z870" s="366"/>
    </row>
    <row r="871" spans="1:26" ht="15.75" hidden="1">
      <c r="A871" s="367">
        <f>SUBTOTAL(3,$B$15:B871)</f>
        <v>2</v>
      </c>
      <c r="B871" s="382" t="s">
        <v>2059</v>
      </c>
      <c r="C871" s="383" t="s">
        <v>2060</v>
      </c>
      <c r="D871" s="384" t="s">
        <v>407</v>
      </c>
      <c r="E871" s="385">
        <v>21</v>
      </c>
      <c r="F871" s="384">
        <v>21</v>
      </c>
      <c r="G871" s="358">
        <v>18233699</v>
      </c>
      <c r="H871" s="359">
        <f t="shared" si="27"/>
        <v>17363963</v>
      </c>
      <c r="I871" s="360"/>
      <c r="J871" s="361"/>
      <c r="K871" s="362"/>
      <c r="L871" s="362"/>
      <c r="M871" s="361">
        <v>662656</v>
      </c>
      <c r="N871" s="361">
        <v>1449560</v>
      </c>
      <c r="O871" s="361">
        <v>124248</v>
      </c>
      <c r="P871" s="361">
        <v>248496</v>
      </c>
      <c r="Q871" s="361">
        <v>82832</v>
      </c>
      <c r="R871" s="361">
        <v>82832</v>
      </c>
      <c r="S871" s="361">
        <v>165664</v>
      </c>
      <c r="T871" s="386">
        <v>930000</v>
      </c>
      <c r="U871" s="364">
        <f t="shared" si="28"/>
        <v>21110251</v>
      </c>
      <c r="V871" s="362"/>
      <c r="W871" s="365" t="str">
        <f>+VLOOKUP($B871,[2]Time_S4!$B:$G,6,0)</f>
        <v>Trung tâm Chỉ huy điều khiển</v>
      </c>
      <c r="X871" s="365" t="str">
        <f>IF(W871="Phòng Kinh doanh","Trung tâm Kinh doanh - TCT CNC",+VLOOKUP($B871,[2]Time_S4!$B:$G,5,0))</f>
        <v>Khối 1 - TCT CNC</v>
      </c>
      <c r="Y871" s="366"/>
      <c r="Z871" s="366"/>
    </row>
    <row r="872" spans="1:26" ht="15.75" hidden="1">
      <c r="A872" s="367">
        <f>SUBTOTAL(3,$B$15:B872)</f>
        <v>2</v>
      </c>
      <c r="B872" s="382" t="s">
        <v>2061</v>
      </c>
      <c r="C872" s="383" t="s">
        <v>2062</v>
      </c>
      <c r="D872" s="384" t="s">
        <v>407</v>
      </c>
      <c r="E872" s="385">
        <v>21</v>
      </c>
      <c r="F872" s="384">
        <v>21</v>
      </c>
      <c r="G872" s="358">
        <v>16765924</v>
      </c>
      <c r="H872" s="359">
        <f t="shared" si="27"/>
        <v>15937852</v>
      </c>
      <c r="I872" s="360"/>
      <c r="J872" s="361"/>
      <c r="K872" s="362"/>
      <c r="L872" s="362"/>
      <c r="M872" s="361">
        <v>630912</v>
      </c>
      <c r="N872" s="361">
        <v>1380120</v>
      </c>
      <c r="O872" s="361">
        <v>118296</v>
      </c>
      <c r="P872" s="361">
        <v>236592</v>
      </c>
      <c r="Q872" s="361">
        <v>78864</v>
      </c>
      <c r="R872" s="361">
        <v>78864</v>
      </c>
      <c r="S872" s="361">
        <v>157728</v>
      </c>
      <c r="T872" s="386">
        <v>930000</v>
      </c>
      <c r="U872" s="364">
        <f t="shared" si="28"/>
        <v>19549228</v>
      </c>
      <c r="V872" s="362"/>
      <c r="W872" s="365" t="str">
        <f>+VLOOKUP($B872,[2]Time_S4!$B:$G,6,0)</f>
        <v>Trung tâm Kỹ thuật công nghệ - TCT CNC</v>
      </c>
      <c r="X872" s="365" t="str">
        <f>IF(W872="Phòng Kinh doanh","Trung tâm Kinh doanh - TCT CNC",+VLOOKUP($B872,[2]Time_S4!$B:$G,5,0))</f>
        <v>Khối 2 - TCT CNC</v>
      </c>
      <c r="Y872" s="366"/>
      <c r="Z872" s="366"/>
    </row>
    <row r="873" spans="1:26" ht="15.75" hidden="1">
      <c r="A873" s="367">
        <f>SUBTOTAL(3,$B$15:B873)</f>
        <v>2</v>
      </c>
      <c r="B873" s="382" t="s">
        <v>2063</v>
      </c>
      <c r="C873" s="383" t="s">
        <v>2064</v>
      </c>
      <c r="D873" s="384" t="s">
        <v>407</v>
      </c>
      <c r="E873" s="385">
        <v>21</v>
      </c>
      <c r="F873" s="384">
        <v>21</v>
      </c>
      <c r="G873" s="358">
        <v>29431157</v>
      </c>
      <c r="H873" s="359">
        <f t="shared" si="27"/>
        <v>28363517</v>
      </c>
      <c r="I873" s="360"/>
      <c r="J873" s="361"/>
      <c r="K873" s="362"/>
      <c r="L873" s="362"/>
      <c r="M873" s="361">
        <v>813440</v>
      </c>
      <c r="N873" s="361">
        <v>1779400</v>
      </c>
      <c r="O873" s="361">
        <v>152520</v>
      </c>
      <c r="P873" s="361">
        <v>305040</v>
      </c>
      <c r="Q873" s="361">
        <v>101680</v>
      </c>
      <c r="R873" s="361">
        <v>101680</v>
      </c>
      <c r="S873" s="361">
        <v>203360</v>
      </c>
      <c r="T873" s="386">
        <v>1147000</v>
      </c>
      <c r="U873" s="364">
        <f t="shared" si="28"/>
        <v>32967637</v>
      </c>
      <c r="V873" s="362"/>
      <c r="W873" s="365" t="str">
        <f>+VLOOKUP($B873,[2]Time_S4!$B:$G,6,0)</f>
        <v>Trung tâm Camera</v>
      </c>
      <c r="X873" s="365" t="str">
        <f>IF(W873="Phòng Kinh doanh","Trung tâm Kinh doanh - TCT CNC",+VLOOKUP($B873,[2]Time_S4!$B:$G,5,0))</f>
        <v>Khối 3 - TCT CNC</v>
      </c>
      <c r="Y873" s="366"/>
      <c r="Z873" s="366"/>
    </row>
    <row r="874" spans="1:26" ht="15.75" hidden="1">
      <c r="A874" s="367">
        <f>SUBTOTAL(3,$B$15:B874)</f>
        <v>2</v>
      </c>
      <c r="B874" s="382" t="s">
        <v>2065</v>
      </c>
      <c r="C874" s="383" t="s">
        <v>2066</v>
      </c>
      <c r="D874" s="384" t="s">
        <v>407</v>
      </c>
      <c r="E874" s="385">
        <v>21</v>
      </c>
      <c r="F874" s="384">
        <v>21</v>
      </c>
      <c r="G874" s="358">
        <v>21341928</v>
      </c>
      <c r="H874" s="359">
        <f t="shared" si="27"/>
        <v>20425320</v>
      </c>
      <c r="I874" s="360"/>
      <c r="J874" s="361"/>
      <c r="K874" s="362"/>
      <c r="L874" s="362"/>
      <c r="M874" s="361">
        <v>698368</v>
      </c>
      <c r="N874" s="361">
        <v>1527680</v>
      </c>
      <c r="O874" s="361">
        <v>130944</v>
      </c>
      <c r="P874" s="361">
        <v>261888</v>
      </c>
      <c r="Q874" s="361">
        <v>87296</v>
      </c>
      <c r="R874" s="361">
        <v>87296</v>
      </c>
      <c r="S874" s="361">
        <v>174592</v>
      </c>
      <c r="T874" s="386">
        <v>930000</v>
      </c>
      <c r="U874" s="364">
        <f t="shared" si="28"/>
        <v>24323384</v>
      </c>
      <c r="V874" s="362"/>
      <c r="W874" s="365" t="str">
        <f>+VLOOKUP($B874,[2]Time_S4!$B:$G,6,0)</f>
        <v>Trung tâm sản xuất</v>
      </c>
      <c r="X874" s="365" t="str">
        <f>IF(W874="Phòng Kinh doanh","Trung tâm Kinh doanh - TCT CNC",+VLOOKUP($B874,[2]Time_S4!$B:$G,5,0))</f>
        <v>Khối 1 - TCT CNC</v>
      </c>
      <c r="Y874" s="366"/>
      <c r="Z874" s="366"/>
    </row>
    <row r="875" spans="1:26" ht="15.75" hidden="1">
      <c r="A875" s="367">
        <f>SUBTOTAL(3,$B$15:B875)</f>
        <v>2</v>
      </c>
      <c r="B875" s="382" t="s">
        <v>2067</v>
      </c>
      <c r="C875" s="383" t="s">
        <v>2068</v>
      </c>
      <c r="D875" s="384" t="s">
        <v>407</v>
      </c>
      <c r="E875" s="385">
        <v>21</v>
      </c>
      <c r="F875" s="384">
        <v>21</v>
      </c>
      <c r="G875" s="358">
        <v>18029540</v>
      </c>
      <c r="H875" s="359">
        <f t="shared" si="27"/>
        <v>17201468</v>
      </c>
      <c r="I875" s="360"/>
      <c r="J875" s="361"/>
      <c r="K875" s="362"/>
      <c r="L875" s="362"/>
      <c r="M875" s="361">
        <v>630912</v>
      </c>
      <c r="N875" s="361">
        <v>1380120</v>
      </c>
      <c r="O875" s="361">
        <v>118296</v>
      </c>
      <c r="P875" s="361">
        <v>236592</v>
      </c>
      <c r="Q875" s="361">
        <v>78864</v>
      </c>
      <c r="R875" s="361">
        <v>78864</v>
      </c>
      <c r="S875" s="361">
        <v>157728</v>
      </c>
      <c r="T875" s="386">
        <v>930000</v>
      </c>
      <c r="U875" s="364">
        <f t="shared" si="28"/>
        <v>20812844</v>
      </c>
      <c r="V875" s="362"/>
      <c r="W875" s="365" t="str">
        <f>+VLOOKUP($B875,[2]Time_S4!$B:$G,6,0)</f>
        <v>Trung tâm Khí cụ bay</v>
      </c>
      <c r="X875" s="365" t="str">
        <f>IF(W875="Phòng Kinh doanh","Trung tâm Kinh doanh - TCT CNC",+VLOOKUP($B875,[2]Time_S4!$B:$G,5,0))</f>
        <v>Khối 1 - TCT CNC</v>
      </c>
      <c r="Y875" s="366"/>
      <c r="Z875" s="366"/>
    </row>
    <row r="876" spans="1:26" ht="15.75" hidden="1">
      <c r="A876" s="367">
        <f>SUBTOTAL(3,$B$15:B876)</f>
        <v>2</v>
      </c>
      <c r="B876" s="382" t="s">
        <v>2069</v>
      </c>
      <c r="C876" s="383" t="s">
        <v>2070</v>
      </c>
      <c r="D876" s="384" t="s">
        <v>407</v>
      </c>
      <c r="E876" s="385">
        <v>21</v>
      </c>
      <c r="F876" s="384">
        <v>21</v>
      </c>
      <c r="G876" s="358">
        <v>29324708</v>
      </c>
      <c r="H876" s="359">
        <f t="shared" si="27"/>
        <v>28309148</v>
      </c>
      <c r="I876" s="360"/>
      <c r="J876" s="361"/>
      <c r="K876" s="362"/>
      <c r="L876" s="362"/>
      <c r="M876" s="361">
        <v>773760</v>
      </c>
      <c r="N876" s="361">
        <v>1692600</v>
      </c>
      <c r="O876" s="361">
        <v>145080</v>
      </c>
      <c r="P876" s="361">
        <v>290160</v>
      </c>
      <c r="Q876" s="361">
        <v>96720</v>
      </c>
      <c r="R876" s="361">
        <v>96720</v>
      </c>
      <c r="S876" s="361">
        <v>193440</v>
      </c>
      <c r="T876" s="386">
        <v>930000</v>
      </c>
      <c r="U876" s="364">
        <f t="shared" si="28"/>
        <v>32527628</v>
      </c>
      <c r="V876" s="362"/>
      <c r="W876" s="365" t="str">
        <f>+VLOOKUP($B876,[2]Time_S4!$B:$G,6,0)</f>
        <v>Trung tâm Quang điện tử</v>
      </c>
      <c r="X876" s="365" t="str">
        <f>IF(W876="Phòng Kinh doanh","Trung tâm Kinh doanh - TCT CNC",+VLOOKUP($B876,[2]Time_S4!$B:$G,5,0))</f>
        <v>Khối 1 - TCT CNC</v>
      </c>
      <c r="Y876" s="366"/>
      <c r="Z876" s="366"/>
    </row>
    <row r="877" spans="1:26" ht="15.75" hidden="1">
      <c r="A877" s="367">
        <f>SUBTOTAL(3,$B$15:B877)</f>
        <v>2</v>
      </c>
      <c r="B877" s="382" t="s">
        <v>2071</v>
      </c>
      <c r="C877" s="383" t="s">
        <v>2072</v>
      </c>
      <c r="D877" s="384" t="s">
        <v>407</v>
      </c>
      <c r="E877" s="385">
        <v>21</v>
      </c>
      <c r="F877" s="384">
        <v>21</v>
      </c>
      <c r="G877" s="358">
        <v>20680583</v>
      </c>
      <c r="H877" s="359">
        <f t="shared" si="27"/>
        <v>19763975</v>
      </c>
      <c r="I877" s="360"/>
      <c r="J877" s="361"/>
      <c r="K877" s="362"/>
      <c r="L877" s="362"/>
      <c r="M877" s="361">
        <v>698368</v>
      </c>
      <c r="N877" s="361">
        <v>1527680</v>
      </c>
      <c r="O877" s="361">
        <v>130944</v>
      </c>
      <c r="P877" s="361">
        <v>261888</v>
      </c>
      <c r="Q877" s="361">
        <v>87296</v>
      </c>
      <c r="R877" s="361">
        <v>87296</v>
      </c>
      <c r="S877" s="361">
        <v>174592</v>
      </c>
      <c r="T877" s="386">
        <v>1047000</v>
      </c>
      <c r="U877" s="364">
        <f t="shared" si="28"/>
        <v>23779039</v>
      </c>
      <c r="V877" s="362"/>
      <c r="W877" s="365" t="str">
        <f>+VLOOKUP($B877,[2]Time_S4!$B:$G,6,0)</f>
        <v>Trung tâm Nghiên cứu Công nghệ chuyển mạch</v>
      </c>
      <c r="X877" s="365" t="str">
        <f>IF(W877="Phòng Kinh doanh","Trung tâm Kinh doanh - TCT CNC",+VLOOKUP($B877,[2]Time_S4!$B:$G,5,0))</f>
        <v>Khối 2 - TCT CNC</v>
      </c>
      <c r="Y877" s="366"/>
      <c r="Z877" s="366"/>
    </row>
    <row r="878" spans="1:26" ht="15.75" hidden="1">
      <c r="A878" s="367">
        <f>SUBTOTAL(3,$B$15:B878)</f>
        <v>2</v>
      </c>
      <c r="B878" s="382" t="s">
        <v>2073</v>
      </c>
      <c r="C878" s="383" t="s">
        <v>2074</v>
      </c>
      <c r="D878" s="384" t="s">
        <v>407</v>
      </c>
      <c r="E878" s="385">
        <v>21</v>
      </c>
      <c r="F878" s="384">
        <v>21</v>
      </c>
      <c r="G878" s="358">
        <v>22968140</v>
      </c>
      <c r="H878" s="359">
        <f t="shared" si="27"/>
        <v>22004660</v>
      </c>
      <c r="I878" s="360"/>
      <c r="J878" s="361"/>
      <c r="K878" s="362"/>
      <c r="L878" s="362"/>
      <c r="M878" s="361">
        <v>734080</v>
      </c>
      <c r="N878" s="361">
        <v>1605800</v>
      </c>
      <c r="O878" s="361">
        <v>137640</v>
      </c>
      <c r="P878" s="361">
        <v>275280</v>
      </c>
      <c r="Q878" s="361">
        <v>91760</v>
      </c>
      <c r="R878" s="361">
        <v>91760</v>
      </c>
      <c r="S878" s="361">
        <v>183520</v>
      </c>
      <c r="T878" s="386">
        <v>1047000</v>
      </c>
      <c r="U878" s="364">
        <f t="shared" si="28"/>
        <v>26171500</v>
      </c>
      <c r="V878" s="362"/>
      <c r="W878" s="365" t="str">
        <f>+VLOOKUP($B878,[2]Time_S4!$B:$G,6,0)</f>
        <v>Trung tâm Nghiên cứu thiết bị vô tuyến băng rộng</v>
      </c>
      <c r="X878" s="365" t="str">
        <f>IF(W878="Phòng Kinh doanh","Trung tâm Kinh doanh - TCT CNC",+VLOOKUP($B878,[2]Time_S4!$B:$G,5,0))</f>
        <v>Khối 2 - TCT CNC</v>
      </c>
      <c r="Y878" s="366"/>
      <c r="Z878" s="366"/>
    </row>
    <row r="879" spans="1:26" ht="15.75" hidden="1">
      <c r="A879" s="367">
        <f>SUBTOTAL(3,$B$15:B879)</f>
        <v>2</v>
      </c>
      <c r="B879" s="382" t="s">
        <v>2075</v>
      </c>
      <c r="C879" s="383" t="s">
        <v>2076</v>
      </c>
      <c r="D879" s="384" t="s">
        <v>407</v>
      </c>
      <c r="E879" s="385">
        <v>21</v>
      </c>
      <c r="F879" s="384">
        <v>21</v>
      </c>
      <c r="G879" s="358">
        <v>26567123</v>
      </c>
      <c r="H879" s="359">
        <f t="shared" si="27"/>
        <v>25603643</v>
      </c>
      <c r="I879" s="360"/>
      <c r="J879" s="361"/>
      <c r="K879" s="362"/>
      <c r="L879" s="362"/>
      <c r="M879" s="361">
        <v>734080</v>
      </c>
      <c r="N879" s="361">
        <v>1605800</v>
      </c>
      <c r="O879" s="361">
        <v>137640</v>
      </c>
      <c r="P879" s="361">
        <v>275280</v>
      </c>
      <c r="Q879" s="361">
        <v>91760</v>
      </c>
      <c r="R879" s="361">
        <v>91760</v>
      </c>
      <c r="S879" s="361">
        <v>183520</v>
      </c>
      <c r="T879" s="386">
        <v>930000</v>
      </c>
      <c r="U879" s="364">
        <f t="shared" si="28"/>
        <v>29653483</v>
      </c>
      <c r="V879" s="362"/>
      <c r="W879" s="365" t="str">
        <f>+VLOOKUP($B879,[2]Time_S4!$B:$G,6,0)</f>
        <v>Trung tâm Phát triển nền tảng thanh toán</v>
      </c>
      <c r="X879" s="365" t="str">
        <f>IF(W879="Phòng Kinh doanh","Trung tâm Kinh doanh - TCT CNC",+VLOOKUP($B879,[2]Time_S4!$B:$G,5,0))</f>
        <v>Khối 2 - TCT CNC</v>
      </c>
      <c r="Y879" s="366"/>
      <c r="Z879" s="366"/>
    </row>
    <row r="880" spans="1:26" ht="15.75" hidden="1">
      <c r="A880" s="367">
        <f>SUBTOTAL(3,$B$15:B880)</f>
        <v>2</v>
      </c>
      <c r="B880" s="382" t="s">
        <v>2077</v>
      </c>
      <c r="C880" s="383" t="s">
        <v>2078</v>
      </c>
      <c r="D880" s="384" t="s">
        <v>407</v>
      </c>
      <c r="E880" s="385">
        <v>21</v>
      </c>
      <c r="F880" s="384">
        <v>21</v>
      </c>
      <c r="G880" s="358">
        <v>26860021</v>
      </c>
      <c r="H880" s="359">
        <f t="shared" si="27"/>
        <v>25896541</v>
      </c>
      <c r="I880" s="360"/>
      <c r="J880" s="361"/>
      <c r="K880" s="362"/>
      <c r="L880" s="362"/>
      <c r="M880" s="361">
        <v>734080</v>
      </c>
      <c r="N880" s="361">
        <v>1605800</v>
      </c>
      <c r="O880" s="361">
        <v>137640</v>
      </c>
      <c r="P880" s="361">
        <v>275280</v>
      </c>
      <c r="Q880" s="361">
        <v>91760</v>
      </c>
      <c r="R880" s="361">
        <v>91760</v>
      </c>
      <c r="S880" s="361">
        <v>183520</v>
      </c>
      <c r="T880" s="386">
        <v>1030000</v>
      </c>
      <c r="U880" s="364">
        <f t="shared" si="28"/>
        <v>30046381</v>
      </c>
      <c r="V880" s="362"/>
      <c r="W880" s="365" t="str">
        <f>+VLOOKUP($B880,[2]Time_S4!$B:$G,6,0)</f>
        <v>Trung tâm Tác chiến điện tử</v>
      </c>
      <c r="X880" s="365" t="str">
        <f>IF(W880="Phòng Kinh doanh","Trung tâm Kinh doanh - TCT CNC",+VLOOKUP($B880,[2]Time_S4!$B:$G,5,0))</f>
        <v>Khối 1 - TCT CNC</v>
      </c>
      <c r="Y880" s="366"/>
      <c r="Z880" s="366"/>
    </row>
    <row r="881" spans="1:26" ht="15.75" hidden="1">
      <c r="A881" s="367">
        <f>SUBTOTAL(3,$B$15:B881)</f>
        <v>2</v>
      </c>
      <c r="B881" s="382" t="s">
        <v>2079</v>
      </c>
      <c r="C881" s="383" t="s">
        <v>2080</v>
      </c>
      <c r="D881" s="384" t="s">
        <v>407</v>
      </c>
      <c r="E881" s="385">
        <v>21</v>
      </c>
      <c r="F881" s="384">
        <v>21</v>
      </c>
      <c r="G881" s="358">
        <v>16892980</v>
      </c>
      <c r="H881" s="359">
        <f t="shared" si="27"/>
        <v>16023244</v>
      </c>
      <c r="I881" s="360"/>
      <c r="J881" s="361"/>
      <c r="K881" s="362"/>
      <c r="L881" s="362"/>
      <c r="M881" s="361">
        <v>662656</v>
      </c>
      <c r="N881" s="361">
        <v>1449560</v>
      </c>
      <c r="O881" s="361">
        <v>124248</v>
      </c>
      <c r="P881" s="361">
        <v>248496</v>
      </c>
      <c r="Q881" s="361">
        <v>82832</v>
      </c>
      <c r="R881" s="361">
        <v>82832</v>
      </c>
      <c r="S881" s="361">
        <v>165664</v>
      </c>
      <c r="T881" s="386">
        <v>1047000</v>
      </c>
      <c r="U881" s="364">
        <f t="shared" si="28"/>
        <v>19886532</v>
      </c>
      <c r="V881" s="362"/>
      <c r="W881" s="365" t="str">
        <f>+VLOOKUP($B881,[2]Time_S4!$B:$G,6,0)</f>
        <v>Trung tâm Phát triển nền tảng thanh toán</v>
      </c>
      <c r="X881" s="365" t="str">
        <f>IF(W881="Phòng Kinh doanh","Trung tâm Kinh doanh - TCT CNC",+VLOOKUP($B881,[2]Time_S4!$B:$G,5,0))</f>
        <v>Khối 2 - TCT CNC</v>
      </c>
      <c r="Y881" s="366"/>
      <c r="Z881" s="366"/>
    </row>
    <row r="882" spans="1:26" ht="15.75" hidden="1">
      <c r="A882" s="367">
        <f>SUBTOTAL(3,$B$15:B882)</f>
        <v>2</v>
      </c>
      <c r="B882" s="382" t="s">
        <v>2081</v>
      </c>
      <c r="C882" s="383" t="s">
        <v>2082</v>
      </c>
      <c r="D882" s="384" t="s">
        <v>407</v>
      </c>
      <c r="E882" s="385">
        <v>21</v>
      </c>
      <c r="F882" s="384">
        <v>21</v>
      </c>
      <c r="G882" s="358">
        <v>20039711</v>
      </c>
      <c r="H882" s="359">
        <f t="shared" si="27"/>
        <v>19123103</v>
      </c>
      <c r="I882" s="360"/>
      <c r="J882" s="361"/>
      <c r="K882" s="362"/>
      <c r="L882" s="362"/>
      <c r="M882" s="361">
        <v>698368</v>
      </c>
      <c r="N882" s="361">
        <v>1527680</v>
      </c>
      <c r="O882" s="361">
        <v>130944</v>
      </c>
      <c r="P882" s="361">
        <v>261888</v>
      </c>
      <c r="Q882" s="361">
        <v>87296</v>
      </c>
      <c r="R882" s="361">
        <v>87296</v>
      </c>
      <c r="S882" s="361">
        <v>174592</v>
      </c>
      <c r="T882" s="386">
        <v>930000</v>
      </c>
      <c r="U882" s="364">
        <f t="shared" si="28"/>
        <v>23021167</v>
      </c>
      <c r="V882" s="362"/>
      <c r="W882" s="365" t="str">
        <f>+VLOOKUP($B882,[2]Time_S4!$B:$G,6,0)</f>
        <v>Trung tâm Tác chiến điện tử</v>
      </c>
      <c r="X882" s="365" t="str">
        <f>IF(W882="Phòng Kinh doanh","Trung tâm Kinh doanh - TCT CNC",+VLOOKUP($B882,[2]Time_S4!$B:$G,5,0))</f>
        <v>Khối 1 - TCT CNC</v>
      </c>
      <c r="Y882" s="366"/>
      <c r="Z882" s="366"/>
    </row>
    <row r="883" spans="1:26" ht="15.75" hidden="1">
      <c r="A883" s="367">
        <f>SUBTOTAL(3,$B$15:B883)</f>
        <v>2</v>
      </c>
      <c r="B883" s="382" t="s">
        <v>2083</v>
      </c>
      <c r="C883" s="383" t="s">
        <v>2084</v>
      </c>
      <c r="D883" s="384" t="s">
        <v>407</v>
      </c>
      <c r="E883" s="385">
        <v>21</v>
      </c>
      <c r="F883" s="384">
        <v>21</v>
      </c>
      <c r="G883" s="358">
        <v>20250665</v>
      </c>
      <c r="H883" s="359">
        <f t="shared" si="27"/>
        <v>19334057</v>
      </c>
      <c r="I883" s="360"/>
      <c r="J883" s="361"/>
      <c r="K883" s="362"/>
      <c r="L883" s="362"/>
      <c r="M883" s="361">
        <v>698368</v>
      </c>
      <c r="N883" s="361">
        <v>1527680</v>
      </c>
      <c r="O883" s="361">
        <v>130944</v>
      </c>
      <c r="P883" s="361">
        <v>261888</v>
      </c>
      <c r="Q883" s="361">
        <v>87296</v>
      </c>
      <c r="R883" s="361">
        <v>87296</v>
      </c>
      <c r="S883" s="361">
        <v>174592</v>
      </c>
      <c r="T883" s="386">
        <v>930000</v>
      </c>
      <c r="U883" s="364">
        <f t="shared" si="28"/>
        <v>23232121</v>
      </c>
      <c r="V883" s="362"/>
      <c r="W883" s="365" t="str">
        <f>+VLOOKUP($B883,[2]Time_S4!$B:$G,6,0)</f>
        <v>Trung tâm Thông tin Quân sự</v>
      </c>
      <c r="X883" s="365" t="str">
        <f>IF(W883="Phòng Kinh doanh","Trung tâm Kinh doanh - TCT CNC",+VLOOKUP($B883,[2]Time_S4!$B:$G,5,0))</f>
        <v>Khối 1 - TCT CNC</v>
      </c>
      <c r="Y883" s="366"/>
      <c r="Z883" s="366"/>
    </row>
    <row r="884" spans="1:26" ht="15.75" hidden="1">
      <c r="A884" s="367">
        <f>SUBTOTAL(3,$B$15:B884)</f>
        <v>2</v>
      </c>
      <c r="B884" s="382" t="s">
        <v>2085</v>
      </c>
      <c r="C884" s="383" t="s">
        <v>2086</v>
      </c>
      <c r="D884" s="384" t="s">
        <v>407</v>
      </c>
      <c r="E884" s="385">
        <v>21</v>
      </c>
      <c r="F884" s="384">
        <v>21</v>
      </c>
      <c r="G884" s="358">
        <v>27634935</v>
      </c>
      <c r="H884" s="359">
        <f t="shared" si="27"/>
        <v>26619375</v>
      </c>
      <c r="I884" s="360"/>
      <c r="J884" s="361"/>
      <c r="K884" s="362"/>
      <c r="L884" s="362"/>
      <c r="M884" s="361">
        <v>773760</v>
      </c>
      <c r="N884" s="361">
        <v>1692600</v>
      </c>
      <c r="O884" s="361">
        <v>145080</v>
      </c>
      <c r="P884" s="361">
        <v>290160</v>
      </c>
      <c r="Q884" s="361">
        <v>96720</v>
      </c>
      <c r="R884" s="361">
        <v>96720</v>
      </c>
      <c r="S884" s="361">
        <v>193440</v>
      </c>
      <c r="T884" s="386">
        <v>1030000</v>
      </c>
      <c r="U884" s="364">
        <f t="shared" si="28"/>
        <v>30937855</v>
      </c>
      <c r="V884" s="362"/>
      <c r="W884" s="365" t="str">
        <f>+VLOOKUP($B884,[2]Time_S4!$B:$G,6,0)</f>
        <v>Trung tâm Chỉ huy điều khiển</v>
      </c>
      <c r="X884" s="365" t="str">
        <f>IF(W884="Phòng Kinh doanh","Trung tâm Kinh doanh - TCT CNC",+VLOOKUP($B884,[2]Time_S4!$B:$G,5,0))</f>
        <v>Khối 1 - TCT CNC</v>
      </c>
      <c r="Y884" s="366"/>
      <c r="Z884" s="366"/>
    </row>
    <row r="885" spans="1:26" ht="15.75" hidden="1">
      <c r="A885" s="367">
        <f>SUBTOTAL(3,$B$15:B885)</f>
        <v>2</v>
      </c>
      <c r="B885" s="382" t="s">
        <v>2087</v>
      </c>
      <c r="C885" s="383" t="s">
        <v>1323</v>
      </c>
      <c r="D885" s="384" t="s">
        <v>407</v>
      </c>
      <c r="E885" s="385">
        <v>21</v>
      </c>
      <c r="F885" s="384">
        <v>21</v>
      </c>
      <c r="G885" s="358">
        <v>30242346</v>
      </c>
      <c r="H885" s="359">
        <f t="shared" si="27"/>
        <v>29226786</v>
      </c>
      <c r="I885" s="360"/>
      <c r="J885" s="361"/>
      <c r="K885" s="362"/>
      <c r="L885" s="362"/>
      <c r="M885" s="361">
        <v>773760</v>
      </c>
      <c r="N885" s="361">
        <v>1692600</v>
      </c>
      <c r="O885" s="361">
        <v>145080</v>
      </c>
      <c r="P885" s="361">
        <v>290160</v>
      </c>
      <c r="Q885" s="361">
        <v>96720</v>
      </c>
      <c r="R885" s="361">
        <v>96720</v>
      </c>
      <c r="S885" s="361">
        <v>193440</v>
      </c>
      <c r="T885" s="386">
        <v>930000</v>
      </c>
      <c r="U885" s="364">
        <f t="shared" si="28"/>
        <v>33445266</v>
      </c>
      <c r="V885" s="362"/>
      <c r="W885" s="365" t="str">
        <f>+VLOOKUP($B885,[2]Time_S4!$B:$G,6,0)</f>
        <v>Trung tâm Nghiên cứu Công nghệ chuyển mạch</v>
      </c>
      <c r="X885" s="365" t="str">
        <f>IF(W885="Phòng Kinh doanh","Trung tâm Kinh doanh - TCT CNC",+VLOOKUP($B885,[2]Time_S4!$B:$G,5,0))</f>
        <v>Khối 2 - TCT CNC</v>
      </c>
      <c r="Y885" s="366"/>
      <c r="Z885" s="366"/>
    </row>
    <row r="886" spans="1:26" ht="15.75" hidden="1">
      <c r="A886" s="367">
        <f>SUBTOTAL(3,$B$15:B886)</f>
        <v>2</v>
      </c>
      <c r="B886" s="382" t="s">
        <v>2088</v>
      </c>
      <c r="C886" s="383" t="s">
        <v>2089</v>
      </c>
      <c r="D886" s="384" t="s">
        <v>407</v>
      </c>
      <c r="E886" s="385">
        <v>21</v>
      </c>
      <c r="F886" s="384">
        <v>21</v>
      </c>
      <c r="G886" s="358">
        <v>16619057</v>
      </c>
      <c r="H886" s="359">
        <f t="shared" si="27"/>
        <v>15749321</v>
      </c>
      <c r="I886" s="360"/>
      <c r="J886" s="361"/>
      <c r="K886" s="362"/>
      <c r="L886" s="362"/>
      <c r="M886" s="361">
        <v>662656</v>
      </c>
      <c r="N886" s="361">
        <v>1449560</v>
      </c>
      <c r="O886" s="361">
        <v>124248</v>
      </c>
      <c r="P886" s="361">
        <v>248496</v>
      </c>
      <c r="Q886" s="361">
        <v>82832</v>
      </c>
      <c r="R886" s="361">
        <v>82832</v>
      </c>
      <c r="S886" s="361">
        <v>165664</v>
      </c>
      <c r="T886" s="386">
        <v>1047000</v>
      </c>
      <c r="U886" s="364">
        <f t="shared" si="28"/>
        <v>19612609</v>
      </c>
      <c r="V886" s="362"/>
      <c r="W886" s="365" t="str">
        <f>+VLOOKUP($B886,[2]Time_S4!$B:$G,6,0)</f>
        <v>Trung tâm Camera</v>
      </c>
      <c r="X886" s="365" t="str">
        <f>IF(W886="Phòng Kinh doanh","Trung tâm Kinh doanh - TCT CNC",+VLOOKUP($B886,[2]Time_S4!$B:$G,5,0))</f>
        <v>Khối 3 - TCT CNC</v>
      </c>
      <c r="Y886" s="366"/>
      <c r="Z886" s="366"/>
    </row>
    <row r="887" spans="1:26" ht="15.75" hidden="1">
      <c r="A887" s="367">
        <f>SUBTOTAL(3,$B$15:B887)</f>
        <v>2</v>
      </c>
      <c r="B887" s="382" t="s">
        <v>2090</v>
      </c>
      <c r="C887" s="383" t="s">
        <v>2091</v>
      </c>
      <c r="D887" s="384" t="s">
        <v>407</v>
      </c>
      <c r="E887" s="385">
        <v>21</v>
      </c>
      <c r="F887" s="384">
        <v>21</v>
      </c>
      <c r="G887" s="358">
        <v>20405220</v>
      </c>
      <c r="H887" s="359">
        <f t="shared" si="27"/>
        <v>19488612</v>
      </c>
      <c r="I887" s="360"/>
      <c r="J887" s="361"/>
      <c r="K887" s="362"/>
      <c r="L887" s="362"/>
      <c r="M887" s="361">
        <v>698368</v>
      </c>
      <c r="N887" s="361">
        <v>1527680</v>
      </c>
      <c r="O887" s="361">
        <v>130944</v>
      </c>
      <c r="P887" s="361">
        <v>261888</v>
      </c>
      <c r="Q887" s="361">
        <v>87296</v>
      </c>
      <c r="R887" s="361">
        <v>87296</v>
      </c>
      <c r="S887" s="361">
        <v>174592</v>
      </c>
      <c r="T887" s="386">
        <v>930000</v>
      </c>
      <c r="U887" s="364">
        <f t="shared" si="28"/>
        <v>23386676</v>
      </c>
      <c r="V887" s="362"/>
      <c r="W887" s="365" t="str">
        <f>+VLOOKUP($B887,[2]Time_S4!$B:$G,6,0)</f>
        <v>Trung tâm Đảm bảo chất lượng</v>
      </c>
      <c r="X887" s="365" t="str">
        <f>IF(W887="Phòng Kinh doanh","Trung tâm Kinh doanh - TCT CNC",+VLOOKUP($B887,[2]Time_S4!$B:$G,5,0))</f>
        <v>Khối 1 - TCT CNC</v>
      </c>
      <c r="Y887" s="366"/>
      <c r="Z887" s="366"/>
    </row>
    <row r="888" spans="1:26" ht="15.75" hidden="1">
      <c r="A888" s="367">
        <f>SUBTOTAL(3,$B$15:B888)</f>
        <v>2</v>
      </c>
      <c r="B888" s="382" t="s">
        <v>2092</v>
      </c>
      <c r="C888" s="383" t="s">
        <v>2093</v>
      </c>
      <c r="D888" s="384" t="s">
        <v>407</v>
      </c>
      <c r="E888" s="385">
        <v>21</v>
      </c>
      <c r="F888" s="384">
        <v>21</v>
      </c>
      <c r="G888" s="358">
        <v>19623145</v>
      </c>
      <c r="H888" s="359">
        <f t="shared" si="27"/>
        <v>18706537</v>
      </c>
      <c r="I888" s="360"/>
      <c r="J888" s="361"/>
      <c r="K888" s="362"/>
      <c r="L888" s="362"/>
      <c r="M888" s="361">
        <v>698368</v>
      </c>
      <c r="N888" s="361">
        <v>1527680</v>
      </c>
      <c r="O888" s="361">
        <v>130944</v>
      </c>
      <c r="P888" s="361">
        <v>261888</v>
      </c>
      <c r="Q888" s="361">
        <v>87296</v>
      </c>
      <c r="R888" s="361">
        <v>87296</v>
      </c>
      <c r="S888" s="361">
        <v>174592</v>
      </c>
      <c r="T888" s="386">
        <v>930000</v>
      </c>
      <c r="U888" s="364">
        <f t="shared" si="28"/>
        <v>22604601</v>
      </c>
      <c r="V888" s="362"/>
      <c r="W888" s="365" t="str">
        <f>+VLOOKUP($B888,[2]Time_S4!$B:$G,6,0)</f>
        <v>Trung tâm Nghiên cứu thiết bị vô tuyến băng rộng</v>
      </c>
      <c r="X888" s="365" t="str">
        <f>IF(W888="Phòng Kinh doanh","Trung tâm Kinh doanh - TCT CNC",+VLOOKUP($B888,[2]Time_S4!$B:$G,5,0))</f>
        <v>Khối 2 - TCT CNC</v>
      </c>
      <c r="Y888" s="366"/>
      <c r="Z888" s="366"/>
    </row>
    <row r="889" spans="1:26" ht="15.75" hidden="1">
      <c r="A889" s="367">
        <f>SUBTOTAL(3,$B$15:B889)</f>
        <v>2</v>
      </c>
      <c r="B889" s="382" t="s">
        <v>2094</v>
      </c>
      <c r="C889" s="383" t="s">
        <v>2095</v>
      </c>
      <c r="D889" s="384" t="s">
        <v>407</v>
      </c>
      <c r="E889" s="385">
        <v>21</v>
      </c>
      <c r="F889" s="384">
        <v>21</v>
      </c>
      <c r="G889" s="358">
        <v>20039711</v>
      </c>
      <c r="H889" s="359">
        <f t="shared" si="27"/>
        <v>19123103</v>
      </c>
      <c r="I889" s="360"/>
      <c r="J889" s="361"/>
      <c r="K889" s="362"/>
      <c r="L889" s="362"/>
      <c r="M889" s="361">
        <v>698368</v>
      </c>
      <c r="N889" s="361">
        <v>1527680</v>
      </c>
      <c r="O889" s="361">
        <v>130944</v>
      </c>
      <c r="P889" s="361">
        <v>261888</v>
      </c>
      <c r="Q889" s="361">
        <v>87296</v>
      </c>
      <c r="R889" s="361">
        <v>87296</v>
      </c>
      <c r="S889" s="361">
        <v>174592</v>
      </c>
      <c r="T889" s="386">
        <v>930000</v>
      </c>
      <c r="U889" s="364">
        <f t="shared" si="28"/>
        <v>23021167</v>
      </c>
      <c r="V889" s="362"/>
      <c r="W889" s="365" t="str">
        <f>+VLOOKUP($B889,[2]Time_S4!$B:$G,6,0)</f>
        <v>Trung tâm Kỹ thuật công nghệ - TCT CNC</v>
      </c>
      <c r="X889" s="365" t="str">
        <f>IF(W889="Phòng Kinh doanh","Trung tâm Kinh doanh - TCT CNC",+VLOOKUP($B889,[2]Time_S4!$B:$G,5,0))</f>
        <v>Khối 2 - TCT CNC</v>
      </c>
      <c r="Y889" s="366"/>
      <c r="Z889" s="366"/>
    </row>
    <row r="890" spans="1:26" ht="15.75" hidden="1">
      <c r="A890" s="367">
        <f>SUBTOTAL(3,$B$15:B890)</f>
        <v>2</v>
      </c>
      <c r="B890" s="382" t="s">
        <v>2096</v>
      </c>
      <c r="C890" s="383" t="s">
        <v>2097</v>
      </c>
      <c r="D890" s="384" t="s">
        <v>407</v>
      </c>
      <c r="E890" s="385">
        <v>21</v>
      </c>
      <c r="F890" s="384">
        <v>21</v>
      </c>
      <c r="G890" s="358">
        <v>18425960</v>
      </c>
      <c r="H890" s="359">
        <f t="shared" si="27"/>
        <v>17556224</v>
      </c>
      <c r="I890" s="360"/>
      <c r="J890" s="361"/>
      <c r="K890" s="362"/>
      <c r="L890" s="362"/>
      <c r="M890" s="361">
        <v>662656</v>
      </c>
      <c r="N890" s="361">
        <v>1449560</v>
      </c>
      <c r="O890" s="361">
        <v>124248</v>
      </c>
      <c r="P890" s="361">
        <v>248496</v>
      </c>
      <c r="Q890" s="361">
        <v>82832</v>
      </c>
      <c r="R890" s="361">
        <v>82832</v>
      </c>
      <c r="S890" s="361">
        <v>165664</v>
      </c>
      <c r="T890" s="386">
        <v>930000</v>
      </c>
      <c r="U890" s="364">
        <f t="shared" si="28"/>
        <v>21302512</v>
      </c>
      <c r="V890" s="362"/>
      <c r="W890" s="365" t="str">
        <f>+VLOOKUP($B890,[2]Time_S4!$B:$G,6,0)</f>
        <v>Trung tâm Tác chiến điện tử</v>
      </c>
      <c r="X890" s="365" t="str">
        <f>IF(W890="Phòng Kinh doanh","Trung tâm Kinh doanh - TCT CNC",+VLOOKUP($B890,[2]Time_S4!$B:$G,5,0))</f>
        <v>Khối 1 - TCT CNC</v>
      </c>
      <c r="Y890" s="366"/>
      <c r="Z890" s="366"/>
    </row>
    <row r="891" spans="1:26" ht="15.75" hidden="1">
      <c r="A891" s="367">
        <f>SUBTOTAL(3,$B$15:B891)</f>
        <v>2</v>
      </c>
      <c r="B891" s="382" t="s">
        <v>2098</v>
      </c>
      <c r="C891" s="383" t="s">
        <v>2099</v>
      </c>
      <c r="D891" s="384" t="s">
        <v>407</v>
      </c>
      <c r="E891" s="385">
        <v>21</v>
      </c>
      <c r="F891" s="384">
        <v>21</v>
      </c>
      <c r="G891" s="358">
        <v>30509376</v>
      </c>
      <c r="H891" s="359">
        <f t="shared" si="27"/>
        <v>29493816</v>
      </c>
      <c r="I891" s="360"/>
      <c r="J891" s="361"/>
      <c r="K891" s="362"/>
      <c r="L891" s="362"/>
      <c r="M891" s="361">
        <v>773760</v>
      </c>
      <c r="N891" s="361">
        <v>1692600</v>
      </c>
      <c r="O891" s="361">
        <v>145080</v>
      </c>
      <c r="P891" s="361">
        <v>290160</v>
      </c>
      <c r="Q891" s="361">
        <v>96720</v>
      </c>
      <c r="R891" s="361">
        <v>96720</v>
      </c>
      <c r="S891" s="361">
        <v>193440</v>
      </c>
      <c r="T891" s="386">
        <v>930000</v>
      </c>
      <c r="U891" s="364">
        <f t="shared" si="28"/>
        <v>33712296</v>
      </c>
      <c r="V891" s="362"/>
      <c r="W891" s="365" t="str">
        <f>+VLOOKUP($B891,[2]Time_S4!$B:$G,6,0)</f>
        <v>Trung tâm Chỉ huy điều khiển</v>
      </c>
      <c r="X891" s="365" t="str">
        <f>IF(W891="Phòng Kinh doanh","Trung tâm Kinh doanh - TCT CNC",+VLOOKUP($B891,[2]Time_S4!$B:$G,5,0))</f>
        <v>Khối 1 - TCT CNC</v>
      </c>
      <c r="Y891" s="366"/>
      <c r="Z891" s="366"/>
    </row>
    <row r="892" spans="1:26" ht="15.75" hidden="1">
      <c r="A892" s="367">
        <f>SUBTOTAL(3,$B$15:B892)</f>
        <v>2</v>
      </c>
      <c r="B892" s="382" t="s">
        <v>2100</v>
      </c>
      <c r="C892" s="383" t="s">
        <v>2101</v>
      </c>
      <c r="D892" s="384" t="s">
        <v>407</v>
      </c>
      <c r="E892" s="385">
        <v>21</v>
      </c>
      <c r="F892" s="384">
        <v>21</v>
      </c>
      <c r="G892" s="358">
        <v>27346542</v>
      </c>
      <c r="H892" s="359">
        <f t="shared" si="27"/>
        <v>26330982</v>
      </c>
      <c r="I892" s="360"/>
      <c r="J892" s="361"/>
      <c r="K892" s="362"/>
      <c r="L892" s="362"/>
      <c r="M892" s="361">
        <v>773760</v>
      </c>
      <c r="N892" s="361">
        <v>1692600</v>
      </c>
      <c r="O892" s="361">
        <v>145080</v>
      </c>
      <c r="P892" s="361">
        <v>290160</v>
      </c>
      <c r="Q892" s="361">
        <v>96720</v>
      </c>
      <c r="R892" s="361">
        <v>96720</v>
      </c>
      <c r="S892" s="361">
        <v>193440</v>
      </c>
      <c r="T892" s="386">
        <v>1030000</v>
      </c>
      <c r="U892" s="364">
        <f t="shared" si="28"/>
        <v>30649462</v>
      </c>
      <c r="V892" s="362"/>
      <c r="W892" s="365" t="str">
        <f>+VLOOKUP($B892,[2]Time_S4!$B:$G,6,0)</f>
        <v>Trung tâm Phát triển nền tảng thanh toán</v>
      </c>
      <c r="X892" s="365" t="str">
        <f>IF(W892="Phòng Kinh doanh","Trung tâm Kinh doanh - TCT CNC",+VLOOKUP($B892,[2]Time_S4!$B:$G,5,0))</f>
        <v>Khối 2 - TCT CNC</v>
      </c>
      <c r="Y892" s="366"/>
      <c r="Z892" s="366"/>
    </row>
    <row r="893" spans="1:26" ht="15.75" hidden="1">
      <c r="A893" s="367">
        <f>SUBTOTAL(3,$B$15:B893)</f>
        <v>2</v>
      </c>
      <c r="B893" s="382" t="s">
        <v>2102</v>
      </c>
      <c r="C893" s="383" t="s">
        <v>2103</v>
      </c>
      <c r="D893" s="384" t="s">
        <v>407</v>
      </c>
      <c r="E893" s="385">
        <v>21</v>
      </c>
      <c r="F893" s="384">
        <v>21</v>
      </c>
      <c r="G893" s="358">
        <v>30949085</v>
      </c>
      <c r="H893" s="359">
        <f t="shared" si="27"/>
        <v>29933525</v>
      </c>
      <c r="I893" s="360"/>
      <c r="J893" s="361"/>
      <c r="K893" s="362"/>
      <c r="L893" s="362"/>
      <c r="M893" s="361">
        <v>773760</v>
      </c>
      <c r="N893" s="361">
        <v>1692600</v>
      </c>
      <c r="O893" s="361">
        <v>145080</v>
      </c>
      <c r="P893" s="361">
        <v>290160</v>
      </c>
      <c r="Q893" s="361">
        <v>96720</v>
      </c>
      <c r="R893" s="361">
        <v>96720</v>
      </c>
      <c r="S893" s="361">
        <v>193440</v>
      </c>
      <c r="T893" s="386">
        <v>1030000</v>
      </c>
      <c r="U893" s="364">
        <f t="shared" si="28"/>
        <v>34252005</v>
      </c>
      <c r="V893" s="362"/>
      <c r="W893" s="365" t="str">
        <f>+VLOOKUP($B893,[2]Time_S4!$B:$G,6,0)</f>
        <v>Trung tâm Khí cụ bay</v>
      </c>
      <c r="X893" s="365" t="str">
        <f>IF(W893="Phòng Kinh doanh","Trung tâm Kinh doanh - TCT CNC",+VLOOKUP($B893,[2]Time_S4!$B:$G,5,0))</f>
        <v>Khối 1 - TCT CNC</v>
      </c>
      <c r="Y893" s="366"/>
      <c r="Z893" s="366"/>
    </row>
    <row r="894" spans="1:26" ht="15.75" hidden="1">
      <c r="A894" s="367">
        <f>SUBTOTAL(3,$B$15:B894)</f>
        <v>2</v>
      </c>
      <c r="B894" s="382" t="s">
        <v>2104</v>
      </c>
      <c r="C894" s="383" t="s">
        <v>2105</v>
      </c>
      <c r="D894" s="384" t="s">
        <v>407</v>
      </c>
      <c r="E894" s="385">
        <v>21</v>
      </c>
      <c r="F894" s="384">
        <v>21</v>
      </c>
      <c r="G894" s="358">
        <v>14499729</v>
      </c>
      <c r="H894" s="359">
        <f t="shared" si="27"/>
        <v>13713321</v>
      </c>
      <c r="I894" s="360"/>
      <c r="J894" s="361"/>
      <c r="K894" s="362"/>
      <c r="L894" s="362"/>
      <c r="M894" s="361">
        <v>599168</v>
      </c>
      <c r="N894" s="361">
        <v>1310680</v>
      </c>
      <c r="O894" s="361">
        <v>112344</v>
      </c>
      <c r="P894" s="361">
        <v>224688</v>
      </c>
      <c r="Q894" s="361">
        <v>74896</v>
      </c>
      <c r="R894" s="361">
        <v>74896</v>
      </c>
      <c r="S894" s="361">
        <v>149792</v>
      </c>
      <c r="T894" s="386">
        <v>1047000</v>
      </c>
      <c r="U894" s="364">
        <f t="shared" si="28"/>
        <v>17306785</v>
      </c>
      <c r="V894" s="362"/>
      <c r="W894" s="365" t="str">
        <f>+VLOOKUP($B894,[2]Time_S4!$B:$G,6,0)</f>
        <v>Trung tâm Thông tin Quân sự</v>
      </c>
      <c r="X894" s="365" t="str">
        <f>IF(W894="Phòng Kinh doanh","Trung tâm Kinh doanh - TCT CNC",+VLOOKUP($B894,[2]Time_S4!$B:$G,5,0))</f>
        <v>Khối 1 - TCT CNC</v>
      </c>
      <c r="Y894" s="366"/>
      <c r="Z894" s="366"/>
    </row>
    <row r="895" spans="1:26" ht="15.75" hidden="1">
      <c r="A895" s="367">
        <f>SUBTOTAL(3,$B$15:B895)</f>
        <v>2</v>
      </c>
      <c r="B895" s="382" t="s">
        <v>2106</v>
      </c>
      <c r="C895" s="383" t="s">
        <v>2107</v>
      </c>
      <c r="D895" s="384" t="s">
        <v>407</v>
      </c>
      <c r="E895" s="385">
        <v>21</v>
      </c>
      <c r="F895" s="384">
        <v>21</v>
      </c>
      <c r="G895" s="358">
        <v>26324708</v>
      </c>
      <c r="H895" s="359">
        <f t="shared" si="27"/>
        <v>25309148</v>
      </c>
      <c r="I895" s="360"/>
      <c r="J895" s="361"/>
      <c r="K895" s="362"/>
      <c r="L895" s="362"/>
      <c r="M895" s="361">
        <v>773760</v>
      </c>
      <c r="N895" s="361">
        <v>1692600</v>
      </c>
      <c r="O895" s="361">
        <v>145080</v>
      </c>
      <c r="P895" s="361">
        <v>290160</v>
      </c>
      <c r="Q895" s="361">
        <v>96720</v>
      </c>
      <c r="R895" s="361">
        <v>96720</v>
      </c>
      <c r="S895" s="361">
        <v>193440</v>
      </c>
      <c r="T895" s="386">
        <v>930000</v>
      </c>
      <c r="U895" s="364">
        <f t="shared" si="28"/>
        <v>29527628</v>
      </c>
      <c r="V895" s="362"/>
      <c r="W895" s="365" t="str">
        <f>+VLOOKUP($B895,[2]Time_S4!$B:$G,6,0)</f>
        <v>Trung tâm Mô hình mô phỏng</v>
      </c>
      <c r="X895" s="365" t="str">
        <f>IF(W895="Phòng Kinh doanh","Trung tâm Kinh doanh - TCT CNC",+VLOOKUP($B895,[2]Time_S4!$B:$G,5,0))</f>
        <v>Khối 1 - TCT CNC</v>
      </c>
      <c r="Y895" s="366"/>
      <c r="Z895" s="366"/>
    </row>
    <row r="896" spans="1:26" ht="15.75" hidden="1">
      <c r="A896" s="367">
        <f>SUBTOTAL(3,$B$15:B896)</f>
        <v>2</v>
      </c>
      <c r="B896" s="382" t="s">
        <v>2108</v>
      </c>
      <c r="C896" s="383" t="s">
        <v>2109</v>
      </c>
      <c r="D896" s="384" t="s">
        <v>407</v>
      </c>
      <c r="E896" s="385">
        <v>21</v>
      </c>
      <c r="F896" s="384">
        <v>21</v>
      </c>
      <c r="G896" s="358">
        <v>26324708</v>
      </c>
      <c r="H896" s="359">
        <f t="shared" si="27"/>
        <v>25309148</v>
      </c>
      <c r="I896" s="360"/>
      <c r="J896" s="361"/>
      <c r="K896" s="362"/>
      <c r="L896" s="362"/>
      <c r="M896" s="361">
        <v>773760</v>
      </c>
      <c r="N896" s="361">
        <v>1692600</v>
      </c>
      <c r="O896" s="361">
        <v>145080</v>
      </c>
      <c r="P896" s="361">
        <v>290160</v>
      </c>
      <c r="Q896" s="361">
        <v>96720</v>
      </c>
      <c r="R896" s="361">
        <v>96720</v>
      </c>
      <c r="S896" s="361">
        <v>193440</v>
      </c>
      <c r="T896" s="386">
        <v>930000</v>
      </c>
      <c r="U896" s="364">
        <f t="shared" si="28"/>
        <v>29527628</v>
      </c>
      <c r="V896" s="362"/>
      <c r="W896" s="365" t="str">
        <f>+VLOOKUP($B896,[2]Time_S4!$B:$G,6,0)</f>
        <v>Trung tâm Tác chiến điện tử</v>
      </c>
      <c r="X896" s="365" t="str">
        <f>IF(W896="Phòng Kinh doanh","Trung tâm Kinh doanh - TCT CNC",+VLOOKUP($B896,[2]Time_S4!$B:$G,5,0))</f>
        <v>Khối 1 - TCT CNC</v>
      </c>
      <c r="Y896" s="366"/>
      <c r="Z896" s="366"/>
    </row>
    <row r="897" spans="1:26" ht="15.75" hidden="1">
      <c r="A897" s="367">
        <f>SUBTOTAL(3,$B$15:B897)</f>
        <v>2</v>
      </c>
      <c r="B897" s="382" t="s">
        <v>2110</v>
      </c>
      <c r="C897" s="383" t="s">
        <v>2111</v>
      </c>
      <c r="D897" s="384" t="s">
        <v>407</v>
      </c>
      <c r="E897" s="385">
        <v>21</v>
      </c>
      <c r="F897" s="384">
        <v>21</v>
      </c>
      <c r="G897" s="358">
        <v>21794099</v>
      </c>
      <c r="H897" s="359">
        <f t="shared" si="27"/>
        <v>20830619</v>
      </c>
      <c r="I897" s="360"/>
      <c r="J897" s="361"/>
      <c r="K897" s="362"/>
      <c r="L897" s="362"/>
      <c r="M897" s="361">
        <v>734080</v>
      </c>
      <c r="N897" s="361">
        <v>1605800</v>
      </c>
      <c r="O897" s="361">
        <v>137640</v>
      </c>
      <c r="P897" s="361">
        <v>275280</v>
      </c>
      <c r="Q897" s="361">
        <v>91760</v>
      </c>
      <c r="R897" s="361">
        <v>91760</v>
      </c>
      <c r="S897" s="361">
        <v>183520</v>
      </c>
      <c r="T897" s="386">
        <v>930000</v>
      </c>
      <c r="U897" s="364">
        <f t="shared" si="28"/>
        <v>24880459</v>
      </c>
      <c r="V897" s="362"/>
      <c r="W897" s="365" t="str">
        <f>+VLOOKUP($B897,[2]Time_S4!$B:$G,6,0)</f>
        <v>Trung tâm Nghiên cứu giải pháp tích hợp công nghệ cao</v>
      </c>
      <c r="X897" s="365" t="str">
        <f>IF(W897="Phòng Kinh doanh","Trung tâm Kinh doanh - TCT CNC",+VLOOKUP($B897,[2]Time_S4!$B:$G,5,0))</f>
        <v>Khối 1 - TCT CNC</v>
      </c>
      <c r="Y897" s="366"/>
      <c r="Z897" s="366"/>
    </row>
    <row r="898" spans="1:26" ht="15.75" hidden="1">
      <c r="A898" s="367">
        <f>SUBTOTAL(3,$B$15:B898)</f>
        <v>2</v>
      </c>
      <c r="B898" s="382" t="s">
        <v>2112</v>
      </c>
      <c r="C898" s="383" t="s">
        <v>2113</v>
      </c>
      <c r="D898" s="384" t="s">
        <v>407</v>
      </c>
      <c r="E898" s="385">
        <v>21</v>
      </c>
      <c r="F898" s="384">
        <v>21</v>
      </c>
      <c r="G898" s="358">
        <v>22023744</v>
      </c>
      <c r="H898" s="359">
        <f t="shared" si="27"/>
        <v>21060264</v>
      </c>
      <c r="I898" s="360"/>
      <c r="J898" s="361"/>
      <c r="K898" s="362"/>
      <c r="L898" s="362"/>
      <c r="M898" s="361">
        <v>734080</v>
      </c>
      <c r="N898" s="361">
        <v>1605800</v>
      </c>
      <c r="O898" s="361">
        <v>137640</v>
      </c>
      <c r="P898" s="361">
        <v>275280</v>
      </c>
      <c r="Q898" s="361">
        <v>91760</v>
      </c>
      <c r="R898" s="361">
        <v>91760</v>
      </c>
      <c r="S898" s="361">
        <v>183520</v>
      </c>
      <c r="T898" s="386">
        <v>930000</v>
      </c>
      <c r="U898" s="364">
        <f t="shared" si="28"/>
        <v>25110104</v>
      </c>
      <c r="V898" s="362"/>
      <c r="W898" s="365" t="str">
        <f>+VLOOKUP($B898,[2]Time_S4!$B:$G,6,0)</f>
        <v>Trung tâm Rada</v>
      </c>
      <c r="X898" s="365" t="str">
        <f>IF(W898="Phòng Kinh doanh","Trung tâm Kinh doanh - TCT CNC",+VLOOKUP($B898,[2]Time_S4!$B:$G,5,0))</f>
        <v>Khối 1 - TCT CNC</v>
      </c>
      <c r="Y898" s="366"/>
      <c r="Z898" s="366"/>
    </row>
    <row r="899" spans="1:26" ht="15.75" hidden="1">
      <c r="A899" s="367">
        <f>SUBTOTAL(3,$B$15:B899)</f>
        <v>2</v>
      </c>
      <c r="B899" s="382" t="s">
        <v>2114</v>
      </c>
      <c r="C899" s="383" t="s">
        <v>2115</v>
      </c>
      <c r="D899" s="384" t="s">
        <v>407</v>
      </c>
      <c r="E899" s="385">
        <v>21</v>
      </c>
      <c r="F899" s="384">
        <v>21</v>
      </c>
      <c r="G899" s="358">
        <v>14807704</v>
      </c>
      <c r="H899" s="359">
        <f t="shared" si="27"/>
        <v>13979632</v>
      </c>
      <c r="I899" s="360"/>
      <c r="J899" s="361"/>
      <c r="K899" s="362"/>
      <c r="L899" s="362"/>
      <c r="M899" s="361">
        <v>630912</v>
      </c>
      <c r="N899" s="361">
        <v>1380120</v>
      </c>
      <c r="O899" s="361">
        <v>118296</v>
      </c>
      <c r="P899" s="361">
        <v>236592</v>
      </c>
      <c r="Q899" s="361">
        <v>78864</v>
      </c>
      <c r="R899" s="361">
        <v>78864</v>
      </c>
      <c r="S899" s="361">
        <v>157728</v>
      </c>
      <c r="T899" s="386">
        <v>1047000</v>
      </c>
      <c r="U899" s="364">
        <f t="shared" si="28"/>
        <v>17708008</v>
      </c>
      <c r="V899" s="362"/>
      <c r="W899" s="365" t="str">
        <f>+VLOOKUP($B899,[2]Time_S4!$B:$G,6,0)</f>
        <v>Trung tâm Kỹ thuật công nghệ - TCT CNC</v>
      </c>
      <c r="X899" s="365" t="str">
        <f>IF(W899="Phòng Kinh doanh","Trung tâm Kinh doanh - TCT CNC",+VLOOKUP($B899,[2]Time_S4!$B:$G,5,0))</f>
        <v>Khối 2 - TCT CNC</v>
      </c>
      <c r="Y899" s="366"/>
      <c r="Z899" s="366"/>
    </row>
    <row r="900" spans="1:26" ht="15.75" hidden="1">
      <c r="A900" s="367">
        <f>SUBTOTAL(3,$B$15:B900)</f>
        <v>2</v>
      </c>
      <c r="B900" s="382" t="s">
        <v>2116</v>
      </c>
      <c r="C900" s="383" t="s">
        <v>1776</v>
      </c>
      <c r="D900" s="384" t="s">
        <v>407</v>
      </c>
      <c r="E900" s="385">
        <v>21</v>
      </c>
      <c r="F900" s="384">
        <v>21</v>
      </c>
      <c r="G900" s="358">
        <v>25898658</v>
      </c>
      <c r="H900" s="359">
        <f t="shared" si="27"/>
        <v>24982050</v>
      </c>
      <c r="I900" s="360"/>
      <c r="J900" s="361"/>
      <c r="K900" s="362"/>
      <c r="L900" s="362"/>
      <c r="M900" s="361">
        <v>698368</v>
      </c>
      <c r="N900" s="361">
        <v>1527680</v>
      </c>
      <c r="O900" s="361">
        <v>130944</v>
      </c>
      <c r="P900" s="361">
        <v>261888</v>
      </c>
      <c r="Q900" s="361">
        <v>87296</v>
      </c>
      <c r="R900" s="361">
        <v>87296</v>
      </c>
      <c r="S900" s="361">
        <v>174592</v>
      </c>
      <c r="T900" s="386">
        <v>1281000</v>
      </c>
      <c r="U900" s="364">
        <f t="shared" si="28"/>
        <v>29231114</v>
      </c>
      <c r="V900" s="362"/>
      <c r="W900" s="365" t="str">
        <f>+VLOOKUP($B900,[2]Time_S4!$B:$G,6,0)</f>
        <v>Trung tâm Nền tảng IOT</v>
      </c>
      <c r="X900" s="365" t="str">
        <f>IF(W900="Phòng Kinh doanh","Trung tâm Kinh doanh - TCT CNC",+VLOOKUP($B900,[2]Time_S4!$B:$G,5,0))</f>
        <v>Khối 3 - TCT CNC</v>
      </c>
      <c r="Y900" s="366"/>
      <c r="Z900" s="366"/>
    </row>
    <row r="901" spans="1:26" ht="15.75" hidden="1">
      <c r="A901" s="367">
        <f>SUBTOTAL(3,$B$15:B901)</f>
        <v>2</v>
      </c>
      <c r="B901" s="382" t="s">
        <v>2117</v>
      </c>
      <c r="C901" s="383" t="s">
        <v>2118</v>
      </c>
      <c r="D901" s="384" t="s">
        <v>407</v>
      </c>
      <c r="E901" s="385">
        <v>21</v>
      </c>
      <c r="F901" s="384">
        <v>21</v>
      </c>
      <c r="G901" s="358">
        <v>25968140</v>
      </c>
      <c r="H901" s="359">
        <f t="shared" si="27"/>
        <v>25004660</v>
      </c>
      <c r="I901" s="360"/>
      <c r="J901" s="361"/>
      <c r="K901" s="362"/>
      <c r="L901" s="362"/>
      <c r="M901" s="361">
        <v>734080</v>
      </c>
      <c r="N901" s="361">
        <v>1605800</v>
      </c>
      <c r="O901" s="361">
        <v>137640</v>
      </c>
      <c r="P901" s="361">
        <v>275280</v>
      </c>
      <c r="Q901" s="361">
        <v>91760</v>
      </c>
      <c r="R901" s="361">
        <v>91760</v>
      </c>
      <c r="S901" s="361">
        <v>183520</v>
      </c>
      <c r="T901" s="386">
        <v>1047000</v>
      </c>
      <c r="U901" s="364">
        <f t="shared" si="28"/>
        <v>29171500</v>
      </c>
      <c r="V901" s="362"/>
      <c r="W901" s="365" t="str">
        <f>+VLOOKUP($B901,[2]Time_S4!$B:$G,6,0)</f>
        <v>Trung tâm Rada</v>
      </c>
      <c r="X901" s="365" t="str">
        <f>IF(W901="Phòng Kinh doanh","Trung tâm Kinh doanh - TCT CNC",+VLOOKUP($B901,[2]Time_S4!$B:$G,5,0))</f>
        <v>Khối 1 - TCT CNC</v>
      </c>
      <c r="Y901" s="366"/>
      <c r="Z901" s="366"/>
    </row>
    <row r="902" spans="1:26" ht="15.75" hidden="1">
      <c r="A902" s="367">
        <f>SUBTOTAL(3,$B$15:B902)</f>
        <v>2</v>
      </c>
      <c r="B902" s="382" t="s">
        <v>2119</v>
      </c>
      <c r="C902" s="383" t="s">
        <v>2120</v>
      </c>
      <c r="D902" s="384" t="s">
        <v>407</v>
      </c>
      <c r="E902" s="385">
        <v>21</v>
      </c>
      <c r="F902" s="384">
        <v>21</v>
      </c>
      <c r="G902" s="358">
        <v>22830538</v>
      </c>
      <c r="H902" s="359">
        <f t="shared" si="27"/>
        <v>21913930</v>
      </c>
      <c r="I902" s="360"/>
      <c r="J902" s="361"/>
      <c r="K902" s="362"/>
      <c r="L902" s="362"/>
      <c r="M902" s="361">
        <v>698368</v>
      </c>
      <c r="N902" s="361">
        <v>1527680</v>
      </c>
      <c r="O902" s="361">
        <v>130944</v>
      </c>
      <c r="P902" s="361">
        <v>261888</v>
      </c>
      <c r="Q902" s="361">
        <v>87296</v>
      </c>
      <c r="R902" s="361">
        <v>87296</v>
      </c>
      <c r="S902" s="361">
        <v>174592</v>
      </c>
      <c r="T902" s="386">
        <v>930000</v>
      </c>
      <c r="U902" s="364">
        <f t="shared" si="28"/>
        <v>25811994</v>
      </c>
      <c r="V902" s="362"/>
      <c r="W902" s="365" t="str">
        <f>+VLOOKUP($B902,[2]Time_S4!$B:$G,6,0)</f>
        <v>Trung tâm Chỉ huy điều khiển</v>
      </c>
      <c r="X902" s="365" t="str">
        <f>IF(W902="Phòng Kinh doanh","Trung tâm Kinh doanh - TCT CNC",+VLOOKUP($B902,[2]Time_S4!$B:$G,5,0))</f>
        <v>Khối 1 - TCT CNC</v>
      </c>
      <c r="Y902" s="366"/>
      <c r="Z902" s="366"/>
    </row>
    <row r="903" spans="1:26" ht="15.75" hidden="1">
      <c r="A903" s="367">
        <f>SUBTOTAL(3,$B$15:B903)</f>
        <v>2</v>
      </c>
      <c r="B903" s="382" t="s">
        <v>2121</v>
      </c>
      <c r="C903" s="383" t="s">
        <v>2122</v>
      </c>
      <c r="D903" s="384" t="s">
        <v>407</v>
      </c>
      <c r="E903" s="385">
        <v>21</v>
      </c>
      <c r="F903" s="384">
        <v>21</v>
      </c>
      <c r="G903" s="358">
        <v>22491047</v>
      </c>
      <c r="H903" s="359">
        <f t="shared" si="27"/>
        <v>21527567</v>
      </c>
      <c r="I903" s="360"/>
      <c r="J903" s="361"/>
      <c r="K903" s="362"/>
      <c r="L903" s="362"/>
      <c r="M903" s="361">
        <v>734080</v>
      </c>
      <c r="N903" s="361">
        <v>1605800</v>
      </c>
      <c r="O903" s="361">
        <v>137640</v>
      </c>
      <c r="P903" s="361">
        <v>275280</v>
      </c>
      <c r="Q903" s="361">
        <v>91760</v>
      </c>
      <c r="R903" s="361">
        <v>91760</v>
      </c>
      <c r="S903" s="361">
        <v>183520</v>
      </c>
      <c r="T903" s="386">
        <v>930000</v>
      </c>
      <c r="U903" s="364">
        <f t="shared" si="28"/>
        <v>25577407</v>
      </c>
      <c r="V903" s="362"/>
      <c r="W903" s="365" t="str">
        <f>+VLOOKUP($B903,[2]Time_S4!$B:$G,6,0)</f>
        <v>Phòng Kinh doanh</v>
      </c>
      <c r="X903" s="365" t="str">
        <f>IF(W903="Phòng Kinh doanh","Trung tâm Kinh doanh - TCT CNC",+VLOOKUP($B903,[2]Time_S4!$B:$G,5,0))</f>
        <v>Trung tâm Kinh doanh - TCT CNC</v>
      </c>
      <c r="Y903" s="366"/>
      <c r="Z903" s="366"/>
    </row>
    <row r="904" spans="1:26" ht="15.75" hidden="1">
      <c r="A904" s="367">
        <f>SUBTOTAL(3,$B$15:B904)</f>
        <v>2</v>
      </c>
      <c r="B904" s="382" t="s">
        <v>2123</v>
      </c>
      <c r="C904" s="383" t="s">
        <v>1215</v>
      </c>
      <c r="D904" s="384" t="s">
        <v>407</v>
      </c>
      <c r="E904" s="385">
        <v>21</v>
      </c>
      <c r="F904" s="384">
        <v>21</v>
      </c>
      <c r="G904" s="358">
        <v>23210248</v>
      </c>
      <c r="H904" s="359">
        <f t="shared" si="27"/>
        <v>22246768</v>
      </c>
      <c r="I904" s="360"/>
      <c r="J904" s="361"/>
      <c r="K904" s="362"/>
      <c r="L904" s="362"/>
      <c r="M904" s="361">
        <v>734080</v>
      </c>
      <c r="N904" s="361">
        <v>1605800</v>
      </c>
      <c r="O904" s="361">
        <v>137640</v>
      </c>
      <c r="P904" s="361">
        <v>275280</v>
      </c>
      <c r="Q904" s="361">
        <v>91760</v>
      </c>
      <c r="R904" s="361">
        <v>91760</v>
      </c>
      <c r="S904" s="361">
        <v>183520</v>
      </c>
      <c r="T904" s="386">
        <v>930000</v>
      </c>
      <c r="U904" s="364">
        <f t="shared" si="28"/>
        <v>26296608</v>
      </c>
      <c r="V904" s="362"/>
      <c r="W904" s="365" t="str">
        <f>+VLOOKUP($B904,[2]Time_S4!$B:$G,6,0)</f>
        <v>Trung tâm Nghiên cứu thiết bị vô tuyến băng rộng</v>
      </c>
      <c r="X904" s="365" t="str">
        <f>IF(W904="Phòng Kinh doanh","Trung tâm Kinh doanh - TCT CNC",+VLOOKUP($B904,[2]Time_S4!$B:$G,5,0))</f>
        <v>Khối 2 - TCT CNC</v>
      </c>
      <c r="Y904" s="366"/>
      <c r="Z904" s="366"/>
    </row>
    <row r="905" spans="1:26" ht="15.75" hidden="1">
      <c r="A905" s="367">
        <f>SUBTOTAL(3,$B$15:B905)</f>
        <v>2</v>
      </c>
      <c r="B905" s="382" t="s">
        <v>2124</v>
      </c>
      <c r="C905" s="383" t="s">
        <v>2125</v>
      </c>
      <c r="D905" s="384" t="s">
        <v>407</v>
      </c>
      <c r="E905" s="385">
        <v>21</v>
      </c>
      <c r="F905" s="384">
        <v>21</v>
      </c>
      <c r="G905" s="358">
        <v>21620892</v>
      </c>
      <c r="H905" s="359">
        <f t="shared" si="27"/>
        <v>20751156</v>
      </c>
      <c r="I905" s="360"/>
      <c r="J905" s="361"/>
      <c r="K905" s="362"/>
      <c r="L905" s="362"/>
      <c r="M905" s="361">
        <v>662656</v>
      </c>
      <c r="N905" s="361">
        <v>1449560</v>
      </c>
      <c r="O905" s="361">
        <v>124248</v>
      </c>
      <c r="P905" s="361">
        <v>248496</v>
      </c>
      <c r="Q905" s="361">
        <v>82832</v>
      </c>
      <c r="R905" s="361">
        <v>82832</v>
      </c>
      <c r="S905" s="361">
        <v>165664</v>
      </c>
      <c r="T905" s="386">
        <v>930000</v>
      </c>
      <c r="U905" s="364">
        <f t="shared" si="28"/>
        <v>24497444</v>
      </c>
      <c r="V905" s="362"/>
      <c r="W905" s="365" t="str">
        <f>+VLOOKUP($B905,[2]Time_S4!$B:$G,6,0)</f>
        <v>Trung tâm Công nghệ Cơ khí - Tự động hóa</v>
      </c>
      <c r="X905" s="365" t="str">
        <f>IF(W905="Phòng Kinh doanh","Trung tâm Kinh doanh - TCT CNC",+VLOOKUP($B905,[2]Time_S4!$B:$G,5,0))</f>
        <v>Khối 1 - TCT CNC</v>
      </c>
      <c r="Y905" s="366"/>
      <c r="Z905" s="366"/>
    </row>
    <row r="906" spans="1:26" ht="15.75" hidden="1">
      <c r="A906" s="367">
        <f>SUBTOTAL(3,$B$15:B906)</f>
        <v>2</v>
      </c>
      <c r="B906" s="382" t="s">
        <v>2126</v>
      </c>
      <c r="C906" s="383" t="s">
        <v>2127</v>
      </c>
      <c r="D906" s="384" t="s">
        <v>407</v>
      </c>
      <c r="E906" s="385">
        <v>21</v>
      </c>
      <c r="F906" s="384">
        <v>21</v>
      </c>
      <c r="G906" s="358">
        <v>18233699</v>
      </c>
      <c r="H906" s="359">
        <f t="shared" si="27"/>
        <v>17363963</v>
      </c>
      <c r="I906" s="360"/>
      <c r="J906" s="361"/>
      <c r="K906" s="362"/>
      <c r="L906" s="362"/>
      <c r="M906" s="361">
        <v>662656</v>
      </c>
      <c r="N906" s="361">
        <v>1449560</v>
      </c>
      <c r="O906" s="361">
        <v>124248</v>
      </c>
      <c r="P906" s="361">
        <v>248496</v>
      </c>
      <c r="Q906" s="361">
        <v>82832</v>
      </c>
      <c r="R906" s="361">
        <v>82832</v>
      </c>
      <c r="S906" s="361">
        <v>165664</v>
      </c>
      <c r="T906" s="386">
        <v>930000</v>
      </c>
      <c r="U906" s="364">
        <f t="shared" si="28"/>
        <v>21110251</v>
      </c>
      <c r="V906" s="362"/>
      <c r="W906" s="365" t="str">
        <f>+VLOOKUP($B906,[2]Time_S4!$B:$G,6,0)</f>
        <v>Trung tâm Tác chiến điện tử</v>
      </c>
      <c r="X906" s="365" t="str">
        <f>IF(W906="Phòng Kinh doanh","Trung tâm Kinh doanh - TCT CNC",+VLOOKUP($B906,[2]Time_S4!$B:$G,5,0))</f>
        <v>Khối 1 - TCT CNC</v>
      </c>
      <c r="Y906" s="366"/>
      <c r="Z906" s="366"/>
    </row>
    <row r="907" spans="1:26" ht="15.75" hidden="1">
      <c r="A907" s="367">
        <f>SUBTOTAL(3,$B$15:B907)</f>
        <v>2</v>
      </c>
      <c r="B907" s="382" t="s">
        <v>2128</v>
      </c>
      <c r="C907" s="383" t="s">
        <v>2129</v>
      </c>
      <c r="D907" s="384" t="s">
        <v>407</v>
      </c>
      <c r="E907" s="385">
        <v>21</v>
      </c>
      <c r="F907" s="384">
        <v>21</v>
      </c>
      <c r="G907" s="358">
        <v>22256060</v>
      </c>
      <c r="H907" s="359">
        <f t="shared" si="27"/>
        <v>21292580</v>
      </c>
      <c r="I907" s="360"/>
      <c r="J907" s="361"/>
      <c r="K907" s="362"/>
      <c r="L907" s="362"/>
      <c r="M907" s="361">
        <v>734080</v>
      </c>
      <c r="N907" s="361">
        <v>1605800</v>
      </c>
      <c r="O907" s="361">
        <v>137640</v>
      </c>
      <c r="P907" s="361">
        <v>275280</v>
      </c>
      <c r="Q907" s="361">
        <v>91760</v>
      </c>
      <c r="R907" s="361">
        <v>91760</v>
      </c>
      <c r="S907" s="361">
        <v>183520</v>
      </c>
      <c r="T907" s="386">
        <v>930000</v>
      </c>
      <c r="U907" s="364">
        <f t="shared" si="28"/>
        <v>25342420</v>
      </c>
      <c r="V907" s="362"/>
      <c r="W907" s="365" t="str">
        <f>+VLOOKUP($B907,[2]Time_S4!$B:$G,6,0)</f>
        <v>Trung tâm Tác chiến điện tử</v>
      </c>
      <c r="X907" s="365" t="str">
        <f>IF(W907="Phòng Kinh doanh","Trung tâm Kinh doanh - TCT CNC",+VLOOKUP($B907,[2]Time_S4!$B:$G,5,0))</f>
        <v>Khối 1 - TCT CNC</v>
      </c>
      <c r="Y907" s="366"/>
      <c r="Z907" s="366"/>
    </row>
    <row r="908" spans="1:26" ht="15.75" hidden="1">
      <c r="A908" s="367">
        <f>SUBTOTAL(3,$B$15:B908)</f>
        <v>2</v>
      </c>
      <c r="B908" s="382" t="s">
        <v>2130</v>
      </c>
      <c r="C908" s="383" t="s">
        <v>2131</v>
      </c>
      <c r="D908" s="384" t="s">
        <v>407</v>
      </c>
      <c r="E908" s="385">
        <v>21</v>
      </c>
      <c r="F908" s="384">
        <v>21</v>
      </c>
      <c r="G908" s="358">
        <v>51189069</v>
      </c>
      <c r="H908" s="359">
        <f t="shared" si="27"/>
        <v>49944357</v>
      </c>
      <c r="I908" s="360"/>
      <c r="J908" s="361"/>
      <c r="K908" s="362"/>
      <c r="L908" s="362"/>
      <c r="M908" s="361">
        <v>948352</v>
      </c>
      <c r="N908" s="361">
        <v>2074520</v>
      </c>
      <c r="O908" s="361">
        <v>177816</v>
      </c>
      <c r="P908" s="361">
        <v>355632</v>
      </c>
      <c r="Q908" s="361">
        <v>118544</v>
      </c>
      <c r="R908" s="361">
        <v>118544</v>
      </c>
      <c r="S908" s="361">
        <v>237088</v>
      </c>
      <c r="T908" s="386">
        <v>1030000</v>
      </c>
      <c r="U908" s="364">
        <f t="shared" si="28"/>
        <v>55004853</v>
      </c>
      <c r="V908" s="362"/>
      <c r="W908" s="365" t="str">
        <f>+VLOOKUP($B908,[2]Time_S4!$B:$G,6,0)</f>
        <v>Trung tâm Tác chiến điện tử</v>
      </c>
      <c r="X908" s="365" t="str">
        <f>IF(W908="Phòng Kinh doanh","Trung tâm Kinh doanh - TCT CNC",+VLOOKUP($B908,[2]Time_S4!$B:$G,5,0))</f>
        <v>Khối 1 - TCT CNC</v>
      </c>
      <c r="Y908" s="366"/>
      <c r="Z908" s="366"/>
    </row>
    <row r="909" spans="1:26" ht="15.75" hidden="1">
      <c r="A909" s="367">
        <f>SUBTOTAL(3,$B$15:B909)</f>
        <v>2</v>
      </c>
      <c r="B909" s="382" t="s">
        <v>2132</v>
      </c>
      <c r="C909" s="383" t="s">
        <v>2133</v>
      </c>
      <c r="D909" s="384" t="s">
        <v>407</v>
      </c>
      <c r="E909" s="385">
        <v>21</v>
      </c>
      <c r="F909" s="384">
        <v>21</v>
      </c>
      <c r="G909" s="358">
        <v>14938548</v>
      </c>
      <c r="H909" s="359">
        <f t="shared" si="27"/>
        <v>14152140</v>
      </c>
      <c r="I909" s="360"/>
      <c r="J909" s="361"/>
      <c r="K909" s="362"/>
      <c r="L909" s="362"/>
      <c r="M909" s="361">
        <v>599168</v>
      </c>
      <c r="N909" s="361">
        <v>1310680</v>
      </c>
      <c r="O909" s="361">
        <v>112344</v>
      </c>
      <c r="P909" s="361">
        <v>224688</v>
      </c>
      <c r="Q909" s="361">
        <v>74896</v>
      </c>
      <c r="R909" s="361">
        <v>74896</v>
      </c>
      <c r="S909" s="361">
        <v>149792</v>
      </c>
      <c r="T909" s="386">
        <v>1047000</v>
      </c>
      <c r="U909" s="364">
        <f t="shared" si="28"/>
        <v>17745604</v>
      </c>
      <c r="V909" s="362"/>
      <c r="W909" s="365" t="str">
        <f>+VLOOKUP($B909,[2]Time_S4!$B:$G,6,0)</f>
        <v>Trung tâm Thông tin Quân sự</v>
      </c>
      <c r="X909" s="365" t="str">
        <f>IF(W909="Phòng Kinh doanh","Trung tâm Kinh doanh - TCT CNC",+VLOOKUP($B909,[2]Time_S4!$B:$G,5,0))</f>
        <v>Khối 1 - TCT CNC</v>
      </c>
      <c r="Y909" s="366"/>
      <c r="Z909" s="366"/>
    </row>
    <row r="910" spans="1:26" ht="15.75" hidden="1">
      <c r="A910" s="367">
        <f>SUBTOTAL(3,$B$15:B910)</f>
        <v>2</v>
      </c>
      <c r="B910" s="382" t="s">
        <v>2134</v>
      </c>
      <c r="C910" s="383" t="s">
        <v>2135</v>
      </c>
      <c r="D910" s="384" t="s">
        <v>407</v>
      </c>
      <c r="E910" s="385">
        <v>21</v>
      </c>
      <c r="F910" s="384">
        <v>21</v>
      </c>
      <c r="G910" s="358">
        <v>23210248</v>
      </c>
      <c r="H910" s="359">
        <f t="shared" si="27"/>
        <v>22246768</v>
      </c>
      <c r="I910" s="360"/>
      <c r="J910" s="361"/>
      <c r="K910" s="362"/>
      <c r="L910" s="362"/>
      <c r="M910" s="361">
        <v>734080</v>
      </c>
      <c r="N910" s="361">
        <v>1605800</v>
      </c>
      <c r="O910" s="361">
        <v>137640</v>
      </c>
      <c r="P910" s="361">
        <v>275280</v>
      </c>
      <c r="Q910" s="361">
        <v>91760</v>
      </c>
      <c r="R910" s="361">
        <v>91760</v>
      </c>
      <c r="S910" s="361">
        <v>183520</v>
      </c>
      <c r="T910" s="386">
        <v>930000</v>
      </c>
      <c r="U910" s="364">
        <f t="shared" si="28"/>
        <v>26296608</v>
      </c>
      <c r="V910" s="362"/>
      <c r="W910" s="365" t="str">
        <f>+VLOOKUP($B910,[2]Time_S4!$B:$G,6,0)</f>
        <v>Trung tâm Nghiên cứu thiết bị vô tuyến băng rộng</v>
      </c>
      <c r="X910" s="365" t="str">
        <f>IF(W910="Phòng Kinh doanh","Trung tâm Kinh doanh - TCT CNC",+VLOOKUP($B910,[2]Time_S4!$B:$G,5,0))</f>
        <v>Khối 2 - TCT CNC</v>
      </c>
      <c r="Y910" s="366"/>
      <c r="Z910" s="366"/>
    </row>
    <row r="911" spans="1:26" ht="15.75" hidden="1">
      <c r="A911" s="367">
        <f>SUBTOTAL(3,$B$15:B911)</f>
        <v>2</v>
      </c>
      <c r="B911" s="382" t="s">
        <v>2136</v>
      </c>
      <c r="C911" s="383" t="s">
        <v>2137</v>
      </c>
      <c r="D911" s="384" t="s">
        <v>407</v>
      </c>
      <c r="E911" s="385">
        <v>21</v>
      </c>
      <c r="F911" s="384">
        <v>21</v>
      </c>
      <c r="G911" s="358">
        <v>29324708</v>
      </c>
      <c r="H911" s="359">
        <f t="shared" si="27"/>
        <v>28309148</v>
      </c>
      <c r="I911" s="360"/>
      <c r="J911" s="361"/>
      <c r="K911" s="362"/>
      <c r="L911" s="362"/>
      <c r="M911" s="361">
        <v>773760</v>
      </c>
      <c r="N911" s="361">
        <v>1692600</v>
      </c>
      <c r="O911" s="361">
        <v>145080</v>
      </c>
      <c r="P911" s="361">
        <v>290160</v>
      </c>
      <c r="Q911" s="361">
        <v>96720</v>
      </c>
      <c r="R911" s="361">
        <v>96720</v>
      </c>
      <c r="S911" s="361">
        <v>193440</v>
      </c>
      <c r="T911" s="386">
        <v>930000</v>
      </c>
      <c r="U911" s="364">
        <f t="shared" si="28"/>
        <v>32527628</v>
      </c>
      <c r="V911" s="362"/>
      <c r="W911" s="365" t="str">
        <f>+VLOOKUP($B911,[2]Time_S4!$B:$G,6,0)</f>
        <v>Trung tâm Nghiên cứu Công nghệ truyền dẫn</v>
      </c>
      <c r="X911" s="365" t="str">
        <f>IF(W911="Phòng Kinh doanh","Trung tâm Kinh doanh - TCT CNC",+VLOOKUP($B911,[2]Time_S4!$B:$G,5,0))</f>
        <v>Khối 2 - TCT CNC</v>
      </c>
      <c r="Y911" s="366"/>
      <c r="Z911" s="366"/>
    </row>
    <row r="912" spans="1:26" ht="15.75" hidden="1">
      <c r="A912" s="367">
        <f>SUBTOTAL(3,$B$15:B912)</f>
        <v>2</v>
      </c>
      <c r="B912" s="382" t="s">
        <v>2138</v>
      </c>
      <c r="C912" s="383" t="s">
        <v>2139</v>
      </c>
      <c r="D912" s="384" t="s">
        <v>407</v>
      </c>
      <c r="E912" s="385">
        <v>21</v>
      </c>
      <c r="F912" s="384">
        <v>21</v>
      </c>
      <c r="G912" s="358">
        <v>27460838</v>
      </c>
      <c r="H912" s="359">
        <f t="shared" ref="H912:H975" si="29">+G912-SUM(M912,O912,Q912)</f>
        <v>26445278</v>
      </c>
      <c r="I912" s="360"/>
      <c r="J912" s="361"/>
      <c r="K912" s="362"/>
      <c r="L912" s="362"/>
      <c r="M912" s="361">
        <v>773760</v>
      </c>
      <c r="N912" s="361">
        <v>1692600</v>
      </c>
      <c r="O912" s="361">
        <v>145080</v>
      </c>
      <c r="P912" s="361">
        <v>290160</v>
      </c>
      <c r="Q912" s="361">
        <v>96720</v>
      </c>
      <c r="R912" s="361">
        <v>96720</v>
      </c>
      <c r="S912" s="361">
        <v>193440</v>
      </c>
      <c r="T912" s="386">
        <v>930000</v>
      </c>
      <c r="U912" s="364">
        <f t="shared" ref="U912:U975" si="30">+SUM(H912:T912)</f>
        <v>30663758</v>
      </c>
      <c r="V912" s="362"/>
      <c r="W912" s="365" t="str">
        <f>+VLOOKUP($B912,[2]Time_S4!$B:$G,6,0)</f>
        <v>Trung tâm Quang điện tử</v>
      </c>
      <c r="X912" s="365" t="str">
        <f>IF(W912="Phòng Kinh doanh","Trung tâm Kinh doanh - TCT CNC",+VLOOKUP($B912,[2]Time_S4!$B:$G,5,0))</f>
        <v>Khối 1 - TCT CNC</v>
      </c>
      <c r="Y912" s="366"/>
      <c r="Z912" s="366"/>
    </row>
    <row r="913" spans="1:26" ht="15.75" hidden="1">
      <c r="A913" s="367">
        <f>SUBTOTAL(3,$B$15:B913)</f>
        <v>2</v>
      </c>
      <c r="B913" s="382" t="s">
        <v>2140</v>
      </c>
      <c r="C913" s="383" t="s">
        <v>2141</v>
      </c>
      <c r="D913" s="384" t="s">
        <v>407</v>
      </c>
      <c r="E913" s="385">
        <v>21</v>
      </c>
      <c r="F913" s="384">
        <v>21</v>
      </c>
      <c r="G913" s="358">
        <v>19830538</v>
      </c>
      <c r="H913" s="359">
        <f t="shared" si="29"/>
        <v>18913930</v>
      </c>
      <c r="I913" s="360"/>
      <c r="J913" s="361"/>
      <c r="K913" s="362"/>
      <c r="L913" s="362"/>
      <c r="M913" s="361">
        <v>698368</v>
      </c>
      <c r="N913" s="361">
        <v>1527680</v>
      </c>
      <c r="O913" s="361">
        <v>130944</v>
      </c>
      <c r="P913" s="361">
        <v>261888</v>
      </c>
      <c r="Q913" s="361">
        <v>87296</v>
      </c>
      <c r="R913" s="361">
        <v>87296</v>
      </c>
      <c r="S913" s="361">
        <v>174592</v>
      </c>
      <c r="T913" s="386">
        <v>930000</v>
      </c>
      <c r="U913" s="364">
        <f t="shared" si="30"/>
        <v>22811994</v>
      </c>
      <c r="V913" s="362"/>
      <c r="W913" s="365" t="str">
        <f>+VLOOKUP($B913,[2]Time_S4!$B:$G,6,0)</f>
        <v>Trung tâm Rada</v>
      </c>
      <c r="X913" s="365" t="str">
        <f>IF(W913="Phòng Kinh doanh","Trung tâm Kinh doanh - TCT CNC",+VLOOKUP($B913,[2]Time_S4!$B:$G,5,0))</f>
        <v>Khối 1 - TCT CNC</v>
      </c>
      <c r="Y913" s="366"/>
      <c r="Z913" s="366"/>
    </row>
    <row r="914" spans="1:26" ht="15.75" hidden="1">
      <c r="A914" s="367">
        <f>SUBTOTAL(3,$B$15:B914)</f>
        <v>2</v>
      </c>
      <c r="B914" s="382" t="s">
        <v>2142</v>
      </c>
      <c r="C914" s="383" t="s">
        <v>2143</v>
      </c>
      <c r="D914" s="384" t="s">
        <v>407</v>
      </c>
      <c r="E914" s="385">
        <v>21</v>
      </c>
      <c r="F914" s="384">
        <v>21</v>
      </c>
      <c r="G914" s="358">
        <v>23952591</v>
      </c>
      <c r="H914" s="359">
        <f t="shared" si="29"/>
        <v>22937031</v>
      </c>
      <c r="I914" s="360"/>
      <c r="J914" s="361"/>
      <c r="K914" s="362"/>
      <c r="L914" s="362"/>
      <c r="M914" s="361">
        <v>773760</v>
      </c>
      <c r="N914" s="361">
        <v>1692600</v>
      </c>
      <c r="O914" s="361">
        <v>145080</v>
      </c>
      <c r="P914" s="361">
        <v>290160</v>
      </c>
      <c r="Q914" s="361">
        <v>96720</v>
      </c>
      <c r="R914" s="361">
        <v>96720</v>
      </c>
      <c r="S914" s="361">
        <v>193440</v>
      </c>
      <c r="T914" s="386">
        <v>1398000</v>
      </c>
      <c r="U914" s="364">
        <f t="shared" si="30"/>
        <v>27623511</v>
      </c>
      <c r="V914" s="362"/>
      <c r="W914" s="365" t="str">
        <f>+VLOOKUP($B914,[2]Time_S4!$B:$G,6,0)</f>
        <v>Trung tâm Khí cụ bay</v>
      </c>
      <c r="X914" s="365" t="str">
        <f>IF(W914="Phòng Kinh doanh","Trung tâm Kinh doanh - TCT CNC",+VLOOKUP($B914,[2]Time_S4!$B:$G,5,0))</f>
        <v>Khối 1 - TCT CNC</v>
      </c>
      <c r="Y914" s="366"/>
      <c r="Z914" s="366"/>
    </row>
    <row r="915" spans="1:26" ht="15.75" hidden="1">
      <c r="A915" s="367">
        <f>SUBTOTAL(3,$B$15:B915)</f>
        <v>2</v>
      </c>
      <c r="B915" s="382" t="s">
        <v>2144</v>
      </c>
      <c r="C915" s="383" t="s">
        <v>2145</v>
      </c>
      <c r="D915" s="384" t="s">
        <v>407</v>
      </c>
      <c r="E915" s="385">
        <v>21</v>
      </c>
      <c r="F915" s="384">
        <v>21</v>
      </c>
      <c r="G915" s="358">
        <v>20680583</v>
      </c>
      <c r="H915" s="359">
        <f t="shared" si="29"/>
        <v>19763975</v>
      </c>
      <c r="I915" s="360"/>
      <c r="J915" s="361"/>
      <c r="K915" s="362"/>
      <c r="L915" s="362"/>
      <c r="M915" s="361">
        <v>698368</v>
      </c>
      <c r="N915" s="361">
        <v>1527680</v>
      </c>
      <c r="O915" s="361">
        <v>130944</v>
      </c>
      <c r="P915" s="361">
        <v>261888</v>
      </c>
      <c r="Q915" s="361">
        <v>87296</v>
      </c>
      <c r="R915" s="361">
        <v>87296</v>
      </c>
      <c r="S915" s="361">
        <v>174592</v>
      </c>
      <c r="T915" s="386">
        <v>1047000</v>
      </c>
      <c r="U915" s="364">
        <f t="shared" si="30"/>
        <v>23779039</v>
      </c>
      <c r="V915" s="362"/>
      <c r="W915" s="365" t="str">
        <f>+VLOOKUP($B915,[2]Time_S4!$B:$G,6,0)</f>
        <v>Trung tâm Nghiên cứu thiết bị vô tuyến băng rộng</v>
      </c>
      <c r="X915" s="365" t="str">
        <f>IF(W915="Phòng Kinh doanh","Trung tâm Kinh doanh - TCT CNC",+VLOOKUP($B915,[2]Time_S4!$B:$G,5,0))</f>
        <v>Khối 2 - TCT CNC</v>
      </c>
      <c r="Y915" s="366"/>
      <c r="Z915" s="366"/>
    </row>
    <row r="916" spans="1:26" ht="15.75" hidden="1">
      <c r="A916" s="367">
        <f>SUBTOTAL(3,$B$15:B916)</f>
        <v>2</v>
      </c>
      <c r="B916" s="382" t="s">
        <v>2146</v>
      </c>
      <c r="C916" s="383" t="s">
        <v>2147</v>
      </c>
      <c r="D916" s="384" t="s">
        <v>407</v>
      </c>
      <c r="E916" s="385">
        <v>21</v>
      </c>
      <c r="F916" s="384">
        <v>21</v>
      </c>
      <c r="G916" s="358">
        <v>17121074</v>
      </c>
      <c r="H916" s="359">
        <f t="shared" si="29"/>
        <v>16293002</v>
      </c>
      <c r="I916" s="360"/>
      <c r="J916" s="361"/>
      <c r="K916" s="362"/>
      <c r="L916" s="362"/>
      <c r="M916" s="361">
        <v>630912</v>
      </c>
      <c r="N916" s="361">
        <v>1380120</v>
      </c>
      <c r="O916" s="361">
        <v>118296</v>
      </c>
      <c r="P916" s="361">
        <v>236592</v>
      </c>
      <c r="Q916" s="361">
        <v>78864</v>
      </c>
      <c r="R916" s="361">
        <v>78864</v>
      </c>
      <c r="S916" s="361">
        <v>157728</v>
      </c>
      <c r="T916" s="386">
        <v>930000</v>
      </c>
      <c r="U916" s="364">
        <f t="shared" si="30"/>
        <v>19904378</v>
      </c>
      <c r="V916" s="362"/>
      <c r="W916" s="365" t="str">
        <f>+VLOOKUP($B916,[2]Time_S4!$B:$G,6,0)</f>
        <v>Trung tâm Nghiên cứu thiết bị vô tuyến băng rộng</v>
      </c>
      <c r="X916" s="365" t="str">
        <f>IF(W916="Phòng Kinh doanh","Trung tâm Kinh doanh - TCT CNC",+VLOOKUP($B916,[2]Time_S4!$B:$G,5,0))</f>
        <v>Khối 2 - TCT CNC</v>
      </c>
      <c r="Y916" s="366"/>
      <c r="Z916" s="366"/>
    </row>
    <row r="917" spans="1:26" ht="15.75" hidden="1">
      <c r="A917" s="367">
        <f>SUBTOTAL(3,$B$15:B917)</f>
        <v>2</v>
      </c>
      <c r="B917" s="382" t="s">
        <v>2148</v>
      </c>
      <c r="C917" s="383" t="s">
        <v>2149</v>
      </c>
      <c r="D917" s="384" t="s">
        <v>407</v>
      </c>
      <c r="E917" s="385">
        <v>21</v>
      </c>
      <c r="F917" s="384">
        <v>21</v>
      </c>
      <c r="G917" s="358">
        <v>28778186</v>
      </c>
      <c r="H917" s="359">
        <f t="shared" si="29"/>
        <v>27762626</v>
      </c>
      <c r="I917" s="360"/>
      <c r="J917" s="361"/>
      <c r="K917" s="362"/>
      <c r="L917" s="362"/>
      <c r="M917" s="361">
        <v>773760</v>
      </c>
      <c r="N917" s="361">
        <v>1692600</v>
      </c>
      <c r="O917" s="361">
        <v>145080</v>
      </c>
      <c r="P917" s="361">
        <v>290160</v>
      </c>
      <c r="Q917" s="361">
        <v>96720</v>
      </c>
      <c r="R917" s="361">
        <v>96720</v>
      </c>
      <c r="S917" s="361">
        <v>193440</v>
      </c>
      <c r="T917" s="386">
        <v>1398000</v>
      </c>
      <c r="U917" s="364">
        <f t="shared" si="30"/>
        <v>32449106</v>
      </c>
      <c r="V917" s="362"/>
      <c r="W917" s="365" t="str">
        <f>+VLOOKUP($B917,[2]Time_S4!$B:$G,6,0)</f>
        <v>Trung tâm Quang điện tử</v>
      </c>
      <c r="X917" s="365" t="str">
        <f>IF(W917="Phòng Kinh doanh","Trung tâm Kinh doanh - TCT CNC",+VLOOKUP($B917,[2]Time_S4!$B:$G,5,0))</f>
        <v>Khối 1 - TCT CNC</v>
      </c>
      <c r="Y917" s="366"/>
      <c r="Z917" s="366"/>
    </row>
    <row r="918" spans="1:26" ht="15.75" hidden="1">
      <c r="A918" s="367">
        <f>SUBTOTAL(3,$B$15:B918)</f>
        <v>2</v>
      </c>
      <c r="B918" s="382" t="s">
        <v>2150</v>
      </c>
      <c r="C918" s="383" t="s">
        <v>2151</v>
      </c>
      <c r="D918" s="384" t="s">
        <v>407</v>
      </c>
      <c r="E918" s="385">
        <v>21</v>
      </c>
      <c r="F918" s="384">
        <v>21</v>
      </c>
      <c r="G918" s="358">
        <v>26210248</v>
      </c>
      <c r="H918" s="359">
        <f t="shared" si="29"/>
        <v>25246768</v>
      </c>
      <c r="I918" s="360"/>
      <c r="J918" s="361"/>
      <c r="K918" s="362"/>
      <c r="L918" s="362"/>
      <c r="M918" s="361">
        <v>734080</v>
      </c>
      <c r="N918" s="361">
        <v>1605800</v>
      </c>
      <c r="O918" s="361">
        <v>137640</v>
      </c>
      <c r="P918" s="361">
        <v>275280</v>
      </c>
      <c r="Q918" s="361">
        <v>91760</v>
      </c>
      <c r="R918" s="361">
        <v>91760</v>
      </c>
      <c r="S918" s="361">
        <v>183520</v>
      </c>
      <c r="T918" s="386">
        <v>1281000</v>
      </c>
      <c r="U918" s="364">
        <f t="shared" si="30"/>
        <v>29647608</v>
      </c>
      <c r="V918" s="362"/>
      <c r="W918" s="365" t="str">
        <f>+VLOOKUP($B918,[2]Time_S4!$B:$G,6,0)</f>
        <v>Trung tâm Rada</v>
      </c>
      <c r="X918" s="365" t="str">
        <f>IF(W918="Phòng Kinh doanh","Trung tâm Kinh doanh - TCT CNC",+VLOOKUP($B918,[2]Time_S4!$B:$G,5,0))</f>
        <v>Khối 1 - TCT CNC</v>
      </c>
      <c r="Y918" s="366"/>
      <c r="Z918" s="366"/>
    </row>
    <row r="919" spans="1:26" ht="15.75" hidden="1">
      <c r="A919" s="367">
        <f>SUBTOTAL(3,$B$15:B919)</f>
        <v>2</v>
      </c>
      <c r="B919" s="382" t="s">
        <v>2152</v>
      </c>
      <c r="C919" s="383" t="s">
        <v>2153</v>
      </c>
      <c r="D919" s="384" t="s">
        <v>407</v>
      </c>
      <c r="E919" s="385">
        <v>21</v>
      </c>
      <c r="F919" s="384">
        <v>21</v>
      </c>
      <c r="G919" s="358">
        <v>33031611</v>
      </c>
      <c r="H919" s="359">
        <f t="shared" si="29"/>
        <v>31906683</v>
      </c>
      <c r="I919" s="360"/>
      <c r="J919" s="361"/>
      <c r="K919" s="362"/>
      <c r="L919" s="362"/>
      <c r="M919" s="361">
        <v>857088</v>
      </c>
      <c r="N919" s="361">
        <v>1874880</v>
      </c>
      <c r="O919" s="361">
        <v>160704</v>
      </c>
      <c r="P919" s="361">
        <v>321408</v>
      </c>
      <c r="Q919" s="361">
        <v>107136</v>
      </c>
      <c r="R919" s="361">
        <v>107136</v>
      </c>
      <c r="S919" s="361">
        <v>214272</v>
      </c>
      <c r="T919" s="386">
        <v>1030000</v>
      </c>
      <c r="U919" s="364">
        <f t="shared" si="30"/>
        <v>36579307</v>
      </c>
      <c r="V919" s="362"/>
      <c r="W919" s="365" t="str">
        <f>+VLOOKUP($B919,[2]Time_S4!$B:$G,6,0)</f>
        <v>Trung tâm Nghiên cứu thiết bị vô tuyến băng rộng</v>
      </c>
      <c r="X919" s="365" t="str">
        <f>IF(W919="Phòng Kinh doanh","Trung tâm Kinh doanh - TCT CNC",+VLOOKUP($B919,[2]Time_S4!$B:$G,5,0))</f>
        <v>Khối 2 - TCT CNC</v>
      </c>
      <c r="Y919" s="366"/>
      <c r="Z919" s="366"/>
    </row>
    <row r="920" spans="1:26" ht="15.75" hidden="1">
      <c r="A920" s="367">
        <f>SUBTOTAL(3,$B$15:B920)</f>
        <v>2</v>
      </c>
      <c r="B920" s="382" t="s">
        <v>2154</v>
      </c>
      <c r="C920" s="383" t="s">
        <v>2155</v>
      </c>
      <c r="D920" s="384" t="s">
        <v>407</v>
      </c>
      <c r="E920" s="385">
        <v>21</v>
      </c>
      <c r="F920" s="384">
        <v>21</v>
      </c>
      <c r="G920" s="358">
        <v>26119403</v>
      </c>
      <c r="H920" s="359">
        <f t="shared" si="29"/>
        <v>25202795</v>
      </c>
      <c r="I920" s="360"/>
      <c r="J920" s="361"/>
      <c r="K920" s="362"/>
      <c r="L920" s="362"/>
      <c r="M920" s="361">
        <v>698368</v>
      </c>
      <c r="N920" s="361">
        <v>1527680</v>
      </c>
      <c r="O920" s="361">
        <v>130944</v>
      </c>
      <c r="P920" s="361">
        <v>261888</v>
      </c>
      <c r="Q920" s="361">
        <v>87296</v>
      </c>
      <c r="R920" s="361">
        <v>87296</v>
      </c>
      <c r="S920" s="361">
        <v>174592</v>
      </c>
      <c r="T920" s="386">
        <v>1047000</v>
      </c>
      <c r="U920" s="364">
        <f t="shared" si="30"/>
        <v>29217859</v>
      </c>
      <c r="V920" s="362"/>
      <c r="W920" s="365" t="str">
        <f>+VLOOKUP($B920,[2]Time_S4!$B:$G,6,0)</f>
        <v>Trung tâm Phát triển nền tảng thanh toán</v>
      </c>
      <c r="X920" s="365" t="str">
        <f>IF(W920="Phòng Kinh doanh","Trung tâm Kinh doanh - TCT CNC",+VLOOKUP($B920,[2]Time_S4!$B:$G,5,0))</f>
        <v>Khối 2 - TCT CNC</v>
      </c>
      <c r="Y920" s="366"/>
      <c r="Z920" s="366"/>
    </row>
    <row r="921" spans="1:26" ht="15.75" hidden="1">
      <c r="A921" s="367">
        <f>SUBTOTAL(3,$B$15:B921)</f>
        <v>2</v>
      </c>
      <c r="B921" s="382" t="s">
        <v>2156</v>
      </c>
      <c r="C921" s="383" t="s">
        <v>2157</v>
      </c>
      <c r="D921" s="384" t="s">
        <v>407</v>
      </c>
      <c r="E921" s="385">
        <v>21</v>
      </c>
      <c r="F921" s="384">
        <v>21</v>
      </c>
      <c r="G921" s="358">
        <v>26049667</v>
      </c>
      <c r="H921" s="359">
        <f t="shared" si="29"/>
        <v>25034107</v>
      </c>
      <c r="I921" s="360"/>
      <c r="J921" s="361"/>
      <c r="K921" s="362"/>
      <c r="L921" s="362"/>
      <c r="M921" s="361">
        <v>773760</v>
      </c>
      <c r="N921" s="361">
        <v>1692600</v>
      </c>
      <c r="O921" s="361">
        <v>145080</v>
      </c>
      <c r="P921" s="361">
        <v>290160</v>
      </c>
      <c r="Q921" s="361">
        <v>96720</v>
      </c>
      <c r="R921" s="361">
        <v>96720</v>
      </c>
      <c r="S921" s="361">
        <v>193440</v>
      </c>
      <c r="T921" s="386">
        <v>930000</v>
      </c>
      <c r="U921" s="364">
        <f t="shared" si="30"/>
        <v>29252587</v>
      </c>
      <c r="V921" s="362"/>
      <c r="W921" s="365" t="str">
        <f>+VLOOKUP($B921,[2]Time_S4!$B:$G,6,0)</f>
        <v>Trung tâm Tác chiến điện tử</v>
      </c>
      <c r="X921" s="365" t="str">
        <f>IF(W921="Phòng Kinh doanh","Trung tâm Kinh doanh - TCT CNC",+VLOOKUP($B921,[2]Time_S4!$B:$G,5,0))</f>
        <v>Khối 1 - TCT CNC</v>
      </c>
      <c r="Y921" s="366"/>
      <c r="Z921" s="366"/>
    </row>
    <row r="922" spans="1:26" ht="15.75" hidden="1">
      <c r="A922" s="367">
        <f>SUBTOTAL(3,$B$15:B922)</f>
        <v>2</v>
      </c>
      <c r="B922" s="382" t="s">
        <v>2158</v>
      </c>
      <c r="C922" s="383" t="s">
        <v>2159</v>
      </c>
      <c r="D922" s="384" t="s">
        <v>407</v>
      </c>
      <c r="E922" s="385">
        <v>21</v>
      </c>
      <c r="F922" s="384">
        <v>21</v>
      </c>
      <c r="G922" s="358">
        <v>20039711</v>
      </c>
      <c r="H922" s="359">
        <f t="shared" si="29"/>
        <v>19123103</v>
      </c>
      <c r="I922" s="360"/>
      <c r="J922" s="361"/>
      <c r="K922" s="362"/>
      <c r="L922" s="362"/>
      <c r="M922" s="361">
        <v>698368</v>
      </c>
      <c r="N922" s="361">
        <v>1527680</v>
      </c>
      <c r="O922" s="361">
        <v>130944</v>
      </c>
      <c r="P922" s="361">
        <v>261888</v>
      </c>
      <c r="Q922" s="361">
        <v>87296</v>
      </c>
      <c r="R922" s="361">
        <v>87296</v>
      </c>
      <c r="S922" s="361">
        <v>174592</v>
      </c>
      <c r="T922" s="386">
        <v>1047000</v>
      </c>
      <c r="U922" s="364">
        <f t="shared" si="30"/>
        <v>23138167</v>
      </c>
      <c r="V922" s="362"/>
      <c r="W922" s="365" t="str">
        <f>+VLOOKUP($B922,[2]Time_S4!$B:$G,6,0)</f>
        <v>Trung tâm Camera</v>
      </c>
      <c r="X922" s="365" t="str">
        <f>IF(W922="Phòng Kinh doanh","Trung tâm Kinh doanh - TCT CNC",+VLOOKUP($B922,[2]Time_S4!$B:$G,5,0))</f>
        <v>Khối 3 - TCT CNC</v>
      </c>
      <c r="Y922" s="366"/>
      <c r="Z922" s="366"/>
    </row>
    <row r="923" spans="1:26" ht="15.75" hidden="1">
      <c r="A923" s="367">
        <f>SUBTOTAL(3,$B$15:B923)</f>
        <v>2</v>
      </c>
      <c r="B923" s="382" t="s">
        <v>2160</v>
      </c>
      <c r="C923" s="383" t="s">
        <v>2161</v>
      </c>
      <c r="D923" s="384" t="s">
        <v>407</v>
      </c>
      <c r="E923" s="385">
        <v>21</v>
      </c>
      <c r="F923" s="384">
        <v>21</v>
      </c>
      <c r="G923" s="358">
        <v>29431157</v>
      </c>
      <c r="H923" s="359">
        <f t="shared" si="29"/>
        <v>28363517</v>
      </c>
      <c r="I923" s="360"/>
      <c r="J923" s="361"/>
      <c r="K923" s="362"/>
      <c r="L923" s="362"/>
      <c r="M923" s="361">
        <v>813440</v>
      </c>
      <c r="N923" s="361">
        <v>1779400</v>
      </c>
      <c r="O923" s="361">
        <v>152520</v>
      </c>
      <c r="P923" s="361">
        <v>305040</v>
      </c>
      <c r="Q923" s="361">
        <v>101680</v>
      </c>
      <c r="R923" s="361">
        <v>101680</v>
      </c>
      <c r="S923" s="361">
        <v>203360</v>
      </c>
      <c r="T923" s="386">
        <v>1147000</v>
      </c>
      <c r="U923" s="364">
        <f t="shared" si="30"/>
        <v>32967637</v>
      </c>
      <c r="V923" s="362"/>
      <c r="W923" s="365" t="str">
        <f>+VLOOKUP($B923,[2]Time_S4!$B:$G,6,0)</f>
        <v>Phòng Quản lý sản xuất</v>
      </c>
      <c r="X923" s="365" t="str">
        <f>IF(W923="Phòng Kinh doanh","Trung tâm Kinh doanh - TCT CNC",+VLOOKUP($B923,[2]Time_S4!$B:$G,5,0))</f>
        <v>Khối 2 - TCT CNC</v>
      </c>
      <c r="Y923" s="366"/>
      <c r="Z923" s="366"/>
    </row>
    <row r="924" spans="1:26" ht="15.75" hidden="1">
      <c r="A924" s="367">
        <f>SUBTOTAL(3,$B$15:B924)</f>
        <v>2</v>
      </c>
      <c r="B924" s="382" t="s">
        <v>2162</v>
      </c>
      <c r="C924" s="383" t="s">
        <v>2163</v>
      </c>
      <c r="D924" s="384" t="s">
        <v>407</v>
      </c>
      <c r="E924" s="385">
        <v>21</v>
      </c>
      <c r="F924" s="384">
        <v>21</v>
      </c>
      <c r="G924" s="358">
        <v>16076986</v>
      </c>
      <c r="H924" s="359">
        <f t="shared" si="29"/>
        <v>15248914</v>
      </c>
      <c r="I924" s="360"/>
      <c r="J924" s="361"/>
      <c r="K924" s="362"/>
      <c r="L924" s="362"/>
      <c r="M924" s="361">
        <v>630912</v>
      </c>
      <c r="N924" s="361">
        <v>1380120</v>
      </c>
      <c r="O924" s="361">
        <v>118296</v>
      </c>
      <c r="P924" s="361">
        <v>236592</v>
      </c>
      <c r="Q924" s="361">
        <v>78864</v>
      </c>
      <c r="R924" s="361">
        <v>78864</v>
      </c>
      <c r="S924" s="361">
        <v>157728</v>
      </c>
      <c r="T924" s="386">
        <v>1047000</v>
      </c>
      <c r="U924" s="364">
        <f t="shared" si="30"/>
        <v>18977290</v>
      </c>
      <c r="V924" s="362"/>
      <c r="W924" s="365" t="str">
        <f>+VLOOKUP($B924,[2]Time_S4!$B:$G,6,0)</f>
        <v>Trung tâm Khí cụ bay</v>
      </c>
      <c r="X924" s="365" t="str">
        <f>IF(W924="Phòng Kinh doanh","Trung tâm Kinh doanh - TCT CNC",+VLOOKUP($B924,[2]Time_S4!$B:$G,5,0))</f>
        <v>Khối 1 - TCT CNC</v>
      </c>
      <c r="Y924" s="366"/>
      <c r="Z924" s="366"/>
    </row>
    <row r="925" spans="1:26" ht="15.75" hidden="1">
      <c r="A925" s="367">
        <f>SUBTOTAL(3,$B$15:B925)</f>
        <v>2</v>
      </c>
      <c r="B925" s="382" t="s">
        <v>2164</v>
      </c>
      <c r="C925" s="383" t="s">
        <v>2165</v>
      </c>
      <c r="D925" s="384" t="s">
        <v>407</v>
      </c>
      <c r="E925" s="385">
        <v>21</v>
      </c>
      <c r="F925" s="384">
        <v>21</v>
      </c>
      <c r="G925" s="358">
        <v>13055987</v>
      </c>
      <c r="H925" s="359">
        <f t="shared" si="29"/>
        <v>12311243</v>
      </c>
      <c r="I925" s="360"/>
      <c r="J925" s="361"/>
      <c r="K925" s="362"/>
      <c r="L925" s="362"/>
      <c r="M925" s="361">
        <v>567424</v>
      </c>
      <c r="N925" s="361">
        <v>1241240</v>
      </c>
      <c r="O925" s="361">
        <v>106392</v>
      </c>
      <c r="P925" s="361">
        <v>212784</v>
      </c>
      <c r="Q925" s="361">
        <v>70928</v>
      </c>
      <c r="R925" s="361">
        <v>70928</v>
      </c>
      <c r="S925" s="361">
        <v>141856</v>
      </c>
      <c r="T925" s="386">
        <v>1047000</v>
      </c>
      <c r="U925" s="364">
        <f t="shared" si="30"/>
        <v>15769795</v>
      </c>
      <c r="V925" s="362"/>
      <c r="W925" s="365" t="str">
        <f>+VLOOKUP($B925,[2]Time_S4!$B:$G,6,0)</f>
        <v>Trung tâm Đảm bảo chất lượng</v>
      </c>
      <c r="X925" s="365" t="str">
        <f>IF(W925="Phòng Kinh doanh","Trung tâm Kinh doanh - TCT CNC",+VLOOKUP($B925,[2]Time_S4!$B:$G,5,0))</f>
        <v>Khối 1 - TCT CNC</v>
      </c>
      <c r="Y925" s="366"/>
      <c r="Z925" s="366"/>
    </row>
    <row r="926" spans="1:26" ht="15.75" hidden="1">
      <c r="A926" s="367">
        <f>SUBTOTAL(3,$B$15:B926)</f>
        <v>2</v>
      </c>
      <c r="B926" s="382" t="s">
        <v>2166</v>
      </c>
      <c r="C926" s="383" t="s">
        <v>2167</v>
      </c>
      <c r="D926" s="384" t="s">
        <v>407</v>
      </c>
      <c r="E926" s="385">
        <v>21</v>
      </c>
      <c r="F926" s="384">
        <v>21</v>
      </c>
      <c r="G926" s="358">
        <v>26567123</v>
      </c>
      <c r="H926" s="359">
        <f t="shared" si="29"/>
        <v>25603643</v>
      </c>
      <c r="I926" s="360"/>
      <c r="J926" s="361"/>
      <c r="K926" s="362"/>
      <c r="L926" s="362"/>
      <c r="M926" s="361">
        <v>734080</v>
      </c>
      <c r="N926" s="361">
        <v>1605800</v>
      </c>
      <c r="O926" s="361">
        <v>137640</v>
      </c>
      <c r="P926" s="361">
        <v>275280</v>
      </c>
      <c r="Q926" s="361">
        <v>91760</v>
      </c>
      <c r="R926" s="361">
        <v>91760</v>
      </c>
      <c r="S926" s="361">
        <v>183520</v>
      </c>
      <c r="T926" s="386">
        <v>930000</v>
      </c>
      <c r="U926" s="364">
        <f t="shared" si="30"/>
        <v>29653483</v>
      </c>
      <c r="V926" s="362"/>
      <c r="W926" s="365" t="str">
        <f>+VLOOKUP($B926,[2]Time_S4!$B:$G,6,0)</f>
        <v>Trung tâm Phát triển nền tảng thanh toán</v>
      </c>
      <c r="X926" s="365" t="str">
        <f>IF(W926="Phòng Kinh doanh","Trung tâm Kinh doanh - TCT CNC",+VLOOKUP($B926,[2]Time_S4!$B:$G,5,0))</f>
        <v>Khối 2 - TCT CNC</v>
      </c>
      <c r="Y926" s="366"/>
      <c r="Z926" s="366"/>
    </row>
    <row r="927" spans="1:26" ht="15.75" hidden="1">
      <c r="A927" s="367">
        <f>SUBTOTAL(3,$B$15:B927)</f>
        <v>2</v>
      </c>
      <c r="B927" s="382" t="s">
        <v>2168</v>
      </c>
      <c r="C927" s="383" t="s">
        <v>1041</v>
      </c>
      <c r="D927" s="384" t="s">
        <v>407</v>
      </c>
      <c r="E927" s="385">
        <v>21</v>
      </c>
      <c r="F927" s="384">
        <v>21</v>
      </c>
      <c r="G927" s="358">
        <v>20121074</v>
      </c>
      <c r="H927" s="359">
        <f t="shared" si="29"/>
        <v>19293002</v>
      </c>
      <c r="I927" s="360"/>
      <c r="J927" s="361"/>
      <c r="K927" s="362"/>
      <c r="L927" s="362"/>
      <c r="M927" s="361">
        <v>630912</v>
      </c>
      <c r="N927" s="361">
        <v>1380120</v>
      </c>
      <c r="O927" s="361">
        <v>118296</v>
      </c>
      <c r="P927" s="361">
        <v>236592</v>
      </c>
      <c r="Q927" s="361">
        <v>78864</v>
      </c>
      <c r="R927" s="361">
        <v>78864</v>
      </c>
      <c r="S927" s="361">
        <v>157728</v>
      </c>
      <c r="T927" s="386">
        <v>1281000</v>
      </c>
      <c r="U927" s="364">
        <f t="shared" si="30"/>
        <v>23255378</v>
      </c>
      <c r="V927" s="362"/>
      <c r="W927" s="365" t="str">
        <f>+VLOOKUP($B927,[2]Time_S4!$B:$G,6,0)</f>
        <v>Trung tâm Quang điện tử</v>
      </c>
      <c r="X927" s="365" t="str">
        <f>IF(W927="Phòng Kinh doanh","Trung tâm Kinh doanh - TCT CNC",+VLOOKUP($B927,[2]Time_S4!$B:$G,5,0))</f>
        <v>Khối 1 - TCT CNC</v>
      </c>
      <c r="Y927" s="366"/>
      <c r="Z927" s="366"/>
    </row>
    <row r="928" spans="1:26" ht="15.75" hidden="1">
      <c r="A928" s="367">
        <f>SUBTOTAL(3,$B$15:B928)</f>
        <v>2</v>
      </c>
      <c r="B928" s="382" t="s">
        <v>2169</v>
      </c>
      <c r="C928" s="383" t="s">
        <v>2170</v>
      </c>
      <c r="D928" s="384" t="s">
        <v>407</v>
      </c>
      <c r="E928" s="385">
        <v>21</v>
      </c>
      <c r="F928" s="384">
        <v>21</v>
      </c>
      <c r="G928" s="358">
        <v>12259347</v>
      </c>
      <c r="H928" s="359">
        <f t="shared" si="29"/>
        <v>11514603</v>
      </c>
      <c r="I928" s="360"/>
      <c r="J928" s="361"/>
      <c r="K928" s="362"/>
      <c r="L928" s="362"/>
      <c r="M928" s="361">
        <v>567424</v>
      </c>
      <c r="N928" s="361">
        <v>1241240</v>
      </c>
      <c r="O928" s="361">
        <v>106392</v>
      </c>
      <c r="P928" s="361">
        <v>212784</v>
      </c>
      <c r="Q928" s="361">
        <v>70928</v>
      </c>
      <c r="R928" s="361">
        <v>70928</v>
      </c>
      <c r="S928" s="361">
        <v>141856</v>
      </c>
      <c r="T928" s="386">
        <v>1047000</v>
      </c>
      <c r="U928" s="364">
        <f t="shared" si="30"/>
        <v>14973155</v>
      </c>
      <c r="V928" s="362"/>
      <c r="W928" s="365" t="str">
        <f>+VLOOKUP($B928,[2]Time_S4!$B:$G,6,0)</f>
        <v>Trung tâm Tác chiến điện tử</v>
      </c>
      <c r="X928" s="365" t="str">
        <f>IF(W928="Phòng Kinh doanh","Trung tâm Kinh doanh - TCT CNC",+VLOOKUP($B928,[2]Time_S4!$B:$G,5,0))</f>
        <v>Khối 1 - TCT CNC</v>
      </c>
      <c r="Y928" s="366"/>
      <c r="Z928" s="366"/>
    </row>
    <row r="929" spans="1:26" ht="15.75" hidden="1">
      <c r="A929" s="367">
        <f>SUBTOTAL(3,$B$15:B929)</f>
        <v>2</v>
      </c>
      <c r="B929" s="382" t="s">
        <v>2171</v>
      </c>
      <c r="C929" s="383" t="s">
        <v>2172</v>
      </c>
      <c r="D929" s="384" t="s">
        <v>407</v>
      </c>
      <c r="E929" s="385">
        <v>21</v>
      </c>
      <c r="F929" s="384">
        <v>21</v>
      </c>
      <c r="G929" s="358">
        <v>32926888</v>
      </c>
      <c r="H929" s="359">
        <f t="shared" si="29"/>
        <v>31911328</v>
      </c>
      <c r="I929" s="360"/>
      <c r="J929" s="361"/>
      <c r="K929" s="362"/>
      <c r="L929" s="362"/>
      <c r="M929" s="361">
        <v>773760</v>
      </c>
      <c r="N929" s="361">
        <v>1692600</v>
      </c>
      <c r="O929" s="361">
        <v>145080</v>
      </c>
      <c r="P929" s="361">
        <v>290160</v>
      </c>
      <c r="Q929" s="361">
        <v>96720</v>
      </c>
      <c r="R929" s="361">
        <v>96720</v>
      </c>
      <c r="S929" s="361">
        <v>193440</v>
      </c>
      <c r="T929" s="386">
        <v>1030000</v>
      </c>
      <c r="U929" s="364">
        <f t="shared" si="30"/>
        <v>36229808</v>
      </c>
      <c r="V929" s="362"/>
      <c r="W929" s="365" t="str">
        <f>+VLOOKUP($B929,[2]Time_S4!$B:$G,6,0)</f>
        <v>Trung tâm Nền tảng IOT</v>
      </c>
      <c r="X929" s="365" t="str">
        <f>IF(W929="Phòng Kinh doanh","Trung tâm Kinh doanh - TCT CNC",+VLOOKUP($B929,[2]Time_S4!$B:$G,5,0))</f>
        <v>Khối 3 - TCT CNC</v>
      </c>
      <c r="Y929" s="366"/>
      <c r="Z929" s="366"/>
    </row>
    <row r="930" spans="1:26" ht="15.75" hidden="1">
      <c r="A930" s="367">
        <f>SUBTOTAL(3,$B$15:B930)</f>
        <v>2</v>
      </c>
      <c r="B930" s="382" t="s">
        <v>2173</v>
      </c>
      <c r="C930" s="383" t="s">
        <v>2174</v>
      </c>
      <c r="D930" s="384" t="s">
        <v>407</v>
      </c>
      <c r="E930" s="385">
        <v>21</v>
      </c>
      <c r="F930" s="384">
        <v>21</v>
      </c>
      <c r="G930" s="358">
        <v>20250665</v>
      </c>
      <c r="H930" s="359">
        <f t="shared" si="29"/>
        <v>19334057</v>
      </c>
      <c r="I930" s="360"/>
      <c r="J930" s="361"/>
      <c r="K930" s="362"/>
      <c r="L930" s="362"/>
      <c r="M930" s="361">
        <v>698368</v>
      </c>
      <c r="N930" s="361">
        <v>1527680</v>
      </c>
      <c r="O930" s="361">
        <v>130944</v>
      </c>
      <c r="P930" s="361">
        <v>261888</v>
      </c>
      <c r="Q930" s="361">
        <v>87296</v>
      </c>
      <c r="R930" s="361">
        <v>87296</v>
      </c>
      <c r="S930" s="361">
        <v>174592</v>
      </c>
      <c r="T930" s="386">
        <v>930000</v>
      </c>
      <c r="U930" s="364">
        <f t="shared" si="30"/>
        <v>23232121</v>
      </c>
      <c r="V930" s="362"/>
      <c r="W930" s="365" t="str">
        <f>+VLOOKUP($B930,[2]Time_S4!$B:$G,6,0)</f>
        <v>Trung tâm Nghiên cứu thiết bị vô tuyến băng rộng</v>
      </c>
      <c r="X930" s="365" t="str">
        <f>IF(W930="Phòng Kinh doanh","Trung tâm Kinh doanh - TCT CNC",+VLOOKUP($B930,[2]Time_S4!$B:$G,5,0))</f>
        <v>Khối 2 - TCT CNC</v>
      </c>
      <c r="Y930" s="366"/>
      <c r="Z930" s="366"/>
    </row>
    <row r="931" spans="1:26" ht="15.75" hidden="1">
      <c r="A931" s="367">
        <f>SUBTOTAL(3,$B$15:B931)</f>
        <v>2</v>
      </c>
      <c r="B931" s="382" t="s">
        <v>2175</v>
      </c>
      <c r="C931" s="383" t="s">
        <v>2176</v>
      </c>
      <c r="D931" s="384" t="s">
        <v>407</v>
      </c>
      <c r="E931" s="385">
        <v>21</v>
      </c>
      <c r="F931" s="384">
        <v>21</v>
      </c>
      <c r="G931" s="358">
        <v>28221511</v>
      </c>
      <c r="H931" s="359">
        <f t="shared" si="29"/>
        <v>27205951</v>
      </c>
      <c r="I931" s="360"/>
      <c r="J931" s="361"/>
      <c r="K931" s="362"/>
      <c r="L931" s="362"/>
      <c r="M931" s="361">
        <v>773760</v>
      </c>
      <c r="N931" s="361">
        <v>1692600</v>
      </c>
      <c r="O931" s="361">
        <v>145080</v>
      </c>
      <c r="P931" s="361">
        <v>290160</v>
      </c>
      <c r="Q931" s="361">
        <v>96720</v>
      </c>
      <c r="R931" s="361">
        <v>96720</v>
      </c>
      <c r="S931" s="361">
        <v>193440</v>
      </c>
      <c r="T931" s="386">
        <v>1030000</v>
      </c>
      <c r="U931" s="364">
        <f t="shared" si="30"/>
        <v>31524431</v>
      </c>
      <c r="V931" s="362"/>
      <c r="W931" s="365" t="str">
        <f>+VLOOKUP($B931,[2]Time_S4!$B:$G,6,0)</f>
        <v>Trung tâm Nghiên cứu Công nghệ chuyển mạch</v>
      </c>
      <c r="X931" s="365" t="str">
        <f>IF(W931="Phòng Kinh doanh","Trung tâm Kinh doanh - TCT CNC",+VLOOKUP($B931,[2]Time_S4!$B:$G,5,0))</f>
        <v>Khối 2 - TCT CNC</v>
      </c>
      <c r="Y931" s="366"/>
      <c r="Z931" s="366"/>
    </row>
    <row r="932" spans="1:26" ht="15.75" hidden="1">
      <c r="A932" s="367">
        <f>SUBTOTAL(3,$B$15:B932)</f>
        <v>2</v>
      </c>
      <c r="B932" s="382" t="s">
        <v>2177</v>
      </c>
      <c r="C932" s="383" t="s">
        <v>2178</v>
      </c>
      <c r="D932" s="384" t="s">
        <v>407</v>
      </c>
      <c r="E932" s="385">
        <v>21</v>
      </c>
      <c r="F932" s="384">
        <v>0</v>
      </c>
      <c r="G932" s="358">
        <v>7989257</v>
      </c>
      <c r="H932" s="359">
        <f t="shared" si="29"/>
        <v>7989257</v>
      </c>
      <c r="I932" s="360"/>
      <c r="J932" s="361"/>
      <c r="K932" s="362"/>
      <c r="L932" s="362"/>
      <c r="M932" s="361">
        <v>0</v>
      </c>
      <c r="N932" s="361">
        <v>0</v>
      </c>
      <c r="O932" s="361">
        <v>0</v>
      </c>
      <c r="P932" s="361">
        <v>0</v>
      </c>
      <c r="Q932" s="361">
        <v>0</v>
      </c>
      <c r="R932" s="361">
        <v>0</v>
      </c>
      <c r="S932" s="361">
        <v>0</v>
      </c>
      <c r="T932" s="386">
        <v>0</v>
      </c>
      <c r="U932" s="364">
        <f t="shared" si="30"/>
        <v>7989257</v>
      </c>
      <c r="V932" s="362"/>
      <c r="W932" s="365" t="str">
        <f>+VLOOKUP($B932,[2]Time_S4!$B:$G,6,0)</f>
        <v>Trung tâm Khí cụ bay</v>
      </c>
      <c r="X932" s="365" t="str">
        <f>IF(W932="Phòng Kinh doanh","Trung tâm Kinh doanh - TCT CNC",+VLOOKUP($B932,[2]Time_S4!$B:$G,5,0))</f>
        <v>Khối 1 - TCT CNC</v>
      </c>
      <c r="Y932" s="366"/>
      <c r="Z932" s="366"/>
    </row>
    <row r="933" spans="1:26" ht="15.75" hidden="1">
      <c r="A933" s="367">
        <f>SUBTOTAL(3,$B$15:B933)</f>
        <v>2</v>
      </c>
      <c r="B933" s="382" t="s">
        <v>2179</v>
      </c>
      <c r="C933" s="383" t="s">
        <v>2180</v>
      </c>
      <c r="D933" s="384" t="s">
        <v>407</v>
      </c>
      <c r="E933" s="385">
        <v>21</v>
      </c>
      <c r="F933" s="384">
        <v>21</v>
      </c>
      <c r="G933" s="358">
        <v>20121074</v>
      </c>
      <c r="H933" s="359">
        <f t="shared" si="29"/>
        <v>19293002</v>
      </c>
      <c r="I933" s="360"/>
      <c r="J933" s="361"/>
      <c r="K933" s="362"/>
      <c r="L933" s="362"/>
      <c r="M933" s="361">
        <v>630912</v>
      </c>
      <c r="N933" s="361">
        <v>1380120</v>
      </c>
      <c r="O933" s="361">
        <v>118296</v>
      </c>
      <c r="P933" s="361">
        <v>236592</v>
      </c>
      <c r="Q933" s="361">
        <v>78864</v>
      </c>
      <c r="R933" s="361">
        <v>78864</v>
      </c>
      <c r="S933" s="361">
        <v>157728</v>
      </c>
      <c r="T933" s="386">
        <v>1398000</v>
      </c>
      <c r="U933" s="364">
        <f t="shared" si="30"/>
        <v>23372378</v>
      </c>
      <c r="V933" s="362"/>
      <c r="W933" s="365" t="str">
        <f>+VLOOKUP($B933,[2]Time_S4!$B:$G,6,0)</f>
        <v>Trung tâm Quang điện tử</v>
      </c>
      <c r="X933" s="365" t="str">
        <f>IF(W933="Phòng Kinh doanh","Trung tâm Kinh doanh - TCT CNC",+VLOOKUP($B933,[2]Time_S4!$B:$G,5,0))</f>
        <v>Khối 1 - TCT CNC</v>
      </c>
      <c r="Y933" s="366"/>
      <c r="Z933" s="366"/>
    </row>
    <row r="934" spans="1:26" ht="15.75" hidden="1">
      <c r="A934" s="367">
        <f>SUBTOTAL(3,$B$15:B934)</f>
        <v>2</v>
      </c>
      <c r="B934" s="382" t="s">
        <v>2181</v>
      </c>
      <c r="C934" s="383" t="s">
        <v>2182</v>
      </c>
      <c r="D934" s="384" t="s">
        <v>407</v>
      </c>
      <c r="E934" s="385">
        <v>21</v>
      </c>
      <c r="F934" s="384">
        <v>21</v>
      </c>
      <c r="G934" s="358">
        <v>17121074</v>
      </c>
      <c r="H934" s="359">
        <f t="shared" si="29"/>
        <v>16293002</v>
      </c>
      <c r="I934" s="360"/>
      <c r="J934" s="361"/>
      <c r="K934" s="362"/>
      <c r="L934" s="362"/>
      <c r="M934" s="361">
        <v>630912</v>
      </c>
      <c r="N934" s="361">
        <v>1380120</v>
      </c>
      <c r="O934" s="361">
        <v>118296</v>
      </c>
      <c r="P934" s="361">
        <v>236592</v>
      </c>
      <c r="Q934" s="361">
        <v>78864</v>
      </c>
      <c r="R934" s="361">
        <v>78864</v>
      </c>
      <c r="S934" s="361">
        <v>157728</v>
      </c>
      <c r="T934" s="386">
        <v>930000</v>
      </c>
      <c r="U934" s="364">
        <f t="shared" si="30"/>
        <v>19904378</v>
      </c>
      <c r="V934" s="362"/>
      <c r="W934" s="365" t="str">
        <f>+VLOOKUP($B934,[2]Time_S4!$B:$G,6,0)</f>
        <v>Trung tâm Công nghệ Cơ khí - Tự động hóa</v>
      </c>
      <c r="X934" s="365" t="str">
        <f>IF(W934="Phòng Kinh doanh","Trung tâm Kinh doanh - TCT CNC",+VLOOKUP($B934,[2]Time_S4!$B:$G,5,0))</f>
        <v>Khối 1 - TCT CNC</v>
      </c>
      <c r="Y934" s="366"/>
      <c r="Z934" s="366"/>
    </row>
    <row r="935" spans="1:26" ht="15.75" hidden="1">
      <c r="A935" s="367">
        <f>SUBTOTAL(3,$B$15:B935)</f>
        <v>2</v>
      </c>
      <c r="B935" s="382" t="s">
        <v>2183</v>
      </c>
      <c r="C935" s="383" t="s">
        <v>2184</v>
      </c>
      <c r="D935" s="384" t="s">
        <v>407</v>
      </c>
      <c r="E935" s="385">
        <v>21</v>
      </c>
      <c r="F935" s="384">
        <v>21</v>
      </c>
      <c r="G935" s="358">
        <v>27205379</v>
      </c>
      <c r="H935" s="359">
        <f t="shared" si="29"/>
        <v>26189819</v>
      </c>
      <c r="I935" s="360"/>
      <c r="J935" s="361"/>
      <c r="K935" s="362"/>
      <c r="L935" s="362"/>
      <c r="M935" s="361">
        <v>773760</v>
      </c>
      <c r="N935" s="361">
        <v>1692600</v>
      </c>
      <c r="O935" s="361">
        <v>145080</v>
      </c>
      <c r="P935" s="361">
        <v>290160</v>
      </c>
      <c r="Q935" s="361">
        <v>96720</v>
      </c>
      <c r="R935" s="361">
        <v>96720</v>
      </c>
      <c r="S935" s="361">
        <v>193440</v>
      </c>
      <c r="T935" s="386">
        <v>930000</v>
      </c>
      <c r="U935" s="364">
        <f t="shared" si="30"/>
        <v>30408299</v>
      </c>
      <c r="V935" s="362"/>
      <c r="W935" s="365" t="str">
        <f>+VLOOKUP($B935,[2]Time_S4!$B:$G,6,0)</f>
        <v>Trung tâm Nghiên cứu Công nghệ truyền dẫn</v>
      </c>
      <c r="X935" s="365" t="str">
        <f>IF(W935="Phòng Kinh doanh","Trung tâm Kinh doanh - TCT CNC",+VLOOKUP($B935,[2]Time_S4!$B:$G,5,0))</f>
        <v>Khối 2 - TCT CNC</v>
      </c>
      <c r="Y935" s="366"/>
      <c r="Z935" s="366"/>
    </row>
    <row r="936" spans="1:26" ht="15.75" hidden="1">
      <c r="A936" s="367">
        <f>SUBTOTAL(3,$B$15:B936)</f>
        <v>2</v>
      </c>
      <c r="B936" s="382" t="s">
        <v>2185</v>
      </c>
      <c r="C936" s="383" t="s">
        <v>2186</v>
      </c>
      <c r="D936" s="384" t="s">
        <v>407</v>
      </c>
      <c r="E936" s="385">
        <v>21</v>
      </c>
      <c r="F936" s="384">
        <v>16</v>
      </c>
      <c r="G936" s="358">
        <v>8410004</v>
      </c>
      <c r="H936" s="359">
        <f t="shared" si="29"/>
        <v>7701716</v>
      </c>
      <c r="I936" s="360"/>
      <c r="J936" s="361"/>
      <c r="K936" s="362"/>
      <c r="L936" s="362"/>
      <c r="M936" s="361">
        <v>539648</v>
      </c>
      <c r="N936" s="361">
        <v>1180480</v>
      </c>
      <c r="O936" s="361">
        <v>101184</v>
      </c>
      <c r="P936" s="361">
        <v>202368</v>
      </c>
      <c r="Q936" s="361">
        <v>67456</v>
      </c>
      <c r="R936" s="361">
        <v>67456</v>
      </c>
      <c r="S936" s="361">
        <v>134912</v>
      </c>
      <c r="T936" s="386">
        <v>797714</v>
      </c>
      <c r="U936" s="364">
        <f t="shared" si="30"/>
        <v>10792934</v>
      </c>
      <c r="V936" s="362"/>
      <c r="W936" s="365" t="str">
        <f>+VLOOKUP($B936,[2]Time_S4!$B:$G,6,0)</f>
        <v>Phòng Tổng hợp</v>
      </c>
      <c r="X936" s="365" t="str">
        <f>IF(W936="Phòng Kinh doanh","Trung tâm Kinh doanh - TCT CNC",+VLOOKUP($B936,[2]Time_S4!$B:$G,5,0))</f>
        <v>Khối 1 - TCT CNC</v>
      </c>
      <c r="Y936" s="366"/>
      <c r="Z936" s="366"/>
    </row>
    <row r="937" spans="1:26" ht="15.75" hidden="1">
      <c r="A937" s="367">
        <f>SUBTOTAL(3,$B$15:B937)</f>
        <v>2</v>
      </c>
      <c r="B937" s="382" t="s">
        <v>354</v>
      </c>
      <c r="C937" s="383" t="s">
        <v>355</v>
      </c>
      <c r="D937" s="384" t="s">
        <v>407</v>
      </c>
      <c r="E937" s="385">
        <v>21</v>
      </c>
      <c r="F937" s="384">
        <v>21</v>
      </c>
      <c r="G937" s="358">
        <v>20250665</v>
      </c>
      <c r="H937" s="359">
        <f t="shared" si="29"/>
        <v>19334057</v>
      </c>
      <c r="I937" s="360"/>
      <c r="J937" s="361"/>
      <c r="K937" s="362"/>
      <c r="L937" s="362"/>
      <c r="M937" s="361">
        <v>698368</v>
      </c>
      <c r="N937" s="361">
        <v>1527680</v>
      </c>
      <c r="O937" s="361">
        <v>130944</v>
      </c>
      <c r="P937" s="361">
        <v>261888</v>
      </c>
      <c r="Q937" s="361">
        <v>87296</v>
      </c>
      <c r="R937" s="361">
        <v>87296</v>
      </c>
      <c r="S937" s="361">
        <v>174592</v>
      </c>
      <c r="T937" s="386">
        <v>1515000</v>
      </c>
      <c r="U937" s="364">
        <f t="shared" si="30"/>
        <v>23817121</v>
      </c>
      <c r="V937" s="362"/>
      <c r="W937" s="365" t="str">
        <f>+VLOOKUP($B937,[2]Time_S4!$B:$G,6,0)</f>
        <v>Trung tâm Mô hình mô phỏng</v>
      </c>
      <c r="X937" s="365" t="str">
        <f>IF(W937="Phòng Kinh doanh","Trung tâm Kinh doanh - TCT CNC",+VLOOKUP($B937,[2]Time_S4!$B:$G,5,0))</f>
        <v>Khối 1 - TCT CNC</v>
      </c>
      <c r="Y937" s="366"/>
      <c r="Z937" s="366"/>
    </row>
    <row r="938" spans="1:26" ht="15.75" hidden="1">
      <c r="A938" s="367">
        <f>SUBTOTAL(3,$B$15:B938)</f>
        <v>2</v>
      </c>
      <c r="B938" s="382" t="s">
        <v>2187</v>
      </c>
      <c r="C938" s="383" t="s">
        <v>2188</v>
      </c>
      <c r="D938" s="384" t="s">
        <v>407</v>
      </c>
      <c r="E938" s="385">
        <v>21</v>
      </c>
      <c r="F938" s="384">
        <v>21</v>
      </c>
      <c r="G938" s="358">
        <v>24341928</v>
      </c>
      <c r="H938" s="359">
        <f t="shared" si="29"/>
        <v>23425320</v>
      </c>
      <c r="I938" s="360"/>
      <c r="J938" s="361"/>
      <c r="K938" s="362"/>
      <c r="L938" s="362"/>
      <c r="M938" s="361">
        <v>698368</v>
      </c>
      <c r="N938" s="361">
        <v>1527680</v>
      </c>
      <c r="O938" s="361">
        <v>130944</v>
      </c>
      <c r="P938" s="361">
        <v>261888</v>
      </c>
      <c r="Q938" s="361">
        <v>87296</v>
      </c>
      <c r="R938" s="361">
        <v>87296</v>
      </c>
      <c r="S938" s="361">
        <v>174592</v>
      </c>
      <c r="T938" s="386">
        <v>930000</v>
      </c>
      <c r="U938" s="364">
        <f t="shared" si="30"/>
        <v>27323384</v>
      </c>
      <c r="V938" s="362"/>
      <c r="W938" s="365" t="str">
        <f>+VLOOKUP($B938,[2]Time_S4!$B:$G,6,0)</f>
        <v>Trung tâm Rada</v>
      </c>
      <c r="X938" s="365" t="str">
        <f>IF(W938="Phòng Kinh doanh","Trung tâm Kinh doanh - TCT CNC",+VLOOKUP($B938,[2]Time_S4!$B:$G,5,0))</f>
        <v>Khối 1 - TCT CNC</v>
      </c>
      <c r="Y938" s="366"/>
      <c r="Z938" s="366"/>
    </row>
    <row r="939" spans="1:26" ht="15.75" hidden="1">
      <c r="A939" s="367">
        <f>SUBTOTAL(3,$B$15:B939)</f>
        <v>2</v>
      </c>
      <c r="B939" s="382" t="s">
        <v>2189</v>
      </c>
      <c r="C939" s="383" t="s">
        <v>2190</v>
      </c>
      <c r="D939" s="384" t="s">
        <v>407</v>
      </c>
      <c r="E939" s="385">
        <v>21</v>
      </c>
      <c r="F939" s="384">
        <v>16</v>
      </c>
      <c r="G939" s="358">
        <v>13044628</v>
      </c>
      <c r="H939" s="359">
        <f t="shared" si="29"/>
        <v>12216556</v>
      </c>
      <c r="I939" s="360"/>
      <c r="J939" s="361"/>
      <c r="K939" s="362"/>
      <c r="L939" s="362"/>
      <c r="M939" s="361">
        <v>630912</v>
      </c>
      <c r="N939" s="361">
        <v>1380120</v>
      </c>
      <c r="O939" s="361">
        <v>118296</v>
      </c>
      <c r="P939" s="361">
        <v>236592</v>
      </c>
      <c r="Q939" s="361">
        <v>78864</v>
      </c>
      <c r="R939" s="361">
        <v>78864</v>
      </c>
      <c r="S939" s="361">
        <v>157728</v>
      </c>
      <c r="T939" s="386">
        <v>797714</v>
      </c>
      <c r="U939" s="364">
        <f t="shared" si="30"/>
        <v>15695646</v>
      </c>
      <c r="V939" s="362"/>
      <c r="W939" s="365" t="str">
        <f>+VLOOKUP($B939,[2]Time_S4!$B:$G,6,0)</f>
        <v>Trung tâm sản xuất</v>
      </c>
      <c r="X939" s="365" t="str">
        <f>IF(W939="Phòng Kinh doanh","Trung tâm Kinh doanh - TCT CNC",+VLOOKUP($B939,[2]Time_S4!$B:$G,5,0))</f>
        <v>Khối 1 - TCT CNC</v>
      </c>
      <c r="Y939" s="366"/>
      <c r="Z939" s="366"/>
    </row>
    <row r="940" spans="1:26" ht="15.75" hidden="1">
      <c r="A940" s="367">
        <f>SUBTOTAL(3,$B$15:B940)</f>
        <v>2</v>
      </c>
      <c r="B940" s="382" t="s">
        <v>2191</v>
      </c>
      <c r="C940" s="383" t="s">
        <v>2192</v>
      </c>
      <c r="D940" s="384" t="s">
        <v>407</v>
      </c>
      <c r="E940" s="385">
        <v>21</v>
      </c>
      <c r="F940" s="384">
        <v>21</v>
      </c>
      <c r="G940" s="358">
        <v>19015206</v>
      </c>
      <c r="H940" s="359">
        <f t="shared" si="29"/>
        <v>18145470</v>
      </c>
      <c r="I940" s="360"/>
      <c r="J940" s="361"/>
      <c r="K940" s="362"/>
      <c r="L940" s="362"/>
      <c r="M940" s="361">
        <v>662656</v>
      </c>
      <c r="N940" s="361">
        <v>1449560</v>
      </c>
      <c r="O940" s="361">
        <v>124248</v>
      </c>
      <c r="P940" s="361">
        <v>248496</v>
      </c>
      <c r="Q940" s="361">
        <v>82832</v>
      </c>
      <c r="R940" s="361">
        <v>82832</v>
      </c>
      <c r="S940" s="361">
        <v>165664</v>
      </c>
      <c r="T940" s="386">
        <v>930000</v>
      </c>
      <c r="U940" s="364">
        <f t="shared" si="30"/>
        <v>21891758</v>
      </c>
      <c r="V940" s="362"/>
      <c r="W940" s="365" t="str">
        <f>+VLOOKUP($B940,[2]Time_S4!$B:$G,6,0)</f>
        <v>Trung tâm Tác chiến điện tử</v>
      </c>
      <c r="X940" s="365" t="str">
        <f>IF(W940="Phòng Kinh doanh","Trung tâm Kinh doanh - TCT CNC",+VLOOKUP($B940,[2]Time_S4!$B:$G,5,0))</f>
        <v>Khối 1 - TCT CNC</v>
      </c>
      <c r="Y940" s="366"/>
      <c r="Z940" s="366"/>
    </row>
    <row r="941" spans="1:26" ht="15.75" hidden="1">
      <c r="A941" s="367">
        <f>SUBTOTAL(3,$B$15:B941)</f>
        <v>2</v>
      </c>
      <c r="B941" s="382" t="s">
        <v>2193</v>
      </c>
      <c r="C941" s="383" t="s">
        <v>2194</v>
      </c>
      <c r="D941" s="384" t="s">
        <v>407</v>
      </c>
      <c r="E941" s="385">
        <v>21</v>
      </c>
      <c r="F941" s="384">
        <v>21</v>
      </c>
      <c r="G941" s="358">
        <v>17121074</v>
      </c>
      <c r="H941" s="359">
        <f t="shared" si="29"/>
        <v>16293002</v>
      </c>
      <c r="I941" s="360"/>
      <c r="J941" s="361"/>
      <c r="K941" s="362"/>
      <c r="L941" s="362"/>
      <c r="M941" s="361">
        <v>630912</v>
      </c>
      <c r="N941" s="361">
        <v>1380120</v>
      </c>
      <c r="O941" s="361">
        <v>118296</v>
      </c>
      <c r="P941" s="361">
        <v>236592</v>
      </c>
      <c r="Q941" s="361">
        <v>78864</v>
      </c>
      <c r="R941" s="361">
        <v>78864</v>
      </c>
      <c r="S941" s="361">
        <v>157728</v>
      </c>
      <c r="T941" s="386">
        <v>930000</v>
      </c>
      <c r="U941" s="364">
        <f t="shared" si="30"/>
        <v>19904378</v>
      </c>
      <c r="V941" s="362"/>
      <c r="W941" s="365" t="str">
        <f>+VLOOKUP($B941,[2]Time_S4!$B:$G,6,0)</f>
        <v>Trung tâm Phát triển nền tảng thanh toán</v>
      </c>
      <c r="X941" s="365" t="str">
        <f>IF(W941="Phòng Kinh doanh","Trung tâm Kinh doanh - TCT CNC",+VLOOKUP($B941,[2]Time_S4!$B:$G,5,0))</f>
        <v>Khối 2 - TCT CNC</v>
      </c>
      <c r="Y941" s="366"/>
      <c r="Z941" s="366"/>
    </row>
    <row r="942" spans="1:26" ht="15.75" hidden="1">
      <c r="A942" s="367">
        <f>SUBTOTAL(3,$B$15:B942)</f>
        <v>2</v>
      </c>
      <c r="B942" s="382" t="s">
        <v>2195</v>
      </c>
      <c r="C942" s="383" t="s">
        <v>2196</v>
      </c>
      <c r="D942" s="384" t="s">
        <v>407</v>
      </c>
      <c r="E942" s="385">
        <v>21</v>
      </c>
      <c r="F942" s="384">
        <v>21</v>
      </c>
      <c r="G942" s="358">
        <v>20680583</v>
      </c>
      <c r="H942" s="359">
        <f t="shared" si="29"/>
        <v>19763975</v>
      </c>
      <c r="I942" s="360"/>
      <c r="J942" s="361"/>
      <c r="K942" s="362"/>
      <c r="L942" s="362"/>
      <c r="M942" s="361">
        <v>698368</v>
      </c>
      <c r="N942" s="361">
        <v>1527680</v>
      </c>
      <c r="O942" s="361">
        <v>130944</v>
      </c>
      <c r="P942" s="361">
        <v>261888</v>
      </c>
      <c r="Q942" s="361">
        <v>87296</v>
      </c>
      <c r="R942" s="361">
        <v>87296</v>
      </c>
      <c r="S942" s="361">
        <v>174592</v>
      </c>
      <c r="T942" s="386">
        <v>930000</v>
      </c>
      <c r="U942" s="364">
        <f t="shared" si="30"/>
        <v>23662039</v>
      </c>
      <c r="V942" s="362"/>
      <c r="W942" s="365" t="str">
        <f>+VLOOKUP($B942,[2]Time_S4!$B:$G,6,0)</f>
        <v>Trung tâm Công nghệ Cơ khí - Tự động hóa</v>
      </c>
      <c r="X942" s="365" t="str">
        <f>IF(W942="Phòng Kinh doanh","Trung tâm Kinh doanh - TCT CNC",+VLOOKUP($B942,[2]Time_S4!$B:$G,5,0))</f>
        <v>Khối 1 - TCT CNC</v>
      </c>
      <c r="Y942" s="366"/>
      <c r="Z942" s="366"/>
    </row>
    <row r="943" spans="1:26" ht="15.75" hidden="1">
      <c r="A943" s="367">
        <f>SUBTOTAL(3,$B$15:B943)</f>
        <v>2</v>
      </c>
      <c r="B943" s="382" t="s">
        <v>2197</v>
      </c>
      <c r="C943" s="383" t="s">
        <v>2198</v>
      </c>
      <c r="D943" s="384" t="s">
        <v>407</v>
      </c>
      <c r="E943" s="385">
        <v>21</v>
      </c>
      <c r="F943" s="384">
        <v>21</v>
      </c>
      <c r="G943" s="358">
        <v>17301764</v>
      </c>
      <c r="H943" s="359">
        <f t="shared" si="29"/>
        <v>16473692</v>
      </c>
      <c r="I943" s="360"/>
      <c r="J943" s="361"/>
      <c r="K943" s="362"/>
      <c r="L943" s="362"/>
      <c r="M943" s="361">
        <v>630912</v>
      </c>
      <c r="N943" s="361">
        <v>1380120</v>
      </c>
      <c r="O943" s="361">
        <v>118296</v>
      </c>
      <c r="P943" s="361">
        <v>236592</v>
      </c>
      <c r="Q943" s="361">
        <v>78864</v>
      </c>
      <c r="R943" s="361">
        <v>78864</v>
      </c>
      <c r="S943" s="361">
        <v>157728</v>
      </c>
      <c r="T943" s="386">
        <v>930000</v>
      </c>
      <c r="U943" s="364">
        <f t="shared" si="30"/>
        <v>20085068</v>
      </c>
      <c r="V943" s="362"/>
      <c r="W943" s="365" t="str">
        <f>+VLOOKUP($B943,[2]Time_S4!$B:$G,6,0)</f>
        <v>Trung tâm Nghiên cứu Công nghệ truyền dẫn</v>
      </c>
      <c r="X943" s="365" t="str">
        <f>IF(W943="Phòng Kinh doanh","Trung tâm Kinh doanh - TCT CNC",+VLOOKUP($B943,[2]Time_S4!$B:$G,5,0))</f>
        <v>Khối 2 - TCT CNC</v>
      </c>
      <c r="Y943" s="366"/>
      <c r="Z943" s="366"/>
    </row>
    <row r="944" spans="1:26" ht="15.75" hidden="1">
      <c r="A944" s="367">
        <f>SUBTOTAL(3,$B$15:B944)</f>
        <v>2</v>
      </c>
      <c r="B944" s="382" t="s">
        <v>2199</v>
      </c>
      <c r="C944" s="383" t="s">
        <v>2200</v>
      </c>
      <c r="D944" s="384" t="s">
        <v>407</v>
      </c>
      <c r="E944" s="385">
        <v>21</v>
      </c>
      <c r="F944" s="384">
        <v>21</v>
      </c>
      <c r="G944" s="358">
        <v>22256060</v>
      </c>
      <c r="H944" s="359">
        <f t="shared" si="29"/>
        <v>21292580</v>
      </c>
      <c r="I944" s="360"/>
      <c r="J944" s="361"/>
      <c r="K944" s="362"/>
      <c r="L944" s="362"/>
      <c r="M944" s="361">
        <v>734080</v>
      </c>
      <c r="N944" s="361">
        <v>1605800</v>
      </c>
      <c r="O944" s="361">
        <v>137640</v>
      </c>
      <c r="P944" s="361">
        <v>275280</v>
      </c>
      <c r="Q944" s="361">
        <v>91760</v>
      </c>
      <c r="R944" s="361">
        <v>91760</v>
      </c>
      <c r="S944" s="361">
        <v>183520</v>
      </c>
      <c r="T944" s="386">
        <v>930000</v>
      </c>
      <c r="U944" s="364">
        <f t="shared" si="30"/>
        <v>25342420</v>
      </c>
      <c r="V944" s="362"/>
      <c r="W944" s="365" t="str">
        <f>+VLOOKUP($B944,[2]Time_S4!$B:$G,6,0)</f>
        <v>Trung tâm Nghiên cứu Công nghệ truyền dẫn</v>
      </c>
      <c r="X944" s="365" t="str">
        <f>IF(W944="Phòng Kinh doanh","Trung tâm Kinh doanh - TCT CNC",+VLOOKUP($B944,[2]Time_S4!$B:$G,5,0))</f>
        <v>Khối 2 - TCT CNC</v>
      </c>
      <c r="Y944" s="366"/>
      <c r="Z944" s="366"/>
    </row>
    <row r="945" spans="1:26" ht="15.75" hidden="1">
      <c r="A945" s="367">
        <f>SUBTOTAL(3,$B$15:B945)</f>
        <v>2</v>
      </c>
      <c r="B945" s="382" t="s">
        <v>2201</v>
      </c>
      <c r="C945" s="383" t="s">
        <v>2202</v>
      </c>
      <c r="D945" s="384" t="s">
        <v>407</v>
      </c>
      <c r="E945" s="385">
        <v>21</v>
      </c>
      <c r="F945" s="384">
        <v>21</v>
      </c>
      <c r="G945" s="358">
        <v>19623145</v>
      </c>
      <c r="H945" s="359">
        <f t="shared" si="29"/>
        <v>18706537</v>
      </c>
      <c r="I945" s="360"/>
      <c r="J945" s="361"/>
      <c r="K945" s="362"/>
      <c r="L945" s="362"/>
      <c r="M945" s="361">
        <v>698368</v>
      </c>
      <c r="N945" s="361">
        <v>1527680</v>
      </c>
      <c r="O945" s="361">
        <v>130944</v>
      </c>
      <c r="P945" s="361">
        <v>261888</v>
      </c>
      <c r="Q945" s="361">
        <v>87296</v>
      </c>
      <c r="R945" s="361">
        <v>87296</v>
      </c>
      <c r="S945" s="361">
        <v>174592</v>
      </c>
      <c r="T945" s="386">
        <v>930000</v>
      </c>
      <c r="U945" s="364">
        <f t="shared" si="30"/>
        <v>22604601</v>
      </c>
      <c r="V945" s="362"/>
      <c r="W945" s="365" t="str">
        <f>+VLOOKUP($B945,[2]Time_S4!$B:$G,6,0)</f>
        <v>Trung tâm Rada</v>
      </c>
      <c r="X945" s="365" t="str">
        <f>IF(W945="Phòng Kinh doanh","Trung tâm Kinh doanh - TCT CNC",+VLOOKUP($B945,[2]Time_S4!$B:$G,5,0))</f>
        <v>Khối 1 - TCT CNC</v>
      </c>
      <c r="Y945" s="366"/>
      <c r="Z945" s="366"/>
    </row>
    <row r="946" spans="1:26" ht="15.75" hidden="1">
      <c r="A946" s="367">
        <f>SUBTOTAL(3,$B$15:B946)</f>
        <v>2</v>
      </c>
      <c r="B946" s="382" t="s">
        <v>2203</v>
      </c>
      <c r="C946" s="383" t="s">
        <v>2204</v>
      </c>
      <c r="D946" s="384" t="s">
        <v>407</v>
      </c>
      <c r="E946" s="385">
        <v>21</v>
      </c>
      <c r="F946" s="384">
        <v>21</v>
      </c>
      <c r="G946" s="358">
        <v>15743199</v>
      </c>
      <c r="H946" s="359">
        <f t="shared" si="29"/>
        <v>14915127</v>
      </c>
      <c r="I946" s="360"/>
      <c r="J946" s="361"/>
      <c r="K946" s="362"/>
      <c r="L946" s="362"/>
      <c r="M946" s="361">
        <v>630912</v>
      </c>
      <c r="N946" s="361">
        <v>1380120</v>
      </c>
      <c r="O946" s="361">
        <v>118296</v>
      </c>
      <c r="P946" s="361">
        <v>236592</v>
      </c>
      <c r="Q946" s="361">
        <v>78864</v>
      </c>
      <c r="R946" s="361">
        <v>78864</v>
      </c>
      <c r="S946" s="361">
        <v>157728</v>
      </c>
      <c r="T946" s="386">
        <v>1047000</v>
      </c>
      <c r="U946" s="364">
        <f t="shared" si="30"/>
        <v>18643503</v>
      </c>
      <c r="V946" s="362"/>
      <c r="W946" s="365" t="str">
        <f>+VLOOKUP($B946,[2]Time_S4!$B:$G,6,0)</f>
        <v>Trung tâm Thông tin Quân sự</v>
      </c>
      <c r="X946" s="365" t="str">
        <f>IF(W946="Phòng Kinh doanh","Trung tâm Kinh doanh - TCT CNC",+VLOOKUP($B946,[2]Time_S4!$B:$G,5,0))</f>
        <v>Khối 1 - TCT CNC</v>
      </c>
      <c r="Y946" s="366"/>
      <c r="Z946" s="366"/>
    </row>
    <row r="947" spans="1:26" ht="15.75" hidden="1">
      <c r="A947" s="367">
        <f>SUBTOTAL(3,$B$15:B947)</f>
        <v>2</v>
      </c>
      <c r="B947" s="382" t="s">
        <v>2205</v>
      </c>
      <c r="C947" s="383" t="s">
        <v>2206</v>
      </c>
      <c r="D947" s="384" t="s">
        <v>407</v>
      </c>
      <c r="E947" s="385">
        <v>21</v>
      </c>
      <c r="F947" s="384">
        <v>21</v>
      </c>
      <c r="G947" s="358">
        <v>21567123</v>
      </c>
      <c r="H947" s="359">
        <f t="shared" si="29"/>
        <v>20603643</v>
      </c>
      <c r="I947" s="360"/>
      <c r="J947" s="361"/>
      <c r="K947" s="362"/>
      <c r="L947" s="362"/>
      <c r="M947" s="361">
        <v>734080</v>
      </c>
      <c r="N947" s="361">
        <v>1605800</v>
      </c>
      <c r="O947" s="361">
        <v>137640</v>
      </c>
      <c r="P947" s="361">
        <v>275280</v>
      </c>
      <c r="Q947" s="361">
        <v>91760</v>
      </c>
      <c r="R947" s="361">
        <v>91760</v>
      </c>
      <c r="S947" s="361">
        <v>183520</v>
      </c>
      <c r="T947" s="386">
        <v>930000</v>
      </c>
      <c r="U947" s="364">
        <f t="shared" si="30"/>
        <v>24653483</v>
      </c>
      <c r="V947" s="362"/>
      <c r="W947" s="365" t="str">
        <f>+VLOOKUP($B947,[2]Time_S4!$B:$G,6,0)</f>
        <v>Trung tâm Nghiên cứu Công nghệ chuyển mạch</v>
      </c>
      <c r="X947" s="365" t="str">
        <f>IF(W947="Phòng Kinh doanh","Trung tâm Kinh doanh - TCT CNC",+VLOOKUP($B947,[2]Time_S4!$B:$G,5,0))</f>
        <v>Khối 2 - TCT CNC</v>
      </c>
      <c r="Y947" s="366"/>
      <c r="Z947" s="366"/>
    </row>
    <row r="948" spans="1:26" ht="15.75" hidden="1">
      <c r="A948" s="367">
        <f>SUBTOTAL(3,$B$15:B948)</f>
        <v>2</v>
      </c>
      <c r="B948" s="382" t="s">
        <v>2207</v>
      </c>
      <c r="C948" s="383" t="s">
        <v>2208</v>
      </c>
      <c r="D948" s="384" t="s">
        <v>407</v>
      </c>
      <c r="E948" s="385">
        <v>21</v>
      </c>
      <c r="F948" s="384">
        <v>21</v>
      </c>
      <c r="G948" s="358">
        <v>25567123</v>
      </c>
      <c r="H948" s="359">
        <f t="shared" si="29"/>
        <v>24603643</v>
      </c>
      <c r="I948" s="360"/>
      <c r="J948" s="361"/>
      <c r="K948" s="362"/>
      <c r="L948" s="362"/>
      <c r="M948" s="361">
        <v>734080</v>
      </c>
      <c r="N948" s="361">
        <v>1605800</v>
      </c>
      <c r="O948" s="361">
        <v>137640</v>
      </c>
      <c r="P948" s="361">
        <v>275280</v>
      </c>
      <c r="Q948" s="361">
        <v>91760</v>
      </c>
      <c r="R948" s="361">
        <v>91760</v>
      </c>
      <c r="S948" s="361">
        <v>183520</v>
      </c>
      <c r="T948" s="386">
        <v>930000</v>
      </c>
      <c r="U948" s="364">
        <f t="shared" si="30"/>
        <v>28653483</v>
      </c>
      <c r="V948" s="362"/>
      <c r="W948" s="365" t="str">
        <f>+VLOOKUP($B948,[2]Time_S4!$B:$G,6,0)</f>
        <v>Trung tâm Khí cụ bay</v>
      </c>
      <c r="X948" s="365" t="str">
        <f>IF(W948="Phòng Kinh doanh","Trung tâm Kinh doanh - TCT CNC",+VLOOKUP($B948,[2]Time_S4!$B:$G,5,0))</f>
        <v>Khối 1 - TCT CNC</v>
      </c>
      <c r="Y948" s="366"/>
      <c r="Z948" s="366"/>
    </row>
    <row r="949" spans="1:26" ht="15.75" hidden="1">
      <c r="A949" s="367">
        <f>SUBTOTAL(3,$B$15:B949)</f>
        <v>2</v>
      </c>
      <c r="B949" s="382" t="s">
        <v>2209</v>
      </c>
      <c r="C949" s="383" t="s">
        <v>1087</v>
      </c>
      <c r="D949" s="384" t="s">
        <v>407</v>
      </c>
      <c r="E949" s="385">
        <v>21</v>
      </c>
      <c r="F949" s="384">
        <v>21</v>
      </c>
      <c r="G949" s="358">
        <v>21341928</v>
      </c>
      <c r="H949" s="359">
        <f t="shared" si="29"/>
        <v>20425320</v>
      </c>
      <c r="I949" s="360"/>
      <c r="J949" s="361"/>
      <c r="K949" s="362"/>
      <c r="L949" s="362"/>
      <c r="M949" s="361">
        <v>698368</v>
      </c>
      <c r="N949" s="361">
        <v>1527680</v>
      </c>
      <c r="O949" s="361">
        <v>130944</v>
      </c>
      <c r="P949" s="361">
        <v>261888</v>
      </c>
      <c r="Q949" s="361">
        <v>87296</v>
      </c>
      <c r="R949" s="361">
        <v>87296</v>
      </c>
      <c r="S949" s="361">
        <v>174592</v>
      </c>
      <c r="T949" s="386">
        <v>1398000</v>
      </c>
      <c r="U949" s="364">
        <f t="shared" si="30"/>
        <v>24791384</v>
      </c>
      <c r="V949" s="362"/>
      <c r="W949" s="365" t="str">
        <f>+VLOOKUP($B949,[2]Time_S4!$B:$G,6,0)</f>
        <v>Trung tâm sản xuất</v>
      </c>
      <c r="X949" s="365" t="str">
        <f>IF(W949="Phòng Kinh doanh","Trung tâm Kinh doanh - TCT CNC",+VLOOKUP($B949,[2]Time_S4!$B:$G,5,0))</f>
        <v>Khối 1 - TCT CNC</v>
      </c>
      <c r="Y949" s="366"/>
      <c r="Z949" s="366"/>
    </row>
    <row r="950" spans="1:26" ht="15.75" hidden="1">
      <c r="A950" s="367">
        <f>SUBTOTAL(3,$B$15:B950)</f>
        <v>2</v>
      </c>
      <c r="B950" s="382" t="s">
        <v>2210</v>
      </c>
      <c r="C950" s="383" t="s">
        <v>2211</v>
      </c>
      <c r="D950" s="384" t="s">
        <v>407</v>
      </c>
      <c r="E950" s="385">
        <v>21</v>
      </c>
      <c r="F950" s="384">
        <v>21</v>
      </c>
      <c r="G950" s="358">
        <v>20898658</v>
      </c>
      <c r="H950" s="359">
        <f t="shared" si="29"/>
        <v>19982050</v>
      </c>
      <c r="I950" s="360"/>
      <c r="J950" s="361"/>
      <c r="K950" s="362"/>
      <c r="L950" s="362"/>
      <c r="M950" s="361">
        <v>698368</v>
      </c>
      <c r="N950" s="361">
        <v>1527680</v>
      </c>
      <c r="O950" s="361">
        <v>130944</v>
      </c>
      <c r="P950" s="361">
        <v>261888</v>
      </c>
      <c r="Q950" s="361">
        <v>87296</v>
      </c>
      <c r="R950" s="361">
        <v>87296</v>
      </c>
      <c r="S950" s="361">
        <v>174592</v>
      </c>
      <c r="T950" s="386">
        <v>930000</v>
      </c>
      <c r="U950" s="364">
        <f t="shared" si="30"/>
        <v>23880114</v>
      </c>
      <c r="V950" s="362"/>
      <c r="W950" s="365" t="str">
        <f>+VLOOKUP($B950,[2]Time_S4!$B:$G,6,0)</f>
        <v>Trung tâm Nghiên cứu thiết bị vô tuyến băng rộng</v>
      </c>
      <c r="X950" s="365" t="str">
        <f>IF(W950="Phòng Kinh doanh","Trung tâm Kinh doanh - TCT CNC",+VLOOKUP($B950,[2]Time_S4!$B:$G,5,0))</f>
        <v>Khối 2 - TCT CNC</v>
      </c>
      <c r="Y950" s="366"/>
      <c r="Z950" s="366"/>
    </row>
    <row r="951" spans="1:26" ht="15.75" hidden="1">
      <c r="A951" s="367">
        <f>SUBTOTAL(3,$B$15:B951)</f>
        <v>2</v>
      </c>
      <c r="B951" s="382" t="s">
        <v>2212</v>
      </c>
      <c r="C951" s="383" t="s">
        <v>2213</v>
      </c>
      <c r="D951" s="384" t="s">
        <v>407</v>
      </c>
      <c r="E951" s="385">
        <v>21</v>
      </c>
      <c r="F951" s="384">
        <v>21</v>
      </c>
      <c r="G951" s="358">
        <v>19216369</v>
      </c>
      <c r="H951" s="359">
        <f t="shared" si="29"/>
        <v>18346633</v>
      </c>
      <c r="I951" s="360"/>
      <c r="J951" s="361"/>
      <c r="K951" s="362"/>
      <c r="L951" s="362"/>
      <c r="M951" s="361">
        <v>662656</v>
      </c>
      <c r="N951" s="361">
        <v>1449560</v>
      </c>
      <c r="O951" s="361">
        <v>124248</v>
      </c>
      <c r="P951" s="361">
        <v>248496</v>
      </c>
      <c r="Q951" s="361">
        <v>82832</v>
      </c>
      <c r="R951" s="361">
        <v>82832</v>
      </c>
      <c r="S951" s="361">
        <v>165664</v>
      </c>
      <c r="T951" s="386">
        <v>930000</v>
      </c>
      <c r="U951" s="364">
        <f t="shared" si="30"/>
        <v>22092921</v>
      </c>
      <c r="W951" s="365" t="str">
        <f>+VLOOKUP($B951,[2]Time_S4!$B:$G,6,0)</f>
        <v>Phòng Kiểu dáng và đồ họa</v>
      </c>
      <c r="X951" s="365" t="str">
        <f>IF(W951="Phòng Kinh doanh","Trung tâm Kinh doanh - TCT CNC",+VLOOKUP($B951,[2]Time_S4!$B:$G,5,0))</f>
        <v>Khối 1 - TCT CNC</v>
      </c>
      <c r="Y951" s="366"/>
      <c r="Z951" s="366"/>
    </row>
    <row r="952" spans="1:26" ht="15.75" hidden="1">
      <c r="A952" s="367">
        <f>SUBTOTAL(3,$B$15:B952)</f>
        <v>2</v>
      </c>
      <c r="B952" s="382" t="s">
        <v>2214</v>
      </c>
      <c r="C952" s="383" t="s">
        <v>2215</v>
      </c>
      <c r="D952" s="384" t="s">
        <v>407</v>
      </c>
      <c r="E952" s="385">
        <v>21</v>
      </c>
      <c r="F952" s="384">
        <v>21</v>
      </c>
      <c r="G952" s="358">
        <v>25968140</v>
      </c>
      <c r="H952" s="359">
        <f t="shared" si="29"/>
        <v>25004660</v>
      </c>
      <c r="I952" s="360"/>
      <c r="J952" s="361"/>
      <c r="K952" s="362"/>
      <c r="L952" s="362"/>
      <c r="M952" s="361">
        <v>734080</v>
      </c>
      <c r="N952" s="361">
        <v>1605800</v>
      </c>
      <c r="O952" s="361">
        <v>137640</v>
      </c>
      <c r="P952" s="361">
        <v>275280</v>
      </c>
      <c r="Q952" s="361">
        <v>91760</v>
      </c>
      <c r="R952" s="361">
        <v>91760</v>
      </c>
      <c r="S952" s="361">
        <v>183520</v>
      </c>
      <c r="T952" s="386">
        <v>930000</v>
      </c>
      <c r="U952" s="364">
        <f t="shared" si="30"/>
        <v>29054500</v>
      </c>
      <c r="W952" s="365" t="str">
        <f>+VLOOKUP($B952,[2]Time_S4!$B:$G,6,0)</f>
        <v>Trung tâm Rada</v>
      </c>
      <c r="X952" s="365" t="str">
        <f>IF(W952="Phòng Kinh doanh","Trung tâm Kinh doanh - TCT CNC",+VLOOKUP($B952,[2]Time_S4!$B:$G,5,0))</f>
        <v>Khối 1 - TCT CNC</v>
      </c>
      <c r="Y952" s="366"/>
      <c r="Z952" s="366"/>
    </row>
    <row r="953" spans="1:26" ht="15.75" hidden="1">
      <c r="A953" s="367">
        <f>SUBTOTAL(3,$B$15:B953)</f>
        <v>2</v>
      </c>
      <c r="B953" s="382" t="s">
        <v>2216</v>
      </c>
      <c r="C953" s="383" t="s">
        <v>2217</v>
      </c>
      <c r="D953" s="384" t="s">
        <v>407</v>
      </c>
      <c r="E953" s="385">
        <v>21</v>
      </c>
      <c r="F953" s="384">
        <v>21</v>
      </c>
      <c r="G953" s="358">
        <v>22968140</v>
      </c>
      <c r="H953" s="359">
        <f t="shared" si="29"/>
        <v>22004660</v>
      </c>
      <c r="I953" s="360"/>
      <c r="J953" s="361"/>
      <c r="K953" s="362"/>
      <c r="L953" s="362"/>
      <c r="M953" s="361">
        <v>734080</v>
      </c>
      <c r="N953" s="361">
        <v>1605800</v>
      </c>
      <c r="O953" s="361">
        <v>137640</v>
      </c>
      <c r="P953" s="361">
        <v>275280</v>
      </c>
      <c r="Q953" s="361">
        <v>91760</v>
      </c>
      <c r="R953" s="361">
        <v>91760</v>
      </c>
      <c r="S953" s="361">
        <v>183520</v>
      </c>
      <c r="T953" s="386">
        <v>930000</v>
      </c>
      <c r="U953" s="364">
        <f t="shared" si="30"/>
        <v>26054500</v>
      </c>
      <c r="W953" s="365" t="str">
        <f>+VLOOKUP($B953,[2]Time_S4!$B:$G,6,0)</f>
        <v>Trung tâm Rada</v>
      </c>
      <c r="X953" s="365" t="str">
        <f>IF(W953="Phòng Kinh doanh","Trung tâm Kinh doanh - TCT CNC",+VLOOKUP($B953,[2]Time_S4!$B:$G,5,0))</f>
        <v>Khối 1 - TCT CNC</v>
      </c>
      <c r="Y953" s="366"/>
      <c r="Z953" s="366"/>
    </row>
    <row r="954" spans="1:26" ht="15.75" hidden="1">
      <c r="A954" s="367">
        <f>SUBTOTAL(3,$B$15:B954)</f>
        <v>2</v>
      </c>
      <c r="B954" s="382" t="s">
        <v>2218</v>
      </c>
      <c r="C954" s="383" t="s">
        <v>2219</v>
      </c>
      <c r="D954" s="384" t="s">
        <v>407</v>
      </c>
      <c r="E954" s="385">
        <v>21</v>
      </c>
      <c r="F954" s="384">
        <v>21</v>
      </c>
      <c r="G954" s="358">
        <v>19015206</v>
      </c>
      <c r="H954" s="359">
        <f t="shared" si="29"/>
        <v>18145470</v>
      </c>
      <c r="I954" s="360"/>
      <c r="J954" s="361"/>
      <c r="K954" s="362"/>
      <c r="L954" s="362"/>
      <c r="M954" s="361">
        <v>662656</v>
      </c>
      <c r="N954" s="361">
        <v>1449560</v>
      </c>
      <c r="O954" s="361">
        <v>124248</v>
      </c>
      <c r="P954" s="361">
        <v>248496</v>
      </c>
      <c r="Q954" s="361">
        <v>82832</v>
      </c>
      <c r="R954" s="361">
        <v>82832</v>
      </c>
      <c r="S954" s="361">
        <v>165664</v>
      </c>
      <c r="T954" s="386">
        <v>930000</v>
      </c>
      <c r="U954" s="364">
        <f t="shared" si="30"/>
        <v>21891758</v>
      </c>
      <c r="W954" s="365" t="str">
        <f>+VLOOKUP($B954,[2]Time_S4!$B:$G,6,0)</f>
        <v>Trung tâm Tác chiến điện tử</v>
      </c>
      <c r="X954" s="365" t="str">
        <f>IF(W954="Phòng Kinh doanh","Trung tâm Kinh doanh - TCT CNC",+VLOOKUP($B954,[2]Time_S4!$B:$G,5,0))</f>
        <v>Khối 1 - TCT CNC</v>
      </c>
      <c r="Y954" s="366"/>
      <c r="Z954" s="366"/>
    </row>
    <row r="955" spans="1:26" ht="15.75" hidden="1">
      <c r="A955" s="367">
        <f>SUBTOTAL(3,$B$15:B955)</f>
        <v>2</v>
      </c>
      <c r="B955" s="382" t="s">
        <v>2220</v>
      </c>
      <c r="C955" s="383" t="s">
        <v>2221</v>
      </c>
      <c r="D955" s="384" t="s">
        <v>407</v>
      </c>
      <c r="E955" s="385">
        <v>21</v>
      </c>
      <c r="F955" s="384">
        <v>21</v>
      </c>
      <c r="G955" s="358">
        <v>20191940</v>
      </c>
      <c r="H955" s="359">
        <f t="shared" si="29"/>
        <v>19275332</v>
      </c>
      <c r="I955" s="360"/>
      <c r="J955" s="361"/>
      <c r="K955" s="362"/>
      <c r="L955" s="362"/>
      <c r="M955" s="361">
        <v>698368</v>
      </c>
      <c r="N955" s="361">
        <v>1527680</v>
      </c>
      <c r="O955" s="361">
        <v>130944</v>
      </c>
      <c r="P955" s="361">
        <v>261888</v>
      </c>
      <c r="Q955" s="361">
        <v>87296</v>
      </c>
      <c r="R955" s="361">
        <v>87296</v>
      </c>
      <c r="S955" s="361">
        <v>174592</v>
      </c>
      <c r="T955" s="386">
        <v>1047000</v>
      </c>
      <c r="U955" s="364">
        <f t="shared" si="30"/>
        <v>23290396</v>
      </c>
      <c r="W955" s="365" t="str">
        <f>+VLOOKUP($B955,[2]Time_S4!$B:$G,6,0)</f>
        <v>Phòng Thương hiệu và truyền thông</v>
      </c>
      <c r="X955" s="365" t="str">
        <f>IF(W955="Phòng Kinh doanh","Trung tâm Kinh doanh - TCT CNC",+VLOOKUP($B955,[2]Time_S4!$B:$G,5,0))</f>
        <v>Trung tâm Kinh doanh - TCT CNC</v>
      </c>
      <c r="Y955" s="366"/>
      <c r="Z955" s="366"/>
    </row>
    <row r="956" spans="1:26" ht="15.75" hidden="1">
      <c r="A956" s="367">
        <f>SUBTOTAL(3,$B$15:B956)</f>
        <v>2</v>
      </c>
      <c r="B956" s="382" t="s">
        <v>2222</v>
      </c>
      <c r="C956" s="387" t="s">
        <v>2223</v>
      </c>
      <c r="D956" s="384" t="s">
        <v>407</v>
      </c>
      <c r="E956" s="385">
        <v>21</v>
      </c>
      <c r="F956" s="384">
        <v>21</v>
      </c>
      <c r="G956" s="358">
        <v>22680583</v>
      </c>
      <c r="H956" s="359">
        <f t="shared" si="29"/>
        <v>21763975</v>
      </c>
      <c r="I956" s="360"/>
      <c r="J956" s="361"/>
      <c r="K956" s="362"/>
      <c r="L956" s="362"/>
      <c r="M956" s="361">
        <v>698368</v>
      </c>
      <c r="N956" s="361">
        <v>1527680</v>
      </c>
      <c r="O956" s="361">
        <v>130944</v>
      </c>
      <c r="P956" s="361">
        <v>261888</v>
      </c>
      <c r="Q956" s="361">
        <v>87296</v>
      </c>
      <c r="R956" s="361">
        <v>87296</v>
      </c>
      <c r="S956" s="361">
        <v>174592</v>
      </c>
      <c r="T956" s="386">
        <v>930000</v>
      </c>
      <c r="U956" s="364">
        <f t="shared" si="30"/>
        <v>25662039</v>
      </c>
      <c r="W956" s="365" t="str">
        <f>+VLOOKUP($B956,[2]Time_S4!$B:$G,6,0)</f>
        <v>Trung tâm Công nghệ Cơ khí - Tự động hóa</v>
      </c>
      <c r="X956" s="365" t="str">
        <f>IF(W956="Phòng Kinh doanh","Trung tâm Kinh doanh - TCT CNC",+VLOOKUP($B956,[2]Time_S4!$B:$G,5,0))</f>
        <v>Khối 1 - TCT CNC</v>
      </c>
      <c r="Y956" s="366"/>
      <c r="Z956" s="366"/>
    </row>
    <row r="957" spans="1:26" ht="15.75" hidden="1">
      <c r="A957" s="367">
        <f>SUBTOTAL(3,$B$15:B957)</f>
        <v>2</v>
      </c>
      <c r="B957" s="382" t="s">
        <v>2224</v>
      </c>
      <c r="C957" s="383" t="s">
        <v>2225</v>
      </c>
      <c r="D957" s="384" t="s">
        <v>407</v>
      </c>
      <c r="E957" s="385">
        <v>21</v>
      </c>
      <c r="F957" s="384">
        <v>21</v>
      </c>
      <c r="G957" s="358">
        <v>20250665</v>
      </c>
      <c r="H957" s="359">
        <f t="shared" si="29"/>
        <v>19334057</v>
      </c>
      <c r="I957" s="360"/>
      <c r="J957" s="361"/>
      <c r="K957" s="362"/>
      <c r="L957" s="362"/>
      <c r="M957" s="361">
        <v>698368</v>
      </c>
      <c r="N957" s="361">
        <v>1527680</v>
      </c>
      <c r="O957" s="361">
        <v>130944</v>
      </c>
      <c r="P957" s="361">
        <v>261888</v>
      </c>
      <c r="Q957" s="361">
        <v>87296</v>
      </c>
      <c r="R957" s="361">
        <v>87296</v>
      </c>
      <c r="S957" s="361">
        <v>174592</v>
      </c>
      <c r="T957" s="386">
        <v>930000</v>
      </c>
      <c r="U957" s="364">
        <f t="shared" si="30"/>
        <v>23232121</v>
      </c>
      <c r="W957" s="365" t="str">
        <f>+VLOOKUP($B957,[2]Time_S4!$B:$G,6,0)</f>
        <v>Trung tâm Nghiên cứu thiết bị vô tuyến băng rộng</v>
      </c>
      <c r="X957" s="365" t="str">
        <f>IF(W957="Phòng Kinh doanh","Trung tâm Kinh doanh - TCT CNC",+VLOOKUP($B957,[2]Time_S4!$B:$G,5,0))</f>
        <v>Khối 2 - TCT CNC</v>
      </c>
      <c r="Y957" s="366"/>
      <c r="Z957" s="366"/>
    </row>
    <row r="958" spans="1:26" ht="15.75" hidden="1">
      <c r="A958" s="367">
        <f>SUBTOTAL(3,$B$15:B958)</f>
        <v>2</v>
      </c>
      <c r="B958" s="382" t="s">
        <v>2226</v>
      </c>
      <c r="C958" s="383" t="s">
        <v>2227</v>
      </c>
      <c r="D958" s="384" t="s">
        <v>407</v>
      </c>
      <c r="E958" s="385">
        <v>21</v>
      </c>
      <c r="F958" s="384">
        <v>21</v>
      </c>
      <c r="G958" s="358">
        <v>25678495</v>
      </c>
      <c r="H958" s="359">
        <f t="shared" si="29"/>
        <v>24662935</v>
      </c>
      <c r="I958" s="360"/>
      <c r="J958" s="361"/>
      <c r="K958" s="362"/>
      <c r="L958" s="362"/>
      <c r="M958" s="361">
        <v>773760</v>
      </c>
      <c r="N958" s="361">
        <v>1692600</v>
      </c>
      <c r="O958" s="361">
        <v>145080</v>
      </c>
      <c r="P958" s="361">
        <v>290160</v>
      </c>
      <c r="Q958" s="361">
        <v>96720</v>
      </c>
      <c r="R958" s="361">
        <v>96720</v>
      </c>
      <c r="S958" s="361">
        <v>193440</v>
      </c>
      <c r="T958" s="386">
        <v>1030000</v>
      </c>
      <c r="U958" s="364">
        <f t="shared" si="30"/>
        <v>28981415</v>
      </c>
      <c r="W958" s="365" t="str">
        <f>+VLOOKUP($B958,[2]Time_S4!$B:$G,6,0)</f>
        <v>Trung tâm Nghiên cứu thiết bị vô tuyến băng rộng</v>
      </c>
      <c r="X958" s="365" t="str">
        <f>IF(W958="Phòng Kinh doanh","Trung tâm Kinh doanh - TCT CNC",+VLOOKUP($B958,[2]Time_S4!$B:$G,5,0))</f>
        <v>Khối 2 - TCT CNC</v>
      </c>
      <c r="Y958" s="366"/>
      <c r="Z958" s="366"/>
    </row>
    <row r="959" spans="1:26" ht="15.75" hidden="1">
      <c r="A959" s="367">
        <f>SUBTOTAL(3,$B$15:B959)</f>
        <v>2</v>
      </c>
      <c r="B959" s="382" t="s">
        <v>2228</v>
      </c>
      <c r="C959" s="383" t="s">
        <v>406</v>
      </c>
      <c r="D959" s="384" t="s">
        <v>407</v>
      </c>
      <c r="E959" s="385">
        <v>21</v>
      </c>
      <c r="F959" s="384">
        <v>21</v>
      </c>
      <c r="G959" s="358">
        <v>28455025</v>
      </c>
      <c r="H959" s="359">
        <f t="shared" si="29"/>
        <v>27491545</v>
      </c>
      <c r="I959" s="360"/>
      <c r="J959" s="361"/>
      <c r="K959" s="362"/>
      <c r="L959" s="362"/>
      <c r="M959" s="361">
        <v>734080</v>
      </c>
      <c r="N959" s="361">
        <v>1605800</v>
      </c>
      <c r="O959" s="361">
        <v>137640</v>
      </c>
      <c r="P959" s="361">
        <v>275280</v>
      </c>
      <c r="Q959" s="361">
        <v>91760</v>
      </c>
      <c r="R959" s="361">
        <v>91760</v>
      </c>
      <c r="S959" s="361">
        <v>183520</v>
      </c>
      <c r="T959" s="386">
        <v>930000</v>
      </c>
      <c r="U959" s="364">
        <f t="shared" si="30"/>
        <v>31541385</v>
      </c>
      <c r="W959" s="365" t="str">
        <f>+VLOOKUP($B959,[2]Time_S4!$B:$G,6,0)</f>
        <v>Trung tâm Nền tảng IOT</v>
      </c>
      <c r="X959" s="365" t="str">
        <f>IF(W959="Phòng Kinh doanh","Trung tâm Kinh doanh - TCT CNC",+VLOOKUP($B959,[2]Time_S4!$B:$G,5,0))</f>
        <v>Khối 3 - TCT CNC</v>
      </c>
      <c r="Y959" s="366"/>
      <c r="Z959" s="366"/>
    </row>
    <row r="960" spans="1:26" ht="15.75" hidden="1">
      <c r="A960" s="367">
        <f>SUBTOTAL(3,$B$15:B960)</f>
        <v>2</v>
      </c>
      <c r="B960" s="382" t="s">
        <v>2229</v>
      </c>
      <c r="C960" s="383" t="s">
        <v>2230</v>
      </c>
      <c r="D960" s="384" t="s">
        <v>407</v>
      </c>
      <c r="E960" s="385">
        <v>21</v>
      </c>
      <c r="F960" s="384">
        <v>21</v>
      </c>
      <c r="G960" s="358">
        <v>12519257</v>
      </c>
      <c r="H960" s="359">
        <f t="shared" si="29"/>
        <v>11774513</v>
      </c>
      <c r="I960" s="360"/>
      <c r="J960" s="361"/>
      <c r="K960" s="362"/>
      <c r="L960" s="362"/>
      <c r="M960" s="361">
        <v>567424</v>
      </c>
      <c r="N960" s="361">
        <v>1241240</v>
      </c>
      <c r="O960" s="361">
        <v>106392</v>
      </c>
      <c r="P960" s="361">
        <v>212784</v>
      </c>
      <c r="Q960" s="361">
        <v>70928</v>
      </c>
      <c r="R960" s="361">
        <v>70928</v>
      </c>
      <c r="S960" s="361">
        <v>141856</v>
      </c>
      <c r="T960" s="386">
        <v>1047000</v>
      </c>
      <c r="U960" s="364">
        <f t="shared" si="30"/>
        <v>15233065</v>
      </c>
      <c r="W960" s="365" t="str">
        <f>+VLOOKUP($B960,[2]Time_S4!$B:$G,6,0)</f>
        <v>Trung tâm Rada</v>
      </c>
      <c r="X960" s="365" t="str">
        <f>IF(W960="Phòng Kinh doanh","Trung tâm Kinh doanh - TCT CNC",+VLOOKUP($B960,[2]Time_S4!$B:$G,5,0))</f>
        <v>Khối 1 - TCT CNC</v>
      </c>
      <c r="Y960" s="366"/>
      <c r="Z960" s="366"/>
    </row>
    <row r="961" spans="1:26" ht="15.75" hidden="1">
      <c r="A961" s="367">
        <f>SUBTOTAL(3,$B$15:B961)</f>
        <v>2</v>
      </c>
      <c r="B961" s="382" t="s">
        <v>2231</v>
      </c>
      <c r="C961" s="383" t="s">
        <v>2232</v>
      </c>
      <c r="D961" s="384" t="s">
        <v>407</v>
      </c>
      <c r="E961" s="385">
        <v>21</v>
      </c>
      <c r="F961" s="384">
        <v>21</v>
      </c>
      <c r="G961" s="358">
        <v>22491047</v>
      </c>
      <c r="H961" s="359">
        <f t="shared" si="29"/>
        <v>21527567</v>
      </c>
      <c r="I961" s="360"/>
      <c r="J961" s="361"/>
      <c r="K961" s="362"/>
      <c r="L961" s="362"/>
      <c r="M961" s="361">
        <v>734080</v>
      </c>
      <c r="N961" s="361">
        <v>1605800</v>
      </c>
      <c r="O961" s="361">
        <v>137640</v>
      </c>
      <c r="P961" s="361">
        <v>275280</v>
      </c>
      <c r="Q961" s="361">
        <v>91760</v>
      </c>
      <c r="R961" s="361">
        <v>91760</v>
      </c>
      <c r="S961" s="361">
        <v>183520</v>
      </c>
      <c r="T961" s="386">
        <v>930000</v>
      </c>
      <c r="U961" s="364">
        <f t="shared" si="30"/>
        <v>25577407</v>
      </c>
      <c r="W961" s="365" t="str">
        <f>+VLOOKUP($B961,[2]Time_S4!$B:$G,6,0)</f>
        <v>Trung tâm Rada</v>
      </c>
      <c r="X961" s="365" t="str">
        <f>IF(W961="Phòng Kinh doanh","Trung tâm Kinh doanh - TCT CNC",+VLOOKUP($B961,[2]Time_S4!$B:$G,5,0))</f>
        <v>Khối 1 - TCT CNC</v>
      </c>
      <c r="Y961" s="366"/>
      <c r="Z961" s="366"/>
    </row>
    <row r="962" spans="1:26" ht="15.75" hidden="1">
      <c r="A962" s="367">
        <f>SUBTOTAL(3,$B$15:B962)</f>
        <v>2</v>
      </c>
      <c r="B962" s="382" t="s">
        <v>2233</v>
      </c>
      <c r="C962" s="383" t="s">
        <v>2234</v>
      </c>
      <c r="D962" s="384" t="s">
        <v>407</v>
      </c>
      <c r="E962" s="385">
        <v>21</v>
      </c>
      <c r="F962" s="384">
        <v>21</v>
      </c>
      <c r="G962" s="358">
        <v>15936350</v>
      </c>
      <c r="H962" s="359">
        <f t="shared" si="29"/>
        <v>15108278</v>
      </c>
      <c r="I962" s="360"/>
      <c r="J962" s="361"/>
      <c r="K962" s="362"/>
      <c r="L962" s="362"/>
      <c r="M962" s="361">
        <v>630912</v>
      </c>
      <c r="N962" s="361">
        <v>1380120</v>
      </c>
      <c r="O962" s="361">
        <v>118296</v>
      </c>
      <c r="P962" s="361">
        <v>236592</v>
      </c>
      <c r="Q962" s="361">
        <v>78864</v>
      </c>
      <c r="R962" s="361">
        <v>78864</v>
      </c>
      <c r="S962" s="361">
        <v>157728</v>
      </c>
      <c r="T962" s="386">
        <v>1047000</v>
      </c>
      <c r="U962" s="364">
        <f t="shared" si="30"/>
        <v>18836654</v>
      </c>
      <c r="W962" s="365" t="str">
        <f>+VLOOKUP($B962,[2]Time_S4!$B:$G,6,0)</f>
        <v>Trung tâm Rada</v>
      </c>
      <c r="X962" s="365" t="str">
        <f>IF(W962="Phòng Kinh doanh","Trung tâm Kinh doanh - TCT CNC",+VLOOKUP($B962,[2]Time_S4!$B:$G,5,0))</f>
        <v>Khối 1 - TCT CNC</v>
      </c>
      <c r="Y962" s="366"/>
      <c r="Z962" s="366"/>
    </row>
    <row r="963" spans="1:26" ht="15.75" hidden="1">
      <c r="A963" s="367">
        <f>SUBTOTAL(3,$B$15:B963)</f>
        <v>2</v>
      </c>
      <c r="B963" s="382" t="s">
        <v>2235</v>
      </c>
      <c r="C963" s="383" t="s">
        <v>2236</v>
      </c>
      <c r="D963" s="384" t="s">
        <v>407</v>
      </c>
      <c r="E963" s="385">
        <v>21</v>
      </c>
      <c r="F963" s="384">
        <v>5</v>
      </c>
      <c r="G963" s="358">
        <v>4194547</v>
      </c>
      <c r="H963" s="359">
        <f t="shared" si="29"/>
        <v>4194547</v>
      </c>
      <c r="I963" s="360"/>
      <c r="J963" s="361"/>
      <c r="K963" s="362"/>
      <c r="L963" s="362"/>
      <c r="M963" s="361">
        <v>0</v>
      </c>
      <c r="N963" s="361">
        <v>0</v>
      </c>
      <c r="O963" s="361">
        <v>0</v>
      </c>
      <c r="P963" s="361">
        <v>0</v>
      </c>
      <c r="Q963" s="361">
        <v>0</v>
      </c>
      <c r="R963" s="361">
        <v>0</v>
      </c>
      <c r="S963" s="361">
        <v>0</v>
      </c>
      <c r="T963" s="386">
        <v>221429</v>
      </c>
      <c r="U963" s="364">
        <f t="shared" si="30"/>
        <v>4415976</v>
      </c>
      <c r="W963" s="365" t="str">
        <f>+VLOOKUP($B963,[2]Time_S4!$B:$G,6,0)</f>
        <v>Trung tâm Nghiên cứu thiết bị vô tuyến băng rộng</v>
      </c>
      <c r="X963" s="365" t="str">
        <f>IF(W963="Phòng Kinh doanh","Trung tâm Kinh doanh - TCT CNC",+VLOOKUP($B963,[2]Time_S4!$B:$G,5,0))</f>
        <v>Khối 2 - TCT CNC</v>
      </c>
      <c r="Y963" s="366"/>
      <c r="Z963" s="366"/>
    </row>
    <row r="964" spans="1:26" ht="15.75" hidden="1">
      <c r="A964" s="367">
        <f>SUBTOTAL(3,$B$15:B964)</f>
        <v>2</v>
      </c>
      <c r="B964" s="382" t="s">
        <v>2237</v>
      </c>
      <c r="C964" s="383" t="s">
        <v>2238</v>
      </c>
      <c r="D964" s="384" t="s">
        <v>407</v>
      </c>
      <c r="E964" s="385">
        <v>21</v>
      </c>
      <c r="F964" s="384">
        <v>21</v>
      </c>
      <c r="G964" s="358">
        <v>20250665</v>
      </c>
      <c r="H964" s="359">
        <f t="shared" si="29"/>
        <v>19334057</v>
      </c>
      <c r="I964" s="360"/>
      <c r="J964" s="361"/>
      <c r="K964" s="362"/>
      <c r="L964" s="362"/>
      <c r="M964" s="361">
        <v>698368</v>
      </c>
      <c r="N964" s="361">
        <v>1527680</v>
      </c>
      <c r="O964" s="361">
        <v>130944</v>
      </c>
      <c r="P964" s="361">
        <v>261888</v>
      </c>
      <c r="Q964" s="361">
        <v>87296</v>
      </c>
      <c r="R964" s="361">
        <v>87296</v>
      </c>
      <c r="S964" s="361">
        <v>174592</v>
      </c>
      <c r="T964" s="386">
        <v>930000</v>
      </c>
      <c r="U964" s="364">
        <f t="shared" si="30"/>
        <v>23232121</v>
      </c>
      <c r="W964" s="365" t="str">
        <f>+VLOOKUP($B964,[2]Time_S4!$B:$G,6,0)</f>
        <v>Trung tâm Phát triển nền tảng thanh toán</v>
      </c>
      <c r="X964" s="365" t="str">
        <f>IF(W964="Phòng Kinh doanh","Trung tâm Kinh doanh - TCT CNC",+VLOOKUP($B964,[2]Time_S4!$B:$G,5,0))</f>
        <v>Khối 2 - TCT CNC</v>
      </c>
      <c r="Y964" s="366"/>
      <c r="Z964" s="366"/>
    </row>
    <row r="965" spans="1:26" ht="15.75" hidden="1">
      <c r="A965" s="367">
        <f>SUBTOTAL(3,$B$15:B965)</f>
        <v>2</v>
      </c>
      <c r="B965" s="382" t="s">
        <v>2239</v>
      </c>
      <c r="C965" s="383" t="s">
        <v>2240</v>
      </c>
      <c r="D965" s="384" t="s">
        <v>407</v>
      </c>
      <c r="E965" s="385">
        <v>21</v>
      </c>
      <c r="F965" s="384">
        <v>21</v>
      </c>
      <c r="G965" s="358">
        <v>16765924</v>
      </c>
      <c r="H965" s="359">
        <f t="shared" si="29"/>
        <v>15937852</v>
      </c>
      <c r="I965" s="360"/>
      <c r="J965" s="361"/>
      <c r="K965" s="362"/>
      <c r="L965" s="362"/>
      <c r="M965" s="361">
        <v>630912</v>
      </c>
      <c r="N965" s="361">
        <v>1380120</v>
      </c>
      <c r="O965" s="361">
        <v>118296</v>
      </c>
      <c r="P965" s="361">
        <v>236592</v>
      </c>
      <c r="Q965" s="361">
        <v>78864</v>
      </c>
      <c r="R965" s="361">
        <v>78864</v>
      </c>
      <c r="S965" s="361">
        <v>157728</v>
      </c>
      <c r="T965" s="386">
        <v>1047000</v>
      </c>
      <c r="U965" s="364">
        <f t="shared" si="30"/>
        <v>19666228</v>
      </c>
      <c r="W965" s="365" t="str">
        <f>+VLOOKUP($B965,[2]Time_S4!$B:$G,6,0)</f>
        <v>Trung tâm Camera</v>
      </c>
      <c r="X965" s="365" t="str">
        <f>IF(W965="Phòng Kinh doanh","Trung tâm Kinh doanh - TCT CNC",+VLOOKUP($B965,[2]Time_S4!$B:$G,5,0))</f>
        <v>Khối 3 - TCT CNC</v>
      </c>
      <c r="Y965" s="366"/>
      <c r="Z965" s="366"/>
    </row>
    <row r="966" spans="1:26" ht="15.75" hidden="1">
      <c r="A966" s="367">
        <f>SUBTOTAL(3,$B$15:B966)</f>
        <v>2</v>
      </c>
      <c r="B966" s="382" t="s">
        <v>2241</v>
      </c>
      <c r="C966" s="383" t="s">
        <v>2242</v>
      </c>
      <c r="D966" s="384" t="s">
        <v>407</v>
      </c>
      <c r="E966" s="385">
        <v>21</v>
      </c>
      <c r="F966" s="384">
        <v>21</v>
      </c>
      <c r="G966" s="358">
        <v>78489018</v>
      </c>
      <c r="H966" s="359">
        <f t="shared" si="29"/>
        <v>76968282</v>
      </c>
      <c r="I966" s="360"/>
      <c r="J966" s="361"/>
      <c r="K966" s="362"/>
      <c r="L966" s="362"/>
      <c r="M966" s="361">
        <v>1158656</v>
      </c>
      <c r="N966" s="361">
        <v>2534560</v>
      </c>
      <c r="O966" s="361">
        <v>217248</v>
      </c>
      <c r="P966" s="361">
        <v>434496</v>
      </c>
      <c r="Q966" s="361">
        <v>144832</v>
      </c>
      <c r="R966" s="361">
        <v>144832</v>
      </c>
      <c r="S966" s="361">
        <v>289664</v>
      </c>
      <c r="T966" s="386">
        <v>1230000</v>
      </c>
      <c r="U966" s="364">
        <f t="shared" si="30"/>
        <v>83122570</v>
      </c>
      <c r="W966" s="365" t="str">
        <f>+VLOOKUP($B966,[2]Time_S4!$B:$G,6,0)</f>
        <v>Trung tâm Nghiên cứu giải pháp tích hợp công nghệ cao</v>
      </c>
      <c r="X966" s="365" t="str">
        <f>IF(W966="Phòng Kinh doanh","Trung tâm Kinh doanh - TCT CNC",+VLOOKUP($B966,[2]Time_S4!$B:$G,5,0))</f>
        <v>Khối 1 - TCT CNC</v>
      </c>
      <c r="Y966" s="366"/>
      <c r="Z966" s="366"/>
    </row>
    <row r="967" spans="1:26" ht="15.75" hidden="1">
      <c r="A967" s="367">
        <f>SUBTOTAL(3,$B$15:B967)</f>
        <v>2</v>
      </c>
      <c r="B967" s="382" t="s">
        <v>2243</v>
      </c>
      <c r="C967" s="383" t="s">
        <v>2244</v>
      </c>
      <c r="D967" s="384" t="s">
        <v>407</v>
      </c>
      <c r="E967" s="385">
        <v>21</v>
      </c>
      <c r="F967" s="384">
        <v>21</v>
      </c>
      <c r="G967" s="358">
        <v>26324708</v>
      </c>
      <c r="H967" s="359">
        <f t="shared" si="29"/>
        <v>25309148</v>
      </c>
      <c r="I967" s="360"/>
      <c r="J967" s="361"/>
      <c r="K967" s="362"/>
      <c r="L967" s="362"/>
      <c r="M967" s="361">
        <v>773760</v>
      </c>
      <c r="N967" s="361">
        <v>1692600</v>
      </c>
      <c r="O967" s="361">
        <v>145080</v>
      </c>
      <c r="P967" s="361">
        <v>290160</v>
      </c>
      <c r="Q967" s="361">
        <v>96720</v>
      </c>
      <c r="R967" s="361">
        <v>96720</v>
      </c>
      <c r="S967" s="361">
        <v>193440</v>
      </c>
      <c r="T967" s="386">
        <v>930000</v>
      </c>
      <c r="U967" s="364">
        <f t="shared" si="30"/>
        <v>29527628</v>
      </c>
      <c r="W967" s="365" t="str">
        <f>+VLOOKUP($B967,[2]Time_S4!$B:$G,6,0)</f>
        <v>Trung tâm Mô hình mô phỏng</v>
      </c>
      <c r="X967" s="365" t="str">
        <f>IF(W967="Phòng Kinh doanh","Trung tâm Kinh doanh - TCT CNC",+VLOOKUP($B967,[2]Time_S4!$B:$G,5,0))</f>
        <v>Khối 1 - TCT CNC</v>
      </c>
      <c r="Y967" s="366"/>
      <c r="Z967" s="366"/>
    </row>
    <row r="968" spans="1:26" ht="15.75" hidden="1">
      <c r="A968" s="367">
        <f>SUBTOTAL(3,$B$15:B968)</f>
        <v>2</v>
      </c>
      <c r="B968" s="382" t="s">
        <v>2245</v>
      </c>
      <c r="C968" s="383" t="s">
        <v>2246</v>
      </c>
      <c r="D968" s="384" t="s">
        <v>407</v>
      </c>
      <c r="E968" s="385">
        <v>21</v>
      </c>
      <c r="F968" s="384">
        <v>21</v>
      </c>
      <c r="G968" s="358">
        <v>25242346</v>
      </c>
      <c r="H968" s="359">
        <f t="shared" si="29"/>
        <v>24226786</v>
      </c>
      <c r="I968" s="360"/>
      <c r="J968" s="361"/>
      <c r="K968" s="362"/>
      <c r="L968" s="362"/>
      <c r="M968" s="361">
        <v>773760</v>
      </c>
      <c r="N968" s="361">
        <v>1692600</v>
      </c>
      <c r="O968" s="361">
        <v>145080</v>
      </c>
      <c r="P968" s="361">
        <v>290160</v>
      </c>
      <c r="Q968" s="361">
        <v>96720</v>
      </c>
      <c r="R968" s="361">
        <v>96720</v>
      </c>
      <c r="S968" s="361">
        <v>193440</v>
      </c>
      <c r="T968" s="386">
        <v>930000</v>
      </c>
      <c r="U968" s="364">
        <f t="shared" si="30"/>
        <v>28445266</v>
      </c>
      <c r="W968" s="365" t="str">
        <f>+VLOOKUP($B968,[2]Time_S4!$B:$G,6,0)</f>
        <v>Trung tâm Rada</v>
      </c>
      <c r="X968" s="365" t="str">
        <f>IF(W968="Phòng Kinh doanh","Trung tâm Kinh doanh - TCT CNC",+VLOOKUP($B968,[2]Time_S4!$B:$G,5,0))</f>
        <v>Khối 1 - TCT CNC</v>
      </c>
      <c r="Y968" s="366"/>
      <c r="Z968" s="366"/>
    </row>
    <row r="969" spans="1:26" ht="15.75" hidden="1">
      <c r="A969" s="367">
        <f>SUBTOTAL(3,$B$15:B969)</f>
        <v>2</v>
      </c>
      <c r="B969" s="382" t="s">
        <v>2247</v>
      </c>
      <c r="C969" s="383" t="s">
        <v>2248</v>
      </c>
      <c r="D969" s="384" t="s">
        <v>407</v>
      </c>
      <c r="E969" s="385">
        <v>21</v>
      </c>
      <c r="F969" s="384">
        <v>21</v>
      </c>
      <c r="G969" s="358">
        <v>15370780</v>
      </c>
      <c r="H969" s="359">
        <f t="shared" si="29"/>
        <v>14542708</v>
      </c>
      <c r="I969" s="360"/>
      <c r="J969" s="361"/>
      <c r="K969" s="362"/>
      <c r="L969" s="362"/>
      <c r="M969" s="361">
        <v>630912</v>
      </c>
      <c r="N969" s="361">
        <v>1380120</v>
      </c>
      <c r="O969" s="361">
        <v>118296</v>
      </c>
      <c r="P969" s="361">
        <v>236592</v>
      </c>
      <c r="Q969" s="361">
        <v>78864</v>
      </c>
      <c r="R969" s="361">
        <v>78864</v>
      </c>
      <c r="S969" s="361">
        <v>157728</v>
      </c>
      <c r="T969" s="386">
        <v>930000</v>
      </c>
      <c r="U969" s="364">
        <f t="shared" si="30"/>
        <v>18154084</v>
      </c>
      <c r="W969" s="365" t="str">
        <f>+VLOOKUP($B969,[2]Time_S4!$B:$G,6,0)</f>
        <v>Trung tâm Quang điện tử</v>
      </c>
      <c r="X969" s="365" t="str">
        <f>IF(W969="Phòng Kinh doanh","Trung tâm Kinh doanh - TCT CNC",+VLOOKUP($B969,[2]Time_S4!$B:$G,5,0))</f>
        <v>Khối 1 - TCT CNC</v>
      </c>
      <c r="Y969" s="366"/>
      <c r="Z969" s="366"/>
    </row>
    <row r="970" spans="1:26" ht="15.75" hidden="1">
      <c r="A970" s="367">
        <f>SUBTOTAL(3,$B$15:B970)</f>
        <v>2</v>
      </c>
      <c r="B970" s="382" t="s">
        <v>2249</v>
      </c>
      <c r="C970" s="383" t="s">
        <v>2250</v>
      </c>
      <c r="D970" s="384" t="s">
        <v>407</v>
      </c>
      <c r="E970" s="385">
        <v>21</v>
      </c>
      <c r="F970" s="384">
        <v>21</v>
      </c>
      <c r="G970" s="358">
        <v>20464289</v>
      </c>
      <c r="H970" s="359">
        <f t="shared" si="29"/>
        <v>19547681</v>
      </c>
      <c r="I970" s="360"/>
      <c r="J970" s="361"/>
      <c r="K970" s="362"/>
      <c r="L970" s="362"/>
      <c r="M970" s="361">
        <v>698368</v>
      </c>
      <c r="N970" s="361">
        <v>1527680</v>
      </c>
      <c r="O970" s="361">
        <v>130944</v>
      </c>
      <c r="P970" s="361">
        <v>261888</v>
      </c>
      <c r="Q970" s="361">
        <v>87296</v>
      </c>
      <c r="R970" s="361">
        <v>87296</v>
      </c>
      <c r="S970" s="361">
        <v>174592</v>
      </c>
      <c r="T970" s="386">
        <v>1047000</v>
      </c>
      <c r="U970" s="364">
        <f t="shared" si="30"/>
        <v>23562745</v>
      </c>
      <c r="W970" s="365" t="str">
        <f>+VLOOKUP($B970,[2]Time_S4!$B:$G,6,0)</f>
        <v>Phòng Kiểu dáng và đồ họa</v>
      </c>
      <c r="X970" s="365" t="str">
        <f>IF(W970="Phòng Kinh doanh","Trung tâm Kinh doanh - TCT CNC",+VLOOKUP($B970,[2]Time_S4!$B:$G,5,0))</f>
        <v>Khối 1 - TCT CNC</v>
      </c>
      <c r="Y970" s="366"/>
      <c r="Z970" s="366"/>
    </row>
    <row r="971" spans="1:26" ht="15.75" hidden="1">
      <c r="A971" s="367">
        <f>SUBTOTAL(3,$B$15:B971)</f>
        <v>2</v>
      </c>
      <c r="B971" s="382" t="s">
        <v>2251</v>
      </c>
      <c r="C971" s="383" t="s">
        <v>2252</v>
      </c>
      <c r="D971" s="384" t="s">
        <v>407</v>
      </c>
      <c r="E971" s="385">
        <v>21</v>
      </c>
      <c r="F971" s="384">
        <v>21</v>
      </c>
      <c r="G971" s="358">
        <v>32949085</v>
      </c>
      <c r="H971" s="359">
        <f t="shared" si="29"/>
        <v>31933525</v>
      </c>
      <c r="I971" s="360"/>
      <c r="J971" s="361"/>
      <c r="K971" s="362"/>
      <c r="L971" s="362"/>
      <c r="M971" s="361">
        <v>773760</v>
      </c>
      <c r="N971" s="361">
        <v>1692600</v>
      </c>
      <c r="O971" s="361">
        <v>145080</v>
      </c>
      <c r="P971" s="361">
        <v>290160</v>
      </c>
      <c r="Q971" s="361">
        <v>96720</v>
      </c>
      <c r="R971" s="361">
        <v>96720</v>
      </c>
      <c r="S971" s="361">
        <v>193440</v>
      </c>
      <c r="T971" s="386">
        <v>1030000</v>
      </c>
      <c r="U971" s="364">
        <f t="shared" si="30"/>
        <v>36252005</v>
      </c>
      <c r="W971" s="365" t="str">
        <f>+VLOOKUP($B971,[2]Time_S4!$B:$G,6,0)</f>
        <v>Trung tâm Chỉ huy điều khiển</v>
      </c>
      <c r="X971" s="365" t="str">
        <f>IF(W971="Phòng Kinh doanh","Trung tâm Kinh doanh - TCT CNC",+VLOOKUP($B971,[2]Time_S4!$B:$G,5,0))</f>
        <v>Khối 1 - TCT CNC</v>
      </c>
      <c r="Y971" s="366"/>
      <c r="Z971" s="366"/>
    </row>
    <row r="972" spans="1:26" ht="15.75" hidden="1">
      <c r="A972" s="367">
        <f>SUBTOTAL(3,$B$15:B972)</f>
        <v>2</v>
      </c>
      <c r="B972" s="382" t="s">
        <v>2253</v>
      </c>
      <c r="C972" s="383" t="s">
        <v>2254</v>
      </c>
      <c r="D972" s="384" t="s">
        <v>407</v>
      </c>
      <c r="E972" s="385">
        <v>21</v>
      </c>
      <c r="F972" s="384">
        <v>21</v>
      </c>
      <c r="G972" s="358">
        <v>22256060</v>
      </c>
      <c r="H972" s="359">
        <f t="shared" si="29"/>
        <v>21292580</v>
      </c>
      <c r="I972" s="360"/>
      <c r="J972" s="361"/>
      <c r="K972" s="362"/>
      <c r="L972" s="362"/>
      <c r="M972" s="361">
        <v>734080</v>
      </c>
      <c r="N972" s="361">
        <v>1605800</v>
      </c>
      <c r="O972" s="361">
        <v>137640</v>
      </c>
      <c r="P972" s="361">
        <v>275280</v>
      </c>
      <c r="Q972" s="361">
        <v>91760</v>
      </c>
      <c r="R972" s="361">
        <v>91760</v>
      </c>
      <c r="S972" s="361">
        <v>183520</v>
      </c>
      <c r="T972" s="386">
        <v>1047000</v>
      </c>
      <c r="U972" s="364">
        <f t="shared" si="30"/>
        <v>25459420</v>
      </c>
      <c r="W972" s="365" t="str">
        <f>+VLOOKUP($B972,[2]Time_S4!$B:$G,6,0)</f>
        <v>Phòng Kiểu dáng và đồ họa</v>
      </c>
      <c r="X972" s="365" t="str">
        <f>IF(W972="Phòng Kinh doanh","Trung tâm Kinh doanh - TCT CNC",+VLOOKUP($B972,[2]Time_S4!$B:$G,5,0))</f>
        <v>Khối 1 - TCT CNC</v>
      </c>
      <c r="Y972" s="366"/>
      <c r="Z972" s="366"/>
    </row>
    <row r="973" spans="1:26" ht="15.75" hidden="1">
      <c r="A973" s="367">
        <f>SUBTOTAL(3,$B$15:B973)</f>
        <v>2</v>
      </c>
      <c r="B973" s="382" t="s">
        <v>2255</v>
      </c>
      <c r="C973" s="383" t="s">
        <v>2082</v>
      </c>
      <c r="D973" s="384" t="s">
        <v>407</v>
      </c>
      <c r="E973" s="385">
        <v>21</v>
      </c>
      <c r="F973" s="384">
        <v>13</v>
      </c>
      <c r="G973" s="358">
        <v>18021113</v>
      </c>
      <c r="H973" s="359">
        <f t="shared" si="29"/>
        <v>17057633</v>
      </c>
      <c r="I973" s="360"/>
      <c r="J973" s="361"/>
      <c r="K973" s="362"/>
      <c r="L973" s="362"/>
      <c r="M973" s="361">
        <v>734080</v>
      </c>
      <c r="N973" s="361">
        <v>1605800</v>
      </c>
      <c r="O973" s="361">
        <v>137640</v>
      </c>
      <c r="P973" s="361">
        <v>275280</v>
      </c>
      <c r="Q973" s="361">
        <v>91760</v>
      </c>
      <c r="R973" s="361">
        <v>91760</v>
      </c>
      <c r="S973" s="361">
        <v>183520</v>
      </c>
      <c r="T973" s="386">
        <v>575715</v>
      </c>
      <c r="U973" s="364">
        <f t="shared" si="30"/>
        <v>20753188</v>
      </c>
      <c r="W973" s="365" t="str">
        <f>+VLOOKUP($B973,[2]Time_S4!$B:$G,6,0)</f>
        <v>Trung tâm Công nghệ Cơ khí - Tự động hóa</v>
      </c>
      <c r="X973" s="365" t="str">
        <f>IF(W973="Phòng Kinh doanh","Trung tâm Kinh doanh - TCT CNC",+VLOOKUP($B973,[2]Time_S4!$B:$G,5,0))</f>
        <v>Khối 1 - TCT CNC</v>
      </c>
      <c r="Y973" s="366"/>
      <c r="Z973" s="366"/>
    </row>
    <row r="974" spans="1:26" ht="15.75" hidden="1">
      <c r="A974" s="367">
        <f>SUBTOTAL(3,$B$15:B974)</f>
        <v>2</v>
      </c>
      <c r="B974" s="382" t="s">
        <v>2256</v>
      </c>
      <c r="C974" s="383" t="s">
        <v>2257</v>
      </c>
      <c r="D974" s="384" t="s">
        <v>407</v>
      </c>
      <c r="E974" s="385">
        <v>21</v>
      </c>
      <c r="F974" s="384">
        <v>21</v>
      </c>
      <c r="G974" s="358">
        <v>19418422</v>
      </c>
      <c r="H974" s="359">
        <f t="shared" si="29"/>
        <v>18501814</v>
      </c>
      <c r="I974" s="360"/>
      <c r="J974" s="361"/>
      <c r="K974" s="362"/>
      <c r="L974" s="362"/>
      <c r="M974" s="361">
        <v>698368</v>
      </c>
      <c r="N974" s="361">
        <v>1527680</v>
      </c>
      <c r="O974" s="361">
        <v>130944</v>
      </c>
      <c r="P974" s="361">
        <v>261888</v>
      </c>
      <c r="Q974" s="361">
        <v>87296</v>
      </c>
      <c r="R974" s="361">
        <v>87296</v>
      </c>
      <c r="S974" s="361">
        <v>174592</v>
      </c>
      <c r="T974" s="386">
        <v>930000</v>
      </c>
      <c r="U974" s="364">
        <f t="shared" si="30"/>
        <v>22399878</v>
      </c>
      <c r="W974" s="365" t="str">
        <f>+VLOOKUP($B974,[2]Time_S4!$B:$G,6,0)</f>
        <v>Trung tâm Khí cụ bay</v>
      </c>
      <c r="X974" s="365" t="str">
        <f>IF(W974="Phòng Kinh doanh","Trung tâm Kinh doanh - TCT CNC",+VLOOKUP($B974,[2]Time_S4!$B:$G,5,0))</f>
        <v>Khối 1 - TCT CNC</v>
      </c>
      <c r="Y974" s="366"/>
      <c r="Z974" s="366"/>
    </row>
    <row r="975" spans="1:26" ht="15.75" hidden="1">
      <c r="A975" s="367">
        <f>SUBTOTAL(3,$B$15:B975)</f>
        <v>2</v>
      </c>
      <c r="B975" s="382" t="s">
        <v>2258</v>
      </c>
      <c r="C975" s="383" t="s">
        <v>2259</v>
      </c>
      <c r="D975" s="384" t="s">
        <v>407</v>
      </c>
      <c r="E975" s="385">
        <v>21</v>
      </c>
      <c r="F975" s="384">
        <v>21</v>
      </c>
      <c r="G975" s="358">
        <v>16590574</v>
      </c>
      <c r="H975" s="359">
        <f t="shared" si="29"/>
        <v>15762502</v>
      </c>
      <c r="I975" s="360"/>
      <c r="J975" s="361"/>
      <c r="K975" s="362"/>
      <c r="L975" s="362"/>
      <c r="M975" s="361">
        <v>630912</v>
      </c>
      <c r="N975" s="361">
        <v>1380120</v>
      </c>
      <c r="O975" s="361">
        <v>118296</v>
      </c>
      <c r="P975" s="361">
        <v>236592</v>
      </c>
      <c r="Q975" s="361">
        <v>78864</v>
      </c>
      <c r="R975" s="361">
        <v>78864</v>
      </c>
      <c r="S975" s="361">
        <v>157728</v>
      </c>
      <c r="T975" s="386">
        <v>930000</v>
      </c>
      <c r="U975" s="364">
        <f t="shared" si="30"/>
        <v>19373878</v>
      </c>
      <c r="W975" s="365" t="str">
        <f>+VLOOKUP($B975,[2]Time_S4!$B:$G,6,0)</f>
        <v>Trung tâm Nghiên cứu thiết bị vô tuyến băng rộng</v>
      </c>
      <c r="X975" s="365" t="str">
        <f>IF(W975="Phòng Kinh doanh","Trung tâm Kinh doanh - TCT CNC",+VLOOKUP($B975,[2]Time_S4!$B:$G,5,0))</f>
        <v>Khối 2 - TCT CNC</v>
      </c>
      <c r="Y975" s="366"/>
      <c r="Z975" s="366"/>
    </row>
    <row r="976" spans="1:26" ht="15.75" hidden="1">
      <c r="A976" s="367">
        <f>SUBTOTAL(3,$B$15:B976)</f>
        <v>2</v>
      </c>
      <c r="B976" s="382" t="s">
        <v>2260</v>
      </c>
      <c r="C976" s="383" t="s">
        <v>2261</v>
      </c>
      <c r="D976" s="384" t="s">
        <v>407</v>
      </c>
      <c r="E976" s="385">
        <v>21</v>
      </c>
      <c r="F976" s="384">
        <v>21</v>
      </c>
      <c r="G976" s="358">
        <v>18233699</v>
      </c>
      <c r="H976" s="359">
        <f t="shared" ref="H976:H1039" si="31">+G976-SUM(M976,O976,Q976)</f>
        <v>17363963</v>
      </c>
      <c r="I976" s="360"/>
      <c r="J976" s="361"/>
      <c r="K976" s="362"/>
      <c r="L976" s="362"/>
      <c r="M976" s="361">
        <v>662656</v>
      </c>
      <c r="N976" s="361">
        <v>1449560</v>
      </c>
      <c r="O976" s="361">
        <v>124248</v>
      </c>
      <c r="P976" s="361">
        <v>248496</v>
      </c>
      <c r="Q976" s="361">
        <v>82832</v>
      </c>
      <c r="R976" s="361">
        <v>82832</v>
      </c>
      <c r="S976" s="361">
        <v>165664</v>
      </c>
      <c r="T976" s="386">
        <v>930000</v>
      </c>
      <c r="U976" s="364">
        <f t="shared" ref="U976:U1039" si="32">+SUM(H976:T976)</f>
        <v>21110251</v>
      </c>
      <c r="W976" s="365" t="str">
        <f>+VLOOKUP($B976,[2]Time_S4!$B:$G,6,0)</f>
        <v>Trung tâm Nghiên cứu thiết bị vô tuyến băng rộng</v>
      </c>
      <c r="X976" s="365" t="str">
        <f>IF(W976="Phòng Kinh doanh","Trung tâm Kinh doanh - TCT CNC",+VLOOKUP($B976,[2]Time_S4!$B:$G,5,0))</f>
        <v>Khối 2 - TCT CNC</v>
      </c>
      <c r="Y976" s="366"/>
      <c r="Z976" s="366"/>
    </row>
    <row r="977" spans="1:26" ht="15.75" hidden="1">
      <c r="A977" s="367">
        <f>SUBTOTAL(3,$B$15:B977)</f>
        <v>2</v>
      </c>
      <c r="B977" s="382" t="s">
        <v>2262</v>
      </c>
      <c r="C977" s="383" t="s">
        <v>2263</v>
      </c>
      <c r="D977" s="384" t="s">
        <v>407</v>
      </c>
      <c r="E977" s="385">
        <v>21</v>
      </c>
      <c r="F977" s="384">
        <v>21</v>
      </c>
      <c r="G977" s="358">
        <v>17121074</v>
      </c>
      <c r="H977" s="359">
        <f t="shared" si="31"/>
        <v>16293002</v>
      </c>
      <c r="I977" s="360"/>
      <c r="J977" s="361"/>
      <c r="K977" s="362"/>
      <c r="L977" s="362"/>
      <c r="M977" s="361">
        <v>630912</v>
      </c>
      <c r="N977" s="361">
        <v>1380120</v>
      </c>
      <c r="O977" s="361">
        <v>118296</v>
      </c>
      <c r="P977" s="361">
        <v>236592</v>
      </c>
      <c r="Q977" s="361">
        <v>78864</v>
      </c>
      <c r="R977" s="361">
        <v>78864</v>
      </c>
      <c r="S977" s="361">
        <v>157728</v>
      </c>
      <c r="T977" s="386">
        <v>930000</v>
      </c>
      <c r="U977" s="364">
        <f t="shared" si="32"/>
        <v>19904378</v>
      </c>
      <c r="W977" s="365" t="str">
        <f>+VLOOKUP($B977,[2]Time_S4!$B:$G,6,0)</f>
        <v>Trung tâm Công nghệ Cơ khí - Tự động hóa</v>
      </c>
      <c r="X977" s="365" t="str">
        <f>IF(W977="Phòng Kinh doanh","Trung tâm Kinh doanh - TCT CNC",+VLOOKUP($B977,[2]Time_S4!$B:$G,5,0))</f>
        <v>Khối 1 - TCT CNC</v>
      </c>
      <c r="Y977" s="366"/>
      <c r="Z977" s="366"/>
    </row>
    <row r="978" spans="1:26" ht="15.75" hidden="1">
      <c r="A978" s="367">
        <f>SUBTOTAL(3,$B$15:B978)</f>
        <v>2</v>
      </c>
      <c r="B978" s="382" t="s">
        <v>2264</v>
      </c>
      <c r="C978" s="383" t="s">
        <v>2265</v>
      </c>
      <c r="D978" s="384" t="s">
        <v>407</v>
      </c>
      <c r="E978" s="385">
        <v>21</v>
      </c>
      <c r="F978" s="384">
        <v>0</v>
      </c>
      <c r="G978" s="358">
        <v>9479780</v>
      </c>
      <c r="H978" s="359">
        <f t="shared" si="31"/>
        <v>9479780</v>
      </c>
      <c r="I978" s="360"/>
      <c r="J978" s="361"/>
      <c r="K978" s="362"/>
      <c r="L978" s="362"/>
      <c r="M978" s="361">
        <v>0</v>
      </c>
      <c r="N978" s="361">
        <v>0</v>
      </c>
      <c r="O978" s="361">
        <v>0</v>
      </c>
      <c r="P978" s="361">
        <v>0</v>
      </c>
      <c r="Q978" s="361">
        <v>0</v>
      </c>
      <c r="R978" s="361">
        <v>0</v>
      </c>
      <c r="S978" s="361">
        <v>0</v>
      </c>
      <c r="T978" s="386">
        <v>0</v>
      </c>
      <c r="U978" s="364">
        <f t="shared" si="32"/>
        <v>9479780</v>
      </c>
      <c r="W978" s="365" t="str">
        <f>+VLOOKUP($B978,[2]Time_S4!$B:$G,6,0)</f>
        <v>Trung tâm Đảm bảo chất lượng</v>
      </c>
      <c r="X978" s="365" t="str">
        <f>IF(W978="Phòng Kinh doanh","Trung tâm Kinh doanh - TCT CNC",+VLOOKUP($B978,[2]Time_S4!$B:$G,5,0))</f>
        <v>Khối 1 - TCT CNC</v>
      </c>
      <c r="Y978" s="366"/>
      <c r="Z978" s="366"/>
    </row>
    <row r="979" spans="1:26" ht="15.75" hidden="1">
      <c r="A979" s="367">
        <f>SUBTOTAL(3,$B$15:B979)</f>
        <v>2</v>
      </c>
      <c r="B979" s="382" t="s">
        <v>2266</v>
      </c>
      <c r="C979" s="383" t="s">
        <v>2267</v>
      </c>
      <c r="D979" s="384" t="s">
        <v>407</v>
      </c>
      <c r="E979" s="385">
        <v>21</v>
      </c>
      <c r="F979" s="384">
        <v>21</v>
      </c>
      <c r="G979" s="358">
        <v>29855736</v>
      </c>
      <c r="H979" s="359">
        <f t="shared" si="31"/>
        <v>28840176</v>
      </c>
      <c r="I979" s="360"/>
      <c r="J979" s="361"/>
      <c r="K979" s="362"/>
      <c r="L979" s="362"/>
      <c r="M979" s="361">
        <v>773760</v>
      </c>
      <c r="N979" s="361">
        <v>1692600</v>
      </c>
      <c r="O979" s="361">
        <v>145080</v>
      </c>
      <c r="P979" s="361">
        <v>290160</v>
      </c>
      <c r="Q979" s="361">
        <v>96720</v>
      </c>
      <c r="R979" s="361">
        <v>96720</v>
      </c>
      <c r="S979" s="361">
        <v>193440</v>
      </c>
      <c r="T979" s="386">
        <v>1030000</v>
      </c>
      <c r="U979" s="364">
        <f t="shared" si="32"/>
        <v>33158656</v>
      </c>
      <c r="W979" s="365" t="str">
        <f>+VLOOKUP($B979,[2]Time_S4!$B:$G,6,0)</f>
        <v>Trung tâm Rada</v>
      </c>
      <c r="X979" s="365" t="str">
        <f>IF(W979="Phòng Kinh doanh","Trung tâm Kinh doanh - TCT CNC",+VLOOKUP($B979,[2]Time_S4!$B:$G,5,0))</f>
        <v>Khối 1 - TCT CNC</v>
      </c>
      <c r="Y979" s="366"/>
      <c r="Z979" s="366"/>
    </row>
    <row r="980" spans="1:26" ht="15.75" hidden="1">
      <c r="A980" s="367">
        <f>SUBTOTAL(3,$B$15:B980)</f>
        <v>2</v>
      </c>
      <c r="B980" s="382" t="s">
        <v>2268</v>
      </c>
      <c r="C980" s="383" t="s">
        <v>1041</v>
      </c>
      <c r="D980" s="384" t="s">
        <v>407</v>
      </c>
      <c r="E980" s="385">
        <v>21</v>
      </c>
      <c r="F980" s="384">
        <v>21</v>
      </c>
      <c r="G980" s="358">
        <v>22418422</v>
      </c>
      <c r="H980" s="359">
        <f t="shared" si="31"/>
        <v>21501814</v>
      </c>
      <c r="I980" s="360"/>
      <c r="J980" s="361"/>
      <c r="K980" s="362"/>
      <c r="L980" s="362"/>
      <c r="M980" s="361">
        <v>698368</v>
      </c>
      <c r="N980" s="361">
        <v>1527680</v>
      </c>
      <c r="O980" s="361">
        <v>130944</v>
      </c>
      <c r="P980" s="361">
        <v>261888</v>
      </c>
      <c r="Q980" s="361">
        <v>87296</v>
      </c>
      <c r="R980" s="361">
        <v>87296</v>
      </c>
      <c r="S980" s="361">
        <v>174592</v>
      </c>
      <c r="T980" s="386">
        <v>930000</v>
      </c>
      <c r="U980" s="364">
        <f t="shared" si="32"/>
        <v>25399878</v>
      </c>
      <c r="W980" s="365" t="str">
        <f>+VLOOKUP($B980,[2]Time_S4!$B:$G,6,0)</f>
        <v>Trung tâm Thông tin Quân sự</v>
      </c>
      <c r="X980" s="365" t="str">
        <f>IF(W980="Phòng Kinh doanh","Trung tâm Kinh doanh - TCT CNC",+VLOOKUP($B980,[2]Time_S4!$B:$G,5,0))</f>
        <v>Khối 1 - TCT CNC</v>
      </c>
      <c r="Y980" s="366"/>
      <c r="Z980" s="366"/>
    </row>
    <row r="981" spans="1:26" ht="15.75" hidden="1">
      <c r="A981" s="367">
        <f>SUBTOTAL(3,$B$15:B981)</f>
        <v>2</v>
      </c>
      <c r="B981" s="382" t="s">
        <v>2269</v>
      </c>
      <c r="C981" s="383" t="s">
        <v>2270</v>
      </c>
      <c r="D981" s="384" t="s">
        <v>407</v>
      </c>
      <c r="E981" s="385">
        <v>21</v>
      </c>
      <c r="F981" s="384">
        <v>21</v>
      </c>
      <c r="G981" s="358">
        <v>39462584</v>
      </c>
      <c r="H981" s="359">
        <f t="shared" si="31"/>
        <v>38280368</v>
      </c>
      <c r="I981" s="360"/>
      <c r="J981" s="361"/>
      <c r="K981" s="362"/>
      <c r="L981" s="362"/>
      <c r="M981" s="361">
        <v>900736</v>
      </c>
      <c r="N981" s="361">
        <v>1970360</v>
      </c>
      <c r="O981" s="361">
        <v>168888</v>
      </c>
      <c r="P981" s="361">
        <v>337776</v>
      </c>
      <c r="Q981" s="361">
        <v>112592</v>
      </c>
      <c r="R981" s="361">
        <v>112592</v>
      </c>
      <c r="S981" s="361">
        <v>225184</v>
      </c>
      <c r="T981" s="386">
        <v>1030000</v>
      </c>
      <c r="U981" s="364">
        <f t="shared" si="32"/>
        <v>43138496</v>
      </c>
      <c r="W981" s="365" t="str">
        <f>+VLOOKUP($B981,[2]Time_S4!$B:$G,6,0)</f>
        <v>Trung tâm Quang điện tử</v>
      </c>
      <c r="X981" s="365" t="str">
        <f>IF(W981="Phòng Kinh doanh","Trung tâm Kinh doanh - TCT CNC",+VLOOKUP($B981,[2]Time_S4!$B:$G,5,0))</f>
        <v>Khối 1 - TCT CNC</v>
      </c>
      <c r="Y981" s="366"/>
      <c r="Z981" s="366"/>
    </row>
    <row r="982" spans="1:26" ht="15.75" hidden="1">
      <c r="A982" s="367">
        <f>SUBTOTAL(3,$B$15:B982)</f>
        <v>2</v>
      </c>
      <c r="B982" s="382" t="s">
        <v>2271</v>
      </c>
      <c r="C982" s="383" t="s">
        <v>323</v>
      </c>
      <c r="D982" s="384" t="s">
        <v>407</v>
      </c>
      <c r="E982" s="385">
        <v>21</v>
      </c>
      <c r="F982" s="384">
        <v>21</v>
      </c>
      <c r="G982" s="358">
        <v>15743199</v>
      </c>
      <c r="H982" s="359">
        <f t="shared" si="31"/>
        <v>14915127</v>
      </c>
      <c r="I982" s="360"/>
      <c r="J982" s="361"/>
      <c r="K982" s="362"/>
      <c r="L982" s="362"/>
      <c r="M982" s="361">
        <v>630912</v>
      </c>
      <c r="N982" s="361">
        <v>1380120</v>
      </c>
      <c r="O982" s="361">
        <v>118296</v>
      </c>
      <c r="P982" s="361">
        <v>236592</v>
      </c>
      <c r="Q982" s="361">
        <v>78864</v>
      </c>
      <c r="R982" s="361">
        <v>78864</v>
      </c>
      <c r="S982" s="361">
        <v>157728</v>
      </c>
      <c r="T982" s="386">
        <v>1047000</v>
      </c>
      <c r="U982" s="364">
        <f t="shared" si="32"/>
        <v>18643503</v>
      </c>
      <c r="W982" s="365" t="str">
        <f>+VLOOKUP($B982,[2]Time_S4!$B:$G,6,0)</f>
        <v>Phòng Kinh doanh</v>
      </c>
      <c r="X982" s="365" t="str">
        <f>IF(W982="Phòng Kinh doanh","Trung tâm Kinh doanh - TCT CNC",+VLOOKUP($B982,[2]Time_S4!$B:$G,5,0))</f>
        <v>Trung tâm Kinh doanh - TCT CNC</v>
      </c>
      <c r="Y982" s="366"/>
      <c r="Z982" s="366"/>
    </row>
    <row r="983" spans="1:26" ht="15.75" hidden="1">
      <c r="A983" s="367">
        <f>SUBTOTAL(3,$B$15:B983)</f>
        <v>2</v>
      </c>
      <c r="B983" s="382" t="s">
        <v>2272</v>
      </c>
      <c r="C983" s="383" t="s">
        <v>2273</v>
      </c>
      <c r="D983" s="384" t="s">
        <v>407</v>
      </c>
      <c r="E983" s="385">
        <v>21</v>
      </c>
      <c r="F983" s="384">
        <v>21</v>
      </c>
      <c r="G983" s="358">
        <v>22491047</v>
      </c>
      <c r="H983" s="359">
        <f t="shared" si="31"/>
        <v>21527567</v>
      </c>
      <c r="I983" s="360"/>
      <c r="J983" s="361"/>
      <c r="K983" s="362"/>
      <c r="L983" s="362"/>
      <c r="M983" s="361">
        <v>734080</v>
      </c>
      <c r="N983" s="361">
        <v>1605800</v>
      </c>
      <c r="O983" s="361">
        <v>137640</v>
      </c>
      <c r="P983" s="361">
        <v>275280</v>
      </c>
      <c r="Q983" s="361">
        <v>91760</v>
      </c>
      <c r="R983" s="361">
        <v>91760</v>
      </c>
      <c r="S983" s="361">
        <v>183520</v>
      </c>
      <c r="T983" s="386">
        <v>930000</v>
      </c>
      <c r="U983" s="364">
        <f t="shared" si="32"/>
        <v>25577407</v>
      </c>
      <c r="W983" s="365" t="str">
        <f>+VLOOKUP($B983,[2]Time_S4!$B:$G,6,0)</f>
        <v>Trung tâm Chỉ huy điều khiển</v>
      </c>
      <c r="X983" s="365" t="str">
        <f>IF(W983="Phòng Kinh doanh","Trung tâm Kinh doanh - TCT CNC",+VLOOKUP($B983,[2]Time_S4!$B:$G,5,0))</f>
        <v>Khối 1 - TCT CNC</v>
      </c>
      <c r="Y983" s="366"/>
      <c r="Z983" s="366"/>
    </row>
    <row r="984" spans="1:26" ht="15.75" hidden="1">
      <c r="A984" s="367">
        <f>SUBTOTAL(3,$B$15:B984)</f>
        <v>2</v>
      </c>
      <c r="B984" s="382" t="s">
        <v>2274</v>
      </c>
      <c r="C984" s="383" t="s">
        <v>2275</v>
      </c>
      <c r="D984" s="384" t="s">
        <v>407</v>
      </c>
      <c r="E984" s="385">
        <v>21</v>
      </c>
      <c r="F984" s="384">
        <v>21</v>
      </c>
      <c r="G984" s="358">
        <v>17484234</v>
      </c>
      <c r="H984" s="359">
        <f t="shared" si="31"/>
        <v>16614498</v>
      </c>
      <c r="I984" s="360"/>
      <c r="J984" s="361"/>
      <c r="K984" s="362"/>
      <c r="L984" s="362"/>
      <c r="M984" s="361">
        <v>662656</v>
      </c>
      <c r="N984" s="361">
        <v>1449560</v>
      </c>
      <c r="O984" s="361">
        <v>124248</v>
      </c>
      <c r="P984" s="361">
        <v>248496</v>
      </c>
      <c r="Q984" s="361">
        <v>82832</v>
      </c>
      <c r="R984" s="361">
        <v>82832</v>
      </c>
      <c r="S984" s="361">
        <v>165664</v>
      </c>
      <c r="T984" s="386">
        <v>1398000</v>
      </c>
      <c r="U984" s="364">
        <f t="shared" si="32"/>
        <v>20828786</v>
      </c>
      <c r="W984" s="365" t="str">
        <f>+VLOOKUP($B984,[2]Time_S4!$B:$G,6,0)</f>
        <v>Trung tâm Đảm bảo chất lượng</v>
      </c>
      <c r="X984" s="365" t="str">
        <f>IF(W984="Phòng Kinh doanh","Trung tâm Kinh doanh - TCT CNC",+VLOOKUP($B984,[2]Time_S4!$B:$G,5,0))</f>
        <v>Khối 1 - TCT CNC</v>
      </c>
      <c r="Y984" s="366"/>
      <c r="Z984" s="366"/>
    </row>
    <row r="985" spans="1:26" ht="15.75" hidden="1">
      <c r="A985" s="367">
        <f>SUBTOTAL(3,$B$15:B985)</f>
        <v>2</v>
      </c>
      <c r="B985" s="382" t="s">
        <v>2276</v>
      </c>
      <c r="C985" s="383" t="s">
        <v>2277</v>
      </c>
      <c r="D985" s="384" t="s">
        <v>407</v>
      </c>
      <c r="E985" s="385">
        <v>21</v>
      </c>
      <c r="F985" s="384">
        <v>21</v>
      </c>
      <c r="G985" s="358">
        <v>18180400</v>
      </c>
      <c r="H985" s="359">
        <f t="shared" si="31"/>
        <v>17310664</v>
      </c>
      <c r="I985" s="360"/>
      <c r="J985" s="361"/>
      <c r="K985" s="362"/>
      <c r="L985" s="362"/>
      <c r="M985" s="361">
        <v>662656</v>
      </c>
      <c r="N985" s="361">
        <v>1449560</v>
      </c>
      <c r="O985" s="361">
        <v>124248</v>
      </c>
      <c r="P985" s="361">
        <v>248496</v>
      </c>
      <c r="Q985" s="361">
        <v>82832</v>
      </c>
      <c r="R985" s="361">
        <v>82832</v>
      </c>
      <c r="S985" s="361">
        <v>165664</v>
      </c>
      <c r="T985" s="386">
        <v>930000</v>
      </c>
      <c r="U985" s="364">
        <f t="shared" si="32"/>
        <v>21056952</v>
      </c>
      <c r="W985" s="365" t="str">
        <f>+VLOOKUP($B985,[2]Time_S4!$B:$G,6,0)</f>
        <v>Trung tâm Quang điện tử</v>
      </c>
      <c r="X985" s="365" t="str">
        <f>IF(W985="Phòng Kinh doanh","Trung tâm Kinh doanh - TCT CNC",+VLOOKUP($B985,[2]Time_S4!$B:$G,5,0))</f>
        <v>Khối 1 - TCT CNC</v>
      </c>
      <c r="Y985" s="366"/>
      <c r="Z985" s="366"/>
    </row>
    <row r="986" spans="1:26" ht="15.75" hidden="1">
      <c r="A986" s="367">
        <f>SUBTOTAL(3,$B$15:B986)</f>
        <v>2</v>
      </c>
      <c r="B986" s="382" t="s">
        <v>356</v>
      </c>
      <c r="C986" s="383" t="s">
        <v>357</v>
      </c>
      <c r="D986" s="384" t="s">
        <v>407</v>
      </c>
      <c r="E986" s="385">
        <v>21</v>
      </c>
      <c r="F986" s="384">
        <v>21</v>
      </c>
      <c r="G986" s="358">
        <v>25873100</v>
      </c>
      <c r="H986" s="359">
        <f t="shared" si="31"/>
        <v>24857540</v>
      </c>
      <c r="I986" s="360"/>
      <c r="J986" s="361"/>
      <c r="K986" s="362"/>
      <c r="L986" s="362"/>
      <c r="M986" s="361">
        <v>773760</v>
      </c>
      <c r="N986" s="361">
        <v>1692600</v>
      </c>
      <c r="O986" s="361">
        <v>145080</v>
      </c>
      <c r="P986" s="361">
        <v>290160</v>
      </c>
      <c r="Q986" s="361">
        <v>96720</v>
      </c>
      <c r="R986" s="361">
        <v>96720</v>
      </c>
      <c r="S986" s="361">
        <v>193440</v>
      </c>
      <c r="T986" s="386">
        <v>1030000</v>
      </c>
      <c r="U986" s="364">
        <f t="shared" si="32"/>
        <v>29176020</v>
      </c>
      <c r="W986" s="365" t="str">
        <f>+VLOOKUP($B986,[2]Time_S4!$B:$G,6,0)</f>
        <v>Trung tâm Mô hình mô phỏng</v>
      </c>
      <c r="X986" s="365" t="str">
        <f>IF(W986="Phòng Kinh doanh","Trung tâm Kinh doanh - TCT CNC",+VLOOKUP($B986,[2]Time_S4!$B:$G,5,0))</f>
        <v>Khối 1 - TCT CNC</v>
      </c>
      <c r="Y986" s="366"/>
      <c r="Z986" s="366"/>
    </row>
    <row r="987" spans="1:26" ht="15.75" hidden="1">
      <c r="A987" s="367">
        <f>SUBTOTAL(3,$B$15:B987)</f>
        <v>2</v>
      </c>
      <c r="B987" s="382" t="s">
        <v>2278</v>
      </c>
      <c r="C987" s="383" t="s">
        <v>2279</v>
      </c>
      <c r="D987" s="384" t="s">
        <v>407</v>
      </c>
      <c r="E987" s="385">
        <v>21</v>
      </c>
      <c r="F987" s="384">
        <v>21</v>
      </c>
      <c r="G987" s="358">
        <v>21372180</v>
      </c>
      <c r="H987" s="359">
        <f t="shared" si="31"/>
        <v>20502444</v>
      </c>
      <c r="I987" s="360"/>
      <c r="J987" s="361"/>
      <c r="K987" s="362"/>
      <c r="L987" s="362"/>
      <c r="M987" s="361">
        <v>662656</v>
      </c>
      <c r="N987" s="361">
        <v>1449560</v>
      </c>
      <c r="O987" s="361">
        <v>124248</v>
      </c>
      <c r="P987" s="361">
        <v>248496</v>
      </c>
      <c r="Q987" s="361">
        <v>82832</v>
      </c>
      <c r="R987" s="361">
        <v>82832</v>
      </c>
      <c r="S987" s="361">
        <v>165664</v>
      </c>
      <c r="T987" s="386">
        <v>930000</v>
      </c>
      <c r="U987" s="364">
        <f t="shared" si="32"/>
        <v>24248732</v>
      </c>
      <c r="W987" s="365" t="str">
        <f>+VLOOKUP($B987,[2]Time_S4!$B:$G,6,0)</f>
        <v>Trung tâm Công nghệ Cơ khí - Tự động hóa</v>
      </c>
      <c r="X987" s="365" t="str">
        <f>IF(W987="Phòng Kinh doanh","Trung tâm Kinh doanh - TCT CNC",+VLOOKUP($B987,[2]Time_S4!$B:$G,5,0))</f>
        <v>Khối 1 - TCT CNC</v>
      </c>
      <c r="Y987" s="366"/>
      <c r="Z987" s="366"/>
    </row>
    <row r="988" spans="1:26" ht="15.75" hidden="1">
      <c r="A988" s="367">
        <f>SUBTOTAL(3,$B$15:B988)</f>
        <v>2</v>
      </c>
      <c r="B988" s="382" t="s">
        <v>2280</v>
      </c>
      <c r="C988" s="383" t="s">
        <v>1992</v>
      </c>
      <c r="D988" s="384" t="s">
        <v>407</v>
      </c>
      <c r="E988" s="385">
        <v>21</v>
      </c>
      <c r="F988" s="384">
        <v>21</v>
      </c>
      <c r="G988" s="358">
        <v>20802860</v>
      </c>
      <c r="H988" s="359">
        <f t="shared" si="31"/>
        <v>19933124</v>
      </c>
      <c r="I988" s="360"/>
      <c r="J988" s="361"/>
      <c r="K988" s="362"/>
      <c r="L988" s="362"/>
      <c r="M988" s="361">
        <v>662656</v>
      </c>
      <c r="N988" s="361">
        <v>1449560</v>
      </c>
      <c r="O988" s="361">
        <v>124248</v>
      </c>
      <c r="P988" s="361">
        <v>248496</v>
      </c>
      <c r="Q988" s="361">
        <v>82832</v>
      </c>
      <c r="R988" s="361">
        <v>82832</v>
      </c>
      <c r="S988" s="361">
        <v>165664</v>
      </c>
      <c r="T988" s="386">
        <v>930000</v>
      </c>
      <c r="U988" s="364">
        <f t="shared" si="32"/>
        <v>23679412</v>
      </c>
      <c r="W988" s="365" t="str">
        <f>+VLOOKUP($B988,[2]Time_S4!$B:$G,6,0)</f>
        <v>Trung tâm Quang điện tử</v>
      </c>
      <c r="X988" s="365" t="str">
        <f>IF(W988="Phòng Kinh doanh","Trung tâm Kinh doanh - TCT CNC",+VLOOKUP($B988,[2]Time_S4!$B:$G,5,0))</f>
        <v>Khối 1 - TCT CNC</v>
      </c>
      <c r="Y988" s="366"/>
      <c r="Z988" s="366"/>
    </row>
    <row r="989" spans="1:26" ht="15.75" hidden="1">
      <c r="A989" s="367">
        <f>SUBTOTAL(3,$B$15:B989)</f>
        <v>2</v>
      </c>
      <c r="B989" s="382" t="s">
        <v>2281</v>
      </c>
      <c r="C989" s="383" t="s">
        <v>2282</v>
      </c>
      <c r="D989" s="384" t="s">
        <v>407</v>
      </c>
      <c r="E989" s="385">
        <v>21</v>
      </c>
      <c r="F989" s="384">
        <v>21</v>
      </c>
      <c r="G989" s="358">
        <v>20191940</v>
      </c>
      <c r="H989" s="359">
        <f t="shared" si="31"/>
        <v>19275332</v>
      </c>
      <c r="I989" s="360"/>
      <c r="J989" s="361"/>
      <c r="K989" s="362"/>
      <c r="L989" s="362"/>
      <c r="M989" s="361">
        <v>698368</v>
      </c>
      <c r="N989" s="361">
        <v>1527680</v>
      </c>
      <c r="O989" s="361">
        <v>130944</v>
      </c>
      <c r="P989" s="361">
        <v>261888</v>
      </c>
      <c r="Q989" s="361">
        <v>87296</v>
      </c>
      <c r="R989" s="361">
        <v>87296</v>
      </c>
      <c r="S989" s="361">
        <v>174592</v>
      </c>
      <c r="T989" s="386">
        <v>930000</v>
      </c>
      <c r="U989" s="364">
        <f t="shared" si="32"/>
        <v>23173396</v>
      </c>
      <c r="W989" s="365" t="str">
        <f>+VLOOKUP($B989,[2]Time_S4!$B:$G,6,0)</f>
        <v>Trung tâm Chỉ huy điều khiển</v>
      </c>
      <c r="X989" s="365" t="str">
        <f>IF(W989="Phòng Kinh doanh","Trung tâm Kinh doanh - TCT CNC",+VLOOKUP($B989,[2]Time_S4!$B:$G,5,0))</f>
        <v>Khối 1 - TCT CNC</v>
      </c>
      <c r="Y989" s="366"/>
      <c r="Z989" s="366"/>
    </row>
    <row r="990" spans="1:26" ht="15.75" hidden="1">
      <c r="A990" s="367">
        <f>SUBTOTAL(3,$B$15:B990)</f>
        <v>2</v>
      </c>
      <c r="B990" s="382" t="s">
        <v>2283</v>
      </c>
      <c r="C990" s="383" t="s">
        <v>2284</v>
      </c>
      <c r="D990" s="384" t="s">
        <v>407</v>
      </c>
      <c r="E990" s="385">
        <v>21</v>
      </c>
      <c r="F990" s="384">
        <v>21</v>
      </c>
      <c r="G990" s="358">
        <v>15370780</v>
      </c>
      <c r="H990" s="359">
        <f t="shared" si="31"/>
        <v>14542708</v>
      </c>
      <c r="I990" s="360"/>
      <c r="J990" s="361"/>
      <c r="K990" s="362"/>
      <c r="L990" s="362"/>
      <c r="M990" s="361">
        <v>630912</v>
      </c>
      <c r="N990" s="361">
        <v>1380120</v>
      </c>
      <c r="O990" s="361">
        <v>118296</v>
      </c>
      <c r="P990" s="361">
        <v>236592</v>
      </c>
      <c r="Q990" s="361">
        <v>78864</v>
      </c>
      <c r="R990" s="361">
        <v>78864</v>
      </c>
      <c r="S990" s="361">
        <v>157728</v>
      </c>
      <c r="T990" s="386">
        <v>930000</v>
      </c>
      <c r="U990" s="364">
        <f t="shared" si="32"/>
        <v>18154084</v>
      </c>
      <c r="W990" s="365" t="str">
        <f>+VLOOKUP($B990,[2]Time_S4!$B:$G,6,0)</f>
        <v>Trung tâm Công nghệ Cơ khí - Tự động hóa</v>
      </c>
      <c r="X990" s="365" t="str">
        <f>IF(W990="Phòng Kinh doanh","Trung tâm Kinh doanh - TCT CNC",+VLOOKUP($B990,[2]Time_S4!$B:$G,5,0))</f>
        <v>Khối 1 - TCT CNC</v>
      </c>
      <c r="Y990" s="366"/>
      <c r="Z990" s="366"/>
    </row>
    <row r="991" spans="1:26" ht="15.75" hidden="1">
      <c r="A991" s="367">
        <f>SUBTOTAL(3,$B$15:B991)</f>
        <v>2</v>
      </c>
      <c r="B991" s="382" t="s">
        <v>2285</v>
      </c>
      <c r="C991" s="383" t="s">
        <v>2286</v>
      </c>
      <c r="D991" s="384" t="s">
        <v>407</v>
      </c>
      <c r="E991" s="385">
        <v>21</v>
      </c>
      <c r="F991" s="384">
        <v>21</v>
      </c>
      <c r="G991" s="358">
        <v>23702473</v>
      </c>
      <c r="H991" s="359">
        <f t="shared" si="31"/>
        <v>22738993</v>
      </c>
      <c r="I991" s="360"/>
      <c r="J991" s="361"/>
      <c r="K991" s="362"/>
      <c r="L991" s="362"/>
      <c r="M991" s="361">
        <v>734080</v>
      </c>
      <c r="N991" s="361">
        <v>1605800</v>
      </c>
      <c r="O991" s="361">
        <v>137640</v>
      </c>
      <c r="P991" s="361">
        <v>275280</v>
      </c>
      <c r="Q991" s="361">
        <v>91760</v>
      </c>
      <c r="R991" s="361">
        <v>91760</v>
      </c>
      <c r="S991" s="361">
        <v>183520</v>
      </c>
      <c r="T991" s="386">
        <v>930000</v>
      </c>
      <c r="U991" s="364">
        <f t="shared" si="32"/>
        <v>26788833</v>
      </c>
      <c r="W991" s="365" t="str">
        <f>+VLOOKUP($B991,[2]Time_S4!$B:$G,6,0)</f>
        <v>Trung tâm Tác chiến điện tử</v>
      </c>
      <c r="X991" s="365" t="str">
        <f>IF(W991="Phòng Kinh doanh","Trung tâm Kinh doanh - TCT CNC",+VLOOKUP($B991,[2]Time_S4!$B:$G,5,0))</f>
        <v>Khối 1 - TCT CNC</v>
      </c>
      <c r="Y991" s="366"/>
      <c r="Z991" s="366"/>
    </row>
    <row r="992" spans="1:26" ht="15.75" hidden="1">
      <c r="A992" s="367">
        <f>SUBTOTAL(3,$B$15:B992)</f>
        <v>2</v>
      </c>
      <c r="B992" s="382" t="s">
        <v>2287</v>
      </c>
      <c r="C992" s="383" t="s">
        <v>568</v>
      </c>
      <c r="D992" s="384" t="s">
        <v>407</v>
      </c>
      <c r="E992" s="385">
        <v>21</v>
      </c>
      <c r="F992" s="384">
        <v>21</v>
      </c>
      <c r="G992" s="358">
        <v>15696720</v>
      </c>
      <c r="H992" s="359">
        <f t="shared" si="31"/>
        <v>14868648</v>
      </c>
      <c r="I992" s="360"/>
      <c r="J992" s="361"/>
      <c r="K992" s="362"/>
      <c r="L992" s="362"/>
      <c r="M992" s="361">
        <v>630912</v>
      </c>
      <c r="N992" s="361">
        <v>1380120</v>
      </c>
      <c r="O992" s="361">
        <v>118296</v>
      </c>
      <c r="P992" s="361">
        <v>236592</v>
      </c>
      <c r="Q992" s="361">
        <v>78864</v>
      </c>
      <c r="R992" s="361">
        <v>78864</v>
      </c>
      <c r="S992" s="361">
        <v>157728</v>
      </c>
      <c r="T992" s="386">
        <v>930000</v>
      </c>
      <c r="U992" s="364">
        <f t="shared" si="32"/>
        <v>18480024</v>
      </c>
      <c r="W992" s="365" t="str">
        <f>+VLOOKUP($B992,[2]Time_S4!$B:$G,6,0)</f>
        <v>Trung tâm Nghiên cứu thiết bị vô tuyến băng rộng</v>
      </c>
      <c r="X992" s="365" t="str">
        <f>IF(W992="Phòng Kinh doanh","Trung tâm Kinh doanh - TCT CNC",+VLOOKUP($B992,[2]Time_S4!$B:$G,5,0))</f>
        <v>Khối 2 - TCT CNC</v>
      </c>
      <c r="Y992" s="366"/>
      <c r="Z992" s="366"/>
    </row>
    <row r="993" spans="1:26" ht="15.75" hidden="1">
      <c r="A993" s="367">
        <f>SUBTOTAL(3,$B$15:B993)</f>
        <v>2</v>
      </c>
      <c r="B993" s="382" t="s">
        <v>2288</v>
      </c>
      <c r="C993" s="383" t="s">
        <v>2289</v>
      </c>
      <c r="D993" s="384" t="s">
        <v>407</v>
      </c>
      <c r="E993" s="385">
        <v>21</v>
      </c>
      <c r="F993" s="384">
        <v>21</v>
      </c>
      <c r="G993" s="358">
        <v>16029540</v>
      </c>
      <c r="H993" s="359">
        <f t="shared" si="31"/>
        <v>15201468</v>
      </c>
      <c r="I993" s="360"/>
      <c r="J993" s="361"/>
      <c r="K993" s="362"/>
      <c r="L993" s="362"/>
      <c r="M993" s="361">
        <v>630912</v>
      </c>
      <c r="N993" s="361">
        <v>1380120</v>
      </c>
      <c r="O993" s="361">
        <v>118296</v>
      </c>
      <c r="P993" s="361">
        <v>236592</v>
      </c>
      <c r="Q993" s="361">
        <v>78864</v>
      </c>
      <c r="R993" s="361">
        <v>78864</v>
      </c>
      <c r="S993" s="361">
        <v>157728</v>
      </c>
      <c r="T993" s="386">
        <v>930000</v>
      </c>
      <c r="U993" s="364">
        <f t="shared" si="32"/>
        <v>18812844</v>
      </c>
      <c r="W993" s="365" t="str">
        <f>+VLOOKUP($B993,[2]Time_S4!$B:$G,6,0)</f>
        <v>Trung tâm Nghiên cứu thiết bị vô tuyến băng rộng</v>
      </c>
      <c r="X993" s="365" t="str">
        <f>IF(W993="Phòng Kinh doanh","Trung tâm Kinh doanh - TCT CNC",+VLOOKUP($B993,[2]Time_S4!$B:$G,5,0))</f>
        <v>Khối 2 - TCT CNC</v>
      </c>
      <c r="Y993" s="366"/>
      <c r="Z993" s="366"/>
    </row>
    <row r="994" spans="1:26" ht="15.75" hidden="1">
      <c r="A994" s="367">
        <f>SUBTOTAL(3,$B$15:B994)</f>
        <v>2</v>
      </c>
      <c r="B994" s="382" t="s">
        <v>2290</v>
      </c>
      <c r="C994" s="383" t="s">
        <v>2291</v>
      </c>
      <c r="D994" s="384" t="s">
        <v>407</v>
      </c>
      <c r="E994" s="385">
        <v>21</v>
      </c>
      <c r="F994" s="384">
        <v>21</v>
      </c>
      <c r="G994" s="358">
        <v>15370780</v>
      </c>
      <c r="H994" s="359">
        <f t="shared" si="31"/>
        <v>14542708</v>
      </c>
      <c r="I994" s="360"/>
      <c r="J994" s="361"/>
      <c r="K994" s="362"/>
      <c r="L994" s="362"/>
      <c r="M994" s="361">
        <v>630912</v>
      </c>
      <c r="N994" s="361">
        <v>1380120</v>
      </c>
      <c r="O994" s="361">
        <v>118296</v>
      </c>
      <c r="P994" s="361">
        <v>236592</v>
      </c>
      <c r="Q994" s="361">
        <v>78864</v>
      </c>
      <c r="R994" s="361">
        <v>78864</v>
      </c>
      <c r="S994" s="361">
        <v>157728</v>
      </c>
      <c r="T994" s="386">
        <v>930000</v>
      </c>
      <c r="U994" s="364">
        <f t="shared" si="32"/>
        <v>18154084</v>
      </c>
      <c r="W994" s="365" t="str">
        <f>+VLOOKUP($B994,[2]Time_S4!$B:$G,6,0)</f>
        <v>Trung tâm Nghiên cứu Công nghệ truyền dẫn</v>
      </c>
      <c r="X994" s="365" t="str">
        <f>IF(W994="Phòng Kinh doanh","Trung tâm Kinh doanh - TCT CNC",+VLOOKUP($B994,[2]Time_S4!$B:$G,5,0))</f>
        <v>Khối 2 - TCT CNC</v>
      </c>
      <c r="Y994" s="366"/>
      <c r="Z994" s="366"/>
    </row>
    <row r="995" spans="1:26" ht="15.75" hidden="1">
      <c r="A995" s="367">
        <f>SUBTOTAL(3,$B$15:B995)</f>
        <v>2</v>
      </c>
      <c r="B995" s="382" t="s">
        <v>2292</v>
      </c>
      <c r="C995" s="383" t="s">
        <v>1708</v>
      </c>
      <c r="D995" s="384" t="s">
        <v>407</v>
      </c>
      <c r="E995" s="385">
        <v>21</v>
      </c>
      <c r="F995" s="384">
        <v>21</v>
      </c>
      <c r="G995" s="358">
        <v>21216369</v>
      </c>
      <c r="H995" s="359">
        <f t="shared" si="31"/>
        <v>20346633</v>
      </c>
      <c r="I995" s="360"/>
      <c r="J995" s="361"/>
      <c r="K995" s="362"/>
      <c r="L995" s="362"/>
      <c r="M995" s="361">
        <v>662656</v>
      </c>
      <c r="N995" s="361">
        <v>1449560</v>
      </c>
      <c r="O995" s="361">
        <v>124248</v>
      </c>
      <c r="P995" s="361">
        <v>248496</v>
      </c>
      <c r="Q995" s="361">
        <v>82832</v>
      </c>
      <c r="R995" s="361">
        <v>82832</v>
      </c>
      <c r="S995" s="361">
        <v>165664</v>
      </c>
      <c r="T995" s="386">
        <v>930000</v>
      </c>
      <c r="U995" s="364">
        <f t="shared" si="32"/>
        <v>24092921</v>
      </c>
      <c r="W995" s="365" t="str">
        <f>+VLOOKUP($B995,[2]Time_S4!$B:$G,6,0)</f>
        <v>Trung tâm Công nghệ Cơ khí - Tự động hóa</v>
      </c>
      <c r="X995" s="365" t="str">
        <f>IF(W995="Phòng Kinh doanh","Trung tâm Kinh doanh - TCT CNC",+VLOOKUP($B995,[2]Time_S4!$B:$G,5,0))</f>
        <v>Khối 1 - TCT CNC</v>
      </c>
      <c r="Y995" s="366"/>
      <c r="Z995" s="366"/>
    </row>
    <row r="996" spans="1:26" ht="15.75" hidden="1">
      <c r="A996" s="367">
        <f>SUBTOTAL(3,$B$15:B996)</f>
        <v>2</v>
      </c>
      <c r="B996" s="382" t="s">
        <v>2293</v>
      </c>
      <c r="C996" s="383" t="s">
        <v>2294</v>
      </c>
      <c r="D996" s="384" t="s">
        <v>407</v>
      </c>
      <c r="E996" s="385">
        <v>21</v>
      </c>
      <c r="F996" s="384">
        <v>21</v>
      </c>
      <c r="G996" s="358">
        <v>24960100</v>
      </c>
      <c r="H996" s="359">
        <f t="shared" si="31"/>
        <v>23996620</v>
      </c>
      <c r="I996" s="360"/>
      <c r="J996" s="361"/>
      <c r="K996" s="362"/>
      <c r="L996" s="362"/>
      <c r="M996" s="361">
        <v>734080</v>
      </c>
      <c r="N996" s="361">
        <v>1605800</v>
      </c>
      <c r="O996" s="361">
        <v>137640</v>
      </c>
      <c r="P996" s="361">
        <v>275280</v>
      </c>
      <c r="Q996" s="361">
        <v>91760</v>
      </c>
      <c r="R996" s="361">
        <v>91760</v>
      </c>
      <c r="S996" s="361">
        <v>183520</v>
      </c>
      <c r="T996" s="386">
        <v>930000</v>
      </c>
      <c r="U996" s="364">
        <f t="shared" si="32"/>
        <v>28046460</v>
      </c>
      <c r="W996" s="365" t="str">
        <f>+VLOOKUP($B996,[2]Time_S4!$B:$G,6,0)</f>
        <v>Trung tâm Rada</v>
      </c>
      <c r="X996" s="365" t="str">
        <f>IF(W996="Phòng Kinh doanh","Trung tâm Kinh doanh - TCT CNC",+VLOOKUP($B996,[2]Time_S4!$B:$G,5,0))</f>
        <v>Khối 1 - TCT CNC</v>
      </c>
      <c r="Y996" s="366"/>
      <c r="Z996" s="366"/>
    </row>
    <row r="997" spans="1:26" ht="15.75" hidden="1">
      <c r="A997" s="367">
        <f>SUBTOTAL(3,$B$15:B997)</f>
        <v>2</v>
      </c>
      <c r="B997" s="382" t="s">
        <v>2295</v>
      </c>
      <c r="C997" s="383" t="s">
        <v>2296</v>
      </c>
      <c r="D997" s="384" t="s">
        <v>407</v>
      </c>
      <c r="E997" s="385">
        <v>21</v>
      </c>
      <c r="F997" s="384">
        <v>21</v>
      </c>
      <c r="G997" s="358">
        <v>18043217</v>
      </c>
      <c r="H997" s="359">
        <f t="shared" si="31"/>
        <v>17173481</v>
      </c>
      <c r="I997" s="360"/>
      <c r="J997" s="361"/>
      <c r="K997" s="362"/>
      <c r="L997" s="362"/>
      <c r="M997" s="361">
        <v>662656</v>
      </c>
      <c r="N997" s="361">
        <v>1449560</v>
      </c>
      <c r="O997" s="361">
        <v>124248</v>
      </c>
      <c r="P997" s="361">
        <v>248496</v>
      </c>
      <c r="Q997" s="361">
        <v>82832</v>
      </c>
      <c r="R997" s="361">
        <v>82832</v>
      </c>
      <c r="S997" s="361">
        <v>165664</v>
      </c>
      <c r="T997" s="386">
        <v>930000</v>
      </c>
      <c r="U997" s="364">
        <f t="shared" si="32"/>
        <v>20919769</v>
      </c>
      <c r="W997" s="365" t="str">
        <f>+VLOOKUP($B997,[2]Time_S4!$B:$G,6,0)</f>
        <v>Trung tâm Nghiên cứu Công nghệ truyền dẫn</v>
      </c>
      <c r="X997" s="365" t="str">
        <f>IF(W997="Phòng Kinh doanh","Trung tâm Kinh doanh - TCT CNC",+VLOOKUP($B997,[2]Time_S4!$B:$G,5,0))</f>
        <v>Khối 2 - TCT CNC</v>
      </c>
      <c r="Y997" s="366"/>
      <c r="Z997" s="366"/>
    </row>
    <row r="998" spans="1:26" ht="15.75" hidden="1">
      <c r="A998" s="367">
        <f>SUBTOTAL(3,$B$15:B998)</f>
        <v>2</v>
      </c>
      <c r="B998" s="382" t="s">
        <v>2297</v>
      </c>
      <c r="C998" s="383" t="s">
        <v>2298</v>
      </c>
      <c r="D998" s="384" t="s">
        <v>407</v>
      </c>
      <c r="E998" s="385">
        <v>21</v>
      </c>
      <c r="F998" s="384">
        <v>21</v>
      </c>
      <c r="G998" s="358">
        <v>19623145</v>
      </c>
      <c r="H998" s="359">
        <f t="shared" si="31"/>
        <v>18706537</v>
      </c>
      <c r="I998" s="360"/>
      <c r="J998" s="361"/>
      <c r="K998" s="362"/>
      <c r="L998" s="362"/>
      <c r="M998" s="361">
        <v>698368</v>
      </c>
      <c r="N998" s="361">
        <v>1527680</v>
      </c>
      <c r="O998" s="361">
        <v>130944</v>
      </c>
      <c r="P998" s="361">
        <v>261888</v>
      </c>
      <c r="Q998" s="361">
        <v>87296</v>
      </c>
      <c r="R998" s="361">
        <v>87296</v>
      </c>
      <c r="S998" s="361">
        <v>174592</v>
      </c>
      <c r="T998" s="386">
        <v>930000</v>
      </c>
      <c r="U998" s="364">
        <f t="shared" si="32"/>
        <v>22604601</v>
      </c>
      <c r="W998" s="365" t="str">
        <f>+VLOOKUP($B998,[2]Time_S4!$B:$G,6,0)</f>
        <v>Trung tâm Đảm bảo chất lượng</v>
      </c>
      <c r="X998" s="365" t="str">
        <f>IF(W998="Phòng Kinh doanh","Trung tâm Kinh doanh - TCT CNC",+VLOOKUP($B998,[2]Time_S4!$B:$G,5,0))</f>
        <v>Khối 1 - TCT CNC</v>
      </c>
      <c r="Y998" s="366"/>
      <c r="Z998" s="366"/>
    </row>
    <row r="999" spans="1:26" ht="15.75" hidden="1">
      <c r="A999" s="367">
        <f>SUBTOTAL(3,$B$15:B999)</f>
        <v>2</v>
      </c>
      <c r="B999" s="382" t="s">
        <v>2299</v>
      </c>
      <c r="C999" s="383" t="s">
        <v>2300</v>
      </c>
      <c r="D999" s="384" t="s">
        <v>407</v>
      </c>
      <c r="E999" s="385">
        <v>21</v>
      </c>
      <c r="F999" s="384">
        <v>21</v>
      </c>
      <c r="G999" s="358">
        <v>19590574</v>
      </c>
      <c r="H999" s="359">
        <f t="shared" si="31"/>
        <v>18762502</v>
      </c>
      <c r="I999" s="360"/>
      <c r="J999" s="361"/>
      <c r="K999" s="362"/>
      <c r="L999" s="362"/>
      <c r="M999" s="361">
        <v>630912</v>
      </c>
      <c r="N999" s="361">
        <v>1380120</v>
      </c>
      <c r="O999" s="361">
        <v>118296</v>
      </c>
      <c r="P999" s="361">
        <v>236592</v>
      </c>
      <c r="Q999" s="361">
        <v>78864</v>
      </c>
      <c r="R999" s="361">
        <v>78864</v>
      </c>
      <c r="S999" s="361">
        <v>157728</v>
      </c>
      <c r="T999" s="386">
        <v>930000</v>
      </c>
      <c r="U999" s="364">
        <f t="shared" si="32"/>
        <v>22373878</v>
      </c>
      <c r="W999" s="365" t="str">
        <f>+VLOOKUP($B999,[2]Time_S4!$B:$G,6,0)</f>
        <v>Trung tâm Quang điện tử</v>
      </c>
      <c r="X999" s="365" t="str">
        <f>IF(W999="Phòng Kinh doanh","Trung tâm Kinh doanh - TCT CNC",+VLOOKUP($B999,[2]Time_S4!$B:$G,5,0))</f>
        <v>Khối 1 - TCT CNC</v>
      </c>
      <c r="Y999" s="366"/>
      <c r="Z999" s="366"/>
    </row>
    <row r="1000" spans="1:26" ht="15.75" hidden="1">
      <c r="A1000" s="367">
        <f>SUBTOTAL(3,$B$15:B1000)</f>
        <v>2</v>
      </c>
      <c r="B1000" s="382" t="s">
        <v>2301</v>
      </c>
      <c r="C1000" s="383" t="s">
        <v>2302</v>
      </c>
      <c r="D1000" s="384" t="s">
        <v>407</v>
      </c>
      <c r="E1000" s="385">
        <v>21</v>
      </c>
      <c r="F1000" s="384">
        <v>21</v>
      </c>
      <c r="G1000" s="358">
        <v>16716680</v>
      </c>
      <c r="H1000" s="359">
        <f t="shared" si="31"/>
        <v>15888608</v>
      </c>
      <c r="I1000" s="360"/>
      <c r="J1000" s="361"/>
      <c r="K1000" s="362"/>
      <c r="L1000" s="362"/>
      <c r="M1000" s="361">
        <v>630912</v>
      </c>
      <c r="N1000" s="361">
        <v>1380120</v>
      </c>
      <c r="O1000" s="361">
        <v>118296</v>
      </c>
      <c r="P1000" s="361">
        <v>236592</v>
      </c>
      <c r="Q1000" s="361">
        <v>78864</v>
      </c>
      <c r="R1000" s="361">
        <v>78864</v>
      </c>
      <c r="S1000" s="361">
        <v>157728</v>
      </c>
      <c r="T1000" s="386">
        <v>930000</v>
      </c>
      <c r="U1000" s="364">
        <f t="shared" si="32"/>
        <v>19499984</v>
      </c>
      <c r="W1000" s="365" t="str">
        <f>+VLOOKUP($B1000,[2]Time_S4!$B:$G,6,0)</f>
        <v>Trung tâm Nghiên cứu thiết bị vô tuyến băng rộng</v>
      </c>
      <c r="X1000" s="365" t="str">
        <f>IF(W1000="Phòng Kinh doanh","Trung tâm Kinh doanh - TCT CNC",+VLOOKUP($B1000,[2]Time_S4!$B:$G,5,0))</f>
        <v>Khối 2 - TCT CNC</v>
      </c>
      <c r="Y1000" s="366"/>
      <c r="Z1000" s="366"/>
    </row>
    <row r="1001" spans="1:26" ht="15.75" hidden="1">
      <c r="A1001" s="367">
        <f>SUBTOTAL(3,$B$15:B1001)</f>
        <v>2</v>
      </c>
      <c r="B1001" s="382" t="s">
        <v>330</v>
      </c>
      <c r="C1001" s="383" t="s">
        <v>331</v>
      </c>
      <c r="D1001" s="384" t="s">
        <v>407</v>
      </c>
      <c r="E1001" s="385">
        <v>21</v>
      </c>
      <c r="F1001" s="384">
        <v>21</v>
      </c>
      <c r="G1001" s="358">
        <v>14433380</v>
      </c>
      <c r="H1001" s="359">
        <f t="shared" si="31"/>
        <v>13646972</v>
      </c>
      <c r="I1001" s="360"/>
      <c r="J1001" s="361"/>
      <c r="K1001" s="362"/>
      <c r="L1001" s="362"/>
      <c r="M1001" s="361">
        <v>599168</v>
      </c>
      <c r="N1001" s="361">
        <v>1310680</v>
      </c>
      <c r="O1001" s="361">
        <v>112344</v>
      </c>
      <c r="P1001" s="361">
        <v>224688</v>
      </c>
      <c r="Q1001" s="361">
        <v>74896</v>
      </c>
      <c r="R1001" s="361">
        <v>74896</v>
      </c>
      <c r="S1001" s="361">
        <v>149792</v>
      </c>
      <c r="T1001" s="386">
        <v>1047000</v>
      </c>
      <c r="U1001" s="364">
        <f t="shared" si="32"/>
        <v>17240436</v>
      </c>
      <c r="W1001" s="365" t="str">
        <f>+VLOOKUP($B1001,[2]Time_S4!$B:$G,6,0)</f>
        <v>Trung tâm Mô hình mô phỏng</v>
      </c>
      <c r="X1001" s="365" t="str">
        <f>IF(W1001="Phòng Kinh doanh","Trung tâm Kinh doanh - TCT CNC",+VLOOKUP($B1001,[2]Time_S4!$B:$G,5,0))</f>
        <v>Khối 1 - TCT CNC</v>
      </c>
      <c r="Y1001" s="366"/>
      <c r="Z1001" s="366"/>
    </row>
    <row r="1002" spans="1:26" ht="15.75" hidden="1">
      <c r="A1002" s="367">
        <f>SUBTOTAL(3,$B$15:B1002)</f>
        <v>2</v>
      </c>
      <c r="B1002" s="382" t="s">
        <v>2303</v>
      </c>
      <c r="C1002" s="383" t="s">
        <v>2304</v>
      </c>
      <c r="D1002" s="384" t="s">
        <v>407</v>
      </c>
      <c r="E1002" s="385">
        <v>21</v>
      </c>
      <c r="F1002" s="384">
        <v>21</v>
      </c>
      <c r="G1002" s="358">
        <v>18959560</v>
      </c>
      <c r="H1002" s="359">
        <f t="shared" si="31"/>
        <v>18042952</v>
      </c>
      <c r="I1002" s="360"/>
      <c r="J1002" s="361"/>
      <c r="K1002" s="362"/>
      <c r="L1002" s="362"/>
      <c r="M1002" s="361">
        <v>698368</v>
      </c>
      <c r="N1002" s="361">
        <v>1527680</v>
      </c>
      <c r="O1002" s="361">
        <v>130944</v>
      </c>
      <c r="P1002" s="361">
        <v>261888</v>
      </c>
      <c r="Q1002" s="361">
        <v>87296</v>
      </c>
      <c r="R1002" s="361">
        <v>87296</v>
      </c>
      <c r="S1002" s="361">
        <v>174592</v>
      </c>
      <c r="T1002" s="386">
        <v>1047000</v>
      </c>
      <c r="U1002" s="364">
        <f t="shared" si="32"/>
        <v>22058016</v>
      </c>
      <c r="W1002" s="365" t="str">
        <f>+VLOOKUP($B1002,[2]Time_S4!$B:$G,6,0)</f>
        <v>Trung tâm Nền tảng IOT</v>
      </c>
      <c r="X1002" s="365" t="str">
        <f>IF(W1002="Phòng Kinh doanh","Trung tâm Kinh doanh - TCT CNC",+VLOOKUP($B1002,[2]Time_S4!$B:$G,5,0))</f>
        <v>Khối 3 - TCT CNC</v>
      </c>
      <c r="Y1002" s="366"/>
      <c r="Z1002" s="366"/>
    </row>
    <row r="1003" spans="1:26" ht="15.75" hidden="1">
      <c r="A1003" s="367">
        <f>SUBTOTAL(3,$B$15:B1003)</f>
        <v>2</v>
      </c>
      <c r="B1003" s="382" t="s">
        <v>2305</v>
      </c>
      <c r="C1003" s="383" t="s">
        <v>853</v>
      </c>
      <c r="D1003" s="384" t="s">
        <v>407</v>
      </c>
      <c r="E1003" s="385">
        <v>21</v>
      </c>
      <c r="F1003" s="384">
        <v>21</v>
      </c>
      <c r="G1003" s="358">
        <v>14433380</v>
      </c>
      <c r="H1003" s="359">
        <f t="shared" si="31"/>
        <v>13646972</v>
      </c>
      <c r="I1003" s="360"/>
      <c r="J1003" s="361"/>
      <c r="K1003" s="362"/>
      <c r="L1003" s="362"/>
      <c r="M1003" s="361">
        <v>599168</v>
      </c>
      <c r="N1003" s="361">
        <v>1310680</v>
      </c>
      <c r="O1003" s="361">
        <v>112344</v>
      </c>
      <c r="P1003" s="361">
        <v>224688</v>
      </c>
      <c r="Q1003" s="361">
        <v>74896</v>
      </c>
      <c r="R1003" s="361">
        <v>74896</v>
      </c>
      <c r="S1003" s="361">
        <v>149792</v>
      </c>
      <c r="T1003" s="386">
        <v>930000</v>
      </c>
      <c r="U1003" s="364">
        <f t="shared" si="32"/>
        <v>17123436</v>
      </c>
      <c r="W1003" s="365" t="str">
        <f>+VLOOKUP($B1003,[2]Time_S4!$B:$G,6,0)</f>
        <v>Trung tâm Công nghệ Cơ khí - Tự động hóa</v>
      </c>
      <c r="X1003" s="365" t="str">
        <f>IF(W1003="Phòng Kinh doanh","Trung tâm Kinh doanh - TCT CNC",+VLOOKUP($B1003,[2]Time_S4!$B:$G,5,0))</f>
        <v>Khối 1 - TCT CNC</v>
      </c>
      <c r="Y1003" s="366"/>
      <c r="Z1003" s="366"/>
    </row>
    <row r="1004" spans="1:26" ht="15.75" hidden="1">
      <c r="A1004" s="367">
        <f>SUBTOTAL(3,$B$15:B1004)</f>
        <v>2</v>
      </c>
      <c r="B1004" s="382" t="s">
        <v>2306</v>
      </c>
      <c r="C1004" s="383" t="s">
        <v>2307</v>
      </c>
      <c r="D1004" s="384" t="s">
        <v>407</v>
      </c>
      <c r="E1004" s="385">
        <v>21</v>
      </c>
      <c r="F1004" s="384">
        <v>21</v>
      </c>
      <c r="G1004" s="358">
        <v>22191440</v>
      </c>
      <c r="H1004" s="359">
        <f t="shared" si="31"/>
        <v>21227960</v>
      </c>
      <c r="I1004" s="360"/>
      <c r="J1004" s="361"/>
      <c r="K1004" s="362"/>
      <c r="L1004" s="362"/>
      <c r="M1004" s="361">
        <v>734080</v>
      </c>
      <c r="N1004" s="361">
        <v>1605800</v>
      </c>
      <c r="O1004" s="361">
        <v>137640</v>
      </c>
      <c r="P1004" s="361">
        <v>275280</v>
      </c>
      <c r="Q1004" s="361">
        <v>91760</v>
      </c>
      <c r="R1004" s="361">
        <v>91760</v>
      </c>
      <c r="S1004" s="361">
        <v>183520</v>
      </c>
      <c r="T1004" s="386">
        <v>930000</v>
      </c>
      <c r="U1004" s="364">
        <f t="shared" si="32"/>
        <v>25277800</v>
      </c>
      <c r="W1004" s="365" t="str">
        <f>+VLOOKUP($B1004,[2]Time_S4!$B:$G,6,0)</f>
        <v>Trung tâm Camera</v>
      </c>
      <c r="X1004" s="365" t="str">
        <f>IF(W1004="Phòng Kinh doanh","Trung tâm Kinh doanh - TCT CNC",+VLOOKUP($B1004,[2]Time_S4!$B:$G,5,0))</f>
        <v>Khối 3 - TCT CNC</v>
      </c>
      <c r="Y1004" s="366"/>
      <c r="Z1004" s="366"/>
    </row>
    <row r="1005" spans="1:26" ht="15.75" hidden="1">
      <c r="A1005" s="367">
        <f>SUBTOTAL(3,$B$15:B1005)</f>
        <v>2</v>
      </c>
      <c r="B1005" s="382" t="s">
        <v>2308</v>
      </c>
      <c r="C1005" s="383" t="s">
        <v>2309</v>
      </c>
      <c r="D1005" s="384" t="s">
        <v>407</v>
      </c>
      <c r="E1005" s="385">
        <v>21</v>
      </c>
      <c r="F1005" s="384">
        <v>21</v>
      </c>
      <c r="G1005" s="358">
        <v>21960100</v>
      </c>
      <c r="H1005" s="359">
        <f t="shared" si="31"/>
        <v>20996620</v>
      </c>
      <c r="I1005" s="360"/>
      <c r="J1005" s="361"/>
      <c r="K1005" s="362"/>
      <c r="L1005" s="362"/>
      <c r="M1005" s="361">
        <v>734080</v>
      </c>
      <c r="N1005" s="361">
        <v>1605800</v>
      </c>
      <c r="O1005" s="361">
        <v>137640</v>
      </c>
      <c r="P1005" s="361">
        <v>275280</v>
      </c>
      <c r="Q1005" s="361">
        <v>91760</v>
      </c>
      <c r="R1005" s="361">
        <v>91760</v>
      </c>
      <c r="S1005" s="361">
        <v>183520</v>
      </c>
      <c r="T1005" s="386">
        <v>930000</v>
      </c>
      <c r="U1005" s="364">
        <f t="shared" si="32"/>
        <v>25046460</v>
      </c>
      <c r="W1005" s="365" t="str">
        <f>+VLOOKUP($B1005,[2]Time_S4!$B:$G,6,0)</f>
        <v>Trung tâm Nghiên cứu Công nghệ truyền dẫn</v>
      </c>
      <c r="X1005" s="365" t="str">
        <f>IF(W1005="Phòng Kinh doanh","Trung tâm Kinh doanh - TCT CNC",+VLOOKUP($B1005,[2]Time_S4!$B:$G,5,0))</f>
        <v>Khối 2 - TCT CNC</v>
      </c>
      <c r="Y1005" s="366"/>
      <c r="Z1005" s="366"/>
    </row>
    <row r="1006" spans="1:26" ht="15.75" hidden="1">
      <c r="A1006" s="367">
        <f>SUBTOTAL(3,$B$15:B1006)</f>
        <v>2</v>
      </c>
      <c r="B1006" s="382" t="s">
        <v>2310</v>
      </c>
      <c r="C1006" s="383" t="s">
        <v>2311</v>
      </c>
      <c r="D1006" s="384" t="s">
        <v>407</v>
      </c>
      <c r="E1006" s="385">
        <v>21</v>
      </c>
      <c r="F1006" s="384">
        <v>21</v>
      </c>
      <c r="G1006" s="358">
        <v>16029540</v>
      </c>
      <c r="H1006" s="359">
        <f t="shared" si="31"/>
        <v>15201468</v>
      </c>
      <c r="I1006" s="360"/>
      <c r="J1006" s="361"/>
      <c r="K1006" s="362"/>
      <c r="L1006" s="362"/>
      <c r="M1006" s="361">
        <v>630912</v>
      </c>
      <c r="N1006" s="361">
        <v>1380120</v>
      </c>
      <c r="O1006" s="361">
        <v>118296</v>
      </c>
      <c r="P1006" s="361">
        <v>236592</v>
      </c>
      <c r="Q1006" s="361">
        <v>78864</v>
      </c>
      <c r="R1006" s="361">
        <v>78864</v>
      </c>
      <c r="S1006" s="361">
        <v>157728</v>
      </c>
      <c r="T1006" s="386">
        <v>1047000</v>
      </c>
      <c r="U1006" s="364">
        <f t="shared" si="32"/>
        <v>18929844</v>
      </c>
      <c r="W1006" s="365" t="str">
        <f>+VLOOKUP($B1006,[2]Time_S4!$B:$G,6,0)</f>
        <v>Trung tâm Công nghệ Cơ khí - Tự động hóa</v>
      </c>
      <c r="X1006" s="365" t="str">
        <f>IF(W1006="Phòng Kinh doanh","Trung tâm Kinh doanh - TCT CNC",+VLOOKUP($B1006,[2]Time_S4!$B:$G,5,0))</f>
        <v>Khối 1 - TCT CNC</v>
      </c>
      <c r="Y1006" s="366"/>
      <c r="Z1006" s="366"/>
    </row>
    <row r="1007" spans="1:26" ht="15.75" hidden="1">
      <c r="A1007" s="367">
        <f>SUBTOTAL(3,$B$15:B1007)</f>
        <v>2</v>
      </c>
      <c r="B1007" s="382" t="s">
        <v>2312</v>
      </c>
      <c r="C1007" s="383" t="s">
        <v>2313</v>
      </c>
      <c r="D1007" s="384" t="s">
        <v>407</v>
      </c>
      <c r="E1007" s="385">
        <v>21</v>
      </c>
      <c r="F1007" s="384">
        <v>21</v>
      </c>
      <c r="G1007" s="358">
        <v>18372180</v>
      </c>
      <c r="H1007" s="359">
        <f t="shared" si="31"/>
        <v>17502444</v>
      </c>
      <c r="I1007" s="360"/>
      <c r="J1007" s="361"/>
      <c r="K1007" s="362"/>
      <c r="L1007" s="362"/>
      <c r="M1007" s="361">
        <v>662656</v>
      </c>
      <c r="N1007" s="361">
        <v>1449560</v>
      </c>
      <c r="O1007" s="361">
        <v>124248</v>
      </c>
      <c r="P1007" s="361">
        <v>248496</v>
      </c>
      <c r="Q1007" s="361">
        <v>82832</v>
      </c>
      <c r="R1007" s="361">
        <v>82832</v>
      </c>
      <c r="S1007" s="361">
        <v>165664</v>
      </c>
      <c r="T1007" s="386">
        <v>930000</v>
      </c>
      <c r="U1007" s="364">
        <f t="shared" si="32"/>
        <v>21248732</v>
      </c>
      <c r="W1007" s="365" t="str">
        <f>+VLOOKUP($B1007,[2]Time_S4!$B:$G,6,0)</f>
        <v>Trung tâm Kỹ thuật công nghệ - TCT CNC</v>
      </c>
      <c r="X1007" s="365" t="str">
        <f>IF(W1007="Phòng Kinh doanh","Trung tâm Kinh doanh - TCT CNC",+VLOOKUP($B1007,[2]Time_S4!$B:$G,5,0))</f>
        <v>Khối 2 - TCT CNC</v>
      </c>
      <c r="Y1007" s="366"/>
      <c r="Z1007" s="366"/>
    </row>
    <row r="1008" spans="1:26" ht="15.75" hidden="1">
      <c r="A1008" s="367">
        <f>SUBTOTAL(3,$B$15:B1008)</f>
        <v>2</v>
      </c>
      <c r="B1008" s="382" t="s">
        <v>2314</v>
      </c>
      <c r="C1008" s="383" t="s">
        <v>2315</v>
      </c>
      <c r="D1008" s="384" t="s">
        <v>407</v>
      </c>
      <c r="E1008" s="385">
        <v>21</v>
      </c>
      <c r="F1008" s="384">
        <v>21</v>
      </c>
      <c r="G1008" s="358">
        <v>15862700</v>
      </c>
      <c r="H1008" s="359">
        <f t="shared" si="31"/>
        <v>15034628</v>
      </c>
      <c r="I1008" s="360"/>
      <c r="J1008" s="361"/>
      <c r="K1008" s="362"/>
      <c r="L1008" s="362"/>
      <c r="M1008" s="361">
        <v>630912</v>
      </c>
      <c r="N1008" s="361">
        <v>1380120</v>
      </c>
      <c r="O1008" s="361">
        <v>118296</v>
      </c>
      <c r="P1008" s="361">
        <v>236592</v>
      </c>
      <c r="Q1008" s="361">
        <v>78864</v>
      </c>
      <c r="R1008" s="361">
        <v>78864</v>
      </c>
      <c r="S1008" s="361">
        <v>157728</v>
      </c>
      <c r="T1008" s="386">
        <v>1047000</v>
      </c>
      <c r="U1008" s="364">
        <f t="shared" si="32"/>
        <v>18763004</v>
      </c>
      <c r="W1008" s="365" t="str">
        <f>+VLOOKUP($B1008,[2]Time_S4!$B:$G,6,0)</f>
        <v>Trung tâm Camera</v>
      </c>
      <c r="X1008" s="365" t="str">
        <f>IF(W1008="Phòng Kinh doanh","Trung tâm Kinh doanh - TCT CNC",+VLOOKUP($B1008,[2]Time_S4!$B:$G,5,0))</f>
        <v>Khối 3 - TCT CNC</v>
      </c>
      <c r="Y1008" s="366"/>
      <c r="Z1008" s="366"/>
    </row>
    <row r="1009" spans="1:26" ht="15.75" hidden="1">
      <c r="A1009" s="367">
        <f>SUBTOTAL(3,$B$15:B1009)</f>
        <v>2</v>
      </c>
      <c r="B1009" s="382" t="s">
        <v>2316</v>
      </c>
      <c r="C1009" s="383" t="s">
        <v>2317</v>
      </c>
      <c r="D1009" s="384" t="s">
        <v>407</v>
      </c>
      <c r="E1009" s="385">
        <v>21</v>
      </c>
      <c r="F1009" s="384">
        <v>21</v>
      </c>
      <c r="G1009" s="358">
        <v>22191440</v>
      </c>
      <c r="H1009" s="359">
        <f t="shared" si="31"/>
        <v>21227960</v>
      </c>
      <c r="I1009" s="360"/>
      <c r="J1009" s="361"/>
      <c r="K1009" s="362"/>
      <c r="L1009" s="362"/>
      <c r="M1009" s="361">
        <v>734080</v>
      </c>
      <c r="N1009" s="361">
        <v>1605800</v>
      </c>
      <c r="O1009" s="361">
        <v>137640</v>
      </c>
      <c r="P1009" s="361">
        <v>275280</v>
      </c>
      <c r="Q1009" s="361">
        <v>91760</v>
      </c>
      <c r="R1009" s="361">
        <v>91760</v>
      </c>
      <c r="S1009" s="361">
        <v>183520</v>
      </c>
      <c r="T1009" s="386">
        <v>930000</v>
      </c>
      <c r="U1009" s="364">
        <f t="shared" si="32"/>
        <v>25277800</v>
      </c>
      <c r="W1009" s="365" t="str">
        <f>+VLOOKUP($B1009,[2]Time_S4!$B:$G,6,0)</f>
        <v>Trung tâm Camera</v>
      </c>
      <c r="X1009" s="365" t="str">
        <f>IF(W1009="Phòng Kinh doanh","Trung tâm Kinh doanh - TCT CNC",+VLOOKUP($B1009,[2]Time_S4!$B:$G,5,0))</f>
        <v>Khối 3 - TCT CNC</v>
      </c>
      <c r="Y1009" s="366"/>
      <c r="Z1009" s="366"/>
    </row>
    <row r="1010" spans="1:26" ht="15.75" hidden="1">
      <c r="A1010" s="367">
        <f>SUBTOTAL(3,$B$15:B1010)</f>
        <v>2</v>
      </c>
      <c r="B1010" s="382" t="s">
        <v>2318</v>
      </c>
      <c r="C1010" s="383" t="s">
        <v>2319</v>
      </c>
      <c r="D1010" s="384" t="s">
        <v>407</v>
      </c>
      <c r="E1010" s="385">
        <v>21</v>
      </c>
      <c r="F1010" s="384">
        <v>21</v>
      </c>
      <c r="G1010" s="358">
        <v>14585600</v>
      </c>
      <c r="H1010" s="359">
        <f t="shared" si="31"/>
        <v>13799192</v>
      </c>
      <c r="I1010" s="360"/>
      <c r="J1010" s="361"/>
      <c r="K1010" s="362"/>
      <c r="L1010" s="362"/>
      <c r="M1010" s="361">
        <v>599168</v>
      </c>
      <c r="N1010" s="361">
        <v>1310680</v>
      </c>
      <c r="O1010" s="361">
        <v>112344</v>
      </c>
      <c r="P1010" s="361">
        <v>224688</v>
      </c>
      <c r="Q1010" s="361">
        <v>74896</v>
      </c>
      <c r="R1010" s="361">
        <v>74896</v>
      </c>
      <c r="S1010" s="361">
        <v>149792</v>
      </c>
      <c r="T1010" s="386">
        <v>930000</v>
      </c>
      <c r="U1010" s="364">
        <f t="shared" si="32"/>
        <v>17275656</v>
      </c>
      <c r="W1010" s="365" t="str">
        <f>+VLOOKUP($B1010,[2]Time_S4!$B:$G,6,0)</f>
        <v>Trung tâm Nghiên cứu giải pháp tích hợp công nghệ cao</v>
      </c>
      <c r="X1010" s="365" t="str">
        <f>IF(W1010="Phòng Kinh doanh","Trung tâm Kinh doanh - TCT CNC",+VLOOKUP($B1010,[2]Time_S4!$B:$G,5,0))</f>
        <v>Khối 1 - TCT CNC</v>
      </c>
      <c r="Y1010" s="366"/>
      <c r="Z1010" s="366"/>
    </row>
    <row r="1011" spans="1:26" ht="15.75" hidden="1">
      <c r="A1011" s="367">
        <f>SUBTOTAL(3,$B$15:B1011)</f>
        <v>2</v>
      </c>
      <c r="B1011" s="382" t="s">
        <v>2320</v>
      </c>
      <c r="C1011" s="383" t="s">
        <v>2321</v>
      </c>
      <c r="D1011" s="384" t="s">
        <v>407</v>
      </c>
      <c r="E1011" s="385">
        <v>21</v>
      </c>
      <c r="F1011" s="384">
        <v>21</v>
      </c>
      <c r="G1011" s="358">
        <v>19991200</v>
      </c>
      <c r="H1011" s="359">
        <f t="shared" si="31"/>
        <v>19121464</v>
      </c>
      <c r="I1011" s="360"/>
      <c r="J1011" s="361"/>
      <c r="K1011" s="362"/>
      <c r="L1011" s="362"/>
      <c r="M1011" s="361">
        <v>662656</v>
      </c>
      <c r="N1011" s="361">
        <v>1449560</v>
      </c>
      <c r="O1011" s="361">
        <v>124248</v>
      </c>
      <c r="P1011" s="361">
        <v>248496</v>
      </c>
      <c r="Q1011" s="361">
        <v>82832</v>
      </c>
      <c r="R1011" s="361">
        <v>82832</v>
      </c>
      <c r="S1011" s="361">
        <v>165664</v>
      </c>
      <c r="T1011" s="386">
        <v>930000</v>
      </c>
      <c r="U1011" s="364">
        <f t="shared" si="32"/>
        <v>22867752</v>
      </c>
      <c r="W1011" s="365" t="str">
        <f>+VLOOKUP($B1011,[2]Time_S4!$B:$G,6,0)</f>
        <v>Trung tâm Khí cụ bay</v>
      </c>
      <c r="X1011" s="365" t="str">
        <f>IF(W1011="Phòng Kinh doanh","Trung tâm Kinh doanh - TCT CNC",+VLOOKUP($B1011,[2]Time_S4!$B:$G,5,0))</f>
        <v>Khối 1 - TCT CNC</v>
      </c>
      <c r="Y1011" s="366"/>
      <c r="Z1011" s="366"/>
    </row>
    <row r="1012" spans="1:26" ht="15.75" hidden="1">
      <c r="A1012" s="367">
        <f>SUBTOTAL(3,$B$15:B1012)</f>
        <v>2</v>
      </c>
      <c r="B1012" s="382" t="s">
        <v>2322</v>
      </c>
      <c r="C1012" s="383" t="s">
        <v>2323</v>
      </c>
      <c r="D1012" s="384" t="s">
        <v>407</v>
      </c>
      <c r="E1012" s="385">
        <v>21</v>
      </c>
      <c r="F1012" s="384">
        <v>21</v>
      </c>
      <c r="G1012" s="358">
        <v>21503440</v>
      </c>
      <c r="H1012" s="359">
        <f t="shared" si="31"/>
        <v>20539960</v>
      </c>
      <c r="I1012" s="360"/>
      <c r="J1012" s="361"/>
      <c r="K1012" s="362"/>
      <c r="L1012" s="362"/>
      <c r="M1012" s="361">
        <v>734080</v>
      </c>
      <c r="N1012" s="361">
        <v>1605800</v>
      </c>
      <c r="O1012" s="361">
        <v>137640</v>
      </c>
      <c r="P1012" s="361">
        <v>275280</v>
      </c>
      <c r="Q1012" s="361">
        <v>91760</v>
      </c>
      <c r="R1012" s="361">
        <v>91760</v>
      </c>
      <c r="S1012" s="361">
        <v>183520</v>
      </c>
      <c r="T1012" s="386">
        <v>930000</v>
      </c>
      <c r="U1012" s="364">
        <f t="shared" si="32"/>
        <v>24589800</v>
      </c>
      <c r="W1012" s="365" t="str">
        <f>+VLOOKUP($B1012,[2]Time_S4!$B:$G,6,0)</f>
        <v>Trung tâm Nghiên cứu Công nghệ chuyển mạch</v>
      </c>
      <c r="X1012" s="365" t="str">
        <f>IF(W1012="Phòng Kinh doanh","Trung tâm Kinh doanh - TCT CNC",+VLOOKUP($B1012,[2]Time_S4!$B:$G,5,0))</f>
        <v>Khối 2 - TCT CNC</v>
      </c>
      <c r="Y1012" s="366"/>
      <c r="Z1012" s="366"/>
    </row>
    <row r="1013" spans="1:26" ht="15.75" hidden="1">
      <c r="A1013" s="367">
        <f>SUBTOTAL(3,$B$15:B1013)</f>
        <v>2</v>
      </c>
      <c r="B1013" s="382" t="s">
        <v>2324</v>
      </c>
      <c r="C1013" s="383" t="s">
        <v>2325</v>
      </c>
      <c r="D1013" s="384" t="s">
        <v>407</v>
      </c>
      <c r="E1013" s="385">
        <v>21</v>
      </c>
      <c r="F1013" s="384">
        <v>21</v>
      </c>
      <c r="G1013" s="358">
        <v>16029540</v>
      </c>
      <c r="H1013" s="359">
        <f t="shared" si="31"/>
        <v>15201468</v>
      </c>
      <c r="I1013" s="360"/>
      <c r="J1013" s="361"/>
      <c r="K1013" s="362"/>
      <c r="L1013" s="362"/>
      <c r="M1013" s="361">
        <v>630912</v>
      </c>
      <c r="N1013" s="361">
        <v>1380120</v>
      </c>
      <c r="O1013" s="361">
        <v>118296</v>
      </c>
      <c r="P1013" s="361">
        <v>236592</v>
      </c>
      <c r="Q1013" s="361">
        <v>78864</v>
      </c>
      <c r="R1013" s="361">
        <v>78864</v>
      </c>
      <c r="S1013" s="361">
        <v>157728</v>
      </c>
      <c r="T1013" s="386">
        <v>930000</v>
      </c>
      <c r="U1013" s="364">
        <f t="shared" si="32"/>
        <v>18812844</v>
      </c>
      <c r="W1013" s="365" t="str">
        <f>+VLOOKUP($B1013,[2]Time_S4!$B:$G,6,0)</f>
        <v>Trung tâm Nghiên cứu thiết bị vô tuyến băng rộng</v>
      </c>
      <c r="X1013" s="365" t="str">
        <f>IF(W1013="Phòng Kinh doanh","Trung tâm Kinh doanh - TCT CNC",+VLOOKUP($B1013,[2]Time_S4!$B:$G,5,0))</f>
        <v>Khối 2 - TCT CNC</v>
      </c>
      <c r="Y1013" s="366"/>
      <c r="Z1013" s="366"/>
    </row>
    <row r="1014" spans="1:26" ht="15.75" hidden="1">
      <c r="A1014" s="367">
        <f>SUBTOTAL(3,$B$15:B1014)</f>
        <v>2</v>
      </c>
      <c r="B1014" s="382" t="s">
        <v>2326</v>
      </c>
      <c r="C1014" s="383" t="s">
        <v>2327</v>
      </c>
      <c r="D1014" s="384" t="s">
        <v>407</v>
      </c>
      <c r="E1014" s="385">
        <v>21</v>
      </c>
      <c r="F1014" s="384">
        <v>21</v>
      </c>
      <c r="G1014" s="358">
        <v>15370780</v>
      </c>
      <c r="H1014" s="359">
        <f t="shared" si="31"/>
        <v>14542708</v>
      </c>
      <c r="I1014" s="360"/>
      <c r="J1014" s="361"/>
      <c r="K1014" s="362"/>
      <c r="L1014" s="362"/>
      <c r="M1014" s="361">
        <v>630912</v>
      </c>
      <c r="N1014" s="361">
        <v>1380120</v>
      </c>
      <c r="O1014" s="361">
        <v>118296</v>
      </c>
      <c r="P1014" s="361">
        <v>236592</v>
      </c>
      <c r="Q1014" s="361">
        <v>78864</v>
      </c>
      <c r="R1014" s="361">
        <v>78864</v>
      </c>
      <c r="S1014" s="361">
        <v>157728</v>
      </c>
      <c r="T1014" s="386">
        <v>930000</v>
      </c>
      <c r="U1014" s="364">
        <f t="shared" si="32"/>
        <v>18154084</v>
      </c>
      <c r="W1014" s="365" t="str">
        <f>+VLOOKUP($B1014,[2]Time_S4!$B:$G,6,0)</f>
        <v>Trung tâm Nghiên cứu thiết bị vô tuyến băng rộng</v>
      </c>
      <c r="X1014" s="365" t="str">
        <f>IF(W1014="Phòng Kinh doanh","Trung tâm Kinh doanh - TCT CNC",+VLOOKUP($B1014,[2]Time_S4!$B:$G,5,0))</f>
        <v>Khối 2 - TCT CNC</v>
      </c>
      <c r="Y1014" s="366"/>
      <c r="Z1014" s="366"/>
    </row>
    <row r="1015" spans="1:26" ht="15.75" hidden="1">
      <c r="A1015" s="367">
        <f>SUBTOTAL(3,$B$15:B1015)</f>
        <v>2</v>
      </c>
      <c r="B1015" s="382" t="s">
        <v>2328</v>
      </c>
      <c r="C1015" s="383" t="s">
        <v>2329</v>
      </c>
      <c r="D1015" s="384" t="s">
        <v>407</v>
      </c>
      <c r="E1015" s="385">
        <v>21</v>
      </c>
      <c r="F1015" s="384">
        <v>21</v>
      </c>
      <c r="G1015" s="358">
        <v>20617100</v>
      </c>
      <c r="H1015" s="359">
        <f t="shared" si="31"/>
        <v>19747364</v>
      </c>
      <c r="I1015" s="360"/>
      <c r="J1015" s="361"/>
      <c r="K1015" s="362"/>
      <c r="L1015" s="362"/>
      <c r="M1015" s="361">
        <v>662656</v>
      </c>
      <c r="N1015" s="361">
        <v>1449560</v>
      </c>
      <c r="O1015" s="361">
        <v>124248</v>
      </c>
      <c r="P1015" s="361">
        <v>248496</v>
      </c>
      <c r="Q1015" s="361">
        <v>82832</v>
      </c>
      <c r="R1015" s="361">
        <v>82832</v>
      </c>
      <c r="S1015" s="361">
        <v>165664</v>
      </c>
      <c r="T1015" s="386">
        <v>930000</v>
      </c>
      <c r="U1015" s="364">
        <f t="shared" si="32"/>
        <v>23493652</v>
      </c>
      <c r="W1015" s="365" t="str">
        <f>+VLOOKUP($B1015,[2]Time_S4!$B:$G,6,0)</f>
        <v>Trung tâm Thông tin Quân sự</v>
      </c>
      <c r="X1015" s="365" t="str">
        <f>IF(W1015="Phòng Kinh doanh","Trung tâm Kinh doanh - TCT CNC",+VLOOKUP($B1015,[2]Time_S4!$B:$G,5,0))</f>
        <v>Khối 1 - TCT CNC</v>
      </c>
      <c r="Y1015" s="366"/>
      <c r="Z1015" s="366"/>
    </row>
    <row r="1016" spans="1:26" ht="15.75" hidden="1">
      <c r="A1016" s="367">
        <f>SUBTOTAL(3,$B$15:B1016)</f>
        <v>2</v>
      </c>
      <c r="B1016" s="382" t="s">
        <v>2330</v>
      </c>
      <c r="C1016" s="383" t="s">
        <v>2331</v>
      </c>
      <c r="D1016" s="384" t="s">
        <v>407</v>
      </c>
      <c r="E1016" s="385">
        <v>21</v>
      </c>
      <c r="F1016" s="384">
        <v>21</v>
      </c>
      <c r="G1016" s="358">
        <v>19565860</v>
      </c>
      <c r="H1016" s="359">
        <f t="shared" si="31"/>
        <v>18649252</v>
      </c>
      <c r="I1016" s="360"/>
      <c r="J1016" s="361"/>
      <c r="K1016" s="362"/>
      <c r="L1016" s="362"/>
      <c r="M1016" s="361">
        <v>698368</v>
      </c>
      <c r="N1016" s="361">
        <v>1527680</v>
      </c>
      <c r="O1016" s="361">
        <v>130944</v>
      </c>
      <c r="P1016" s="361">
        <v>261888</v>
      </c>
      <c r="Q1016" s="361">
        <v>87296</v>
      </c>
      <c r="R1016" s="361">
        <v>87296</v>
      </c>
      <c r="S1016" s="361">
        <v>174592</v>
      </c>
      <c r="T1016" s="386">
        <v>1047000</v>
      </c>
      <c r="U1016" s="364">
        <f t="shared" si="32"/>
        <v>22664316</v>
      </c>
      <c r="W1016" s="365" t="str">
        <f>+VLOOKUP($B1016,[2]Time_S4!$B:$G,6,0)</f>
        <v>Trung tâm Chỉ huy điều khiển</v>
      </c>
      <c r="X1016" s="365" t="str">
        <f>IF(W1016="Phòng Kinh doanh","Trung tâm Kinh doanh - TCT CNC",+VLOOKUP($B1016,[2]Time_S4!$B:$G,5,0))</f>
        <v>Khối 1 - TCT CNC</v>
      </c>
      <c r="Y1016" s="366"/>
      <c r="Z1016" s="366"/>
    </row>
    <row r="1017" spans="1:26" ht="15.75" hidden="1">
      <c r="A1017" s="367">
        <f>SUBTOTAL(3,$B$15:B1017)</f>
        <v>2</v>
      </c>
      <c r="B1017" s="382" t="s">
        <v>2332</v>
      </c>
      <c r="C1017" s="383" t="s">
        <v>2333</v>
      </c>
      <c r="D1017" s="384" t="s">
        <v>407</v>
      </c>
      <c r="E1017" s="385">
        <v>21</v>
      </c>
      <c r="F1017" s="384">
        <v>21</v>
      </c>
      <c r="G1017" s="358">
        <v>23295680</v>
      </c>
      <c r="H1017" s="359">
        <f t="shared" si="31"/>
        <v>22332200</v>
      </c>
      <c r="I1017" s="360"/>
      <c r="J1017" s="361"/>
      <c r="K1017" s="362"/>
      <c r="L1017" s="362"/>
      <c r="M1017" s="361">
        <v>734080</v>
      </c>
      <c r="N1017" s="361">
        <v>1605800</v>
      </c>
      <c r="O1017" s="361">
        <v>137640</v>
      </c>
      <c r="P1017" s="361">
        <v>275280</v>
      </c>
      <c r="Q1017" s="361">
        <v>91760</v>
      </c>
      <c r="R1017" s="361">
        <v>91760</v>
      </c>
      <c r="S1017" s="361">
        <v>183520</v>
      </c>
      <c r="T1017" s="386">
        <v>1030000</v>
      </c>
      <c r="U1017" s="364">
        <f t="shared" si="32"/>
        <v>26482040</v>
      </c>
      <c r="W1017" s="365" t="str">
        <f>+VLOOKUP($B1017,[2]Time_S4!$B:$G,6,0)</f>
        <v>Trung tâm Khí cụ bay</v>
      </c>
      <c r="X1017" s="365" t="str">
        <f>IF(W1017="Phòng Kinh doanh","Trung tâm Kinh doanh - TCT CNC",+VLOOKUP($B1017,[2]Time_S4!$B:$G,5,0))</f>
        <v>Khối 1 - TCT CNC</v>
      </c>
      <c r="Y1017" s="366"/>
      <c r="Z1017" s="366"/>
    </row>
    <row r="1018" spans="1:26" ht="15.75" hidden="1">
      <c r="A1018" s="367">
        <f>SUBTOTAL(3,$B$15:B1018)</f>
        <v>2</v>
      </c>
      <c r="B1018" s="382" t="s">
        <v>2334</v>
      </c>
      <c r="C1018" s="383" t="s">
        <v>2335</v>
      </c>
      <c r="D1018" s="384" t="s">
        <v>407</v>
      </c>
      <c r="E1018" s="385">
        <v>21</v>
      </c>
      <c r="F1018" s="384">
        <v>21</v>
      </c>
      <c r="G1018" s="358">
        <v>23386840</v>
      </c>
      <c r="H1018" s="359">
        <f t="shared" si="31"/>
        <v>22371280</v>
      </c>
      <c r="I1018" s="360"/>
      <c r="J1018" s="361"/>
      <c r="K1018" s="362"/>
      <c r="L1018" s="362"/>
      <c r="M1018" s="361">
        <v>773760</v>
      </c>
      <c r="N1018" s="361">
        <v>1692600</v>
      </c>
      <c r="O1018" s="361">
        <v>145080</v>
      </c>
      <c r="P1018" s="361">
        <v>290160</v>
      </c>
      <c r="Q1018" s="361">
        <v>96720</v>
      </c>
      <c r="R1018" s="361">
        <v>96720</v>
      </c>
      <c r="S1018" s="361">
        <v>193440</v>
      </c>
      <c r="T1018" s="386">
        <v>930000</v>
      </c>
      <c r="U1018" s="364">
        <f t="shared" si="32"/>
        <v>26589760</v>
      </c>
      <c r="W1018" s="365" t="str">
        <f>+VLOOKUP($B1018,[2]Time_S4!$B:$G,6,0)</f>
        <v>Trung tâm Mô hình mô phỏng</v>
      </c>
      <c r="X1018" s="365" t="str">
        <f>IF(W1018="Phòng Kinh doanh","Trung tâm Kinh doanh - TCT CNC",+VLOOKUP($B1018,[2]Time_S4!$B:$G,5,0))</f>
        <v>Khối 1 - TCT CNC</v>
      </c>
      <c r="Y1018" s="366"/>
      <c r="Z1018" s="366"/>
    </row>
    <row r="1019" spans="1:26" ht="15.75" hidden="1">
      <c r="A1019" s="367">
        <f>SUBTOTAL(3,$B$15:B1019)</f>
        <v>2</v>
      </c>
      <c r="B1019" s="382" t="s">
        <v>2336</v>
      </c>
      <c r="C1019" s="383" t="s">
        <v>2337</v>
      </c>
      <c r="D1019" s="384" t="s">
        <v>407</v>
      </c>
      <c r="E1019" s="385">
        <v>21</v>
      </c>
      <c r="F1019" s="384">
        <v>21</v>
      </c>
      <c r="G1019" s="358">
        <v>21566540</v>
      </c>
      <c r="H1019" s="359">
        <f t="shared" si="31"/>
        <v>20696804</v>
      </c>
      <c r="I1019" s="360"/>
      <c r="J1019" s="361"/>
      <c r="K1019" s="362"/>
      <c r="L1019" s="362"/>
      <c r="M1019" s="361">
        <v>662656</v>
      </c>
      <c r="N1019" s="361">
        <v>1449560</v>
      </c>
      <c r="O1019" s="361">
        <v>124248</v>
      </c>
      <c r="P1019" s="361">
        <v>248496</v>
      </c>
      <c r="Q1019" s="361">
        <v>82832</v>
      </c>
      <c r="R1019" s="361">
        <v>82832</v>
      </c>
      <c r="S1019" s="361">
        <v>165664</v>
      </c>
      <c r="T1019" s="386">
        <v>930000</v>
      </c>
      <c r="U1019" s="364">
        <f t="shared" si="32"/>
        <v>24443092</v>
      </c>
      <c r="W1019" s="365" t="str">
        <f>+VLOOKUP($B1019,[2]Time_S4!$B:$G,6,0)</f>
        <v>Trung tâm Nền tảng IOT</v>
      </c>
      <c r="X1019" s="365" t="str">
        <f>IF(W1019="Phòng Kinh doanh","Trung tâm Kinh doanh - TCT CNC",+VLOOKUP($B1019,[2]Time_S4!$B:$G,5,0))</f>
        <v>Khối 3 - TCT CNC</v>
      </c>
      <c r="Y1019" s="366"/>
      <c r="Z1019" s="366"/>
    </row>
    <row r="1020" spans="1:26" ht="15.75" hidden="1">
      <c r="A1020" s="367">
        <f>SUBTOTAL(3,$B$15:B1020)</f>
        <v>2</v>
      </c>
      <c r="B1020" s="382" t="s">
        <v>2338</v>
      </c>
      <c r="C1020" s="383" t="s">
        <v>2339</v>
      </c>
      <c r="D1020" s="384" t="s">
        <v>407</v>
      </c>
      <c r="E1020" s="385">
        <v>21</v>
      </c>
      <c r="F1020" s="384">
        <v>21</v>
      </c>
      <c r="G1020" s="358">
        <v>15696720</v>
      </c>
      <c r="H1020" s="359">
        <f t="shared" si="31"/>
        <v>14868648</v>
      </c>
      <c r="I1020" s="360"/>
      <c r="J1020" s="361"/>
      <c r="K1020" s="362"/>
      <c r="L1020" s="362"/>
      <c r="M1020" s="361">
        <v>630912</v>
      </c>
      <c r="N1020" s="361">
        <v>1380120</v>
      </c>
      <c r="O1020" s="361">
        <v>118296</v>
      </c>
      <c r="P1020" s="361">
        <v>236592</v>
      </c>
      <c r="Q1020" s="361">
        <v>78864</v>
      </c>
      <c r="R1020" s="361">
        <v>78864</v>
      </c>
      <c r="S1020" s="361">
        <v>157728</v>
      </c>
      <c r="T1020" s="386">
        <v>930000</v>
      </c>
      <c r="U1020" s="364">
        <f t="shared" si="32"/>
        <v>18480024</v>
      </c>
      <c r="W1020" s="365" t="str">
        <f>+VLOOKUP($B1020,[2]Time_S4!$B:$G,6,0)</f>
        <v>Trung tâm Nền tảng IOT</v>
      </c>
      <c r="X1020" s="365" t="str">
        <f>IF(W1020="Phòng Kinh doanh","Trung tâm Kinh doanh - TCT CNC",+VLOOKUP($B1020,[2]Time_S4!$B:$G,5,0))</f>
        <v>Khối 3 - TCT CNC</v>
      </c>
      <c r="Y1020" s="366"/>
      <c r="Z1020" s="366"/>
    </row>
    <row r="1021" spans="1:26" ht="15.75" hidden="1">
      <c r="A1021" s="367">
        <f>SUBTOTAL(3,$B$15:B1021)</f>
        <v>2</v>
      </c>
      <c r="B1021" s="382" t="s">
        <v>340</v>
      </c>
      <c r="C1021" s="383" t="s">
        <v>341</v>
      </c>
      <c r="D1021" s="384" t="s">
        <v>407</v>
      </c>
      <c r="E1021" s="385">
        <v>21</v>
      </c>
      <c r="F1021" s="384">
        <v>21</v>
      </c>
      <c r="G1021" s="358">
        <v>15051720</v>
      </c>
      <c r="H1021" s="359">
        <f t="shared" si="31"/>
        <v>14265312</v>
      </c>
      <c r="I1021" s="360"/>
      <c r="J1021" s="361"/>
      <c r="K1021" s="362"/>
      <c r="L1021" s="362"/>
      <c r="M1021" s="361">
        <v>599168</v>
      </c>
      <c r="N1021" s="361">
        <v>1310680</v>
      </c>
      <c r="O1021" s="361">
        <v>112344</v>
      </c>
      <c r="P1021" s="361">
        <v>224688</v>
      </c>
      <c r="Q1021" s="361">
        <v>74896</v>
      </c>
      <c r="R1021" s="361">
        <v>74896</v>
      </c>
      <c r="S1021" s="361">
        <v>149792</v>
      </c>
      <c r="T1021" s="386">
        <v>930000</v>
      </c>
      <c r="U1021" s="364">
        <f t="shared" si="32"/>
        <v>17741776</v>
      </c>
      <c r="W1021" s="365" t="str">
        <f>+VLOOKUP($B1021,[2]Time_S4!$B:$G,6,0)</f>
        <v>Trung tâm Mô hình mô phỏng</v>
      </c>
      <c r="X1021" s="365" t="str">
        <f>IF(W1021="Phòng Kinh doanh","Trung tâm Kinh doanh - TCT CNC",+VLOOKUP($B1021,[2]Time_S4!$B:$G,5,0))</f>
        <v>Khối 1 - TCT CNC</v>
      </c>
      <c r="Y1021" s="366"/>
      <c r="Z1021" s="366"/>
    </row>
    <row r="1022" spans="1:26" ht="15.75" hidden="1">
      <c r="A1022" s="367">
        <f>SUBTOTAL(3,$B$15:B1022)</f>
        <v>2</v>
      </c>
      <c r="B1022" s="382" t="s">
        <v>342</v>
      </c>
      <c r="C1022" s="383" t="s">
        <v>343</v>
      </c>
      <c r="D1022" s="384" t="s">
        <v>407</v>
      </c>
      <c r="E1022" s="385">
        <v>21</v>
      </c>
      <c r="F1022" s="384">
        <v>20</v>
      </c>
      <c r="G1022" s="358">
        <v>15266228</v>
      </c>
      <c r="H1022" s="359">
        <f t="shared" si="31"/>
        <v>14438156</v>
      </c>
      <c r="I1022" s="360"/>
      <c r="J1022" s="361"/>
      <c r="K1022" s="362"/>
      <c r="L1022" s="362"/>
      <c r="M1022" s="361">
        <v>630912</v>
      </c>
      <c r="N1022" s="361">
        <v>1380120</v>
      </c>
      <c r="O1022" s="361">
        <v>118296</v>
      </c>
      <c r="P1022" s="361">
        <v>236592</v>
      </c>
      <c r="Q1022" s="361">
        <v>78864</v>
      </c>
      <c r="R1022" s="361">
        <v>78864</v>
      </c>
      <c r="S1022" s="361">
        <v>157728</v>
      </c>
      <c r="T1022" s="386">
        <v>885714</v>
      </c>
      <c r="U1022" s="364">
        <f t="shared" si="32"/>
        <v>18005246</v>
      </c>
      <c r="W1022" s="365" t="str">
        <f>+VLOOKUP($B1022,[2]Time_S4!$B:$G,6,0)</f>
        <v>Trung tâm Mô hình mô phỏng</v>
      </c>
      <c r="X1022" s="365" t="str">
        <f>IF(W1022="Phòng Kinh doanh","Trung tâm Kinh doanh - TCT CNC",+VLOOKUP($B1022,[2]Time_S4!$B:$G,5,0))</f>
        <v>Khối 1 - TCT CNC</v>
      </c>
      <c r="Y1022" s="366"/>
      <c r="Z1022" s="366"/>
    </row>
    <row r="1023" spans="1:26" ht="15.75" hidden="1">
      <c r="A1023" s="367">
        <f>SUBTOTAL(3,$B$15:B1023)</f>
        <v>2</v>
      </c>
      <c r="B1023" s="382" t="s">
        <v>2340</v>
      </c>
      <c r="C1023" s="383" t="s">
        <v>2341</v>
      </c>
      <c r="D1023" s="384" t="s">
        <v>407</v>
      </c>
      <c r="E1023" s="385">
        <v>21</v>
      </c>
      <c r="F1023" s="384">
        <v>21</v>
      </c>
      <c r="G1023" s="358">
        <v>29906460</v>
      </c>
      <c r="H1023" s="359">
        <f t="shared" si="31"/>
        <v>28890900</v>
      </c>
      <c r="I1023" s="360"/>
      <c r="J1023" s="361"/>
      <c r="K1023" s="362"/>
      <c r="L1023" s="362"/>
      <c r="M1023" s="361">
        <v>773760</v>
      </c>
      <c r="N1023" s="361">
        <v>1692600</v>
      </c>
      <c r="O1023" s="361">
        <v>145080</v>
      </c>
      <c r="P1023" s="361">
        <v>290160</v>
      </c>
      <c r="Q1023" s="361">
        <v>96720</v>
      </c>
      <c r="R1023" s="361">
        <v>96720</v>
      </c>
      <c r="S1023" s="361">
        <v>193440</v>
      </c>
      <c r="T1023" s="386">
        <v>930000</v>
      </c>
      <c r="U1023" s="364">
        <f t="shared" si="32"/>
        <v>33109380</v>
      </c>
      <c r="W1023" s="365" t="str">
        <f>+VLOOKUP($B1023,[2]Time_S4!$B:$G,6,0)</f>
        <v>Trung tâm Chỉ huy điều khiển</v>
      </c>
      <c r="X1023" s="365" t="str">
        <f>IF(W1023="Phòng Kinh doanh","Trung tâm Kinh doanh - TCT CNC",+VLOOKUP($B1023,[2]Time_S4!$B:$G,5,0))</f>
        <v>Khối 1 - TCT CNC</v>
      </c>
      <c r="Y1023" s="366"/>
      <c r="Z1023" s="366"/>
    </row>
    <row r="1024" spans="1:26" ht="15.75" hidden="1">
      <c r="A1024" s="367">
        <f>SUBTOTAL(3,$B$15:B1024)</f>
        <v>2</v>
      </c>
      <c r="B1024" s="382" t="s">
        <v>2342</v>
      </c>
      <c r="C1024" s="383" t="s">
        <v>2343</v>
      </c>
      <c r="D1024" s="384" t="s">
        <v>407</v>
      </c>
      <c r="E1024" s="385">
        <v>21</v>
      </c>
      <c r="F1024" s="384">
        <v>21</v>
      </c>
      <c r="G1024" s="358">
        <v>13695500</v>
      </c>
      <c r="H1024" s="359">
        <f t="shared" si="31"/>
        <v>12909092</v>
      </c>
      <c r="I1024" s="360"/>
      <c r="J1024" s="361"/>
      <c r="K1024" s="362"/>
      <c r="L1024" s="362"/>
      <c r="M1024" s="361">
        <v>599168</v>
      </c>
      <c r="N1024" s="361">
        <v>1310680</v>
      </c>
      <c r="O1024" s="361">
        <v>112344</v>
      </c>
      <c r="P1024" s="361">
        <v>224688</v>
      </c>
      <c r="Q1024" s="361">
        <v>74896</v>
      </c>
      <c r="R1024" s="361">
        <v>74896</v>
      </c>
      <c r="S1024" s="361">
        <v>149792</v>
      </c>
      <c r="T1024" s="386">
        <v>930000</v>
      </c>
      <c r="U1024" s="364">
        <f t="shared" si="32"/>
        <v>16385556</v>
      </c>
      <c r="W1024" s="365" t="str">
        <f>+VLOOKUP($B1024,[2]Time_S4!$B:$G,6,0)</f>
        <v>Trung tâm Khí cụ bay</v>
      </c>
      <c r="X1024" s="365" t="str">
        <f>IF(W1024="Phòng Kinh doanh","Trung tâm Kinh doanh - TCT CNC",+VLOOKUP($B1024,[2]Time_S4!$B:$G,5,0))</f>
        <v>Khối 1 - TCT CNC</v>
      </c>
      <c r="Y1024" s="366"/>
      <c r="Z1024" s="366"/>
    </row>
    <row r="1025" spans="1:26" ht="15.75" hidden="1">
      <c r="A1025" s="367">
        <f>SUBTOTAL(3,$B$15:B1025)</f>
        <v>2</v>
      </c>
      <c r="B1025" s="382" t="s">
        <v>2344</v>
      </c>
      <c r="C1025" s="383" t="s">
        <v>2345</v>
      </c>
      <c r="D1025" s="384" t="s">
        <v>407</v>
      </c>
      <c r="E1025" s="385">
        <v>21</v>
      </c>
      <c r="F1025" s="384">
        <v>21</v>
      </c>
      <c r="G1025" s="358">
        <v>23159940</v>
      </c>
      <c r="H1025" s="359">
        <f t="shared" si="31"/>
        <v>22243332</v>
      </c>
      <c r="I1025" s="360"/>
      <c r="J1025" s="361"/>
      <c r="K1025" s="362"/>
      <c r="L1025" s="362"/>
      <c r="M1025" s="361">
        <v>698368</v>
      </c>
      <c r="N1025" s="361">
        <v>1527680</v>
      </c>
      <c r="O1025" s="361">
        <v>130944</v>
      </c>
      <c r="P1025" s="361">
        <v>261888</v>
      </c>
      <c r="Q1025" s="361">
        <v>87296</v>
      </c>
      <c r="R1025" s="361">
        <v>87296</v>
      </c>
      <c r="S1025" s="361">
        <v>174592</v>
      </c>
      <c r="T1025" s="386">
        <v>1398000</v>
      </c>
      <c r="U1025" s="364">
        <f t="shared" si="32"/>
        <v>26609396</v>
      </c>
      <c r="W1025" s="365" t="str">
        <f>+VLOOKUP($B1025,[2]Time_S4!$B:$G,6,0)</f>
        <v>Trung tâm Nghiên cứu giải pháp tích hợp công nghệ cao</v>
      </c>
      <c r="X1025" s="365" t="str">
        <f>IF(W1025="Phòng Kinh doanh","Trung tâm Kinh doanh - TCT CNC",+VLOOKUP($B1025,[2]Time_S4!$B:$G,5,0))</f>
        <v>Khối 1 - TCT CNC</v>
      </c>
      <c r="Y1025" s="366"/>
      <c r="Z1025" s="366"/>
    </row>
    <row r="1026" spans="1:26" ht="15.75" hidden="1">
      <c r="A1026" s="367">
        <f>SUBTOTAL(3,$B$15:B1026)</f>
        <v>2</v>
      </c>
      <c r="B1026" s="382" t="s">
        <v>2346</v>
      </c>
      <c r="C1026" s="383" t="s">
        <v>2347</v>
      </c>
      <c r="D1026" s="384" t="s">
        <v>407</v>
      </c>
      <c r="E1026" s="385">
        <v>21</v>
      </c>
      <c r="F1026" s="384">
        <v>21</v>
      </c>
      <c r="G1026" s="358">
        <v>17802860</v>
      </c>
      <c r="H1026" s="359">
        <f t="shared" si="31"/>
        <v>16933124</v>
      </c>
      <c r="I1026" s="360"/>
      <c r="J1026" s="361"/>
      <c r="K1026" s="362"/>
      <c r="L1026" s="362"/>
      <c r="M1026" s="361">
        <v>662656</v>
      </c>
      <c r="N1026" s="361">
        <v>1449560</v>
      </c>
      <c r="O1026" s="361">
        <v>124248</v>
      </c>
      <c r="P1026" s="361">
        <v>248496</v>
      </c>
      <c r="Q1026" s="361">
        <v>82832</v>
      </c>
      <c r="R1026" s="361">
        <v>82832</v>
      </c>
      <c r="S1026" s="361">
        <v>165664</v>
      </c>
      <c r="T1026" s="386">
        <v>930000</v>
      </c>
      <c r="U1026" s="364">
        <f t="shared" si="32"/>
        <v>20679412</v>
      </c>
      <c r="W1026" s="365" t="str">
        <f>+VLOOKUP($B1026,[2]Time_S4!$B:$G,6,0)</f>
        <v>Trung tâm Rada</v>
      </c>
      <c r="X1026" s="365" t="str">
        <f>IF(W1026="Phòng Kinh doanh","Trung tâm Kinh doanh - TCT CNC",+VLOOKUP($B1026,[2]Time_S4!$B:$G,5,0))</f>
        <v>Khối 1 - TCT CNC</v>
      </c>
      <c r="Y1026" s="366"/>
      <c r="Z1026" s="366"/>
    </row>
    <row r="1027" spans="1:26" ht="15.75" hidden="1">
      <c r="A1027" s="367">
        <f>SUBTOTAL(3,$B$15:B1027)</f>
        <v>2</v>
      </c>
      <c r="B1027" s="382" t="s">
        <v>2348</v>
      </c>
      <c r="C1027" s="383" t="s">
        <v>2349</v>
      </c>
      <c r="D1027" s="384" t="s">
        <v>407</v>
      </c>
      <c r="E1027" s="385">
        <v>21</v>
      </c>
      <c r="F1027" s="384">
        <v>21</v>
      </c>
      <c r="G1027" s="358">
        <v>16029540</v>
      </c>
      <c r="H1027" s="359">
        <f t="shared" si="31"/>
        <v>15201468</v>
      </c>
      <c r="I1027" s="360"/>
      <c r="J1027" s="361"/>
      <c r="K1027" s="362"/>
      <c r="L1027" s="362"/>
      <c r="M1027" s="361">
        <v>630912</v>
      </c>
      <c r="N1027" s="361">
        <v>1380120</v>
      </c>
      <c r="O1027" s="361">
        <v>118296</v>
      </c>
      <c r="P1027" s="361">
        <v>236592</v>
      </c>
      <c r="Q1027" s="361">
        <v>78864</v>
      </c>
      <c r="R1027" s="361">
        <v>78864</v>
      </c>
      <c r="S1027" s="361">
        <v>157728</v>
      </c>
      <c r="T1027" s="386">
        <v>930000</v>
      </c>
      <c r="U1027" s="364">
        <f t="shared" si="32"/>
        <v>18812844</v>
      </c>
      <c r="W1027" s="365" t="str">
        <f>+VLOOKUP($B1027,[2]Time_S4!$B:$G,6,0)</f>
        <v>Trung tâm Nghiên cứu Công nghệ truyền dẫn</v>
      </c>
      <c r="X1027" s="365" t="str">
        <f>IF(W1027="Phòng Kinh doanh","Trung tâm Kinh doanh - TCT CNC",+VLOOKUP($B1027,[2]Time_S4!$B:$G,5,0))</f>
        <v>Khối 2 - TCT CNC</v>
      </c>
      <c r="Y1027" s="366"/>
      <c r="Z1027" s="366"/>
    </row>
    <row r="1028" spans="1:26" ht="15.75" hidden="1">
      <c r="A1028" s="367">
        <f>SUBTOTAL(3,$B$15:B1028)</f>
        <v>2</v>
      </c>
      <c r="B1028" s="382" t="s">
        <v>2350</v>
      </c>
      <c r="C1028" s="383" t="s">
        <v>2351</v>
      </c>
      <c r="D1028" s="384" t="s">
        <v>407</v>
      </c>
      <c r="E1028" s="385">
        <v>21</v>
      </c>
      <c r="F1028" s="384">
        <v>21</v>
      </c>
      <c r="G1028" s="358">
        <v>14433380</v>
      </c>
      <c r="H1028" s="359">
        <f t="shared" si="31"/>
        <v>13646972</v>
      </c>
      <c r="I1028" s="360"/>
      <c r="J1028" s="361"/>
      <c r="K1028" s="362"/>
      <c r="L1028" s="362"/>
      <c r="M1028" s="361">
        <v>599168</v>
      </c>
      <c r="N1028" s="361">
        <v>1310680</v>
      </c>
      <c r="O1028" s="361">
        <v>112344</v>
      </c>
      <c r="P1028" s="361">
        <v>224688</v>
      </c>
      <c r="Q1028" s="361">
        <v>74896</v>
      </c>
      <c r="R1028" s="361">
        <v>74896</v>
      </c>
      <c r="S1028" s="361">
        <v>149792</v>
      </c>
      <c r="T1028" s="386">
        <v>930000</v>
      </c>
      <c r="U1028" s="364">
        <f t="shared" si="32"/>
        <v>17123436</v>
      </c>
      <c r="W1028" s="365" t="str">
        <f>+VLOOKUP($B1028,[2]Time_S4!$B:$G,6,0)</f>
        <v>Trung tâm Công nghệ Cơ khí - Tự động hóa</v>
      </c>
      <c r="X1028" s="365" t="str">
        <f>IF(W1028="Phòng Kinh doanh","Trung tâm Kinh doanh - TCT CNC",+VLOOKUP($B1028,[2]Time_S4!$B:$G,5,0))</f>
        <v>Khối 1 - TCT CNC</v>
      </c>
      <c r="Y1028" s="366"/>
      <c r="Z1028" s="366"/>
    </row>
    <row r="1029" spans="1:26" ht="15.75" hidden="1">
      <c r="A1029" s="367">
        <f>SUBTOTAL(3,$B$15:B1029)</f>
        <v>2</v>
      </c>
      <c r="B1029" s="382" t="s">
        <v>2352</v>
      </c>
      <c r="C1029" s="383" t="s">
        <v>2353</v>
      </c>
      <c r="D1029" s="384" t="s">
        <v>407</v>
      </c>
      <c r="E1029" s="385">
        <v>21</v>
      </c>
      <c r="F1029" s="384">
        <v>21</v>
      </c>
      <c r="G1029" s="358">
        <v>13017820</v>
      </c>
      <c r="H1029" s="359">
        <f t="shared" si="31"/>
        <v>12231412</v>
      </c>
      <c r="I1029" s="360"/>
      <c r="J1029" s="361"/>
      <c r="K1029" s="362"/>
      <c r="L1029" s="362"/>
      <c r="M1029" s="361">
        <v>599168</v>
      </c>
      <c r="N1029" s="361">
        <v>1310680</v>
      </c>
      <c r="O1029" s="361">
        <v>112344</v>
      </c>
      <c r="P1029" s="361">
        <v>224688</v>
      </c>
      <c r="Q1029" s="361">
        <v>74896</v>
      </c>
      <c r="R1029" s="361">
        <v>74896</v>
      </c>
      <c r="S1029" s="361">
        <v>149792</v>
      </c>
      <c r="T1029" s="386">
        <v>930000</v>
      </c>
      <c r="U1029" s="364">
        <f t="shared" si="32"/>
        <v>15707876</v>
      </c>
      <c r="W1029" s="365" t="str">
        <f>+VLOOKUP($B1029,[2]Time_S4!$B:$G,6,0)</f>
        <v>Trung tâm Nền tảng IOT</v>
      </c>
      <c r="X1029" s="365" t="str">
        <f>IF(W1029="Phòng Kinh doanh","Trung tâm Kinh doanh - TCT CNC",+VLOOKUP($B1029,[2]Time_S4!$B:$G,5,0))</f>
        <v>Khối 3 - TCT CNC</v>
      </c>
      <c r="Y1029" s="366"/>
      <c r="Z1029" s="366"/>
    </row>
    <row r="1030" spans="1:26" ht="15.75" hidden="1">
      <c r="A1030" s="367">
        <f>SUBTOTAL(3,$B$15:B1030)</f>
        <v>2</v>
      </c>
      <c r="B1030" s="382" t="s">
        <v>2354</v>
      </c>
      <c r="C1030" s="383" t="s">
        <v>2355</v>
      </c>
      <c r="D1030" s="384" t="s">
        <v>407</v>
      </c>
      <c r="E1030" s="385">
        <v>21</v>
      </c>
      <c r="F1030" s="384">
        <v>21</v>
      </c>
      <c r="G1030" s="358">
        <v>14009400</v>
      </c>
      <c r="H1030" s="359">
        <f t="shared" si="31"/>
        <v>13222992</v>
      </c>
      <c r="I1030" s="360"/>
      <c r="J1030" s="361"/>
      <c r="K1030" s="362"/>
      <c r="L1030" s="362"/>
      <c r="M1030" s="361">
        <v>599168</v>
      </c>
      <c r="N1030" s="361">
        <v>1310680</v>
      </c>
      <c r="O1030" s="361">
        <v>112344</v>
      </c>
      <c r="P1030" s="361">
        <v>224688</v>
      </c>
      <c r="Q1030" s="361">
        <v>74896</v>
      </c>
      <c r="R1030" s="361">
        <v>74896</v>
      </c>
      <c r="S1030" s="361">
        <v>149792</v>
      </c>
      <c r="T1030" s="386">
        <v>930000</v>
      </c>
      <c r="U1030" s="364">
        <f t="shared" si="32"/>
        <v>16699456</v>
      </c>
      <c r="W1030" s="365" t="str">
        <f>+VLOOKUP($B1030,[2]Time_S4!$B:$G,6,0)</f>
        <v>Trung tâm Nền tảng IOT</v>
      </c>
      <c r="X1030" s="365" t="str">
        <f>IF(W1030="Phòng Kinh doanh","Trung tâm Kinh doanh - TCT CNC",+VLOOKUP($B1030,[2]Time_S4!$B:$G,5,0))</f>
        <v>Khối 3 - TCT CNC</v>
      </c>
      <c r="Y1030" s="366"/>
      <c r="Z1030" s="366"/>
    </row>
    <row r="1031" spans="1:26" ht="15.75" hidden="1">
      <c r="A1031" s="367">
        <f>SUBTOTAL(3,$B$15:B1031)</f>
        <v>2</v>
      </c>
      <c r="B1031" s="382" t="s">
        <v>2356</v>
      </c>
      <c r="C1031" s="383" t="s">
        <v>2357</v>
      </c>
      <c r="D1031" s="384" t="s">
        <v>407</v>
      </c>
      <c r="E1031" s="385">
        <v>21</v>
      </c>
      <c r="F1031" s="384">
        <v>21</v>
      </c>
      <c r="G1031" s="358">
        <v>26278980</v>
      </c>
      <c r="H1031" s="359">
        <f t="shared" si="31"/>
        <v>25315500</v>
      </c>
      <c r="I1031" s="360"/>
      <c r="J1031" s="361"/>
      <c r="K1031" s="362"/>
      <c r="L1031" s="362"/>
      <c r="M1031" s="361">
        <v>734080</v>
      </c>
      <c r="N1031" s="361">
        <v>1605800</v>
      </c>
      <c r="O1031" s="361">
        <v>137640</v>
      </c>
      <c r="P1031" s="361">
        <v>275280</v>
      </c>
      <c r="Q1031" s="361">
        <v>91760</v>
      </c>
      <c r="R1031" s="361">
        <v>91760</v>
      </c>
      <c r="S1031" s="361">
        <v>183520</v>
      </c>
      <c r="T1031" s="386">
        <v>930000</v>
      </c>
      <c r="U1031" s="364">
        <f t="shared" si="32"/>
        <v>29365340</v>
      </c>
      <c r="W1031" s="365" t="str">
        <f>+VLOOKUP($B1031,[2]Time_S4!$B:$G,6,0)</f>
        <v>Trung tâm Phát triển nền tảng thanh toán</v>
      </c>
      <c r="X1031" s="365" t="str">
        <f>IF(W1031="Phòng Kinh doanh","Trung tâm Kinh doanh - TCT CNC",+VLOOKUP($B1031,[2]Time_S4!$B:$G,5,0))</f>
        <v>Khối 2 - TCT CNC</v>
      </c>
      <c r="Y1031" s="366"/>
      <c r="Z1031" s="366"/>
    </row>
    <row r="1032" spans="1:26" ht="15.75" hidden="1">
      <c r="A1032" s="367">
        <f>SUBTOTAL(3,$B$15:B1032)</f>
        <v>2</v>
      </c>
      <c r="B1032" s="382" t="s">
        <v>2358</v>
      </c>
      <c r="C1032" s="383" t="s">
        <v>2359</v>
      </c>
      <c r="D1032" s="384" t="s">
        <v>407</v>
      </c>
      <c r="E1032" s="385">
        <v>21</v>
      </c>
      <c r="F1032" s="384">
        <v>21</v>
      </c>
      <c r="G1032" s="358">
        <v>12223180</v>
      </c>
      <c r="H1032" s="359">
        <f t="shared" si="31"/>
        <v>11478436</v>
      </c>
      <c r="I1032" s="360"/>
      <c r="J1032" s="361"/>
      <c r="K1032" s="362"/>
      <c r="L1032" s="362"/>
      <c r="M1032" s="361">
        <v>567424</v>
      </c>
      <c r="N1032" s="361">
        <v>1241240</v>
      </c>
      <c r="O1032" s="361">
        <v>106392</v>
      </c>
      <c r="P1032" s="361">
        <v>212784</v>
      </c>
      <c r="Q1032" s="361">
        <v>70928</v>
      </c>
      <c r="R1032" s="361">
        <v>70928</v>
      </c>
      <c r="S1032" s="361">
        <v>141856</v>
      </c>
      <c r="T1032" s="386">
        <v>930000</v>
      </c>
      <c r="U1032" s="364">
        <f t="shared" si="32"/>
        <v>14819988</v>
      </c>
      <c r="W1032" s="365" t="str">
        <f>+VLOOKUP($B1032,[2]Time_S4!$B:$G,6,0)</f>
        <v>Trung tâm Công nghệ Cơ khí - Tự động hóa</v>
      </c>
      <c r="X1032" s="365" t="str">
        <f>IF(W1032="Phòng Kinh doanh","Trung tâm Kinh doanh - TCT CNC",+VLOOKUP($B1032,[2]Time_S4!$B:$G,5,0))</f>
        <v>Khối 1 - TCT CNC</v>
      </c>
      <c r="Y1032" s="366"/>
      <c r="Z1032" s="366"/>
    </row>
    <row r="1033" spans="1:26" ht="15.75" hidden="1">
      <c r="A1033" s="367">
        <f>SUBTOTAL(3,$B$15:B1033)</f>
        <v>2</v>
      </c>
      <c r="B1033" s="382" t="s">
        <v>2360</v>
      </c>
      <c r="C1033" s="383" t="s">
        <v>2361</v>
      </c>
      <c r="D1033" s="384" t="s">
        <v>407</v>
      </c>
      <c r="E1033" s="385">
        <v>21</v>
      </c>
      <c r="F1033" s="384">
        <v>21</v>
      </c>
      <c r="G1033" s="358">
        <v>18959560</v>
      </c>
      <c r="H1033" s="359">
        <f t="shared" si="31"/>
        <v>18042952</v>
      </c>
      <c r="I1033" s="360"/>
      <c r="J1033" s="361"/>
      <c r="K1033" s="362"/>
      <c r="L1033" s="362"/>
      <c r="M1033" s="361">
        <v>698368</v>
      </c>
      <c r="N1033" s="361">
        <v>1527680</v>
      </c>
      <c r="O1033" s="361">
        <v>130944</v>
      </c>
      <c r="P1033" s="361">
        <v>261888</v>
      </c>
      <c r="Q1033" s="361">
        <v>87296</v>
      </c>
      <c r="R1033" s="361">
        <v>87296</v>
      </c>
      <c r="S1033" s="361">
        <v>174592</v>
      </c>
      <c r="T1033" s="386">
        <v>930000</v>
      </c>
      <c r="U1033" s="364">
        <f t="shared" si="32"/>
        <v>21941016</v>
      </c>
      <c r="W1033" s="365" t="str">
        <f>+VLOOKUP($B1033,[2]Time_S4!$B:$G,6,0)</f>
        <v>Trung tâm Nghiên cứu Công nghệ chuyển mạch</v>
      </c>
      <c r="X1033" s="365" t="str">
        <f>IF(W1033="Phòng Kinh doanh","Trung tâm Kinh doanh - TCT CNC",+VLOOKUP($B1033,[2]Time_S4!$B:$G,5,0))</f>
        <v>Khối 2 - TCT CNC</v>
      </c>
      <c r="Y1033" s="366"/>
      <c r="Z1033" s="366"/>
    </row>
    <row r="1034" spans="1:26" ht="15.75" hidden="1">
      <c r="A1034" s="367">
        <f>SUBTOTAL(3,$B$15:B1034)</f>
        <v>2</v>
      </c>
      <c r="B1034" s="382" t="s">
        <v>2362</v>
      </c>
      <c r="C1034" s="383" t="s">
        <v>2363</v>
      </c>
      <c r="D1034" s="384" t="s">
        <v>407</v>
      </c>
      <c r="E1034" s="385">
        <v>21</v>
      </c>
      <c r="F1034" s="384">
        <v>21</v>
      </c>
      <c r="G1034" s="358">
        <v>17696720</v>
      </c>
      <c r="H1034" s="359">
        <f t="shared" si="31"/>
        <v>16868648</v>
      </c>
      <c r="I1034" s="360"/>
      <c r="J1034" s="361"/>
      <c r="K1034" s="362"/>
      <c r="L1034" s="385"/>
      <c r="M1034" s="361">
        <v>630912</v>
      </c>
      <c r="N1034" s="361">
        <v>1380120</v>
      </c>
      <c r="O1034" s="361">
        <v>118296</v>
      </c>
      <c r="P1034" s="361">
        <v>236592</v>
      </c>
      <c r="Q1034" s="361">
        <v>78864</v>
      </c>
      <c r="R1034" s="361">
        <v>78864</v>
      </c>
      <c r="S1034" s="361">
        <v>157728</v>
      </c>
      <c r="T1034" s="386">
        <v>930000</v>
      </c>
      <c r="U1034" s="364">
        <f t="shared" si="32"/>
        <v>20480024</v>
      </c>
      <c r="W1034" s="365" t="str">
        <f>+VLOOKUP($B1034,[2]Time_S4!$B:$G,6,0)</f>
        <v>Trung tâm Công nghệ Cơ khí - Tự động hóa</v>
      </c>
      <c r="X1034" s="365" t="str">
        <f>IF(W1034="Phòng Kinh doanh","Trung tâm Kinh doanh - TCT CNC",+VLOOKUP($B1034,[2]Time_S4!$B:$G,5,0))</f>
        <v>Khối 1 - TCT CNC</v>
      </c>
      <c r="Y1034" s="366"/>
      <c r="Z1034" s="366"/>
    </row>
    <row r="1035" spans="1:26" ht="15.75" hidden="1">
      <c r="A1035" s="367">
        <f>SUBTOTAL(3,$B$15:B1035)</f>
        <v>2</v>
      </c>
      <c r="B1035" s="382" t="s">
        <v>2364</v>
      </c>
      <c r="C1035" s="383" t="s">
        <v>2365</v>
      </c>
      <c r="D1035" s="384" t="s">
        <v>407</v>
      </c>
      <c r="E1035" s="385">
        <v>21</v>
      </c>
      <c r="F1035" s="384">
        <v>21</v>
      </c>
      <c r="G1035" s="358">
        <v>22338500</v>
      </c>
      <c r="H1035" s="359">
        <f t="shared" si="31"/>
        <v>21375020</v>
      </c>
      <c r="I1035" s="360"/>
      <c r="J1035" s="361"/>
      <c r="K1035" s="362"/>
      <c r="L1035" s="362"/>
      <c r="M1035" s="361">
        <v>734080</v>
      </c>
      <c r="N1035" s="361">
        <v>1605800</v>
      </c>
      <c r="O1035" s="361">
        <v>137640</v>
      </c>
      <c r="P1035" s="361">
        <v>275280</v>
      </c>
      <c r="Q1035" s="361">
        <v>91760</v>
      </c>
      <c r="R1035" s="361">
        <v>91760</v>
      </c>
      <c r="S1035" s="361">
        <v>183520</v>
      </c>
      <c r="T1035" s="386">
        <v>1147000</v>
      </c>
      <c r="U1035" s="364">
        <f t="shared" si="32"/>
        <v>25641860</v>
      </c>
      <c r="W1035" s="365" t="str">
        <f>+VLOOKUP($B1035,[2]Time_S4!$B:$G,6,0)</f>
        <v>Trung tâm sản xuất</v>
      </c>
      <c r="X1035" s="365" t="str">
        <f>IF(W1035="Phòng Kinh doanh","Trung tâm Kinh doanh - TCT CNC",+VLOOKUP($B1035,[2]Time_S4!$B:$G,5,0))</f>
        <v>Khối 1 - TCT CNC</v>
      </c>
      <c r="Y1035" s="366"/>
      <c r="Z1035" s="366"/>
    </row>
    <row r="1036" spans="1:26" ht="15.75" hidden="1">
      <c r="A1036" s="367">
        <f>SUBTOTAL(3,$B$15:B1036)</f>
        <v>2</v>
      </c>
      <c r="B1036" s="382" t="s">
        <v>2366</v>
      </c>
      <c r="C1036" s="383" t="s">
        <v>2367</v>
      </c>
      <c r="D1036" s="384" t="s">
        <v>407</v>
      </c>
      <c r="E1036" s="385">
        <v>21</v>
      </c>
      <c r="F1036" s="384">
        <v>21</v>
      </c>
      <c r="G1036" s="358">
        <v>16370100</v>
      </c>
      <c r="H1036" s="359">
        <f t="shared" si="31"/>
        <v>15542028</v>
      </c>
      <c r="I1036" s="360"/>
      <c r="J1036" s="361"/>
      <c r="K1036" s="362"/>
      <c r="L1036" s="362"/>
      <c r="M1036" s="361">
        <v>630912</v>
      </c>
      <c r="N1036" s="361">
        <v>1380120</v>
      </c>
      <c r="O1036" s="361">
        <v>118296</v>
      </c>
      <c r="P1036" s="361">
        <v>236592</v>
      </c>
      <c r="Q1036" s="361">
        <v>78864</v>
      </c>
      <c r="R1036" s="361">
        <v>78864</v>
      </c>
      <c r="S1036" s="361">
        <v>157728</v>
      </c>
      <c r="T1036" s="386">
        <v>930000</v>
      </c>
      <c r="U1036" s="364">
        <f t="shared" si="32"/>
        <v>19153404</v>
      </c>
      <c r="W1036" s="365" t="str">
        <f>+VLOOKUP($B1036,[2]Time_S4!$B:$G,6,0)</f>
        <v>Trung tâm Nghiên cứu Công nghệ truyền dẫn</v>
      </c>
      <c r="X1036" s="365" t="str">
        <f>IF(W1036="Phòng Kinh doanh","Trung tâm Kinh doanh - TCT CNC",+VLOOKUP($B1036,[2]Time_S4!$B:$G,5,0))</f>
        <v>Khối 2 - TCT CNC</v>
      </c>
      <c r="Y1036" s="366"/>
      <c r="Z1036" s="366"/>
    </row>
    <row r="1037" spans="1:26" ht="15.75" hidden="1">
      <c r="A1037" s="367">
        <f>SUBTOTAL(3,$B$15:B1037)</f>
        <v>2</v>
      </c>
      <c r="B1037" s="382" t="s">
        <v>2368</v>
      </c>
      <c r="C1037" s="383" t="s">
        <v>2369</v>
      </c>
      <c r="D1037" s="384" t="s">
        <v>407</v>
      </c>
      <c r="E1037" s="385">
        <v>21</v>
      </c>
      <c r="F1037" s="384">
        <v>21</v>
      </c>
      <c r="G1037" s="358">
        <v>16370100</v>
      </c>
      <c r="H1037" s="359">
        <f t="shared" si="31"/>
        <v>15542028</v>
      </c>
      <c r="I1037" s="360"/>
      <c r="J1037" s="361"/>
      <c r="K1037" s="362"/>
      <c r="L1037" s="362"/>
      <c r="M1037" s="361">
        <v>630912</v>
      </c>
      <c r="N1037" s="361">
        <v>1380120</v>
      </c>
      <c r="O1037" s="361">
        <v>118296</v>
      </c>
      <c r="P1037" s="361">
        <v>236592</v>
      </c>
      <c r="Q1037" s="361">
        <v>78864</v>
      </c>
      <c r="R1037" s="361">
        <v>78864</v>
      </c>
      <c r="S1037" s="361">
        <v>157728</v>
      </c>
      <c r="T1037" s="386">
        <v>930000</v>
      </c>
      <c r="U1037" s="364">
        <f t="shared" si="32"/>
        <v>19153404</v>
      </c>
      <c r="W1037" s="365" t="str">
        <f>+VLOOKUP($B1037,[2]Time_S4!$B:$G,6,0)</f>
        <v>Trung tâm Nghiên cứu Công nghệ truyền dẫn</v>
      </c>
      <c r="X1037" s="365" t="str">
        <f>IF(W1037="Phòng Kinh doanh","Trung tâm Kinh doanh - TCT CNC",+VLOOKUP($B1037,[2]Time_S4!$B:$G,5,0))</f>
        <v>Khối 2 - TCT CNC</v>
      </c>
      <c r="Y1037" s="366"/>
      <c r="Z1037" s="366"/>
    </row>
    <row r="1038" spans="1:26" ht="15.75" hidden="1">
      <c r="A1038" s="367">
        <f>SUBTOTAL(3,$B$15:B1038)</f>
        <v>2</v>
      </c>
      <c r="B1038" s="382" t="s">
        <v>2370</v>
      </c>
      <c r="C1038" s="383" t="s">
        <v>2371</v>
      </c>
      <c r="D1038" s="384" t="s">
        <v>407</v>
      </c>
      <c r="E1038" s="385">
        <v>21</v>
      </c>
      <c r="F1038" s="384">
        <v>21</v>
      </c>
      <c r="G1038" s="358">
        <v>39347580</v>
      </c>
      <c r="H1038" s="359">
        <f t="shared" si="31"/>
        <v>38165364</v>
      </c>
      <c r="I1038" s="360"/>
      <c r="J1038" s="361"/>
      <c r="K1038" s="362"/>
      <c r="L1038" s="362"/>
      <c r="M1038" s="361">
        <v>900736</v>
      </c>
      <c r="N1038" s="361">
        <v>1970360</v>
      </c>
      <c r="O1038" s="361">
        <v>168888</v>
      </c>
      <c r="P1038" s="361">
        <v>337776</v>
      </c>
      <c r="Q1038" s="361">
        <v>112592</v>
      </c>
      <c r="R1038" s="361">
        <v>112592</v>
      </c>
      <c r="S1038" s="361">
        <v>225184</v>
      </c>
      <c r="T1038" s="386">
        <v>1147000</v>
      </c>
      <c r="U1038" s="364">
        <f t="shared" si="32"/>
        <v>43140492</v>
      </c>
      <c r="W1038" s="365" t="str">
        <f>+VLOOKUP($B1038,[2]Time_S4!$B:$G,6,0)</f>
        <v>Trung tâm Chỉ huy điều khiển</v>
      </c>
      <c r="X1038" s="365" t="str">
        <f>IF(W1038="Phòng Kinh doanh","Trung tâm Kinh doanh - TCT CNC",+VLOOKUP($B1038,[2]Time_S4!$B:$G,5,0))</f>
        <v>Khối 1 - TCT CNC</v>
      </c>
      <c r="Y1038" s="366"/>
      <c r="Z1038" s="366"/>
    </row>
    <row r="1039" spans="1:26" ht="15.75" hidden="1">
      <c r="A1039" s="367">
        <f>SUBTOTAL(3,$B$15:B1039)</f>
        <v>2</v>
      </c>
      <c r="B1039" s="382" t="s">
        <v>344</v>
      </c>
      <c r="C1039" s="383" t="s">
        <v>345</v>
      </c>
      <c r="D1039" s="384" t="s">
        <v>407</v>
      </c>
      <c r="E1039" s="385">
        <v>21</v>
      </c>
      <c r="F1039" s="384">
        <v>21</v>
      </c>
      <c r="G1039" s="358">
        <v>16029540</v>
      </c>
      <c r="H1039" s="359">
        <f t="shared" si="31"/>
        <v>15201468</v>
      </c>
      <c r="I1039" s="360"/>
      <c r="J1039" s="361"/>
      <c r="K1039" s="362"/>
      <c r="L1039" s="362"/>
      <c r="M1039" s="361">
        <v>630912</v>
      </c>
      <c r="N1039" s="361">
        <v>1380120</v>
      </c>
      <c r="O1039" s="361">
        <v>118296</v>
      </c>
      <c r="P1039" s="361">
        <v>236592</v>
      </c>
      <c r="Q1039" s="361">
        <v>78864</v>
      </c>
      <c r="R1039" s="361">
        <v>78864</v>
      </c>
      <c r="S1039" s="361">
        <v>157728</v>
      </c>
      <c r="T1039" s="386">
        <v>930000</v>
      </c>
      <c r="U1039" s="364">
        <f t="shared" si="32"/>
        <v>18812844</v>
      </c>
      <c r="W1039" s="365" t="str">
        <f>+VLOOKUP($B1039,[2]Time_S4!$B:$G,6,0)</f>
        <v>Trung tâm Mô hình mô phỏng</v>
      </c>
      <c r="X1039" s="365" t="str">
        <f>IF(W1039="Phòng Kinh doanh","Trung tâm Kinh doanh - TCT CNC",+VLOOKUP($B1039,[2]Time_S4!$B:$G,5,0))</f>
        <v>Khối 1 - TCT CNC</v>
      </c>
      <c r="Y1039" s="366"/>
      <c r="Z1039" s="366"/>
    </row>
    <row r="1040" spans="1:26" ht="15.75" hidden="1">
      <c r="A1040" s="367">
        <f>SUBTOTAL(3,$B$15:B1040)</f>
        <v>2</v>
      </c>
      <c r="B1040" s="382" t="s">
        <v>2372</v>
      </c>
      <c r="C1040" s="383" t="s">
        <v>2373</v>
      </c>
      <c r="D1040" s="384" t="s">
        <v>407</v>
      </c>
      <c r="E1040" s="385">
        <v>21</v>
      </c>
      <c r="F1040" s="384">
        <v>21</v>
      </c>
      <c r="G1040" s="358">
        <v>16029540</v>
      </c>
      <c r="H1040" s="359">
        <f t="shared" ref="H1040:H1103" si="33">+G1040-SUM(M1040,O1040,Q1040)</f>
        <v>15201468</v>
      </c>
      <c r="I1040" s="360"/>
      <c r="J1040" s="361"/>
      <c r="K1040" s="362"/>
      <c r="L1040" s="362"/>
      <c r="M1040" s="361">
        <v>630912</v>
      </c>
      <c r="N1040" s="361">
        <v>1380120</v>
      </c>
      <c r="O1040" s="361">
        <v>118296</v>
      </c>
      <c r="P1040" s="361">
        <v>236592</v>
      </c>
      <c r="Q1040" s="361">
        <v>78864</v>
      </c>
      <c r="R1040" s="361">
        <v>78864</v>
      </c>
      <c r="S1040" s="361">
        <v>157728</v>
      </c>
      <c r="T1040" s="386">
        <v>930000</v>
      </c>
      <c r="U1040" s="364">
        <f t="shared" ref="U1040:U1103" si="34">+SUM(H1040:T1040)</f>
        <v>18812844</v>
      </c>
      <c r="W1040" s="365" t="str">
        <f>+VLOOKUP($B1040,[2]Time_S4!$B:$G,6,0)</f>
        <v>Trung tâm Camera</v>
      </c>
      <c r="X1040" s="365" t="str">
        <f>IF(W1040="Phòng Kinh doanh","Trung tâm Kinh doanh - TCT CNC",+VLOOKUP($B1040,[2]Time_S4!$B:$G,5,0))</f>
        <v>Khối 3 - TCT CNC</v>
      </c>
      <c r="Y1040" s="366"/>
      <c r="Z1040" s="366"/>
    </row>
    <row r="1041" spans="1:26" ht="15.75" hidden="1">
      <c r="A1041" s="367">
        <f>SUBTOTAL(3,$B$15:B1041)</f>
        <v>2</v>
      </c>
      <c r="B1041" s="382" t="s">
        <v>2374</v>
      </c>
      <c r="C1041" s="383" t="s">
        <v>2375</v>
      </c>
      <c r="D1041" s="384" t="s">
        <v>407</v>
      </c>
      <c r="E1041" s="385">
        <v>21</v>
      </c>
      <c r="F1041" s="384">
        <v>21</v>
      </c>
      <c r="G1041" s="358">
        <v>16029540</v>
      </c>
      <c r="H1041" s="359">
        <f t="shared" si="33"/>
        <v>15201468</v>
      </c>
      <c r="I1041" s="360"/>
      <c r="J1041" s="361"/>
      <c r="K1041" s="362"/>
      <c r="L1041" s="362"/>
      <c r="M1041" s="361">
        <v>630912</v>
      </c>
      <c r="N1041" s="361">
        <v>1380120</v>
      </c>
      <c r="O1041" s="361">
        <v>118296</v>
      </c>
      <c r="P1041" s="361">
        <v>236592</v>
      </c>
      <c r="Q1041" s="361">
        <v>78864</v>
      </c>
      <c r="R1041" s="361">
        <v>78864</v>
      </c>
      <c r="S1041" s="361">
        <v>157728</v>
      </c>
      <c r="T1041" s="386">
        <v>930000</v>
      </c>
      <c r="U1041" s="364">
        <f t="shared" si="34"/>
        <v>18812844</v>
      </c>
      <c r="W1041" s="365" t="str">
        <f>+VLOOKUP($B1041,[2]Time_S4!$B:$G,6,0)</f>
        <v>Trung tâm Nghiên cứu Công nghệ truyền dẫn</v>
      </c>
      <c r="X1041" s="365" t="str">
        <f>IF(W1041="Phòng Kinh doanh","Trung tâm Kinh doanh - TCT CNC",+VLOOKUP($B1041,[2]Time_S4!$B:$G,5,0))</f>
        <v>Khối 2 - TCT CNC</v>
      </c>
      <c r="Y1041" s="366"/>
      <c r="Z1041" s="366"/>
    </row>
    <row r="1042" spans="1:26" ht="15.75" hidden="1">
      <c r="A1042" s="367">
        <f>SUBTOTAL(3,$B$15:B1042)</f>
        <v>2</v>
      </c>
      <c r="B1042" s="382" t="s">
        <v>2376</v>
      </c>
      <c r="C1042" s="383" t="s">
        <v>2377</v>
      </c>
      <c r="D1042" s="384" t="s">
        <v>407</v>
      </c>
      <c r="E1042" s="385">
        <v>21</v>
      </c>
      <c r="F1042" s="384">
        <v>21</v>
      </c>
      <c r="G1042" s="358">
        <v>14433380</v>
      </c>
      <c r="H1042" s="359">
        <f t="shared" si="33"/>
        <v>13646972</v>
      </c>
      <c r="I1042" s="360"/>
      <c r="J1042" s="361"/>
      <c r="K1042" s="362"/>
      <c r="L1042" s="362"/>
      <c r="M1042" s="361">
        <v>599168</v>
      </c>
      <c r="N1042" s="361">
        <v>1310680</v>
      </c>
      <c r="O1042" s="361">
        <v>112344</v>
      </c>
      <c r="P1042" s="361">
        <v>224688</v>
      </c>
      <c r="Q1042" s="361">
        <v>74896</v>
      </c>
      <c r="R1042" s="361">
        <v>74896</v>
      </c>
      <c r="S1042" s="361">
        <v>149792</v>
      </c>
      <c r="T1042" s="386">
        <v>1047000</v>
      </c>
      <c r="U1042" s="364">
        <f t="shared" si="34"/>
        <v>17240436</v>
      </c>
      <c r="W1042" s="365" t="str">
        <f>+VLOOKUP($B1042,[2]Time_S4!$B:$G,6,0)</f>
        <v>Trung tâm Nghiên cứu Công nghệ truyền dẫn</v>
      </c>
      <c r="X1042" s="365" t="str">
        <f>IF(W1042="Phòng Kinh doanh","Trung tâm Kinh doanh - TCT CNC",+VLOOKUP($B1042,[2]Time_S4!$B:$G,5,0))</f>
        <v>Khối 2 - TCT CNC</v>
      </c>
      <c r="Y1042" s="366"/>
      <c r="Z1042" s="366"/>
    </row>
    <row r="1043" spans="1:26" ht="15.75" hidden="1">
      <c r="A1043" s="367">
        <f>SUBTOTAL(3,$B$15:B1043)</f>
        <v>2</v>
      </c>
      <c r="B1043" s="382" t="s">
        <v>2378</v>
      </c>
      <c r="C1043" s="383" t="s">
        <v>2379</v>
      </c>
      <c r="D1043" s="384" t="s">
        <v>407</v>
      </c>
      <c r="E1043" s="385">
        <v>21</v>
      </c>
      <c r="F1043" s="384">
        <v>21</v>
      </c>
      <c r="G1043" s="358">
        <v>15696720</v>
      </c>
      <c r="H1043" s="359">
        <f t="shared" si="33"/>
        <v>14868648</v>
      </c>
      <c r="I1043" s="360"/>
      <c r="J1043" s="361"/>
      <c r="K1043" s="362"/>
      <c r="L1043" s="362"/>
      <c r="M1043" s="361">
        <v>630912</v>
      </c>
      <c r="N1043" s="361">
        <v>1380120</v>
      </c>
      <c r="O1043" s="361">
        <v>118296</v>
      </c>
      <c r="P1043" s="361">
        <v>236592</v>
      </c>
      <c r="Q1043" s="361">
        <v>78864</v>
      </c>
      <c r="R1043" s="361">
        <v>78864</v>
      </c>
      <c r="S1043" s="361">
        <v>157728</v>
      </c>
      <c r="T1043" s="386">
        <v>930000</v>
      </c>
      <c r="U1043" s="364">
        <f t="shared" si="34"/>
        <v>18480024</v>
      </c>
      <c r="W1043" s="365" t="str">
        <f>+VLOOKUP($B1043,[2]Time_S4!$B:$G,6,0)</f>
        <v>Trung tâm Nghiên cứu Công nghệ chuyển mạch</v>
      </c>
      <c r="X1043" s="365" t="str">
        <f>IF(W1043="Phòng Kinh doanh","Trung tâm Kinh doanh - TCT CNC",+VLOOKUP($B1043,[2]Time_S4!$B:$G,5,0))</f>
        <v>Khối 2 - TCT CNC</v>
      </c>
      <c r="Y1043" s="366"/>
      <c r="Z1043" s="366"/>
    </row>
    <row r="1044" spans="1:26" ht="15.75" hidden="1">
      <c r="A1044" s="367">
        <f>SUBTOTAL(3,$B$15:B1044)</f>
        <v>2</v>
      </c>
      <c r="B1044" s="382" t="s">
        <v>2380</v>
      </c>
      <c r="C1044" s="383" t="s">
        <v>2381</v>
      </c>
      <c r="D1044" s="384" t="s">
        <v>407</v>
      </c>
      <c r="E1044" s="385">
        <v>21</v>
      </c>
      <c r="F1044" s="384">
        <v>21</v>
      </c>
      <c r="G1044" s="358">
        <v>15370780</v>
      </c>
      <c r="H1044" s="359">
        <f t="shared" si="33"/>
        <v>14542708</v>
      </c>
      <c r="I1044" s="360"/>
      <c r="J1044" s="361"/>
      <c r="K1044" s="362"/>
      <c r="L1044" s="362"/>
      <c r="M1044" s="361">
        <v>630912</v>
      </c>
      <c r="N1044" s="361">
        <v>1380120</v>
      </c>
      <c r="O1044" s="361">
        <v>118296</v>
      </c>
      <c r="P1044" s="361">
        <v>236592</v>
      </c>
      <c r="Q1044" s="361">
        <v>78864</v>
      </c>
      <c r="R1044" s="361">
        <v>78864</v>
      </c>
      <c r="S1044" s="361">
        <v>157728</v>
      </c>
      <c r="T1044" s="386">
        <v>930000</v>
      </c>
      <c r="U1044" s="364">
        <f t="shared" si="34"/>
        <v>18154084</v>
      </c>
      <c r="W1044" s="365" t="str">
        <f>+VLOOKUP($B1044,[2]Time_S4!$B:$G,6,0)</f>
        <v>Trung tâm Công nghệ Cơ khí - Tự động hóa</v>
      </c>
      <c r="X1044" s="365" t="str">
        <f>IF(W1044="Phòng Kinh doanh","Trung tâm Kinh doanh - TCT CNC",+VLOOKUP($B1044,[2]Time_S4!$B:$G,5,0))</f>
        <v>Khối 1 - TCT CNC</v>
      </c>
      <c r="Y1044" s="366"/>
      <c r="Z1044" s="366"/>
    </row>
    <row r="1045" spans="1:26" ht="15.75" hidden="1">
      <c r="A1045" s="367">
        <f>SUBTOTAL(3,$B$15:B1045)</f>
        <v>2</v>
      </c>
      <c r="B1045" s="382" t="s">
        <v>2382</v>
      </c>
      <c r="C1045" s="383" t="s">
        <v>2383</v>
      </c>
      <c r="D1045" s="384" t="s">
        <v>407</v>
      </c>
      <c r="E1045" s="385">
        <v>21</v>
      </c>
      <c r="F1045" s="384">
        <v>21</v>
      </c>
      <c r="G1045" s="358">
        <v>16029540</v>
      </c>
      <c r="H1045" s="359">
        <f t="shared" si="33"/>
        <v>15201468</v>
      </c>
      <c r="I1045" s="360"/>
      <c r="J1045" s="361"/>
      <c r="K1045" s="362"/>
      <c r="L1045" s="362"/>
      <c r="M1045" s="361">
        <v>630912</v>
      </c>
      <c r="N1045" s="361">
        <v>1380120</v>
      </c>
      <c r="O1045" s="361">
        <v>118296</v>
      </c>
      <c r="P1045" s="361">
        <v>236592</v>
      </c>
      <c r="Q1045" s="361">
        <v>78864</v>
      </c>
      <c r="R1045" s="361">
        <v>78864</v>
      </c>
      <c r="S1045" s="361">
        <v>157728</v>
      </c>
      <c r="T1045" s="386">
        <v>930000</v>
      </c>
      <c r="U1045" s="364">
        <f t="shared" si="34"/>
        <v>18812844</v>
      </c>
      <c r="W1045" s="365" t="str">
        <f>+VLOOKUP($B1045,[2]Time_S4!$B:$G,6,0)</f>
        <v>Trung tâm Rada</v>
      </c>
      <c r="X1045" s="365" t="str">
        <f>IF(W1045="Phòng Kinh doanh","Trung tâm Kinh doanh - TCT CNC",+VLOOKUP($B1045,[2]Time_S4!$B:$G,5,0))</f>
        <v>Khối 1 - TCT CNC</v>
      </c>
      <c r="Y1045" s="366"/>
      <c r="Z1045" s="366"/>
    </row>
    <row r="1046" spans="1:26" ht="15.75" hidden="1">
      <c r="A1046" s="367">
        <f>SUBTOTAL(3,$B$15:B1046)</f>
        <v>2</v>
      </c>
      <c r="B1046" s="382" t="s">
        <v>2384</v>
      </c>
      <c r="C1046" s="383" t="s">
        <v>2385</v>
      </c>
      <c r="D1046" s="384" t="s">
        <v>407</v>
      </c>
      <c r="E1046" s="385">
        <v>21</v>
      </c>
      <c r="F1046" s="384">
        <v>21</v>
      </c>
      <c r="G1046" s="358">
        <v>15051720</v>
      </c>
      <c r="H1046" s="359">
        <f t="shared" si="33"/>
        <v>14265312</v>
      </c>
      <c r="I1046" s="360"/>
      <c r="J1046" s="361"/>
      <c r="K1046" s="362"/>
      <c r="L1046" s="362"/>
      <c r="M1046" s="361">
        <v>599168</v>
      </c>
      <c r="N1046" s="361">
        <v>1310680</v>
      </c>
      <c r="O1046" s="361">
        <v>112344</v>
      </c>
      <c r="P1046" s="361">
        <v>224688</v>
      </c>
      <c r="Q1046" s="361">
        <v>74896</v>
      </c>
      <c r="R1046" s="361">
        <v>74896</v>
      </c>
      <c r="S1046" s="361">
        <v>149792</v>
      </c>
      <c r="T1046" s="386">
        <v>930000</v>
      </c>
      <c r="U1046" s="364">
        <f t="shared" si="34"/>
        <v>17741776</v>
      </c>
      <c r="W1046" s="365" t="str">
        <f>+VLOOKUP($B1046,[2]Time_S4!$B:$G,6,0)</f>
        <v>Trung tâm Rada</v>
      </c>
      <c r="X1046" s="365" t="str">
        <f>IF(W1046="Phòng Kinh doanh","Trung tâm Kinh doanh - TCT CNC",+VLOOKUP($B1046,[2]Time_S4!$B:$G,5,0))</f>
        <v>Khối 1 - TCT CNC</v>
      </c>
      <c r="Y1046" s="366"/>
      <c r="Z1046" s="366"/>
    </row>
    <row r="1047" spans="1:26" ht="15.75" hidden="1">
      <c r="A1047" s="367">
        <f>SUBTOTAL(3,$B$15:B1047)</f>
        <v>2</v>
      </c>
      <c r="B1047" s="382" t="s">
        <v>2386</v>
      </c>
      <c r="C1047" s="383" t="s">
        <v>2387</v>
      </c>
      <c r="D1047" s="384" t="s">
        <v>407</v>
      </c>
      <c r="E1047" s="385">
        <v>21</v>
      </c>
      <c r="F1047" s="384">
        <v>21</v>
      </c>
      <c r="G1047" s="358">
        <v>16029540</v>
      </c>
      <c r="H1047" s="359">
        <f t="shared" si="33"/>
        <v>15201468</v>
      </c>
      <c r="I1047" s="360"/>
      <c r="J1047" s="361"/>
      <c r="K1047" s="362"/>
      <c r="L1047" s="362"/>
      <c r="M1047" s="361">
        <v>630912</v>
      </c>
      <c r="N1047" s="361">
        <v>1380120</v>
      </c>
      <c r="O1047" s="361">
        <v>118296</v>
      </c>
      <c r="P1047" s="361">
        <v>236592</v>
      </c>
      <c r="Q1047" s="361">
        <v>78864</v>
      </c>
      <c r="R1047" s="361">
        <v>78864</v>
      </c>
      <c r="S1047" s="361">
        <v>157728</v>
      </c>
      <c r="T1047" s="386">
        <v>930000</v>
      </c>
      <c r="U1047" s="364">
        <f t="shared" si="34"/>
        <v>18812844</v>
      </c>
      <c r="W1047" s="365" t="str">
        <f>+VLOOKUP($B1047,[2]Time_S4!$B:$G,6,0)</f>
        <v>Trung tâm Thông tin Quân sự</v>
      </c>
      <c r="X1047" s="365" t="str">
        <f>IF(W1047="Phòng Kinh doanh","Trung tâm Kinh doanh - TCT CNC",+VLOOKUP($B1047,[2]Time_S4!$B:$G,5,0))</f>
        <v>Khối 1 - TCT CNC</v>
      </c>
      <c r="Y1047" s="366"/>
      <c r="Z1047" s="366"/>
    </row>
    <row r="1048" spans="1:26" ht="15.75" hidden="1">
      <c r="A1048" s="367">
        <f>SUBTOTAL(3,$B$15:B1048)</f>
        <v>2</v>
      </c>
      <c r="B1048" s="382" t="s">
        <v>2388</v>
      </c>
      <c r="C1048" s="383" t="s">
        <v>2389</v>
      </c>
      <c r="D1048" s="384" t="s">
        <v>407</v>
      </c>
      <c r="E1048" s="385">
        <v>21</v>
      </c>
      <c r="F1048" s="384">
        <v>21</v>
      </c>
      <c r="G1048" s="358">
        <v>15051720</v>
      </c>
      <c r="H1048" s="359">
        <f t="shared" si="33"/>
        <v>14265312</v>
      </c>
      <c r="I1048" s="360"/>
      <c r="J1048" s="361"/>
      <c r="K1048" s="362"/>
      <c r="L1048" s="362"/>
      <c r="M1048" s="361">
        <v>599168</v>
      </c>
      <c r="N1048" s="361">
        <v>1310680</v>
      </c>
      <c r="O1048" s="361">
        <v>112344</v>
      </c>
      <c r="P1048" s="361">
        <v>224688</v>
      </c>
      <c r="Q1048" s="361">
        <v>74896</v>
      </c>
      <c r="R1048" s="361">
        <v>74896</v>
      </c>
      <c r="S1048" s="361">
        <v>149792</v>
      </c>
      <c r="T1048" s="386">
        <v>930000</v>
      </c>
      <c r="U1048" s="364">
        <f t="shared" si="34"/>
        <v>17741776</v>
      </c>
      <c r="W1048" s="365" t="str">
        <f>+VLOOKUP($B1048,[2]Time_S4!$B:$G,6,0)</f>
        <v>Trung tâm Nghiên cứu thiết bị vô tuyến băng rộng</v>
      </c>
      <c r="X1048" s="365" t="str">
        <f>IF(W1048="Phòng Kinh doanh","Trung tâm Kinh doanh - TCT CNC",+VLOOKUP($B1048,[2]Time_S4!$B:$G,5,0))</f>
        <v>Khối 2 - TCT CNC</v>
      </c>
      <c r="Y1048" s="366"/>
      <c r="Z1048" s="366"/>
    </row>
    <row r="1049" spans="1:26" ht="15.75" hidden="1">
      <c r="A1049" s="367">
        <f>SUBTOTAL(3,$B$15:B1049)</f>
        <v>2</v>
      </c>
      <c r="B1049" s="382" t="s">
        <v>2390</v>
      </c>
      <c r="C1049" s="383" t="s">
        <v>2391</v>
      </c>
      <c r="D1049" s="384" t="s">
        <v>407</v>
      </c>
      <c r="E1049" s="385">
        <v>21</v>
      </c>
      <c r="F1049" s="384">
        <v>21</v>
      </c>
      <c r="G1049" s="358">
        <v>15051720</v>
      </c>
      <c r="H1049" s="359">
        <f t="shared" si="33"/>
        <v>14265312</v>
      </c>
      <c r="I1049" s="360"/>
      <c r="J1049" s="361"/>
      <c r="K1049" s="362"/>
      <c r="L1049" s="362"/>
      <c r="M1049" s="361">
        <v>599168</v>
      </c>
      <c r="N1049" s="361">
        <v>1310680</v>
      </c>
      <c r="O1049" s="361">
        <v>112344</v>
      </c>
      <c r="P1049" s="361">
        <v>224688</v>
      </c>
      <c r="Q1049" s="361">
        <v>74896</v>
      </c>
      <c r="R1049" s="361">
        <v>74896</v>
      </c>
      <c r="S1049" s="361">
        <v>149792</v>
      </c>
      <c r="T1049" s="386">
        <v>930000</v>
      </c>
      <c r="U1049" s="364">
        <f t="shared" si="34"/>
        <v>17741776</v>
      </c>
      <c r="W1049" s="365" t="str">
        <f>+VLOOKUP($B1049,[2]Time_S4!$B:$G,6,0)</f>
        <v>Trung tâm Nghiên cứu thiết bị vô tuyến băng rộng</v>
      </c>
      <c r="X1049" s="365" t="str">
        <f>IF(W1049="Phòng Kinh doanh","Trung tâm Kinh doanh - TCT CNC",+VLOOKUP($B1049,[2]Time_S4!$B:$G,5,0))</f>
        <v>Khối 2 - TCT CNC</v>
      </c>
      <c r="Y1049" s="366"/>
      <c r="Z1049" s="366"/>
    </row>
    <row r="1050" spans="1:26" ht="15.75" hidden="1">
      <c r="A1050" s="367">
        <f>SUBTOTAL(3,$B$15:B1050)</f>
        <v>2</v>
      </c>
      <c r="B1050" s="382" t="s">
        <v>2392</v>
      </c>
      <c r="C1050" s="383" t="s">
        <v>2393</v>
      </c>
      <c r="D1050" s="384" t="s">
        <v>407</v>
      </c>
      <c r="E1050" s="385">
        <v>21</v>
      </c>
      <c r="F1050" s="384">
        <v>0</v>
      </c>
      <c r="G1050" s="358">
        <v>0</v>
      </c>
      <c r="H1050" s="359">
        <f t="shared" si="33"/>
        <v>0</v>
      </c>
      <c r="I1050" s="360"/>
      <c r="J1050" s="361"/>
      <c r="K1050" s="362"/>
      <c r="L1050" s="362"/>
      <c r="M1050" s="361">
        <v>0</v>
      </c>
      <c r="N1050" s="361">
        <v>0</v>
      </c>
      <c r="O1050" s="361">
        <v>0</v>
      </c>
      <c r="P1050" s="361">
        <v>0</v>
      </c>
      <c r="Q1050" s="361">
        <v>0</v>
      </c>
      <c r="R1050" s="361">
        <v>0</v>
      </c>
      <c r="S1050" s="361">
        <v>0</v>
      </c>
      <c r="T1050" s="386">
        <v>0</v>
      </c>
      <c r="U1050" s="364">
        <f t="shared" si="34"/>
        <v>0</v>
      </c>
      <c r="W1050" s="365" t="str">
        <f>+VLOOKUP($B1050,[2]Time_S4!$B:$G,6,0)</f>
        <v>Trung tâm Nghiên cứu Công nghệ truyền dẫn</v>
      </c>
      <c r="X1050" s="365" t="str">
        <f>IF(W1050="Phòng Kinh doanh","Trung tâm Kinh doanh - TCT CNC",+VLOOKUP($B1050,[2]Time_S4!$B:$G,5,0))</f>
        <v>Khối 2 - TCT CNC</v>
      </c>
      <c r="Y1050" s="366"/>
      <c r="Z1050" s="366"/>
    </row>
    <row r="1051" spans="1:26" ht="15.75" hidden="1">
      <c r="A1051" s="367">
        <f>SUBTOTAL(3,$B$15:B1051)</f>
        <v>2</v>
      </c>
      <c r="B1051" s="382" t="s">
        <v>2394</v>
      </c>
      <c r="C1051" s="383" t="s">
        <v>2395</v>
      </c>
      <c r="D1051" s="384" t="s">
        <v>407</v>
      </c>
      <c r="E1051" s="385">
        <v>21</v>
      </c>
      <c r="F1051" s="384">
        <v>21</v>
      </c>
      <c r="G1051" s="358">
        <v>17617100</v>
      </c>
      <c r="H1051" s="359">
        <f t="shared" si="33"/>
        <v>16747364</v>
      </c>
      <c r="I1051" s="360"/>
      <c r="J1051" s="361"/>
      <c r="K1051" s="362"/>
      <c r="L1051" s="362"/>
      <c r="M1051" s="361">
        <v>662656</v>
      </c>
      <c r="N1051" s="361">
        <v>1449560</v>
      </c>
      <c r="O1051" s="361">
        <v>124248</v>
      </c>
      <c r="P1051" s="361">
        <v>248496</v>
      </c>
      <c r="Q1051" s="361">
        <v>82832</v>
      </c>
      <c r="R1051" s="361">
        <v>82832</v>
      </c>
      <c r="S1051" s="361">
        <v>165664</v>
      </c>
      <c r="T1051" s="386">
        <v>930000</v>
      </c>
      <c r="U1051" s="364">
        <f t="shared" si="34"/>
        <v>20493652</v>
      </c>
      <c r="W1051" s="365" t="str">
        <f>+VLOOKUP($B1051,[2]Time_S4!$B:$G,6,0)</f>
        <v>Trung tâm Rada</v>
      </c>
      <c r="X1051" s="365" t="str">
        <f>IF(W1051="Phòng Kinh doanh","Trung tâm Kinh doanh - TCT CNC",+VLOOKUP($B1051,[2]Time_S4!$B:$G,5,0))</f>
        <v>Khối 1 - TCT CNC</v>
      </c>
      <c r="Y1051" s="366"/>
      <c r="Z1051" s="366"/>
    </row>
    <row r="1052" spans="1:26" ht="15.75" hidden="1">
      <c r="A1052" s="367">
        <f>SUBTOTAL(3,$B$15:B1052)</f>
        <v>2</v>
      </c>
      <c r="B1052" s="382" t="s">
        <v>2396</v>
      </c>
      <c r="C1052" s="383" t="s">
        <v>2397</v>
      </c>
      <c r="D1052" s="384" t="s">
        <v>407</v>
      </c>
      <c r="E1052" s="385">
        <v>21</v>
      </c>
      <c r="F1052" s="384">
        <v>21</v>
      </c>
      <c r="G1052" s="358">
        <v>16370100</v>
      </c>
      <c r="H1052" s="359">
        <f t="shared" si="33"/>
        <v>15542028</v>
      </c>
      <c r="I1052" s="360"/>
      <c r="J1052" s="361"/>
      <c r="K1052" s="362"/>
      <c r="L1052" s="362"/>
      <c r="M1052" s="361">
        <v>630912</v>
      </c>
      <c r="N1052" s="361">
        <v>1380120</v>
      </c>
      <c r="O1052" s="361">
        <v>118296</v>
      </c>
      <c r="P1052" s="361">
        <v>236592</v>
      </c>
      <c r="Q1052" s="361">
        <v>78864</v>
      </c>
      <c r="R1052" s="361">
        <v>78864</v>
      </c>
      <c r="S1052" s="361">
        <v>157728</v>
      </c>
      <c r="T1052" s="386">
        <v>930000</v>
      </c>
      <c r="U1052" s="364">
        <f t="shared" si="34"/>
        <v>19153404</v>
      </c>
      <c r="W1052" s="365" t="str">
        <f>+VLOOKUP($B1052,[2]Time_S4!$B:$G,6,0)</f>
        <v>Trung tâm Rada</v>
      </c>
      <c r="X1052" s="365" t="str">
        <f>IF(W1052="Phòng Kinh doanh","Trung tâm Kinh doanh - TCT CNC",+VLOOKUP($B1052,[2]Time_S4!$B:$G,5,0))</f>
        <v>Khối 1 - TCT CNC</v>
      </c>
      <c r="Y1052" s="366"/>
      <c r="Z1052" s="366"/>
    </row>
    <row r="1053" spans="1:26" ht="15.75" hidden="1">
      <c r="A1053" s="367">
        <f>SUBTOTAL(3,$B$15:B1053)</f>
        <v>2</v>
      </c>
      <c r="B1053" s="382" t="s">
        <v>2398</v>
      </c>
      <c r="C1053" s="383" t="s">
        <v>2399</v>
      </c>
      <c r="D1053" s="384" t="s">
        <v>407</v>
      </c>
      <c r="E1053" s="385">
        <v>21</v>
      </c>
      <c r="F1053" s="384">
        <v>21</v>
      </c>
      <c r="G1053" s="358">
        <v>13575100</v>
      </c>
      <c r="H1053" s="359">
        <f t="shared" si="33"/>
        <v>12788692</v>
      </c>
      <c r="I1053" s="360"/>
      <c r="J1053" s="361"/>
      <c r="K1053" s="362"/>
      <c r="L1053" s="362"/>
      <c r="M1053" s="361">
        <v>599168</v>
      </c>
      <c r="N1053" s="361">
        <v>1310680</v>
      </c>
      <c r="O1053" s="361">
        <v>112344</v>
      </c>
      <c r="P1053" s="361">
        <v>224688</v>
      </c>
      <c r="Q1053" s="361">
        <v>74896</v>
      </c>
      <c r="R1053" s="361">
        <v>74896</v>
      </c>
      <c r="S1053" s="361">
        <v>149792</v>
      </c>
      <c r="T1053" s="386">
        <v>930000</v>
      </c>
      <c r="U1053" s="364">
        <f t="shared" si="34"/>
        <v>16265156</v>
      </c>
      <c r="W1053" s="365" t="str">
        <f>+VLOOKUP($B1053,[2]Time_S4!$B:$G,6,0)</f>
        <v>Trung tâm Quang điện tử</v>
      </c>
      <c r="X1053" s="365" t="str">
        <f>IF(W1053="Phòng Kinh doanh","Trung tâm Kinh doanh - TCT CNC",+VLOOKUP($B1053,[2]Time_S4!$B:$G,5,0))</f>
        <v>Khối 1 - TCT CNC</v>
      </c>
      <c r="Y1053" s="366"/>
      <c r="Z1053" s="366"/>
    </row>
    <row r="1054" spans="1:26" ht="15.75" hidden="1">
      <c r="A1054" s="367">
        <f>SUBTOTAL(3,$B$15:B1054)</f>
        <v>2</v>
      </c>
      <c r="B1054" s="382" t="s">
        <v>2400</v>
      </c>
      <c r="C1054" s="383" t="s">
        <v>2401</v>
      </c>
      <c r="D1054" s="384" t="s">
        <v>407</v>
      </c>
      <c r="E1054" s="385">
        <v>21</v>
      </c>
      <c r="F1054" s="384">
        <v>21</v>
      </c>
      <c r="G1054" s="358">
        <v>17739540</v>
      </c>
      <c r="H1054" s="359">
        <f t="shared" si="33"/>
        <v>16953132</v>
      </c>
      <c r="I1054" s="360"/>
      <c r="J1054" s="361"/>
      <c r="K1054" s="362"/>
      <c r="L1054" s="362"/>
      <c r="M1054" s="361">
        <v>599168</v>
      </c>
      <c r="N1054" s="361">
        <v>1310680</v>
      </c>
      <c r="O1054" s="361">
        <v>112344</v>
      </c>
      <c r="P1054" s="361">
        <v>224688</v>
      </c>
      <c r="Q1054" s="361">
        <v>74896</v>
      </c>
      <c r="R1054" s="361">
        <v>74896</v>
      </c>
      <c r="S1054" s="361">
        <v>149792</v>
      </c>
      <c r="T1054" s="386">
        <v>930000</v>
      </c>
      <c r="U1054" s="364">
        <f t="shared" si="34"/>
        <v>20429596</v>
      </c>
      <c r="W1054" s="365" t="str">
        <f>+VLOOKUP($B1054,[2]Time_S4!$B:$G,6,0)</f>
        <v>Trung tâm Quang điện tử</v>
      </c>
      <c r="X1054" s="365" t="str">
        <f>IF(W1054="Phòng Kinh doanh","Trung tâm Kinh doanh - TCT CNC",+VLOOKUP($B1054,[2]Time_S4!$B:$G,5,0))</f>
        <v>Khối 1 - TCT CNC</v>
      </c>
      <c r="Y1054" s="366"/>
      <c r="Z1054" s="366"/>
    </row>
    <row r="1055" spans="1:26" ht="15.75" hidden="1">
      <c r="A1055" s="367">
        <f>SUBTOTAL(3,$B$15:B1055)</f>
        <v>2</v>
      </c>
      <c r="B1055" s="382" t="s">
        <v>2402</v>
      </c>
      <c r="C1055" s="383" t="s">
        <v>2403</v>
      </c>
      <c r="D1055" s="384" t="s">
        <v>407</v>
      </c>
      <c r="E1055" s="385">
        <v>21</v>
      </c>
      <c r="F1055" s="384">
        <v>21</v>
      </c>
      <c r="G1055" s="358">
        <v>16370100</v>
      </c>
      <c r="H1055" s="359">
        <f t="shared" si="33"/>
        <v>15542028</v>
      </c>
      <c r="I1055" s="360"/>
      <c r="J1055" s="361"/>
      <c r="K1055" s="362"/>
      <c r="L1055" s="385"/>
      <c r="M1055" s="361">
        <v>630912</v>
      </c>
      <c r="N1055" s="361">
        <v>1380120</v>
      </c>
      <c r="O1055" s="361">
        <v>118296</v>
      </c>
      <c r="P1055" s="361">
        <v>236592</v>
      </c>
      <c r="Q1055" s="361">
        <v>78864</v>
      </c>
      <c r="R1055" s="361">
        <v>78864</v>
      </c>
      <c r="S1055" s="361">
        <v>157728</v>
      </c>
      <c r="T1055" s="386">
        <v>930000</v>
      </c>
      <c r="U1055" s="364">
        <f t="shared" si="34"/>
        <v>19153404</v>
      </c>
      <c r="W1055" s="365" t="str">
        <f>+VLOOKUP($B1055,[2]Time_S4!$B:$G,6,0)</f>
        <v>Trung tâm Camera</v>
      </c>
      <c r="X1055" s="365" t="str">
        <f>IF(W1055="Phòng Kinh doanh","Trung tâm Kinh doanh - TCT CNC",+VLOOKUP($B1055,[2]Time_S4!$B:$G,5,0))</f>
        <v>Khối 3 - TCT CNC</v>
      </c>
      <c r="Y1055" s="366"/>
      <c r="Z1055" s="366"/>
    </row>
    <row r="1056" spans="1:26" ht="15.75" hidden="1">
      <c r="A1056" s="367">
        <f>SUBTOTAL(3,$B$15:B1056)</f>
        <v>2</v>
      </c>
      <c r="B1056" s="382" t="s">
        <v>2404</v>
      </c>
      <c r="C1056" s="383" t="s">
        <v>2405</v>
      </c>
      <c r="D1056" s="384" t="s">
        <v>407</v>
      </c>
      <c r="E1056" s="385">
        <v>21</v>
      </c>
      <c r="F1056" s="384">
        <v>21</v>
      </c>
      <c r="G1056" s="358">
        <v>15370780</v>
      </c>
      <c r="H1056" s="359">
        <f t="shared" si="33"/>
        <v>14542708</v>
      </c>
      <c r="I1056" s="360"/>
      <c r="J1056" s="361"/>
      <c r="K1056" s="362"/>
      <c r="L1056" s="362"/>
      <c r="M1056" s="361">
        <v>630912</v>
      </c>
      <c r="N1056" s="361">
        <v>1380120</v>
      </c>
      <c r="O1056" s="361">
        <v>118296</v>
      </c>
      <c r="P1056" s="361">
        <v>236592</v>
      </c>
      <c r="Q1056" s="361">
        <v>78864</v>
      </c>
      <c r="R1056" s="361">
        <v>78864</v>
      </c>
      <c r="S1056" s="361">
        <v>157728</v>
      </c>
      <c r="T1056" s="386">
        <v>930000</v>
      </c>
      <c r="U1056" s="364">
        <f t="shared" si="34"/>
        <v>18154084</v>
      </c>
      <c r="W1056" s="365" t="str">
        <f>+VLOOKUP($B1056,[2]Time_S4!$B:$G,6,0)</f>
        <v>Trung tâm Camera</v>
      </c>
      <c r="X1056" s="365" t="str">
        <f>IF(W1056="Phòng Kinh doanh","Trung tâm Kinh doanh - TCT CNC",+VLOOKUP($B1056,[2]Time_S4!$B:$G,5,0))</f>
        <v>Khối 3 - TCT CNC</v>
      </c>
      <c r="Y1056" s="366"/>
      <c r="Z1056" s="366"/>
    </row>
    <row r="1057" spans="1:26" ht="15.75" hidden="1">
      <c r="A1057" s="367">
        <f>SUBTOTAL(3,$B$15:B1057)</f>
        <v>2</v>
      </c>
      <c r="B1057" s="382" t="s">
        <v>2406</v>
      </c>
      <c r="C1057" s="383" t="s">
        <v>2407</v>
      </c>
      <c r="D1057" s="384" t="s">
        <v>407</v>
      </c>
      <c r="E1057" s="385">
        <v>21</v>
      </c>
      <c r="F1057" s="384">
        <v>21</v>
      </c>
      <c r="G1057" s="358">
        <v>18180400</v>
      </c>
      <c r="H1057" s="359">
        <f t="shared" si="33"/>
        <v>17310664</v>
      </c>
      <c r="I1057" s="360"/>
      <c r="J1057" s="361"/>
      <c r="K1057" s="362"/>
      <c r="L1057" s="362"/>
      <c r="M1057" s="361">
        <v>662656</v>
      </c>
      <c r="N1057" s="361">
        <v>1449560</v>
      </c>
      <c r="O1057" s="361">
        <v>124248</v>
      </c>
      <c r="P1057" s="361">
        <v>248496</v>
      </c>
      <c r="Q1057" s="361">
        <v>82832</v>
      </c>
      <c r="R1057" s="361">
        <v>82832</v>
      </c>
      <c r="S1057" s="361">
        <v>165664</v>
      </c>
      <c r="T1057" s="386">
        <v>930000</v>
      </c>
      <c r="U1057" s="364">
        <f t="shared" si="34"/>
        <v>21056952</v>
      </c>
      <c r="W1057" s="365" t="str">
        <f>+VLOOKUP($B1057,[2]Time_S4!$B:$G,6,0)</f>
        <v>Trung tâm Thông tin Quân sự</v>
      </c>
      <c r="X1057" s="365" t="str">
        <f>IF(W1057="Phòng Kinh doanh","Trung tâm Kinh doanh - TCT CNC",+VLOOKUP($B1057,[2]Time_S4!$B:$G,5,0))</f>
        <v>Khối 1 - TCT CNC</v>
      </c>
      <c r="Y1057" s="366"/>
      <c r="Z1057" s="366"/>
    </row>
    <row r="1058" spans="1:26" ht="15.75" hidden="1">
      <c r="A1058" s="367">
        <f>SUBTOTAL(3,$B$15:B1058)</f>
        <v>2</v>
      </c>
      <c r="B1058" s="382" t="s">
        <v>2408</v>
      </c>
      <c r="C1058" s="383" t="s">
        <v>2409</v>
      </c>
      <c r="D1058" s="384" t="s">
        <v>407</v>
      </c>
      <c r="E1058" s="385">
        <v>21</v>
      </c>
      <c r="F1058" s="384">
        <v>21</v>
      </c>
      <c r="G1058" s="358">
        <v>19716680</v>
      </c>
      <c r="H1058" s="359">
        <f t="shared" si="33"/>
        <v>18888608</v>
      </c>
      <c r="I1058" s="360"/>
      <c r="J1058" s="361"/>
      <c r="K1058" s="362"/>
      <c r="L1058" s="362"/>
      <c r="M1058" s="361">
        <v>630912</v>
      </c>
      <c r="N1058" s="361">
        <v>1380120</v>
      </c>
      <c r="O1058" s="361">
        <v>118296</v>
      </c>
      <c r="P1058" s="361">
        <v>236592</v>
      </c>
      <c r="Q1058" s="361">
        <v>78864</v>
      </c>
      <c r="R1058" s="361">
        <v>78864</v>
      </c>
      <c r="S1058" s="361">
        <v>157728</v>
      </c>
      <c r="T1058" s="386">
        <v>930000</v>
      </c>
      <c r="U1058" s="364">
        <f t="shared" si="34"/>
        <v>22499984</v>
      </c>
      <c r="W1058" s="365" t="str">
        <f>+VLOOKUP($B1058,[2]Time_S4!$B:$G,6,0)</f>
        <v>Trung tâm Rada</v>
      </c>
      <c r="X1058" s="365" t="str">
        <f>IF(W1058="Phòng Kinh doanh","Trung tâm Kinh doanh - TCT CNC",+VLOOKUP($B1058,[2]Time_S4!$B:$G,5,0))</f>
        <v>Khối 1 - TCT CNC</v>
      </c>
      <c r="Y1058" s="366"/>
      <c r="Z1058" s="366"/>
    </row>
    <row r="1059" spans="1:26" ht="15.75" hidden="1">
      <c r="A1059" s="367">
        <f>SUBTOTAL(3,$B$15:B1059)</f>
        <v>2</v>
      </c>
      <c r="B1059" s="382" t="s">
        <v>2410</v>
      </c>
      <c r="C1059" s="383" t="s">
        <v>2411</v>
      </c>
      <c r="D1059" s="384" t="s">
        <v>407</v>
      </c>
      <c r="E1059" s="385">
        <v>21</v>
      </c>
      <c r="F1059" s="384">
        <v>21</v>
      </c>
      <c r="G1059" s="358">
        <v>15370780</v>
      </c>
      <c r="H1059" s="359">
        <f t="shared" si="33"/>
        <v>14542708</v>
      </c>
      <c r="I1059" s="360"/>
      <c r="J1059" s="361"/>
      <c r="K1059" s="362"/>
      <c r="L1059" s="362"/>
      <c r="M1059" s="361">
        <v>630912</v>
      </c>
      <c r="N1059" s="361">
        <v>1380120</v>
      </c>
      <c r="O1059" s="361">
        <v>118296</v>
      </c>
      <c r="P1059" s="361">
        <v>236592</v>
      </c>
      <c r="Q1059" s="361">
        <v>78864</v>
      </c>
      <c r="R1059" s="361">
        <v>78864</v>
      </c>
      <c r="S1059" s="361">
        <v>157728</v>
      </c>
      <c r="T1059" s="386">
        <v>930000</v>
      </c>
      <c r="U1059" s="364">
        <f t="shared" si="34"/>
        <v>18154084</v>
      </c>
      <c r="W1059" s="365" t="str">
        <f>+VLOOKUP($B1059,[2]Time_S4!$B:$G,6,0)</f>
        <v>Trung tâm Nghiên cứu Công nghệ truyền dẫn</v>
      </c>
      <c r="X1059" s="365" t="str">
        <f>IF(W1059="Phòng Kinh doanh","Trung tâm Kinh doanh - TCT CNC",+VLOOKUP($B1059,[2]Time_S4!$B:$G,5,0))</f>
        <v>Khối 2 - TCT CNC</v>
      </c>
      <c r="Y1059" s="366"/>
      <c r="Z1059" s="366"/>
    </row>
    <row r="1060" spans="1:26" ht="15.75" hidden="1">
      <c r="A1060" s="367">
        <f>SUBTOTAL(3,$B$15:B1060)</f>
        <v>2</v>
      </c>
      <c r="B1060" s="382" t="s">
        <v>2412</v>
      </c>
      <c r="C1060" s="383" t="s">
        <v>2413</v>
      </c>
      <c r="D1060" s="384" t="s">
        <v>407</v>
      </c>
      <c r="E1060" s="385">
        <v>21</v>
      </c>
      <c r="F1060" s="384">
        <v>21</v>
      </c>
      <c r="G1060" s="358">
        <v>16029540</v>
      </c>
      <c r="H1060" s="359">
        <f t="shared" si="33"/>
        <v>15201468</v>
      </c>
      <c r="I1060" s="360"/>
      <c r="K1060" s="362"/>
      <c r="M1060" s="361">
        <v>630912</v>
      </c>
      <c r="N1060" s="361">
        <v>1380120</v>
      </c>
      <c r="O1060" s="361">
        <v>118296</v>
      </c>
      <c r="P1060" s="361">
        <v>236592</v>
      </c>
      <c r="Q1060" s="361">
        <v>78864</v>
      </c>
      <c r="R1060" s="361">
        <v>78864</v>
      </c>
      <c r="S1060" s="361">
        <v>157728</v>
      </c>
      <c r="T1060" s="386">
        <v>930000</v>
      </c>
      <c r="U1060" s="364">
        <f t="shared" si="34"/>
        <v>18812844</v>
      </c>
      <c r="W1060" s="365" t="str">
        <f>+VLOOKUP($B1060,[2]Time_S4!$B:$G,6,0)</f>
        <v>Trung tâm Công nghệ Cơ khí - Tự động hóa</v>
      </c>
      <c r="X1060" s="365" t="str">
        <f>IF(W1060="Phòng Kinh doanh","Trung tâm Kinh doanh - TCT CNC",+VLOOKUP($B1060,[2]Time_S4!$B:$G,5,0))</f>
        <v>Khối 1 - TCT CNC</v>
      </c>
      <c r="Y1060" s="366"/>
      <c r="Z1060" s="366"/>
    </row>
    <row r="1061" spans="1:26" ht="15.75" hidden="1">
      <c r="A1061" s="367">
        <f>SUBTOTAL(3,$B$15:B1061)</f>
        <v>2</v>
      </c>
      <c r="B1061" s="382" t="s">
        <v>2414</v>
      </c>
      <c r="C1061" s="383" t="s">
        <v>1006</v>
      </c>
      <c r="D1061" s="384" t="s">
        <v>407</v>
      </c>
      <c r="E1061" s="385">
        <v>21</v>
      </c>
      <c r="F1061" s="384">
        <v>21</v>
      </c>
      <c r="G1061" s="358">
        <v>11844780</v>
      </c>
      <c r="H1061" s="359">
        <f t="shared" si="33"/>
        <v>11100036</v>
      </c>
      <c r="I1061" s="360"/>
      <c r="K1061" s="362"/>
      <c r="M1061" s="361">
        <v>567424</v>
      </c>
      <c r="N1061" s="361">
        <v>1241240</v>
      </c>
      <c r="O1061" s="361">
        <v>106392</v>
      </c>
      <c r="P1061" s="361">
        <v>212784</v>
      </c>
      <c r="Q1061" s="361">
        <v>70928</v>
      </c>
      <c r="R1061" s="361">
        <v>70928</v>
      </c>
      <c r="S1061" s="361">
        <v>141856</v>
      </c>
      <c r="T1061" s="386">
        <v>1047000</v>
      </c>
      <c r="U1061" s="364">
        <f t="shared" si="34"/>
        <v>14558588</v>
      </c>
      <c r="W1061" s="365" t="str">
        <f>+VLOOKUP($B1061,[2]Time_S4!$B:$G,6,0)</f>
        <v>Phòng Quản lý chất lượng</v>
      </c>
      <c r="X1061" s="365" t="str">
        <f>IF(W1061="Phòng Kinh doanh","Trung tâm Kinh doanh - TCT CNC",+VLOOKUP($B1061,[2]Time_S4!$B:$G,5,0))</f>
        <v>Khối 3 - TCT CNC</v>
      </c>
      <c r="Y1061" s="366"/>
      <c r="Z1061" s="366"/>
    </row>
    <row r="1062" spans="1:26" ht="15.75" hidden="1">
      <c r="A1062" s="367">
        <f>SUBTOTAL(3,$B$15:B1062)</f>
        <v>2</v>
      </c>
      <c r="B1062" s="382" t="s">
        <v>346</v>
      </c>
      <c r="C1062" s="383" t="s">
        <v>347</v>
      </c>
      <c r="D1062" s="384" t="s">
        <v>407</v>
      </c>
      <c r="E1062" s="385">
        <v>21</v>
      </c>
      <c r="F1062" s="384">
        <v>21</v>
      </c>
      <c r="G1062" s="358">
        <v>15051720</v>
      </c>
      <c r="H1062" s="359">
        <f t="shared" si="33"/>
        <v>14265312</v>
      </c>
      <c r="I1062" s="360"/>
      <c r="K1062" s="362"/>
      <c r="M1062" s="361">
        <v>599168</v>
      </c>
      <c r="N1062" s="361">
        <v>1310680</v>
      </c>
      <c r="O1062" s="361">
        <v>112344</v>
      </c>
      <c r="P1062" s="361">
        <v>224688</v>
      </c>
      <c r="Q1062" s="361">
        <v>74896</v>
      </c>
      <c r="R1062" s="361">
        <v>74896</v>
      </c>
      <c r="S1062" s="361">
        <v>149792</v>
      </c>
      <c r="T1062" s="386">
        <v>930000</v>
      </c>
      <c r="U1062" s="364">
        <f t="shared" si="34"/>
        <v>17741776</v>
      </c>
      <c r="W1062" s="365" t="str">
        <f>+VLOOKUP($B1062,[2]Time_S4!$B:$G,6,0)</f>
        <v>Trung tâm Mô hình mô phỏng</v>
      </c>
      <c r="X1062" s="365" t="str">
        <f>IF(W1062="Phòng Kinh doanh","Trung tâm Kinh doanh - TCT CNC",+VLOOKUP($B1062,[2]Time_S4!$B:$G,5,0))</f>
        <v>Khối 1 - TCT CNC</v>
      </c>
      <c r="Y1062" s="366"/>
      <c r="Z1062" s="366"/>
    </row>
    <row r="1063" spans="1:26" ht="15.75" hidden="1">
      <c r="A1063" s="367">
        <f>SUBTOTAL(3,$B$15:B1063)</f>
        <v>2</v>
      </c>
      <c r="B1063" s="382" t="s">
        <v>2415</v>
      </c>
      <c r="C1063" s="383" t="s">
        <v>2416</v>
      </c>
      <c r="D1063" s="384" t="s">
        <v>407</v>
      </c>
      <c r="E1063" s="385">
        <v>21</v>
      </c>
      <c r="F1063" s="384">
        <v>21</v>
      </c>
      <c r="G1063" s="358">
        <v>14739540</v>
      </c>
      <c r="H1063" s="359">
        <f t="shared" si="33"/>
        <v>13953132</v>
      </c>
      <c r="I1063" s="360"/>
      <c r="K1063" s="362"/>
      <c r="M1063" s="361">
        <v>599168</v>
      </c>
      <c r="N1063" s="361">
        <v>1310680</v>
      </c>
      <c r="O1063" s="361">
        <v>112344</v>
      </c>
      <c r="P1063" s="361">
        <v>224688</v>
      </c>
      <c r="Q1063" s="361">
        <v>74896</v>
      </c>
      <c r="R1063" s="361">
        <v>74896</v>
      </c>
      <c r="S1063" s="361">
        <v>149792</v>
      </c>
      <c r="T1063" s="386">
        <v>930000</v>
      </c>
      <c r="U1063" s="364">
        <f t="shared" si="34"/>
        <v>17429596</v>
      </c>
      <c r="W1063" s="365" t="str">
        <f>+VLOOKUP($B1063,[2]Time_S4!$B:$G,6,0)</f>
        <v>Trung tâm Nghiên cứu Công nghệ chuyển mạch</v>
      </c>
      <c r="X1063" s="365" t="str">
        <f>IF(W1063="Phòng Kinh doanh","Trung tâm Kinh doanh - TCT CNC",+VLOOKUP($B1063,[2]Time_S4!$B:$G,5,0))</f>
        <v>Khối 2 - TCT CNC</v>
      </c>
      <c r="Y1063" s="366"/>
      <c r="Z1063" s="366"/>
    </row>
    <row r="1064" spans="1:26" ht="15.75" hidden="1">
      <c r="A1064" s="367">
        <f>SUBTOTAL(3,$B$15:B1064)</f>
        <v>2</v>
      </c>
      <c r="B1064" s="382" t="s">
        <v>358</v>
      </c>
      <c r="C1064" s="383" t="s">
        <v>359</v>
      </c>
      <c r="D1064" s="384" t="s">
        <v>407</v>
      </c>
      <c r="E1064" s="385">
        <v>21</v>
      </c>
      <c r="F1064" s="384">
        <v>21</v>
      </c>
      <c r="G1064" s="358">
        <v>17617100</v>
      </c>
      <c r="H1064" s="359">
        <f t="shared" si="33"/>
        <v>16747364</v>
      </c>
      <c r="I1064" s="360"/>
      <c r="K1064" s="362"/>
      <c r="M1064" s="361">
        <v>662656</v>
      </c>
      <c r="N1064" s="361">
        <v>1449560</v>
      </c>
      <c r="O1064" s="361">
        <v>124248</v>
      </c>
      <c r="P1064" s="361">
        <v>248496</v>
      </c>
      <c r="Q1064" s="361">
        <v>82832</v>
      </c>
      <c r="R1064" s="361">
        <v>82832</v>
      </c>
      <c r="S1064" s="361">
        <v>165664</v>
      </c>
      <c r="T1064" s="386">
        <v>1398000</v>
      </c>
      <c r="U1064" s="364">
        <f t="shared" si="34"/>
        <v>20961652</v>
      </c>
      <c r="W1064" s="365" t="str">
        <f>+VLOOKUP($B1064,[2]Time_S4!$B:$G,6,0)</f>
        <v>Trung tâm Mô hình mô phỏng</v>
      </c>
      <c r="X1064" s="365" t="str">
        <f>IF(W1064="Phòng Kinh doanh","Trung tâm Kinh doanh - TCT CNC",+VLOOKUP($B1064,[2]Time_S4!$B:$G,5,0))</f>
        <v>Khối 1 - TCT CNC</v>
      </c>
      <c r="Y1064" s="366"/>
      <c r="Z1064" s="366"/>
    </row>
    <row r="1065" spans="1:26" ht="15.75" hidden="1">
      <c r="A1065" s="367">
        <f>SUBTOTAL(3,$B$15:B1065)</f>
        <v>2</v>
      </c>
      <c r="B1065" s="382" t="s">
        <v>2417</v>
      </c>
      <c r="C1065" s="383" t="s">
        <v>2418</v>
      </c>
      <c r="D1065" s="384" t="s">
        <v>407</v>
      </c>
      <c r="E1065" s="385">
        <v>21</v>
      </c>
      <c r="F1065" s="384">
        <v>10</v>
      </c>
      <c r="G1065" s="358">
        <v>14572885</v>
      </c>
      <c r="H1065" s="359">
        <f t="shared" si="33"/>
        <v>13557325</v>
      </c>
      <c r="I1065" s="360"/>
      <c r="K1065" s="362"/>
      <c r="M1065" s="361">
        <v>773760</v>
      </c>
      <c r="N1065" s="361">
        <v>1692600</v>
      </c>
      <c r="O1065" s="361">
        <v>145080</v>
      </c>
      <c r="P1065" s="361">
        <v>290160</v>
      </c>
      <c r="Q1065" s="361">
        <v>96720</v>
      </c>
      <c r="R1065" s="361">
        <v>96720</v>
      </c>
      <c r="S1065" s="361">
        <v>193440</v>
      </c>
      <c r="T1065" s="386">
        <v>490476</v>
      </c>
      <c r="U1065" s="364">
        <f t="shared" si="34"/>
        <v>17336281</v>
      </c>
      <c r="W1065" s="365" t="str">
        <f>+VLOOKUP($B1065,[2]Time_S4!$B:$G,6,0)</f>
        <v>Phòng Kiểu dáng và đồ họa</v>
      </c>
      <c r="X1065" s="365" t="str">
        <f>IF(W1065="Phòng Kinh doanh","Trung tâm Kinh doanh - TCT CNC",+VLOOKUP($B1065,[2]Time_S4!$B:$G,5,0))</f>
        <v>Khối 1 - TCT CNC</v>
      </c>
      <c r="Y1065" s="366"/>
      <c r="Z1065" s="366"/>
    </row>
    <row r="1066" spans="1:26" ht="15.75" hidden="1">
      <c r="A1066" s="367">
        <f>SUBTOTAL(3,$B$15:B1066)</f>
        <v>2</v>
      </c>
      <c r="B1066" s="382" t="s">
        <v>2419</v>
      </c>
      <c r="C1066" s="383" t="s">
        <v>2420</v>
      </c>
      <c r="D1066" s="384" t="s">
        <v>407</v>
      </c>
      <c r="E1066" s="385">
        <v>21</v>
      </c>
      <c r="F1066" s="384">
        <v>21</v>
      </c>
      <c r="G1066" s="358">
        <v>18180400</v>
      </c>
      <c r="H1066" s="359">
        <f t="shared" si="33"/>
        <v>17310664</v>
      </c>
      <c r="I1066" s="360"/>
      <c r="K1066" s="362"/>
      <c r="M1066" s="361">
        <v>662656</v>
      </c>
      <c r="N1066" s="361">
        <v>1449560</v>
      </c>
      <c r="O1066" s="361">
        <v>124248</v>
      </c>
      <c r="P1066" s="361">
        <v>248496</v>
      </c>
      <c r="Q1066" s="361">
        <v>82832</v>
      </c>
      <c r="R1066" s="361">
        <v>82832</v>
      </c>
      <c r="S1066" s="361">
        <v>165664</v>
      </c>
      <c r="T1066" s="386">
        <v>930000</v>
      </c>
      <c r="U1066" s="364">
        <f t="shared" si="34"/>
        <v>21056952</v>
      </c>
      <c r="W1066" s="365" t="str">
        <f>+VLOOKUP($B1066,[2]Time_S4!$B:$G,6,0)</f>
        <v>Trung tâm Nền tảng IOT</v>
      </c>
      <c r="X1066" s="365" t="str">
        <f>IF(W1066="Phòng Kinh doanh","Trung tâm Kinh doanh - TCT CNC",+VLOOKUP($B1066,[2]Time_S4!$B:$G,5,0))</f>
        <v>Khối 3 - TCT CNC</v>
      </c>
      <c r="Y1066" s="366"/>
      <c r="Z1066" s="366"/>
    </row>
    <row r="1067" spans="1:26" ht="15.75" hidden="1">
      <c r="A1067" s="367">
        <f>SUBTOTAL(3,$B$15:B1067)</f>
        <v>2</v>
      </c>
      <c r="B1067" s="382" t="s">
        <v>2421</v>
      </c>
      <c r="C1067" s="383" t="s">
        <v>2111</v>
      </c>
      <c r="D1067" s="384" t="s">
        <v>407</v>
      </c>
      <c r="E1067" s="385">
        <v>21</v>
      </c>
      <c r="F1067" s="384">
        <v>21</v>
      </c>
      <c r="G1067" s="358">
        <v>15051720</v>
      </c>
      <c r="H1067" s="359">
        <f t="shared" si="33"/>
        <v>14265312</v>
      </c>
      <c r="I1067" s="360"/>
      <c r="K1067" s="362"/>
      <c r="M1067" s="361">
        <v>599168</v>
      </c>
      <c r="N1067" s="361">
        <v>1310680</v>
      </c>
      <c r="O1067" s="361">
        <v>112344</v>
      </c>
      <c r="P1067" s="361">
        <v>224688</v>
      </c>
      <c r="Q1067" s="361">
        <v>74896</v>
      </c>
      <c r="R1067" s="361">
        <v>74896</v>
      </c>
      <c r="S1067" s="361">
        <v>149792</v>
      </c>
      <c r="T1067" s="386">
        <v>930000</v>
      </c>
      <c r="U1067" s="364">
        <f t="shared" si="34"/>
        <v>17741776</v>
      </c>
      <c r="W1067" s="365" t="str">
        <f>+VLOOKUP($B1067,[2]Time_S4!$B:$G,6,0)</f>
        <v>Trung tâm Tác chiến điện tử</v>
      </c>
      <c r="X1067" s="365" t="str">
        <f>IF(W1067="Phòng Kinh doanh","Trung tâm Kinh doanh - TCT CNC",+VLOOKUP($B1067,[2]Time_S4!$B:$G,5,0))</f>
        <v>Khối 1 - TCT CNC</v>
      </c>
      <c r="Y1067" s="366"/>
      <c r="Z1067" s="366"/>
    </row>
    <row r="1068" spans="1:26" ht="15.75" hidden="1">
      <c r="A1068" s="367">
        <f>SUBTOTAL(3,$B$15:B1068)</f>
        <v>2</v>
      </c>
      <c r="B1068" s="382" t="s">
        <v>2422</v>
      </c>
      <c r="C1068" s="383" t="s">
        <v>2413</v>
      </c>
      <c r="D1068" s="384" t="s">
        <v>407</v>
      </c>
      <c r="E1068" s="385">
        <v>21</v>
      </c>
      <c r="F1068" s="384">
        <v>21</v>
      </c>
      <c r="G1068" s="358">
        <v>15862700</v>
      </c>
      <c r="H1068" s="359">
        <f t="shared" si="33"/>
        <v>15034628</v>
      </c>
      <c r="I1068" s="360"/>
      <c r="K1068" s="362"/>
      <c r="M1068" s="361">
        <v>630912</v>
      </c>
      <c r="N1068" s="361">
        <v>1380120</v>
      </c>
      <c r="O1068" s="361">
        <v>118296</v>
      </c>
      <c r="P1068" s="361">
        <v>236592</v>
      </c>
      <c r="Q1068" s="361">
        <v>78864</v>
      </c>
      <c r="R1068" s="361">
        <v>78864</v>
      </c>
      <c r="S1068" s="361">
        <v>157728</v>
      </c>
      <c r="T1068" s="386">
        <v>930000</v>
      </c>
      <c r="U1068" s="364">
        <f t="shared" si="34"/>
        <v>18646004</v>
      </c>
      <c r="W1068" s="365" t="str">
        <f>+VLOOKUP($B1068,[2]Time_S4!$B:$G,6,0)</f>
        <v>Phòng Quản lý sản xuất</v>
      </c>
      <c r="X1068" s="365" t="str">
        <f>IF(W1068="Phòng Kinh doanh","Trung tâm Kinh doanh - TCT CNC",+VLOOKUP($B1068,[2]Time_S4!$B:$G,5,0))</f>
        <v>Khối 2 - TCT CNC</v>
      </c>
      <c r="Y1068" s="366"/>
      <c r="Z1068" s="366"/>
    </row>
    <row r="1069" spans="1:26" ht="15.75" hidden="1">
      <c r="A1069" s="367">
        <f>SUBTOTAL(3,$B$15:B1069)</f>
        <v>2</v>
      </c>
      <c r="B1069" s="382" t="s">
        <v>2423</v>
      </c>
      <c r="C1069" s="383" t="s">
        <v>2424</v>
      </c>
      <c r="D1069" s="384" t="s">
        <v>407</v>
      </c>
      <c r="E1069" s="385">
        <v>21</v>
      </c>
      <c r="F1069" s="384">
        <v>21</v>
      </c>
      <c r="G1069" s="358">
        <v>15696720</v>
      </c>
      <c r="H1069" s="359">
        <f t="shared" si="33"/>
        <v>14868648</v>
      </c>
      <c r="I1069" s="360"/>
      <c r="K1069" s="362"/>
      <c r="M1069" s="361">
        <v>630912</v>
      </c>
      <c r="N1069" s="361">
        <v>1380120</v>
      </c>
      <c r="O1069" s="361">
        <v>118296</v>
      </c>
      <c r="P1069" s="361">
        <v>236592</v>
      </c>
      <c r="Q1069" s="361">
        <v>78864</v>
      </c>
      <c r="R1069" s="361">
        <v>78864</v>
      </c>
      <c r="S1069" s="361">
        <v>157728</v>
      </c>
      <c r="T1069" s="386">
        <v>930000</v>
      </c>
      <c r="U1069" s="364">
        <f t="shared" si="34"/>
        <v>18480024</v>
      </c>
      <c r="W1069" s="365" t="str">
        <f>+VLOOKUP($B1069,[2]Time_S4!$B:$G,6,0)</f>
        <v>Trung tâm Camera</v>
      </c>
      <c r="X1069" s="365" t="str">
        <f>IF(W1069="Phòng Kinh doanh","Trung tâm Kinh doanh - TCT CNC",+VLOOKUP($B1069,[2]Time_S4!$B:$G,5,0))</f>
        <v>Khối 3 - TCT CNC</v>
      </c>
      <c r="Y1069" s="366"/>
      <c r="Z1069" s="366"/>
    </row>
    <row r="1070" spans="1:26" ht="15.75" hidden="1">
      <c r="A1070" s="367">
        <f>SUBTOTAL(3,$B$15:B1070)</f>
        <v>2</v>
      </c>
      <c r="B1070" s="356" t="s">
        <v>2425</v>
      </c>
      <c r="C1070" s="356" t="s">
        <v>2426</v>
      </c>
      <c r="D1070" s="356" t="s">
        <v>407</v>
      </c>
      <c r="E1070" s="357">
        <v>21</v>
      </c>
      <c r="F1070" s="357">
        <v>21</v>
      </c>
      <c r="G1070" s="358">
        <v>13017820</v>
      </c>
      <c r="H1070" s="359">
        <f t="shared" si="33"/>
        <v>12231412</v>
      </c>
      <c r="I1070" s="360"/>
      <c r="K1070" s="362"/>
      <c r="M1070" s="361">
        <v>599168</v>
      </c>
      <c r="N1070" s="361">
        <v>1310680</v>
      </c>
      <c r="O1070" s="361">
        <v>112344</v>
      </c>
      <c r="P1070" s="361">
        <v>224688</v>
      </c>
      <c r="Q1070" s="361">
        <v>74896</v>
      </c>
      <c r="R1070" s="361">
        <v>74896</v>
      </c>
      <c r="S1070" s="361">
        <v>149792</v>
      </c>
      <c r="T1070" s="386">
        <v>930000</v>
      </c>
      <c r="U1070" s="364">
        <f t="shared" si="34"/>
        <v>15707876</v>
      </c>
      <c r="W1070" s="365" t="str">
        <f>+VLOOKUP($B1070,[2]Time_S4!$B:$G,6,0)</f>
        <v>Trung tâm Quang điện tử</v>
      </c>
      <c r="X1070" s="365" t="str">
        <f>IF(W1070="Phòng Kinh doanh","Trung tâm Kinh doanh - TCT CNC",+VLOOKUP($B1070,[2]Time_S4!$B:$G,5,0))</f>
        <v>Khối 1 - TCT CNC</v>
      </c>
      <c r="Y1070" s="366"/>
      <c r="Z1070" s="366"/>
    </row>
    <row r="1071" spans="1:26" ht="15.75" hidden="1">
      <c r="A1071" s="367">
        <f>SUBTOTAL(3,$B$15:B1071)</f>
        <v>2</v>
      </c>
      <c r="B1071" s="356" t="s">
        <v>2427</v>
      </c>
      <c r="C1071" s="356" t="s">
        <v>2428</v>
      </c>
      <c r="D1071" s="356" t="s">
        <v>407</v>
      </c>
      <c r="E1071" s="357">
        <v>21</v>
      </c>
      <c r="F1071" s="357">
        <v>21</v>
      </c>
      <c r="G1071" s="358">
        <v>15696720</v>
      </c>
      <c r="H1071" s="359">
        <f t="shared" si="33"/>
        <v>14868648</v>
      </c>
      <c r="I1071" s="360"/>
      <c r="K1071" s="362"/>
      <c r="M1071" s="361">
        <v>630912</v>
      </c>
      <c r="N1071" s="361">
        <v>1380120</v>
      </c>
      <c r="O1071" s="361">
        <v>118296</v>
      </c>
      <c r="P1071" s="361">
        <v>236592</v>
      </c>
      <c r="Q1071" s="361">
        <v>78864</v>
      </c>
      <c r="R1071" s="361">
        <v>78864</v>
      </c>
      <c r="S1071" s="361">
        <v>157728</v>
      </c>
      <c r="T1071" s="386">
        <v>930000</v>
      </c>
      <c r="U1071" s="364">
        <f t="shared" si="34"/>
        <v>18480024</v>
      </c>
      <c r="W1071" s="365" t="str">
        <f>+VLOOKUP($B1071,[2]Time_S4!$B:$G,6,0)</f>
        <v>Trung tâm Nghiên cứu thiết bị vô tuyến băng rộng</v>
      </c>
      <c r="X1071" s="365" t="str">
        <f>IF(W1071="Phòng Kinh doanh","Trung tâm Kinh doanh - TCT CNC",+VLOOKUP($B1071,[2]Time_S4!$B:$G,5,0))</f>
        <v>Khối 2 - TCT CNC</v>
      </c>
      <c r="Y1071" s="366"/>
      <c r="Z1071" s="366"/>
    </row>
    <row r="1072" spans="1:26" ht="15.75" hidden="1">
      <c r="A1072" s="367">
        <f>SUBTOTAL(3,$B$15:B1072)</f>
        <v>2</v>
      </c>
      <c r="B1072" s="356" t="s">
        <v>2429</v>
      </c>
      <c r="C1072" s="356" t="s">
        <v>2430</v>
      </c>
      <c r="D1072" s="356" t="s">
        <v>407</v>
      </c>
      <c r="E1072" s="357">
        <v>21</v>
      </c>
      <c r="F1072" s="357">
        <v>21</v>
      </c>
      <c r="G1072" s="358">
        <v>15051720</v>
      </c>
      <c r="H1072" s="359">
        <f t="shared" si="33"/>
        <v>14265312</v>
      </c>
      <c r="I1072" s="360"/>
      <c r="K1072" s="362"/>
      <c r="M1072" s="361">
        <v>599168</v>
      </c>
      <c r="N1072" s="361">
        <v>1310680</v>
      </c>
      <c r="O1072" s="361">
        <v>112344</v>
      </c>
      <c r="P1072" s="361">
        <v>224688</v>
      </c>
      <c r="Q1072" s="361">
        <v>74896</v>
      </c>
      <c r="R1072" s="361">
        <v>74896</v>
      </c>
      <c r="S1072" s="361">
        <v>149792</v>
      </c>
      <c r="T1072" s="386">
        <v>930000</v>
      </c>
      <c r="U1072" s="364">
        <f t="shared" si="34"/>
        <v>17741776</v>
      </c>
      <c r="W1072" s="365" t="str">
        <f>+VLOOKUP($B1072,[2]Time_S4!$B:$G,6,0)</f>
        <v>Trung tâm Nghiên cứu thiết bị vô tuyến băng rộng</v>
      </c>
      <c r="X1072" s="365" t="str">
        <f>IF(W1072="Phòng Kinh doanh","Trung tâm Kinh doanh - TCT CNC",+VLOOKUP($B1072,[2]Time_S4!$B:$G,5,0))</f>
        <v>Khối 2 - TCT CNC</v>
      </c>
      <c r="Y1072" s="366"/>
      <c r="Z1072" s="366"/>
    </row>
    <row r="1073" spans="1:26" ht="15.75" hidden="1">
      <c r="A1073" s="367">
        <f>SUBTOTAL(3,$B$15:B1073)</f>
        <v>2</v>
      </c>
      <c r="B1073" s="356" t="s">
        <v>2431</v>
      </c>
      <c r="C1073" s="356" t="s">
        <v>2432</v>
      </c>
      <c r="D1073" s="356" t="s">
        <v>407</v>
      </c>
      <c r="E1073" s="357">
        <v>21</v>
      </c>
      <c r="F1073" s="357">
        <v>21</v>
      </c>
      <c r="G1073" s="358">
        <v>11844780</v>
      </c>
      <c r="H1073" s="359">
        <f t="shared" si="33"/>
        <v>11100036</v>
      </c>
      <c r="I1073" s="360"/>
      <c r="K1073" s="362"/>
      <c r="M1073" s="361">
        <v>567424</v>
      </c>
      <c r="N1073" s="361">
        <v>1241240</v>
      </c>
      <c r="O1073" s="361">
        <v>106392</v>
      </c>
      <c r="P1073" s="361">
        <v>212784</v>
      </c>
      <c r="Q1073" s="361">
        <v>70928</v>
      </c>
      <c r="R1073" s="361">
        <v>70928</v>
      </c>
      <c r="S1073" s="361">
        <v>141856</v>
      </c>
      <c r="T1073" s="386">
        <v>930000</v>
      </c>
      <c r="U1073" s="364">
        <f t="shared" si="34"/>
        <v>14441588</v>
      </c>
      <c r="W1073" s="365" t="str">
        <f>+VLOOKUP($B1073,[2]Time_S4!$B:$G,6,0)</f>
        <v>Trung tâm Nghiên cứu giải pháp tích hợp công nghệ cao</v>
      </c>
      <c r="X1073" s="365" t="str">
        <f>IF(W1073="Phòng Kinh doanh","Trung tâm Kinh doanh - TCT CNC",+VLOOKUP($B1073,[2]Time_S4!$B:$G,5,0))</f>
        <v>Khối 1 - TCT CNC</v>
      </c>
      <c r="Y1073" s="366"/>
      <c r="Z1073" s="366"/>
    </row>
    <row r="1074" spans="1:26" ht="15.75" hidden="1">
      <c r="A1074" s="367">
        <f>SUBTOTAL(3,$B$15:B1074)</f>
        <v>2</v>
      </c>
      <c r="B1074" s="356" t="s">
        <v>2433</v>
      </c>
      <c r="C1074" s="356" t="s">
        <v>2434</v>
      </c>
      <c r="D1074" s="356" t="s">
        <v>407</v>
      </c>
      <c r="E1074" s="357">
        <v>21</v>
      </c>
      <c r="F1074" s="357">
        <v>0</v>
      </c>
      <c r="G1074" s="358">
        <v>7886400</v>
      </c>
      <c r="H1074" s="359">
        <f t="shared" si="33"/>
        <v>7886400</v>
      </c>
      <c r="I1074" s="360"/>
      <c r="K1074" s="362"/>
      <c r="M1074" s="361">
        <v>0</v>
      </c>
      <c r="N1074" s="361">
        <v>0</v>
      </c>
      <c r="O1074" s="361">
        <v>0</v>
      </c>
      <c r="P1074" s="361">
        <v>0</v>
      </c>
      <c r="Q1074" s="361">
        <v>0</v>
      </c>
      <c r="R1074" s="361">
        <v>0</v>
      </c>
      <c r="S1074" s="361">
        <v>0</v>
      </c>
      <c r="T1074" s="386">
        <v>0</v>
      </c>
      <c r="U1074" s="364">
        <f t="shared" si="34"/>
        <v>7886400</v>
      </c>
      <c r="W1074" s="365" t="str">
        <f>+VLOOKUP($B1074,[2]Time_S4!$B:$G,6,0)</f>
        <v>Trung tâm Camera</v>
      </c>
      <c r="X1074" s="365" t="str">
        <f>IF(W1074="Phòng Kinh doanh","Trung tâm Kinh doanh - TCT CNC",+VLOOKUP($B1074,[2]Time_S4!$B:$G,5,0))</f>
        <v>Khối 3 - TCT CNC</v>
      </c>
      <c r="Y1074" s="366"/>
      <c r="Z1074" s="366"/>
    </row>
    <row r="1075" spans="1:26" ht="15.75" hidden="1">
      <c r="A1075" s="367">
        <f>SUBTOTAL(3,$B$15:B1075)</f>
        <v>2</v>
      </c>
      <c r="B1075" s="356" t="s">
        <v>2435</v>
      </c>
      <c r="C1075" s="356" t="s">
        <v>2436</v>
      </c>
      <c r="D1075" s="356" t="s">
        <v>407</v>
      </c>
      <c r="E1075" s="357">
        <v>21</v>
      </c>
      <c r="F1075" s="357">
        <v>21</v>
      </c>
      <c r="G1075" s="358">
        <v>20433060</v>
      </c>
      <c r="H1075" s="359">
        <f t="shared" si="33"/>
        <v>19563324</v>
      </c>
      <c r="I1075" s="360"/>
      <c r="K1075" s="362"/>
      <c r="M1075" s="361">
        <v>662656</v>
      </c>
      <c r="N1075" s="361">
        <v>1449560</v>
      </c>
      <c r="O1075" s="361">
        <v>124248</v>
      </c>
      <c r="P1075" s="361">
        <v>248496</v>
      </c>
      <c r="Q1075" s="361">
        <v>82832</v>
      </c>
      <c r="R1075" s="361">
        <v>82832</v>
      </c>
      <c r="S1075" s="361">
        <v>165664</v>
      </c>
      <c r="T1075" s="386">
        <v>930000</v>
      </c>
      <c r="U1075" s="364">
        <f t="shared" si="34"/>
        <v>23309612</v>
      </c>
      <c r="W1075" s="365" t="str">
        <f>+VLOOKUP($B1075,[2]Time_S4!$B:$G,6,0)</f>
        <v>Trung tâm Rada</v>
      </c>
      <c r="X1075" s="365" t="str">
        <f>IF(W1075="Phòng Kinh doanh","Trung tâm Kinh doanh - TCT CNC",+VLOOKUP($B1075,[2]Time_S4!$B:$G,5,0))</f>
        <v>Khối 1 - TCT CNC</v>
      </c>
      <c r="Y1075" s="366"/>
      <c r="Z1075" s="366"/>
    </row>
    <row r="1076" spans="1:26" ht="15.75" hidden="1">
      <c r="A1076" s="367">
        <f>SUBTOTAL(3,$B$15:B1076)</f>
        <v>2</v>
      </c>
      <c r="B1076" s="356" t="s">
        <v>2437</v>
      </c>
      <c r="C1076" s="356" t="s">
        <v>2438</v>
      </c>
      <c r="D1076" s="356" t="s">
        <v>407</v>
      </c>
      <c r="E1076" s="357">
        <v>21</v>
      </c>
      <c r="F1076" s="357">
        <v>21</v>
      </c>
      <c r="G1076" s="358">
        <v>15370780</v>
      </c>
      <c r="H1076" s="359">
        <f t="shared" si="33"/>
        <v>14542708</v>
      </c>
      <c r="I1076" s="360"/>
      <c r="K1076" s="362"/>
      <c r="M1076" s="361">
        <v>630912</v>
      </c>
      <c r="N1076" s="361">
        <v>1380120</v>
      </c>
      <c r="O1076" s="361">
        <v>118296</v>
      </c>
      <c r="P1076" s="361">
        <v>236592</v>
      </c>
      <c r="Q1076" s="361">
        <v>78864</v>
      </c>
      <c r="R1076" s="361">
        <v>78864</v>
      </c>
      <c r="S1076" s="361">
        <v>157728</v>
      </c>
      <c r="T1076" s="386">
        <v>930000</v>
      </c>
      <c r="U1076" s="364">
        <f t="shared" si="34"/>
        <v>18154084</v>
      </c>
      <c r="W1076" s="365" t="str">
        <f>+VLOOKUP($B1076,[2]Time_S4!$B:$G,6,0)</f>
        <v>Trung tâm Rada</v>
      </c>
      <c r="X1076" s="365" t="str">
        <f>IF(W1076="Phòng Kinh doanh","Trung tâm Kinh doanh - TCT CNC",+VLOOKUP($B1076,[2]Time_S4!$B:$G,5,0))</f>
        <v>Khối 1 - TCT CNC</v>
      </c>
      <c r="Y1076" s="366"/>
      <c r="Z1076" s="366"/>
    </row>
    <row r="1077" spans="1:26" ht="15.75" hidden="1">
      <c r="A1077" s="367">
        <f>SUBTOTAL(3,$B$15:B1077)</f>
        <v>2</v>
      </c>
      <c r="B1077" s="356" t="s">
        <v>2439</v>
      </c>
      <c r="C1077" s="356" t="s">
        <v>2440</v>
      </c>
      <c r="D1077" s="356" t="s">
        <v>407</v>
      </c>
      <c r="E1077" s="357">
        <v>21</v>
      </c>
      <c r="F1077" s="357">
        <v>21</v>
      </c>
      <c r="G1077" s="358">
        <v>16198960</v>
      </c>
      <c r="H1077" s="359">
        <f t="shared" si="33"/>
        <v>15370888</v>
      </c>
      <c r="I1077" s="360"/>
      <c r="K1077" s="362"/>
      <c r="M1077" s="361">
        <v>630912</v>
      </c>
      <c r="N1077" s="361">
        <v>1380120</v>
      </c>
      <c r="O1077" s="361">
        <v>118296</v>
      </c>
      <c r="P1077" s="361">
        <v>236592</v>
      </c>
      <c r="Q1077" s="361">
        <v>78864</v>
      </c>
      <c r="R1077" s="361">
        <v>78864</v>
      </c>
      <c r="S1077" s="361">
        <v>157728</v>
      </c>
      <c r="T1077" s="386">
        <v>930000</v>
      </c>
      <c r="U1077" s="364">
        <f t="shared" si="34"/>
        <v>18982264</v>
      </c>
      <c r="W1077" s="365" t="str">
        <f>+VLOOKUP($B1077,[2]Time_S4!$B:$G,6,0)</f>
        <v>Trung tâm Nghiên cứu thiết bị vô tuyến băng rộng</v>
      </c>
      <c r="X1077" s="365" t="str">
        <f>IF(W1077="Phòng Kinh doanh","Trung tâm Kinh doanh - TCT CNC",+VLOOKUP($B1077,[2]Time_S4!$B:$G,5,0))</f>
        <v>Khối 2 - TCT CNC</v>
      </c>
      <c r="Y1077" s="366"/>
      <c r="Z1077" s="366"/>
    </row>
    <row r="1078" spans="1:26" ht="15.75" hidden="1">
      <c r="A1078" s="367">
        <f>SUBTOTAL(3,$B$15:B1078)</f>
        <v>2</v>
      </c>
      <c r="B1078" s="356" t="s">
        <v>2441</v>
      </c>
      <c r="C1078" s="356" t="s">
        <v>2442</v>
      </c>
      <c r="D1078" s="356" t="s">
        <v>407</v>
      </c>
      <c r="E1078" s="357">
        <v>21</v>
      </c>
      <c r="F1078" s="357">
        <v>21</v>
      </c>
      <c r="G1078" s="358">
        <v>14433380</v>
      </c>
      <c r="H1078" s="359">
        <f t="shared" si="33"/>
        <v>13646972</v>
      </c>
      <c r="I1078" s="360"/>
      <c r="K1078" s="362"/>
      <c r="M1078" s="361">
        <v>599168</v>
      </c>
      <c r="N1078" s="361">
        <v>1310680</v>
      </c>
      <c r="O1078" s="361">
        <v>112344</v>
      </c>
      <c r="P1078" s="361">
        <v>224688</v>
      </c>
      <c r="Q1078" s="361">
        <v>74896</v>
      </c>
      <c r="R1078" s="361">
        <v>74896</v>
      </c>
      <c r="S1078" s="361">
        <v>149792</v>
      </c>
      <c r="T1078" s="386">
        <v>930000</v>
      </c>
      <c r="U1078" s="364">
        <f t="shared" si="34"/>
        <v>17123436</v>
      </c>
      <c r="W1078" s="365" t="str">
        <f>+VLOOKUP($B1078,[2]Time_S4!$B:$G,6,0)</f>
        <v>Trung tâm Nghiên cứu thiết bị vô tuyến băng rộng</v>
      </c>
      <c r="X1078" s="365" t="str">
        <f>IF(W1078="Phòng Kinh doanh","Trung tâm Kinh doanh - TCT CNC",+VLOOKUP($B1078,[2]Time_S4!$B:$G,5,0))</f>
        <v>Khối 2 - TCT CNC</v>
      </c>
      <c r="Y1078" s="366"/>
      <c r="Z1078" s="366"/>
    </row>
    <row r="1079" spans="1:26" ht="15.75" hidden="1">
      <c r="A1079" s="367">
        <f>SUBTOTAL(3,$B$15:B1079)</f>
        <v>2</v>
      </c>
      <c r="B1079" s="356" t="s">
        <v>2443</v>
      </c>
      <c r="C1079" s="356" t="s">
        <v>2444</v>
      </c>
      <c r="D1079" s="356" t="s">
        <v>407</v>
      </c>
      <c r="E1079" s="357">
        <v>21</v>
      </c>
      <c r="F1079" s="357">
        <v>21</v>
      </c>
      <c r="G1079" s="358">
        <v>16029540</v>
      </c>
      <c r="H1079" s="359">
        <f t="shared" si="33"/>
        <v>15201468</v>
      </c>
      <c r="I1079" s="360"/>
      <c r="K1079" s="362"/>
      <c r="M1079" s="361">
        <v>630912</v>
      </c>
      <c r="N1079" s="361">
        <v>1380120</v>
      </c>
      <c r="O1079" s="361">
        <v>118296</v>
      </c>
      <c r="P1079" s="361">
        <v>236592</v>
      </c>
      <c r="Q1079" s="361">
        <v>78864</v>
      </c>
      <c r="R1079" s="361">
        <v>78864</v>
      </c>
      <c r="S1079" s="361">
        <v>157728</v>
      </c>
      <c r="T1079" s="386">
        <v>930000</v>
      </c>
      <c r="U1079" s="364">
        <f t="shared" si="34"/>
        <v>18812844</v>
      </c>
      <c r="W1079" s="365" t="str">
        <f>+VLOOKUP($B1079,[2]Time_S4!$B:$G,6,0)</f>
        <v>Trung tâm Camera</v>
      </c>
      <c r="X1079" s="365" t="str">
        <f>IF(W1079="Phòng Kinh doanh","Trung tâm Kinh doanh - TCT CNC",+VLOOKUP($B1079,[2]Time_S4!$B:$G,5,0))</f>
        <v>Khối 3 - TCT CNC</v>
      </c>
      <c r="Y1079" s="366"/>
      <c r="Z1079" s="366"/>
    </row>
    <row r="1080" spans="1:26" ht="15.75" hidden="1">
      <c r="A1080" s="367">
        <f>SUBTOTAL(3,$B$15:B1080)</f>
        <v>2</v>
      </c>
      <c r="B1080" s="356" t="s">
        <v>2445</v>
      </c>
      <c r="C1080" s="356" t="s">
        <v>2446</v>
      </c>
      <c r="D1080" s="356" t="s">
        <v>407</v>
      </c>
      <c r="E1080" s="357">
        <v>21</v>
      </c>
      <c r="F1080" s="357">
        <v>21</v>
      </c>
      <c r="G1080" s="358">
        <v>15370780</v>
      </c>
      <c r="H1080" s="359">
        <f t="shared" si="33"/>
        <v>14542708</v>
      </c>
      <c r="I1080" s="360"/>
      <c r="K1080" s="362"/>
      <c r="M1080" s="361">
        <v>630912</v>
      </c>
      <c r="N1080" s="361">
        <v>1380120</v>
      </c>
      <c r="O1080" s="361">
        <v>118296</v>
      </c>
      <c r="P1080" s="361">
        <v>236592</v>
      </c>
      <c r="Q1080" s="361">
        <v>78864</v>
      </c>
      <c r="R1080" s="361">
        <v>78864</v>
      </c>
      <c r="S1080" s="361">
        <v>157728</v>
      </c>
      <c r="T1080" s="363">
        <v>930000</v>
      </c>
      <c r="U1080" s="364">
        <f t="shared" si="34"/>
        <v>18154084</v>
      </c>
      <c r="W1080" s="365" t="str">
        <f>+VLOOKUP($B1080,[2]Time_S4!$B:$G,6,0)</f>
        <v>Trung tâm sản xuất</v>
      </c>
      <c r="X1080" s="365" t="str">
        <f>IF(W1080="Phòng Kinh doanh","Trung tâm Kinh doanh - TCT CNC",+VLOOKUP($B1080,[2]Time_S4!$B:$G,5,0))</f>
        <v>Khối 1 - TCT CNC</v>
      </c>
      <c r="Y1080" s="366"/>
      <c r="Z1080" s="366"/>
    </row>
    <row r="1081" spans="1:26" ht="15.75" hidden="1">
      <c r="A1081" s="367">
        <f>SUBTOTAL(3,$B$15:B1081)</f>
        <v>2</v>
      </c>
      <c r="B1081" s="356" t="s">
        <v>2447</v>
      </c>
      <c r="C1081" s="356" t="s">
        <v>2448</v>
      </c>
      <c r="D1081" s="356" t="s">
        <v>407</v>
      </c>
      <c r="E1081" s="357">
        <v>21</v>
      </c>
      <c r="F1081" s="357">
        <v>21</v>
      </c>
      <c r="G1081" s="358">
        <v>19029540</v>
      </c>
      <c r="H1081" s="359">
        <f t="shared" si="33"/>
        <v>18201468</v>
      </c>
      <c r="I1081" s="360"/>
      <c r="K1081" s="362"/>
      <c r="M1081" s="361">
        <v>630912</v>
      </c>
      <c r="N1081" s="361">
        <v>1380120</v>
      </c>
      <c r="O1081" s="361">
        <v>118296</v>
      </c>
      <c r="P1081" s="361">
        <v>236592</v>
      </c>
      <c r="Q1081" s="361">
        <v>78864</v>
      </c>
      <c r="R1081" s="361">
        <v>78864</v>
      </c>
      <c r="S1081" s="361">
        <v>157728</v>
      </c>
      <c r="T1081" s="363">
        <v>930000</v>
      </c>
      <c r="U1081" s="364">
        <f t="shared" si="34"/>
        <v>21812844</v>
      </c>
      <c r="W1081" s="365" t="str">
        <f>+VLOOKUP($B1081,[2]Time_S4!$B:$G,6,0)</f>
        <v>Trung tâm Rada</v>
      </c>
      <c r="X1081" s="365" t="str">
        <f>IF(W1081="Phòng Kinh doanh","Trung tâm Kinh doanh - TCT CNC",+VLOOKUP($B1081,[2]Time_S4!$B:$G,5,0))</f>
        <v>Khối 1 - TCT CNC</v>
      </c>
      <c r="Y1081" s="366"/>
      <c r="Z1081" s="366"/>
    </row>
    <row r="1082" spans="1:26" ht="15.75" hidden="1">
      <c r="A1082" s="367">
        <f>SUBTOTAL(3,$B$15:B1082)</f>
        <v>2</v>
      </c>
      <c r="B1082" s="356" t="s">
        <v>2449</v>
      </c>
      <c r="C1082" s="356" t="s">
        <v>2450</v>
      </c>
      <c r="D1082" s="356" t="s">
        <v>407</v>
      </c>
      <c r="E1082" s="357">
        <v>21</v>
      </c>
      <c r="F1082" s="357">
        <v>21</v>
      </c>
      <c r="G1082" s="358">
        <v>15723380</v>
      </c>
      <c r="H1082" s="359">
        <f t="shared" si="33"/>
        <v>14853644</v>
      </c>
      <c r="I1082" s="360"/>
      <c r="K1082" s="362"/>
      <c r="M1082" s="361">
        <v>662656</v>
      </c>
      <c r="N1082" s="361">
        <v>1449560</v>
      </c>
      <c r="O1082" s="361">
        <v>124248</v>
      </c>
      <c r="P1082" s="361">
        <v>248496</v>
      </c>
      <c r="Q1082" s="361">
        <v>82832</v>
      </c>
      <c r="R1082" s="361">
        <v>82832</v>
      </c>
      <c r="S1082" s="361">
        <v>165664</v>
      </c>
      <c r="T1082" s="363">
        <v>930000</v>
      </c>
      <c r="U1082" s="364">
        <f t="shared" si="34"/>
        <v>18599932</v>
      </c>
      <c r="W1082" s="365" t="str">
        <f>+VLOOKUP($B1082,[2]Time_S4!$B:$G,6,0)</f>
        <v>Trung tâm Camera</v>
      </c>
      <c r="X1082" s="365" t="str">
        <f>IF(W1082="Phòng Kinh doanh","Trung tâm Kinh doanh - TCT CNC",+VLOOKUP($B1082,[2]Time_S4!$B:$G,5,0))</f>
        <v>Khối 3 - TCT CNC</v>
      </c>
      <c r="Y1082" s="366"/>
      <c r="Z1082" s="366"/>
    </row>
    <row r="1083" spans="1:26" ht="15.75" hidden="1">
      <c r="A1083" s="367">
        <f>SUBTOTAL(3,$B$15:B1083)</f>
        <v>2</v>
      </c>
      <c r="B1083" s="356" t="s">
        <v>2451</v>
      </c>
      <c r="C1083" s="356" t="s">
        <v>2452</v>
      </c>
      <c r="D1083" s="356" t="s">
        <v>407</v>
      </c>
      <c r="E1083" s="357">
        <v>21</v>
      </c>
      <c r="F1083" s="357">
        <v>21</v>
      </c>
      <c r="G1083" s="358">
        <v>24362040</v>
      </c>
      <c r="H1083" s="359">
        <f t="shared" si="33"/>
        <v>23445432</v>
      </c>
      <c r="I1083" s="360"/>
      <c r="K1083" s="362"/>
      <c r="M1083" s="361">
        <v>698368</v>
      </c>
      <c r="N1083" s="361">
        <v>1527680</v>
      </c>
      <c r="O1083" s="361">
        <v>130944</v>
      </c>
      <c r="P1083" s="361">
        <v>261888</v>
      </c>
      <c r="Q1083" s="361">
        <v>87296</v>
      </c>
      <c r="R1083" s="361">
        <v>87296</v>
      </c>
      <c r="S1083" s="361">
        <v>174592</v>
      </c>
      <c r="T1083" s="363">
        <v>930000</v>
      </c>
      <c r="U1083" s="364">
        <f t="shared" si="34"/>
        <v>27343496</v>
      </c>
      <c r="W1083" s="365" t="str">
        <f>+VLOOKUP($B1083,[2]Time_S4!$B:$G,6,0)</f>
        <v>Trung tâm Chỉ huy điều khiển</v>
      </c>
      <c r="X1083" s="365" t="str">
        <f>IF(W1083="Phòng Kinh doanh","Trung tâm Kinh doanh - TCT CNC",+VLOOKUP($B1083,[2]Time_S4!$B:$G,5,0))</f>
        <v>Khối 1 - TCT CNC</v>
      </c>
      <c r="Y1083" s="366"/>
      <c r="Z1083" s="366"/>
    </row>
    <row r="1084" spans="1:26" ht="15.75" hidden="1">
      <c r="A1084" s="367">
        <f>SUBTOTAL(3,$B$15:B1084)</f>
        <v>2</v>
      </c>
      <c r="B1084" s="356" t="s">
        <v>2453</v>
      </c>
      <c r="C1084" s="356" t="s">
        <v>2454</v>
      </c>
      <c r="D1084" s="356" t="s">
        <v>407</v>
      </c>
      <c r="E1084" s="357">
        <v>21</v>
      </c>
      <c r="F1084" s="357">
        <v>21</v>
      </c>
      <c r="G1084" s="358">
        <v>18566540</v>
      </c>
      <c r="H1084" s="359">
        <f t="shared" si="33"/>
        <v>17696804</v>
      </c>
      <c r="I1084" s="360"/>
      <c r="K1084" s="362"/>
      <c r="M1084" s="361">
        <v>662656</v>
      </c>
      <c r="N1084" s="361">
        <v>1449560</v>
      </c>
      <c r="O1084" s="361">
        <v>124248</v>
      </c>
      <c r="P1084" s="361">
        <v>248496</v>
      </c>
      <c r="Q1084" s="361">
        <v>82832</v>
      </c>
      <c r="R1084" s="361">
        <v>82832</v>
      </c>
      <c r="S1084" s="361">
        <v>165664</v>
      </c>
      <c r="T1084" s="363">
        <v>930000</v>
      </c>
      <c r="U1084" s="364">
        <f t="shared" si="34"/>
        <v>21443092</v>
      </c>
      <c r="W1084" s="365" t="str">
        <f>+VLOOKUP($B1084,[2]Time_S4!$B:$G,6,0)</f>
        <v>Trung tâm Nghiên cứu Công nghệ chuyển mạch</v>
      </c>
      <c r="X1084" s="365" t="str">
        <f>IF(W1084="Phòng Kinh doanh","Trung tâm Kinh doanh - TCT CNC",+VLOOKUP($B1084,[2]Time_S4!$B:$G,5,0))</f>
        <v>Khối 2 - TCT CNC</v>
      </c>
      <c r="Y1084" s="366"/>
      <c r="Z1084" s="366"/>
    </row>
    <row r="1085" spans="1:26" ht="15.75" hidden="1">
      <c r="A1085" s="367">
        <f>SUBTOTAL(3,$B$15:B1085)</f>
        <v>2</v>
      </c>
      <c r="B1085" s="356" t="s">
        <v>2455</v>
      </c>
      <c r="C1085" s="356" t="s">
        <v>2456</v>
      </c>
      <c r="D1085" s="356" t="s">
        <v>407</v>
      </c>
      <c r="E1085" s="357">
        <v>21</v>
      </c>
      <c r="F1085" s="357">
        <v>21</v>
      </c>
      <c r="G1085" s="358">
        <v>18180400</v>
      </c>
      <c r="H1085" s="359">
        <f t="shared" si="33"/>
        <v>17310664</v>
      </c>
      <c r="I1085" s="360"/>
      <c r="K1085" s="362"/>
      <c r="M1085" s="361">
        <v>662656</v>
      </c>
      <c r="N1085" s="361">
        <v>1449560</v>
      </c>
      <c r="O1085" s="361">
        <v>124248</v>
      </c>
      <c r="P1085" s="361">
        <v>248496</v>
      </c>
      <c r="Q1085" s="361">
        <v>82832</v>
      </c>
      <c r="R1085" s="361">
        <v>82832</v>
      </c>
      <c r="S1085" s="361">
        <v>165664</v>
      </c>
      <c r="T1085" s="363">
        <v>930000</v>
      </c>
      <c r="U1085" s="364">
        <f t="shared" si="34"/>
        <v>21056952</v>
      </c>
      <c r="W1085" s="365" t="str">
        <f>+VLOOKUP($B1085,[2]Time_S4!$B:$G,6,0)</f>
        <v>Trung tâm Camera</v>
      </c>
      <c r="X1085" s="365" t="str">
        <f>IF(W1085="Phòng Kinh doanh","Trung tâm Kinh doanh - TCT CNC",+VLOOKUP($B1085,[2]Time_S4!$B:$G,5,0))</f>
        <v>Khối 3 - TCT CNC</v>
      </c>
      <c r="Y1085" s="366"/>
      <c r="Z1085" s="366"/>
    </row>
    <row r="1086" spans="1:26" ht="15.75" hidden="1">
      <c r="A1086" s="367">
        <f>SUBTOTAL(3,$B$15:B1086)</f>
        <v>2</v>
      </c>
      <c r="B1086" s="356" t="s">
        <v>2457</v>
      </c>
      <c r="C1086" s="356" t="s">
        <v>2458</v>
      </c>
      <c r="D1086" s="356" t="s">
        <v>407</v>
      </c>
      <c r="E1086" s="357">
        <v>21</v>
      </c>
      <c r="F1086" s="357">
        <v>21</v>
      </c>
      <c r="G1086" s="358">
        <v>15370780</v>
      </c>
      <c r="H1086" s="359">
        <f t="shared" si="33"/>
        <v>14542708</v>
      </c>
      <c r="I1086" s="360"/>
      <c r="K1086" s="362"/>
      <c r="M1086" s="361">
        <v>630912</v>
      </c>
      <c r="N1086" s="361">
        <v>1380120</v>
      </c>
      <c r="O1086" s="361">
        <v>118296</v>
      </c>
      <c r="P1086" s="361">
        <v>236592</v>
      </c>
      <c r="Q1086" s="361">
        <v>78864</v>
      </c>
      <c r="R1086" s="361">
        <v>78864</v>
      </c>
      <c r="S1086" s="361">
        <v>157728</v>
      </c>
      <c r="T1086" s="363">
        <v>930000</v>
      </c>
      <c r="U1086" s="364">
        <f t="shared" si="34"/>
        <v>18154084</v>
      </c>
      <c r="W1086" s="365" t="str">
        <f>+VLOOKUP($B1086,[2]Time_S4!$B:$G,6,0)</f>
        <v>Trung tâm Kỹ thuật công nghệ - TCT CNC</v>
      </c>
      <c r="X1086" s="365" t="str">
        <f>IF(W1086="Phòng Kinh doanh","Trung tâm Kinh doanh - TCT CNC",+VLOOKUP($B1086,[2]Time_S4!$B:$G,5,0))</f>
        <v>Khối 2 - TCT CNC</v>
      </c>
      <c r="Y1086" s="366"/>
      <c r="Z1086" s="366"/>
    </row>
    <row r="1087" spans="1:26" ht="15.75" hidden="1">
      <c r="A1087" s="367">
        <f>SUBTOTAL(3,$B$15:B1087)</f>
        <v>2</v>
      </c>
      <c r="B1087" s="356" t="s">
        <v>2459</v>
      </c>
      <c r="C1087" s="356" t="s">
        <v>2062</v>
      </c>
      <c r="D1087" s="356" t="s">
        <v>407</v>
      </c>
      <c r="E1087" s="357">
        <v>21</v>
      </c>
      <c r="F1087" s="357">
        <v>21</v>
      </c>
      <c r="G1087" s="358">
        <v>15370780</v>
      </c>
      <c r="H1087" s="359">
        <f t="shared" si="33"/>
        <v>14542708</v>
      </c>
      <c r="I1087" s="360"/>
      <c r="K1087" s="362"/>
      <c r="M1087" s="361">
        <v>630912</v>
      </c>
      <c r="N1087" s="361">
        <v>1380120</v>
      </c>
      <c r="O1087" s="361">
        <v>118296</v>
      </c>
      <c r="P1087" s="361">
        <v>236592</v>
      </c>
      <c r="Q1087" s="361">
        <v>78864</v>
      </c>
      <c r="R1087" s="361">
        <v>78864</v>
      </c>
      <c r="S1087" s="361">
        <v>157728</v>
      </c>
      <c r="T1087" s="363">
        <v>930000</v>
      </c>
      <c r="U1087" s="364">
        <f t="shared" si="34"/>
        <v>18154084</v>
      </c>
      <c r="W1087" s="365" t="str">
        <f>+VLOOKUP($B1087,[2]Time_S4!$B:$G,6,0)</f>
        <v>Trung tâm Nghiên cứu giải pháp tích hợp công nghệ cao</v>
      </c>
      <c r="X1087" s="365" t="str">
        <f>IF(W1087="Phòng Kinh doanh","Trung tâm Kinh doanh - TCT CNC",+VLOOKUP($B1087,[2]Time_S4!$B:$G,5,0))</f>
        <v>Khối 1 - TCT CNC</v>
      </c>
      <c r="Y1087" s="366"/>
      <c r="Z1087" s="366"/>
    </row>
    <row r="1088" spans="1:26" ht="15.75" hidden="1">
      <c r="A1088" s="367">
        <f>SUBTOTAL(3,$B$15:B1088)</f>
        <v>2</v>
      </c>
      <c r="B1088" s="356" t="s">
        <v>2460</v>
      </c>
      <c r="C1088" s="356" t="s">
        <v>2461</v>
      </c>
      <c r="D1088" s="356" t="s">
        <v>407</v>
      </c>
      <c r="E1088" s="357">
        <v>21</v>
      </c>
      <c r="F1088" s="357">
        <v>21</v>
      </c>
      <c r="G1088" s="358">
        <v>34692400</v>
      </c>
      <c r="H1088" s="359">
        <f t="shared" si="33"/>
        <v>33567472</v>
      </c>
      <c r="I1088" s="360"/>
      <c r="K1088" s="362"/>
      <c r="M1088" s="361">
        <v>857088</v>
      </c>
      <c r="N1088" s="361">
        <v>1874880</v>
      </c>
      <c r="O1088" s="361">
        <v>160704</v>
      </c>
      <c r="P1088" s="361">
        <v>321408</v>
      </c>
      <c r="Q1088" s="361">
        <v>107136</v>
      </c>
      <c r="R1088" s="361">
        <v>107136</v>
      </c>
      <c r="S1088" s="361">
        <v>214272</v>
      </c>
      <c r="T1088" s="363">
        <v>1030000</v>
      </c>
      <c r="U1088" s="364">
        <f t="shared" si="34"/>
        <v>38240096</v>
      </c>
      <c r="W1088" s="365" t="str">
        <f>+VLOOKUP($B1088,[2]Time_S4!$B:$G,6,0)</f>
        <v>Phòng Phát triển thị trường trong nước</v>
      </c>
      <c r="X1088" s="365" t="str">
        <f>IF(W1088="Phòng Kinh doanh","Trung tâm Kinh doanh - TCT CNC",+VLOOKUP($B1088,[2]Time_S4!$B:$G,5,0))</f>
        <v>Trung tâm Kinh doanh - TCT CNC</v>
      </c>
      <c r="Y1088" s="366"/>
      <c r="Z1088" s="366"/>
    </row>
    <row r="1089" spans="1:26" ht="15.75" hidden="1">
      <c r="A1089" s="367">
        <f>SUBTOTAL(3,$B$15:B1089)</f>
        <v>2</v>
      </c>
      <c r="B1089" s="356" t="s">
        <v>2462</v>
      </c>
      <c r="C1089" s="356" t="s">
        <v>2463</v>
      </c>
      <c r="D1089" s="356" t="s">
        <v>407</v>
      </c>
      <c r="E1089" s="357">
        <v>21</v>
      </c>
      <c r="F1089" s="357">
        <v>21</v>
      </c>
      <c r="G1089" s="358">
        <v>20975400</v>
      </c>
      <c r="H1089" s="359">
        <f t="shared" si="33"/>
        <v>20058792</v>
      </c>
      <c r="I1089" s="360"/>
      <c r="K1089" s="362"/>
      <c r="M1089" s="361">
        <v>698368</v>
      </c>
      <c r="N1089" s="361">
        <v>1527680</v>
      </c>
      <c r="O1089" s="361">
        <v>130944</v>
      </c>
      <c r="P1089" s="361">
        <v>261888</v>
      </c>
      <c r="Q1089" s="361">
        <v>87296</v>
      </c>
      <c r="R1089" s="361">
        <v>87296</v>
      </c>
      <c r="S1089" s="361">
        <v>174592</v>
      </c>
      <c r="T1089" s="389">
        <v>1030000</v>
      </c>
      <c r="U1089" s="364">
        <f t="shared" si="34"/>
        <v>24056856</v>
      </c>
      <c r="W1089" s="365" t="str">
        <f>+VLOOKUP($B1089,[2]Time_S4!$B:$G,6,0)</f>
        <v>Trung tâm Thông tin Quân sự</v>
      </c>
      <c r="X1089" s="365" t="str">
        <f>IF(W1089="Phòng Kinh doanh","Trung tâm Kinh doanh - TCT CNC",+VLOOKUP($B1089,[2]Time_S4!$B:$G,5,0))</f>
        <v>Khối 1 - TCT CNC</v>
      </c>
      <c r="Y1089" s="366"/>
      <c r="Z1089" s="366"/>
    </row>
    <row r="1090" spans="1:26" ht="15.75" hidden="1">
      <c r="A1090" s="367">
        <f>SUBTOTAL(3,$B$15:B1090)</f>
        <v>2</v>
      </c>
      <c r="B1090" s="356" t="s">
        <v>2464</v>
      </c>
      <c r="C1090" s="356" t="s">
        <v>2465</v>
      </c>
      <c r="D1090" s="356" t="s">
        <v>407</v>
      </c>
      <c r="E1090" s="357">
        <v>21</v>
      </c>
      <c r="F1090" s="357">
        <v>0</v>
      </c>
      <c r="G1090" s="358">
        <v>0</v>
      </c>
      <c r="H1090" s="359">
        <f t="shared" si="33"/>
        <v>0</v>
      </c>
      <c r="I1090" s="360"/>
      <c r="K1090" s="362"/>
      <c r="M1090" s="361">
        <v>0</v>
      </c>
      <c r="N1090" s="361">
        <v>0</v>
      </c>
      <c r="O1090" s="361">
        <v>0</v>
      </c>
      <c r="P1090" s="361">
        <v>0</v>
      </c>
      <c r="Q1090" s="361">
        <v>0</v>
      </c>
      <c r="R1090" s="361">
        <v>0</v>
      </c>
      <c r="S1090" s="361">
        <v>0</v>
      </c>
      <c r="T1090" s="389">
        <v>0</v>
      </c>
      <c r="U1090" s="364">
        <f t="shared" si="34"/>
        <v>0</v>
      </c>
      <c r="W1090" s="365" t="str">
        <f>+VLOOKUP($B1090,[2]Time_S4!$B:$G,6,0)</f>
        <v>Trung tâm Chỉ huy điều khiển</v>
      </c>
      <c r="X1090" s="365" t="str">
        <f>IF(W1090="Phòng Kinh doanh","Trung tâm Kinh doanh - TCT CNC",+VLOOKUP($B1090,[2]Time_S4!$B:$G,5,0))</f>
        <v>Khối 1 - TCT CNC</v>
      </c>
      <c r="Y1090" s="366"/>
      <c r="Z1090" s="366"/>
    </row>
    <row r="1091" spans="1:26" ht="15.75" hidden="1">
      <c r="A1091" s="367">
        <f>SUBTOTAL(3,$B$15:B1091)</f>
        <v>2</v>
      </c>
      <c r="B1091" s="356" t="s">
        <v>2466</v>
      </c>
      <c r="C1091" s="356" t="s">
        <v>2467</v>
      </c>
      <c r="D1091" s="356" t="s">
        <v>407</v>
      </c>
      <c r="E1091" s="357">
        <v>21</v>
      </c>
      <c r="F1091" s="357">
        <v>21</v>
      </c>
      <c r="G1091" s="358">
        <v>15696720</v>
      </c>
      <c r="H1091" s="359">
        <f t="shared" si="33"/>
        <v>14868648</v>
      </c>
      <c r="I1091" s="360"/>
      <c r="K1091" s="362"/>
      <c r="M1091" s="361">
        <v>630912</v>
      </c>
      <c r="N1091" s="361">
        <v>1380120</v>
      </c>
      <c r="O1091" s="361">
        <v>118296</v>
      </c>
      <c r="P1091" s="361">
        <v>236592</v>
      </c>
      <c r="Q1091" s="361">
        <v>78864</v>
      </c>
      <c r="R1091" s="361">
        <v>78864</v>
      </c>
      <c r="S1091" s="361">
        <v>157728</v>
      </c>
      <c r="T1091" s="389">
        <v>930000</v>
      </c>
      <c r="U1091" s="364">
        <f t="shared" si="34"/>
        <v>18480024</v>
      </c>
      <c r="W1091" s="365" t="str">
        <f>+VLOOKUP($B1091,[2]Time_S4!$B:$G,6,0)</f>
        <v>Trung tâm Camera</v>
      </c>
      <c r="X1091" s="365" t="str">
        <f>IF(W1091="Phòng Kinh doanh","Trung tâm Kinh doanh - TCT CNC",+VLOOKUP($B1091,[2]Time_S4!$B:$G,5,0))</f>
        <v>Khối 3 - TCT CNC</v>
      </c>
      <c r="Y1091" s="366"/>
      <c r="Z1091" s="366"/>
    </row>
    <row r="1092" spans="1:26" ht="15.75" hidden="1">
      <c r="A1092" s="367">
        <f>SUBTOTAL(3,$B$15:B1092)</f>
        <v>2</v>
      </c>
      <c r="B1092" s="356" t="s">
        <v>2468</v>
      </c>
      <c r="C1092" s="356" t="s">
        <v>2469</v>
      </c>
      <c r="D1092" s="356" t="s">
        <v>407</v>
      </c>
      <c r="E1092" s="357">
        <v>21</v>
      </c>
      <c r="F1092" s="357">
        <v>21</v>
      </c>
      <c r="G1092" s="358">
        <v>15862700</v>
      </c>
      <c r="H1092" s="359">
        <f t="shared" si="33"/>
        <v>15034628</v>
      </c>
      <c r="I1092" s="360"/>
      <c r="K1092" s="362"/>
      <c r="M1092" s="361">
        <v>630912</v>
      </c>
      <c r="N1092" s="361">
        <v>1380120</v>
      </c>
      <c r="O1092" s="361">
        <v>118296</v>
      </c>
      <c r="P1092" s="361">
        <v>236592</v>
      </c>
      <c r="Q1092" s="361">
        <v>78864</v>
      </c>
      <c r="R1092" s="361">
        <v>78864</v>
      </c>
      <c r="S1092" s="361">
        <v>157728</v>
      </c>
      <c r="T1092" s="389">
        <v>930000</v>
      </c>
      <c r="U1092" s="364">
        <f t="shared" si="34"/>
        <v>18646004</v>
      </c>
      <c r="W1092" s="365" t="str">
        <f>+VLOOKUP($B1092,[2]Time_S4!$B:$G,6,0)</f>
        <v>Trung tâm Khí cụ bay</v>
      </c>
      <c r="X1092" s="365" t="str">
        <f>IF(W1092="Phòng Kinh doanh","Trung tâm Kinh doanh - TCT CNC",+VLOOKUP($B1092,[2]Time_S4!$B:$G,5,0))</f>
        <v>Khối 1 - TCT CNC</v>
      </c>
      <c r="Y1092" s="366"/>
      <c r="Z1092" s="366"/>
    </row>
    <row r="1093" spans="1:26" ht="15.75" hidden="1">
      <c r="A1093" s="367">
        <f>SUBTOTAL(3,$B$15:B1093)</f>
        <v>2</v>
      </c>
      <c r="B1093" s="356" t="s">
        <v>2470</v>
      </c>
      <c r="C1093" s="356" t="s">
        <v>2471</v>
      </c>
      <c r="D1093" s="356" t="s">
        <v>407</v>
      </c>
      <c r="E1093" s="357">
        <v>21</v>
      </c>
      <c r="F1093" s="357">
        <v>21</v>
      </c>
      <c r="G1093" s="358">
        <v>14433380</v>
      </c>
      <c r="H1093" s="359">
        <f t="shared" si="33"/>
        <v>13646972</v>
      </c>
      <c r="I1093" s="360"/>
      <c r="K1093" s="362"/>
      <c r="M1093" s="361">
        <v>599168</v>
      </c>
      <c r="N1093" s="361">
        <v>1310680</v>
      </c>
      <c r="O1093" s="361">
        <v>112344</v>
      </c>
      <c r="P1093" s="361">
        <v>224688</v>
      </c>
      <c r="Q1093" s="361">
        <v>74896</v>
      </c>
      <c r="R1093" s="361">
        <v>74896</v>
      </c>
      <c r="S1093" s="361">
        <v>149792</v>
      </c>
      <c r="T1093" s="389">
        <v>930000</v>
      </c>
      <c r="U1093" s="364">
        <f t="shared" si="34"/>
        <v>17123436</v>
      </c>
      <c r="W1093" s="365" t="str">
        <f>+VLOOKUP($B1093,[2]Time_S4!$B:$G,6,0)</f>
        <v>Trung tâm Rada</v>
      </c>
      <c r="X1093" s="365" t="str">
        <f>IF(W1093="Phòng Kinh doanh","Trung tâm Kinh doanh - TCT CNC",+VLOOKUP($B1093,[2]Time_S4!$B:$G,5,0))</f>
        <v>Khối 1 - TCT CNC</v>
      </c>
      <c r="Y1093" s="366"/>
      <c r="Z1093" s="366"/>
    </row>
    <row r="1094" spans="1:26" ht="15.75" hidden="1">
      <c r="A1094" s="367">
        <f>SUBTOTAL(3,$B$15:B1094)</f>
        <v>2</v>
      </c>
      <c r="B1094" s="382" t="s">
        <v>2472</v>
      </c>
      <c r="C1094" s="383" t="s">
        <v>2473</v>
      </c>
      <c r="D1094" s="384" t="s">
        <v>407</v>
      </c>
      <c r="E1094" s="385">
        <v>21</v>
      </c>
      <c r="F1094" s="384">
        <v>21</v>
      </c>
      <c r="G1094" s="358">
        <v>15370780</v>
      </c>
      <c r="H1094" s="359">
        <f t="shared" si="33"/>
        <v>14542708</v>
      </c>
      <c r="I1094" s="360"/>
      <c r="K1094" s="362"/>
      <c r="M1094" s="361">
        <v>630912</v>
      </c>
      <c r="N1094" s="361">
        <v>1380120</v>
      </c>
      <c r="O1094" s="361">
        <v>118296</v>
      </c>
      <c r="P1094" s="361">
        <v>236592</v>
      </c>
      <c r="Q1094" s="361">
        <v>78864</v>
      </c>
      <c r="R1094" s="361">
        <v>78864</v>
      </c>
      <c r="S1094" s="361">
        <v>157728</v>
      </c>
      <c r="T1094" s="389">
        <v>930000</v>
      </c>
      <c r="U1094" s="364">
        <f t="shared" si="34"/>
        <v>18154084</v>
      </c>
      <c r="W1094" s="365" t="str">
        <f>+VLOOKUP($B1094,[2]Time_S4!$B:$G,6,0)</f>
        <v>Trung tâm Nghiên cứu giải pháp tích hợp công nghệ cao</v>
      </c>
      <c r="X1094" s="365" t="str">
        <f>IF(W1094="Phòng Kinh doanh","Trung tâm Kinh doanh - TCT CNC",+VLOOKUP($B1094,[2]Time_S4!$B:$G,5,0))</f>
        <v>Khối 1 - TCT CNC</v>
      </c>
      <c r="Y1094" s="366"/>
      <c r="Z1094" s="366"/>
    </row>
    <row r="1095" spans="1:26" ht="15.75" hidden="1">
      <c r="A1095" s="367">
        <f>SUBTOTAL(3,$B$15:B1095)</f>
        <v>2</v>
      </c>
      <c r="B1095" s="382" t="s">
        <v>2474</v>
      </c>
      <c r="C1095" s="383" t="s">
        <v>2062</v>
      </c>
      <c r="D1095" s="384" t="s">
        <v>407</v>
      </c>
      <c r="E1095" s="385">
        <v>21</v>
      </c>
      <c r="F1095" s="384">
        <v>21</v>
      </c>
      <c r="G1095" s="358">
        <v>15370780</v>
      </c>
      <c r="H1095" s="359">
        <f t="shared" si="33"/>
        <v>14542708</v>
      </c>
      <c r="I1095" s="360"/>
      <c r="K1095" s="362"/>
      <c r="M1095" s="361">
        <v>630912</v>
      </c>
      <c r="N1095" s="361">
        <v>1380120</v>
      </c>
      <c r="O1095" s="361">
        <v>118296</v>
      </c>
      <c r="P1095" s="361">
        <v>236592</v>
      </c>
      <c r="Q1095" s="361">
        <v>78864</v>
      </c>
      <c r="R1095" s="361">
        <v>78864</v>
      </c>
      <c r="S1095" s="361">
        <v>157728</v>
      </c>
      <c r="T1095" s="389">
        <v>930000</v>
      </c>
      <c r="U1095" s="364">
        <f t="shared" si="34"/>
        <v>18154084</v>
      </c>
      <c r="W1095" s="365" t="str">
        <f>+VLOOKUP($B1095,[2]Time_S4!$B:$G,6,0)</f>
        <v>Trung tâm Rada</v>
      </c>
      <c r="X1095" s="365" t="str">
        <f>IF(W1095="Phòng Kinh doanh","Trung tâm Kinh doanh - TCT CNC",+VLOOKUP($B1095,[2]Time_S4!$B:$G,5,0))</f>
        <v>Khối 1 - TCT CNC</v>
      </c>
      <c r="Y1095" s="366"/>
      <c r="Z1095" s="366"/>
    </row>
    <row r="1096" spans="1:26" ht="15.75" hidden="1">
      <c r="A1096" s="367">
        <f>SUBTOTAL(3,$B$15:B1096)</f>
        <v>2</v>
      </c>
      <c r="B1096" s="382" t="s">
        <v>2475</v>
      </c>
      <c r="C1096" s="383" t="s">
        <v>2476</v>
      </c>
      <c r="D1096" s="384" t="s">
        <v>407</v>
      </c>
      <c r="E1096" s="385">
        <v>21</v>
      </c>
      <c r="F1096" s="384">
        <v>21</v>
      </c>
      <c r="G1096" s="358">
        <v>18566540</v>
      </c>
      <c r="H1096" s="359">
        <f t="shared" si="33"/>
        <v>17696804</v>
      </c>
      <c r="I1096" s="360"/>
      <c r="K1096" s="362"/>
      <c r="M1096" s="361">
        <v>662656</v>
      </c>
      <c r="N1096" s="361">
        <v>1449560</v>
      </c>
      <c r="O1096" s="361">
        <v>124248</v>
      </c>
      <c r="P1096" s="361">
        <v>248496</v>
      </c>
      <c r="Q1096" s="361">
        <v>82832</v>
      </c>
      <c r="R1096" s="361">
        <v>82832</v>
      </c>
      <c r="S1096" s="361">
        <v>165664</v>
      </c>
      <c r="T1096" s="389">
        <v>930000</v>
      </c>
      <c r="U1096" s="364">
        <f t="shared" si="34"/>
        <v>21443092</v>
      </c>
      <c r="W1096" s="365" t="str">
        <f>+VLOOKUP($B1096,[2]Time_S4!$B:$G,6,0)</f>
        <v>Trung tâm dịch vụ sau bán hàng</v>
      </c>
      <c r="X1096" s="365" t="str">
        <f>IF(W1096="Phòng Kinh doanh","Trung tâm Kinh doanh - TCT CNC",+VLOOKUP($B1096,[2]Time_S4!$B:$G,5,0))</f>
        <v>Khối 1 - TCT CNC</v>
      </c>
      <c r="Y1096" s="366"/>
      <c r="Z1096" s="366"/>
    </row>
    <row r="1097" spans="1:26" ht="15.75" hidden="1">
      <c r="A1097" s="367">
        <f>SUBTOTAL(3,$B$15:B1097)</f>
        <v>2</v>
      </c>
      <c r="B1097" s="382" t="s">
        <v>2477</v>
      </c>
      <c r="C1097" s="383" t="s">
        <v>2478</v>
      </c>
      <c r="D1097" s="384" t="s">
        <v>407</v>
      </c>
      <c r="E1097" s="385">
        <v>21</v>
      </c>
      <c r="F1097" s="384">
        <v>21</v>
      </c>
      <c r="G1097" s="358">
        <v>14009400</v>
      </c>
      <c r="H1097" s="359">
        <f t="shared" si="33"/>
        <v>13222992</v>
      </c>
      <c r="I1097" s="360"/>
      <c r="K1097" s="362"/>
      <c r="M1097" s="361">
        <v>599168</v>
      </c>
      <c r="N1097" s="361">
        <v>1310680</v>
      </c>
      <c r="O1097" s="361">
        <v>112344</v>
      </c>
      <c r="P1097" s="361">
        <v>224688</v>
      </c>
      <c r="Q1097" s="361">
        <v>74896</v>
      </c>
      <c r="R1097" s="361">
        <v>74896</v>
      </c>
      <c r="S1097" s="361">
        <v>149792</v>
      </c>
      <c r="T1097" s="389">
        <v>930000</v>
      </c>
      <c r="U1097" s="364">
        <f t="shared" si="34"/>
        <v>16699456</v>
      </c>
      <c r="W1097" s="365" t="str">
        <f>+VLOOKUP($B1097,[2]Time_S4!$B:$G,6,0)</f>
        <v>Trung tâm Nghiên cứu Công nghệ truyền dẫn</v>
      </c>
      <c r="X1097" s="365" t="str">
        <f>IF(W1097="Phòng Kinh doanh","Trung tâm Kinh doanh - TCT CNC",+VLOOKUP($B1097,[2]Time_S4!$B:$G,5,0))</f>
        <v>Khối 2 - TCT CNC</v>
      </c>
      <c r="Y1097" s="366"/>
      <c r="Z1097" s="366"/>
    </row>
    <row r="1098" spans="1:26" ht="15.75" hidden="1">
      <c r="A1098" s="367">
        <f>SUBTOTAL(3,$B$15:B1098)</f>
        <v>2</v>
      </c>
      <c r="B1098" s="382" t="s">
        <v>2479</v>
      </c>
      <c r="C1098" s="383" t="s">
        <v>2480</v>
      </c>
      <c r="D1098" s="384" t="s">
        <v>407</v>
      </c>
      <c r="E1098" s="385">
        <v>21</v>
      </c>
      <c r="F1098" s="384">
        <v>21</v>
      </c>
      <c r="G1098" s="358">
        <v>13575100</v>
      </c>
      <c r="H1098" s="359">
        <f t="shared" si="33"/>
        <v>12788692</v>
      </c>
      <c r="I1098" s="360"/>
      <c r="K1098" s="362"/>
      <c r="M1098" s="361">
        <v>599168</v>
      </c>
      <c r="N1098" s="361">
        <v>1310680</v>
      </c>
      <c r="O1098" s="361">
        <v>112344</v>
      </c>
      <c r="P1098" s="361">
        <v>224688</v>
      </c>
      <c r="Q1098" s="361">
        <v>74896</v>
      </c>
      <c r="R1098" s="361">
        <v>74896</v>
      </c>
      <c r="S1098" s="361">
        <v>149792</v>
      </c>
      <c r="T1098" s="389">
        <v>930000</v>
      </c>
      <c r="U1098" s="364">
        <f t="shared" si="34"/>
        <v>16265156</v>
      </c>
      <c r="W1098" s="365" t="str">
        <f>+VLOOKUP($B1098,[2]Time_S4!$B:$G,6,0)</f>
        <v>Trung tâm Nghiên cứu Công nghệ truyền dẫn</v>
      </c>
      <c r="X1098" s="365" t="str">
        <f>IF(W1098="Phòng Kinh doanh","Trung tâm Kinh doanh - TCT CNC",+VLOOKUP($B1098,[2]Time_S4!$B:$G,5,0))</f>
        <v>Khối 2 - TCT CNC</v>
      </c>
      <c r="Y1098" s="366"/>
      <c r="Z1098" s="366"/>
    </row>
    <row r="1099" spans="1:26" ht="15.75" hidden="1">
      <c r="A1099" s="367">
        <f>SUBTOTAL(3,$B$15:B1099)</f>
        <v>2</v>
      </c>
      <c r="B1099" s="382" t="s">
        <v>2481</v>
      </c>
      <c r="C1099" s="383" t="s">
        <v>2482</v>
      </c>
      <c r="D1099" s="384" t="s">
        <v>407</v>
      </c>
      <c r="E1099" s="385">
        <v>21</v>
      </c>
      <c r="F1099" s="384">
        <v>21</v>
      </c>
      <c r="G1099" s="358">
        <v>14433380</v>
      </c>
      <c r="H1099" s="359">
        <f t="shared" si="33"/>
        <v>13646972</v>
      </c>
      <c r="I1099" s="360"/>
      <c r="K1099" s="362"/>
      <c r="M1099" s="361">
        <v>599168</v>
      </c>
      <c r="N1099" s="361">
        <v>1310680</v>
      </c>
      <c r="O1099" s="361">
        <v>112344</v>
      </c>
      <c r="P1099" s="361">
        <v>224688</v>
      </c>
      <c r="Q1099" s="361">
        <v>74896</v>
      </c>
      <c r="R1099" s="361">
        <v>74896</v>
      </c>
      <c r="S1099" s="361">
        <v>149792</v>
      </c>
      <c r="T1099" s="390">
        <v>930000</v>
      </c>
      <c r="U1099" s="364">
        <f t="shared" si="34"/>
        <v>17123436</v>
      </c>
      <c r="W1099" s="365" t="str">
        <f>+VLOOKUP($B1099,[2]Time_S4!$B:$G,6,0)</f>
        <v>Trung tâm Rada</v>
      </c>
      <c r="X1099" s="365" t="str">
        <f>IF(W1099="Phòng Kinh doanh","Trung tâm Kinh doanh - TCT CNC",+VLOOKUP($B1099,[2]Time_S4!$B:$G,5,0))</f>
        <v>Khối 1 - TCT CNC</v>
      </c>
      <c r="Y1099" s="366"/>
      <c r="Z1099" s="366"/>
    </row>
    <row r="1100" spans="1:26" ht="15.75" hidden="1">
      <c r="A1100" s="367">
        <f>SUBTOTAL(3,$B$15:B1100)</f>
        <v>2</v>
      </c>
      <c r="B1100" s="356" t="s">
        <v>2483</v>
      </c>
      <c r="C1100" s="356" t="s">
        <v>2484</v>
      </c>
      <c r="D1100" s="356" t="s">
        <v>407</v>
      </c>
      <c r="E1100" s="357">
        <v>21</v>
      </c>
      <c r="F1100" s="357">
        <v>21</v>
      </c>
      <c r="G1100" s="358">
        <v>13863200</v>
      </c>
      <c r="H1100" s="359">
        <f t="shared" si="33"/>
        <v>13076792</v>
      </c>
      <c r="I1100" s="360"/>
      <c r="K1100" s="362"/>
      <c r="M1100" s="361">
        <v>599168</v>
      </c>
      <c r="N1100" s="361">
        <v>1310680</v>
      </c>
      <c r="O1100" s="361">
        <v>112344</v>
      </c>
      <c r="P1100" s="361">
        <v>224688</v>
      </c>
      <c r="Q1100" s="361">
        <v>74896</v>
      </c>
      <c r="R1100" s="361">
        <v>74896</v>
      </c>
      <c r="S1100" s="361">
        <v>149792</v>
      </c>
      <c r="T1100" s="363">
        <v>930000</v>
      </c>
      <c r="U1100" s="364">
        <f t="shared" si="34"/>
        <v>16553256</v>
      </c>
      <c r="W1100" s="365" t="str">
        <f>+VLOOKUP($B1100,[2]Time_S4!$B:$G,6,0)</f>
        <v>Trung tâm Nghiên cứu Công nghệ truyền dẫn</v>
      </c>
      <c r="X1100" s="365" t="str">
        <f>IF(W1100="Phòng Kinh doanh","Trung tâm Kinh doanh - TCT CNC",+VLOOKUP($B1100,[2]Time_S4!$B:$G,5,0))</f>
        <v>Khối 2 - TCT CNC</v>
      </c>
      <c r="Y1100" s="366"/>
      <c r="Z1100" s="366"/>
    </row>
    <row r="1101" spans="1:26" ht="15.75" hidden="1">
      <c r="A1101" s="367">
        <f>SUBTOTAL(3,$B$15:B1101)</f>
        <v>2</v>
      </c>
      <c r="B1101" s="356" t="s">
        <v>2485</v>
      </c>
      <c r="C1101" s="356" t="s">
        <v>2486</v>
      </c>
      <c r="D1101" s="356" t="s">
        <v>407</v>
      </c>
      <c r="E1101" s="357">
        <v>21</v>
      </c>
      <c r="F1101" s="357">
        <v>21</v>
      </c>
      <c r="G1101" s="358">
        <v>12881940</v>
      </c>
      <c r="H1101" s="359">
        <f t="shared" si="33"/>
        <v>12095532</v>
      </c>
      <c r="I1101" s="360"/>
      <c r="K1101" s="362"/>
      <c r="M1101" s="361">
        <v>599168</v>
      </c>
      <c r="N1101" s="361">
        <v>1310680</v>
      </c>
      <c r="O1101" s="361">
        <v>112344</v>
      </c>
      <c r="P1101" s="361">
        <v>224688</v>
      </c>
      <c r="Q1101" s="361">
        <v>74896</v>
      </c>
      <c r="R1101" s="361">
        <v>74896</v>
      </c>
      <c r="S1101" s="361">
        <v>149792</v>
      </c>
      <c r="T1101" s="363">
        <v>930000</v>
      </c>
      <c r="U1101" s="364">
        <f t="shared" si="34"/>
        <v>15571996</v>
      </c>
      <c r="W1101" s="365" t="str">
        <f>+VLOOKUP($B1101,[2]Time_S4!$B:$G,6,0)</f>
        <v>Trung tâm Rada</v>
      </c>
      <c r="X1101" s="365" t="str">
        <f>IF(W1101="Phòng Kinh doanh","Trung tâm Kinh doanh - TCT CNC",+VLOOKUP($B1101,[2]Time_S4!$B:$G,5,0))</f>
        <v>Khối 1 - TCT CNC</v>
      </c>
      <c r="Y1101" s="366"/>
      <c r="Z1101" s="366"/>
    </row>
    <row r="1102" spans="1:26" ht="15.75" hidden="1">
      <c r="A1102" s="367">
        <f>SUBTOTAL(3,$B$15:B1102)</f>
        <v>2</v>
      </c>
      <c r="B1102" s="356" t="s">
        <v>2487</v>
      </c>
      <c r="C1102" s="356" t="s">
        <v>2488</v>
      </c>
      <c r="D1102" s="356" t="s">
        <v>407</v>
      </c>
      <c r="E1102" s="357">
        <v>21</v>
      </c>
      <c r="F1102" s="357">
        <v>21</v>
      </c>
      <c r="G1102" s="358">
        <v>20756960</v>
      </c>
      <c r="H1102" s="359">
        <f t="shared" si="33"/>
        <v>19840352</v>
      </c>
      <c r="I1102" s="360"/>
      <c r="K1102" s="362"/>
      <c r="M1102" s="361">
        <v>698368</v>
      </c>
      <c r="N1102" s="361">
        <v>1527680</v>
      </c>
      <c r="O1102" s="361">
        <v>130944</v>
      </c>
      <c r="P1102" s="361">
        <v>261888</v>
      </c>
      <c r="Q1102" s="361">
        <v>87296</v>
      </c>
      <c r="R1102" s="361">
        <v>87296</v>
      </c>
      <c r="S1102" s="361">
        <v>174592</v>
      </c>
      <c r="T1102" s="363">
        <v>1147000</v>
      </c>
      <c r="U1102" s="364">
        <f t="shared" si="34"/>
        <v>23955416</v>
      </c>
      <c r="W1102" s="365" t="str">
        <f>+VLOOKUP($B1102,[2]Time_S4!$B:$G,6,0)</f>
        <v>Trung tâm Chỉ huy điều khiển</v>
      </c>
      <c r="X1102" s="365" t="str">
        <f>IF(W1102="Phòng Kinh doanh","Trung tâm Kinh doanh - TCT CNC",+VLOOKUP($B1102,[2]Time_S4!$B:$G,5,0))</f>
        <v>Khối 1 - TCT CNC</v>
      </c>
      <c r="Y1102" s="366"/>
      <c r="Z1102" s="366"/>
    </row>
    <row r="1103" spans="1:26" ht="15.75" hidden="1">
      <c r="A1103" s="367">
        <f>SUBTOTAL(3,$B$15:B1103)</f>
        <v>2</v>
      </c>
      <c r="B1103" s="391" t="s">
        <v>2489</v>
      </c>
      <c r="C1103" s="392" t="s">
        <v>2490</v>
      </c>
      <c r="D1103" s="393" t="s">
        <v>407</v>
      </c>
      <c r="E1103" s="314">
        <v>21</v>
      </c>
      <c r="F1103" s="314">
        <v>21</v>
      </c>
      <c r="G1103" s="388">
        <v>15862700</v>
      </c>
      <c r="H1103" s="359">
        <f t="shared" si="33"/>
        <v>15034628</v>
      </c>
      <c r="I1103" s="360"/>
      <c r="K1103" s="362"/>
      <c r="M1103" s="361">
        <v>630912</v>
      </c>
      <c r="N1103" s="361">
        <v>1380120</v>
      </c>
      <c r="O1103" s="361">
        <v>118296</v>
      </c>
      <c r="P1103" s="361">
        <v>236592</v>
      </c>
      <c r="Q1103" s="361">
        <v>78864</v>
      </c>
      <c r="R1103" s="361">
        <v>78864</v>
      </c>
      <c r="S1103" s="361">
        <v>157728</v>
      </c>
      <c r="T1103" s="390">
        <v>1047000</v>
      </c>
      <c r="U1103" s="364">
        <f t="shared" si="34"/>
        <v>18763004</v>
      </c>
      <c r="W1103" s="365" t="str">
        <f>+VLOOKUP($B1103,[2]Time_S4!$B:$G,6,0)</f>
        <v>Phòng Nhân sự</v>
      </c>
      <c r="X1103" s="365" t="str">
        <f>IF(W1103="Phòng Kinh doanh","Trung tâm Kinh doanh - TCT CNC",+VLOOKUP($B1103,[2]Time_S4!$B:$G,5,0))</f>
        <v>Khối cơ quan - TCT CNC</v>
      </c>
      <c r="Y1103" s="366"/>
      <c r="Z1103" s="366"/>
    </row>
    <row r="1104" spans="1:26" ht="15.75" hidden="1">
      <c r="A1104" s="367">
        <f>SUBTOTAL(3,$B$15:B1104)</f>
        <v>2</v>
      </c>
      <c r="B1104" s="394" t="s">
        <v>2491</v>
      </c>
      <c r="C1104" s="314" t="s">
        <v>2492</v>
      </c>
      <c r="D1104" s="314" t="s">
        <v>410</v>
      </c>
      <c r="E1104" s="314">
        <v>21</v>
      </c>
      <c r="F1104" s="314">
        <v>21</v>
      </c>
      <c r="G1104" s="388">
        <v>16198960</v>
      </c>
      <c r="H1104" s="359">
        <f t="shared" ref="H1104:H1167" si="35">+G1104-SUM(M1104,O1104,Q1104)</f>
        <v>15086992</v>
      </c>
      <c r="I1104" s="360"/>
      <c r="K1104" s="362"/>
      <c r="M1104" s="361">
        <v>1111968</v>
      </c>
      <c r="N1104" s="361">
        <v>2432430</v>
      </c>
      <c r="O1104" s="361">
        <v>0</v>
      </c>
      <c r="P1104" s="361">
        <v>0</v>
      </c>
      <c r="Q1104" s="361">
        <v>0</v>
      </c>
      <c r="R1104" s="361">
        <v>0</v>
      </c>
      <c r="S1104" s="361">
        <v>277992</v>
      </c>
      <c r="T1104" s="390">
        <v>930000</v>
      </c>
      <c r="U1104" s="364">
        <f t="shared" ref="U1104:U1167" si="36">+SUM(H1104:T1104)</f>
        <v>19839382</v>
      </c>
      <c r="W1104" s="365" t="str">
        <f>+VLOOKUP($B1104,[2]Time_S4!$B:$G,6,0)</f>
        <v>Trung tâm Nghiên cứu thiết bị vô tuyến băng rộng</v>
      </c>
      <c r="X1104" s="365" t="str">
        <f>IF(W1104="Phòng Kinh doanh","Trung tâm Kinh doanh - TCT CNC",+VLOOKUP($B1104,[2]Time_S4!$B:$G,5,0))</f>
        <v>Khối 2 - TCT CNC</v>
      </c>
      <c r="Z1104" s="366"/>
    </row>
    <row r="1105" spans="1:26" ht="15.75" hidden="1">
      <c r="A1105" s="367">
        <f>SUBTOTAL(3,$B$15:B1105)</f>
        <v>2</v>
      </c>
      <c r="B1105" s="394" t="s">
        <v>2493</v>
      </c>
      <c r="C1105" s="314" t="s">
        <v>2494</v>
      </c>
      <c r="D1105" s="314" t="s">
        <v>410</v>
      </c>
      <c r="E1105" s="314">
        <v>21</v>
      </c>
      <c r="F1105" s="314">
        <v>21</v>
      </c>
      <c r="G1105" s="388">
        <v>15533320</v>
      </c>
      <c r="H1105" s="359">
        <f t="shared" si="35"/>
        <v>14597320</v>
      </c>
      <c r="I1105" s="360"/>
      <c r="K1105" s="362"/>
      <c r="M1105" s="361">
        <v>936000</v>
      </c>
      <c r="N1105" s="361">
        <v>2047500</v>
      </c>
      <c r="O1105" s="361">
        <v>0</v>
      </c>
      <c r="P1105" s="361">
        <v>0</v>
      </c>
      <c r="Q1105" s="361">
        <v>0</v>
      </c>
      <c r="R1105" s="361">
        <v>0</v>
      </c>
      <c r="S1105" s="361">
        <v>234000</v>
      </c>
      <c r="T1105" s="390">
        <v>930000</v>
      </c>
      <c r="U1105" s="364">
        <f t="shared" si="36"/>
        <v>18744820</v>
      </c>
      <c r="W1105" s="365" t="str">
        <f>+VLOOKUP($B1105,[2]Time_S4!$B:$G,6,0)</f>
        <v>Trung tâm Quang điện tử</v>
      </c>
      <c r="X1105" s="365" t="str">
        <f>IF(W1105="Phòng Kinh doanh","Trung tâm Kinh doanh - TCT CNC",+VLOOKUP($B1105,[2]Time_S4!$B:$G,5,0))</f>
        <v>Khối 1 - TCT CNC</v>
      </c>
      <c r="Z1105" s="366"/>
    </row>
    <row r="1106" spans="1:26" ht="15.75" hidden="1">
      <c r="A1106" s="367">
        <f>SUBTOTAL(3,$B$15:B1106)</f>
        <v>2</v>
      </c>
      <c r="B1106" s="394" t="s">
        <v>2495</v>
      </c>
      <c r="C1106" s="314" t="s">
        <v>2496</v>
      </c>
      <c r="D1106" s="395" t="s">
        <v>407</v>
      </c>
      <c r="E1106" s="314">
        <v>21</v>
      </c>
      <c r="F1106" s="314">
        <v>21</v>
      </c>
      <c r="G1106" s="388">
        <v>16892980</v>
      </c>
      <c r="H1106" s="359">
        <f t="shared" si="35"/>
        <v>16023244</v>
      </c>
      <c r="I1106" s="360"/>
      <c r="K1106" s="362"/>
      <c r="M1106" s="361">
        <v>662656</v>
      </c>
      <c r="N1106" s="361">
        <v>1449560</v>
      </c>
      <c r="O1106" s="361">
        <v>124248</v>
      </c>
      <c r="P1106" s="361">
        <v>248496</v>
      </c>
      <c r="Q1106" s="361">
        <v>82832</v>
      </c>
      <c r="R1106" s="361">
        <v>82832</v>
      </c>
      <c r="S1106" s="361">
        <v>165664</v>
      </c>
      <c r="T1106" s="390">
        <v>930000</v>
      </c>
      <c r="U1106" s="364">
        <f t="shared" si="36"/>
        <v>19769532</v>
      </c>
      <c r="W1106" s="365" t="str">
        <f>+VLOOKUP($B1106,[2]Time_S4!$B:$G,6,0)</f>
        <v>Trung tâm Camera</v>
      </c>
      <c r="X1106" s="365" t="str">
        <f>IF(W1106="Phòng Kinh doanh","Trung tâm Kinh doanh - TCT CNC",+VLOOKUP($B1106,[2]Time_S4!$B:$G,5,0))</f>
        <v>Khối 3 - TCT CNC</v>
      </c>
      <c r="Z1106" s="366"/>
    </row>
    <row r="1107" spans="1:26" ht="15.75" hidden="1">
      <c r="A1107" s="367">
        <f>SUBTOTAL(3,$B$15:B1107)</f>
        <v>2</v>
      </c>
      <c r="B1107" s="394" t="s">
        <v>2497</v>
      </c>
      <c r="C1107" s="314" t="s">
        <v>2321</v>
      </c>
      <c r="D1107" s="395" t="s">
        <v>410</v>
      </c>
      <c r="E1107" s="314">
        <v>21</v>
      </c>
      <c r="F1107" s="314">
        <v>21</v>
      </c>
      <c r="G1107" s="388">
        <v>17370780</v>
      </c>
      <c r="H1107" s="359">
        <f t="shared" si="35"/>
        <v>16434780</v>
      </c>
      <c r="I1107" s="360"/>
      <c r="K1107" s="362"/>
      <c r="M1107" s="361">
        <v>936000</v>
      </c>
      <c r="N1107" s="361">
        <v>2047500</v>
      </c>
      <c r="O1107" s="361">
        <v>0</v>
      </c>
      <c r="P1107" s="361">
        <v>0</v>
      </c>
      <c r="Q1107" s="361">
        <v>0</v>
      </c>
      <c r="R1107" s="361">
        <v>0</v>
      </c>
      <c r="S1107" s="361">
        <v>234000</v>
      </c>
      <c r="T1107" s="390">
        <v>930000</v>
      </c>
      <c r="U1107" s="364">
        <f t="shared" si="36"/>
        <v>20582280</v>
      </c>
      <c r="W1107" s="365" t="str">
        <f>+VLOOKUP($B1107,[2]Time_S4!$B:$G,6,0)</f>
        <v>Trung tâm Khí cụ bay</v>
      </c>
      <c r="X1107" s="365" t="str">
        <f>IF(W1107="Phòng Kinh doanh","Trung tâm Kinh doanh - TCT CNC",+VLOOKUP($B1107,[2]Time_S4!$B:$G,5,0))</f>
        <v>Khối 1 - TCT CNC</v>
      </c>
      <c r="Z1107" s="366"/>
    </row>
    <row r="1108" spans="1:26" ht="15.75" hidden="1">
      <c r="A1108" s="367">
        <f>SUBTOTAL(3,$B$15:B1108)</f>
        <v>2</v>
      </c>
      <c r="B1108" s="394" t="s">
        <v>2498</v>
      </c>
      <c r="C1108" s="314" t="s">
        <v>2499</v>
      </c>
      <c r="D1108" s="314" t="s">
        <v>407</v>
      </c>
      <c r="E1108" s="314">
        <v>21</v>
      </c>
      <c r="F1108" s="314">
        <v>21</v>
      </c>
      <c r="G1108" s="388">
        <v>10777520</v>
      </c>
      <c r="H1108" s="359">
        <f t="shared" si="35"/>
        <v>10069232</v>
      </c>
      <c r="I1108" s="360"/>
      <c r="K1108" s="362"/>
      <c r="M1108" s="361">
        <v>539648</v>
      </c>
      <c r="N1108" s="361">
        <v>1180480</v>
      </c>
      <c r="O1108" s="361">
        <v>101184</v>
      </c>
      <c r="P1108" s="361">
        <v>202368</v>
      </c>
      <c r="Q1108" s="361">
        <v>67456</v>
      </c>
      <c r="R1108" s="361">
        <v>67456</v>
      </c>
      <c r="S1108" s="361">
        <v>134912</v>
      </c>
      <c r="T1108" s="390">
        <v>930000</v>
      </c>
      <c r="U1108" s="364">
        <f t="shared" si="36"/>
        <v>13292736</v>
      </c>
      <c r="W1108" s="365" t="str">
        <f>+VLOOKUP($B1108,[2]Time_S4!$B:$G,6,0)</f>
        <v>Phòng Phát triển thị trường Quốc tế</v>
      </c>
      <c r="X1108" s="365" t="str">
        <f>IF(W1108="Phòng Kinh doanh","Trung tâm Kinh doanh - TCT CNC",+VLOOKUP($B1108,[2]Time_S4!$B:$G,5,0))</f>
        <v>Trung tâm Kinh doanh - TCT CNC</v>
      </c>
      <c r="Z1108" s="366"/>
    </row>
    <row r="1109" spans="1:26" ht="15.75" hidden="1">
      <c r="A1109" s="367">
        <f>SUBTOTAL(3,$B$15:B1109)</f>
        <v>2</v>
      </c>
      <c r="B1109" s="394" t="s">
        <v>2500</v>
      </c>
      <c r="C1109" s="314" t="s">
        <v>2501</v>
      </c>
      <c r="D1109" s="314" t="s">
        <v>407</v>
      </c>
      <c r="E1109" s="314">
        <v>21</v>
      </c>
      <c r="F1109" s="314">
        <v>21</v>
      </c>
      <c r="G1109" s="388">
        <v>15051720</v>
      </c>
      <c r="H1109" s="359">
        <f t="shared" si="35"/>
        <v>14265312</v>
      </c>
      <c r="I1109" s="360"/>
      <c r="K1109" s="362"/>
      <c r="M1109" s="361">
        <v>599168</v>
      </c>
      <c r="N1109" s="361">
        <v>1310680</v>
      </c>
      <c r="O1109" s="361">
        <v>112344</v>
      </c>
      <c r="P1109" s="361">
        <v>224688</v>
      </c>
      <c r="Q1109" s="361">
        <v>74896</v>
      </c>
      <c r="R1109" s="361">
        <v>74896</v>
      </c>
      <c r="S1109" s="361">
        <v>149792</v>
      </c>
      <c r="T1109" s="390">
        <v>930000</v>
      </c>
      <c r="U1109" s="364">
        <f t="shared" si="36"/>
        <v>17741776</v>
      </c>
      <c r="W1109" s="365" t="str">
        <f>+VLOOKUP($B1109,[2]Time_S4!$B:$G,6,0)</f>
        <v>Trung tâm Nghiên cứu thiết bị vô tuyến băng rộng</v>
      </c>
      <c r="X1109" s="365" t="str">
        <f>IF(W1109="Phòng Kinh doanh","Trung tâm Kinh doanh - TCT CNC",+VLOOKUP($B1109,[2]Time_S4!$B:$G,5,0))</f>
        <v>Khối 2 - TCT CNC</v>
      </c>
      <c r="Z1109" s="366"/>
    </row>
    <row r="1110" spans="1:26" ht="15.75" hidden="1">
      <c r="A1110" s="367">
        <f>SUBTOTAL(3,$B$15:B1110)</f>
        <v>2</v>
      </c>
      <c r="B1110" s="394" t="s">
        <v>2502</v>
      </c>
      <c r="C1110" s="314" t="s">
        <v>2503</v>
      </c>
      <c r="D1110" s="314" t="s">
        <v>407</v>
      </c>
      <c r="E1110" s="314">
        <v>21</v>
      </c>
      <c r="F1110" s="314">
        <v>21</v>
      </c>
      <c r="G1110" s="388">
        <v>15051720</v>
      </c>
      <c r="H1110" s="359">
        <f t="shared" si="35"/>
        <v>14265312</v>
      </c>
      <c r="I1110" s="360"/>
      <c r="K1110" s="362"/>
      <c r="M1110" s="361">
        <v>599168</v>
      </c>
      <c r="N1110" s="361">
        <v>1310680</v>
      </c>
      <c r="O1110" s="361">
        <v>112344</v>
      </c>
      <c r="P1110" s="361">
        <v>224688</v>
      </c>
      <c r="Q1110" s="361">
        <v>74896</v>
      </c>
      <c r="R1110" s="361">
        <v>74896</v>
      </c>
      <c r="S1110" s="361">
        <v>149792</v>
      </c>
      <c r="T1110" s="390">
        <v>930000</v>
      </c>
      <c r="U1110" s="364">
        <f t="shared" si="36"/>
        <v>17741776</v>
      </c>
      <c r="W1110" s="365" t="str">
        <f>+VLOOKUP($B1110,[2]Time_S4!$B:$G,6,0)</f>
        <v>Trung tâm Nghiên cứu thiết bị vô tuyến băng rộng</v>
      </c>
      <c r="X1110" s="365" t="str">
        <f>IF(W1110="Phòng Kinh doanh","Trung tâm Kinh doanh - TCT CNC",+VLOOKUP($B1110,[2]Time_S4!$B:$G,5,0))</f>
        <v>Khối 2 - TCT CNC</v>
      </c>
      <c r="Z1110" s="366"/>
    </row>
    <row r="1111" spans="1:26" ht="15.75" hidden="1">
      <c r="A1111" s="367">
        <f>SUBTOTAL(3,$B$15:B1111)</f>
        <v>2</v>
      </c>
      <c r="B1111" s="394" t="s">
        <v>2504</v>
      </c>
      <c r="C1111" s="314" t="s">
        <v>2505</v>
      </c>
      <c r="D1111" s="314" t="s">
        <v>407</v>
      </c>
      <c r="E1111" s="314">
        <v>21</v>
      </c>
      <c r="F1111" s="314">
        <v>21</v>
      </c>
      <c r="G1111" s="388">
        <v>24395538</v>
      </c>
      <c r="H1111" s="359">
        <f t="shared" si="35"/>
        <v>23432058</v>
      </c>
      <c r="I1111" s="360"/>
      <c r="K1111" s="362"/>
      <c r="M1111" s="361">
        <v>734080</v>
      </c>
      <c r="N1111" s="361">
        <v>1605800</v>
      </c>
      <c r="O1111" s="361">
        <v>137640</v>
      </c>
      <c r="P1111" s="361">
        <v>275280</v>
      </c>
      <c r="Q1111" s="361">
        <v>91760</v>
      </c>
      <c r="R1111" s="361">
        <v>91760</v>
      </c>
      <c r="S1111" s="361">
        <v>183520</v>
      </c>
      <c r="T1111" s="390">
        <v>1030000</v>
      </c>
      <c r="U1111" s="364">
        <f t="shared" si="36"/>
        <v>27581898</v>
      </c>
      <c r="W1111" s="365" t="str">
        <f>+VLOOKUP($B1111,[2]Time_S4!$B:$G,6,0)</f>
        <v>Trung tâm Thông tin Quân sự</v>
      </c>
      <c r="X1111" s="365" t="str">
        <f>IF(W1111="Phòng Kinh doanh","Trung tâm Kinh doanh - TCT CNC",+VLOOKUP($B1111,[2]Time_S4!$B:$G,5,0))</f>
        <v>Khối 1 - TCT CNC</v>
      </c>
      <c r="Z1111" s="366"/>
    </row>
    <row r="1112" spans="1:26" ht="15.75" hidden="1">
      <c r="A1112" s="367">
        <f>SUBTOTAL(3,$B$15:B1112)</f>
        <v>2</v>
      </c>
      <c r="B1112" s="394" t="s">
        <v>2506</v>
      </c>
      <c r="C1112" s="314" t="s">
        <v>2507</v>
      </c>
      <c r="D1112" s="314" t="s">
        <v>407</v>
      </c>
      <c r="E1112" s="314">
        <v>21</v>
      </c>
      <c r="F1112" s="314">
        <v>21</v>
      </c>
      <c r="G1112" s="388">
        <v>16029540</v>
      </c>
      <c r="H1112" s="359">
        <f t="shared" si="35"/>
        <v>15201468</v>
      </c>
      <c r="I1112" s="360"/>
      <c r="K1112" s="362"/>
      <c r="M1112" s="361">
        <v>630912</v>
      </c>
      <c r="N1112" s="361">
        <v>1380120</v>
      </c>
      <c r="O1112" s="361">
        <v>118296</v>
      </c>
      <c r="P1112" s="361">
        <v>236592</v>
      </c>
      <c r="Q1112" s="361">
        <v>78864</v>
      </c>
      <c r="R1112" s="361">
        <v>78864</v>
      </c>
      <c r="S1112" s="361">
        <v>157728</v>
      </c>
      <c r="T1112" s="390">
        <v>930000</v>
      </c>
      <c r="U1112" s="364">
        <f t="shared" si="36"/>
        <v>18812844</v>
      </c>
      <c r="W1112" s="365" t="str">
        <f>+VLOOKUP($B1112,[2]Time_S4!$B:$G,6,0)</f>
        <v>Trung tâm Nền tảng IOT</v>
      </c>
      <c r="X1112" s="365" t="str">
        <f>IF(W1112="Phòng Kinh doanh","Trung tâm Kinh doanh - TCT CNC",+VLOOKUP($B1112,[2]Time_S4!$B:$G,5,0))</f>
        <v>Khối 3 - TCT CNC</v>
      </c>
      <c r="Z1112" s="366"/>
    </row>
    <row r="1113" spans="1:26" ht="15.75" hidden="1">
      <c r="A1113" s="367">
        <f>SUBTOTAL(3,$B$15:B1113)</f>
        <v>2</v>
      </c>
      <c r="B1113" s="394" t="s">
        <v>2508</v>
      </c>
      <c r="C1113" s="314" t="s">
        <v>2509</v>
      </c>
      <c r="D1113" s="314" t="s">
        <v>407</v>
      </c>
      <c r="E1113" s="314">
        <v>21</v>
      </c>
      <c r="F1113" s="314">
        <v>21</v>
      </c>
      <c r="G1113" s="388">
        <v>11720940</v>
      </c>
      <c r="H1113" s="359">
        <f t="shared" si="35"/>
        <v>10976196</v>
      </c>
      <c r="I1113" s="360"/>
      <c r="K1113" s="362"/>
      <c r="M1113" s="361">
        <v>567424</v>
      </c>
      <c r="N1113" s="361">
        <v>1241240</v>
      </c>
      <c r="O1113" s="361">
        <v>106392</v>
      </c>
      <c r="P1113" s="361">
        <v>212784</v>
      </c>
      <c r="Q1113" s="361">
        <v>70928</v>
      </c>
      <c r="R1113" s="361">
        <v>70928</v>
      </c>
      <c r="S1113" s="361">
        <v>141856</v>
      </c>
      <c r="T1113" s="390">
        <v>930000</v>
      </c>
      <c r="U1113" s="364">
        <f t="shared" si="36"/>
        <v>14317748</v>
      </c>
      <c r="W1113" s="365" t="str">
        <f>+VLOOKUP($B1113,[2]Time_S4!$B:$G,6,0)</f>
        <v>Trung tâm Mô hình mô phỏng</v>
      </c>
      <c r="X1113" s="365" t="str">
        <f>IF(W1113="Phòng Kinh doanh","Trung tâm Kinh doanh - TCT CNC",+VLOOKUP($B1113,[2]Time_S4!$B:$G,5,0))</f>
        <v>Khối 1 - TCT CNC</v>
      </c>
      <c r="Z1113" s="366"/>
    </row>
    <row r="1114" spans="1:26" ht="15.75" hidden="1">
      <c r="A1114" s="367">
        <f>SUBTOTAL(3,$B$15:B1114)</f>
        <v>2</v>
      </c>
      <c r="B1114" s="394" t="s">
        <v>2510</v>
      </c>
      <c r="C1114" s="314" t="s">
        <v>2076</v>
      </c>
      <c r="D1114" s="314" t="s">
        <v>407</v>
      </c>
      <c r="E1114" s="314">
        <v>21</v>
      </c>
      <c r="F1114" s="314">
        <v>21</v>
      </c>
      <c r="G1114" s="388">
        <v>15862700</v>
      </c>
      <c r="H1114" s="359">
        <f t="shared" si="35"/>
        <v>15034628</v>
      </c>
      <c r="I1114" s="360"/>
      <c r="K1114" s="362"/>
      <c r="M1114" s="361">
        <v>630912</v>
      </c>
      <c r="N1114" s="361">
        <v>1380120</v>
      </c>
      <c r="O1114" s="361">
        <v>118296</v>
      </c>
      <c r="P1114" s="361">
        <v>236592</v>
      </c>
      <c r="Q1114" s="361">
        <v>78864</v>
      </c>
      <c r="R1114" s="361">
        <v>78864</v>
      </c>
      <c r="S1114" s="361">
        <v>157728</v>
      </c>
      <c r="T1114" s="390">
        <v>930000</v>
      </c>
      <c r="U1114" s="364">
        <f t="shared" si="36"/>
        <v>18646004</v>
      </c>
      <c r="W1114" s="365" t="str">
        <f>+VLOOKUP($B1114,[2]Time_S4!$B:$G,6,0)</f>
        <v>Phòng Phát triển thị trường Quốc tế</v>
      </c>
      <c r="X1114" s="365" t="str">
        <f>IF(W1114="Phòng Kinh doanh","Trung tâm Kinh doanh - TCT CNC",+VLOOKUP($B1114,[2]Time_S4!$B:$G,5,0))</f>
        <v>Trung tâm Kinh doanh - TCT CNC</v>
      </c>
      <c r="Z1114" s="366"/>
    </row>
    <row r="1115" spans="1:26" ht="15.75" hidden="1">
      <c r="A1115" s="367">
        <f>SUBTOTAL(3,$B$15:B1115)</f>
        <v>2</v>
      </c>
      <c r="B1115" s="394" t="s">
        <v>2511</v>
      </c>
      <c r="C1115" s="314" t="s">
        <v>2512</v>
      </c>
      <c r="D1115" s="314" t="s">
        <v>407</v>
      </c>
      <c r="E1115" s="314">
        <v>21</v>
      </c>
      <c r="F1115" s="314">
        <v>21</v>
      </c>
      <c r="G1115" s="388">
        <v>15051720</v>
      </c>
      <c r="H1115" s="359">
        <f t="shared" si="35"/>
        <v>14265312</v>
      </c>
      <c r="I1115" s="360"/>
      <c r="K1115" s="362"/>
      <c r="M1115" s="361">
        <v>599168</v>
      </c>
      <c r="N1115" s="361">
        <v>1310680</v>
      </c>
      <c r="O1115" s="361">
        <v>112344</v>
      </c>
      <c r="P1115" s="361">
        <v>224688</v>
      </c>
      <c r="Q1115" s="361">
        <v>74896</v>
      </c>
      <c r="R1115" s="361">
        <v>74896</v>
      </c>
      <c r="S1115" s="361">
        <v>149792</v>
      </c>
      <c r="T1115" s="390">
        <v>930000</v>
      </c>
      <c r="U1115" s="364">
        <f t="shared" si="36"/>
        <v>17741776</v>
      </c>
      <c r="W1115" s="365" t="str">
        <f>+VLOOKUP($B1115,[2]Time_S4!$B:$G,6,0)</f>
        <v>Trung tâm Rada</v>
      </c>
      <c r="X1115" s="365" t="str">
        <f>IF(W1115="Phòng Kinh doanh","Trung tâm Kinh doanh - TCT CNC",+VLOOKUP($B1115,[2]Time_S4!$B:$G,5,0))</f>
        <v>Khối 1 - TCT CNC</v>
      </c>
      <c r="Z1115" s="366"/>
    </row>
    <row r="1116" spans="1:26" ht="15.75" hidden="1">
      <c r="A1116" s="367">
        <f>SUBTOTAL(3,$B$15:B1116)</f>
        <v>2</v>
      </c>
      <c r="B1116" s="394" t="s">
        <v>332</v>
      </c>
      <c r="C1116" s="314" t="s">
        <v>333</v>
      </c>
      <c r="D1116" s="314" t="s">
        <v>407</v>
      </c>
      <c r="E1116" s="314">
        <v>21</v>
      </c>
      <c r="F1116" s="314">
        <v>21</v>
      </c>
      <c r="G1116" s="388">
        <v>11598820</v>
      </c>
      <c r="H1116" s="359">
        <f t="shared" si="35"/>
        <v>10854076</v>
      </c>
      <c r="I1116" s="360"/>
      <c r="K1116" s="362"/>
      <c r="M1116" s="361">
        <v>567424</v>
      </c>
      <c r="N1116" s="361">
        <v>1241240</v>
      </c>
      <c r="O1116" s="361">
        <v>106392</v>
      </c>
      <c r="P1116" s="361">
        <v>212784</v>
      </c>
      <c r="Q1116" s="361">
        <v>70928</v>
      </c>
      <c r="R1116" s="361">
        <v>70928</v>
      </c>
      <c r="S1116" s="361">
        <v>141856</v>
      </c>
      <c r="T1116" s="390">
        <v>1047000</v>
      </c>
      <c r="U1116" s="364">
        <f t="shared" si="36"/>
        <v>14312628</v>
      </c>
      <c r="W1116" s="365" t="str">
        <f>+VLOOKUP($B1116,[2]Time_S4!$B:$G,6,0)</f>
        <v>Trung tâm Đảm bảo chất lượng</v>
      </c>
      <c r="X1116" s="365" t="str">
        <f>IF(W1116="Phòng Kinh doanh","Trung tâm Kinh doanh - TCT CNC",+VLOOKUP($B1116,[2]Time_S4!$B:$G,5,0))</f>
        <v>Khối 1 - TCT CNC</v>
      </c>
      <c r="Z1116" s="366"/>
    </row>
    <row r="1117" spans="1:26" ht="15.75" hidden="1">
      <c r="A1117" s="367">
        <f>SUBTOTAL(3,$B$15:B1117)</f>
        <v>2</v>
      </c>
      <c r="B1117" s="394" t="s">
        <v>2513</v>
      </c>
      <c r="C1117" s="314" t="s">
        <v>2514</v>
      </c>
      <c r="D1117" s="314" t="s">
        <v>407</v>
      </c>
      <c r="E1117" s="314">
        <v>21</v>
      </c>
      <c r="F1117" s="314">
        <v>21</v>
      </c>
      <c r="G1117" s="388">
        <v>12881940</v>
      </c>
      <c r="H1117" s="359">
        <f t="shared" si="35"/>
        <v>12095532</v>
      </c>
      <c r="I1117" s="360"/>
      <c r="K1117" s="362"/>
      <c r="M1117" s="361">
        <v>599168</v>
      </c>
      <c r="N1117" s="361">
        <v>1310680</v>
      </c>
      <c r="O1117" s="361">
        <v>112344</v>
      </c>
      <c r="P1117" s="361">
        <v>224688</v>
      </c>
      <c r="Q1117" s="361">
        <v>74896</v>
      </c>
      <c r="R1117" s="361">
        <v>74896</v>
      </c>
      <c r="S1117" s="361">
        <v>149792</v>
      </c>
      <c r="T1117" s="390">
        <v>1047000</v>
      </c>
      <c r="U1117" s="364">
        <f t="shared" si="36"/>
        <v>15688996</v>
      </c>
      <c r="W1117" s="365" t="str">
        <f>+VLOOKUP($B1117,[2]Time_S4!$B:$G,6,0)</f>
        <v>Trung tâm Khí cụ bay</v>
      </c>
      <c r="X1117" s="365" t="str">
        <f>IF(W1117="Phòng Kinh doanh","Trung tâm Kinh doanh - TCT CNC",+VLOOKUP($B1117,[2]Time_S4!$B:$G,5,0))</f>
        <v>Khối 1 - TCT CNC</v>
      </c>
      <c r="Z1117" s="366"/>
    </row>
    <row r="1118" spans="1:26" ht="15.75" hidden="1">
      <c r="A1118" s="367">
        <f>SUBTOTAL(3,$B$15:B1118)</f>
        <v>2</v>
      </c>
      <c r="B1118" s="394" t="s">
        <v>2515</v>
      </c>
      <c r="C1118" s="314" t="s">
        <v>2516</v>
      </c>
      <c r="D1118" s="314" t="s">
        <v>407</v>
      </c>
      <c r="E1118" s="314">
        <v>21</v>
      </c>
      <c r="F1118" s="314">
        <v>21</v>
      </c>
      <c r="G1118" s="388">
        <v>12881940</v>
      </c>
      <c r="H1118" s="359">
        <f t="shared" si="35"/>
        <v>12095532</v>
      </c>
      <c r="I1118" s="360"/>
      <c r="K1118" s="362"/>
      <c r="M1118" s="361">
        <v>599168</v>
      </c>
      <c r="N1118" s="361">
        <v>1310680</v>
      </c>
      <c r="O1118" s="361">
        <v>112344</v>
      </c>
      <c r="P1118" s="361">
        <v>224688</v>
      </c>
      <c r="Q1118" s="361">
        <v>74896</v>
      </c>
      <c r="R1118" s="361">
        <v>74896</v>
      </c>
      <c r="S1118" s="361">
        <v>149792</v>
      </c>
      <c r="T1118" s="390">
        <v>930000</v>
      </c>
      <c r="U1118" s="364">
        <f t="shared" si="36"/>
        <v>15571996</v>
      </c>
      <c r="W1118" s="365" t="str">
        <f>+VLOOKUP($B1118,[2]Time_S4!$B:$G,6,0)</f>
        <v>Trung tâm Quang điện tử</v>
      </c>
      <c r="X1118" s="365" t="str">
        <f>IF(W1118="Phòng Kinh doanh","Trung tâm Kinh doanh - TCT CNC",+VLOOKUP($B1118,[2]Time_S4!$B:$G,5,0))</f>
        <v>Khối 1 - TCT CNC</v>
      </c>
      <c r="Z1118" s="366"/>
    </row>
    <row r="1119" spans="1:26" ht="15.75" hidden="1">
      <c r="A1119" s="367">
        <f>SUBTOTAL(3,$B$15:B1119)</f>
        <v>2</v>
      </c>
      <c r="B1119" s="394" t="s">
        <v>2517</v>
      </c>
      <c r="C1119" s="314" t="s">
        <v>2518</v>
      </c>
      <c r="D1119" s="314" t="s">
        <v>407</v>
      </c>
      <c r="E1119" s="314">
        <v>21</v>
      </c>
      <c r="F1119" s="314">
        <v>21</v>
      </c>
      <c r="G1119" s="388">
        <v>23295680</v>
      </c>
      <c r="H1119" s="359">
        <f t="shared" si="35"/>
        <v>22332200</v>
      </c>
      <c r="I1119" s="360"/>
      <c r="K1119" s="362"/>
      <c r="M1119" s="361">
        <v>734080</v>
      </c>
      <c r="N1119" s="361">
        <v>1605800</v>
      </c>
      <c r="O1119" s="361">
        <v>137640</v>
      </c>
      <c r="P1119" s="361">
        <v>275280</v>
      </c>
      <c r="Q1119" s="361">
        <v>91760</v>
      </c>
      <c r="R1119" s="361">
        <v>91760</v>
      </c>
      <c r="S1119" s="361">
        <v>183520</v>
      </c>
      <c r="T1119" s="390">
        <v>1030000</v>
      </c>
      <c r="U1119" s="364">
        <f t="shared" si="36"/>
        <v>26482040</v>
      </c>
      <c r="W1119" s="365" t="str">
        <f>+VLOOKUP($B1119,[2]Time_S4!$B:$G,6,0)</f>
        <v>Trung tâm dịch vụ sau bán hàng</v>
      </c>
      <c r="X1119" s="365" t="str">
        <f>IF(W1119="Phòng Kinh doanh","Trung tâm Kinh doanh - TCT CNC",+VLOOKUP($B1119,[2]Time_S4!$B:$G,5,0))</f>
        <v>Khối 1 - TCT CNC</v>
      </c>
      <c r="Z1119" s="366"/>
    </row>
    <row r="1120" spans="1:26" ht="15.75" hidden="1">
      <c r="A1120" s="367">
        <f>SUBTOTAL(3,$B$15:B1120)</f>
        <v>2</v>
      </c>
      <c r="B1120" s="394" t="s">
        <v>2519</v>
      </c>
      <c r="C1120" s="314" t="s">
        <v>2520</v>
      </c>
      <c r="D1120" s="314" t="s">
        <v>407</v>
      </c>
      <c r="E1120" s="314">
        <v>21</v>
      </c>
      <c r="F1120" s="314">
        <v>21</v>
      </c>
      <c r="G1120" s="388">
        <v>18180400</v>
      </c>
      <c r="H1120" s="359">
        <f t="shared" si="35"/>
        <v>17310664</v>
      </c>
      <c r="I1120" s="360"/>
      <c r="K1120" s="362"/>
      <c r="M1120" s="361">
        <v>662656</v>
      </c>
      <c r="N1120" s="361">
        <v>1449560</v>
      </c>
      <c r="O1120" s="361">
        <v>124248</v>
      </c>
      <c r="P1120" s="361">
        <v>248496</v>
      </c>
      <c r="Q1120" s="361">
        <v>82832</v>
      </c>
      <c r="R1120" s="361">
        <v>82832</v>
      </c>
      <c r="S1120" s="361">
        <v>165664</v>
      </c>
      <c r="T1120" s="390">
        <v>930000</v>
      </c>
      <c r="U1120" s="364">
        <f t="shared" si="36"/>
        <v>21056952</v>
      </c>
      <c r="W1120" s="365" t="str">
        <f>+VLOOKUP($B1120,[2]Time_S4!$B:$G,6,0)</f>
        <v>Trung tâm Nghiên cứu giải pháp tích hợp công nghệ cao</v>
      </c>
      <c r="X1120" s="365" t="str">
        <f>IF(W1120="Phòng Kinh doanh","Trung tâm Kinh doanh - TCT CNC",+VLOOKUP($B1120,[2]Time_S4!$B:$G,5,0))</f>
        <v>Khối 1 - TCT CNC</v>
      </c>
      <c r="Z1120" s="366"/>
    </row>
    <row r="1121" spans="1:26" ht="15.75" hidden="1">
      <c r="A1121" s="367">
        <f>SUBTOTAL(3,$B$15:B1121)</f>
        <v>2</v>
      </c>
      <c r="B1121" s="394" t="s">
        <v>2521</v>
      </c>
      <c r="C1121" s="314" t="s">
        <v>2522</v>
      </c>
      <c r="D1121" s="314" t="s">
        <v>407</v>
      </c>
      <c r="E1121" s="314">
        <v>21</v>
      </c>
      <c r="F1121" s="314">
        <v>21</v>
      </c>
      <c r="G1121" s="388">
        <v>49418180</v>
      </c>
      <c r="H1121" s="359">
        <f t="shared" si="35"/>
        <v>48110972</v>
      </c>
      <c r="I1121" s="360"/>
      <c r="K1121" s="362"/>
      <c r="M1121" s="361">
        <v>995968</v>
      </c>
      <c r="N1121" s="361">
        <v>2178680</v>
      </c>
      <c r="O1121" s="361">
        <v>186744</v>
      </c>
      <c r="P1121" s="361">
        <v>373488</v>
      </c>
      <c r="Q1121" s="361">
        <v>124496</v>
      </c>
      <c r="R1121" s="361">
        <v>124496</v>
      </c>
      <c r="S1121" s="361">
        <v>248992</v>
      </c>
      <c r="T1121" s="390">
        <v>1230000</v>
      </c>
      <c r="U1121" s="364">
        <f t="shared" si="36"/>
        <v>53573836</v>
      </c>
      <c r="W1121" s="365" t="str">
        <f>+VLOOKUP($B1121,[2]Time_S4!$B:$G,6,0)</f>
        <v>Trung tâm Tác chiến điện tử</v>
      </c>
      <c r="X1121" s="365" t="str">
        <f>IF(W1121="Phòng Kinh doanh","Trung tâm Kinh doanh - TCT CNC",+VLOOKUP($B1121,[2]Time_S4!$B:$G,5,0))</f>
        <v>Khối 1 - TCT CNC</v>
      </c>
      <c r="Z1121" s="366"/>
    </row>
    <row r="1122" spans="1:26" ht="15.75" hidden="1">
      <c r="A1122" s="367">
        <f>SUBTOTAL(3,$B$15:B1122)</f>
        <v>2</v>
      </c>
      <c r="B1122" s="394" t="s">
        <v>2523</v>
      </c>
      <c r="C1122" s="314" t="s">
        <v>2434</v>
      </c>
      <c r="D1122" s="314" t="s">
        <v>407</v>
      </c>
      <c r="E1122" s="314">
        <v>21</v>
      </c>
      <c r="F1122" s="314">
        <v>21</v>
      </c>
      <c r="G1122" s="388">
        <v>19362040</v>
      </c>
      <c r="H1122" s="359">
        <f t="shared" si="35"/>
        <v>18445432</v>
      </c>
      <c r="I1122" s="360"/>
      <c r="K1122" s="362"/>
      <c r="M1122" s="361">
        <v>698368</v>
      </c>
      <c r="N1122" s="361">
        <v>1527680</v>
      </c>
      <c r="O1122" s="361">
        <v>130944</v>
      </c>
      <c r="P1122" s="361">
        <v>261888</v>
      </c>
      <c r="Q1122" s="361">
        <v>87296</v>
      </c>
      <c r="R1122" s="361">
        <v>87296</v>
      </c>
      <c r="S1122" s="361">
        <v>174592</v>
      </c>
      <c r="T1122" s="390">
        <v>1047000</v>
      </c>
      <c r="U1122" s="364">
        <f t="shared" si="36"/>
        <v>22460496</v>
      </c>
      <c r="W1122" s="365" t="str">
        <f>+VLOOKUP($B1122,[2]Time_S4!$B:$G,6,0)</f>
        <v>Trung tâm Đảm bảo chất lượng</v>
      </c>
      <c r="X1122" s="365" t="str">
        <f>IF(W1122="Phòng Kinh doanh","Trung tâm Kinh doanh - TCT CNC",+VLOOKUP($B1122,[2]Time_S4!$B:$G,5,0))</f>
        <v>Khối 1 - TCT CNC</v>
      </c>
      <c r="Z1122" s="366"/>
    </row>
    <row r="1123" spans="1:26" ht="15.75" hidden="1">
      <c r="A1123" s="367">
        <f>SUBTOTAL(3,$B$15:B1123)</f>
        <v>2</v>
      </c>
      <c r="B1123" s="394" t="s">
        <v>2524</v>
      </c>
      <c r="C1123" s="314" t="s">
        <v>2525</v>
      </c>
      <c r="D1123" s="314" t="s">
        <v>407</v>
      </c>
      <c r="E1123" s="314">
        <v>21</v>
      </c>
      <c r="F1123" s="314">
        <v>21</v>
      </c>
      <c r="G1123" s="388">
        <v>12223180</v>
      </c>
      <c r="H1123" s="359">
        <f t="shared" si="35"/>
        <v>11478436</v>
      </c>
      <c r="I1123" s="360"/>
      <c r="K1123" s="362"/>
      <c r="M1123" s="361">
        <v>567424</v>
      </c>
      <c r="N1123" s="361">
        <v>1241240</v>
      </c>
      <c r="O1123" s="361">
        <v>106392</v>
      </c>
      <c r="P1123" s="361">
        <v>212784</v>
      </c>
      <c r="Q1123" s="361">
        <v>70928</v>
      </c>
      <c r="R1123" s="361">
        <v>70928</v>
      </c>
      <c r="S1123" s="361">
        <v>141856</v>
      </c>
      <c r="T1123" s="390">
        <v>930000</v>
      </c>
      <c r="U1123" s="364">
        <f t="shared" si="36"/>
        <v>14819988</v>
      </c>
      <c r="W1123" s="365" t="str">
        <f>+VLOOKUP($B1123,[2]Time_S4!$B:$G,6,0)</f>
        <v>Trung tâm Chỉ huy điều khiển</v>
      </c>
      <c r="X1123" s="365" t="str">
        <f>IF(W1123="Phòng Kinh doanh","Trung tâm Kinh doanh - TCT CNC",+VLOOKUP($B1123,[2]Time_S4!$B:$G,5,0))</f>
        <v>Khối 1 - TCT CNC</v>
      </c>
      <c r="Z1123" s="366"/>
    </row>
    <row r="1124" spans="1:26" ht="15.75" hidden="1">
      <c r="A1124" s="367">
        <f>SUBTOTAL(3,$B$15:B1124)</f>
        <v>2</v>
      </c>
      <c r="B1124" s="394" t="s">
        <v>2526</v>
      </c>
      <c r="C1124" s="314" t="s">
        <v>2527</v>
      </c>
      <c r="D1124" s="314" t="s">
        <v>407</v>
      </c>
      <c r="E1124" s="314">
        <v>21</v>
      </c>
      <c r="F1124" s="314">
        <v>21</v>
      </c>
      <c r="G1124" s="388">
        <v>12352180</v>
      </c>
      <c r="H1124" s="359">
        <f t="shared" si="35"/>
        <v>11607436</v>
      </c>
      <c r="I1124" s="360"/>
      <c r="K1124" s="362"/>
      <c r="M1124" s="361">
        <v>567424</v>
      </c>
      <c r="N1124" s="361">
        <v>1241240</v>
      </c>
      <c r="O1124" s="361">
        <v>106392</v>
      </c>
      <c r="P1124" s="361">
        <v>212784</v>
      </c>
      <c r="Q1124" s="361">
        <v>70928</v>
      </c>
      <c r="R1124" s="361">
        <v>70928</v>
      </c>
      <c r="S1124" s="361">
        <v>141856</v>
      </c>
      <c r="T1124" s="390">
        <v>1047000</v>
      </c>
      <c r="U1124" s="364">
        <f t="shared" si="36"/>
        <v>15065988</v>
      </c>
      <c r="W1124" s="365" t="str">
        <f>+VLOOKUP($B1124,[2]Time_S4!$B:$G,6,0)</f>
        <v>Trung tâm Nghiên cứu thiết bị vô tuyến băng rộng</v>
      </c>
      <c r="X1124" s="365" t="str">
        <f>IF(W1124="Phòng Kinh doanh","Trung tâm Kinh doanh - TCT CNC",+VLOOKUP($B1124,[2]Time_S4!$B:$G,5,0))</f>
        <v>Khối 2 - TCT CNC</v>
      </c>
      <c r="Z1124" s="366"/>
    </row>
    <row r="1125" spans="1:26" ht="15.75" hidden="1">
      <c r="A1125" s="367">
        <f>SUBTOTAL(3,$B$15:B1125)</f>
        <v>2</v>
      </c>
      <c r="B1125" s="394" t="s">
        <v>2528</v>
      </c>
      <c r="C1125" s="314" t="s">
        <v>1967</v>
      </c>
      <c r="D1125" s="314" t="s">
        <v>407</v>
      </c>
      <c r="E1125" s="314">
        <v>21</v>
      </c>
      <c r="F1125" s="314">
        <v>21</v>
      </c>
      <c r="G1125" s="388">
        <v>13017820</v>
      </c>
      <c r="H1125" s="359">
        <f t="shared" si="35"/>
        <v>12231412</v>
      </c>
      <c r="I1125" s="360"/>
      <c r="K1125" s="362"/>
      <c r="M1125" s="361">
        <v>599168</v>
      </c>
      <c r="N1125" s="361">
        <v>1310680</v>
      </c>
      <c r="O1125" s="361">
        <v>112344</v>
      </c>
      <c r="P1125" s="361">
        <v>224688</v>
      </c>
      <c r="Q1125" s="361">
        <v>74896</v>
      </c>
      <c r="R1125" s="361">
        <v>74896</v>
      </c>
      <c r="S1125" s="361">
        <v>149792</v>
      </c>
      <c r="T1125" s="390">
        <v>930000</v>
      </c>
      <c r="U1125" s="364">
        <f t="shared" si="36"/>
        <v>15707876</v>
      </c>
      <c r="W1125" s="365" t="str">
        <f>+VLOOKUP($B1125,[2]Time_S4!$B:$G,6,0)</f>
        <v>Trung tâm Nền tảng IOT</v>
      </c>
      <c r="X1125" s="365" t="str">
        <f>IF(W1125="Phòng Kinh doanh","Trung tâm Kinh doanh - TCT CNC",+VLOOKUP($B1125,[2]Time_S4!$B:$G,5,0))</f>
        <v>Khối 3 - TCT CNC</v>
      </c>
      <c r="Z1125" s="366"/>
    </row>
    <row r="1126" spans="1:26" ht="15.75" hidden="1">
      <c r="A1126" s="367">
        <f>SUBTOTAL(3,$B$15:B1126)</f>
        <v>2</v>
      </c>
      <c r="B1126" s="394" t="s">
        <v>2529</v>
      </c>
      <c r="C1126" s="314" t="s">
        <v>2530</v>
      </c>
      <c r="D1126" s="314" t="s">
        <v>407</v>
      </c>
      <c r="E1126" s="314">
        <v>21</v>
      </c>
      <c r="F1126" s="314">
        <v>21</v>
      </c>
      <c r="G1126" s="388">
        <v>12223180</v>
      </c>
      <c r="H1126" s="359">
        <f t="shared" si="35"/>
        <v>11478436</v>
      </c>
      <c r="I1126" s="360"/>
      <c r="K1126" s="362"/>
      <c r="M1126" s="361">
        <v>567424</v>
      </c>
      <c r="N1126" s="361">
        <v>1241240</v>
      </c>
      <c r="O1126" s="361">
        <v>106392</v>
      </c>
      <c r="P1126" s="361">
        <v>212784</v>
      </c>
      <c r="Q1126" s="361">
        <v>70928</v>
      </c>
      <c r="R1126" s="361">
        <v>70928</v>
      </c>
      <c r="S1126" s="361">
        <v>141856</v>
      </c>
      <c r="T1126" s="390">
        <v>930000</v>
      </c>
      <c r="U1126" s="364">
        <f t="shared" si="36"/>
        <v>14819988</v>
      </c>
      <c r="W1126" s="365" t="str">
        <f>+VLOOKUP($B1126,[2]Time_S4!$B:$G,6,0)</f>
        <v>Trung tâm Công nghệ Cơ khí - Tự động hóa</v>
      </c>
      <c r="X1126" s="365" t="str">
        <f>IF(W1126="Phòng Kinh doanh","Trung tâm Kinh doanh - TCT CNC",+VLOOKUP($B1126,[2]Time_S4!$B:$G,5,0))</f>
        <v>Khối 1 - TCT CNC</v>
      </c>
      <c r="Z1126" s="366"/>
    </row>
    <row r="1127" spans="1:26" ht="15.75" hidden="1">
      <c r="A1127" s="367">
        <f>SUBTOTAL(3,$B$15:B1127)</f>
        <v>2</v>
      </c>
      <c r="B1127" s="394" t="s">
        <v>2531</v>
      </c>
      <c r="C1127" s="314" t="s">
        <v>2532</v>
      </c>
      <c r="D1127" s="314" t="s">
        <v>407</v>
      </c>
      <c r="E1127" s="314">
        <v>21</v>
      </c>
      <c r="F1127" s="314">
        <v>21</v>
      </c>
      <c r="G1127" s="388">
        <v>16029540</v>
      </c>
      <c r="H1127" s="359">
        <f t="shared" si="35"/>
        <v>15201468</v>
      </c>
      <c r="I1127" s="360"/>
      <c r="K1127" s="362"/>
      <c r="M1127" s="361">
        <v>630912</v>
      </c>
      <c r="N1127" s="361">
        <v>1380120</v>
      </c>
      <c r="O1127" s="361">
        <v>118296</v>
      </c>
      <c r="P1127" s="361">
        <v>236592</v>
      </c>
      <c r="Q1127" s="361">
        <v>78864</v>
      </c>
      <c r="R1127" s="361">
        <v>78864</v>
      </c>
      <c r="S1127" s="361">
        <v>157728</v>
      </c>
      <c r="T1127" s="390">
        <v>930000</v>
      </c>
      <c r="U1127" s="364">
        <f t="shared" si="36"/>
        <v>18812844</v>
      </c>
      <c r="W1127" s="365" t="str">
        <f>+VLOOKUP($B1127,[2]Time_S4!$B:$G,6,0)</f>
        <v>Trung tâm Nghiên cứu Công nghệ chuyển mạch</v>
      </c>
      <c r="X1127" s="365" t="str">
        <f>IF(W1127="Phòng Kinh doanh","Trung tâm Kinh doanh - TCT CNC",+VLOOKUP($B1127,[2]Time_S4!$B:$G,5,0))</f>
        <v>Khối 2 - TCT CNC</v>
      </c>
      <c r="Z1127" s="366"/>
    </row>
    <row r="1128" spans="1:26" ht="15.75" hidden="1">
      <c r="A1128" s="367">
        <f>SUBTOTAL(3,$B$15:B1128)</f>
        <v>2</v>
      </c>
      <c r="B1128" s="394" t="s">
        <v>2533</v>
      </c>
      <c r="C1128" s="314" t="s">
        <v>2534</v>
      </c>
      <c r="D1128" s="314" t="s">
        <v>407</v>
      </c>
      <c r="E1128" s="314">
        <v>21</v>
      </c>
      <c r="F1128" s="314">
        <v>21</v>
      </c>
      <c r="G1128" s="388">
        <v>14009400</v>
      </c>
      <c r="H1128" s="359">
        <f t="shared" si="35"/>
        <v>13222992</v>
      </c>
      <c r="I1128" s="360"/>
      <c r="K1128" s="362"/>
      <c r="M1128" s="361">
        <v>599168</v>
      </c>
      <c r="N1128" s="361">
        <v>1310680</v>
      </c>
      <c r="O1128" s="361">
        <v>112344</v>
      </c>
      <c r="P1128" s="361">
        <v>224688</v>
      </c>
      <c r="Q1128" s="361">
        <v>74896</v>
      </c>
      <c r="R1128" s="361">
        <v>74896</v>
      </c>
      <c r="S1128" s="361">
        <v>149792</v>
      </c>
      <c r="T1128" s="390">
        <v>930000</v>
      </c>
      <c r="U1128" s="364">
        <f t="shared" si="36"/>
        <v>16699456</v>
      </c>
      <c r="W1128" s="365" t="str">
        <f>+VLOOKUP($B1128,[2]Time_S4!$B:$G,6,0)</f>
        <v>Trung tâm Nghiên cứu thiết bị vô tuyến băng rộng</v>
      </c>
      <c r="X1128" s="365" t="str">
        <f>IF(W1128="Phòng Kinh doanh","Trung tâm Kinh doanh - TCT CNC",+VLOOKUP($B1128,[2]Time_S4!$B:$G,5,0))</f>
        <v>Khối 2 - TCT CNC</v>
      </c>
      <c r="Z1128" s="366"/>
    </row>
    <row r="1129" spans="1:26" ht="15.75" hidden="1">
      <c r="A1129" s="367">
        <f>SUBTOTAL(3,$B$15:B1129)</f>
        <v>2</v>
      </c>
      <c r="B1129" s="394" t="s">
        <v>2535</v>
      </c>
      <c r="C1129" s="314" t="s">
        <v>2536</v>
      </c>
      <c r="D1129" s="314" t="s">
        <v>407</v>
      </c>
      <c r="E1129" s="314">
        <v>21</v>
      </c>
      <c r="F1129" s="314">
        <v>21</v>
      </c>
      <c r="G1129" s="388">
        <v>15370780</v>
      </c>
      <c r="H1129" s="359">
        <f t="shared" si="35"/>
        <v>14542708</v>
      </c>
      <c r="I1129" s="360"/>
      <c r="K1129" s="362"/>
      <c r="M1129" s="361">
        <v>630912</v>
      </c>
      <c r="N1129" s="361">
        <v>1380120</v>
      </c>
      <c r="O1129" s="361">
        <v>118296</v>
      </c>
      <c r="P1129" s="361">
        <v>236592</v>
      </c>
      <c r="Q1129" s="361">
        <v>78864</v>
      </c>
      <c r="R1129" s="361">
        <v>78864</v>
      </c>
      <c r="S1129" s="361">
        <v>157728</v>
      </c>
      <c r="T1129" s="390">
        <v>930000</v>
      </c>
      <c r="U1129" s="364">
        <f t="shared" si="36"/>
        <v>18154084</v>
      </c>
      <c r="W1129" s="365" t="str">
        <f>+VLOOKUP($B1129,[2]Time_S4!$B:$G,6,0)</f>
        <v>Trung tâm Nghiên cứu Công nghệ chuyển mạch</v>
      </c>
      <c r="X1129" s="365" t="str">
        <f>IF(W1129="Phòng Kinh doanh","Trung tâm Kinh doanh - TCT CNC",+VLOOKUP($B1129,[2]Time_S4!$B:$G,5,0))</f>
        <v>Khối 2 - TCT CNC</v>
      </c>
      <c r="Z1129" s="366"/>
    </row>
    <row r="1130" spans="1:26" ht="15.75" hidden="1">
      <c r="A1130" s="367">
        <f>SUBTOTAL(3,$B$15:B1130)</f>
        <v>2</v>
      </c>
      <c r="B1130" s="394" t="s">
        <v>2537</v>
      </c>
      <c r="C1130" s="314" t="s">
        <v>1565</v>
      </c>
      <c r="D1130" s="314" t="s">
        <v>407</v>
      </c>
      <c r="E1130" s="314">
        <v>21</v>
      </c>
      <c r="F1130" s="314">
        <v>21</v>
      </c>
      <c r="G1130" s="388">
        <v>13720940</v>
      </c>
      <c r="H1130" s="359">
        <f t="shared" si="35"/>
        <v>12976196</v>
      </c>
      <c r="I1130" s="360"/>
      <c r="K1130" s="362"/>
      <c r="M1130" s="361">
        <v>567424</v>
      </c>
      <c r="N1130" s="361">
        <v>1241240</v>
      </c>
      <c r="O1130" s="361">
        <v>106392</v>
      </c>
      <c r="P1130" s="361">
        <v>212784</v>
      </c>
      <c r="Q1130" s="361">
        <v>70928</v>
      </c>
      <c r="R1130" s="361">
        <v>70928</v>
      </c>
      <c r="S1130" s="361">
        <v>141856</v>
      </c>
      <c r="T1130" s="390">
        <v>930000</v>
      </c>
      <c r="U1130" s="364">
        <f t="shared" si="36"/>
        <v>16317748</v>
      </c>
      <c r="W1130" s="365" t="str">
        <f>+VLOOKUP($B1130,[2]Time_S4!$B:$G,6,0)</f>
        <v>Trung tâm Khí cụ bay</v>
      </c>
      <c r="X1130" s="365" t="str">
        <f>IF(W1130="Phòng Kinh doanh","Trung tâm Kinh doanh - TCT CNC",+VLOOKUP($B1130,[2]Time_S4!$B:$G,5,0))</f>
        <v>Khối 1 - TCT CNC</v>
      </c>
      <c r="Z1130" s="366"/>
    </row>
    <row r="1131" spans="1:26" ht="15.75" hidden="1">
      <c r="A1131" s="367">
        <f>SUBTOTAL(3,$B$15:B1131)</f>
        <v>2</v>
      </c>
      <c r="B1131" s="394" t="s">
        <v>2538</v>
      </c>
      <c r="C1131" s="314" t="s">
        <v>2539</v>
      </c>
      <c r="D1131" s="314" t="s">
        <v>407</v>
      </c>
      <c r="E1131" s="314">
        <v>21</v>
      </c>
      <c r="F1131" s="314">
        <v>21</v>
      </c>
      <c r="G1131" s="388">
        <v>11720940</v>
      </c>
      <c r="H1131" s="359">
        <f t="shared" si="35"/>
        <v>10976196</v>
      </c>
      <c r="I1131" s="360"/>
      <c r="K1131" s="362"/>
      <c r="M1131" s="361">
        <v>567424</v>
      </c>
      <c r="N1131" s="361">
        <v>1241240</v>
      </c>
      <c r="O1131" s="361">
        <v>106392</v>
      </c>
      <c r="P1131" s="361">
        <v>212784</v>
      </c>
      <c r="Q1131" s="361">
        <v>70928</v>
      </c>
      <c r="R1131" s="361">
        <v>70928</v>
      </c>
      <c r="S1131" s="361">
        <v>141856</v>
      </c>
      <c r="T1131" s="390">
        <v>930000</v>
      </c>
      <c r="U1131" s="364">
        <f t="shared" si="36"/>
        <v>14317748</v>
      </c>
      <c r="W1131" s="365" t="str">
        <f>+VLOOKUP($B1131,[2]Time_S4!$B:$G,6,0)</f>
        <v>Trung tâm Khí cụ bay</v>
      </c>
      <c r="X1131" s="365" t="str">
        <f>IF(W1131="Phòng Kinh doanh","Trung tâm Kinh doanh - TCT CNC",+VLOOKUP($B1131,[2]Time_S4!$B:$G,5,0))</f>
        <v>Khối 1 - TCT CNC</v>
      </c>
      <c r="Z1131" s="366"/>
    </row>
    <row r="1132" spans="1:26" ht="15.75" hidden="1">
      <c r="A1132" s="367">
        <f>SUBTOTAL(3,$B$15:B1132)</f>
        <v>2</v>
      </c>
      <c r="B1132" s="394" t="s">
        <v>2540</v>
      </c>
      <c r="C1132" s="314" t="s">
        <v>1344</v>
      </c>
      <c r="D1132" s="314" t="s">
        <v>407</v>
      </c>
      <c r="E1132" s="314">
        <v>21</v>
      </c>
      <c r="F1132" s="314">
        <v>21</v>
      </c>
      <c r="G1132" s="388">
        <v>20975400</v>
      </c>
      <c r="H1132" s="359">
        <f t="shared" si="35"/>
        <v>20058792</v>
      </c>
      <c r="I1132" s="360"/>
      <c r="K1132" s="362"/>
      <c r="M1132" s="361">
        <v>698368</v>
      </c>
      <c r="N1132" s="361">
        <v>1527680</v>
      </c>
      <c r="O1132" s="361">
        <v>130944</v>
      </c>
      <c r="P1132" s="361">
        <v>261888</v>
      </c>
      <c r="Q1132" s="361">
        <v>87296</v>
      </c>
      <c r="R1132" s="361">
        <v>87296</v>
      </c>
      <c r="S1132" s="361">
        <v>174592</v>
      </c>
      <c r="T1132" s="390">
        <v>1030000</v>
      </c>
      <c r="U1132" s="364">
        <f t="shared" si="36"/>
        <v>24056856</v>
      </c>
      <c r="W1132" s="365" t="str">
        <f>+VLOOKUP($B1132,[2]Time_S4!$B:$G,6,0)</f>
        <v>Trung tâm Camera</v>
      </c>
      <c r="X1132" s="365" t="str">
        <f>IF(W1132="Phòng Kinh doanh","Trung tâm Kinh doanh - TCT CNC",+VLOOKUP($B1132,[2]Time_S4!$B:$G,5,0))</f>
        <v>Khối 3 - TCT CNC</v>
      </c>
      <c r="Z1132" s="366"/>
    </row>
    <row r="1133" spans="1:26" ht="15.75" hidden="1">
      <c r="A1133" s="367">
        <f>SUBTOTAL(3,$B$15:B1133)</f>
        <v>2</v>
      </c>
      <c r="B1133" s="394" t="s">
        <v>2541</v>
      </c>
      <c r="C1133" s="314" t="s">
        <v>2542</v>
      </c>
      <c r="D1133" s="314" t="s">
        <v>407</v>
      </c>
      <c r="E1133" s="314">
        <v>21</v>
      </c>
      <c r="F1133" s="314">
        <v>21</v>
      </c>
      <c r="G1133" s="388">
        <v>18372180</v>
      </c>
      <c r="H1133" s="359">
        <f t="shared" si="35"/>
        <v>17502444</v>
      </c>
      <c r="I1133" s="360"/>
      <c r="K1133" s="362"/>
      <c r="M1133" s="361">
        <v>662656</v>
      </c>
      <c r="N1133" s="361">
        <v>1449560</v>
      </c>
      <c r="O1133" s="361">
        <v>124248</v>
      </c>
      <c r="P1133" s="361">
        <v>248496</v>
      </c>
      <c r="Q1133" s="361">
        <v>82832</v>
      </c>
      <c r="R1133" s="361">
        <v>82832</v>
      </c>
      <c r="S1133" s="361">
        <v>165664</v>
      </c>
      <c r="T1133" s="390">
        <v>930000</v>
      </c>
      <c r="U1133" s="364">
        <f t="shared" si="36"/>
        <v>21248732</v>
      </c>
      <c r="W1133" s="365" t="str">
        <f>+VLOOKUP($B1133,[2]Time_S4!$B:$G,6,0)</f>
        <v>Trung tâm Nghiên cứu Công nghệ chuyển mạch</v>
      </c>
      <c r="X1133" s="365" t="str">
        <f>IF(W1133="Phòng Kinh doanh","Trung tâm Kinh doanh - TCT CNC",+VLOOKUP($B1133,[2]Time_S4!$B:$G,5,0))</f>
        <v>Khối 2 - TCT CNC</v>
      </c>
      <c r="Z1133" s="366"/>
    </row>
    <row r="1134" spans="1:26" ht="15.75" hidden="1">
      <c r="A1134" s="367">
        <f>SUBTOTAL(3,$B$15:B1134)</f>
        <v>2</v>
      </c>
      <c r="B1134" s="394" t="s">
        <v>2543</v>
      </c>
      <c r="C1134" s="314" t="s">
        <v>2319</v>
      </c>
      <c r="D1134" s="314" t="s">
        <v>407</v>
      </c>
      <c r="E1134" s="314">
        <v>21</v>
      </c>
      <c r="F1134" s="314">
        <v>21</v>
      </c>
      <c r="G1134" s="388">
        <v>11844780</v>
      </c>
      <c r="H1134" s="359">
        <f t="shared" si="35"/>
        <v>11100036</v>
      </c>
      <c r="I1134" s="360"/>
      <c r="K1134" s="362"/>
      <c r="M1134" s="361">
        <v>567424</v>
      </c>
      <c r="N1134" s="361">
        <v>1241240</v>
      </c>
      <c r="O1134" s="361">
        <v>106392</v>
      </c>
      <c r="P1134" s="361">
        <v>212784</v>
      </c>
      <c r="Q1134" s="361">
        <v>70928</v>
      </c>
      <c r="R1134" s="361">
        <v>70928</v>
      </c>
      <c r="S1134" s="361">
        <v>141856</v>
      </c>
      <c r="T1134" s="390">
        <v>930000</v>
      </c>
      <c r="U1134" s="364">
        <f t="shared" si="36"/>
        <v>14441588</v>
      </c>
      <c r="W1134" s="365" t="str">
        <f>+VLOOKUP($B1134,[2]Time_S4!$B:$G,6,0)</f>
        <v>Phòng Tài chính</v>
      </c>
      <c r="X1134" s="365" t="str">
        <f>IF(W1134="Phòng Kinh doanh","Trung tâm Kinh doanh - TCT CNC",+VLOOKUP($B1134,[2]Time_S4!$B:$G,5,0))</f>
        <v>Khối cơ quan - TCT CNC</v>
      </c>
      <c r="Z1134" s="366"/>
    </row>
    <row r="1135" spans="1:26" ht="15.75" hidden="1">
      <c r="A1135" s="367">
        <f>SUBTOTAL(3,$B$15:B1135)</f>
        <v>2</v>
      </c>
      <c r="B1135" s="394" t="s">
        <v>2544</v>
      </c>
      <c r="C1135" s="314" t="s">
        <v>2545</v>
      </c>
      <c r="D1135" s="314" t="s">
        <v>407</v>
      </c>
      <c r="E1135" s="314">
        <v>21</v>
      </c>
      <c r="F1135" s="314">
        <v>21</v>
      </c>
      <c r="G1135" s="388">
        <v>12881940</v>
      </c>
      <c r="H1135" s="359">
        <f t="shared" si="35"/>
        <v>12095532</v>
      </c>
      <c r="I1135" s="360"/>
      <c r="K1135" s="362"/>
      <c r="M1135" s="361">
        <v>599168</v>
      </c>
      <c r="N1135" s="361">
        <v>1310680</v>
      </c>
      <c r="O1135" s="361">
        <v>112344</v>
      </c>
      <c r="P1135" s="361">
        <v>224688</v>
      </c>
      <c r="Q1135" s="361">
        <v>74896</v>
      </c>
      <c r="R1135" s="361">
        <v>74896</v>
      </c>
      <c r="S1135" s="361">
        <v>149792</v>
      </c>
      <c r="T1135" s="390">
        <v>930000</v>
      </c>
      <c r="U1135" s="364">
        <f t="shared" si="36"/>
        <v>15571996</v>
      </c>
      <c r="W1135" s="365" t="str">
        <f>+VLOOKUP($B1135,[2]Time_S4!$B:$G,6,0)</f>
        <v>Trung tâm Khí cụ bay</v>
      </c>
      <c r="X1135" s="365" t="str">
        <f>IF(W1135="Phòng Kinh doanh","Trung tâm Kinh doanh - TCT CNC",+VLOOKUP($B1135,[2]Time_S4!$B:$G,5,0))</f>
        <v>Khối 1 - TCT CNC</v>
      </c>
      <c r="Z1135" s="366"/>
    </row>
    <row r="1136" spans="1:26" ht="15.75" hidden="1">
      <c r="A1136" s="367">
        <f>SUBTOTAL(3,$B$15:B1136)</f>
        <v>2</v>
      </c>
      <c r="B1136" s="394" t="s">
        <v>2546</v>
      </c>
      <c r="C1136" s="314" t="s">
        <v>2547</v>
      </c>
      <c r="D1136" s="314" t="s">
        <v>407</v>
      </c>
      <c r="E1136" s="314">
        <v>21</v>
      </c>
      <c r="F1136" s="314">
        <v>21</v>
      </c>
      <c r="G1136" s="388">
        <v>13720940</v>
      </c>
      <c r="H1136" s="359">
        <f t="shared" si="35"/>
        <v>12976196</v>
      </c>
      <c r="I1136" s="360"/>
      <c r="K1136" s="362"/>
      <c r="M1136" s="361">
        <v>567424</v>
      </c>
      <c r="N1136" s="361">
        <v>1241240</v>
      </c>
      <c r="O1136" s="361">
        <v>106392</v>
      </c>
      <c r="P1136" s="361">
        <v>212784</v>
      </c>
      <c r="Q1136" s="361">
        <v>70928</v>
      </c>
      <c r="R1136" s="361">
        <v>70928</v>
      </c>
      <c r="S1136" s="361">
        <v>141856</v>
      </c>
      <c r="T1136" s="390">
        <v>930000</v>
      </c>
      <c r="U1136" s="364">
        <f t="shared" si="36"/>
        <v>16317748</v>
      </c>
      <c r="W1136" s="365" t="str">
        <f>+VLOOKUP($B1136,[2]Time_S4!$B:$G,6,0)</f>
        <v>Trung tâm Khí cụ bay</v>
      </c>
      <c r="X1136" s="365" t="str">
        <f>IF(W1136="Phòng Kinh doanh","Trung tâm Kinh doanh - TCT CNC",+VLOOKUP($B1136,[2]Time_S4!$B:$G,5,0))</f>
        <v>Khối 1 - TCT CNC</v>
      </c>
      <c r="Z1136" s="366"/>
    </row>
    <row r="1137" spans="1:26" ht="15.75" hidden="1">
      <c r="A1137" s="367">
        <f>SUBTOTAL(3,$B$15:B1137)</f>
        <v>2</v>
      </c>
      <c r="B1137" s="394" t="s">
        <v>2548</v>
      </c>
      <c r="C1137" s="314" t="s">
        <v>2549</v>
      </c>
      <c r="D1137" s="314" t="s">
        <v>407</v>
      </c>
      <c r="E1137" s="314">
        <v>21</v>
      </c>
      <c r="F1137" s="314">
        <v>21</v>
      </c>
      <c r="G1137" s="388">
        <v>14920140</v>
      </c>
      <c r="H1137" s="359">
        <f t="shared" si="35"/>
        <v>14092068</v>
      </c>
      <c r="I1137" s="360"/>
      <c r="K1137" s="362"/>
      <c r="M1137" s="361">
        <v>630912</v>
      </c>
      <c r="N1137" s="361">
        <v>1380120</v>
      </c>
      <c r="O1137" s="361">
        <v>118296</v>
      </c>
      <c r="P1137" s="361">
        <v>236592</v>
      </c>
      <c r="Q1137" s="361">
        <v>78864</v>
      </c>
      <c r="R1137" s="361">
        <v>78864</v>
      </c>
      <c r="S1137" s="361">
        <v>157728</v>
      </c>
      <c r="T1137" s="390">
        <v>930000</v>
      </c>
      <c r="U1137" s="364">
        <f t="shared" si="36"/>
        <v>17703444</v>
      </c>
      <c r="W1137" s="365" t="str">
        <f>+VLOOKUP($B1137,[2]Time_S4!$B:$G,6,0)</f>
        <v>Trung tâm Khí cụ bay</v>
      </c>
      <c r="X1137" s="365" t="str">
        <f>IF(W1137="Phòng Kinh doanh","Trung tâm Kinh doanh - TCT CNC",+VLOOKUP($B1137,[2]Time_S4!$B:$G,5,0))</f>
        <v>Khối 1 - TCT CNC</v>
      </c>
      <c r="Z1137" s="366"/>
    </row>
    <row r="1138" spans="1:26" ht="15.75" hidden="1">
      <c r="A1138" s="367">
        <f>SUBTOTAL(3,$B$15:B1138)</f>
        <v>2</v>
      </c>
      <c r="B1138" s="394" t="s">
        <v>2550</v>
      </c>
      <c r="C1138" s="314" t="s">
        <v>2551</v>
      </c>
      <c r="D1138" s="314" t="s">
        <v>407</v>
      </c>
      <c r="E1138" s="314">
        <v>21</v>
      </c>
      <c r="F1138" s="314">
        <v>21</v>
      </c>
      <c r="G1138" s="388">
        <v>12352180</v>
      </c>
      <c r="H1138" s="359">
        <f t="shared" si="35"/>
        <v>11607436</v>
      </c>
      <c r="I1138" s="360"/>
      <c r="K1138" s="362"/>
      <c r="M1138" s="361">
        <v>567424</v>
      </c>
      <c r="N1138" s="361">
        <v>1241240</v>
      </c>
      <c r="O1138" s="361">
        <v>106392</v>
      </c>
      <c r="P1138" s="361">
        <v>212784</v>
      </c>
      <c r="Q1138" s="361">
        <v>70928</v>
      </c>
      <c r="R1138" s="361">
        <v>70928</v>
      </c>
      <c r="S1138" s="361">
        <v>141856</v>
      </c>
      <c r="T1138" s="390">
        <v>930000</v>
      </c>
      <c r="U1138" s="364">
        <f t="shared" si="36"/>
        <v>14948988</v>
      </c>
      <c r="W1138" s="365" t="str">
        <f>+VLOOKUP($B1138,[2]Time_S4!$B:$G,6,0)</f>
        <v>Trung tâm Phát triển nền tảng thanh toán</v>
      </c>
      <c r="X1138" s="365" t="str">
        <f>IF(W1138="Phòng Kinh doanh","Trung tâm Kinh doanh - TCT CNC",+VLOOKUP($B1138,[2]Time_S4!$B:$G,5,0))</f>
        <v>Khối 2 - TCT CNC</v>
      </c>
      <c r="Z1138" s="366"/>
    </row>
    <row r="1139" spans="1:26" hidden="1">
      <c r="A1139" s="367">
        <f>SUBTOTAL(3,$B$15:B1139)</f>
        <v>2</v>
      </c>
      <c r="B1139" s="394" t="s">
        <v>2552</v>
      </c>
      <c r="C1139" s="314" t="s">
        <v>2553</v>
      </c>
      <c r="D1139" s="314" t="s">
        <v>407</v>
      </c>
      <c r="E1139" s="314">
        <v>21</v>
      </c>
      <c r="F1139" s="314">
        <v>21</v>
      </c>
      <c r="G1139" s="314">
        <v>15051720</v>
      </c>
      <c r="H1139" s="359">
        <f t="shared" si="35"/>
        <v>14265312</v>
      </c>
      <c r="K1139" s="362"/>
      <c r="M1139" s="361">
        <v>599168</v>
      </c>
      <c r="N1139" s="361">
        <v>1310680</v>
      </c>
      <c r="O1139" s="361">
        <v>112344</v>
      </c>
      <c r="P1139" s="361">
        <v>224688</v>
      </c>
      <c r="Q1139" s="361">
        <v>74896</v>
      </c>
      <c r="R1139" s="361">
        <v>74896</v>
      </c>
      <c r="S1139" s="361">
        <v>149792</v>
      </c>
      <c r="T1139" s="390">
        <v>930000</v>
      </c>
      <c r="U1139" s="364">
        <f t="shared" si="36"/>
        <v>17741776</v>
      </c>
      <c r="W1139" s="365" t="str">
        <f>+VLOOKUP($B1139,[2]Time_S4!$B:$G,6,0)</f>
        <v>Trung tâm Phát triển nền tảng thanh toán</v>
      </c>
      <c r="X1139" s="365" t="str">
        <f>IF(W1139="Phòng Kinh doanh","Trung tâm Kinh doanh - TCT CNC",+VLOOKUP($B1139,[2]Time_S4!$B:$G,5,0))</f>
        <v>Khối 2 - TCT CNC</v>
      </c>
      <c r="Z1139" s="366"/>
    </row>
    <row r="1140" spans="1:26" hidden="1">
      <c r="A1140" s="367">
        <f>SUBTOTAL(3,$B$15:B1140)</f>
        <v>2</v>
      </c>
      <c r="B1140" s="394" t="s">
        <v>2554</v>
      </c>
      <c r="C1140" s="314" t="s">
        <v>2555</v>
      </c>
      <c r="D1140" s="314" t="s">
        <v>407</v>
      </c>
      <c r="E1140" s="314">
        <v>21</v>
      </c>
      <c r="F1140" s="314">
        <v>21</v>
      </c>
      <c r="G1140" s="314">
        <v>16370100</v>
      </c>
      <c r="H1140" s="359">
        <f t="shared" si="35"/>
        <v>15542028</v>
      </c>
      <c r="K1140" s="362"/>
      <c r="M1140" s="361">
        <v>630912</v>
      </c>
      <c r="N1140" s="361">
        <v>1380120</v>
      </c>
      <c r="O1140" s="361">
        <v>118296</v>
      </c>
      <c r="P1140" s="361">
        <v>236592</v>
      </c>
      <c r="Q1140" s="361">
        <v>78864</v>
      </c>
      <c r="R1140" s="361">
        <v>78864</v>
      </c>
      <c r="S1140" s="361">
        <v>157728</v>
      </c>
      <c r="T1140" s="390">
        <v>930000</v>
      </c>
      <c r="U1140" s="364">
        <f t="shared" si="36"/>
        <v>19153404</v>
      </c>
      <c r="W1140" s="365" t="str">
        <f>+VLOOKUP($B1140,[2]Time_S4!$B:$G,6,0)</f>
        <v>Trung tâm Nghiên cứu Công nghệ truyền dẫn</v>
      </c>
      <c r="X1140" s="365" t="str">
        <f>IF(W1140="Phòng Kinh doanh","Trung tâm Kinh doanh - TCT CNC",+VLOOKUP($B1140,[2]Time_S4!$B:$G,5,0))</f>
        <v>Khối 2 - TCT CNC</v>
      </c>
      <c r="Z1140" s="366"/>
    </row>
    <row r="1141" spans="1:26" hidden="1">
      <c r="A1141" s="367">
        <f>SUBTOTAL(3,$B$15:B1141)</f>
        <v>2</v>
      </c>
      <c r="B1141" s="394" t="s">
        <v>2556</v>
      </c>
      <c r="C1141" s="314" t="s">
        <v>498</v>
      </c>
      <c r="D1141" s="314" t="s">
        <v>407</v>
      </c>
      <c r="E1141" s="314">
        <v>21</v>
      </c>
      <c r="F1141" s="314">
        <v>21</v>
      </c>
      <c r="G1141" s="314">
        <v>12095900</v>
      </c>
      <c r="H1141" s="359">
        <f t="shared" si="35"/>
        <v>11351156</v>
      </c>
      <c r="K1141" s="362"/>
      <c r="M1141" s="361">
        <v>567424</v>
      </c>
      <c r="N1141" s="361">
        <v>1241240</v>
      </c>
      <c r="O1141" s="361">
        <v>106392</v>
      </c>
      <c r="P1141" s="361">
        <v>212784</v>
      </c>
      <c r="Q1141" s="361">
        <v>70928</v>
      </c>
      <c r="R1141" s="361">
        <v>70928</v>
      </c>
      <c r="S1141" s="361">
        <v>141856</v>
      </c>
      <c r="T1141" s="390">
        <v>1047000</v>
      </c>
      <c r="U1141" s="364">
        <f t="shared" si="36"/>
        <v>14809708</v>
      </c>
      <c r="W1141" s="365" t="str">
        <f>+VLOOKUP($B1141,[2]Time_S4!$B:$G,6,0)</f>
        <v>Phòng Quản lý chất lượng</v>
      </c>
      <c r="X1141" s="365" t="str">
        <f>IF(W1141="Phòng Kinh doanh","Trung tâm Kinh doanh - TCT CNC",+VLOOKUP($B1141,[2]Time_S4!$B:$G,5,0))</f>
        <v>Khối 3 - TCT CNC</v>
      </c>
      <c r="Z1141" s="366"/>
    </row>
    <row r="1142" spans="1:26" hidden="1">
      <c r="A1142" s="367">
        <f>SUBTOTAL(3,$B$15:B1142)</f>
        <v>2</v>
      </c>
      <c r="B1142" s="394" t="s">
        <v>2557</v>
      </c>
      <c r="C1142" s="314" t="s">
        <v>2558</v>
      </c>
      <c r="D1142" s="314" t="s">
        <v>407</v>
      </c>
      <c r="E1142" s="314">
        <v>21</v>
      </c>
      <c r="F1142" s="314">
        <v>21</v>
      </c>
      <c r="G1142" s="314">
        <v>12095900</v>
      </c>
      <c r="H1142" s="359">
        <f t="shared" si="35"/>
        <v>11351156</v>
      </c>
      <c r="K1142" s="362"/>
      <c r="M1142" s="361">
        <v>567424</v>
      </c>
      <c r="N1142" s="361">
        <v>1241240</v>
      </c>
      <c r="O1142" s="361">
        <v>106392</v>
      </c>
      <c r="P1142" s="361">
        <v>212784</v>
      </c>
      <c r="Q1142" s="361">
        <v>70928</v>
      </c>
      <c r="R1142" s="361">
        <v>70928</v>
      </c>
      <c r="S1142" s="361">
        <v>141856</v>
      </c>
      <c r="T1142" s="390">
        <v>1047000</v>
      </c>
      <c r="U1142" s="364">
        <f t="shared" si="36"/>
        <v>14809708</v>
      </c>
      <c r="W1142" s="365" t="str">
        <f>+VLOOKUP($B1142,[2]Time_S4!$B:$G,6,0)</f>
        <v>Trung tâm Nghiên cứu công nghệ Đa phương tiện</v>
      </c>
      <c r="X1142" s="365" t="str">
        <f>IF(W1142="Phòng Kinh doanh","Trung tâm Kinh doanh - TCT CNC",+VLOOKUP($B1142,[2]Time_S4!$B:$G,5,0))</f>
        <v>Khối 2 - TCT CNC</v>
      </c>
      <c r="Z1142" s="366"/>
    </row>
    <row r="1143" spans="1:26" hidden="1">
      <c r="A1143" s="367">
        <f>SUBTOTAL(3,$B$15:B1143)</f>
        <v>2</v>
      </c>
      <c r="B1143" s="394" t="s">
        <v>2559</v>
      </c>
      <c r="C1143" s="314" t="s">
        <v>2560</v>
      </c>
      <c r="D1143" s="314" t="s">
        <v>407</v>
      </c>
      <c r="E1143" s="314">
        <v>21</v>
      </c>
      <c r="F1143" s="314">
        <v>21</v>
      </c>
      <c r="G1143" s="314">
        <v>16716680</v>
      </c>
      <c r="H1143" s="359">
        <f t="shared" si="35"/>
        <v>15888608</v>
      </c>
      <c r="K1143" s="362"/>
      <c r="M1143" s="361">
        <v>630912</v>
      </c>
      <c r="N1143" s="361">
        <v>1380120</v>
      </c>
      <c r="O1143" s="361">
        <v>118296</v>
      </c>
      <c r="P1143" s="361">
        <v>236592</v>
      </c>
      <c r="Q1143" s="361">
        <v>78864</v>
      </c>
      <c r="R1143" s="361">
        <v>78864</v>
      </c>
      <c r="S1143" s="361">
        <v>157728</v>
      </c>
      <c r="T1143" s="390">
        <v>930000</v>
      </c>
      <c r="U1143" s="364">
        <f t="shared" si="36"/>
        <v>19499984</v>
      </c>
      <c r="W1143" s="365" t="str">
        <f>+VLOOKUP($B1143,[2]Time_S4!$B:$G,6,0)</f>
        <v>Trung tâm Chỉ huy điều khiển</v>
      </c>
      <c r="X1143" s="365" t="str">
        <f>IF(W1143="Phòng Kinh doanh","Trung tâm Kinh doanh - TCT CNC",+VLOOKUP($B1143,[2]Time_S4!$B:$G,5,0))</f>
        <v>Khối 1 - TCT CNC</v>
      </c>
      <c r="Z1143" s="366"/>
    </row>
    <row r="1144" spans="1:26" hidden="1">
      <c r="A1144" s="367">
        <f>SUBTOTAL(3,$B$15:B1144)</f>
        <v>2</v>
      </c>
      <c r="B1144" s="394" t="s">
        <v>2561</v>
      </c>
      <c r="C1144" s="314" t="s">
        <v>2562</v>
      </c>
      <c r="D1144" s="314" t="s">
        <v>407</v>
      </c>
      <c r="E1144" s="314">
        <v>21</v>
      </c>
      <c r="F1144" s="314">
        <v>21</v>
      </c>
      <c r="G1144" s="314">
        <v>18909231</v>
      </c>
      <c r="H1144" s="359">
        <f t="shared" si="35"/>
        <v>18039495</v>
      </c>
      <c r="K1144" s="362"/>
      <c r="M1144" s="361">
        <v>662656</v>
      </c>
      <c r="N1144" s="361">
        <v>1449560</v>
      </c>
      <c r="O1144" s="361">
        <v>124248</v>
      </c>
      <c r="P1144" s="361">
        <v>248496</v>
      </c>
      <c r="Q1144" s="361">
        <v>82832</v>
      </c>
      <c r="R1144" s="361">
        <v>82832</v>
      </c>
      <c r="S1144" s="361">
        <v>165664</v>
      </c>
      <c r="T1144" s="390">
        <v>1047000</v>
      </c>
      <c r="U1144" s="364">
        <f t="shared" si="36"/>
        <v>21902783</v>
      </c>
      <c r="W1144" s="365" t="str">
        <f>+VLOOKUP($B1144,[2]Time_S4!$B:$G,6,0)</f>
        <v>Trung tâm Rada</v>
      </c>
      <c r="X1144" s="365" t="str">
        <f>IF(W1144="Phòng Kinh doanh","Trung tâm Kinh doanh - TCT CNC",+VLOOKUP($B1144,[2]Time_S4!$B:$G,5,0))</f>
        <v>Khối 1 - TCT CNC</v>
      </c>
      <c r="Z1144" s="366"/>
    </row>
    <row r="1145" spans="1:26" hidden="1">
      <c r="A1145" s="367">
        <f>SUBTOTAL(3,$B$15:B1145)</f>
        <v>2</v>
      </c>
      <c r="B1145" s="394" t="s">
        <v>2563</v>
      </c>
      <c r="C1145" s="314" t="s">
        <v>2564</v>
      </c>
      <c r="D1145" s="314" t="s">
        <v>407</v>
      </c>
      <c r="E1145" s="314">
        <v>21</v>
      </c>
      <c r="F1145" s="314">
        <v>21</v>
      </c>
      <c r="G1145" s="314">
        <v>20326100</v>
      </c>
      <c r="H1145" s="359">
        <f t="shared" si="35"/>
        <v>19409492</v>
      </c>
      <c r="K1145" s="362"/>
      <c r="M1145" s="361">
        <v>698368</v>
      </c>
      <c r="N1145" s="361">
        <v>1527680</v>
      </c>
      <c r="O1145" s="361">
        <v>130944</v>
      </c>
      <c r="P1145" s="361">
        <v>261888</v>
      </c>
      <c r="Q1145" s="361">
        <v>87296</v>
      </c>
      <c r="R1145" s="361">
        <v>87296</v>
      </c>
      <c r="S1145" s="361">
        <v>174592</v>
      </c>
      <c r="T1145" s="390">
        <v>1030000</v>
      </c>
      <c r="U1145" s="364">
        <f t="shared" si="36"/>
        <v>23407556</v>
      </c>
      <c r="W1145" s="365" t="str">
        <f>+VLOOKUP($B1145,[2]Time_S4!$B:$G,6,0)</f>
        <v>Trung tâm sản xuất</v>
      </c>
      <c r="X1145" s="365" t="str">
        <f>IF(W1145="Phòng Kinh doanh","Trung tâm Kinh doanh - TCT CNC",+VLOOKUP($B1145,[2]Time_S4!$B:$G,5,0))</f>
        <v>Khối 1 - TCT CNC</v>
      </c>
      <c r="Z1145" s="366"/>
    </row>
    <row r="1146" spans="1:26" hidden="1">
      <c r="A1146" s="367">
        <f>SUBTOTAL(3,$B$15:B1146)</f>
        <v>2</v>
      </c>
      <c r="B1146" s="394" t="s">
        <v>2565</v>
      </c>
      <c r="C1146" s="314" t="s">
        <v>2566</v>
      </c>
      <c r="D1146" s="314" t="s">
        <v>407</v>
      </c>
      <c r="E1146" s="314">
        <v>21</v>
      </c>
      <c r="F1146" s="314">
        <v>21</v>
      </c>
      <c r="G1146" s="314">
        <v>11121520</v>
      </c>
      <c r="H1146" s="359">
        <f t="shared" si="35"/>
        <v>10413232</v>
      </c>
      <c r="K1146" s="362"/>
      <c r="M1146" s="361">
        <v>539648</v>
      </c>
      <c r="N1146" s="361">
        <v>1180480</v>
      </c>
      <c r="O1146" s="361">
        <v>101184</v>
      </c>
      <c r="P1146" s="361">
        <v>202368</v>
      </c>
      <c r="Q1146" s="361">
        <v>67456</v>
      </c>
      <c r="R1146" s="361">
        <v>67456</v>
      </c>
      <c r="S1146" s="361">
        <v>134912</v>
      </c>
      <c r="T1146" s="390">
        <v>930000</v>
      </c>
      <c r="U1146" s="364">
        <f t="shared" si="36"/>
        <v>13636736</v>
      </c>
      <c r="W1146" s="365" t="str">
        <f>+VLOOKUP($B1146,[2]Time_S4!$B:$G,6,0)</f>
        <v>Trung tâm Mô hình mô phỏng</v>
      </c>
      <c r="X1146" s="365" t="str">
        <f>IF(W1146="Phòng Kinh doanh","Trung tâm Kinh doanh - TCT CNC",+VLOOKUP($B1146,[2]Time_S4!$B:$G,5,0))</f>
        <v>Khối 1 - TCT CNC</v>
      </c>
      <c r="Z1146" s="366"/>
    </row>
    <row r="1147" spans="1:26" hidden="1">
      <c r="A1147" s="367">
        <f>SUBTOTAL(3,$B$15:B1147)</f>
        <v>2</v>
      </c>
      <c r="B1147" s="394" t="s">
        <v>362</v>
      </c>
      <c r="C1147" s="314" t="s">
        <v>363</v>
      </c>
      <c r="D1147" s="314" t="s">
        <v>407</v>
      </c>
      <c r="E1147" s="314">
        <v>21</v>
      </c>
      <c r="F1147" s="314">
        <v>21</v>
      </c>
      <c r="G1147" s="314">
        <v>13154560</v>
      </c>
      <c r="H1147" s="359">
        <f t="shared" si="35"/>
        <v>12368152</v>
      </c>
      <c r="K1147" s="362"/>
      <c r="M1147" s="361">
        <v>599168</v>
      </c>
      <c r="N1147" s="361">
        <v>1310680</v>
      </c>
      <c r="O1147" s="361">
        <v>112344</v>
      </c>
      <c r="P1147" s="361">
        <v>224688</v>
      </c>
      <c r="Q1147" s="361">
        <v>74896</v>
      </c>
      <c r="R1147" s="361">
        <v>74896</v>
      </c>
      <c r="S1147" s="361">
        <v>149792</v>
      </c>
      <c r="T1147" s="390">
        <v>930000</v>
      </c>
      <c r="U1147" s="364">
        <f t="shared" si="36"/>
        <v>15844616</v>
      </c>
      <c r="W1147" s="365" t="str">
        <f>+VLOOKUP($B1147,[2]Time_S4!$B:$G,6,0)</f>
        <v>Trung tâm Mô hình mô phỏng</v>
      </c>
      <c r="X1147" s="365" t="str">
        <f>IF(W1147="Phòng Kinh doanh","Trung tâm Kinh doanh - TCT CNC",+VLOOKUP($B1147,[2]Time_S4!$B:$G,5,0))</f>
        <v>Khối 1 - TCT CNC</v>
      </c>
      <c r="Z1147" s="366"/>
    </row>
    <row r="1148" spans="1:26" hidden="1">
      <c r="A1148" s="367">
        <f>SUBTOTAL(3,$B$15:B1148)</f>
        <v>2</v>
      </c>
      <c r="B1148" s="394" t="s">
        <v>2567</v>
      </c>
      <c r="C1148" s="314" t="s">
        <v>638</v>
      </c>
      <c r="D1148" s="314" t="s">
        <v>407</v>
      </c>
      <c r="E1148" s="314">
        <v>21</v>
      </c>
      <c r="F1148" s="314">
        <v>21</v>
      </c>
      <c r="G1148" s="314">
        <v>18716680</v>
      </c>
      <c r="H1148" s="359">
        <f t="shared" si="35"/>
        <v>17888608</v>
      </c>
      <c r="K1148" s="362"/>
      <c r="M1148" s="361">
        <v>630912</v>
      </c>
      <c r="N1148" s="361">
        <v>1380120</v>
      </c>
      <c r="O1148" s="361">
        <v>118296</v>
      </c>
      <c r="P1148" s="361">
        <v>236592</v>
      </c>
      <c r="Q1148" s="361">
        <v>78864</v>
      </c>
      <c r="R1148" s="361">
        <v>78864</v>
      </c>
      <c r="S1148" s="361">
        <v>157728</v>
      </c>
      <c r="T1148" s="390">
        <v>930000</v>
      </c>
      <c r="U1148" s="364">
        <f t="shared" si="36"/>
        <v>21499984</v>
      </c>
      <c r="W1148" s="365" t="str">
        <f>+VLOOKUP($B1148,[2]Time_S4!$B:$G,6,0)</f>
        <v>Trung tâm Khí cụ bay</v>
      </c>
      <c r="X1148" s="365" t="str">
        <f>IF(W1148="Phòng Kinh doanh","Trung tâm Kinh doanh - TCT CNC",+VLOOKUP($B1148,[2]Time_S4!$B:$G,5,0))</f>
        <v>Khối 1 - TCT CNC</v>
      </c>
      <c r="Z1148" s="366"/>
    </row>
    <row r="1149" spans="1:26" hidden="1">
      <c r="A1149" s="367">
        <f>SUBTOTAL(3,$B$15:B1149)</f>
        <v>2</v>
      </c>
      <c r="B1149" s="394" t="s">
        <v>2568</v>
      </c>
      <c r="C1149" s="314" t="s">
        <v>2569</v>
      </c>
      <c r="D1149" s="314" t="s">
        <v>407</v>
      </c>
      <c r="E1149" s="314">
        <v>21</v>
      </c>
      <c r="F1149" s="314">
        <v>21</v>
      </c>
      <c r="G1149" s="314">
        <v>12881940</v>
      </c>
      <c r="H1149" s="359">
        <f t="shared" si="35"/>
        <v>12095532</v>
      </c>
      <c r="K1149" s="362"/>
      <c r="M1149" s="361">
        <v>599168</v>
      </c>
      <c r="N1149" s="361">
        <v>1310680</v>
      </c>
      <c r="O1149" s="361">
        <v>112344</v>
      </c>
      <c r="P1149" s="361">
        <v>224688</v>
      </c>
      <c r="Q1149" s="361">
        <v>74896</v>
      </c>
      <c r="R1149" s="361">
        <v>74896</v>
      </c>
      <c r="S1149" s="361">
        <v>149792</v>
      </c>
      <c r="T1149" s="390">
        <v>1047000</v>
      </c>
      <c r="U1149" s="364">
        <f t="shared" si="36"/>
        <v>15688996</v>
      </c>
      <c r="W1149" s="365" t="str">
        <f>+VLOOKUP($B1149,[2]Time_S4!$B:$G,6,0)</f>
        <v>Trung tâm Chỉ huy điều khiển</v>
      </c>
      <c r="X1149" s="365" t="str">
        <f>IF(W1149="Phòng Kinh doanh","Trung tâm Kinh doanh - TCT CNC",+VLOOKUP($B1149,[2]Time_S4!$B:$G,5,0))</f>
        <v>Khối 1 - TCT CNC</v>
      </c>
      <c r="Z1149" s="366"/>
    </row>
    <row r="1150" spans="1:26" hidden="1">
      <c r="A1150" s="367">
        <f>SUBTOTAL(3,$B$15:B1150)</f>
        <v>2</v>
      </c>
      <c r="B1150" s="394" t="s">
        <v>2570</v>
      </c>
      <c r="C1150" s="314" t="s">
        <v>2571</v>
      </c>
      <c r="D1150" s="314" t="s">
        <v>407</v>
      </c>
      <c r="E1150" s="314">
        <v>21</v>
      </c>
      <c r="F1150" s="314">
        <v>21</v>
      </c>
      <c r="G1150" s="314">
        <v>12095900</v>
      </c>
      <c r="H1150" s="359">
        <f t="shared" si="35"/>
        <v>11351156</v>
      </c>
      <c r="K1150" s="362"/>
      <c r="M1150" s="361">
        <v>567424</v>
      </c>
      <c r="N1150" s="361">
        <v>1241240</v>
      </c>
      <c r="O1150" s="361">
        <v>106392</v>
      </c>
      <c r="P1150" s="361">
        <v>212784</v>
      </c>
      <c r="Q1150" s="361">
        <v>70928</v>
      </c>
      <c r="R1150" s="361">
        <v>70928</v>
      </c>
      <c r="S1150" s="361">
        <v>141856</v>
      </c>
      <c r="T1150" s="390">
        <v>930000</v>
      </c>
      <c r="U1150" s="364">
        <f t="shared" si="36"/>
        <v>14692708</v>
      </c>
      <c r="W1150" s="365" t="str">
        <f>+VLOOKUP($B1150,[2]Time_S4!$B:$G,6,0)</f>
        <v>Trung tâm Camera</v>
      </c>
      <c r="X1150" s="365" t="str">
        <f>IF(W1150="Phòng Kinh doanh","Trung tâm Kinh doanh - TCT CNC",+VLOOKUP($B1150,[2]Time_S4!$B:$G,5,0))</f>
        <v>Khối 3 - TCT CNC</v>
      </c>
      <c r="Z1150" s="366"/>
    </row>
    <row r="1151" spans="1:26" hidden="1">
      <c r="A1151" s="367">
        <f>SUBTOTAL(3,$B$15:B1151)</f>
        <v>2</v>
      </c>
      <c r="B1151" s="394" t="s">
        <v>2572</v>
      </c>
      <c r="C1151" s="314" t="s">
        <v>2573</v>
      </c>
      <c r="D1151" s="314" t="s">
        <v>407</v>
      </c>
      <c r="E1151" s="314">
        <v>21</v>
      </c>
      <c r="F1151" s="314">
        <v>21</v>
      </c>
      <c r="G1151" s="314">
        <v>13293880</v>
      </c>
      <c r="H1151" s="359">
        <f t="shared" si="35"/>
        <v>12507472</v>
      </c>
      <c r="K1151" s="362"/>
      <c r="M1151" s="361">
        <v>599168</v>
      </c>
      <c r="N1151" s="361">
        <v>1310680</v>
      </c>
      <c r="O1151" s="361">
        <v>112344</v>
      </c>
      <c r="P1151" s="361">
        <v>224688</v>
      </c>
      <c r="Q1151" s="361">
        <v>74896</v>
      </c>
      <c r="R1151" s="361">
        <v>74896</v>
      </c>
      <c r="S1151" s="361">
        <v>149792</v>
      </c>
      <c r="T1151" s="390">
        <v>930000</v>
      </c>
      <c r="U1151" s="364">
        <f t="shared" si="36"/>
        <v>15983936</v>
      </c>
      <c r="W1151" s="365" t="str">
        <f>+VLOOKUP($B1151,[2]Time_S4!$B:$G,6,0)</f>
        <v>Trung tâm Mô hình mô phỏng</v>
      </c>
      <c r="X1151" s="365" t="str">
        <f>IF(W1151="Phòng Kinh doanh","Trung tâm Kinh doanh - TCT CNC",+VLOOKUP($B1151,[2]Time_S4!$B:$G,5,0))</f>
        <v>Khối 1 - TCT CNC</v>
      </c>
      <c r="Z1151" s="366"/>
    </row>
    <row r="1152" spans="1:26" hidden="1">
      <c r="A1152" s="367">
        <f>SUBTOTAL(3,$B$15:B1152)</f>
        <v>2</v>
      </c>
      <c r="B1152" s="394" t="s">
        <v>2574</v>
      </c>
      <c r="C1152" s="314" t="s">
        <v>2575</v>
      </c>
      <c r="D1152" s="314" t="s">
        <v>407</v>
      </c>
      <c r="E1152" s="314">
        <v>21</v>
      </c>
      <c r="F1152" s="314">
        <v>21</v>
      </c>
      <c r="G1152" s="314">
        <v>16157320</v>
      </c>
      <c r="H1152" s="359">
        <f t="shared" si="35"/>
        <v>15329248</v>
      </c>
      <c r="K1152" s="362"/>
      <c r="M1152" s="361">
        <v>630912</v>
      </c>
      <c r="N1152" s="361">
        <v>1380120</v>
      </c>
      <c r="O1152" s="361">
        <v>118296</v>
      </c>
      <c r="P1152" s="361">
        <v>236592</v>
      </c>
      <c r="Q1152" s="361">
        <v>78864</v>
      </c>
      <c r="R1152" s="361">
        <v>78864</v>
      </c>
      <c r="S1152" s="361">
        <v>157728</v>
      </c>
      <c r="T1152" s="390">
        <v>930000</v>
      </c>
      <c r="U1152" s="364">
        <f t="shared" si="36"/>
        <v>18940624</v>
      </c>
      <c r="W1152" s="365" t="str">
        <f>+VLOOKUP($B1152,[2]Time_S4!$B:$G,6,0)</f>
        <v>Trung tâm Khí cụ bay</v>
      </c>
      <c r="X1152" s="365" t="str">
        <f>IF(W1152="Phòng Kinh doanh","Trung tâm Kinh doanh - TCT CNC",+VLOOKUP($B1152,[2]Time_S4!$B:$G,5,0))</f>
        <v>Khối 1 - TCT CNC</v>
      </c>
      <c r="Z1152" s="366"/>
    </row>
    <row r="1153" spans="1:26" hidden="1">
      <c r="A1153" s="367">
        <f>SUBTOTAL(3,$B$15:B1153)</f>
        <v>2</v>
      </c>
      <c r="B1153" s="394" t="s">
        <v>2576</v>
      </c>
      <c r="C1153" s="314" t="s">
        <v>2577</v>
      </c>
      <c r="D1153" s="314" t="s">
        <v>407</v>
      </c>
      <c r="E1153" s="314">
        <v>21</v>
      </c>
      <c r="F1153" s="314">
        <v>21</v>
      </c>
      <c r="G1153" s="314">
        <v>25071580</v>
      </c>
      <c r="H1153" s="359">
        <f t="shared" si="35"/>
        <v>24056020</v>
      </c>
      <c r="K1153" s="362"/>
      <c r="M1153" s="361">
        <v>773760</v>
      </c>
      <c r="N1153" s="361">
        <v>1692600</v>
      </c>
      <c r="O1153" s="361">
        <v>145080</v>
      </c>
      <c r="P1153" s="361">
        <v>290160</v>
      </c>
      <c r="Q1153" s="361">
        <v>96720</v>
      </c>
      <c r="R1153" s="361">
        <v>96720</v>
      </c>
      <c r="S1153" s="361">
        <v>193440</v>
      </c>
      <c r="T1153" s="390">
        <v>1147000</v>
      </c>
      <c r="U1153" s="364">
        <f t="shared" si="36"/>
        <v>28491500</v>
      </c>
      <c r="W1153" s="365" t="str">
        <f>+VLOOKUP($B1153,[2]Time_S4!$B:$G,6,0)</f>
        <v>Trung tâm Nghiên cứu thiết bị vô tuyến băng rộng</v>
      </c>
      <c r="X1153" s="365" t="str">
        <f>IF(W1153="Phòng Kinh doanh","Trung tâm Kinh doanh - TCT CNC",+VLOOKUP($B1153,[2]Time_S4!$B:$G,5,0))</f>
        <v>Khối 2 - TCT CNC</v>
      </c>
      <c r="Z1153" s="366"/>
    </row>
    <row r="1154" spans="1:26" hidden="1">
      <c r="A1154" s="367">
        <f>SUBTOTAL(3,$B$15:B1154)</f>
        <v>2</v>
      </c>
      <c r="B1154" s="394" t="s">
        <v>2578</v>
      </c>
      <c r="C1154" s="314" t="s">
        <v>2579</v>
      </c>
      <c r="D1154" s="314" t="s">
        <v>407</v>
      </c>
      <c r="E1154" s="314">
        <v>21</v>
      </c>
      <c r="F1154" s="314">
        <v>21</v>
      </c>
      <c r="G1154" s="314">
        <v>13017820</v>
      </c>
      <c r="H1154" s="359">
        <f t="shared" si="35"/>
        <v>12231412</v>
      </c>
      <c r="K1154" s="362"/>
      <c r="M1154" s="361">
        <v>599168</v>
      </c>
      <c r="N1154" s="361">
        <v>1310680</v>
      </c>
      <c r="O1154" s="361">
        <v>112344</v>
      </c>
      <c r="P1154" s="361">
        <v>224688</v>
      </c>
      <c r="Q1154" s="361">
        <v>74896</v>
      </c>
      <c r="R1154" s="361">
        <v>74896</v>
      </c>
      <c r="S1154" s="361">
        <v>149792</v>
      </c>
      <c r="T1154" s="390">
        <v>930000</v>
      </c>
      <c r="U1154" s="364">
        <f t="shared" si="36"/>
        <v>15707876</v>
      </c>
      <c r="W1154" s="365" t="str">
        <f>+VLOOKUP($B1154,[2]Time_S4!$B:$G,6,0)</f>
        <v>Trung tâm Kỹ thuật công nghệ - TCT CNC</v>
      </c>
      <c r="X1154" s="365" t="str">
        <f>IF(W1154="Phòng Kinh doanh","Trung tâm Kinh doanh - TCT CNC",+VLOOKUP($B1154,[2]Time_S4!$B:$G,5,0))</f>
        <v>Khối 2 - TCT CNC</v>
      </c>
      <c r="Z1154" s="366"/>
    </row>
    <row r="1155" spans="1:26" hidden="1">
      <c r="A1155" s="367">
        <f>SUBTOTAL(3,$B$15:B1155)</f>
        <v>2</v>
      </c>
      <c r="B1155" s="394" t="s">
        <v>2580</v>
      </c>
      <c r="C1155" s="314" t="s">
        <v>2581</v>
      </c>
      <c r="D1155" s="314" t="s">
        <v>407</v>
      </c>
      <c r="E1155" s="314">
        <v>21</v>
      </c>
      <c r="F1155" s="314">
        <v>21</v>
      </c>
      <c r="G1155" s="314">
        <v>52629420</v>
      </c>
      <c r="H1155" s="359">
        <f t="shared" si="35"/>
        <v>51322212</v>
      </c>
      <c r="K1155" s="362"/>
      <c r="M1155" s="361">
        <v>995968</v>
      </c>
      <c r="N1155" s="361">
        <v>2178680</v>
      </c>
      <c r="O1155" s="361">
        <v>186744</v>
      </c>
      <c r="P1155" s="361">
        <v>373488</v>
      </c>
      <c r="Q1155" s="361">
        <v>124496</v>
      </c>
      <c r="R1155" s="361">
        <v>124496</v>
      </c>
      <c r="S1155" s="361">
        <v>248992</v>
      </c>
      <c r="T1155" s="390">
        <v>1230000</v>
      </c>
      <c r="U1155" s="364">
        <f t="shared" si="36"/>
        <v>56785076</v>
      </c>
      <c r="W1155" s="365" t="str">
        <f>+VLOOKUP($B1155,[2]Time_S4!$B:$G,6,0)</f>
        <v>Trung tâm Nghiên cứu Công nghệ chuyển mạch</v>
      </c>
      <c r="X1155" s="365" t="str">
        <f>IF(W1155="Phòng Kinh doanh","Trung tâm Kinh doanh - TCT CNC",+VLOOKUP($B1155,[2]Time_S4!$B:$G,5,0))</f>
        <v>Khối 2 - TCT CNC</v>
      </c>
      <c r="Z1155" s="366"/>
    </row>
    <row r="1156" spans="1:26" hidden="1">
      <c r="A1156" s="367">
        <f>SUBTOTAL(3,$B$15:B1156)</f>
        <v>2</v>
      </c>
      <c r="B1156" s="394" t="s">
        <v>2582</v>
      </c>
      <c r="C1156" s="314" t="s">
        <v>2583</v>
      </c>
      <c r="D1156" s="314" t="s">
        <v>407</v>
      </c>
      <c r="E1156" s="314">
        <v>21</v>
      </c>
      <c r="F1156" s="314">
        <v>21</v>
      </c>
      <c r="G1156" s="314">
        <v>14433380</v>
      </c>
      <c r="H1156" s="359">
        <f t="shared" si="35"/>
        <v>13646972</v>
      </c>
      <c r="K1156" s="362"/>
      <c r="M1156" s="361">
        <v>599168</v>
      </c>
      <c r="N1156" s="361">
        <v>1310680</v>
      </c>
      <c r="O1156" s="361">
        <v>112344</v>
      </c>
      <c r="P1156" s="361">
        <v>224688</v>
      </c>
      <c r="Q1156" s="361">
        <v>74896</v>
      </c>
      <c r="R1156" s="361">
        <v>74896</v>
      </c>
      <c r="S1156" s="361">
        <v>149792</v>
      </c>
      <c r="T1156" s="390">
        <v>930000</v>
      </c>
      <c r="U1156" s="364">
        <f t="shared" si="36"/>
        <v>17123436</v>
      </c>
      <c r="W1156" s="365" t="str">
        <f>+VLOOKUP($B1156,[2]Time_S4!$B:$G,6,0)</f>
        <v>Trung tâm Khí cụ bay</v>
      </c>
      <c r="X1156" s="365" t="str">
        <f>IF(W1156="Phòng Kinh doanh","Trung tâm Kinh doanh - TCT CNC",+VLOOKUP($B1156,[2]Time_S4!$B:$G,5,0))</f>
        <v>Khối 1 - TCT CNC</v>
      </c>
      <c r="Z1156" s="366"/>
    </row>
    <row r="1157" spans="1:26" hidden="1">
      <c r="A1157" s="367">
        <f>SUBTOTAL(3,$B$15:B1157)</f>
        <v>2</v>
      </c>
      <c r="B1157" s="394" t="s">
        <v>2584</v>
      </c>
      <c r="C1157" s="314" t="s">
        <v>2585</v>
      </c>
      <c r="D1157" s="314" t="s">
        <v>407</v>
      </c>
      <c r="E1157" s="314">
        <v>21</v>
      </c>
      <c r="F1157" s="314">
        <v>21</v>
      </c>
      <c r="G1157" s="314">
        <v>13293880</v>
      </c>
      <c r="H1157" s="359">
        <f t="shared" si="35"/>
        <v>12507472</v>
      </c>
      <c r="J1157" s="390"/>
      <c r="K1157" s="362"/>
      <c r="M1157" s="361">
        <v>599168</v>
      </c>
      <c r="N1157" s="361">
        <v>1310680</v>
      </c>
      <c r="O1157" s="361">
        <v>112344</v>
      </c>
      <c r="P1157" s="361">
        <v>224688</v>
      </c>
      <c r="Q1157" s="361">
        <v>74896</v>
      </c>
      <c r="R1157" s="361">
        <v>74896</v>
      </c>
      <c r="S1157" s="361">
        <v>149792</v>
      </c>
      <c r="T1157" s="390">
        <v>930000</v>
      </c>
      <c r="U1157" s="364">
        <f t="shared" si="36"/>
        <v>15983936</v>
      </c>
      <c r="W1157" s="365" t="str">
        <f>+VLOOKUP($B1157,[2]Time_S4!$B:$G,6,0)</f>
        <v>Trung tâm Nghiên cứu thiết bị vô tuyến băng rộng</v>
      </c>
      <c r="X1157" s="365" t="str">
        <f>IF(W1157="Phòng Kinh doanh","Trung tâm Kinh doanh - TCT CNC",+VLOOKUP($B1157,[2]Time_S4!$B:$G,5,0))</f>
        <v>Khối 2 - TCT CNC</v>
      </c>
      <c r="Z1157" s="366"/>
    </row>
    <row r="1158" spans="1:26" hidden="1">
      <c r="A1158" s="367">
        <f>SUBTOTAL(3,$B$15:B1158)</f>
        <v>2</v>
      </c>
      <c r="B1158" s="394" t="s">
        <v>2586</v>
      </c>
      <c r="C1158" s="314" t="s">
        <v>2587</v>
      </c>
      <c r="D1158" s="314" t="s">
        <v>407</v>
      </c>
      <c r="E1158" s="314">
        <v>21</v>
      </c>
      <c r="F1158" s="314">
        <v>21</v>
      </c>
      <c r="G1158" s="314">
        <v>13434060</v>
      </c>
      <c r="H1158" s="359">
        <f t="shared" si="35"/>
        <v>12647652</v>
      </c>
      <c r="K1158" s="362"/>
      <c r="M1158" s="361">
        <v>599168</v>
      </c>
      <c r="N1158" s="361">
        <v>1310680</v>
      </c>
      <c r="O1158" s="361">
        <v>112344</v>
      </c>
      <c r="P1158" s="361">
        <v>224688</v>
      </c>
      <c r="Q1158" s="361">
        <v>74896</v>
      </c>
      <c r="R1158" s="361">
        <v>74896</v>
      </c>
      <c r="S1158" s="361">
        <v>149792</v>
      </c>
      <c r="T1158" s="390">
        <v>930000</v>
      </c>
      <c r="U1158" s="364">
        <f t="shared" si="36"/>
        <v>16124116</v>
      </c>
      <c r="W1158" s="365" t="str">
        <f>+VLOOKUP($B1158,[2]Time_S4!$B:$G,6,0)</f>
        <v>Trung tâm Nghiên cứu thiết bị vô tuyến băng rộng</v>
      </c>
      <c r="X1158" s="365" t="str">
        <f>IF(W1158="Phòng Kinh doanh","Trung tâm Kinh doanh - TCT CNC",+VLOOKUP($B1158,[2]Time_S4!$B:$G,5,0))</f>
        <v>Khối 2 - TCT CNC</v>
      </c>
      <c r="Z1158" s="366"/>
    </row>
    <row r="1159" spans="1:26" hidden="1">
      <c r="A1159" s="367">
        <f>SUBTOTAL(3,$B$15:B1159)</f>
        <v>2</v>
      </c>
      <c r="B1159" s="394" t="s">
        <v>2588</v>
      </c>
      <c r="C1159" s="314" t="s">
        <v>2589</v>
      </c>
      <c r="D1159" s="314" t="s">
        <v>407</v>
      </c>
      <c r="E1159" s="314">
        <v>21</v>
      </c>
      <c r="F1159" s="314">
        <v>21</v>
      </c>
      <c r="G1159" s="314">
        <v>13017820</v>
      </c>
      <c r="H1159" s="359">
        <f t="shared" si="35"/>
        <v>12231412</v>
      </c>
      <c r="K1159" s="362"/>
      <c r="M1159" s="361">
        <v>599168</v>
      </c>
      <c r="N1159" s="361">
        <v>1310680</v>
      </c>
      <c r="O1159" s="361">
        <v>112344</v>
      </c>
      <c r="P1159" s="361">
        <v>224688</v>
      </c>
      <c r="Q1159" s="361">
        <v>74896</v>
      </c>
      <c r="R1159" s="361">
        <v>74896</v>
      </c>
      <c r="S1159" s="361">
        <v>149792</v>
      </c>
      <c r="T1159" s="390">
        <v>930000</v>
      </c>
      <c r="U1159" s="364">
        <f t="shared" si="36"/>
        <v>15707876</v>
      </c>
      <c r="W1159" s="365" t="str">
        <f>+VLOOKUP($B1159,[2]Time_S4!$B:$G,6,0)</f>
        <v>Trung tâm Nền tảng IOT</v>
      </c>
      <c r="X1159" s="365" t="str">
        <f>IF(W1159="Phòng Kinh doanh","Trung tâm Kinh doanh - TCT CNC",+VLOOKUP($B1159,[2]Time_S4!$B:$G,5,0))</f>
        <v>Khối 3 - TCT CNC</v>
      </c>
      <c r="Z1159" s="366"/>
    </row>
    <row r="1160" spans="1:26" hidden="1">
      <c r="A1160" s="367">
        <f>SUBTOTAL(3,$B$15:B1160)</f>
        <v>2</v>
      </c>
      <c r="B1160" s="394" t="s">
        <v>2590</v>
      </c>
      <c r="C1160" s="314" t="s">
        <v>2591</v>
      </c>
      <c r="D1160" s="314" t="s">
        <v>407</v>
      </c>
      <c r="E1160" s="314">
        <v>21</v>
      </c>
      <c r="F1160" s="314">
        <v>21</v>
      </c>
      <c r="G1160" s="314">
        <v>10334620</v>
      </c>
      <c r="H1160" s="359">
        <f t="shared" si="35"/>
        <v>9626332</v>
      </c>
      <c r="K1160" s="362"/>
      <c r="M1160" s="361">
        <v>539648</v>
      </c>
      <c r="N1160" s="361">
        <v>1180480</v>
      </c>
      <c r="O1160" s="361">
        <v>101184</v>
      </c>
      <c r="P1160" s="361">
        <v>202368</v>
      </c>
      <c r="Q1160" s="361">
        <v>67456</v>
      </c>
      <c r="R1160" s="361">
        <v>67456</v>
      </c>
      <c r="S1160" s="361">
        <v>134912</v>
      </c>
      <c r="T1160" s="390">
        <v>930000</v>
      </c>
      <c r="U1160" s="364">
        <f t="shared" si="36"/>
        <v>12849836</v>
      </c>
      <c r="W1160" s="365" t="str">
        <f>+VLOOKUP($B1160,[2]Time_S4!$B:$G,6,0)</f>
        <v>Trung tâm Nền tảng IOT</v>
      </c>
      <c r="X1160" s="365" t="str">
        <f>IF(W1160="Phòng Kinh doanh","Trung tâm Kinh doanh - TCT CNC",+VLOOKUP($B1160,[2]Time_S4!$B:$G,5,0))</f>
        <v>Khối 3 - TCT CNC</v>
      </c>
      <c r="Z1160" s="366"/>
    </row>
    <row r="1161" spans="1:26" hidden="1">
      <c r="A1161" s="367">
        <f>SUBTOTAL(3,$B$15:B1161)</f>
        <v>2</v>
      </c>
      <c r="B1161" s="394" t="s">
        <v>2592</v>
      </c>
      <c r="C1161" s="314" t="s">
        <v>2593</v>
      </c>
      <c r="D1161" s="314" t="s">
        <v>407</v>
      </c>
      <c r="E1161" s="314">
        <v>21</v>
      </c>
      <c r="F1161" s="314">
        <v>21</v>
      </c>
      <c r="G1161" s="314">
        <v>14306960</v>
      </c>
      <c r="H1161" s="359">
        <f t="shared" si="35"/>
        <v>13478888</v>
      </c>
      <c r="K1161" s="362"/>
      <c r="M1161" s="361">
        <v>630912</v>
      </c>
      <c r="N1161" s="361">
        <v>1380120</v>
      </c>
      <c r="O1161" s="361">
        <v>118296</v>
      </c>
      <c r="P1161" s="361">
        <v>236592</v>
      </c>
      <c r="Q1161" s="361">
        <v>78864</v>
      </c>
      <c r="R1161" s="361">
        <v>78864</v>
      </c>
      <c r="S1161" s="361">
        <v>157728</v>
      </c>
      <c r="T1161" s="390">
        <v>930000</v>
      </c>
      <c r="U1161" s="364">
        <f t="shared" si="36"/>
        <v>17090264</v>
      </c>
      <c r="W1161" s="365" t="str">
        <f>+VLOOKUP($B1161,[2]Time_S4!$B:$G,6,0)</f>
        <v>Trung tâm Nền tảng IOT</v>
      </c>
      <c r="X1161" s="365" t="str">
        <f>IF(W1161="Phòng Kinh doanh","Trung tâm Kinh doanh - TCT CNC",+VLOOKUP($B1161,[2]Time_S4!$B:$G,5,0))</f>
        <v>Khối 3 - TCT CNC</v>
      </c>
      <c r="Z1161" s="366"/>
    </row>
    <row r="1162" spans="1:26" hidden="1">
      <c r="A1162" s="367">
        <f>SUBTOTAL(3,$B$15:B1162)</f>
        <v>2</v>
      </c>
      <c r="B1162" s="394" t="s">
        <v>2594</v>
      </c>
      <c r="C1162" s="314" t="s">
        <v>2595</v>
      </c>
      <c r="D1162" s="314" t="s">
        <v>407</v>
      </c>
      <c r="E1162" s="314">
        <v>21</v>
      </c>
      <c r="F1162" s="314">
        <v>21</v>
      </c>
      <c r="G1162" s="314">
        <v>12881940</v>
      </c>
      <c r="H1162" s="359">
        <f t="shared" si="35"/>
        <v>12095532</v>
      </c>
      <c r="K1162" s="362"/>
      <c r="M1162" s="361">
        <v>599168</v>
      </c>
      <c r="N1162" s="361">
        <v>1310680</v>
      </c>
      <c r="O1162" s="361">
        <v>112344</v>
      </c>
      <c r="P1162" s="361">
        <v>224688</v>
      </c>
      <c r="Q1162" s="361">
        <v>74896</v>
      </c>
      <c r="R1162" s="361">
        <v>74896</v>
      </c>
      <c r="S1162" s="361">
        <v>149792</v>
      </c>
      <c r="T1162" s="390">
        <v>930000</v>
      </c>
      <c r="U1162" s="364">
        <f t="shared" si="36"/>
        <v>15571996</v>
      </c>
      <c r="W1162" s="365" t="str">
        <f>+VLOOKUP($B1162,[2]Time_S4!$B:$G,6,0)</f>
        <v>Trung tâm Nền tảng IOT</v>
      </c>
      <c r="X1162" s="365" t="str">
        <f>IF(W1162="Phòng Kinh doanh","Trung tâm Kinh doanh - TCT CNC",+VLOOKUP($B1162,[2]Time_S4!$B:$G,5,0))</f>
        <v>Khối 3 - TCT CNC</v>
      </c>
      <c r="Z1162" s="366"/>
    </row>
    <row r="1163" spans="1:26" hidden="1">
      <c r="A1163" s="367">
        <f>SUBTOTAL(3,$B$15:B1163)</f>
        <v>2</v>
      </c>
      <c r="B1163" s="394" t="s">
        <v>2596</v>
      </c>
      <c r="C1163" s="314" t="s">
        <v>2597</v>
      </c>
      <c r="D1163" s="314" t="s">
        <v>407</v>
      </c>
      <c r="E1163" s="314">
        <v>21</v>
      </c>
      <c r="F1163" s="314">
        <v>21</v>
      </c>
      <c r="G1163" s="314">
        <v>12881940</v>
      </c>
      <c r="H1163" s="359">
        <f t="shared" si="35"/>
        <v>12095532</v>
      </c>
      <c r="K1163" s="362"/>
      <c r="M1163" s="361">
        <v>599168</v>
      </c>
      <c r="N1163" s="361">
        <v>1310680</v>
      </c>
      <c r="O1163" s="361">
        <v>112344</v>
      </c>
      <c r="P1163" s="361">
        <v>224688</v>
      </c>
      <c r="Q1163" s="361">
        <v>74896</v>
      </c>
      <c r="R1163" s="361">
        <v>74896</v>
      </c>
      <c r="S1163" s="361">
        <v>149792</v>
      </c>
      <c r="T1163" s="390">
        <v>930000</v>
      </c>
      <c r="U1163" s="364">
        <f t="shared" si="36"/>
        <v>15571996</v>
      </c>
      <c r="W1163" s="365" t="str">
        <f>+VLOOKUP($B1163,[2]Time_S4!$B:$G,6,0)</f>
        <v>Trung tâm Chỉ huy điều khiển</v>
      </c>
      <c r="X1163" s="365" t="str">
        <f>IF(W1163="Phòng Kinh doanh","Trung tâm Kinh doanh - TCT CNC",+VLOOKUP($B1163,[2]Time_S4!$B:$G,5,0))</f>
        <v>Khối 1 - TCT CNC</v>
      </c>
      <c r="Z1163" s="366"/>
    </row>
    <row r="1164" spans="1:26" hidden="1">
      <c r="A1164" s="367">
        <f>SUBTOTAL(3,$B$15:B1164)</f>
        <v>2</v>
      </c>
      <c r="B1164" s="394" t="s">
        <v>2598</v>
      </c>
      <c r="C1164" s="314" t="s">
        <v>2599</v>
      </c>
      <c r="D1164" s="314" t="s">
        <v>407</v>
      </c>
      <c r="E1164" s="314">
        <v>21</v>
      </c>
      <c r="F1164" s="314">
        <v>21</v>
      </c>
      <c r="G1164" s="314">
        <v>15236620</v>
      </c>
      <c r="H1164" s="359">
        <f t="shared" si="35"/>
        <v>14408548</v>
      </c>
      <c r="K1164" s="362"/>
      <c r="M1164" s="361">
        <v>630912</v>
      </c>
      <c r="N1164" s="361">
        <v>1380120</v>
      </c>
      <c r="O1164" s="361">
        <v>118296</v>
      </c>
      <c r="P1164" s="361">
        <v>236592</v>
      </c>
      <c r="Q1164" s="361">
        <v>78864</v>
      </c>
      <c r="R1164" s="361">
        <v>78864</v>
      </c>
      <c r="S1164" s="361">
        <v>157728</v>
      </c>
      <c r="T1164" s="390">
        <v>930000</v>
      </c>
      <c r="U1164" s="364">
        <f t="shared" si="36"/>
        <v>18019924</v>
      </c>
      <c r="W1164" s="365" t="str">
        <f>+VLOOKUP($B1164,[2]Time_S4!$B:$G,6,0)</f>
        <v>Trung tâm Chỉ huy điều khiển</v>
      </c>
      <c r="X1164" s="365" t="str">
        <f>IF(W1164="Phòng Kinh doanh","Trung tâm Kinh doanh - TCT CNC",+VLOOKUP($B1164,[2]Time_S4!$B:$G,5,0))</f>
        <v>Khối 1 - TCT CNC</v>
      </c>
      <c r="Z1164" s="366"/>
    </row>
    <row r="1165" spans="1:26" hidden="1">
      <c r="A1165" s="367">
        <f>SUBTOTAL(3,$B$15:B1165)</f>
        <v>2</v>
      </c>
      <c r="B1165" s="394" t="s">
        <v>2600</v>
      </c>
      <c r="C1165" s="314" t="s">
        <v>2601</v>
      </c>
      <c r="D1165" s="314" t="s">
        <v>407</v>
      </c>
      <c r="E1165" s="314">
        <v>21</v>
      </c>
      <c r="F1165" s="314">
        <v>21</v>
      </c>
      <c r="G1165" s="314">
        <v>13434060</v>
      </c>
      <c r="H1165" s="359">
        <f t="shared" si="35"/>
        <v>12647652</v>
      </c>
      <c r="K1165" s="362"/>
      <c r="M1165" s="361">
        <v>599168</v>
      </c>
      <c r="N1165" s="361">
        <v>1310680</v>
      </c>
      <c r="O1165" s="361">
        <v>112344</v>
      </c>
      <c r="P1165" s="361">
        <v>224688</v>
      </c>
      <c r="Q1165" s="361">
        <v>74896</v>
      </c>
      <c r="R1165" s="361">
        <v>74896</v>
      </c>
      <c r="S1165" s="361">
        <v>149792</v>
      </c>
      <c r="T1165" s="390">
        <v>1047000</v>
      </c>
      <c r="U1165" s="364">
        <f t="shared" si="36"/>
        <v>16241116</v>
      </c>
      <c r="W1165" s="365" t="str">
        <f>+VLOOKUP($B1165,[2]Time_S4!$B:$G,6,0)</f>
        <v>Trung tâm Camera</v>
      </c>
      <c r="X1165" s="365" t="str">
        <f>IF(W1165="Phòng Kinh doanh","Trung tâm Kinh doanh - TCT CNC",+VLOOKUP($B1165,[2]Time_S4!$B:$G,5,0))</f>
        <v>Khối 3 - TCT CNC</v>
      </c>
      <c r="Z1165" s="366"/>
    </row>
    <row r="1166" spans="1:26" hidden="1">
      <c r="A1166" s="367">
        <f>SUBTOTAL(3,$B$15:B1166)</f>
        <v>2</v>
      </c>
      <c r="B1166" s="394" t="s">
        <v>2602</v>
      </c>
      <c r="C1166" s="314" t="s">
        <v>2603</v>
      </c>
      <c r="D1166" s="314" t="s">
        <v>407</v>
      </c>
      <c r="E1166" s="314">
        <v>21</v>
      </c>
      <c r="F1166" s="314">
        <v>21</v>
      </c>
      <c r="G1166" s="314">
        <v>26551280</v>
      </c>
      <c r="H1166" s="359">
        <f t="shared" si="35"/>
        <v>25587800</v>
      </c>
      <c r="K1166" s="362"/>
      <c r="M1166" s="361">
        <v>734080</v>
      </c>
      <c r="N1166" s="361">
        <v>1605800</v>
      </c>
      <c r="O1166" s="361">
        <v>137640</v>
      </c>
      <c r="P1166" s="361">
        <v>275280</v>
      </c>
      <c r="Q1166" s="361">
        <v>91760</v>
      </c>
      <c r="R1166" s="361">
        <v>91760</v>
      </c>
      <c r="S1166" s="361">
        <v>183520</v>
      </c>
      <c r="T1166" s="390">
        <v>930000</v>
      </c>
      <c r="U1166" s="364">
        <f t="shared" si="36"/>
        <v>29637640</v>
      </c>
      <c r="W1166" s="365" t="str">
        <f>+VLOOKUP($B1166,[2]Time_S4!$B:$G,6,0)</f>
        <v>Trung tâm Khí cụ bay</v>
      </c>
      <c r="X1166" s="365" t="str">
        <f>IF(W1166="Phòng Kinh doanh","Trung tâm Kinh doanh - TCT CNC",+VLOOKUP($B1166,[2]Time_S4!$B:$G,5,0))</f>
        <v>Khối 1 - TCT CNC</v>
      </c>
      <c r="Z1166" s="366"/>
    </row>
    <row r="1167" spans="1:26" hidden="1">
      <c r="A1167" s="367">
        <f>SUBTOTAL(3,$B$15:B1167)</f>
        <v>2</v>
      </c>
      <c r="B1167" s="394" t="s">
        <v>2604</v>
      </c>
      <c r="C1167" s="314" t="s">
        <v>2461</v>
      </c>
      <c r="D1167" s="314" t="s">
        <v>407</v>
      </c>
      <c r="E1167" s="314">
        <v>21</v>
      </c>
      <c r="F1167" s="314">
        <v>21</v>
      </c>
      <c r="G1167" s="314">
        <v>20294400</v>
      </c>
      <c r="H1167" s="359">
        <f t="shared" si="35"/>
        <v>19377792</v>
      </c>
      <c r="K1167" s="362"/>
      <c r="M1167" s="361">
        <v>698368</v>
      </c>
      <c r="N1167" s="361">
        <v>1527680</v>
      </c>
      <c r="O1167" s="361">
        <v>130944</v>
      </c>
      <c r="P1167" s="361">
        <v>261888</v>
      </c>
      <c r="Q1167" s="361">
        <v>87296</v>
      </c>
      <c r="R1167" s="361">
        <v>87296</v>
      </c>
      <c r="S1167" s="361">
        <v>174592</v>
      </c>
      <c r="T1167" s="390">
        <v>930000</v>
      </c>
      <c r="U1167" s="364">
        <f t="shared" si="36"/>
        <v>23275856</v>
      </c>
      <c r="W1167" s="365" t="str">
        <f>+VLOOKUP($B1167,[2]Time_S4!$B:$G,6,0)</f>
        <v>Trung tâm Tác chiến điện tử</v>
      </c>
      <c r="X1167" s="365" t="str">
        <f>IF(W1167="Phòng Kinh doanh","Trung tâm Kinh doanh - TCT CNC",+VLOOKUP($B1167,[2]Time_S4!$B:$G,5,0))</f>
        <v>Khối 1 - TCT CNC</v>
      </c>
      <c r="Z1167" s="366"/>
    </row>
    <row r="1168" spans="1:26" hidden="1">
      <c r="A1168" s="367">
        <f>SUBTOTAL(3,$B$15:B1168)</f>
        <v>2</v>
      </c>
      <c r="B1168" s="394" t="s">
        <v>348</v>
      </c>
      <c r="C1168" s="314" t="s">
        <v>349</v>
      </c>
      <c r="D1168" s="314" t="s">
        <v>407</v>
      </c>
      <c r="E1168" s="314">
        <v>21</v>
      </c>
      <c r="F1168" s="314">
        <v>21</v>
      </c>
      <c r="G1168" s="314">
        <v>13017820</v>
      </c>
      <c r="H1168" s="359">
        <f t="shared" ref="H1168:H1231" si="37">+G1168-SUM(M1168,O1168,Q1168)</f>
        <v>12231412</v>
      </c>
      <c r="K1168" s="362"/>
      <c r="M1168" s="361">
        <v>599168</v>
      </c>
      <c r="N1168" s="361">
        <v>1310680</v>
      </c>
      <c r="O1168" s="361">
        <v>112344</v>
      </c>
      <c r="P1168" s="361">
        <v>224688</v>
      </c>
      <c r="Q1168" s="361">
        <v>74896</v>
      </c>
      <c r="R1168" s="361">
        <v>74896</v>
      </c>
      <c r="S1168" s="361">
        <v>149792</v>
      </c>
      <c r="T1168" s="390">
        <v>930000</v>
      </c>
      <c r="U1168" s="364">
        <f t="shared" ref="U1168:U1231" si="38">+SUM(H1168:T1168)</f>
        <v>15707876</v>
      </c>
      <c r="W1168" s="365" t="str">
        <f>+VLOOKUP($B1168,[2]Time_S4!$B:$G,6,0)</f>
        <v>Trung tâm Mô hình mô phỏng</v>
      </c>
      <c r="X1168" s="365" t="str">
        <f>IF(W1168="Phòng Kinh doanh","Trung tâm Kinh doanh - TCT CNC",+VLOOKUP($B1168,[2]Time_S4!$B:$G,5,0))</f>
        <v>Khối 1 - TCT CNC</v>
      </c>
      <c r="Z1168" s="366"/>
    </row>
    <row r="1169" spans="1:26" hidden="1">
      <c r="A1169" s="367">
        <f>SUBTOTAL(3,$B$15:B1169)</f>
        <v>2</v>
      </c>
      <c r="B1169" s="394" t="s">
        <v>2605</v>
      </c>
      <c r="C1169" s="314" t="s">
        <v>2606</v>
      </c>
      <c r="D1169" s="314" t="s">
        <v>407</v>
      </c>
      <c r="E1169" s="314">
        <v>21</v>
      </c>
      <c r="F1169" s="314">
        <v>21</v>
      </c>
      <c r="G1169" s="314">
        <v>14306960</v>
      </c>
      <c r="H1169" s="359">
        <f t="shared" si="37"/>
        <v>13478888</v>
      </c>
      <c r="K1169" s="362"/>
      <c r="M1169" s="361">
        <v>630912</v>
      </c>
      <c r="N1169" s="361">
        <v>1380120</v>
      </c>
      <c r="O1169" s="361">
        <v>118296</v>
      </c>
      <c r="P1169" s="361">
        <v>236592</v>
      </c>
      <c r="Q1169" s="361">
        <v>78864</v>
      </c>
      <c r="R1169" s="361">
        <v>78864</v>
      </c>
      <c r="S1169" s="361">
        <v>157728</v>
      </c>
      <c r="T1169" s="390">
        <v>930000</v>
      </c>
      <c r="U1169" s="364">
        <f t="shared" si="38"/>
        <v>17090264</v>
      </c>
      <c r="W1169" s="365" t="str">
        <f>+VLOOKUP($B1169,[2]Time_S4!$B:$G,6,0)</f>
        <v>Trung tâm Camera</v>
      </c>
      <c r="X1169" s="365" t="str">
        <f>IF(W1169="Phòng Kinh doanh","Trung tâm Kinh doanh - TCT CNC",+VLOOKUP($B1169,[2]Time_S4!$B:$G,5,0))</f>
        <v>Khối 3 - TCT CNC</v>
      </c>
      <c r="Z1169" s="366"/>
    </row>
    <row r="1170" spans="1:26" hidden="1">
      <c r="A1170" s="367">
        <f>SUBTOTAL(3,$B$15:B1170)</f>
        <v>2</v>
      </c>
      <c r="B1170" s="394" t="s">
        <v>2607</v>
      </c>
      <c r="C1170" s="314" t="s">
        <v>2608</v>
      </c>
      <c r="D1170" s="314" t="s">
        <v>407</v>
      </c>
      <c r="E1170" s="314">
        <v>21</v>
      </c>
      <c r="F1170" s="314">
        <v>21</v>
      </c>
      <c r="G1170" s="314">
        <v>14306960</v>
      </c>
      <c r="H1170" s="359">
        <f t="shared" si="37"/>
        <v>13478888</v>
      </c>
      <c r="K1170" s="362"/>
      <c r="M1170" s="361">
        <v>630912</v>
      </c>
      <c r="N1170" s="361">
        <v>1380120</v>
      </c>
      <c r="O1170" s="361">
        <v>118296</v>
      </c>
      <c r="P1170" s="361">
        <v>236592</v>
      </c>
      <c r="Q1170" s="361">
        <v>78864</v>
      </c>
      <c r="R1170" s="361">
        <v>78864</v>
      </c>
      <c r="S1170" s="361">
        <v>157728</v>
      </c>
      <c r="T1170" s="390">
        <v>930000</v>
      </c>
      <c r="U1170" s="364">
        <f t="shared" si="38"/>
        <v>17090264</v>
      </c>
      <c r="W1170" s="365" t="str">
        <f>+VLOOKUP($B1170,[2]Time_S4!$B:$G,6,0)</f>
        <v>Trung tâm Rada</v>
      </c>
      <c r="X1170" s="365" t="str">
        <f>IF(W1170="Phòng Kinh doanh","Trung tâm Kinh doanh - TCT CNC",+VLOOKUP($B1170,[2]Time_S4!$B:$G,5,0))</f>
        <v>Khối 1 - TCT CNC</v>
      </c>
      <c r="Z1170" s="366"/>
    </row>
    <row r="1171" spans="1:26" hidden="1">
      <c r="A1171" s="367">
        <f>SUBTOTAL(3,$B$15:B1171)</f>
        <v>2</v>
      </c>
      <c r="B1171" s="394" t="s">
        <v>2609</v>
      </c>
      <c r="C1171" s="314" t="s">
        <v>2610</v>
      </c>
      <c r="D1171" s="314" t="s">
        <v>407</v>
      </c>
      <c r="E1171" s="314">
        <v>21</v>
      </c>
      <c r="F1171" s="314">
        <v>21</v>
      </c>
      <c r="G1171" s="314">
        <v>18372180</v>
      </c>
      <c r="H1171" s="359">
        <f t="shared" si="37"/>
        <v>17502444</v>
      </c>
      <c r="K1171" s="362"/>
      <c r="M1171" s="361">
        <v>662656</v>
      </c>
      <c r="N1171" s="361">
        <v>1449560</v>
      </c>
      <c r="O1171" s="361">
        <v>124248</v>
      </c>
      <c r="P1171" s="361">
        <v>248496</v>
      </c>
      <c r="Q1171" s="361">
        <v>82832</v>
      </c>
      <c r="R1171" s="361">
        <v>82832</v>
      </c>
      <c r="S1171" s="361">
        <v>165664</v>
      </c>
      <c r="T1171" s="390">
        <v>930000</v>
      </c>
      <c r="U1171" s="364">
        <f t="shared" si="38"/>
        <v>21248732</v>
      </c>
      <c r="W1171" s="365" t="str">
        <f>+VLOOKUP($B1171,[2]Time_S4!$B:$G,6,0)</f>
        <v>Phòng Thương hiệu và truyền thông</v>
      </c>
      <c r="X1171" s="365" t="str">
        <f>IF(W1171="Phòng Kinh doanh","Trung tâm Kinh doanh - TCT CNC",+VLOOKUP($B1171,[2]Time_S4!$B:$G,5,0))</f>
        <v>Trung tâm Kinh doanh - TCT CNC</v>
      </c>
      <c r="Z1171" s="366"/>
    </row>
    <row r="1172" spans="1:26" hidden="1">
      <c r="A1172" s="367">
        <f>SUBTOTAL(3,$B$15:B1172)</f>
        <v>2</v>
      </c>
      <c r="B1172" s="394" t="s">
        <v>2611</v>
      </c>
      <c r="C1172" s="314" t="s">
        <v>2612</v>
      </c>
      <c r="D1172" s="314" t="s">
        <v>407</v>
      </c>
      <c r="E1172" s="314">
        <v>21</v>
      </c>
      <c r="F1172" s="314">
        <v>21</v>
      </c>
      <c r="G1172" s="314">
        <v>13986180</v>
      </c>
      <c r="H1172" s="359">
        <f t="shared" si="37"/>
        <v>13199772</v>
      </c>
      <c r="K1172" s="362"/>
      <c r="M1172" s="361">
        <v>599168</v>
      </c>
      <c r="N1172" s="361">
        <v>1310680</v>
      </c>
      <c r="O1172" s="361">
        <v>112344</v>
      </c>
      <c r="P1172" s="361">
        <v>224688</v>
      </c>
      <c r="Q1172" s="361">
        <v>74896</v>
      </c>
      <c r="R1172" s="361">
        <v>74896</v>
      </c>
      <c r="S1172" s="361">
        <v>149792</v>
      </c>
      <c r="T1172" s="390">
        <v>930000</v>
      </c>
      <c r="U1172" s="364">
        <f t="shared" si="38"/>
        <v>16676236</v>
      </c>
      <c r="W1172" s="365" t="str">
        <f>+VLOOKUP($B1172,[2]Time_S4!$B:$G,6,0)</f>
        <v>Trung tâm Công nghệ Cơ khí - Tự động hóa</v>
      </c>
      <c r="X1172" s="365" t="str">
        <f>IF(W1172="Phòng Kinh doanh","Trung tâm Kinh doanh - TCT CNC",+VLOOKUP($B1172,[2]Time_S4!$B:$G,5,0))</f>
        <v>Khối 1 - TCT CNC</v>
      </c>
      <c r="Z1172" s="366"/>
    </row>
    <row r="1173" spans="1:26" hidden="1">
      <c r="A1173" s="367">
        <f>SUBTOTAL(3,$B$15:B1173)</f>
        <v>2</v>
      </c>
      <c r="B1173" s="394" t="s">
        <v>2613</v>
      </c>
      <c r="C1173" s="314" t="s">
        <v>2614</v>
      </c>
      <c r="D1173" s="314" t="s">
        <v>407</v>
      </c>
      <c r="E1173" s="314">
        <v>21</v>
      </c>
      <c r="F1173" s="314">
        <v>21</v>
      </c>
      <c r="G1173" s="314">
        <v>19159940</v>
      </c>
      <c r="H1173" s="359">
        <f t="shared" si="37"/>
        <v>18243332</v>
      </c>
      <c r="K1173" s="362"/>
      <c r="M1173" s="361">
        <v>698368</v>
      </c>
      <c r="N1173" s="361">
        <v>1527680</v>
      </c>
      <c r="O1173" s="361">
        <v>130944</v>
      </c>
      <c r="P1173" s="361">
        <v>261888</v>
      </c>
      <c r="Q1173" s="361">
        <v>87296</v>
      </c>
      <c r="R1173" s="361">
        <v>87296</v>
      </c>
      <c r="S1173" s="361">
        <v>174592</v>
      </c>
      <c r="T1173" s="390">
        <v>930000</v>
      </c>
      <c r="U1173" s="364">
        <f t="shared" si="38"/>
        <v>22141396</v>
      </c>
      <c r="W1173" s="365" t="str">
        <f>+VLOOKUP($B1173,[2]Time_S4!$B:$G,6,0)</f>
        <v>Trung tâm Đảm bảo chất lượng</v>
      </c>
      <c r="X1173" s="365" t="str">
        <f>IF(W1173="Phòng Kinh doanh","Trung tâm Kinh doanh - TCT CNC",+VLOOKUP($B1173,[2]Time_S4!$B:$G,5,0))</f>
        <v>Khối 1 - TCT CNC</v>
      </c>
      <c r="Z1173" s="366"/>
    </row>
    <row r="1174" spans="1:26" hidden="1">
      <c r="A1174" s="367">
        <f>SUBTOTAL(3,$B$15:B1174)</f>
        <v>2</v>
      </c>
      <c r="B1174" s="394" t="s">
        <v>2615</v>
      </c>
      <c r="C1174" s="314" t="s">
        <v>2616</v>
      </c>
      <c r="D1174" s="314" t="s">
        <v>407</v>
      </c>
      <c r="E1174" s="314">
        <v>21</v>
      </c>
      <c r="F1174" s="314">
        <v>21</v>
      </c>
      <c r="G1174" s="314">
        <v>11969480</v>
      </c>
      <c r="H1174" s="359">
        <f t="shared" si="37"/>
        <v>11224736</v>
      </c>
      <c r="K1174" s="362"/>
      <c r="M1174" s="361">
        <v>567424</v>
      </c>
      <c r="N1174" s="361">
        <v>1241240</v>
      </c>
      <c r="O1174" s="361">
        <v>106392</v>
      </c>
      <c r="P1174" s="361">
        <v>212784</v>
      </c>
      <c r="Q1174" s="361">
        <v>70928</v>
      </c>
      <c r="R1174" s="361">
        <v>70928</v>
      </c>
      <c r="S1174" s="361">
        <v>141856</v>
      </c>
      <c r="T1174" s="390">
        <v>1047000</v>
      </c>
      <c r="U1174" s="364">
        <f t="shared" si="38"/>
        <v>14683288</v>
      </c>
      <c r="W1174" s="365" t="str">
        <f>+VLOOKUP($B1174,[2]Time_S4!$B:$G,6,0)</f>
        <v>Văn phòng</v>
      </c>
      <c r="X1174" s="365" t="str">
        <f>IF(W1174="Phòng Kinh doanh","Trung tâm Kinh doanh - TCT CNC",+VLOOKUP($B1174,[2]Time_S4!$B:$G,5,0))</f>
        <v>Khối cơ quan - TCT CNC</v>
      </c>
      <c r="Z1174" s="366"/>
    </row>
    <row r="1175" spans="1:26" hidden="1">
      <c r="A1175" s="367">
        <f>SUBTOTAL(3,$B$15:B1175)</f>
        <v>2</v>
      </c>
      <c r="B1175" s="394" t="s">
        <v>2617</v>
      </c>
      <c r="C1175" s="314" t="s">
        <v>2618</v>
      </c>
      <c r="D1175" s="314" t="s">
        <v>407</v>
      </c>
      <c r="E1175" s="314">
        <v>21</v>
      </c>
      <c r="F1175" s="314">
        <v>21</v>
      </c>
      <c r="G1175" s="314">
        <v>12881940</v>
      </c>
      <c r="H1175" s="359">
        <f t="shared" si="37"/>
        <v>12095532</v>
      </c>
      <c r="K1175" s="362"/>
      <c r="M1175" s="361">
        <v>599168</v>
      </c>
      <c r="N1175" s="361">
        <v>1310680</v>
      </c>
      <c r="O1175" s="361">
        <v>112344</v>
      </c>
      <c r="P1175" s="361">
        <v>224688</v>
      </c>
      <c r="Q1175" s="361">
        <v>74896</v>
      </c>
      <c r="R1175" s="361">
        <v>74896</v>
      </c>
      <c r="S1175" s="361">
        <v>149792</v>
      </c>
      <c r="T1175" s="390">
        <v>930000</v>
      </c>
      <c r="U1175" s="364">
        <f t="shared" si="38"/>
        <v>15571996</v>
      </c>
      <c r="W1175" s="365" t="str">
        <f>+VLOOKUP($B1175,[2]Time_S4!$B:$G,6,0)</f>
        <v>Trung tâm Rada</v>
      </c>
      <c r="X1175" s="365" t="str">
        <f>IF(W1175="Phòng Kinh doanh","Trung tâm Kinh doanh - TCT CNC",+VLOOKUP($B1175,[2]Time_S4!$B:$G,5,0))</f>
        <v>Khối 1 - TCT CNC</v>
      </c>
      <c r="Z1175" s="366"/>
    </row>
    <row r="1176" spans="1:26" hidden="1">
      <c r="A1176" s="367">
        <f>SUBTOTAL(3,$B$15:B1176)</f>
        <v>2</v>
      </c>
      <c r="B1176" s="394" t="s">
        <v>2619</v>
      </c>
      <c r="C1176" s="314" t="s">
        <v>2620</v>
      </c>
      <c r="D1176" s="314" t="s">
        <v>407</v>
      </c>
      <c r="E1176" s="314">
        <v>21</v>
      </c>
      <c r="F1176" s="314">
        <v>21</v>
      </c>
      <c r="G1176" s="314">
        <v>14457460</v>
      </c>
      <c r="H1176" s="359">
        <f t="shared" si="37"/>
        <v>13629388</v>
      </c>
      <c r="K1176" s="362"/>
      <c r="M1176" s="361">
        <v>630912</v>
      </c>
      <c r="N1176" s="361">
        <v>1380120</v>
      </c>
      <c r="O1176" s="361">
        <v>118296</v>
      </c>
      <c r="P1176" s="361">
        <v>236592</v>
      </c>
      <c r="Q1176" s="361">
        <v>78864</v>
      </c>
      <c r="R1176" s="361">
        <v>78864</v>
      </c>
      <c r="S1176" s="361">
        <v>157728</v>
      </c>
      <c r="T1176" s="390">
        <v>1047000</v>
      </c>
      <c r="U1176" s="364">
        <f t="shared" si="38"/>
        <v>17357764</v>
      </c>
      <c r="W1176" s="365" t="str">
        <f>+VLOOKUP($B1176,[2]Time_S4!$B:$G,6,0)</f>
        <v>Trung tâm Rada</v>
      </c>
      <c r="X1176" s="365" t="str">
        <f>IF(W1176="Phòng Kinh doanh","Trung tâm Kinh doanh - TCT CNC",+VLOOKUP($B1176,[2]Time_S4!$B:$G,5,0))</f>
        <v>Khối 1 - TCT CNC</v>
      </c>
      <c r="Z1176" s="366"/>
    </row>
    <row r="1177" spans="1:26" hidden="1">
      <c r="A1177" s="367">
        <f>SUBTOTAL(3,$B$15:B1177)</f>
        <v>2</v>
      </c>
      <c r="B1177" s="394" t="s">
        <v>2621</v>
      </c>
      <c r="C1177" s="314" t="s">
        <v>2622</v>
      </c>
      <c r="D1177" s="314" t="s">
        <v>407</v>
      </c>
      <c r="E1177" s="314">
        <v>21</v>
      </c>
      <c r="F1177" s="314">
        <v>21</v>
      </c>
      <c r="G1177" s="314">
        <v>14881940</v>
      </c>
      <c r="H1177" s="359">
        <f t="shared" si="37"/>
        <v>14095532</v>
      </c>
      <c r="K1177" s="362"/>
      <c r="M1177" s="361">
        <v>599168</v>
      </c>
      <c r="N1177" s="361">
        <v>1310680</v>
      </c>
      <c r="O1177" s="361">
        <v>112344</v>
      </c>
      <c r="P1177" s="361">
        <v>224688</v>
      </c>
      <c r="Q1177" s="361">
        <v>74896</v>
      </c>
      <c r="R1177" s="361">
        <v>74896</v>
      </c>
      <c r="S1177" s="361">
        <v>149792</v>
      </c>
      <c r="T1177" s="390">
        <v>930000</v>
      </c>
      <c r="U1177" s="364">
        <f t="shared" si="38"/>
        <v>17571996</v>
      </c>
      <c r="W1177" s="365" t="str">
        <f>+VLOOKUP($B1177,[2]Time_S4!$B:$G,6,0)</f>
        <v>Trung tâm Khí cụ bay</v>
      </c>
      <c r="X1177" s="365" t="str">
        <f>IF(W1177="Phòng Kinh doanh","Trung tâm Kinh doanh - TCT CNC",+VLOOKUP($B1177,[2]Time_S4!$B:$G,5,0))</f>
        <v>Khối 1 - TCT CNC</v>
      </c>
      <c r="Z1177" s="366"/>
    </row>
    <row r="1178" spans="1:26" hidden="1">
      <c r="A1178" s="367">
        <f>SUBTOTAL(3,$B$15:B1178)</f>
        <v>2</v>
      </c>
      <c r="B1178" s="394" t="s">
        <v>2623</v>
      </c>
      <c r="C1178" s="314" t="s">
        <v>2624</v>
      </c>
      <c r="D1178" s="314" t="s">
        <v>407</v>
      </c>
      <c r="E1178" s="314">
        <v>21</v>
      </c>
      <c r="F1178" s="314">
        <v>21</v>
      </c>
      <c r="G1178" s="314">
        <v>12881940</v>
      </c>
      <c r="H1178" s="359">
        <f t="shared" si="37"/>
        <v>12095532</v>
      </c>
      <c r="K1178" s="362"/>
      <c r="M1178" s="361">
        <v>599168</v>
      </c>
      <c r="N1178" s="361">
        <v>1310680</v>
      </c>
      <c r="O1178" s="361">
        <v>112344</v>
      </c>
      <c r="P1178" s="361">
        <v>224688</v>
      </c>
      <c r="Q1178" s="361">
        <v>74896</v>
      </c>
      <c r="R1178" s="361">
        <v>74896</v>
      </c>
      <c r="S1178" s="361">
        <v>149792</v>
      </c>
      <c r="T1178" s="390">
        <v>930000</v>
      </c>
      <c r="U1178" s="364">
        <f t="shared" si="38"/>
        <v>15571996</v>
      </c>
      <c r="W1178" s="365" t="str">
        <f>+VLOOKUP($B1178,[2]Time_S4!$B:$G,6,0)</f>
        <v>Trung tâm Camera</v>
      </c>
      <c r="X1178" s="365" t="str">
        <f>IF(W1178="Phòng Kinh doanh","Trung tâm Kinh doanh - TCT CNC",+VLOOKUP($B1178,[2]Time_S4!$B:$G,5,0))</f>
        <v>Khối 3 - TCT CNC</v>
      </c>
      <c r="Z1178" s="366"/>
    </row>
    <row r="1179" spans="1:26" hidden="1">
      <c r="A1179" s="367">
        <f>SUBTOTAL(3,$B$15:B1179)</f>
        <v>2</v>
      </c>
      <c r="B1179" s="394" t="s">
        <v>2625</v>
      </c>
      <c r="C1179" s="314" t="s">
        <v>2626</v>
      </c>
      <c r="D1179" s="314" t="s">
        <v>407</v>
      </c>
      <c r="E1179" s="314">
        <v>21</v>
      </c>
      <c r="F1179" s="314">
        <v>21</v>
      </c>
      <c r="G1179" s="314">
        <v>14157320</v>
      </c>
      <c r="H1179" s="359">
        <f t="shared" si="37"/>
        <v>13329248</v>
      </c>
      <c r="K1179" s="362"/>
      <c r="M1179" s="361">
        <v>630912</v>
      </c>
      <c r="N1179" s="361">
        <v>1380120</v>
      </c>
      <c r="O1179" s="361">
        <v>118296</v>
      </c>
      <c r="P1179" s="361">
        <v>236592</v>
      </c>
      <c r="Q1179" s="361">
        <v>78864</v>
      </c>
      <c r="R1179" s="361">
        <v>78864</v>
      </c>
      <c r="S1179" s="361">
        <v>157728</v>
      </c>
      <c r="T1179" s="390">
        <v>930000</v>
      </c>
      <c r="U1179" s="364">
        <f t="shared" si="38"/>
        <v>16940624</v>
      </c>
      <c r="W1179" s="365" t="str">
        <f>+VLOOKUP($B1179,[2]Time_S4!$B:$G,6,0)</f>
        <v>Trung tâm Camera</v>
      </c>
      <c r="X1179" s="365" t="str">
        <f>IF(W1179="Phòng Kinh doanh","Trung tâm Kinh doanh - TCT CNC",+VLOOKUP($B1179,[2]Time_S4!$B:$G,5,0))</f>
        <v>Khối 3 - TCT CNC</v>
      </c>
      <c r="Z1179" s="366"/>
    </row>
    <row r="1180" spans="1:26" hidden="1">
      <c r="A1180" s="367">
        <f>SUBTOTAL(3,$B$15:B1180)</f>
        <v>2</v>
      </c>
      <c r="B1180" s="394" t="s">
        <v>2627</v>
      </c>
      <c r="C1180" s="314" t="s">
        <v>2628</v>
      </c>
      <c r="D1180" s="314" t="s">
        <v>407</v>
      </c>
      <c r="E1180" s="314">
        <v>21</v>
      </c>
      <c r="F1180" s="314">
        <v>21</v>
      </c>
      <c r="G1180" s="314">
        <v>13293880</v>
      </c>
      <c r="H1180" s="359">
        <f t="shared" si="37"/>
        <v>12507472</v>
      </c>
      <c r="K1180" s="362"/>
      <c r="M1180" s="361">
        <v>599168</v>
      </c>
      <c r="N1180" s="361">
        <v>1310680</v>
      </c>
      <c r="O1180" s="361">
        <v>112344</v>
      </c>
      <c r="P1180" s="361">
        <v>224688</v>
      </c>
      <c r="Q1180" s="361">
        <v>74896</v>
      </c>
      <c r="R1180" s="361">
        <v>74896</v>
      </c>
      <c r="S1180" s="361">
        <v>149792</v>
      </c>
      <c r="T1180" s="390">
        <v>930000</v>
      </c>
      <c r="U1180" s="364">
        <f t="shared" si="38"/>
        <v>15983936</v>
      </c>
      <c r="W1180" s="365" t="str">
        <f>+VLOOKUP($B1180,[2]Time_S4!$B:$G,6,0)</f>
        <v>Trung tâm Chỉ huy điều khiển</v>
      </c>
      <c r="X1180" s="365" t="str">
        <f>IF(W1180="Phòng Kinh doanh","Trung tâm Kinh doanh - TCT CNC",+VLOOKUP($B1180,[2]Time_S4!$B:$G,5,0))</f>
        <v>Khối 1 - TCT CNC</v>
      </c>
      <c r="Z1180" s="366"/>
    </row>
    <row r="1181" spans="1:26" hidden="1">
      <c r="A1181" s="367">
        <f>SUBTOTAL(3,$B$15:B1181)</f>
        <v>2</v>
      </c>
      <c r="B1181" s="394" t="s">
        <v>2629</v>
      </c>
      <c r="C1181" s="314" t="s">
        <v>2630</v>
      </c>
      <c r="D1181" s="314" t="s">
        <v>407</v>
      </c>
      <c r="E1181" s="314">
        <v>21</v>
      </c>
      <c r="F1181" s="314">
        <v>21</v>
      </c>
      <c r="G1181" s="314">
        <v>14157320</v>
      </c>
      <c r="H1181" s="359">
        <f t="shared" si="37"/>
        <v>13329248</v>
      </c>
      <c r="K1181" s="362"/>
      <c r="M1181" s="361">
        <v>630912</v>
      </c>
      <c r="N1181" s="361">
        <v>1380120</v>
      </c>
      <c r="O1181" s="361">
        <v>118296</v>
      </c>
      <c r="P1181" s="361">
        <v>236592</v>
      </c>
      <c r="Q1181" s="361">
        <v>78864</v>
      </c>
      <c r="R1181" s="361">
        <v>78864</v>
      </c>
      <c r="S1181" s="361">
        <v>157728</v>
      </c>
      <c r="T1181" s="390">
        <v>930000</v>
      </c>
      <c r="U1181" s="364">
        <f t="shared" si="38"/>
        <v>16940624</v>
      </c>
      <c r="W1181" s="365" t="str">
        <f>+VLOOKUP($B1181,[2]Time_S4!$B:$G,6,0)</f>
        <v>Trung tâm Quang điện tử</v>
      </c>
      <c r="X1181" s="365" t="str">
        <f>IF(W1181="Phòng Kinh doanh","Trung tâm Kinh doanh - TCT CNC",+VLOOKUP($B1181,[2]Time_S4!$B:$G,5,0))</f>
        <v>Khối 1 - TCT CNC</v>
      </c>
      <c r="Z1181" s="366"/>
    </row>
    <row r="1182" spans="1:26" hidden="1">
      <c r="A1182" s="367">
        <f>SUBTOTAL(3,$B$15:B1182)</f>
        <v>2</v>
      </c>
      <c r="B1182" s="394" t="s">
        <v>2631</v>
      </c>
      <c r="C1182" s="314" t="s">
        <v>2632</v>
      </c>
      <c r="D1182" s="314" t="s">
        <v>407</v>
      </c>
      <c r="E1182" s="314">
        <v>21</v>
      </c>
      <c r="F1182" s="314">
        <v>21</v>
      </c>
      <c r="G1182" s="314">
        <v>14009400</v>
      </c>
      <c r="H1182" s="359">
        <f t="shared" si="37"/>
        <v>13222992</v>
      </c>
      <c r="K1182" s="362"/>
      <c r="M1182" s="361">
        <v>599168</v>
      </c>
      <c r="N1182" s="361">
        <v>1310680</v>
      </c>
      <c r="O1182" s="361">
        <v>112344</v>
      </c>
      <c r="P1182" s="361">
        <v>224688</v>
      </c>
      <c r="Q1182" s="361">
        <v>74896</v>
      </c>
      <c r="R1182" s="361">
        <v>74896</v>
      </c>
      <c r="S1182" s="361">
        <v>149792</v>
      </c>
      <c r="T1182" s="390">
        <v>930000</v>
      </c>
      <c r="U1182" s="364">
        <f t="shared" si="38"/>
        <v>16699456</v>
      </c>
      <c r="W1182" s="365" t="str">
        <f>+VLOOKUP($B1182,[2]Time_S4!$B:$G,6,0)</f>
        <v>Trung tâm Quang điện tử</v>
      </c>
      <c r="X1182" s="365" t="str">
        <f>IF(W1182="Phòng Kinh doanh","Trung tâm Kinh doanh - TCT CNC",+VLOOKUP($B1182,[2]Time_S4!$B:$G,5,0))</f>
        <v>Khối 1 - TCT CNC</v>
      </c>
      <c r="Z1182" s="366"/>
    </row>
    <row r="1183" spans="1:26" hidden="1">
      <c r="A1183" s="367">
        <f>SUBTOTAL(3,$B$15:B1183)</f>
        <v>2</v>
      </c>
      <c r="B1183" s="394" t="s">
        <v>2633</v>
      </c>
      <c r="C1183" s="314" t="s">
        <v>2634</v>
      </c>
      <c r="D1183" s="314" t="s">
        <v>407</v>
      </c>
      <c r="E1183" s="314">
        <v>21</v>
      </c>
      <c r="F1183" s="314">
        <v>21</v>
      </c>
      <c r="G1183" s="314">
        <v>14009400</v>
      </c>
      <c r="H1183" s="359">
        <f t="shared" si="37"/>
        <v>13222992</v>
      </c>
      <c r="K1183" s="362"/>
      <c r="M1183" s="361">
        <v>599168</v>
      </c>
      <c r="N1183" s="361">
        <v>1310680</v>
      </c>
      <c r="O1183" s="361">
        <v>112344</v>
      </c>
      <c r="P1183" s="361">
        <v>224688</v>
      </c>
      <c r="Q1183" s="361">
        <v>74896</v>
      </c>
      <c r="R1183" s="361">
        <v>74896</v>
      </c>
      <c r="S1183" s="361">
        <v>149792</v>
      </c>
      <c r="T1183" s="390">
        <v>930000</v>
      </c>
      <c r="U1183" s="364">
        <f t="shared" si="38"/>
        <v>16699456</v>
      </c>
      <c r="W1183" s="365" t="str">
        <f>+VLOOKUP($B1183,[2]Time_S4!$B:$G,6,0)</f>
        <v>Trung tâm Thông tin Quân sự</v>
      </c>
      <c r="X1183" s="365" t="str">
        <f>IF(W1183="Phòng Kinh doanh","Trung tâm Kinh doanh - TCT CNC",+VLOOKUP($B1183,[2]Time_S4!$B:$G,5,0))</f>
        <v>Khối 1 - TCT CNC</v>
      </c>
      <c r="Z1183" s="366"/>
    </row>
    <row r="1184" spans="1:26" hidden="1">
      <c r="A1184" s="367">
        <f>SUBTOTAL(3,$B$15:B1184)</f>
        <v>2</v>
      </c>
      <c r="B1184" s="394" t="s">
        <v>2635</v>
      </c>
      <c r="C1184" s="314" t="s">
        <v>2636</v>
      </c>
      <c r="D1184" s="314" t="s">
        <v>407</v>
      </c>
      <c r="E1184" s="314">
        <v>21</v>
      </c>
      <c r="F1184" s="314">
        <v>21</v>
      </c>
      <c r="G1184" s="314">
        <v>11720940</v>
      </c>
      <c r="H1184" s="359">
        <f t="shared" si="37"/>
        <v>10976196</v>
      </c>
      <c r="K1184" s="362"/>
      <c r="M1184" s="361">
        <v>567424</v>
      </c>
      <c r="N1184" s="361">
        <v>1241240</v>
      </c>
      <c r="O1184" s="361">
        <v>106392</v>
      </c>
      <c r="P1184" s="361">
        <v>212784</v>
      </c>
      <c r="Q1184" s="361">
        <v>70928</v>
      </c>
      <c r="R1184" s="361">
        <v>70928</v>
      </c>
      <c r="S1184" s="361">
        <v>141856</v>
      </c>
      <c r="T1184" s="390">
        <v>930000</v>
      </c>
      <c r="U1184" s="364">
        <f t="shared" si="38"/>
        <v>14317748</v>
      </c>
      <c r="W1184" s="365" t="str">
        <f>+VLOOKUP($B1184,[2]Time_S4!$B:$G,6,0)</f>
        <v>Trung tâm Quang điện tử</v>
      </c>
      <c r="X1184" s="365" t="str">
        <f>IF(W1184="Phòng Kinh doanh","Trung tâm Kinh doanh - TCT CNC",+VLOOKUP($B1184,[2]Time_S4!$B:$G,5,0))</f>
        <v>Khối 1 - TCT CNC</v>
      </c>
      <c r="Z1184" s="366"/>
    </row>
    <row r="1185" spans="1:26" hidden="1">
      <c r="A1185" s="367">
        <f>SUBTOTAL(3,$B$15:B1185)</f>
        <v>2</v>
      </c>
      <c r="B1185" s="394" t="s">
        <v>2637</v>
      </c>
      <c r="C1185" s="314" t="s">
        <v>2638</v>
      </c>
      <c r="D1185" s="314" t="s">
        <v>407</v>
      </c>
      <c r="E1185" s="314">
        <v>21</v>
      </c>
      <c r="F1185" s="314">
        <v>21</v>
      </c>
      <c r="G1185" s="314">
        <v>13200000</v>
      </c>
      <c r="H1185" s="359">
        <f t="shared" si="37"/>
        <v>12455256</v>
      </c>
      <c r="K1185" s="362"/>
      <c r="M1185" s="361">
        <v>567424</v>
      </c>
      <c r="N1185" s="361">
        <v>1241240</v>
      </c>
      <c r="O1185" s="361">
        <v>106392</v>
      </c>
      <c r="P1185" s="361">
        <v>212784</v>
      </c>
      <c r="Q1185" s="361">
        <v>70928</v>
      </c>
      <c r="R1185" s="361">
        <v>70928</v>
      </c>
      <c r="S1185" s="361">
        <v>141856</v>
      </c>
      <c r="T1185" s="390">
        <v>930000</v>
      </c>
      <c r="U1185" s="364">
        <f t="shared" si="38"/>
        <v>15796808</v>
      </c>
      <c r="W1185" s="365" t="str">
        <f>+VLOOKUP($B1185,[2]Time_S4!$B:$G,6,0)</f>
        <v>Trung tâm Mô hình mô phỏng</v>
      </c>
      <c r="X1185" s="365" t="str">
        <f>IF(W1185="Phòng Kinh doanh","Trung tâm Kinh doanh - TCT CNC",+VLOOKUP($B1185,[2]Time_S4!$B:$G,5,0))</f>
        <v>Khối 1 - TCT CNC</v>
      </c>
      <c r="Z1185" s="366"/>
    </row>
    <row r="1186" spans="1:26" hidden="1">
      <c r="A1186" s="367">
        <f>SUBTOTAL(3,$B$15:B1186)</f>
        <v>2</v>
      </c>
      <c r="B1186" s="394" t="s">
        <v>2639</v>
      </c>
      <c r="C1186" s="314" t="s">
        <v>2640</v>
      </c>
      <c r="D1186" s="314" t="s">
        <v>410</v>
      </c>
      <c r="E1186" s="314">
        <v>21</v>
      </c>
      <c r="F1186" s="314">
        <v>21</v>
      </c>
      <c r="G1186" s="314">
        <v>11969480</v>
      </c>
      <c r="H1186" s="359">
        <f t="shared" si="37"/>
        <v>11056693</v>
      </c>
      <c r="K1186" s="362"/>
      <c r="M1186" s="361">
        <v>912787</v>
      </c>
      <c r="N1186" s="361">
        <v>1996722</v>
      </c>
      <c r="O1186" s="361">
        <v>0</v>
      </c>
      <c r="P1186" s="361">
        <v>0</v>
      </c>
      <c r="Q1186" s="361">
        <v>0</v>
      </c>
      <c r="R1186" s="361">
        <v>0</v>
      </c>
      <c r="S1186" s="361">
        <v>228197</v>
      </c>
      <c r="T1186" s="390">
        <v>1398000</v>
      </c>
      <c r="U1186" s="364">
        <f t="shared" si="38"/>
        <v>15592399</v>
      </c>
      <c r="W1186" s="365" t="str">
        <f>+VLOOKUP($B1186,[2]Time_S4!$B:$G,6,0)</f>
        <v>Trung tâm Chỉ huy điều khiển</v>
      </c>
      <c r="X1186" s="365" t="str">
        <f>IF(W1186="Phòng Kinh doanh","Trung tâm Kinh doanh - TCT CNC",+VLOOKUP($B1186,[2]Time_S4!$B:$G,5,0))</f>
        <v>Khối 1 - TCT CNC</v>
      </c>
      <c r="Z1186" s="366"/>
    </row>
    <row r="1187" spans="1:26" hidden="1">
      <c r="A1187" s="367">
        <f>SUBTOTAL(3,$B$15:B1187)</f>
        <v>2</v>
      </c>
      <c r="B1187" s="394" t="s">
        <v>2641</v>
      </c>
      <c r="C1187" s="314" t="s">
        <v>2642</v>
      </c>
      <c r="D1187" s="314" t="s">
        <v>407</v>
      </c>
      <c r="E1187" s="314">
        <v>21</v>
      </c>
      <c r="F1187" s="314">
        <v>21</v>
      </c>
      <c r="G1187" s="314">
        <v>11969480</v>
      </c>
      <c r="H1187" s="359">
        <f t="shared" si="37"/>
        <v>11224736</v>
      </c>
      <c r="K1187" s="362"/>
      <c r="M1187" s="361">
        <v>567424</v>
      </c>
      <c r="N1187" s="361">
        <v>1241240</v>
      </c>
      <c r="O1187" s="361">
        <v>106392</v>
      </c>
      <c r="P1187" s="361">
        <v>212784</v>
      </c>
      <c r="Q1187" s="361">
        <v>70928</v>
      </c>
      <c r="R1187" s="361">
        <v>70928</v>
      </c>
      <c r="S1187" s="361">
        <v>141856</v>
      </c>
      <c r="T1187" s="390">
        <v>930000</v>
      </c>
      <c r="U1187" s="364">
        <f t="shared" si="38"/>
        <v>14566288</v>
      </c>
      <c r="W1187" s="365" t="str">
        <f>+VLOOKUP($B1187,[2]Time_S4!$B:$G,6,0)</f>
        <v>Trung tâm Rada</v>
      </c>
      <c r="X1187" s="365" t="str">
        <f>IF(W1187="Phòng Kinh doanh","Trung tâm Kinh doanh - TCT CNC",+VLOOKUP($B1187,[2]Time_S4!$B:$G,5,0))</f>
        <v>Khối 1 - TCT CNC</v>
      </c>
      <c r="Z1187" s="366"/>
    </row>
    <row r="1188" spans="1:26" hidden="1">
      <c r="A1188" s="367">
        <f>SUBTOTAL(3,$B$15:B1188)</f>
        <v>2</v>
      </c>
      <c r="B1188" s="394" t="s">
        <v>2643</v>
      </c>
      <c r="C1188" s="314" t="s">
        <v>2644</v>
      </c>
      <c r="D1188" s="314" t="s">
        <v>407</v>
      </c>
      <c r="E1188" s="314">
        <v>21</v>
      </c>
      <c r="F1188" s="314">
        <v>21</v>
      </c>
      <c r="G1188" s="314">
        <v>11477560</v>
      </c>
      <c r="H1188" s="359">
        <f t="shared" si="37"/>
        <v>10732816</v>
      </c>
      <c r="K1188" s="362"/>
      <c r="M1188" s="361">
        <v>567424</v>
      </c>
      <c r="N1188" s="361">
        <v>1241240</v>
      </c>
      <c r="O1188" s="361">
        <v>106392</v>
      </c>
      <c r="P1188" s="361">
        <v>212784</v>
      </c>
      <c r="Q1188" s="361">
        <v>70928</v>
      </c>
      <c r="R1188" s="361">
        <v>70928</v>
      </c>
      <c r="S1188" s="361">
        <v>141856</v>
      </c>
      <c r="T1188" s="390">
        <v>1047000</v>
      </c>
      <c r="U1188" s="364">
        <f t="shared" si="38"/>
        <v>14191368</v>
      </c>
      <c r="W1188" s="365" t="str">
        <f>+VLOOKUP($B1188,[2]Time_S4!$B:$G,6,0)</f>
        <v>Trung tâm Kỹ thuật công nghệ - TCT CNC</v>
      </c>
      <c r="X1188" s="365" t="str">
        <f>IF(W1188="Phòng Kinh doanh","Trung tâm Kinh doanh - TCT CNC",+VLOOKUP($B1188,[2]Time_S4!$B:$G,5,0))</f>
        <v>Khối 2 - TCT CNC</v>
      </c>
      <c r="Z1188" s="366"/>
    </row>
    <row r="1189" spans="1:26" hidden="1">
      <c r="A1189" s="367">
        <f>SUBTOTAL(3,$B$15:B1189)</f>
        <v>2</v>
      </c>
      <c r="B1189" s="394" t="s">
        <v>2645</v>
      </c>
      <c r="C1189" s="314" t="s">
        <v>2646</v>
      </c>
      <c r="D1189" s="314" t="s">
        <v>407</v>
      </c>
      <c r="E1189" s="314">
        <v>21</v>
      </c>
      <c r="F1189" s="314">
        <v>21</v>
      </c>
      <c r="G1189" s="314">
        <v>12223180</v>
      </c>
      <c r="H1189" s="359">
        <f t="shared" si="37"/>
        <v>11478436</v>
      </c>
      <c r="K1189" s="362"/>
      <c r="M1189" s="361">
        <v>567424</v>
      </c>
      <c r="N1189" s="361">
        <v>1241240</v>
      </c>
      <c r="O1189" s="361">
        <v>106392</v>
      </c>
      <c r="P1189" s="361">
        <v>212784</v>
      </c>
      <c r="Q1189" s="361">
        <v>70928</v>
      </c>
      <c r="R1189" s="361">
        <v>70928</v>
      </c>
      <c r="S1189" s="361">
        <v>141856</v>
      </c>
      <c r="T1189" s="390">
        <v>930000</v>
      </c>
      <c r="U1189" s="364">
        <f t="shared" si="38"/>
        <v>14819988</v>
      </c>
      <c r="W1189" s="365" t="str">
        <f>+VLOOKUP($B1189,[2]Time_S4!$B:$G,6,0)</f>
        <v>Trung tâm Nghiên cứu thiết bị vô tuyến băng rộng</v>
      </c>
      <c r="X1189" s="365" t="str">
        <f>IF(W1189="Phòng Kinh doanh","Trung tâm Kinh doanh - TCT CNC",+VLOOKUP($B1189,[2]Time_S4!$B:$G,5,0))</f>
        <v>Khối 2 - TCT CNC</v>
      </c>
      <c r="Z1189" s="366"/>
    </row>
    <row r="1190" spans="1:26" hidden="1">
      <c r="A1190" s="367">
        <f>SUBTOTAL(3,$B$15:B1190)</f>
        <v>2</v>
      </c>
      <c r="B1190" s="394" t="s">
        <v>2647</v>
      </c>
      <c r="C1190" s="314" t="s">
        <v>2648</v>
      </c>
      <c r="D1190" s="314" t="s">
        <v>407</v>
      </c>
      <c r="E1190" s="314">
        <v>21</v>
      </c>
      <c r="F1190" s="314">
        <v>21</v>
      </c>
      <c r="G1190" s="314">
        <v>9000000</v>
      </c>
      <c r="H1190" s="359">
        <f t="shared" si="37"/>
        <v>8291712</v>
      </c>
      <c r="K1190" s="362"/>
      <c r="M1190" s="361">
        <v>539648</v>
      </c>
      <c r="N1190" s="361">
        <v>1180480</v>
      </c>
      <c r="O1190" s="361">
        <v>101184</v>
      </c>
      <c r="P1190" s="361">
        <v>202368</v>
      </c>
      <c r="Q1190" s="361">
        <v>67456</v>
      </c>
      <c r="R1190" s="361">
        <v>67456</v>
      </c>
      <c r="S1190" s="361">
        <v>134912</v>
      </c>
      <c r="T1190" s="390">
        <v>930000</v>
      </c>
      <c r="U1190" s="364">
        <f t="shared" si="38"/>
        <v>11515216</v>
      </c>
      <c r="W1190" s="365" t="str">
        <f>+VLOOKUP($B1190,[2]Time_S4!$B:$G,6,0)</f>
        <v>Phòng Thương hiệu và truyền thông</v>
      </c>
      <c r="X1190" s="365" t="str">
        <f>IF(W1190="Phòng Kinh doanh","Trung tâm Kinh doanh - TCT CNC",+VLOOKUP($B1190,[2]Time_S4!$B:$G,5,0))</f>
        <v>Trung tâm Kinh doanh - TCT CNC</v>
      </c>
      <c r="Z1190" s="366"/>
    </row>
    <row r="1191" spans="1:26" hidden="1">
      <c r="A1191" s="367">
        <f>SUBTOTAL(3,$B$15:B1191)</f>
        <v>2</v>
      </c>
      <c r="B1191" s="394" t="s">
        <v>2649</v>
      </c>
      <c r="C1191" s="314" t="s">
        <v>2650</v>
      </c>
      <c r="D1191" s="314" t="s">
        <v>407</v>
      </c>
      <c r="E1191" s="314">
        <v>21</v>
      </c>
      <c r="F1191" s="314">
        <v>21</v>
      </c>
      <c r="G1191" s="314">
        <v>13434060</v>
      </c>
      <c r="H1191" s="359">
        <f t="shared" si="37"/>
        <v>12647652</v>
      </c>
      <c r="K1191" s="362"/>
      <c r="M1191" s="361">
        <v>599168</v>
      </c>
      <c r="N1191" s="361">
        <v>1310680</v>
      </c>
      <c r="O1191" s="361">
        <v>112344</v>
      </c>
      <c r="P1191" s="361">
        <v>224688</v>
      </c>
      <c r="Q1191" s="361">
        <v>74896</v>
      </c>
      <c r="R1191" s="361">
        <v>74896</v>
      </c>
      <c r="S1191" s="361">
        <v>149792</v>
      </c>
      <c r="T1191" s="390">
        <v>930000</v>
      </c>
      <c r="U1191" s="364">
        <f t="shared" si="38"/>
        <v>16124116</v>
      </c>
      <c r="W1191" s="365" t="str">
        <f>+VLOOKUP($B1191,[2]Time_S4!$B:$G,6,0)</f>
        <v>Trung tâm Nghiên cứu Công nghệ truyền dẫn</v>
      </c>
      <c r="X1191" s="365" t="str">
        <f>IF(W1191="Phòng Kinh doanh","Trung tâm Kinh doanh - TCT CNC",+VLOOKUP($B1191,[2]Time_S4!$B:$G,5,0))</f>
        <v>Khối 2 - TCT CNC</v>
      </c>
      <c r="Z1191" s="366"/>
    </row>
    <row r="1192" spans="1:26" hidden="1">
      <c r="A1192" s="367">
        <f>SUBTOTAL(3,$B$15:B1192)</f>
        <v>2</v>
      </c>
      <c r="B1192" s="394" t="s">
        <v>2651</v>
      </c>
      <c r="C1192" s="314" t="s">
        <v>2652</v>
      </c>
      <c r="D1192" s="314" t="s">
        <v>407</v>
      </c>
      <c r="E1192" s="314">
        <v>21</v>
      </c>
      <c r="F1192" s="314">
        <v>21</v>
      </c>
      <c r="G1192" s="314">
        <v>11720940</v>
      </c>
      <c r="H1192" s="359">
        <f t="shared" si="37"/>
        <v>10976196</v>
      </c>
      <c r="K1192" s="362"/>
      <c r="M1192" s="361">
        <v>567424</v>
      </c>
      <c r="N1192" s="361">
        <v>1241240</v>
      </c>
      <c r="O1192" s="361">
        <v>106392</v>
      </c>
      <c r="P1192" s="361">
        <v>212784</v>
      </c>
      <c r="Q1192" s="361">
        <v>70928</v>
      </c>
      <c r="R1192" s="361">
        <v>70928</v>
      </c>
      <c r="S1192" s="361">
        <v>141856</v>
      </c>
      <c r="T1192" s="390">
        <v>930000</v>
      </c>
      <c r="U1192" s="364">
        <f t="shared" si="38"/>
        <v>14317748</v>
      </c>
      <c r="W1192" s="365" t="str">
        <f>+VLOOKUP($B1192,[2]Time_S4!$B:$G,6,0)</f>
        <v>Trung tâm dịch vụ sau bán hàng</v>
      </c>
      <c r="X1192" s="365" t="str">
        <f>IF(W1192="Phòng Kinh doanh","Trung tâm Kinh doanh - TCT CNC",+VLOOKUP($B1192,[2]Time_S4!$B:$G,5,0))</f>
        <v>Khối 2 - TCT CNC</v>
      </c>
      <c r="Z1192" s="366"/>
    </row>
    <row r="1193" spans="1:26" hidden="1">
      <c r="A1193" s="367">
        <f>SUBTOTAL(3,$B$15:B1193)</f>
        <v>2</v>
      </c>
      <c r="B1193" s="394" t="s">
        <v>2653</v>
      </c>
      <c r="C1193" s="314" t="s">
        <v>2654</v>
      </c>
      <c r="D1193" s="314" t="s">
        <v>407</v>
      </c>
      <c r="E1193" s="314">
        <v>21</v>
      </c>
      <c r="F1193" s="314">
        <v>21</v>
      </c>
      <c r="G1193" s="314">
        <v>11720940</v>
      </c>
      <c r="H1193" s="359">
        <f t="shared" si="37"/>
        <v>10976196</v>
      </c>
      <c r="K1193" s="362"/>
      <c r="M1193" s="361">
        <v>567424</v>
      </c>
      <c r="N1193" s="361">
        <v>1241240</v>
      </c>
      <c r="O1193" s="361">
        <v>106392</v>
      </c>
      <c r="P1193" s="361">
        <v>212784</v>
      </c>
      <c r="Q1193" s="361">
        <v>70928</v>
      </c>
      <c r="R1193" s="361">
        <v>70928</v>
      </c>
      <c r="S1193" s="361">
        <v>141856</v>
      </c>
      <c r="T1193" s="390">
        <v>930000</v>
      </c>
      <c r="U1193" s="364">
        <f t="shared" si="38"/>
        <v>14317748</v>
      </c>
      <c r="W1193" s="365" t="str">
        <f>+VLOOKUP($B1193,[2]Time_S4!$B:$G,6,0)</f>
        <v>Trung tâm Quang điện tử</v>
      </c>
      <c r="X1193" s="365" t="str">
        <f>IF(W1193="Phòng Kinh doanh","Trung tâm Kinh doanh - TCT CNC",+VLOOKUP($B1193,[2]Time_S4!$B:$G,5,0))</f>
        <v>Khối 1 - TCT CNC</v>
      </c>
      <c r="Z1193" s="366"/>
    </row>
    <row r="1194" spans="1:26" hidden="1">
      <c r="A1194" s="367">
        <f>SUBTOTAL(3,$B$15:B1194)</f>
        <v>2</v>
      </c>
      <c r="B1194" s="394" t="s">
        <v>2655</v>
      </c>
      <c r="C1194" s="314" t="s">
        <v>2656</v>
      </c>
      <c r="D1194" s="314" t="s">
        <v>407</v>
      </c>
      <c r="E1194" s="314">
        <v>21</v>
      </c>
      <c r="F1194" s="314">
        <v>21</v>
      </c>
      <c r="G1194" s="314">
        <v>14352116</v>
      </c>
      <c r="H1194" s="359">
        <f t="shared" si="37"/>
        <v>13524044</v>
      </c>
      <c r="K1194" s="362"/>
      <c r="M1194" s="361">
        <v>630912</v>
      </c>
      <c r="N1194" s="361">
        <v>1380120</v>
      </c>
      <c r="O1194" s="361">
        <v>118296</v>
      </c>
      <c r="P1194" s="361">
        <v>236592</v>
      </c>
      <c r="Q1194" s="361">
        <v>78864</v>
      </c>
      <c r="R1194" s="361">
        <v>78864</v>
      </c>
      <c r="S1194" s="361">
        <v>157728</v>
      </c>
      <c r="T1194" s="390">
        <v>930000</v>
      </c>
      <c r="U1194" s="364">
        <f t="shared" si="38"/>
        <v>17135420</v>
      </c>
      <c r="W1194" s="365" t="str">
        <f>+VLOOKUP($B1194,[2]Time_S4!$B:$G,6,0)</f>
        <v>Trung tâm Nghiên cứu giải pháp tích hợp công nghệ cao</v>
      </c>
      <c r="X1194" s="365" t="str">
        <f>IF(W1194="Phòng Kinh doanh","Trung tâm Kinh doanh - TCT CNC",+VLOOKUP($B1194,[2]Time_S4!$B:$G,5,0))</f>
        <v>Khối 1 - TCT CNC</v>
      </c>
      <c r="Z1194" s="366"/>
    </row>
    <row r="1195" spans="1:26" hidden="1">
      <c r="A1195" s="367">
        <f>SUBTOTAL(3,$B$15:B1195)</f>
        <v>2</v>
      </c>
      <c r="B1195" s="394" t="s">
        <v>2657</v>
      </c>
      <c r="C1195" s="314" t="s">
        <v>2097</v>
      </c>
      <c r="D1195" s="314" t="s">
        <v>407</v>
      </c>
      <c r="E1195" s="314">
        <v>21</v>
      </c>
      <c r="F1195" s="314">
        <v>21</v>
      </c>
      <c r="G1195" s="314">
        <v>12881940</v>
      </c>
      <c r="H1195" s="359">
        <f t="shared" si="37"/>
        <v>12095532</v>
      </c>
      <c r="K1195" s="362"/>
      <c r="M1195" s="361">
        <v>599168</v>
      </c>
      <c r="N1195" s="361">
        <v>1310680</v>
      </c>
      <c r="O1195" s="361">
        <v>112344</v>
      </c>
      <c r="P1195" s="361">
        <v>224688</v>
      </c>
      <c r="Q1195" s="361">
        <v>74896</v>
      </c>
      <c r="R1195" s="361">
        <v>74896</v>
      </c>
      <c r="S1195" s="361">
        <v>149792</v>
      </c>
      <c r="T1195" s="390">
        <v>930000</v>
      </c>
      <c r="U1195" s="364">
        <f t="shared" si="38"/>
        <v>15571996</v>
      </c>
      <c r="W1195" s="365" t="str">
        <f>+VLOOKUP($B1195,[2]Time_S4!$B:$G,6,0)</f>
        <v>Trung tâm Mô hình mô phỏng</v>
      </c>
      <c r="X1195" s="365" t="str">
        <f>IF(W1195="Phòng Kinh doanh","Trung tâm Kinh doanh - TCT CNC",+VLOOKUP($B1195,[2]Time_S4!$B:$G,5,0))</f>
        <v>Khối 1 - TCT CNC</v>
      </c>
      <c r="Z1195" s="366"/>
    </row>
    <row r="1196" spans="1:26" hidden="1">
      <c r="A1196" s="367">
        <f>SUBTOTAL(3,$B$15:B1196)</f>
        <v>2</v>
      </c>
      <c r="B1196" s="394" t="s">
        <v>2658</v>
      </c>
      <c r="C1196" s="314" t="s">
        <v>2659</v>
      </c>
      <c r="D1196" s="314" t="s">
        <v>407</v>
      </c>
      <c r="E1196" s="314">
        <v>21</v>
      </c>
      <c r="F1196" s="314">
        <v>21</v>
      </c>
      <c r="G1196" s="314">
        <v>15051720</v>
      </c>
      <c r="H1196" s="359">
        <f t="shared" si="37"/>
        <v>14265312</v>
      </c>
      <c r="K1196" s="362"/>
      <c r="M1196" s="361">
        <v>599168</v>
      </c>
      <c r="N1196" s="361">
        <v>1310680</v>
      </c>
      <c r="O1196" s="361">
        <v>112344</v>
      </c>
      <c r="P1196" s="361">
        <v>224688</v>
      </c>
      <c r="Q1196" s="361">
        <v>74896</v>
      </c>
      <c r="R1196" s="361">
        <v>74896</v>
      </c>
      <c r="S1196" s="361">
        <v>149792</v>
      </c>
      <c r="T1196" s="390">
        <v>930000</v>
      </c>
      <c r="U1196" s="364">
        <f t="shared" si="38"/>
        <v>17741776</v>
      </c>
      <c r="W1196" s="365" t="str">
        <f>+VLOOKUP($B1196,[2]Time_S4!$B:$G,6,0)</f>
        <v>Trung tâm Kỹ thuật công nghệ - TCT CNC</v>
      </c>
      <c r="X1196" s="365" t="str">
        <f>IF(W1196="Phòng Kinh doanh","Trung tâm Kinh doanh - TCT CNC",+VLOOKUP($B1196,[2]Time_S4!$B:$G,5,0))</f>
        <v>Khối 2 - TCT CNC</v>
      </c>
      <c r="Z1196" s="366"/>
    </row>
    <row r="1197" spans="1:26" hidden="1">
      <c r="A1197" s="367">
        <f>SUBTOTAL(3,$B$15:B1197)</f>
        <v>2</v>
      </c>
      <c r="B1197" s="394" t="s">
        <v>2660</v>
      </c>
      <c r="C1197" s="314" t="s">
        <v>2661</v>
      </c>
      <c r="D1197" s="314" t="s">
        <v>407</v>
      </c>
      <c r="E1197" s="314">
        <v>21</v>
      </c>
      <c r="F1197" s="314">
        <v>21</v>
      </c>
      <c r="G1197" s="314">
        <v>11121520</v>
      </c>
      <c r="H1197" s="359">
        <f t="shared" si="37"/>
        <v>10413232</v>
      </c>
      <c r="K1197" s="362"/>
      <c r="M1197" s="361">
        <v>539648</v>
      </c>
      <c r="N1197" s="361">
        <v>1180480</v>
      </c>
      <c r="O1197" s="361">
        <v>101184</v>
      </c>
      <c r="P1197" s="361">
        <v>202368</v>
      </c>
      <c r="Q1197" s="361">
        <v>67456</v>
      </c>
      <c r="R1197" s="361">
        <v>67456</v>
      </c>
      <c r="S1197" s="361">
        <v>134912</v>
      </c>
      <c r="T1197" s="390">
        <v>930000</v>
      </c>
      <c r="U1197" s="364">
        <f t="shared" si="38"/>
        <v>13636736</v>
      </c>
      <c r="W1197" s="365" t="str">
        <f>+VLOOKUP($B1197,[2]Time_S4!$B:$G,6,0)</f>
        <v>Trung tâm Chỉ huy điều khiển</v>
      </c>
      <c r="X1197" s="365" t="str">
        <f>IF(W1197="Phòng Kinh doanh","Trung tâm Kinh doanh - TCT CNC",+VLOOKUP($B1197,[2]Time_S4!$B:$G,5,0))</f>
        <v>Khối 1 - TCT CNC</v>
      </c>
      <c r="Z1197" s="366"/>
    </row>
    <row r="1198" spans="1:26" hidden="1">
      <c r="A1198" s="367">
        <f>SUBTOTAL(3,$B$15:B1198)</f>
        <v>2</v>
      </c>
      <c r="B1198" s="394" t="s">
        <v>2662</v>
      </c>
      <c r="C1198" s="314" t="s">
        <v>2663</v>
      </c>
      <c r="D1198" s="314" t="s">
        <v>407</v>
      </c>
      <c r="E1198" s="314">
        <v>21</v>
      </c>
      <c r="F1198" s="314">
        <v>21</v>
      </c>
      <c r="G1198" s="314">
        <v>11720940</v>
      </c>
      <c r="H1198" s="359">
        <f t="shared" si="37"/>
        <v>10976196</v>
      </c>
      <c r="K1198" s="362"/>
      <c r="M1198" s="361">
        <v>567424</v>
      </c>
      <c r="N1198" s="361">
        <v>1241240</v>
      </c>
      <c r="O1198" s="361">
        <v>106392</v>
      </c>
      <c r="P1198" s="361">
        <v>212784</v>
      </c>
      <c r="Q1198" s="361">
        <v>70928</v>
      </c>
      <c r="R1198" s="361">
        <v>70928</v>
      </c>
      <c r="S1198" s="361">
        <v>141856</v>
      </c>
      <c r="T1198" s="390">
        <v>1630000</v>
      </c>
      <c r="U1198" s="364">
        <f t="shared" si="38"/>
        <v>15017748</v>
      </c>
      <c r="W1198" s="365" t="str">
        <f>+VLOOKUP($B1198,[2]Time_S4!$B:$G,6,0)</f>
        <v>Trung tâm dịch vụ sau bán hàng</v>
      </c>
      <c r="X1198" s="365" t="str">
        <f>IF(W1198="Phòng Kinh doanh","Trung tâm Kinh doanh - TCT CNC",+VLOOKUP($B1198,[2]Time_S4!$B:$G,5,0))</f>
        <v>Khối 2 - TCT CNC</v>
      </c>
      <c r="Z1198" s="366"/>
    </row>
    <row r="1199" spans="1:26" hidden="1">
      <c r="A1199" s="367">
        <f>SUBTOTAL(3,$B$15:B1199)</f>
        <v>2</v>
      </c>
      <c r="B1199" s="394" t="s">
        <v>2664</v>
      </c>
      <c r="C1199" s="314" t="s">
        <v>2665</v>
      </c>
      <c r="D1199" s="314" t="s">
        <v>407</v>
      </c>
      <c r="E1199" s="314">
        <v>21</v>
      </c>
      <c r="F1199" s="314">
        <v>21</v>
      </c>
      <c r="G1199" s="314">
        <v>12223180</v>
      </c>
      <c r="H1199" s="359">
        <f t="shared" si="37"/>
        <v>11478436</v>
      </c>
      <c r="K1199" s="362"/>
      <c r="M1199" s="361">
        <v>567424</v>
      </c>
      <c r="N1199" s="361">
        <v>1241240</v>
      </c>
      <c r="O1199" s="361">
        <v>106392</v>
      </c>
      <c r="P1199" s="361">
        <v>212784</v>
      </c>
      <c r="Q1199" s="361">
        <v>70928</v>
      </c>
      <c r="R1199" s="361">
        <v>70928</v>
      </c>
      <c r="S1199" s="361">
        <v>141856</v>
      </c>
      <c r="T1199" s="390">
        <v>930000</v>
      </c>
      <c r="U1199" s="364">
        <f t="shared" si="38"/>
        <v>14819988</v>
      </c>
      <c r="W1199" s="365" t="str">
        <f>+VLOOKUP($B1199,[2]Time_S4!$B:$G,6,0)</f>
        <v>Trung tâm Nghiên cứu giải pháp tích hợp công nghệ cao</v>
      </c>
      <c r="X1199" s="365" t="str">
        <f>IF(W1199="Phòng Kinh doanh","Trung tâm Kinh doanh - TCT CNC",+VLOOKUP($B1199,[2]Time_S4!$B:$G,5,0))</f>
        <v>Khối 1 - TCT CNC</v>
      </c>
      <c r="Z1199" s="366"/>
    </row>
    <row r="1200" spans="1:26" hidden="1">
      <c r="A1200" s="367">
        <f>SUBTOTAL(3,$B$15:B1200)</f>
        <v>2</v>
      </c>
      <c r="B1200" s="394" t="s">
        <v>2666</v>
      </c>
      <c r="C1200" s="314" t="s">
        <v>2667</v>
      </c>
      <c r="D1200" s="314" t="s">
        <v>407</v>
      </c>
      <c r="E1200" s="314">
        <v>21</v>
      </c>
      <c r="F1200" s="314">
        <v>21</v>
      </c>
      <c r="G1200" s="314">
        <v>14433380</v>
      </c>
      <c r="H1200" s="359">
        <f t="shared" si="37"/>
        <v>13646972</v>
      </c>
      <c r="K1200" s="362"/>
      <c r="M1200" s="361">
        <v>599168</v>
      </c>
      <c r="N1200" s="361">
        <v>1310680</v>
      </c>
      <c r="O1200" s="361">
        <v>112344</v>
      </c>
      <c r="P1200" s="361">
        <v>224688</v>
      </c>
      <c r="Q1200" s="361">
        <v>74896</v>
      </c>
      <c r="R1200" s="361">
        <v>74896</v>
      </c>
      <c r="S1200" s="361">
        <v>149792</v>
      </c>
      <c r="T1200" s="390">
        <v>930000</v>
      </c>
      <c r="U1200" s="364">
        <f t="shared" si="38"/>
        <v>17123436</v>
      </c>
      <c r="W1200" s="365" t="str">
        <f>+VLOOKUP($B1200,[2]Time_S4!$B:$G,6,0)</f>
        <v>Trung tâm Rada</v>
      </c>
      <c r="X1200" s="365" t="str">
        <f>IF(W1200="Phòng Kinh doanh","Trung tâm Kinh doanh - TCT CNC",+VLOOKUP($B1200,[2]Time_S4!$B:$G,5,0))</f>
        <v>Khối 1 - TCT CNC</v>
      </c>
      <c r="Z1200" s="366"/>
    </row>
    <row r="1201" spans="1:26" hidden="1">
      <c r="A1201" s="367">
        <f>SUBTOTAL(3,$B$15:B1201)</f>
        <v>2</v>
      </c>
      <c r="B1201" s="394" t="s">
        <v>2668</v>
      </c>
      <c r="C1201" s="314" t="s">
        <v>2669</v>
      </c>
      <c r="D1201" s="314" t="s">
        <v>407</v>
      </c>
      <c r="E1201" s="314">
        <v>21</v>
      </c>
      <c r="F1201" s="314">
        <v>21</v>
      </c>
      <c r="G1201" s="314">
        <v>14610540</v>
      </c>
      <c r="H1201" s="359">
        <f t="shared" si="37"/>
        <v>13782468</v>
      </c>
      <c r="K1201" s="362"/>
      <c r="M1201" s="361">
        <v>630912</v>
      </c>
      <c r="N1201" s="361">
        <v>1380120</v>
      </c>
      <c r="O1201" s="361">
        <v>118296</v>
      </c>
      <c r="P1201" s="361">
        <v>236592</v>
      </c>
      <c r="Q1201" s="361">
        <v>78864</v>
      </c>
      <c r="R1201" s="361">
        <v>78864</v>
      </c>
      <c r="S1201" s="361">
        <v>157728</v>
      </c>
      <c r="T1201" s="390">
        <v>930000</v>
      </c>
      <c r="U1201" s="364">
        <f t="shared" si="38"/>
        <v>17393844</v>
      </c>
      <c r="W1201" s="365" t="str">
        <f>+VLOOKUP($B1201,[2]Time_S4!$B:$G,6,0)</f>
        <v>Trung tâm Khí cụ bay</v>
      </c>
      <c r="X1201" s="365" t="str">
        <f>IF(W1201="Phòng Kinh doanh","Trung tâm Kinh doanh - TCT CNC",+VLOOKUP($B1201,[2]Time_S4!$B:$G,5,0))</f>
        <v>Khối 1 - TCT CNC</v>
      </c>
      <c r="Z1201" s="366"/>
    </row>
    <row r="1202" spans="1:26" hidden="1">
      <c r="A1202" s="367">
        <f>SUBTOTAL(3,$B$15:B1202)</f>
        <v>2</v>
      </c>
      <c r="B1202" s="394" t="s">
        <v>2670</v>
      </c>
      <c r="C1202" s="314" t="s">
        <v>2671</v>
      </c>
      <c r="D1202" s="314" t="s">
        <v>407</v>
      </c>
      <c r="E1202" s="314">
        <v>21</v>
      </c>
      <c r="F1202" s="314">
        <v>21</v>
      </c>
      <c r="G1202" s="314">
        <v>12540476</v>
      </c>
      <c r="H1202" s="359">
        <f t="shared" si="37"/>
        <v>11795732</v>
      </c>
      <c r="K1202" s="362"/>
      <c r="M1202" s="361">
        <v>567424</v>
      </c>
      <c r="N1202" s="361">
        <v>1241240</v>
      </c>
      <c r="O1202" s="361">
        <v>106392</v>
      </c>
      <c r="P1202" s="361">
        <v>212784</v>
      </c>
      <c r="Q1202" s="361">
        <v>70928</v>
      </c>
      <c r="R1202" s="361">
        <v>70928</v>
      </c>
      <c r="S1202" s="361">
        <v>141856</v>
      </c>
      <c r="T1202" s="390">
        <v>930000</v>
      </c>
      <c r="U1202" s="364">
        <f t="shared" si="38"/>
        <v>15137284</v>
      </c>
      <c r="W1202" s="365" t="str">
        <f>+VLOOKUP($B1202,[2]Time_S4!$B:$G,6,0)</f>
        <v>Trung tâm Nền tảng IOT</v>
      </c>
      <c r="X1202" s="365" t="str">
        <f>IF(W1202="Phòng Kinh doanh","Trung tâm Kinh doanh - TCT CNC",+VLOOKUP($B1202,[2]Time_S4!$B:$G,5,0))</f>
        <v>Khối 3 - TCT CNC</v>
      </c>
      <c r="Z1202" s="366"/>
    </row>
    <row r="1203" spans="1:26" hidden="1">
      <c r="A1203" s="367">
        <f>SUBTOTAL(3,$B$15:B1203)</f>
        <v>2</v>
      </c>
      <c r="B1203" s="394" t="s">
        <v>2672</v>
      </c>
      <c r="C1203" s="314" t="s">
        <v>2673</v>
      </c>
      <c r="D1203" s="314" t="s">
        <v>407</v>
      </c>
      <c r="E1203" s="314">
        <v>21</v>
      </c>
      <c r="F1203" s="314">
        <v>21</v>
      </c>
      <c r="G1203" s="314">
        <v>19159940</v>
      </c>
      <c r="H1203" s="359">
        <f t="shared" si="37"/>
        <v>18243332</v>
      </c>
      <c r="K1203" s="362"/>
      <c r="M1203" s="361">
        <v>698368</v>
      </c>
      <c r="N1203" s="361">
        <v>1527680</v>
      </c>
      <c r="O1203" s="361">
        <v>130944</v>
      </c>
      <c r="P1203" s="361">
        <v>261888</v>
      </c>
      <c r="Q1203" s="361">
        <v>87296</v>
      </c>
      <c r="R1203" s="361">
        <v>87296</v>
      </c>
      <c r="S1203" s="361">
        <v>174592</v>
      </c>
      <c r="T1203" s="390">
        <v>930000</v>
      </c>
      <c r="U1203" s="364">
        <f t="shared" si="38"/>
        <v>22141396</v>
      </c>
      <c r="W1203" s="365" t="str">
        <f>+VLOOKUP($B1203,[2]Time_S4!$B:$G,6,0)</f>
        <v>Trung tâm Đảm bảo chất lượng</v>
      </c>
      <c r="X1203" s="365" t="str">
        <f>IF(W1203="Phòng Kinh doanh","Trung tâm Kinh doanh - TCT CNC",+VLOOKUP($B1203,[2]Time_S4!$B:$G,5,0))</f>
        <v>Khối 1 - TCT CNC</v>
      </c>
      <c r="Z1203" s="366"/>
    </row>
    <row r="1204" spans="1:26" hidden="1">
      <c r="A1204" s="367">
        <f>SUBTOTAL(3,$B$15:B1204)</f>
        <v>2</v>
      </c>
      <c r="B1204" s="394" t="s">
        <v>2674</v>
      </c>
      <c r="C1204" s="314" t="s">
        <v>2675</v>
      </c>
      <c r="D1204" s="314" t="s">
        <v>407</v>
      </c>
      <c r="E1204" s="314">
        <v>21</v>
      </c>
      <c r="F1204" s="314">
        <v>21</v>
      </c>
      <c r="G1204" s="314">
        <v>17251600</v>
      </c>
      <c r="H1204" s="359">
        <f t="shared" si="37"/>
        <v>16381864</v>
      </c>
      <c r="K1204" s="362"/>
      <c r="M1204" s="361">
        <v>662656</v>
      </c>
      <c r="N1204" s="361">
        <v>1449560</v>
      </c>
      <c r="O1204" s="361">
        <v>124248</v>
      </c>
      <c r="P1204" s="361">
        <v>248496</v>
      </c>
      <c r="Q1204" s="361">
        <v>82832</v>
      </c>
      <c r="R1204" s="361">
        <v>82832</v>
      </c>
      <c r="S1204" s="361">
        <v>165664</v>
      </c>
      <c r="T1204" s="390">
        <v>930000</v>
      </c>
      <c r="U1204" s="364">
        <f t="shared" si="38"/>
        <v>20128152</v>
      </c>
      <c r="W1204" s="365" t="str">
        <f>+VLOOKUP($B1204,[2]Time_S4!$B:$G,6,0)</f>
        <v>Trung tâm Nền tảng IOT</v>
      </c>
      <c r="X1204" s="365" t="str">
        <f>IF(W1204="Phòng Kinh doanh","Trung tâm Kinh doanh - TCT CNC",+VLOOKUP($B1204,[2]Time_S4!$B:$G,5,0))</f>
        <v>Khối 3 - TCT CNC</v>
      </c>
      <c r="Z1204" s="366"/>
    </row>
    <row r="1205" spans="1:26" hidden="1">
      <c r="A1205" s="367">
        <f>SUBTOTAL(3,$B$15:B1205)</f>
        <v>2</v>
      </c>
      <c r="B1205" s="394" t="s">
        <v>2676</v>
      </c>
      <c r="C1205" s="314" t="s">
        <v>2677</v>
      </c>
      <c r="D1205" s="314" t="s">
        <v>407</v>
      </c>
      <c r="E1205" s="314">
        <v>21</v>
      </c>
      <c r="F1205" s="314">
        <v>21</v>
      </c>
      <c r="G1205" s="314">
        <v>15870000</v>
      </c>
      <c r="H1205" s="359">
        <f t="shared" si="37"/>
        <v>15041928</v>
      </c>
      <c r="K1205" s="362"/>
      <c r="M1205" s="361">
        <v>630912</v>
      </c>
      <c r="N1205" s="361">
        <v>1380120</v>
      </c>
      <c r="O1205" s="361">
        <v>118296</v>
      </c>
      <c r="P1205" s="361">
        <v>236592</v>
      </c>
      <c r="Q1205" s="361">
        <v>78864</v>
      </c>
      <c r="R1205" s="361">
        <v>78864</v>
      </c>
      <c r="S1205" s="361">
        <v>157728</v>
      </c>
      <c r="T1205" s="390">
        <v>930000</v>
      </c>
      <c r="U1205" s="364">
        <f t="shared" si="38"/>
        <v>18653304</v>
      </c>
      <c r="W1205" s="365" t="str">
        <f>+VLOOKUP($B1205,[2]Time_S4!$B:$G,6,0)</f>
        <v>Trung tâm Rada</v>
      </c>
      <c r="X1205" s="365" t="str">
        <f>IF(W1205="Phòng Kinh doanh","Trung tâm Kinh doanh - TCT CNC",+VLOOKUP($B1205,[2]Time_S4!$B:$G,5,0))</f>
        <v>Khối 1 - TCT CNC</v>
      </c>
      <c r="Z1205" s="366"/>
    </row>
    <row r="1206" spans="1:26" hidden="1">
      <c r="A1206" s="367">
        <f>SUBTOTAL(3,$B$15:B1206)</f>
        <v>2</v>
      </c>
      <c r="B1206" s="394" t="s">
        <v>2678</v>
      </c>
      <c r="C1206" s="314" t="s">
        <v>2679</v>
      </c>
      <c r="D1206" s="314" t="s">
        <v>407</v>
      </c>
      <c r="E1206" s="314">
        <v>21</v>
      </c>
      <c r="F1206" s="314">
        <v>21</v>
      </c>
      <c r="G1206" s="314">
        <v>14547500</v>
      </c>
      <c r="H1206" s="359">
        <f t="shared" si="37"/>
        <v>13761092</v>
      </c>
      <c r="K1206" s="362"/>
      <c r="M1206" s="361">
        <v>599168</v>
      </c>
      <c r="N1206" s="361">
        <v>1310680</v>
      </c>
      <c r="O1206" s="361">
        <v>112344</v>
      </c>
      <c r="P1206" s="361">
        <v>224688</v>
      </c>
      <c r="Q1206" s="361">
        <v>74896</v>
      </c>
      <c r="R1206" s="361">
        <v>74896</v>
      </c>
      <c r="S1206" s="361">
        <v>149792</v>
      </c>
      <c r="T1206" s="390">
        <v>930000</v>
      </c>
      <c r="U1206" s="364">
        <f t="shared" si="38"/>
        <v>17237556</v>
      </c>
      <c r="W1206" s="365" t="str">
        <f>+VLOOKUP($B1206,[2]Time_S4!$B:$G,6,0)</f>
        <v>Trung tâm Nghiên cứu Công nghệ truyền dẫn</v>
      </c>
      <c r="X1206" s="365" t="str">
        <f>IF(W1206="Phòng Kinh doanh","Trung tâm Kinh doanh - TCT CNC",+VLOOKUP($B1206,[2]Time_S4!$B:$G,5,0))</f>
        <v>Khối 2 - TCT CNC</v>
      </c>
      <c r="Z1206" s="366"/>
    </row>
    <row r="1207" spans="1:26" hidden="1">
      <c r="A1207" s="367">
        <f>SUBTOTAL(3,$B$15:B1207)</f>
        <v>2</v>
      </c>
      <c r="B1207" s="394" t="s">
        <v>2680</v>
      </c>
      <c r="C1207" s="314" t="s">
        <v>2681</v>
      </c>
      <c r="D1207" s="314" t="s">
        <v>407</v>
      </c>
      <c r="E1207" s="314">
        <v>21</v>
      </c>
      <c r="F1207" s="314">
        <v>21</v>
      </c>
      <c r="G1207" s="314">
        <v>11500000</v>
      </c>
      <c r="H1207" s="359">
        <f t="shared" si="37"/>
        <v>10791712</v>
      </c>
      <c r="K1207" s="362"/>
      <c r="M1207" s="361">
        <v>539648</v>
      </c>
      <c r="N1207" s="361">
        <v>1180480</v>
      </c>
      <c r="O1207" s="361">
        <v>101184</v>
      </c>
      <c r="P1207" s="361">
        <v>202368</v>
      </c>
      <c r="Q1207" s="361">
        <v>67456</v>
      </c>
      <c r="R1207" s="361">
        <v>67456</v>
      </c>
      <c r="S1207" s="361">
        <v>134912</v>
      </c>
      <c r="T1207" s="390">
        <v>930000</v>
      </c>
      <c r="U1207" s="364">
        <f t="shared" si="38"/>
        <v>14015216</v>
      </c>
      <c r="W1207" s="365" t="str">
        <f>+VLOOKUP($B1207,[2]Time_S4!$B:$G,6,0)</f>
        <v>Trung tâm Nghiên cứu giải pháp tích hợp công nghệ cao</v>
      </c>
      <c r="X1207" s="365" t="str">
        <f>IF(W1207="Phòng Kinh doanh","Trung tâm Kinh doanh - TCT CNC",+VLOOKUP($B1207,[2]Time_S4!$B:$G,5,0))</f>
        <v>Khối 1 - TCT CNC</v>
      </c>
      <c r="Z1207" s="366"/>
    </row>
    <row r="1208" spans="1:26" hidden="1">
      <c r="A1208" s="367">
        <f>SUBTOTAL(3,$B$15:B1208)</f>
        <v>2</v>
      </c>
      <c r="B1208" s="394" t="s">
        <v>2682</v>
      </c>
      <c r="C1208" s="314" t="s">
        <v>2683</v>
      </c>
      <c r="D1208" s="314" t="s">
        <v>407</v>
      </c>
      <c r="E1208" s="314">
        <v>21</v>
      </c>
      <c r="F1208" s="314">
        <v>21</v>
      </c>
      <c r="G1208" s="314">
        <v>13017820</v>
      </c>
      <c r="H1208" s="359">
        <f t="shared" si="37"/>
        <v>12231412</v>
      </c>
      <c r="K1208" s="362"/>
      <c r="M1208" s="361">
        <v>599168</v>
      </c>
      <c r="N1208" s="361">
        <v>1310680</v>
      </c>
      <c r="O1208" s="361">
        <v>112344</v>
      </c>
      <c r="P1208" s="361">
        <v>224688</v>
      </c>
      <c r="Q1208" s="361">
        <v>74896</v>
      </c>
      <c r="R1208" s="361">
        <v>74896</v>
      </c>
      <c r="S1208" s="361">
        <v>149792</v>
      </c>
      <c r="T1208" s="390">
        <v>1047000</v>
      </c>
      <c r="U1208" s="364">
        <f t="shared" si="38"/>
        <v>15824876</v>
      </c>
      <c r="W1208" s="365" t="str">
        <f>+VLOOKUP($B1208,[2]Time_S4!$B:$G,6,0)</f>
        <v>Trung tâm Camera</v>
      </c>
      <c r="X1208" s="365" t="str">
        <f>IF(W1208="Phòng Kinh doanh","Trung tâm Kinh doanh - TCT CNC",+VLOOKUP($B1208,[2]Time_S4!$B:$G,5,0))</f>
        <v>Khối 3 - TCT CNC</v>
      </c>
      <c r="Z1208" s="366"/>
    </row>
    <row r="1209" spans="1:26" hidden="1">
      <c r="A1209" s="367">
        <f>SUBTOTAL(3,$B$15:B1209)</f>
        <v>2</v>
      </c>
      <c r="B1209" s="394" t="s">
        <v>2684</v>
      </c>
      <c r="C1209" s="314" t="s">
        <v>2685</v>
      </c>
      <c r="D1209" s="314" t="s">
        <v>407</v>
      </c>
      <c r="E1209" s="314">
        <v>21</v>
      </c>
      <c r="F1209" s="314">
        <v>21</v>
      </c>
      <c r="G1209" s="314">
        <v>11598820</v>
      </c>
      <c r="H1209" s="359">
        <f t="shared" si="37"/>
        <v>10854076</v>
      </c>
      <c r="K1209" s="362"/>
      <c r="M1209" s="361">
        <v>567424</v>
      </c>
      <c r="N1209" s="361">
        <v>1241240</v>
      </c>
      <c r="O1209" s="361">
        <v>106392</v>
      </c>
      <c r="P1209" s="361">
        <v>212784</v>
      </c>
      <c r="Q1209" s="361">
        <v>70928</v>
      </c>
      <c r="R1209" s="361">
        <v>70928</v>
      </c>
      <c r="S1209" s="361">
        <v>141856</v>
      </c>
      <c r="T1209" s="390">
        <v>930000</v>
      </c>
      <c r="U1209" s="364">
        <f t="shared" si="38"/>
        <v>14195628</v>
      </c>
      <c r="W1209" s="365" t="str">
        <f>+VLOOKUP($B1209,[2]Time_S4!$B:$G,6,0)</f>
        <v>Trung tâm Camera</v>
      </c>
      <c r="X1209" s="365" t="str">
        <f>IF(W1209="Phòng Kinh doanh","Trung tâm Kinh doanh - TCT CNC",+VLOOKUP($B1209,[2]Time_S4!$B:$G,5,0))</f>
        <v>Khối 3 - TCT CNC</v>
      </c>
      <c r="Z1209" s="366"/>
    </row>
    <row r="1210" spans="1:26" hidden="1">
      <c r="A1210" s="367">
        <f>SUBTOTAL(3,$B$15:B1210)</f>
        <v>2</v>
      </c>
      <c r="B1210" s="394" t="s">
        <v>2686</v>
      </c>
      <c r="C1210" s="314" t="s">
        <v>1532</v>
      </c>
      <c r="D1210" s="314" t="s">
        <v>407</v>
      </c>
      <c r="E1210" s="314">
        <v>21</v>
      </c>
      <c r="F1210" s="314">
        <v>21</v>
      </c>
      <c r="G1210" s="314">
        <v>18372180</v>
      </c>
      <c r="H1210" s="359">
        <f t="shared" si="37"/>
        <v>17502444</v>
      </c>
      <c r="K1210" s="362"/>
      <c r="M1210" s="361">
        <v>662656</v>
      </c>
      <c r="N1210" s="361">
        <v>1449560</v>
      </c>
      <c r="O1210" s="361">
        <v>124248</v>
      </c>
      <c r="P1210" s="361">
        <v>248496</v>
      </c>
      <c r="Q1210" s="361">
        <v>82832</v>
      </c>
      <c r="R1210" s="361">
        <v>82832</v>
      </c>
      <c r="S1210" s="361">
        <v>165664</v>
      </c>
      <c r="T1210" s="390">
        <v>930000</v>
      </c>
      <c r="U1210" s="364">
        <f t="shared" si="38"/>
        <v>21248732</v>
      </c>
      <c r="W1210" s="365" t="str">
        <f>+VLOOKUP($B1210,[2]Time_S4!$B:$G,6,0)</f>
        <v>Trung tâm Khí cụ bay</v>
      </c>
      <c r="X1210" s="365" t="str">
        <f>IF(W1210="Phòng Kinh doanh","Trung tâm Kinh doanh - TCT CNC",+VLOOKUP($B1210,[2]Time_S4!$B:$G,5,0))</f>
        <v>Khối 1 - TCT CNC</v>
      </c>
      <c r="Z1210" s="366"/>
    </row>
    <row r="1211" spans="1:26" hidden="1">
      <c r="A1211" s="367">
        <f>SUBTOTAL(3,$B$15:B1211)</f>
        <v>2</v>
      </c>
      <c r="B1211" s="394" t="s">
        <v>2687</v>
      </c>
      <c r="C1211" s="314" t="s">
        <v>2688</v>
      </c>
      <c r="D1211" s="314" t="s">
        <v>410</v>
      </c>
      <c r="E1211" s="314">
        <v>21</v>
      </c>
      <c r="F1211" s="314">
        <v>21</v>
      </c>
      <c r="G1211" s="314">
        <v>25873100</v>
      </c>
      <c r="H1211" s="359">
        <f t="shared" si="37"/>
        <v>24749900</v>
      </c>
      <c r="K1211" s="362"/>
      <c r="M1211" s="361">
        <v>1123200</v>
      </c>
      <c r="N1211" s="361">
        <v>2457000</v>
      </c>
      <c r="O1211" s="361">
        <v>0</v>
      </c>
      <c r="P1211" s="361">
        <v>0</v>
      </c>
      <c r="Q1211" s="361">
        <v>0</v>
      </c>
      <c r="R1211" s="361">
        <v>0</v>
      </c>
      <c r="S1211" s="361">
        <v>280800</v>
      </c>
      <c r="T1211" s="390">
        <v>1030000</v>
      </c>
      <c r="U1211" s="364">
        <f t="shared" si="38"/>
        <v>29640900</v>
      </c>
      <c r="W1211" s="365" t="str">
        <f>+VLOOKUP($B1211,[2]Time_S4!$B:$G,6,0)</f>
        <v>Trung tâm Quang điện tử</v>
      </c>
      <c r="X1211" s="365" t="str">
        <f>IF(W1211="Phòng Kinh doanh","Trung tâm Kinh doanh - TCT CNC",+VLOOKUP($B1211,[2]Time_S4!$B:$G,5,0))</f>
        <v>Khối 1 - TCT CNC</v>
      </c>
      <c r="Z1211" s="366"/>
    </row>
    <row r="1212" spans="1:26" hidden="1">
      <c r="A1212" s="367">
        <f>SUBTOTAL(3,$B$15:B1212)</f>
        <v>2</v>
      </c>
      <c r="B1212" s="394" t="s">
        <v>2689</v>
      </c>
      <c r="C1212" s="314" t="s">
        <v>2690</v>
      </c>
      <c r="D1212" s="314" t="s">
        <v>407</v>
      </c>
      <c r="E1212" s="314">
        <v>21</v>
      </c>
      <c r="F1212" s="314">
        <v>21</v>
      </c>
      <c r="G1212" s="314">
        <v>34692400</v>
      </c>
      <c r="H1212" s="359">
        <f t="shared" si="37"/>
        <v>33567472</v>
      </c>
      <c r="K1212" s="362"/>
      <c r="M1212" s="361">
        <v>857088</v>
      </c>
      <c r="N1212" s="361">
        <v>1874880</v>
      </c>
      <c r="O1212" s="361">
        <v>160704</v>
      </c>
      <c r="P1212" s="361">
        <v>321408</v>
      </c>
      <c r="Q1212" s="361">
        <v>107136</v>
      </c>
      <c r="R1212" s="361">
        <v>107136</v>
      </c>
      <c r="S1212" s="361">
        <v>214272</v>
      </c>
      <c r="T1212" s="390">
        <v>1030000</v>
      </c>
      <c r="U1212" s="364">
        <f t="shared" si="38"/>
        <v>38240096</v>
      </c>
      <c r="W1212" s="365" t="str">
        <f>+VLOOKUP($B1212,[2]Time_S4!$B:$G,6,0)</f>
        <v>Phòng Phát triển thị trường Quốc tế</v>
      </c>
      <c r="X1212" s="365" t="str">
        <f>IF(W1212="Phòng Kinh doanh","Trung tâm Kinh doanh - TCT CNC",+VLOOKUP($B1212,[2]Time_S4!$B:$G,5,0))</f>
        <v>Trung tâm Kinh doanh - TCT CNC</v>
      </c>
      <c r="Z1212" s="366"/>
    </row>
    <row r="1213" spans="1:26" hidden="1">
      <c r="A1213" s="367">
        <f>SUBTOTAL(3,$B$15:B1213)</f>
        <v>2</v>
      </c>
      <c r="B1213" s="394" t="s">
        <v>2691</v>
      </c>
      <c r="C1213" s="314" t="s">
        <v>2692</v>
      </c>
      <c r="D1213" s="314" t="s">
        <v>407</v>
      </c>
      <c r="E1213" s="314">
        <v>21</v>
      </c>
      <c r="F1213" s="314">
        <v>21</v>
      </c>
      <c r="G1213" s="314">
        <v>17433060</v>
      </c>
      <c r="H1213" s="359">
        <f t="shared" si="37"/>
        <v>16563324</v>
      </c>
      <c r="K1213" s="362"/>
      <c r="M1213" s="361">
        <v>662656</v>
      </c>
      <c r="N1213" s="361">
        <v>1449560</v>
      </c>
      <c r="O1213" s="361">
        <v>124248</v>
      </c>
      <c r="P1213" s="361">
        <v>248496</v>
      </c>
      <c r="Q1213" s="361">
        <v>82832</v>
      </c>
      <c r="R1213" s="361">
        <v>82832</v>
      </c>
      <c r="S1213" s="361">
        <v>165664</v>
      </c>
      <c r="T1213" s="390">
        <v>930000</v>
      </c>
      <c r="U1213" s="364">
        <f t="shared" si="38"/>
        <v>20309612</v>
      </c>
      <c r="W1213" s="365" t="str">
        <f>+VLOOKUP($B1213,[2]Time_S4!$B:$G,6,0)</f>
        <v>Trung tâm Quang điện tử</v>
      </c>
      <c r="X1213" s="365" t="str">
        <f>IF(W1213="Phòng Kinh doanh","Trung tâm Kinh doanh - TCT CNC",+VLOOKUP($B1213,[2]Time_S4!$B:$G,5,0))</f>
        <v>Khối 1 - TCT CNC</v>
      </c>
      <c r="Z1213" s="366"/>
    </row>
    <row r="1214" spans="1:26" hidden="1">
      <c r="A1214" s="367">
        <f>SUBTOTAL(3,$B$15:B1214)</f>
        <v>2</v>
      </c>
      <c r="B1214" s="394" t="s">
        <v>2693</v>
      </c>
      <c r="C1214" s="314" t="s">
        <v>2694</v>
      </c>
      <c r="D1214" s="314" t="s">
        <v>407</v>
      </c>
      <c r="E1214" s="314">
        <v>21</v>
      </c>
      <c r="F1214" s="314">
        <v>21</v>
      </c>
      <c r="G1214" s="314">
        <v>11969480</v>
      </c>
      <c r="H1214" s="359">
        <f t="shared" si="37"/>
        <v>11224736</v>
      </c>
      <c r="K1214" s="362"/>
      <c r="M1214" s="361">
        <v>567424</v>
      </c>
      <c r="N1214" s="361">
        <v>1241240</v>
      </c>
      <c r="O1214" s="361">
        <v>106392</v>
      </c>
      <c r="P1214" s="361">
        <v>212784</v>
      </c>
      <c r="Q1214" s="361">
        <v>70928</v>
      </c>
      <c r="R1214" s="361">
        <v>70928</v>
      </c>
      <c r="S1214" s="361">
        <v>141856</v>
      </c>
      <c r="T1214" s="390">
        <v>930000</v>
      </c>
      <c r="U1214" s="364">
        <f t="shared" si="38"/>
        <v>14566288</v>
      </c>
      <c r="W1214" s="365" t="str">
        <f>+VLOOKUP($B1214,[2]Time_S4!$B:$G,6,0)</f>
        <v>Trung tâm Rada</v>
      </c>
      <c r="X1214" s="365" t="str">
        <f>IF(W1214="Phòng Kinh doanh","Trung tâm Kinh doanh - TCT CNC",+VLOOKUP($B1214,[2]Time_S4!$B:$G,5,0))</f>
        <v>Khối 1 - TCT CNC</v>
      </c>
      <c r="Z1214" s="366"/>
    </row>
    <row r="1215" spans="1:26" hidden="1">
      <c r="A1215" s="367">
        <f>SUBTOTAL(3,$B$15:B1215)</f>
        <v>2</v>
      </c>
      <c r="B1215" s="394" t="s">
        <v>2695</v>
      </c>
      <c r="C1215" s="314" t="s">
        <v>2696</v>
      </c>
      <c r="D1215" s="314" t="s">
        <v>407</v>
      </c>
      <c r="E1215" s="314">
        <v>21</v>
      </c>
      <c r="F1215" s="314">
        <v>21</v>
      </c>
      <c r="G1215" s="314">
        <v>11500000</v>
      </c>
      <c r="H1215" s="359">
        <f t="shared" si="37"/>
        <v>10791712</v>
      </c>
      <c r="K1215" s="362"/>
      <c r="M1215" s="361">
        <v>539648</v>
      </c>
      <c r="N1215" s="361">
        <v>1180480</v>
      </c>
      <c r="O1215" s="361">
        <v>101184</v>
      </c>
      <c r="P1215" s="361">
        <v>202368</v>
      </c>
      <c r="Q1215" s="361">
        <v>67456</v>
      </c>
      <c r="R1215" s="361">
        <v>67456</v>
      </c>
      <c r="S1215" s="361">
        <v>134912</v>
      </c>
      <c r="T1215" s="390">
        <v>930000</v>
      </c>
      <c r="U1215" s="364">
        <f t="shared" si="38"/>
        <v>14015216</v>
      </c>
      <c r="W1215" s="365" t="str">
        <f>+VLOOKUP($B1215,[2]Time_S4!$B:$G,6,0)</f>
        <v>Trung tâm Nghiên cứu Công nghệ chuyển mạch</v>
      </c>
      <c r="X1215" s="365" t="str">
        <f>IF(W1215="Phòng Kinh doanh","Trung tâm Kinh doanh - TCT CNC",+VLOOKUP($B1215,[2]Time_S4!$B:$G,5,0))</f>
        <v>Khối 2 - TCT CNC</v>
      </c>
      <c r="Z1215" s="366"/>
    </row>
    <row r="1216" spans="1:26" hidden="1">
      <c r="A1216" s="367">
        <f>SUBTOTAL(3,$B$15:B1216)</f>
        <v>2</v>
      </c>
      <c r="B1216" s="394" t="s">
        <v>2697</v>
      </c>
      <c r="C1216" s="314" t="s">
        <v>2698</v>
      </c>
      <c r="D1216" s="314" t="s">
        <v>407</v>
      </c>
      <c r="E1216" s="314">
        <v>21</v>
      </c>
      <c r="F1216" s="314">
        <v>21</v>
      </c>
      <c r="G1216" s="314">
        <v>10000000</v>
      </c>
      <c r="H1216" s="359">
        <f t="shared" si="37"/>
        <v>9291712</v>
      </c>
      <c r="K1216" s="362"/>
      <c r="M1216" s="361">
        <v>539648</v>
      </c>
      <c r="N1216" s="361">
        <v>1180480</v>
      </c>
      <c r="O1216" s="361">
        <v>101184</v>
      </c>
      <c r="P1216" s="361">
        <v>202368</v>
      </c>
      <c r="Q1216" s="361">
        <v>67456</v>
      </c>
      <c r="R1216" s="361">
        <v>67456</v>
      </c>
      <c r="S1216" s="361">
        <v>134912</v>
      </c>
      <c r="T1216" s="390">
        <v>930000</v>
      </c>
      <c r="U1216" s="364">
        <f t="shared" si="38"/>
        <v>12515216</v>
      </c>
      <c r="W1216" s="365" t="str">
        <f>+VLOOKUP($B1216,[2]Time_S4!$B:$G,6,0)</f>
        <v>Phòng Phát triển thị trường trong nước</v>
      </c>
      <c r="X1216" s="365" t="str">
        <f>IF(W1216="Phòng Kinh doanh","Trung tâm Kinh doanh - TCT CNC",+VLOOKUP($B1216,[2]Time_S4!$B:$G,5,0))</f>
        <v>Trung tâm Kinh doanh - TCT CNC</v>
      </c>
      <c r="Z1216" s="366"/>
    </row>
    <row r="1217" spans="1:26" hidden="1">
      <c r="A1217" s="367">
        <f>SUBTOTAL(3,$B$15:B1217)</f>
        <v>2</v>
      </c>
      <c r="B1217" s="394" t="s">
        <v>2699</v>
      </c>
      <c r="C1217" s="314" t="s">
        <v>2700</v>
      </c>
      <c r="D1217" s="314" t="s">
        <v>407</v>
      </c>
      <c r="E1217" s="314">
        <v>21</v>
      </c>
      <c r="F1217" s="314">
        <v>21</v>
      </c>
      <c r="G1217" s="314">
        <v>12223180</v>
      </c>
      <c r="H1217" s="359">
        <f t="shared" si="37"/>
        <v>11478436</v>
      </c>
      <c r="K1217" s="362"/>
      <c r="M1217" s="361">
        <v>567424</v>
      </c>
      <c r="N1217" s="361">
        <v>1241240</v>
      </c>
      <c r="O1217" s="361">
        <v>106392</v>
      </c>
      <c r="P1217" s="361">
        <v>212784</v>
      </c>
      <c r="Q1217" s="361">
        <v>70928</v>
      </c>
      <c r="R1217" s="361">
        <v>70928</v>
      </c>
      <c r="S1217" s="361">
        <v>141856</v>
      </c>
      <c r="T1217" s="390">
        <v>930000</v>
      </c>
      <c r="U1217" s="364">
        <f t="shared" si="38"/>
        <v>14819988</v>
      </c>
      <c r="W1217" s="365" t="str">
        <f>+VLOOKUP($B1217,[2]Time_S4!$B:$G,6,0)</f>
        <v>Trung tâm Nghiên cứu công nghệ Đa phương tiện</v>
      </c>
      <c r="X1217" s="365" t="str">
        <f>IF(W1217="Phòng Kinh doanh","Trung tâm Kinh doanh - TCT CNC",+VLOOKUP($B1217,[2]Time_S4!$B:$G,5,0))</f>
        <v>Khối 2 - TCT CNC</v>
      </c>
      <c r="Z1217" s="366"/>
    </row>
    <row r="1218" spans="1:26" hidden="1">
      <c r="A1218" s="367">
        <f>SUBTOTAL(3,$B$15:B1218)</f>
        <v>2</v>
      </c>
      <c r="B1218" s="394" t="s">
        <v>2701</v>
      </c>
      <c r="C1218" s="314" t="s">
        <v>2702</v>
      </c>
      <c r="D1218" s="314" t="s">
        <v>407</v>
      </c>
      <c r="E1218" s="314">
        <v>21</v>
      </c>
      <c r="F1218" s="314">
        <v>21</v>
      </c>
      <c r="G1218" s="314">
        <v>16716680</v>
      </c>
      <c r="H1218" s="359">
        <f t="shared" si="37"/>
        <v>15888608</v>
      </c>
      <c r="K1218" s="362"/>
      <c r="M1218" s="361">
        <v>630912</v>
      </c>
      <c r="N1218" s="361">
        <v>1380120</v>
      </c>
      <c r="O1218" s="361">
        <v>118296</v>
      </c>
      <c r="P1218" s="361">
        <v>236592</v>
      </c>
      <c r="Q1218" s="361">
        <v>78864</v>
      </c>
      <c r="R1218" s="361">
        <v>78864</v>
      </c>
      <c r="S1218" s="361">
        <v>157728</v>
      </c>
      <c r="T1218" s="390">
        <v>930000</v>
      </c>
      <c r="U1218" s="364">
        <f t="shared" si="38"/>
        <v>19499984</v>
      </c>
      <c r="W1218" s="365" t="str">
        <f>+VLOOKUP($B1218,[2]Time_S4!$B:$G,6,0)</f>
        <v>Trung tâm Quang điện tử</v>
      </c>
      <c r="X1218" s="365" t="str">
        <f>IF(W1218="Phòng Kinh doanh","Trung tâm Kinh doanh - TCT CNC",+VLOOKUP($B1218,[2]Time_S4!$B:$G,5,0))</f>
        <v>Khối 1 - TCT CNC</v>
      </c>
      <c r="Z1218" s="366"/>
    </row>
    <row r="1219" spans="1:26" hidden="1">
      <c r="A1219" s="367">
        <f>SUBTOTAL(3,$B$15:B1219)</f>
        <v>2</v>
      </c>
      <c r="B1219" s="394" t="s">
        <v>2703</v>
      </c>
      <c r="C1219" s="314" t="s">
        <v>2704</v>
      </c>
      <c r="D1219" s="314" t="s">
        <v>407</v>
      </c>
      <c r="E1219" s="314">
        <v>21</v>
      </c>
      <c r="F1219" s="314">
        <v>21</v>
      </c>
      <c r="G1219" s="314">
        <v>12650000</v>
      </c>
      <c r="H1219" s="359">
        <f t="shared" si="37"/>
        <v>11905256</v>
      </c>
      <c r="K1219" s="362"/>
      <c r="M1219" s="361">
        <v>567424</v>
      </c>
      <c r="N1219" s="361">
        <v>1241240</v>
      </c>
      <c r="O1219" s="361">
        <v>106392</v>
      </c>
      <c r="P1219" s="361">
        <v>212784</v>
      </c>
      <c r="Q1219" s="361">
        <v>70928</v>
      </c>
      <c r="R1219" s="361">
        <v>70928</v>
      </c>
      <c r="S1219" s="361">
        <v>141856</v>
      </c>
      <c r="T1219" s="390">
        <v>930000</v>
      </c>
      <c r="U1219" s="364">
        <f t="shared" si="38"/>
        <v>15246808</v>
      </c>
      <c r="W1219" s="365" t="str">
        <f>+VLOOKUP($B1219,[2]Time_S4!$B:$G,6,0)</f>
        <v>Trung tâm Nghiên cứu Công nghệ truyền dẫn</v>
      </c>
      <c r="X1219" s="365" t="str">
        <f>IF(W1219="Phòng Kinh doanh","Trung tâm Kinh doanh - TCT CNC",+VLOOKUP($B1219,[2]Time_S4!$B:$G,5,0))</f>
        <v>Khối 2 - TCT CNC</v>
      </c>
      <c r="Z1219" s="366"/>
    </row>
    <row r="1220" spans="1:26" hidden="1">
      <c r="A1220" s="367">
        <f>SUBTOTAL(3,$B$15:B1220)</f>
        <v>2</v>
      </c>
      <c r="B1220" s="394" t="s">
        <v>2705</v>
      </c>
      <c r="C1220" s="314" t="s">
        <v>2706</v>
      </c>
      <c r="D1220" s="314" t="s">
        <v>407</v>
      </c>
      <c r="E1220" s="314">
        <v>21</v>
      </c>
      <c r="F1220" s="314">
        <v>21</v>
      </c>
      <c r="G1220" s="314">
        <v>13200000</v>
      </c>
      <c r="H1220" s="359">
        <f t="shared" si="37"/>
        <v>12455256</v>
      </c>
      <c r="K1220" s="362"/>
      <c r="M1220" s="361">
        <v>567424</v>
      </c>
      <c r="N1220" s="361">
        <v>1241240</v>
      </c>
      <c r="O1220" s="361">
        <v>106392</v>
      </c>
      <c r="P1220" s="361">
        <v>212784</v>
      </c>
      <c r="Q1220" s="361">
        <v>70928</v>
      </c>
      <c r="R1220" s="361">
        <v>70928</v>
      </c>
      <c r="S1220" s="361">
        <v>141856</v>
      </c>
      <c r="T1220" s="390">
        <v>930000</v>
      </c>
      <c r="U1220" s="364">
        <f t="shared" si="38"/>
        <v>15796808</v>
      </c>
      <c r="W1220" s="365" t="str">
        <f>+VLOOKUP($B1220,[2]Time_S4!$B:$G,6,0)</f>
        <v>Trung tâm Mô hình mô phỏng</v>
      </c>
      <c r="X1220" s="365" t="str">
        <f>IF(W1220="Phòng Kinh doanh","Trung tâm Kinh doanh - TCT CNC",+VLOOKUP($B1220,[2]Time_S4!$B:$G,5,0))</f>
        <v>Khối 1 - TCT CNC</v>
      </c>
      <c r="Z1220" s="366"/>
    </row>
    <row r="1221" spans="1:26" hidden="1">
      <c r="A1221" s="367">
        <f>SUBTOTAL(3,$B$15:B1221)</f>
        <v>2</v>
      </c>
      <c r="B1221" s="394" t="s">
        <v>2707</v>
      </c>
      <c r="C1221" s="314" t="s">
        <v>2708</v>
      </c>
      <c r="D1221" s="314" t="s">
        <v>407</v>
      </c>
      <c r="E1221" s="314">
        <v>21</v>
      </c>
      <c r="F1221" s="314">
        <v>21</v>
      </c>
      <c r="G1221" s="314">
        <v>17433060</v>
      </c>
      <c r="H1221" s="359">
        <f t="shared" si="37"/>
        <v>16563324</v>
      </c>
      <c r="K1221" s="362"/>
      <c r="M1221" s="361">
        <v>662656</v>
      </c>
      <c r="N1221" s="361">
        <v>1449560</v>
      </c>
      <c r="O1221" s="361">
        <v>124248</v>
      </c>
      <c r="P1221" s="361">
        <v>248496</v>
      </c>
      <c r="Q1221" s="361">
        <v>82832</v>
      </c>
      <c r="R1221" s="361">
        <v>82832</v>
      </c>
      <c r="S1221" s="361">
        <v>165664</v>
      </c>
      <c r="T1221" s="390">
        <v>930000</v>
      </c>
      <c r="U1221" s="364">
        <f t="shared" si="38"/>
        <v>20309612</v>
      </c>
      <c r="W1221" s="365" t="str">
        <f>+VLOOKUP($B1221,[2]Time_S4!$B:$G,6,0)</f>
        <v>Trung tâm Nền tảng IOT</v>
      </c>
      <c r="X1221" s="365" t="str">
        <f>IF(W1221="Phòng Kinh doanh","Trung tâm Kinh doanh - TCT CNC",+VLOOKUP($B1221,[2]Time_S4!$B:$G,5,0))</f>
        <v>Khối 3 - TCT CNC</v>
      </c>
      <c r="Z1221" s="366"/>
    </row>
    <row r="1222" spans="1:26" hidden="1">
      <c r="A1222" s="367">
        <f>SUBTOTAL(3,$B$15:B1222)</f>
        <v>2</v>
      </c>
      <c r="B1222" s="394" t="s">
        <v>2709</v>
      </c>
      <c r="C1222" s="314" t="s">
        <v>2710</v>
      </c>
      <c r="D1222" s="314" t="s">
        <v>407</v>
      </c>
      <c r="E1222" s="314">
        <v>21</v>
      </c>
      <c r="F1222" s="314">
        <v>21</v>
      </c>
      <c r="G1222" s="314">
        <v>17251600</v>
      </c>
      <c r="H1222" s="359">
        <f t="shared" si="37"/>
        <v>16381864</v>
      </c>
      <c r="K1222" s="362"/>
      <c r="M1222" s="361">
        <v>662656</v>
      </c>
      <c r="N1222" s="361">
        <v>1449560</v>
      </c>
      <c r="O1222" s="361">
        <v>124248</v>
      </c>
      <c r="P1222" s="361">
        <v>248496</v>
      </c>
      <c r="Q1222" s="361">
        <v>82832</v>
      </c>
      <c r="R1222" s="361">
        <v>82832</v>
      </c>
      <c r="S1222" s="361">
        <v>165664</v>
      </c>
      <c r="T1222" s="390">
        <v>930000</v>
      </c>
      <c r="U1222" s="364">
        <f t="shared" si="38"/>
        <v>20128152</v>
      </c>
      <c r="W1222" s="365" t="str">
        <f>+VLOOKUP($B1222,[2]Time_S4!$B:$G,6,0)</f>
        <v>Văn phòng</v>
      </c>
      <c r="X1222" s="365" t="str">
        <f>IF(W1222="Phòng Kinh doanh","Trung tâm Kinh doanh - TCT CNC",+VLOOKUP($B1222,[2]Time_S4!$B:$G,5,0))</f>
        <v>Khối cơ quan - TCT CNC</v>
      </c>
      <c r="Z1222" s="366"/>
    </row>
    <row r="1223" spans="1:26" hidden="1">
      <c r="A1223" s="367">
        <f>SUBTOTAL(3,$B$15:B1223)</f>
        <v>2</v>
      </c>
      <c r="B1223" s="394" t="s">
        <v>2711</v>
      </c>
      <c r="C1223" s="314" t="s">
        <v>2712</v>
      </c>
      <c r="D1223" s="314" t="s">
        <v>407</v>
      </c>
      <c r="E1223" s="314">
        <v>21</v>
      </c>
      <c r="F1223" s="314">
        <v>21</v>
      </c>
      <c r="G1223" s="314">
        <v>12311162</v>
      </c>
      <c r="H1223" s="359">
        <f t="shared" si="37"/>
        <v>11566418</v>
      </c>
      <c r="K1223" s="362"/>
      <c r="M1223" s="361">
        <v>567424</v>
      </c>
      <c r="N1223" s="361">
        <v>1241240</v>
      </c>
      <c r="O1223" s="361">
        <v>106392</v>
      </c>
      <c r="P1223" s="361">
        <v>212784</v>
      </c>
      <c r="Q1223" s="361">
        <v>70928</v>
      </c>
      <c r="R1223" s="361">
        <v>70928</v>
      </c>
      <c r="S1223" s="361">
        <v>141856</v>
      </c>
      <c r="T1223" s="390">
        <v>930000</v>
      </c>
      <c r="U1223" s="364">
        <f t="shared" si="38"/>
        <v>14907970</v>
      </c>
      <c r="W1223" s="365" t="str">
        <f>+VLOOKUP($B1223,[2]Time_S4!$B:$G,6,0)</f>
        <v>Trung tâm Chỉ huy điều khiển</v>
      </c>
      <c r="X1223" s="365" t="str">
        <f>IF(W1223="Phòng Kinh doanh","Trung tâm Kinh doanh - TCT CNC",+VLOOKUP($B1223,[2]Time_S4!$B:$G,5,0))</f>
        <v>Khối 1 - TCT CNC</v>
      </c>
      <c r="Z1223" s="366"/>
    </row>
    <row r="1224" spans="1:26" hidden="1">
      <c r="A1224" s="367">
        <f>SUBTOTAL(3,$B$15:B1224)</f>
        <v>2</v>
      </c>
      <c r="B1224" s="394" t="s">
        <v>2713</v>
      </c>
      <c r="C1224" s="314" t="s">
        <v>2714</v>
      </c>
      <c r="D1224" s="314" t="s">
        <v>407</v>
      </c>
      <c r="E1224" s="314">
        <v>21</v>
      </c>
      <c r="F1224" s="314">
        <v>21</v>
      </c>
      <c r="G1224" s="314">
        <v>10949539</v>
      </c>
      <c r="H1224" s="359">
        <f t="shared" si="37"/>
        <v>10241251</v>
      </c>
      <c r="K1224" s="362"/>
      <c r="M1224" s="361">
        <v>539648</v>
      </c>
      <c r="N1224" s="361">
        <v>1180480</v>
      </c>
      <c r="O1224" s="361">
        <v>101184</v>
      </c>
      <c r="P1224" s="361">
        <v>202368</v>
      </c>
      <c r="Q1224" s="361">
        <v>67456</v>
      </c>
      <c r="R1224" s="361">
        <v>67456</v>
      </c>
      <c r="S1224" s="361">
        <v>134912</v>
      </c>
      <c r="T1224" s="390">
        <v>1047000</v>
      </c>
      <c r="U1224" s="364">
        <f t="shared" si="38"/>
        <v>13581755</v>
      </c>
      <c r="W1224" s="365" t="str">
        <f>+VLOOKUP($B1224,[2]Time_S4!$B:$G,6,0)</f>
        <v>Phòng Marketing</v>
      </c>
      <c r="X1224" s="365" t="str">
        <f>IF(W1224="Phòng Kinh doanh","Trung tâm Kinh doanh - TCT CNC",+VLOOKUP($B1224,[2]Time_S4!$B:$G,5,0))</f>
        <v>Trung tâm Kinh doanh - TCT CNC</v>
      </c>
      <c r="Z1224" s="366"/>
    </row>
    <row r="1225" spans="1:26" hidden="1">
      <c r="A1225" s="367">
        <f>SUBTOTAL(3,$B$15:B1225)</f>
        <v>2</v>
      </c>
      <c r="B1225" s="394" t="s">
        <v>2715</v>
      </c>
      <c r="C1225" s="314" t="s">
        <v>2716</v>
      </c>
      <c r="D1225" s="314" t="s">
        <v>407</v>
      </c>
      <c r="E1225" s="314">
        <v>21</v>
      </c>
      <c r="F1225" s="314">
        <v>21</v>
      </c>
      <c r="G1225" s="314">
        <v>14282880</v>
      </c>
      <c r="H1225" s="359">
        <f t="shared" si="37"/>
        <v>13496472</v>
      </c>
      <c r="K1225" s="362"/>
      <c r="M1225" s="361">
        <v>599168</v>
      </c>
      <c r="N1225" s="361">
        <v>1310680</v>
      </c>
      <c r="O1225" s="361">
        <v>112344</v>
      </c>
      <c r="P1225" s="361">
        <v>224688</v>
      </c>
      <c r="Q1225" s="361">
        <v>74896</v>
      </c>
      <c r="R1225" s="361">
        <v>74896</v>
      </c>
      <c r="S1225" s="361">
        <v>149792</v>
      </c>
      <c r="T1225" s="390">
        <v>930000</v>
      </c>
      <c r="U1225" s="364">
        <f t="shared" si="38"/>
        <v>16972936</v>
      </c>
      <c r="W1225" s="365" t="str">
        <f>+VLOOKUP($B1225,[2]Time_S4!$B:$G,6,0)</f>
        <v>Trung tâm Công nghệ Cơ khí - Tự động hóa</v>
      </c>
      <c r="X1225" s="365" t="str">
        <f>IF(W1225="Phòng Kinh doanh","Trung tâm Kinh doanh - TCT CNC",+VLOOKUP($B1225,[2]Time_S4!$B:$G,5,0))</f>
        <v>Khối 1 - TCT CNC</v>
      </c>
      <c r="Z1225" s="366"/>
    </row>
    <row r="1226" spans="1:26" hidden="1">
      <c r="A1226" s="367">
        <f>SUBTOTAL(3,$B$15:B1226)</f>
        <v>2</v>
      </c>
      <c r="B1226" s="394" t="s">
        <v>2717</v>
      </c>
      <c r="C1226" s="314" t="s">
        <v>2718</v>
      </c>
      <c r="D1226" s="314" t="s">
        <v>407</v>
      </c>
      <c r="E1226" s="314">
        <v>21</v>
      </c>
      <c r="F1226" s="314">
        <v>21</v>
      </c>
      <c r="G1226" s="314">
        <v>13800000</v>
      </c>
      <c r="H1226" s="359">
        <f t="shared" si="37"/>
        <v>13013592</v>
      </c>
      <c r="K1226" s="362"/>
      <c r="M1226" s="361">
        <v>599168</v>
      </c>
      <c r="N1226" s="361">
        <v>1310680</v>
      </c>
      <c r="O1226" s="361">
        <v>112344</v>
      </c>
      <c r="P1226" s="361">
        <v>224688</v>
      </c>
      <c r="Q1226" s="361">
        <v>74896</v>
      </c>
      <c r="R1226" s="361">
        <v>74896</v>
      </c>
      <c r="S1226" s="361">
        <v>149792</v>
      </c>
      <c r="T1226" s="390">
        <v>930000</v>
      </c>
      <c r="U1226" s="364">
        <f t="shared" si="38"/>
        <v>16490056</v>
      </c>
      <c r="W1226" s="365" t="str">
        <f>+VLOOKUP($B1226,[2]Time_S4!$B:$G,6,0)</f>
        <v>Trung tâm Nghiên cứu Công nghệ chuyển mạch</v>
      </c>
      <c r="X1226" s="365" t="str">
        <f>IF(W1226="Phòng Kinh doanh","Trung tâm Kinh doanh - TCT CNC",+VLOOKUP($B1226,[2]Time_S4!$B:$G,5,0))</f>
        <v>Khối 2 - TCT CNC</v>
      </c>
      <c r="Z1226" s="366"/>
    </row>
    <row r="1227" spans="1:26" hidden="1">
      <c r="A1227" s="367">
        <f>SUBTOTAL(3,$B$15:B1227)</f>
        <v>2</v>
      </c>
      <c r="B1227" s="394" t="s">
        <v>2719</v>
      </c>
      <c r="C1227" s="314" t="s">
        <v>2720</v>
      </c>
      <c r="D1227" s="314" t="s">
        <v>410</v>
      </c>
      <c r="E1227" s="314">
        <v>21</v>
      </c>
      <c r="F1227" s="314">
        <v>21</v>
      </c>
      <c r="G1227" s="314">
        <v>28735180</v>
      </c>
      <c r="H1227" s="359">
        <f t="shared" si="37"/>
        <v>27054311</v>
      </c>
      <c r="K1227" s="362"/>
      <c r="M1227" s="361">
        <v>1680869</v>
      </c>
      <c r="N1227" s="361">
        <v>3676901</v>
      </c>
      <c r="O1227" s="361">
        <v>0</v>
      </c>
      <c r="P1227" s="361">
        <v>0</v>
      </c>
      <c r="Q1227" s="361">
        <v>0</v>
      </c>
      <c r="R1227" s="361">
        <v>0</v>
      </c>
      <c r="S1227" s="361">
        <v>420217</v>
      </c>
      <c r="T1227" s="390">
        <v>1030000</v>
      </c>
      <c r="U1227" s="364">
        <f t="shared" si="38"/>
        <v>33862298</v>
      </c>
      <c r="W1227" s="365" t="str">
        <f>+VLOOKUP($B1227,[2]Time_S4!$B:$G,6,0)</f>
        <v>Trung tâm Khí cụ bay</v>
      </c>
      <c r="X1227" s="365" t="str">
        <f>IF(W1227="Phòng Kinh doanh","Trung tâm Kinh doanh - TCT CNC",+VLOOKUP($B1227,[2]Time_S4!$B:$G,5,0))</f>
        <v>Khối 1 - TCT CNC</v>
      </c>
      <c r="Z1227" s="366"/>
    </row>
    <row r="1228" spans="1:26" hidden="1">
      <c r="A1228" s="367">
        <f>SUBTOTAL(3,$B$15:B1228)</f>
        <v>2</v>
      </c>
      <c r="B1228" s="394" t="s">
        <v>2721</v>
      </c>
      <c r="C1228" s="314" t="s">
        <v>2722</v>
      </c>
      <c r="D1228" s="314" t="s">
        <v>407</v>
      </c>
      <c r="E1228" s="314">
        <v>21</v>
      </c>
      <c r="F1228" s="314">
        <v>21</v>
      </c>
      <c r="G1228" s="314">
        <v>14400000</v>
      </c>
      <c r="H1228" s="359">
        <f t="shared" si="37"/>
        <v>13613592</v>
      </c>
      <c r="K1228" s="362"/>
      <c r="M1228" s="361">
        <v>599168</v>
      </c>
      <c r="N1228" s="361">
        <v>1310680</v>
      </c>
      <c r="O1228" s="361">
        <v>112344</v>
      </c>
      <c r="P1228" s="361">
        <v>224688</v>
      </c>
      <c r="Q1228" s="361">
        <v>74896</v>
      </c>
      <c r="R1228" s="361">
        <v>74896</v>
      </c>
      <c r="S1228" s="361">
        <v>149792</v>
      </c>
      <c r="T1228" s="390">
        <v>930000</v>
      </c>
      <c r="U1228" s="364">
        <f t="shared" si="38"/>
        <v>17090056</v>
      </c>
      <c r="W1228" s="365" t="str">
        <f>+VLOOKUP($B1228,[2]Time_S4!$B:$G,6,0)</f>
        <v>Trung tâm Mô hình mô phỏng</v>
      </c>
      <c r="X1228" s="365" t="str">
        <f>IF(W1228="Phòng Kinh doanh","Trung tâm Kinh doanh - TCT CNC",+VLOOKUP($B1228,[2]Time_S4!$B:$G,5,0))</f>
        <v>Khối 1 - TCT CNC</v>
      </c>
      <c r="Z1228" s="366"/>
    </row>
    <row r="1229" spans="1:26" hidden="1">
      <c r="A1229" s="367">
        <f>SUBTOTAL(3,$B$15:B1229)</f>
        <v>2</v>
      </c>
      <c r="B1229" s="394" t="s">
        <v>2723</v>
      </c>
      <c r="C1229" s="314" t="s">
        <v>2553</v>
      </c>
      <c r="D1229" s="314" t="s">
        <v>407</v>
      </c>
      <c r="E1229" s="314">
        <v>21</v>
      </c>
      <c r="F1229" s="314">
        <v>21</v>
      </c>
      <c r="G1229" s="314">
        <v>12650000</v>
      </c>
      <c r="H1229" s="359">
        <f t="shared" si="37"/>
        <v>11905256</v>
      </c>
      <c r="K1229" s="362"/>
      <c r="M1229" s="361">
        <v>567424</v>
      </c>
      <c r="N1229" s="361">
        <v>1241240</v>
      </c>
      <c r="O1229" s="361">
        <v>106392</v>
      </c>
      <c r="P1229" s="361">
        <v>212784</v>
      </c>
      <c r="Q1229" s="361">
        <v>70928</v>
      </c>
      <c r="R1229" s="361">
        <v>70928</v>
      </c>
      <c r="S1229" s="361">
        <v>141856</v>
      </c>
      <c r="T1229" s="390">
        <v>930000</v>
      </c>
      <c r="U1229" s="364">
        <f t="shared" si="38"/>
        <v>15246808</v>
      </c>
      <c r="W1229" s="365" t="str">
        <f>+VLOOKUP($B1229,[2]Time_S4!$B:$G,6,0)</f>
        <v>Trung tâm Công nghệ Cơ khí - Tự động hóa</v>
      </c>
      <c r="X1229" s="365" t="str">
        <f>IF(W1229="Phòng Kinh doanh","Trung tâm Kinh doanh - TCT CNC",+VLOOKUP($B1229,[2]Time_S4!$B:$G,5,0))</f>
        <v>Khối 1 - TCT CNC</v>
      </c>
      <c r="Z1229" s="366"/>
    </row>
    <row r="1230" spans="1:26" hidden="1">
      <c r="A1230" s="367">
        <f>SUBTOTAL(3,$B$15:B1230)</f>
        <v>2</v>
      </c>
      <c r="B1230" s="394" t="s">
        <v>2724</v>
      </c>
      <c r="C1230" s="314" t="s">
        <v>2725</v>
      </c>
      <c r="D1230" s="314" t="s">
        <v>407</v>
      </c>
      <c r="E1230" s="314">
        <v>21</v>
      </c>
      <c r="F1230" s="314">
        <v>21</v>
      </c>
      <c r="G1230" s="314">
        <v>11358020</v>
      </c>
      <c r="H1230" s="359">
        <f t="shared" si="37"/>
        <v>10649732</v>
      </c>
      <c r="K1230" s="362"/>
      <c r="M1230" s="361">
        <v>539648</v>
      </c>
      <c r="N1230" s="361">
        <v>1180480</v>
      </c>
      <c r="O1230" s="361">
        <v>101184</v>
      </c>
      <c r="P1230" s="361">
        <v>202368</v>
      </c>
      <c r="Q1230" s="361">
        <v>67456</v>
      </c>
      <c r="R1230" s="361">
        <v>67456</v>
      </c>
      <c r="S1230" s="361">
        <v>134912</v>
      </c>
      <c r="T1230" s="390">
        <v>930000</v>
      </c>
      <c r="U1230" s="364">
        <f t="shared" si="38"/>
        <v>13873236</v>
      </c>
      <c r="W1230" s="365" t="str">
        <f>+VLOOKUP($B1230,[2]Time_S4!$B:$G,6,0)</f>
        <v>Trung tâm Tác chiến điện tử</v>
      </c>
      <c r="X1230" s="365" t="str">
        <f>IF(W1230="Phòng Kinh doanh","Trung tâm Kinh doanh - TCT CNC",+VLOOKUP($B1230,[2]Time_S4!$B:$G,5,0))</f>
        <v>Khối 1 - TCT CNC</v>
      </c>
      <c r="Z1230" s="366"/>
    </row>
    <row r="1231" spans="1:26" hidden="1">
      <c r="A1231" s="367">
        <f>SUBTOTAL(3,$B$15:B1231)</f>
        <v>2</v>
      </c>
      <c r="B1231" s="394" t="s">
        <v>2726</v>
      </c>
      <c r="C1231" s="314" t="s">
        <v>2727</v>
      </c>
      <c r="D1231" s="314" t="s">
        <v>407</v>
      </c>
      <c r="E1231" s="314">
        <v>21</v>
      </c>
      <c r="F1231" s="314">
        <v>21</v>
      </c>
      <c r="G1231" s="314">
        <v>13800000</v>
      </c>
      <c r="H1231" s="359">
        <f t="shared" si="37"/>
        <v>13013592</v>
      </c>
      <c r="K1231" s="362"/>
      <c r="M1231" s="361">
        <v>599168</v>
      </c>
      <c r="N1231" s="361">
        <v>1310680</v>
      </c>
      <c r="O1231" s="361">
        <v>112344</v>
      </c>
      <c r="P1231" s="361">
        <v>224688</v>
      </c>
      <c r="Q1231" s="361">
        <v>74896</v>
      </c>
      <c r="R1231" s="361">
        <v>74896</v>
      </c>
      <c r="S1231" s="361">
        <v>149792</v>
      </c>
      <c r="T1231" s="390">
        <v>930000</v>
      </c>
      <c r="U1231" s="364">
        <f t="shared" si="38"/>
        <v>16490056</v>
      </c>
      <c r="W1231" s="365" t="str">
        <f>+VLOOKUP($B1231,[2]Time_S4!$B:$G,6,0)</f>
        <v>Trung tâm Chỉ huy điều khiển</v>
      </c>
      <c r="X1231" s="365" t="str">
        <f>IF(W1231="Phòng Kinh doanh","Trung tâm Kinh doanh - TCT CNC",+VLOOKUP($B1231,[2]Time_S4!$B:$G,5,0))</f>
        <v>Khối 1 - TCT CNC</v>
      </c>
      <c r="Z1231" s="366"/>
    </row>
    <row r="1232" spans="1:26" hidden="1">
      <c r="A1232" s="367">
        <f>SUBTOTAL(3,$B$15:B1232)</f>
        <v>2</v>
      </c>
      <c r="B1232" s="394" t="s">
        <v>2728</v>
      </c>
      <c r="C1232" s="314" t="s">
        <v>2729</v>
      </c>
      <c r="D1232" s="314" t="s">
        <v>407</v>
      </c>
      <c r="E1232" s="314">
        <v>21</v>
      </c>
      <c r="F1232" s="314">
        <v>21</v>
      </c>
      <c r="G1232" s="314">
        <v>37954708</v>
      </c>
      <c r="H1232" s="359">
        <f t="shared" ref="H1232:H1295" si="39">+G1232-SUM(M1232,O1232,Q1232)</f>
        <v>36829780</v>
      </c>
      <c r="K1232" s="362"/>
      <c r="M1232" s="361">
        <v>857088</v>
      </c>
      <c r="N1232" s="361">
        <v>1874880</v>
      </c>
      <c r="O1232" s="361">
        <v>160704</v>
      </c>
      <c r="P1232" s="361">
        <v>321408</v>
      </c>
      <c r="Q1232" s="361">
        <v>107136</v>
      </c>
      <c r="R1232" s="361">
        <v>107136</v>
      </c>
      <c r="S1232" s="361">
        <v>214272</v>
      </c>
      <c r="T1232" s="390">
        <v>1147000</v>
      </c>
      <c r="U1232" s="364">
        <f t="shared" ref="U1232:U1295" si="40">+SUM(H1232:T1232)</f>
        <v>41619404</v>
      </c>
      <c r="W1232" s="365" t="str">
        <f>+VLOOKUP($B1232,[2]Time_S4!$B:$G,6,0)</f>
        <v>Trung tâm Khí cụ bay</v>
      </c>
      <c r="X1232" s="365" t="str">
        <f>IF(W1232="Phòng Kinh doanh","Trung tâm Kinh doanh - TCT CNC",+VLOOKUP($B1232,[2]Time_S4!$B:$G,5,0))</f>
        <v>Khối 1 - TCT CNC</v>
      </c>
      <c r="Z1232" s="366"/>
    </row>
    <row r="1233" spans="1:26" hidden="1">
      <c r="A1233" s="367">
        <f>SUBTOTAL(3,$B$15:B1233)</f>
        <v>2</v>
      </c>
      <c r="B1233" s="394" t="s">
        <v>2730</v>
      </c>
      <c r="C1233" s="314" t="s">
        <v>1227</v>
      </c>
      <c r="D1233" s="314" t="s">
        <v>407</v>
      </c>
      <c r="E1233" s="314">
        <v>21</v>
      </c>
      <c r="F1233" s="314">
        <v>21</v>
      </c>
      <c r="G1233" s="314">
        <v>14133240</v>
      </c>
      <c r="H1233" s="359">
        <f t="shared" si="39"/>
        <v>13346832</v>
      </c>
      <c r="K1233" s="362"/>
      <c r="M1233" s="361">
        <v>599168</v>
      </c>
      <c r="N1233" s="361">
        <v>1310680</v>
      </c>
      <c r="O1233" s="361">
        <v>112344</v>
      </c>
      <c r="P1233" s="361">
        <v>224688</v>
      </c>
      <c r="Q1233" s="361">
        <v>74896</v>
      </c>
      <c r="R1233" s="361">
        <v>74896</v>
      </c>
      <c r="S1233" s="361">
        <v>149792</v>
      </c>
      <c r="T1233" s="390">
        <v>930000</v>
      </c>
      <c r="U1233" s="364">
        <f t="shared" si="40"/>
        <v>16823296</v>
      </c>
      <c r="W1233" s="365" t="str">
        <f>+VLOOKUP($B1233,[2]Time_S4!$B:$G,6,0)</f>
        <v>Trung tâm Phát triển nền tảng thanh toán</v>
      </c>
      <c r="X1233" s="365" t="str">
        <f>IF(W1233="Phòng Kinh doanh","Trung tâm Kinh doanh - TCT CNC",+VLOOKUP($B1233,[2]Time_S4!$B:$G,5,0))</f>
        <v>Khối 2 - TCT CNC</v>
      </c>
      <c r="Z1233" s="366"/>
    </row>
    <row r="1234" spans="1:26" hidden="1">
      <c r="A1234" s="367">
        <f>SUBTOTAL(3,$B$15:B1234)</f>
        <v>2</v>
      </c>
      <c r="B1234" s="394" t="s">
        <v>2731</v>
      </c>
      <c r="C1234" s="314" t="s">
        <v>2732</v>
      </c>
      <c r="D1234" s="314" t="s">
        <v>407</v>
      </c>
      <c r="E1234" s="314">
        <v>21</v>
      </c>
      <c r="F1234" s="314">
        <v>21</v>
      </c>
      <c r="G1234" s="314">
        <v>14400000</v>
      </c>
      <c r="H1234" s="359">
        <f t="shared" si="39"/>
        <v>13613592</v>
      </c>
      <c r="K1234" s="362"/>
      <c r="M1234" s="361">
        <v>599168</v>
      </c>
      <c r="N1234" s="361">
        <v>1310680</v>
      </c>
      <c r="O1234" s="361">
        <v>112344</v>
      </c>
      <c r="P1234" s="361">
        <v>224688</v>
      </c>
      <c r="Q1234" s="361">
        <v>74896</v>
      </c>
      <c r="R1234" s="361">
        <v>74896</v>
      </c>
      <c r="S1234" s="361">
        <v>149792</v>
      </c>
      <c r="T1234" s="390">
        <v>1047000</v>
      </c>
      <c r="U1234" s="364">
        <f t="shared" si="40"/>
        <v>17207056</v>
      </c>
      <c r="W1234" s="365" t="str">
        <f>+VLOOKUP($B1234,[2]Time_S4!$B:$G,6,0)</f>
        <v>Trung tâm Quang điện tử</v>
      </c>
      <c r="X1234" s="365" t="str">
        <f>IF(W1234="Phòng Kinh doanh","Trung tâm Kinh doanh - TCT CNC",+VLOOKUP($B1234,[2]Time_S4!$B:$G,5,0))</f>
        <v>Khối 1 - TCT CNC</v>
      </c>
      <c r="Z1234" s="366"/>
    </row>
    <row r="1235" spans="1:26" hidden="1">
      <c r="A1235" s="367">
        <f>SUBTOTAL(3,$B$15:B1235)</f>
        <v>2</v>
      </c>
      <c r="B1235" s="394" t="s">
        <v>2733</v>
      </c>
      <c r="C1235" s="314" t="s">
        <v>2062</v>
      </c>
      <c r="D1235" s="314" t="s">
        <v>407</v>
      </c>
      <c r="E1235" s="314">
        <v>21</v>
      </c>
      <c r="F1235" s="314">
        <v>21</v>
      </c>
      <c r="G1235" s="314">
        <v>15840000</v>
      </c>
      <c r="H1235" s="359">
        <f t="shared" si="39"/>
        <v>15011928</v>
      </c>
      <c r="K1235" s="362"/>
      <c r="M1235" s="361">
        <v>630912</v>
      </c>
      <c r="N1235" s="361">
        <v>1380120</v>
      </c>
      <c r="O1235" s="361">
        <v>118296</v>
      </c>
      <c r="P1235" s="361">
        <v>236592</v>
      </c>
      <c r="Q1235" s="361">
        <v>78864</v>
      </c>
      <c r="R1235" s="361">
        <v>78864</v>
      </c>
      <c r="S1235" s="361">
        <v>157728</v>
      </c>
      <c r="T1235" s="390">
        <v>930000</v>
      </c>
      <c r="U1235" s="364">
        <f t="shared" si="40"/>
        <v>18623304</v>
      </c>
      <c r="W1235" s="365" t="str">
        <f>+VLOOKUP($B1235,[2]Time_S4!$B:$G,6,0)</f>
        <v>Trung tâm Rada</v>
      </c>
      <c r="X1235" s="365" t="str">
        <f>IF(W1235="Phòng Kinh doanh","Trung tâm Kinh doanh - TCT CNC",+VLOOKUP($B1235,[2]Time_S4!$B:$G,5,0))</f>
        <v>Khối 1 - TCT CNC</v>
      </c>
      <c r="Z1235" s="366"/>
    </row>
    <row r="1236" spans="1:26" hidden="1">
      <c r="A1236" s="367">
        <f>SUBTOTAL(3,$B$15:B1236)</f>
        <v>2</v>
      </c>
      <c r="B1236" s="394" t="s">
        <v>2734</v>
      </c>
      <c r="C1236" s="314" t="s">
        <v>2735</v>
      </c>
      <c r="D1236" s="314" t="s">
        <v>407</v>
      </c>
      <c r="E1236" s="314">
        <v>21</v>
      </c>
      <c r="F1236" s="314">
        <v>21</v>
      </c>
      <c r="G1236" s="314">
        <v>12650000</v>
      </c>
      <c r="H1236" s="359">
        <f t="shared" si="39"/>
        <v>11905256</v>
      </c>
      <c r="K1236" s="362"/>
      <c r="M1236" s="361">
        <v>567424</v>
      </c>
      <c r="N1236" s="361">
        <v>1241240</v>
      </c>
      <c r="O1236" s="361">
        <v>106392</v>
      </c>
      <c r="P1236" s="361">
        <v>212784</v>
      </c>
      <c r="Q1236" s="361">
        <v>70928</v>
      </c>
      <c r="R1236" s="361">
        <v>70928</v>
      </c>
      <c r="S1236" s="361">
        <v>141856</v>
      </c>
      <c r="T1236" s="390">
        <v>930000</v>
      </c>
      <c r="U1236" s="364">
        <f t="shared" si="40"/>
        <v>15246808</v>
      </c>
      <c r="W1236" s="365" t="str">
        <f>+VLOOKUP($B1236,[2]Time_S4!$B:$G,6,0)</f>
        <v>Trung tâm Nghiên cứu công nghệ Đa phương tiện</v>
      </c>
      <c r="X1236" s="365" t="str">
        <f>IF(W1236="Phòng Kinh doanh","Trung tâm Kinh doanh - TCT CNC",+VLOOKUP($B1236,[2]Time_S4!$B:$G,5,0))</f>
        <v>Khối 2 - TCT CNC</v>
      </c>
      <c r="Z1236" s="366"/>
    </row>
    <row r="1237" spans="1:26" hidden="1">
      <c r="A1237" s="367">
        <f>SUBTOTAL(3,$B$15:B1237)</f>
        <v>2</v>
      </c>
      <c r="B1237" s="394" t="s">
        <v>2736</v>
      </c>
      <c r="C1237" s="314" t="s">
        <v>2737</v>
      </c>
      <c r="D1237" s="314" t="s">
        <v>407</v>
      </c>
      <c r="E1237" s="314">
        <v>21</v>
      </c>
      <c r="F1237" s="314">
        <v>21</v>
      </c>
      <c r="G1237" s="314">
        <v>13800000</v>
      </c>
      <c r="H1237" s="359">
        <f t="shared" si="39"/>
        <v>13013592</v>
      </c>
      <c r="K1237" s="362"/>
      <c r="M1237" s="361">
        <v>599168</v>
      </c>
      <c r="N1237" s="361">
        <v>1310680</v>
      </c>
      <c r="O1237" s="361">
        <v>112344</v>
      </c>
      <c r="P1237" s="361">
        <v>224688</v>
      </c>
      <c r="Q1237" s="361">
        <v>74896</v>
      </c>
      <c r="R1237" s="361">
        <v>74896</v>
      </c>
      <c r="S1237" s="361">
        <v>149792</v>
      </c>
      <c r="T1237" s="390">
        <v>930000</v>
      </c>
      <c r="U1237" s="364">
        <f t="shared" si="40"/>
        <v>16490056</v>
      </c>
      <c r="W1237" s="365" t="str">
        <f>+VLOOKUP($B1237,[2]Time_S4!$B:$G,6,0)</f>
        <v>Trung tâm Khí cụ bay</v>
      </c>
      <c r="X1237" s="365" t="str">
        <f>IF(W1237="Phòng Kinh doanh","Trung tâm Kinh doanh - TCT CNC",+VLOOKUP($B1237,[2]Time_S4!$B:$G,5,0))</f>
        <v>Khối 1 - TCT CNC</v>
      </c>
      <c r="Z1237" s="366"/>
    </row>
    <row r="1238" spans="1:26" hidden="1">
      <c r="A1238" s="367">
        <f>SUBTOTAL(3,$B$15:B1238)</f>
        <v>2</v>
      </c>
      <c r="B1238" s="394" t="s">
        <v>2738</v>
      </c>
      <c r="C1238" s="314" t="s">
        <v>2739</v>
      </c>
      <c r="D1238" s="314" t="s">
        <v>407</v>
      </c>
      <c r="E1238" s="314">
        <v>21</v>
      </c>
      <c r="F1238" s="314">
        <v>21</v>
      </c>
      <c r="G1238" s="314">
        <v>13915000</v>
      </c>
      <c r="H1238" s="359">
        <f t="shared" si="39"/>
        <v>13128592</v>
      </c>
      <c r="K1238" s="362"/>
      <c r="M1238" s="361">
        <v>599168</v>
      </c>
      <c r="N1238" s="361">
        <v>1310680</v>
      </c>
      <c r="O1238" s="361">
        <v>112344</v>
      </c>
      <c r="P1238" s="361">
        <v>224688</v>
      </c>
      <c r="Q1238" s="361">
        <v>74896</v>
      </c>
      <c r="R1238" s="361">
        <v>74896</v>
      </c>
      <c r="S1238" s="361">
        <v>149792</v>
      </c>
      <c r="T1238" s="390">
        <v>930000</v>
      </c>
      <c r="U1238" s="364">
        <f t="shared" si="40"/>
        <v>16605056</v>
      </c>
      <c r="W1238" s="365" t="str">
        <f>+VLOOKUP($B1238,[2]Time_S4!$B:$G,6,0)</f>
        <v>Trung tâm Camera</v>
      </c>
      <c r="X1238" s="365" t="str">
        <f>IF(W1238="Phòng Kinh doanh","Trung tâm Kinh doanh - TCT CNC",+VLOOKUP($B1238,[2]Time_S4!$B:$G,5,0))</f>
        <v>Khối 3 - TCT CNC</v>
      </c>
      <c r="Z1238" s="366"/>
    </row>
    <row r="1239" spans="1:26" hidden="1">
      <c r="A1239" s="367">
        <f>SUBTOTAL(3,$B$15:B1239)</f>
        <v>2</v>
      </c>
      <c r="B1239" s="394" t="s">
        <v>2740</v>
      </c>
      <c r="C1239" s="314" t="s">
        <v>2741</v>
      </c>
      <c r="D1239" s="314" t="s">
        <v>407</v>
      </c>
      <c r="E1239" s="314">
        <v>21</v>
      </c>
      <c r="F1239" s="314">
        <v>21</v>
      </c>
      <c r="G1239" s="314">
        <v>21197280</v>
      </c>
      <c r="H1239" s="359">
        <f t="shared" si="39"/>
        <v>20280672</v>
      </c>
      <c r="K1239" s="362"/>
      <c r="M1239" s="361">
        <v>698368</v>
      </c>
      <c r="N1239" s="361">
        <v>1527680</v>
      </c>
      <c r="O1239" s="361">
        <v>130944</v>
      </c>
      <c r="P1239" s="361">
        <v>261888</v>
      </c>
      <c r="Q1239" s="361">
        <v>87296</v>
      </c>
      <c r="R1239" s="361">
        <v>87296</v>
      </c>
      <c r="S1239" s="361">
        <v>174592</v>
      </c>
      <c r="T1239" s="390">
        <v>1147000</v>
      </c>
      <c r="U1239" s="364">
        <f t="shared" si="40"/>
        <v>24395736</v>
      </c>
      <c r="W1239" s="365" t="str">
        <f>+VLOOKUP($B1239,[2]Time_S4!$B:$G,6,0)</f>
        <v>Trung tâm Khí cụ bay</v>
      </c>
      <c r="X1239" s="365" t="str">
        <f>IF(W1239="Phòng Kinh doanh","Trung tâm Kinh doanh - TCT CNC",+VLOOKUP($B1239,[2]Time_S4!$B:$G,5,0))</f>
        <v>Khối 1 - TCT CNC</v>
      </c>
      <c r="Z1239" s="366"/>
    </row>
    <row r="1240" spans="1:26" hidden="1">
      <c r="A1240" s="367">
        <f>SUBTOTAL(3,$B$15:B1240)</f>
        <v>2</v>
      </c>
      <c r="B1240" s="394" t="s">
        <v>2742</v>
      </c>
      <c r="C1240" s="314" t="s">
        <v>2743</v>
      </c>
      <c r="D1240" s="314" t="s">
        <v>407</v>
      </c>
      <c r="E1240" s="314">
        <v>21</v>
      </c>
      <c r="F1240" s="314">
        <v>21</v>
      </c>
      <c r="G1240" s="314">
        <v>13800000</v>
      </c>
      <c r="H1240" s="359">
        <f t="shared" si="39"/>
        <v>13013592</v>
      </c>
      <c r="K1240" s="362"/>
      <c r="M1240" s="361">
        <v>599168</v>
      </c>
      <c r="N1240" s="361">
        <v>1310680</v>
      </c>
      <c r="O1240" s="361">
        <v>112344</v>
      </c>
      <c r="P1240" s="361">
        <v>224688</v>
      </c>
      <c r="Q1240" s="361">
        <v>74896</v>
      </c>
      <c r="R1240" s="361">
        <v>74896</v>
      </c>
      <c r="S1240" s="361">
        <v>149792</v>
      </c>
      <c r="T1240" s="390">
        <v>930000</v>
      </c>
      <c r="U1240" s="364">
        <f t="shared" si="40"/>
        <v>16490056</v>
      </c>
      <c r="W1240" s="365" t="str">
        <f>+VLOOKUP($B1240,[2]Time_S4!$B:$G,6,0)</f>
        <v>Trung tâm Mô hình mô phỏng</v>
      </c>
      <c r="X1240" s="365" t="str">
        <f>IF(W1240="Phòng Kinh doanh","Trung tâm Kinh doanh - TCT CNC",+VLOOKUP($B1240,[2]Time_S4!$B:$G,5,0))</f>
        <v>Khối 1 - TCT CNC</v>
      </c>
      <c r="Z1240" s="366"/>
    </row>
    <row r="1241" spans="1:26" hidden="1">
      <c r="A1241" s="367">
        <f>SUBTOTAL(3,$B$15:B1241)</f>
        <v>2</v>
      </c>
      <c r="B1241" s="394" t="s">
        <v>2744</v>
      </c>
      <c r="C1241" s="314" t="s">
        <v>2745</v>
      </c>
      <c r="D1241" s="314" t="s">
        <v>407</v>
      </c>
      <c r="E1241" s="314">
        <v>21</v>
      </c>
      <c r="F1241" s="314">
        <v>21</v>
      </c>
      <c r="G1241" s="314">
        <v>11000000</v>
      </c>
      <c r="H1241" s="359">
        <f t="shared" si="39"/>
        <v>10291712</v>
      </c>
      <c r="K1241" s="362"/>
      <c r="M1241" s="361">
        <v>539648</v>
      </c>
      <c r="N1241" s="361">
        <v>1180480</v>
      </c>
      <c r="O1241" s="361">
        <v>101184</v>
      </c>
      <c r="P1241" s="361">
        <v>202368</v>
      </c>
      <c r="Q1241" s="361">
        <v>67456</v>
      </c>
      <c r="R1241" s="361">
        <v>67456</v>
      </c>
      <c r="S1241" s="361">
        <v>134912</v>
      </c>
      <c r="T1241" s="390">
        <v>930000</v>
      </c>
      <c r="U1241" s="364">
        <f t="shared" si="40"/>
        <v>13515216</v>
      </c>
      <c r="W1241" s="365" t="str">
        <f>+VLOOKUP($B1241,[2]Time_S4!$B:$G,6,0)</f>
        <v>Trung tâm Khí cụ bay</v>
      </c>
      <c r="X1241" s="365" t="str">
        <f>IF(W1241="Phòng Kinh doanh","Trung tâm Kinh doanh - TCT CNC",+VLOOKUP($B1241,[2]Time_S4!$B:$G,5,0))</f>
        <v>Khối 1 - TCT CNC</v>
      </c>
      <c r="Z1241" s="366"/>
    </row>
    <row r="1242" spans="1:26" hidden="1">
      <c r="A1242" s="367">
        <f>SUBTOTAL(3,$B$15:B1242)</f>
        <v>2</v>
      </c>
      <c r="B1242" s="394" t="s">
        <v>2746</v>
      </c>
      <c r="C1242" s="314" t="s">
        <v>2747</v>
      </c>
      <c r="D1242" s="314" t="s">
        <v>407</v>
      </c>
      <c r="E1242" s="314">
        <v>21</v>
      </c>
      <c r="F1242" s="314">
        <v>21</v>
      </c>
      <c r="G1242" s="314">
        <v>13225000</v>
      </c>
      <c r="H1242" s="359">
        <f t="shared" si="39"/>
        <v>12480256</v>
      </c>
      <c r="K1242" s="362"/>
      <c r="M1242" s="361">
        <v>567424</v>
      </c>
      <c r="N1242" s="361">
        <v>1241240</v>
      </c>
      <c r="O1242" s="361">
        <v>106392</v>
      </c>
      <c r="P1242" s="361">
        <v>212784</v>
      </c>
      <c r="Q1242" s="361">
        <v>70928</v>
      </c>
      <c r="R1242" s="361">
        <v>70928</v>
      </c>
      <c r="S1242" s="361">
        <v>141856</v>
      </c>
      <c r="T1242" s="390">
        <v>930000</v>
      </c>
      <c r="U1242" s="364">
        <f t="shared" si="40"/>
        <v>15821808</v>
      </c>
      <c r="W1242" s="365" t="str">
        <f>+VLOOKUP($B1242,[2]Time_S4!$B:$G,6,0)</f>
        <v>Trung tâm Tác chiến điện tử</v>
      </c>
      <c r="X1242" s="365" t="str">
        <f>IF(W1242="Phòng Kinh doanh","Trung tâm Kinh doanh - TCT CNC",+VLOOKUP($B1242,[2]Time_S4!$B:$G,5,0))</f>
        <v>Khối 1 - TCT CNC</v>
      </c>
      <c r="Z1242" s="366"/>
    </row>
    <row r="1243" spans="1:26" hidden="1">
      <c r="A1243" s="367">
        <f>SUBTOTAL(3,$B$15:B1243)</f>
        <v>2</v>
      </c>
      <c r="B1243" s="394" t="s">
        <v>2748</v>
      </c>
      <c r="C1243" s="314" t="s">
        <v>2111</v>
      </c>
      <c r="D1243" s="314" t="s">
        <v>407</v>
      </c>
      <c r="E1243" s="314">
        <v>21</v>
      </c>
      <c r="F1243" s="314">
        <v>21</v>
      </c>
      <c r="G1243" s="314">
        <v>12650000</v>
      </c>
      <c r="H1243" s="359">
        <f t="shared" si="39"/>
        <v>11905256</v>
      </c>
      <c r="K1243" s="362"/>
      <c r="M1243" s="361">
        <v>567424</v>
      </c>
      <c r="N1243" s="361">
        <v>1241240</v>
      </c>
      <c r="O1243" s="361">
        <v>106392</v>
      </c>
      <c r="P1243" s="361">
        <v>212784</v>
      </c>
      <c r="Q1243" s="361">
        <v>70928</v>
      </c>
      <c r="R1243" s="361">
        <v>70928</v>
      </c>
      <c r="S1243" s="361">
        <v>141856</v>
      </c>
      <c r="T1243" s="390">
        <v>930000</v>
      </c>
      <c r="U1243" s="364">
        <f t="shared" si="40"/>
        <v>15246808</v>
      </c>
      <c r="W1243" s="365" t="str">
        <f>+VLOOKUP($B1243,[2]Time_S4!$B:$G,6,0)</f>
        <v>Trung tâm Mô hình mô phỏng</v>
      </c>
      <c r="X1243" s="365" t="str">
        <f>IF(W1243="Phòng Kinh doanh","Trung tâm Kinh doanh - TCT CNC",+VLOOKUP($B1243,[2]Time_S4!$B:$G,5,0))</f>
        <v>Khối 1 - TCT CNC</v>
      </c>
      <c r="Z1243" s="366"/>
    </row>
    <row r="1244" spans="1:26" hidden="1">
      <c r="A1244" s="367">
        <f>SUBTOTAL(3,$B$15:B1244)</f>
        <v>2</v>
      </c>
      <c r="B1244" s="394" t="s">
        <v>2749</v>
      </c>
      <c r="C1244" s="314" t="s">
        <v>2750</v>
      </c>
      <c r="D1244" s="314" t="s">
        <v>407</v>
      </c>
      <c r="E1244" s="314">
        <v>21</v>
      </c>
      <c r="F1244" s="314">
        <v>21</v>
      </c>
      <c r="G1244" s="314">
        <v>15862700</v>
      </c>
      <c r="H1244" s="359">
        <f t="shared" si="39"/>
        <v>15034628</v>
      </c>
      <c r="K1244" s="362"/>
      <c r="M1244" s="361">
        <v>630912</v>
      </c>
      <c r="N1244" s="361">
        <v>1380120</v>
      </c>
      <c r="O1244" s="361">
        <v>118296</v>
      </c>
      <c r="P1244" s="361">
        <v>236592</v>
      </c>
      <c r="Q1244" s="361">
        <v>78864</v>
      </c>
      <c r="R1244" s="361">
        <v>78864</v>
      </c>
      <c r="S1244" s="361">
        <v>157728</v>
      </c>
      <c r="T1244" s="390">
        <v>930000</v>
      </c>
      <c r="U1244" s="364">
        <f t="shared" si="40"/>
        <v>18646004</v>
      </c>
      <c r="W1244" s="365" t="str">
        <f>+VLOOKUP($B1244,[2]Time_S4!$B:$G,6,0)</f>
        <v>Trung tâm Công nghệ Cơ khí - Tự động hóa</v>
      </c>
      <c r="X1244" s="365" t="str">
        <f>IF(W1244="Phòng Kinh doanh","Trung tâm Kinh doanh - TCT CNC",+VLOOKUP($B1244,[2]Time_S4!$B:$G,5,0))</f>
        <v>Khối 1 - TCT CNC</v>
      </c>
      <c r="Z1244" s="366"/>
    </row>
    <row r="1245" spans="1:26" hidden="1">
      <c r="A1245" s="367">
        <f>SUBTOTAL(3,$B$15:B1245)</f>
        <v>2</v>
      </c>
      <c r="B1245" s="394" t="s">
        <v>2751</v>
      </c>
      <c r="C1245" s="314" t="s">
        <v>2752</v>
      </c>
      <c r="D1245" s="314" t="s">
        <v>407</v>
      </c>
      <c r="E1245" s="314">
        <v>21</v>
      </c>
      <c r="F1245" s="314">
        <v>21</v>
      </c>
      <c r="G1245" s="314">
        <v>12650000</v>
      </c>
      <c r="H1245" s="359">
        <f t="shared" si="39"/>
        <v>11905256</v>
      </c>
      <c r="K1245" s="362"/>
      <c r="M1245" s="361">
        <v>567424</v>
      </c>
      <c r="N1245" s="361">
        <v>1241240</v>
      </c>
      <c r="O1245" s="361">
        <v>106392</v>
      </c>
      <c r="P1245" s="361">
        <v>212784</v>
      </c>
      <c r="Q1245" s="361">
        <v>70928</v>
      </c>
      <c r="R1245" s="361">
        <v>70928</v>
      </c>
      <c r="S1245" s="361">
        <v>141856</v>
      </c>
      <c r="T1245" s="390">
        <v>930000</v>
      </c>
      <c r="U1245" s="364">
        <f t="shared" si="40"/>
        <v>15246808</v>
      </c>
      <c r="W1245" s="365" t="str">
        <f>+VLOOKUP($B1245,[2]Time_S4!$B:$G,6,0)</f>
        <v>Trung tâm Mô hình mô phỏng</v>
      </c>
      <c r="X1245" s="365" t="str">
        <f>IF(W1245="Phòng Kinh doanh","Trung tâm Kinh doanh - TCT CNC",+VLOOKUP($B1245,[2]Time_S4!$B:$G,5,0))</f>
        <v>Khối 1 - TCT CNC</v>
      </c>
      <c r="Z1245" s="366"/>
    </row>
    <row r="1246" spans="1:26" hidden="1">
      <c r="A1246" s="367">
        <f>SUBTOTAL(3,$B$15:B1246)</f>
        <v>2</v>
      </c>
      <c r="B1246" s="394" t="s">
        <v>2753</v>
      </c>
      <c r="C1246" s="314" t="s">
        <v>1863</v>
      </c>
      <c r="D1246" s="314" t="s">
        <v>407</v>
      </c>
      <c r="E1246" s="314">
        <v>21</v>
      </c>
      <c r="F1246" s="314">
        <v>21</v>
      </c>
      <c r="G1246" s="314">
        <v>26409740</v>
      </c>
      <c r="H1246" s="359">
        <f t="shared" si="39"/>
        <v>25446260</v>
      </c>
      <c r="K1246" s="362"/>
      <c r="M1246" s="361">
        <v>734080</v>
      </c>
      <c r="N1246" s="361">
        <v>1605800</v>
      </c>
      <c r="O1246" s="361">
        <v>137640</v>
      </c>
      <c r="P1246" s="361">
        <v>275280</v>
      </c>
      <c r="Q1246" s="361">
        <v>91760</v>
      </c>
      <c r="R1246" s="361">
        <v>91760</v>
      </c>
      <c r="S1246" s="361">
        <v>183520</v>
      </c>
      <c r="T1246" s="390">
        <v>1147000</v>
      </c>
      <c r="U1246" s="364">
        <f t="shared" si="40"/>
        <v>29713100</v>
      </c>
      <c r="W1246" s="365" t="str">
        <f>+VLOOKUP($B1246,[2]Time_S4!$B:$G,6,0)</f>
        <v>Trung tâm Tác chiến điện tử</v>
      </c>
      <c r="X1246" s="365" t="str">
        <f>IF(W1246="Phòng Kinh doanh","Trung tâm Kinh doanh - TCT CNC",+VLOOKUP($B1246,[2]Time_S4!$B:$G,5,0))</f>
        <v>Khối 1 - TCT CNC</v>
      </c>
      <c r="Z1246" s="366"/>
    </row>
    <row r="1247" spans="1:26" hidden="1">
      <c r="A1247" s="367">
        <f>SUBTOTAL(3,$B$15:B1247)</f>
        <v>2</v>
      </c>
      <c r="B1247" s="394" t="s">
        <v>2754</v>
      </c>
      <c r="C1247" s="314" t="s">
        <v>2755</v>
      </c>
      <c r="D1247" s="314" t="s">
        <v>407</v>
      </c>
      <c r="E1247" s="314">
        <v>21</v>
      </c>
      <c r="F1247" s="314">
        <v>21</v>
      </c>
      <c r="G1247" s="314">
        <v>17617100</v>
      </c>
      <c r="H1247" s="359">
        <f t="shared" si="39"/>
        <v>16747364</v>
      </c>
      <c r="K1247" s="362"/>
      <c r="M1247" s="361">
        <v>662656</v>
      </c>
      <c r="N1247" s="361">
        <v>1449560</v>
      </c>
      <c r="O1247" s="361">
        <v>124248</v>
      </c>
      <c r="P1247" s="361">
        <v>248496</v>
      </c>
      <c r="Q1247" s="361">
        <v>82832</v>
      </c>
      <c r="R1247" s="361">
        <v>82832</v>
      </c>
      <c r="S1247" s="361">
        <v>165664</v>
      </c>
      <c r="T1247" s="390">
        <v>930000</v>
      </c>
      <c r="U1247" s="364">
        <f t="shared" si="40"/>
        <v>20493652</v>
      </c>
      <c r="W1247" s="365" t="str">
        <f>+VLOOKUP($B1247,[2]Time_S4!$B:$G,6,0)</f>
        <v>Trung tâm Kỹ thuật công nghệ - TCT CNC</v>
      </c>
      <c r="X1247" s="365" t="str">
        <f>IF(W1247="Phòng Kinh doanh","Trung tâm Kinh doanh - TCT CNC",+VLOOKUP($B1247,[2]Time_S4!$B:$G,5,0))</f>
        <v>Khối 2 - TCT CNC</v>
      </c>
      <c r="Z1247" s="366"/>
    </row>
    <row r="1248" spans="1:26" hidden="1">
      <c r="A1248" s="367">
        <f>SUBTOTAL(3,$B$15:B1248)</f>
        <v>2</v>
      </c>
      <c r="B1248" s="394" t="s">
        <v>2756</v>
      </c>
      <c r="C1248" s="314" t="s">
        <v>2757</v>
      </c>
      <c r="D1248" s="314" t="s">
        <v>407</v>
      </c>
      <c r="E1248" s="314">
        <v>21</v>
      </c>
      <c r="F1248" s="314">
        <v>21</v>
      </c>
      <c r="G1248" s="314">
        <v>11969480</v>
      </c>
      <c r="H1248" s="359">
        <f t="shared" si="39"/>
        <v>11224736</v>
      </c>
      <c r="K1248" s="362"/>
      <c r="M1248" s="361">
        <v>567424</v>
      </c>
      <c r="N1248" s="361">
        <v>1241240</v>
      </c>
      <c r="O1248" s="361">
        <v>106392</v>
      </c>
      <c r="P1248" s="361">
        <v>212784</v>
      </c>
      <c r="Q1248" s="361">
        <v>70928</v>
      </c>
      <c r="R1248" s="361">
        <v>70928</v>
      </c>
      <c r="S1248" s="361">
        <v>141856</v>
      </c>
      <c r="T1248" s="390">
        <v>1630000</v>
      </c>
      <c r="U1248" s="364">
        <f t="shared" si="40"/>
        <v>15266288</v>
      </c>
      <c r="W1248" s="365" t="str">
        <f>+VLOOKUP($B1248,[2]Time_S4!$B:$G,6,0)</f>
        <v>Trung tâm dịch vụ sau bán hàng</v>
      </c>
      <c r="X1248" s="365" t="str">
        <f>IF(W1248="Phòng Kinh doanh","Trung tâm Kinh doanh - TCT CNC",+VLOOKUP($B1248,[2]Time_S4!$B:$G,5,0))</f>
        <v>Khối 2 - TCT CNC</v>
      </c>
      <c r="Z1248" s="366"/>
    </row>
    <row r="1249" spans="1:26" hidden="1">
      <c r="A1249" s="367">
        <f>SUBTOTAL(3,$B$15:B1249)</f>
        <v>2</v>
      </c>
      <c r="B1249" s="394" t="s">
        <v>2758</v>
      </c>
      <c r="C1249" s="314" t="s">
        <v>1217</v>
      </c>
      <c r="D1249" s="314" t="s">
        <v>407</v>
      </c>
      <c r="E1249" s="314">
        <v>21</v>
      </c>
      <c r="F1249" s="314">
        <v>21</v>
      </c>
      <c r="G1249" s="314">
        <v>41744049</v>
      </c>
      <c r="H1249" s="359">
        <f t="shared" si="39"/>
        <v>40561833</v>
      </c>
      <c r="K1249" s="362"/>
      <c r="M1249" s="361">
        <v>900736</v>
      </c>
      <c r="N1249" s="361">
        <v>1970360</v>
      </c>
      <c r="O1249" s="361">
        <v>168888</v>
      </c>
      <c r="P1249" s="361">
        <v>337776</v>
      </c>
      <c r="Q1249" s="361">
        <v>112592</v>
      </c>
      <c r="R1249" s="361">
        <v>112592</v>
      </c>
      <c r="S1249" s="361">
        <v>225184</v>
      </c>
      <c r="T1249" s="390">
        <v>1147000</v>
      </c>
      <c r="U1249" s="364">
        <f t="shared" si="40"/>
        <v>45536961</v>
      </c>
      <c r="W1249" s="365" t="str">
        <f>+VLOOKUP($B1249,[2]Time_S4!$B:$G,6,0)</f>
        <v>Trung tâm Nền tảng IOT</v>
      </c>
      <c r="X1249" s="365" t="str">
        <f>IF(W1249="Phòng Kinh doanh","Trung tâm Kinh doanh - TCT CNC",+VLOOKUP($B1249,[2]Time_S4!$B:$G,5,0))</f>
        <v>Khối 3 - TCT CNC</v>
      </c>
      <c r="Z1249" s="366"/>
    </row>
    <row r="1250" spans="1:26" hidden="1">
      <c r="A1250" s="367">
        <f>SUBTOTAL(3,$B$15:B1250)</f>
        <v>2</v>
      </c>
      <c r="B1250" s="394" t="s">
        <v>2759</v>
      </c>
      <c r="C1250" s="314" t="s">
        <v>2760</v>
      </c>
      <c r="D1250" s="314" t="s">
        <v>407</v>
      </c>
      <c r="E1250" s="314">
        <v>21</v>
      </c>
      <c r="F1250" s="314">
        <v>21</v>
      </c>
      <c r="G1250" s="314">
        <v>12650000</v>
      </c>
      <c r="H1250" s="359">
        <f t="shared" si="39"/>
        <v>11905256</v>
      </c>
      <c r="K1250" s="362"/>
      <c r="M1250" s="361">
        <v>567424</v>
      </c>
      <c r="N1250" s="361">
        <v>1241240</v>
      </c>
      <c r="O1250" s="361">
        <v>106392</v>
      </c>
      <c r="P1250" s="361">
        <v>212784</v>
      </c>
      <c r="Q1250" s="361">
        <v>70928</v>
      </c>
      <c r="R1250" s="361">
        <v>70928</v>
      </c>
      <c r="S1250" s="361">
        <v>141856</v>
      </c>
      <c r="T1250" s="390">
        <v>930000</v>
      </c>
      <c r="U1250" s="364">
        <f t="shared" si="40"/>
        <v>15246808</v>
      </c>
      <c r="W1250" s="365" t="str">
        <f>+VLOOKUP($B1250,[2]Time_S4!$B:$G,6,0)</f>
        <v>Trung tâm Tác chiến điện tử</v>
      </c>
      <c r="X1250" s="365" t="str">
        <f>IF(W1250="Phòng Kinh doanh","Trung tâm Kinh doanh - TCT CNC",+VLOOKUP($B1250,[2]Time_S4!$B:$G,5,0))</f>
        <v>Khối 1 - TCT CNC</v>
      </c>
      <c r="Z1250" s="366"/>
    </row>
    <row r="1251" spans="1:26" hidden="1">
      <c r="A1251" s="367">
        <f>SUBTOTAL(3,$B$15:B1251)</f>
        <v>2</v>
      </c>
      <c r="B1251" s="394" t="s">
        <v>2761</v>
      </c>
      <c r="C1251" s="314" t="s">
        <v>2762</v>
      </c>
      <c r="D1251" s="314" t="s">
        <v>407</v>
      </c>
      <c r="E1251" s="314">
        <v>21</v>
      </c>
      <c r="F1251" s="314">
        <v>21</v>
      </c>
      <c r="G1251" s="314">
        <v>13915000</v>
      </c>
      <c r="H1251" s="359">
        <f t="shared" si="39"/>
        <v>13170256</v>
      </c>
      <c r="K1251" s="362"/>
      <c r="M1251" s="361">
        <v>567424</v>
      </c>
      <c r="N1251" s="361">
        <v>1241240</v>
      </c>
      <c r="O1251" s="361">
        <v>106392</v>
      </c>
      <c r="P1251" s="361">
        <v>212784</v>
      </c>
      <c r="Q1251" s="361">
        <v>70928</v>
      </c>
      <c r="R1251" s="361">
        <v>70928</v>
      </c>
      <c r="S1251" s="361">
        <v>141856</v>
      </c>
      <c r="T1251" s="390">
        <v>1047000</v>
      </c>
      <c r="U1251" s="364">
        <f t="shared" si="40"/>
        <v>16628808</v>
      </c>
      <c r="W1251" s="365" t="str">
        <f>+VLOOKUP($B1251,[2]Time_S4!$B:$G,6,0)</f>
        <v>Trung tâm Rada</v>
      </c>
      <c r="X1251" s="365" t="str">
        <f>IF(W1251="Phòng Kinh doanh","Trung tâm Kinh doanh - TCT CNC",+VLOOKUP($B1251,[2]Time_S4!$B:$G,5,0))</f>
        <v>Khối 1 - TCT CNC</v>
      </c>
      <c r="Z1251" s="366"/>
    </row>
    <row r="1252" spans="1:26" hidden="1">
      <c r="A1252" s="367">
        <f>SUBTOTAL(3,$B$15:B1252)</f>
        <v>2</v>
      </c>
      <c r="B1252" s="394" t="s">
        <v>2763</v>
      </c>
      <c r="C1252" s="314" t="s">
        <v>2764</v>
      </c>
      <c r="D1252" s="314" t="s">
        <v>407</v>
      </c>
      <c r="E1252" s="314">
        <v>21</v>
      </c>
      <c r="F1252" s="314">
        <v>21</v>
      </c>
      <c r="G1252" s="314">
        <v>13915000</v>
      </c>
      <c r="H1252" s="359">
        <f t="shared" si="39"/>
        <v>13128592</v>
      </c>
      <c r="K1252" s="362"/>
      <c r="M1252" s="361">
        <v>599168</v>
      </c>
      <c r="N1252" s="361">
        <v>1310680</v>
      </c>
      <c r="O1252" s="361">
        <v>112344</v>
      </c>
      <c r="P1252" s="361">
        <v>224688</v>
      </c>
      <c r="Q1252" s="361">
        <v>74896</v>
      </c>
      <c r="R1252" s="361">
        <v>74896</v>
      </c>
      <c r="S1252" s="361">
        <v>149792</v>
      </c>
      <c r="T1252" s="390">
        <v>930000</v>
      </c>
      <c r="U1252" s="364">
        <f t="shared" si="40"/>
        <v>16605056</v>
      </c>
      <c r="W1252" s="365" t="str">
        <f>+VLOOKUP($B1252,[2]Time_S4!$B:$G,6,0)</f>
        <v>Trung tâm Tác chiến điện tử</v>
      </c>
      <c r="X1252" s="365" t="str">
        <f>IF(W1252="Phòng Kinh doanh","Trung tâm Kinh doanh - TCT CNC",+VLOOKUP($B1252,[2]Time_S4!$B:$G,5,0))</f>
        <v>Khối 1 - TCT CNC</v>
      </c>
      <c r="Z1252" s="366"/>
    </row>
    <row r="1253" spans="1:26" hidden="1">
      <c r="A1253" s="367">
        <f>SUBTOTAL(3,$B$15:B1253)</f>
        <v>2</v>
      </c>
      <c r="B1253" s="394" t="s">
        <v>2765</v>
      </c>
      <c r="C1253" s="314" t="s">
        <v>2766</v>
      </c>
      <c r="D1253" s="314" t="s">
        <v>407</v>
      </c>
      <c r="E1253" s="314">
        <v>21</v>
      </c>
      <c r="F1253" s="314">
        <v>21</v>
      </c>
      <c r="G1253" s="314">
        <v>19159940</v>
      </c>
      <c r="H1253" s="359">
        <f t="shared" si="39"/>
        <v>18243332</v>
      </c>
      <c r="K1253" s="362"/>
      <c r="M1253" s="361">
        <v>698368</v>
      </c>
      <c r="N1253" s="361">
        <v>1527680</v>
      </c>
      <c r="O1253" s="361">
        <v>130944</v>
      </c>
      <c r="P1253" s="361">
        <v>261888</v>
      </c>
      <c r="Q1253" s="361">
        <v>87296</v>
      </c>
      <c r="R1253" s="361">
        <v>87296</v>
      </c>
      <c r="S1253" s="361">
        <v>174592</v>
      </c>
      <c r="T1253" s="390">
        <v>930000</v>
      </c>
      <c r="U1253" s="364">
        <f t="shared" si="40"/>
        <v>22141396</v>
      </c>
      <c r="W1253" s="365" t="str">
        <f>+VLOOKUP($B1253,[2]Time_S4!$B:$G,6,0)</f>
        <v>Trung tâm Tác chiến điện tử</v>
      </c>
      <c r="X1253" s="365" t="str">
        <f>IF(W1253="Phòng Kinh doanh","Trung tâm Kinh doanh - TCT CNC",+VLOOKUP($B1253,[2]Time_S4!$B:$G,5,0))</f>
        <v>Khối 1 - TCT CNC</v>
      </c>
      <c r="Z1253" s="366"/>
    </row>
    <row r="1254" spans="1:26" hidden="1">
      <c r="A1254" s="367">
        <f>SUBTOTAL(3,$B$15:B1254)</f>
        <v>2</v>
      </c>
      <c r="B1254" s="394" t="s">
        <v>2767</v>
      </c>
      <c r="C1254" s="314" t="s">
        <v>2768</v>
      </c>
      <c r="D1254" s="314" t="s">
        <v>407</v>
      </c>
      <c r="E1254" s="314">
        <v>21</v>
      </c>
      <c r="F1254" s="314">
        <v>21</v>
      </c>
      <c r="G1254" s="314">
        <v>12650000</v>
      </c>
      <c r="H1254" s="359">
        <f t="shared" si="39"/>
        <v>11905256</v>
      </c>
      <c r="K1254" s="362"/>
      <c r="M1254" s="361">
        <v>567424</v>
      </c>
      <c r="N1254" s="361">
        <v>1241240</v>
      </c>
      <c r="O1254" s="361">
        <v>106392</v>
      </c>
      <c r="P1254" s="361">
        <v>212784</v>
      </c>
      <c r="Q1254" s="361">
        <v>70928</v>
      </c>
      <c r="R1254" s="361">
        <v>70928</v>
      </c>
      <c r="S1254" s="361">
        <v>141856</v>
      </c>
      <c r="T1254" s="390">
        <v>930000</v>
      </c>
      <c r="U1254" s="364">
        <f t="shared" si="40"/>
        <v>15246808</v>
      </c>
      <c r="W1254" s="365" t="str">
        <f>+VLOOKUP($B1254,[2]Time_S4!$B:$G,6,0)</f>
        <v>Trung tâm Khí cụ bay</v>
      </c>
      <c r="X1254" s="365" t="str">
        <f>IF(W1254="Phòng Kinh doanh","Trung tâm Kinh doanh - TCT CNC",+VLOOKUP($B1254,[2]Time_S4!$B:$G,5,0))</f>
        <v>Khối 1 - TCT CNC</v>
      </c>
      <c r="Z1254" s="366"/>
    </row>
    <row r="1255" spans="1:26" hidden="1">
      <c r="A1255" s="367">
        <f>SUBTOTAL(3,$B$15:B1255)</f>
        <v>2</v>
      </c>
      <c r="B1255" s="394" t="s">
        <v>2769</v>
      </c>
      <c r="C1255" s="314" t="s">
        <v>2770</v>
      </c>
      <c r="D1255" s="314" t="s">
        <v>407</v>
      </c>
      <c r="E1255" s="314">
        <v>21</v>
      </c>
      <c r="F1255" s="314">
        <v>21</v>
      </c>
      <c r="G1255" s="314">
        <v>15533320</v>
      </c>
      <c r="H1255" s="359">
        <f t="shared" si="39"/>
        <v>14705248</v>
      </c>
      <c r="K1255" s="362"/>
      <c r="M1255" s="361">
        <v>630912</v>
      </c>
      <c r="N1255" s="361">
        <v>1380120</v>
      </c>
      <c r="O1255" s="361">
        <v>118296</v>
      </c>
      <c r="P1255" s="361">
        <v>236592</v>
      </c>
      <c r="Q1255" s="361">
        <v>78864</v>
      </c>
      <c r="R1255" s="361">
        <v>78864</v>
      </c>
      <c r="S1255" s="361">
        <v>157728</v>
      </c>
      <c r="T1255" s="390">
        <v>930000</v>
      </c>
      <c r="U1255" s="364">
        <f t="shared" si="40"/>
        <v>18316624</v>
      </c>
      <c r="W1255" s="365" t="str">
        <f>+VLOOKUP($B1255,[2]Time_S4!$B:$G,6,0)</f>
        <v>Trung tâm Khí cụ bay</v>
      </c>
      <c r="X1255" s="365" t="str">
        <f>IF(W1255="Phòng Kinh doanh","Trung tâm Kinh doanh - TCT CNC",+VLOOKUP($B1255,[2]Time_S4!$B:$G,5,0))</f>
        <v>Khối 1 - TCT CNC</v>
      </c>
      <c r="Z1255" s="366"/>
    </row>
    <row r="1256" spans="1:26" hidden="1">
      <c r="A1256" s="367">
        <f>SUBTOTAL(3,$B$15:B1256)</f>
        <v>2</v>
      </c>
      <c r="B1256" s="394" t="s">
        <v>2771</v>
      </c>
      <c r="C1256" s="314" t="s">
        <v>2772</v>
      </c>
      <c r="D1256" s="314" t="s">
        <v>407</v>
      </c>
      <c r="E1256" s="314">
        <v>21</v>
      </c>
      <c r="F1256" s="314">
        <v>21</v>
      </c>
      <c r="G1256" s="314">
        <v>12650000</v>
      </c>
      <c r="H1256" s="359">
        <f t="shared" si="39"/>
        <v>11905256</v>
      </c>
      <c r="K1256" s="362"/>
      <c r="M1256" s="361">
        <v>567424</v>
      </c>
      <c r="N1256" s="361">
        <v>1241240</v>
      </c>
      <c r="O1256" s="361">
        <v>106392</v>
      </c>
      <c r="P1256" s="361">
        <v>212784</v>
      </c>
      <c r="Q1256" s="361">
        <v>70928</v>
      </c>
      <c r="R1256" s="361">
        <v>70928</v>
      </c>
      <c r="S1256" s="361">
        <v>141856</v>
      </c>
      <c r="T1256" s="390">
        <v>930000</v>
      </c>
      <c r="U1256" s="364">
        <f t="shared" si="40"/>
        <v>15246808</v>
      </c>
      <c r="W1256" s="365" t="str">
        <f>+VLOOKUP($B1256,[2]Time_S4!$B:$G,6,0)</f>
        <v>Trung tâm Thông tin Quân sự</v>
      </c>
      <c r="X1256" s="365" t="str">
        <f>IF(W1256="Phòng Kinh doanh","Trung tâm Kinh doanh - TCT CNC",+VLOOKUP($B1256,[2]Time_S4!$B:$G,5,0))</f>
        <v>Khối 1 - TCT CNC</v>
      </c>
      <c r="Z1256" s="366"/>
    </row>
    <row r="1257" spans="1:26" hidden="1">
      <c r="A1257" s="367">
        <f>SUBTOTAL(3,$B$15:B1257)</f>
        <v>2</v>
      </c>
      <c r="B1257" s="394" t="s">
        <v>2773</v>
      </c>
      <c r="C1257" s="314" t="s">
        <v>2774</v>
      </c>
      <c r="D1257" s="314" t="s">
        <v>407</v>
      </c>
      <c r="E1257" s="314">
        <v>21</v>
      </c>
      <c r="F1257" s="314">
        <v>21</v>
      </c>
      <c r="G1257" s="314">
        <v>11990000</v>
      </c>
      <c r="H1257" s="359">
        <f t="shared" si="39"/>
        <v>11281712</v>
      </c>
      <c r="K1257" s="362"/>
      <c r="M1257" s="361">
        <v>539648</v>
      </c>
      <c r="N1257" s="361">
        <v>1180480</v>
      </c>
      <c r="O1257" s="361">
        <v>101184</v>
      </c>
      <c r="P1257" s="361">
        <v>202368</v>
      </c>
      <c r="Q1257" s="361">
        <v>67456</v>
      </c>
      <c r="R1257" s="361">
        <v>67456</v>
      </c>
      <c r="S1257" s="361">
        <v>134912</v>
      </c>
      <c r="T1257" s="390">
        <v>1047000</v>
      </c>
      <c r="U1257" s="364">
        <f t="shared" si="40"/>
        <v>14622216</v>
      </c>
      <c r="W1257" s="365" t="str">
        <f>+VLOOKUP($B1257,[2]Time_S4!$B:$G,6,0)</f>
        <v>Trung tâm Quang điện tử</v>
      </c>
      <c r="X1257" s="365" t="str">
        <f>IF(W1257="Phòng Kinh doanh","Trung tâm Kinh doanh - TCT CNC",+VLOOKUP($B1257,[2]Time_S4!$B:$G,5,0))</f>
        <v>Khối 1 - TCT CNC</v>
      </c>
      <c r="Z1257" s="366"/>
    </row>
    <row r="1258" spans="1:26" hidden="1">
      <c r="A1258" s="367">
        <f>SUBTOTAL(3,$B$15:B1258)</f>
        <v>2</v>
      </c>
      <c r="B1258" s="394" t="s">
        <v>2775</v>
      </c>
      <c r="C1258" s="314" t="s">
        <v>2776</v>
      </c>
      <c r="D1258" s="314" t="s">
        <v>407</v>
      </c>
      <c r="E1258" s="314">
        <v>21</v>
      </c>
      <c r="F1258" s="314">
        <v>21</v>
      </c>
      <c r="G1258" s="314">
        <v>13225000</v>
      </c>
      <c r="H1258" s="359">
        <f t="shared" si="39"/>
        <v>12480256</v>
      </c>
      <c r="K1258" s="362"/>
      <c r="M1258" s="361">
        <v>567424</v>
      </c>
      <c r="N1258" s="361">
        <v>1241240</v>
      </c>
      <c r="O1258" s="361">
        <v>106392</v>
      </c>
      <c r="P1258" s="361">
        <v>212784</v>
      </c>
      <c r="Q1258" s="361">
        <v>70928</v>
      </c>
      <c r="R1258" s="361">
        <v>70928</v>
      </c>
      <c r="S1258" s="361">
        <v>141856</v>
      </c>
      <c r="T1258" s="390">
        <v>930000</v>
      </c>
      <c r="U1258" s="364">
        <f t="shared" si="40"/>
        <v>15821808</v>
      </c>
      <c r="W1258" s="365" t="str">
        <f>+VLOOKUP($B1258,[2]Time_S4!$B:$G,6,0)</f>
        <v>Trung tâm Nghiên cứu thiết bị vô tuyến băng rộng</v>
      </c>
      <c r="X1258" s="365" t="str">
        <f>IF(W1258="Phòng Kinh doanh","Trung tâm Kinh doanh - TCT CNC",+VLOOKUP($B1258,[2]Time_S4!$B:$G,5,0))</f>
        <v>Khối 2 - TCT CNC</v>
      </c>
      <c r="Z1258" s="366"/>
    </row>
    <row r="1259" spans="1:26" hidden="1">
      <c r="A1259" s="367">
        <f>SUBTOTAL(3,$B$15:B1259)</f>
        <v>2</v>
      </c>
      <c r="B1259" s="394" t="s">
        <v>2777</v>
      </c>
      <c r="C1259" s="314" t="s">
        <v>2778</v>
      </c>
      <c r="D1259" s="314" t="s">
        <v>407</v>
      </c>
      <c r="E1259" s="314">
        <v>21</v>
      </c>
      <c r="F1259" s="314">
        <v>21</v>
      </c>
      <c r="G1259" s="314">
        <v>10777520</v>
      </c>
      <c r="H1259" s="359">
        <f t="shared" si="39"/>
        <v>10069232</v>
      </c>
      <c r="K1259" s="362"/>
      <c r="M1259" s="361">
        <v>539648</v>
      </c>
      <c r="N1259" s="361">
        <v>1180480</v>
      </c>
      <c r="O1259" s="361">
        <v>101184</v>
      </c>
      <c r="P1259" s="361">
        <v>202368</v>
      </c>
      <c r="Q1259" s="361">
        <v>67456</v>
      </c>
      <c r="R1259" s="361">
        <v>67456</v>
      </c>
      <c r="S1259" s="361">
        <v>134912</v>
      </c>
      <c r="T1259" s="390">
        <v>1047000</v>
      </c>
      <c r="U1259" s="364">
        <f t="shared" si="40"/>
        <v>13409736</v>
      </c>
      <c r="W1259" s="365" t="str">
        <f>+VLOOKUP($B1259,[2]Time_S4!$B:$G,6,0)</f>
        <v>Trung tâm Nghiên cứu Công nghệ truyền dẫn</v>
      </c>
      <c r="X1259" s="365" t="str">
        <f>IF(W1259="Phòng Kinh doanh","Trung tâm Kinh doanh - TCT CNC",+VLOOKUP($B1259,[2]Time_S4!$B:$G,5,0))</f>
        <v>Khối 2 - TCT CNC</v>
      </c>
      <c r="Z1259" s="366"/>
    </row>
    <row r="1260" spans="1:26" hidden="1">
      <c r="A1260" s="367">
        <f>SUBTOTAL(3,$B$15:B1260)</f>
        <v>2</v>
      </c>
      <c r="B1260" s="394" t="s">
        <v>2779</v>
      </c>
      <c r="C1260" s="314" t="s">
        <v>2780</v>
      </c>
      <c r="D1260" s="314" t="s">
        <v>407</v>
      </c>
      <c r="E1260" s="314">
        <v>21</v>
      </c>
      <c r="F1260" s="314">
        <v>21</v>
      </c>
      <c r="G1260" s="314">
        <v>14739540</v>
      </c>
      <c r="H1260" s="359">
        <f t="shared" si="39"/>
        <v>13953132</v>
      </c>
      <c r="K1260" s="362"/>
      <c r="M1260" s="361">
        <v>599168</v>
      </c>
      <c r="N1260" s="361">
        <v>1310680</v>
      </c>
      <c r="O1260" s="361">
        <v>112344</v>
      </c>
      <c r="P1260" s="361">
        <v>224688</v>
      </c>
      <c r="Q1260" s="361">
        <v>74896</v>
      </c>
      <c r="R1260" s="361">
        <v>74896</v>
      </c>
      <c r="S1260" s="361">
        <v>149792</v>
      </c>
      <c r="T1260" s="390">
        <v>930000</v>
      </c>
      <c r="U1260" s="364">
        <f t="shared" si="40"/>
        <v>17429596</v>
      </c>
      <c r="W1260" s="365" t="str">
        <f>+VLOOKUP($B1260,[2]Time_S4!$B:$G,6,0)</f>
        <v>Trung tâm Camera</v>
      </c>
      <c r="X1260" s="365" t="str">
        <f>IF(W1260="Phòng Kinh doanh","Trung tâm Kinh doanh - TCT CNC",+VLOOKUP($B1260,[2]Time_S4!$B:$G,5,0))</f>
        <v>Khối 3 - TCT CNC</v>
      </c>
      <c r="Z1260" s="366"/>
    </row>
    <row r="1261" spans="1:26" hidden="1">
      <c r="A1261" s="367">
        <f>SUBTOTAL(3,$B$15:B1261)</f>
        <v>2</v>
      </c>
      <c r="B1261" s="394" t="s">
        <v>2781</v>
      </c>
      <c r="C1261" s="314" t="s">
        <v>2782</v>
      </c>
      <c r="D1261" s="314" t="s">
        <v>407</v>
      </c>
      <c r="E1261" s="314">
        <v>21</v>
      </c>
      <c r="F1261" s="314">
        <v>21</v>
      </c>
      <c r="G1261" s="314">
        <v>10000000</v>
      </c>
      <c r="H1261" s="359">
        <f t="shared" si="39"/>
        <v>9291712</v>
      </c>
      <c r="K1261" s="362"/>
      <c r="M1261" s="361">
        <v>539648</v>
      </c>
      <c r="N1261" s="361">
        <v>1180480</v>
      </c>
      <c r="O1261" s="361">
        <v>101184</v>
      </c>
      <c r="P1261" s="361">
        <v>202368</v>
      </c>
      <c r="Q1261" s="361">
        <v>67456</v>
      </c>
      <c r="R1261" s="361">
        <v>67456</v>
      </c>
      <c r="S1261" s="361">
        <v>134912</v>
      </c>
      <c r="T1261" s="390">
        <v>930000</v>
      </c>
      <c r="U1261" s="364">
        <f t="shared" si="40"/>
        <v>12515216</v>
      </c>
      <c r="W1261" s="365" t="str">
        <f>+VLOOKUP($B1261,[2]Time_S4!$B:$G,6,0)</f>
        <v>Trung tâm Quang điện tử</v>
      </c>
      <c r="X1261" s="365" t="str">
        <f>IF(W1261="Phòng Kinh doanh","Trung tâm Kinh doanh - TCT CNC",+VLOOKUP($B1261,[2]Time_S4!$B:$G,5,0))</f>
        <v>Khối 1 - TCT CNC</v>
      </c>
      <c r="Z1261" s="366"/>
    </row>
    <row r="1262" spans="1:26" hidden="1">
      <c r="A1262" s="367">
        <f>SUBTOTAL(3,$B$15:B1262)</f>
        <v>2</v>
      </c>
      <c r="B1262" s="394" t="s">
        <v>2783</v>
      </c>
      <c r="C1262" s="314" t="s">
        <v>2784</v>
      </c>
      <c r="D1262" s="314" t="s">
        <v>407</v>
      </c>
      <c r="E1262" s="314">
        <v>21</v>
      </c>
      <c r="F1262" s="314">
        <v>21</v>
      </c>
      <c r="G1262" s="314">
        <v>59067380</v>
      </c>
      <c r="H1262" s="359">
        <f t="shared" si="39"/>
        <v>57692468</v>
      </c>
      <c r="K1262" s="362"/>
      <c r="M1262" s="361">
        <v>1047552</v>
      </c>
      <c r="N1262" s="361">
        <v>2291520</v>
      </c>
      <c r="O1262" s="361">
        <v>196416</v>
      </c>
      <c r="P1262" s="361">
        <v>392832</v>
      </c>
      <c r="Q1262" s="361">
        <v>130944</v>
      </c>
      <c r="R1262" s="361">
        <v>130944</v>
      </c>
      <c r="S1262" s="361">
        <v>261888</v>
      </c>
      <c r="T1262" s="390">
        <v>1230000</v>
      </c>
      <c r="U1262" s="364">
        <f t="shared" si="40"/>
        <v>63374564</v>
      </c>
      <c r="W1262" s="365" t="str">
        <f>+VLOOKUP($B1262,[2]Time_S4!$B:$G,6,0)</f>
        <v>Phòng Phát triển thị trường Quốc tế</v>
      </c>
      <c r="X1262" s="365" t="str">
        <f>IF(W1262="Phòng Kinh doanh","Trung tâm Kinh doanh - TCT CNC",+VLOOKUP($B1262,[2]Time_S4!$B:$G,5,0))</f>
        <v>Trung tâm Kinh doanh - TCT CNC</v>
      </c>
      <c r="Z1262" s="366"/>
    </row>
    <row r="1263" spans="1:26" hidden="1">
      <c r="A1263" s="367">
        <f>SUBTOTAL(3,$B$15:B1263)</f>
        <v>2</v>
      </c>
      <c r="B1263" s="394" t="s">
        <v>2785</v>
      </c>
      <c r="C1263" s="314" t="s">
        <v>2786</v>
      </c>
      <c r="D1263" s="314" t="s">
        <v>407</v>
      </c>
      <c r="E1263" s="314">
        <v>21</v>
      </c>
      <c r="F1263" s="314">
        <v>21</v>
      </c>
      <c r="G1263" s="314">
        <v>30269420</v>
      </c>
      <c r="H1263" s="359">
        <f t="shared" si="39"/>
        <v>29201780</v>
      </c>
      <c r="K1263" s="362"/>
      <c r="M1263" s="361">
        <v>813440</v>
      </c>
      <c r="N1263" s="361">
        <v>1779400</v>
      </c>
      <c r="O1263" s="361">
        <v>152520</v>
      </c>
      <c r="P1263" s="361">
        <v>305040</v>
      </c>
      <c r="Q1263" s="361">
        <v>101680</v>
      </c>
      <c r="R1263" s="361">
        <v>101680</v>
      </c>
      <c r="S1263" s="361">
        <v>203360</v>
      </c>
      <c r="T1263" s="390">
        <v>1030000</v>
      </c>
      <c r="U1263" s="364">
        <f t="shared" si="40"/>
        <v>33688900</v>
      </c>
      <c r="W1263" s="365" t="str">
        <f>+VLOOKUP($B1263,[2]Time_S4!$B:$G,6,0)</f>
        <v>Trung tâm Chỉ huy điều khiển</v>
      </c>
      <c r="X1263" s="365" t="str">
        <f>IF(W1263="Phòng Kinh doanh","Trung tâm Kinh doanh - TCT CNC",+VLOOKUP($B1263,[2]Time_S4!$B:$G,5,0))</f>
        <v>Khối 1 - TCT CNC</v>
      </c>
      <c r="Z1263" s="366"/>
    </row>
    <row r="1264" spans="1:26" hidden="1">
      <c r="A1264" s="367">
        <f>SUBTOTAL(3,$B$15:B1264)</f>
        <v>2</v>
      </c>
      <c r="B1264" s="394" t="s">
        <v>2787</v>
      </c>
      <c r="C1264" s="314" t="s">
        <v>2788</v>
      </c>
      <c r="D1264" s="314" t="s">
        <v>407</v>
      </c>
      <c r="E1264" s="314">
        <v>21</v>
      </c>
      <c r="F1264" s="314">
        <v>21</v>
      </c>
      <c r="G1264" s="314">
        <v>14739540</v>
      </c>
      <c r="H1264" s="359">
        <f t="shared" si="39"/>
        <v>13953132</v>
      </c>
      <c r="K1264" s="362"/>
      <c r="M1264" s="361">
        <v>599168</v>
      </c>
      <c r="N1264" s="361">
        <v>1310680</v>
      </c>
      <c r="O1264" s="361">
        <v>112344</v>
      </c>
      <c r="P1264" s="361">
        <v>224688</v>
      </c>
      <c r="Q1264" s="361">
        <v>74896</v>
      </c>
      <c r="R1264" s="361">
        <v>74896</v>
      </c>
      <c r="S1264" s="361">
        <v>149792</v>
      </c>
      <c r="T1264" s="390">
        <v>930000</v>
      </c>
      <c r="U1264" s="364">
        <f t="shared" si="40"/>
        <v>17429596</v>
      </c>
      <c r="W1264" s="365" t="str">
        <f>+VLOOKUP($B1264,[2]Time_S4!$B:$G,6,0)</f>
        <v>Trung tâm Khí cụ bay</v>
      </c>
      <c r="X1264" s="365" t="str">
        <f>IF(W1264="Phòng Kinh doanh","Trung tâm Kinh doanh - TCT CNC",+VLOOKUP($B1264,[2]Time_S4!$B:$G,5,0))</f>
        <v>Khối 1 - TCT CNC</v>
      </c>
      <c r="Z1264" s="366"/>
    </row>
    <row r="1265" spans="1:26" hidden="1">
      <c r="A1265" s="367">
        <f>SUBTOTAL(3,$B$15:B1265)</f>
        <v>2</v>
      </c>
      <c r="B1265" s="394" t="s">
        <v>2789</v>
      </c>
      <c r="C1265" s="314" t="s">
        <v>1386</v>
      </c>
      <c r="D1265" s="314" t="s">
        <v>407</v>
      </c>
      <c r="E1265" s="314">
        <v>21</v>
      </c>
      <c r="F1265" s="314">
        <v>15</v>
      </c>
      <c r="G1265" s="314">
        <v>9857143</v>
      </c>
      <c r="H1265" s="359">
        <f t="shared" si="39"/>
        <v>9070735</v>
      </c>
      <c r="K1265" s="362"/>
      <c r="M1265" s="361">
        <v>599168</v>
      </c>
      <c r="N1265" s="361">
        <v>1310680</v>
      </c>
      <c r="O1265" s="361">
        <v>112344</v>
      </c>
      <c r="P1265" s="361">
        <v>224688</v>
      </c>
      <c r="Q1265" s="361">
        <v>74896</v>
      </c>
      <c r="R1265" s="361">
        <v>74896</v>
      </c>
      <c r="S1265" s="361">
        <v>149792</v>
      </c>
      <c r="T1265" s="390">
        <v>664286</v>
      </c>
      <c r="U1265" s="364">
        <f t="shared" si="40"/>
        <v>12281485</v>
      </c>
      <c r="W1265" s="365" t="str">
        <f>+VLOOKUP($B1265,[2]Time_S4!$B:$G,6,0)</f>
        <v>Trung tâm Tác chiến điện tử</v>
      </c>
      <c r="X1265" s="365" t="str">
        <f>IF(W1265="Phòng Kinh doanh","Trung tâm Kinh doanh - TCT CNC",+VLOOKUP($B1265,[2]Time_S4!$B:$G,5,0))</f>
        <v>Khối 1 - TCT CNC</v>
      </c>
      <c r="Z1265" s="366"/>
    </row>
    <row r="1266" spans="1:26" hidden="1">
      <c r="A1266" s="367">
        <f>SUBTOTAL(3,$B$15:B1266)</f>
        <v>2</v>
      </c>
      <c r="B1266" s="394" t="s">
        <v>2790</v>
      </c>
      <c r="C1266" s="314" t="s">
        <v>2791</v>
      </c>
      <c r="D1266" s="314" t="s">
        <v>407</v>
      </c>
      <c r="E1266" s="314">
        <v>21</v>
      </c>
      <c r="F1266" s="314">
        <v>21</v>
      </c>
      <c r="G1266" s="314">
        <v>12650000</v>
      </c>
      <c r="H1266" s="359">
        <f t="shared" si="39"/>
        <v>11905256</v>
      </c>
      <c r="K1266" s="362"/>
      <c r="M1266" s="361">
        <v>567424</v>
      </c>
      <c r="N1266" s="361">
        <v>1241240</v>
      </c>
      <c r="O1266" s="361">
        <v>106392</v>
      </c>
      <c r="P1266" s="361">
        <v>212784</v>
      </c>
      <c r="Q1266" s="361">
        <v>70928</v>
      </c>
      <c r="R1266" s="361">
        <v>70928</v>
      </c>
      <c r="S1266" s="361">
        <v>141856</v>
      </c>
      <c r="T1266" s="390">
        <v>930000</v>
      </c>
      <c r="U1266" s="364">
        <f t="shared" si="40"/>
        <v>15246808</v>
      </c>
      <c r="W1266" s="365" t="str">
        <f>+VLOOKUP($B1266,[2]Time_S4!$B:$G,6,0)</f>
        <v>Trung tâm Nghiên cứu Công nghệ truyền dẫn</v>
      </c>
      <c r="X1266" s="365" t="str">
        <f>IF(W1266="Phòng Kinh doanh","Trung tâm Kinh doanh - TCT CNC",+VLOOKUP($B1266,[2]Time_S4!$B:$G,5,0))</f>
        <v>Khối 2 - TCT CNC</v>
      </c>
      <c r="Z1266" s="366"/>
    </row>
    <row r="1267" spans="1:26" hidden="1">
      <c r="A1267" s="367">
        <f>SUBTOTAL(3,$B$15:B1267)</f>
        <v>2</v>
      </c>
      <c r="B1267" s="394" t="s">
        <v>2792</v>
      </c>
      <c r="C1267" s="314" t="s">
        <v>2793</v>
      </c>
      <c r="D1267" s="314" t="s">
        <v>407</v>
      </c>
      <c r="E1267" s="314">
        <v>21</v>
      </c>
      <c r="F1267" s="314">
        <v>21</v>
      </c>
      <c r="G1267" s="314">
        <v>12650000</v>
      </c>
      <c r="H1267" s="359">
        <f t="shared" si="39"/>
        <v>11905256</v>
      </c>
      <c r="K1267" s="362"/>
      <c r="M1267" s="361">
        <v>567424</v>
      </c>
      <c r="N1267" s="361">
        <v>1241240</v>
      </c>
      <c r="O1267" s="361">
        <v>106392</v>
      </c>
      <c r="P1267" s="361">
        <v>212784</v>
      </c>
      <c r="Q1267" s="361">
        <v>70928</v>
      </c>
      <c r="R1267" s="361">
        <v>70928</v>
      </c>
      <c r="S1267" s="361">
        <v>141856</v>
      </c>
      <c r="T1267" s="390">
        <v>1230000</v>
      </c>
      <c r="U1267" s="364">
        <f t="shared" si="40"/>
        <v>15546808</v>
      </c>
      <c r="W1267" s="365" t="str">
        <f>+VLOOKUP($B1267,[2]Time_S4!$B:$G,6,0)</f>
        <v>Trung tâm dịch vụ sau bán hàng</v>
      </c>
      <c r="X1267" s="365" t="str">
        <f>IF(W1267="Phòng Kinh doanh","Trung tâm Kinh doanh - TCT CNC",+VLOOKUP($B1267,[2]Time_S4!$B:$G,5,0))</f>
        <v>Khối 2 - TCT CNC</v>
      </c>
      <c r="Z1267" s="366"/>
    </row>
    <row r="1268" spans="1:26" hidden="1">
      <c r="A1268" s="367">
        <f>SUBTOTAL(3,$B$15:B1268)</f>
        <v>2</v>
      </c>
      <c r="B1268" s="394" t="s">
        <v>2794</v>
      </c>
      <c r="C1268" s="314" t="s">
        <v>2795</v>
      </c>
      <c r="D1268" s="314" t="s">
        <v>407</v>
      </c>
      <c r="E1268" s="314">
        <v>21</v>
      </c>
      <c r="F1268" s="314">
        <v>21</v>
      </c>
      <c r="G1268" s="314">
        <v>13800000</v>
      </c>
      <c r="H1268" s="359">
        <f t="shared" si="39"/>
        <v>13013592</v>
      </c>
      <c r="K1268" s="362"/>
      <c r="M1268" s="361">
        <v>599168</v>
      </c>
      <c r="N1268" s="361">
        <v>1310680</v>
      </c>
      <c r="O1268" s="361">
        <v>112344</v>
      </c>
      <c r="P1268" s="361">
        <v>224688</v>
      </c>
      <c r="Q1268" s="361">
        <v>74896</v>
      </c>
      <c r="R1268" s="361">
        <v>74896</v>
      </c>
      <c r="S1268" s="361">
        <v>149792</v>
      </c>
      <c r="T1268" s="390">
        <v>930000</v>
      </c>
      <c r="U1268" s="364">
        <f t="shared" si="40"/>
        <v>16490056</v>
      </c>
      <c r="W1268" s="365" t="str">
        <f>+VLOOKUP($B1268,[2]Time_S4!$B:$G,6,0)</f>
        <v>Trung tâm Chỉ huy điều khiển</v>
      </c>
      <c r="X1268" s="365" t="str">
        <f>IF(W1268="Phòng Kinh doanh","Trung tâm Kinh doanh - TCT CNC",+VLOOKUP($B1268,[2]Time_S4!$B:$G,5,0))</f>
        <v>Khối 1 - TCT CNC</v>
      </c>
      <c r="Z1268" s="366"/>
    </row>
    <row r="1269" spans="1:26" hidden="1">
      <c r="A1269" s="367">
        <f>SUBTOTAL(3,$B$15:B1269)</f>
        <v>2</v>
      </c>
      <c r="B1269" s="394" t="s">
        <v>2796</v>
      </c>
      <c r="C1269" s="314" t="s">
        <v>2797</v>
      </c>
      <c r="D1269" s="314" t="s">
        <v>407</v>
      </c>
      <c r="E1269" s="314">
        <v>21</v>
      </c>
      <c r="F1269" s="314">
        <v>21</v>
      </c>
      <c r="G1269" s="314">
        <v>10000000</v>
      </c>
      <c r="H1269" s="359">
        <f t="shared" si="39"/>
        <v>9291712</v>
      </c>
      <c r="K1269" s="362"/>
      <c r="M1269" s="361">
        <v>539648</v>
      </c>
      <c r="N1269" s="361">
        <v>1180480</v>
      </c>
      <c r="O1269" s="361">
        <v>101184</v>
      </c>
      <c r="P1269" s="361">
        <v>202368</v>
      </c>
      <c r="Q1269" s="361">
        <v>67456</v>
      </c>
      <c r="R1269" s="361">
        <v>67456</v>
      </c>
      <c r="S1269" s="361">
        <v>134912</v>
      </c>
      <c r="T1269" s="390">
        <v>930000</v>
      </c>
      <c r="U1269" s="364">
        <f t="shared" si="40"/>
        <v>12515216</v>
      </c>
      <c r="W1269" s="365" t="str">
        <f>+VLOOKUP($B1269,[2]Time_S4!$B:$G,6,0)</f>
        <v>Trung tâm Chỉ huy điều khiển</v>
      </c>
      <c r="X1269" s="365" t="str">
        <f>IF(W1269="Phòng Kinh doanh","Trung tâm Kinh doanh - TCT CNC",+VLOOKUP($B1269,[2]Time_S4!$B:$G,5,0))</f>
        <v>Khối 1 - TCT CNC</v>
      </c>
      <c r="Z1269" s="366"/>
    </row>
    <row r="1270" spans="1:26" hidden="1">
      <c r="A1270" s="367">
        <f>SUBTOTAL(3,$B$15:B1270)</f>
        <v>2</v>
      </c>
      <c r="B1270" s="394" t="s">
        <v>2798</v>
      </c>
      <c r="C1270" s="314" t="s">
        <v>2799</v>
      </c>
      <c r="D1270" s="314" t="s">
        <v>407</v>
      </c>
      <c r="E1270" s="314">
        <v>21</v>
      </c>
      <c r="F1270" s="314">
        <v>21</v>
      </c>
      <c r="G1270" s="314">
        <v>14585600</v>
      </c>
      <c r="H1270" s="359">
        <f t="shared" si="39"/>
        <v>13799192</v>
      </c>
      <c r="K1270" s="362"/>
      <c r="M1270" s="361">
        <v>599168</v>
      </c>
      <c r="N1270" s="361">
        <v>1310680</v>
      </c>
      <c r="O1270" s="361">
        <v>112344</v>
      </c>
      <c r="P1270" s="361">
        <v>224688</v>
      </c>
      <c r="Q1270" s="361">
        <v>74896</v>
      </c>
      <c r="R1270" s="361">
        <v>74896</v>
      </c>
      <c r="S1270" s="361">
        <v>149792</v>
      </c>
      <c r="T1270" s="390">
        <v>930000</v>
      </c>
      <c r="U1270" s="364">
        <f t="shared" si="40"/>
        <v>17275656</v>
      </c>
      <c r="W1270" s="365" t="str">
        <f>+VLOOKUP($B1270,[2]Time_S4!$B:$G,6,0)</f>
        <v>Trung tâm Rada</v>
      </c>
      <c r="X1270" s="365" t="str">
        <f>IF(W1270="Phòng Kinh doanh","Trung tâm Kinh doanh - TCT CNC",+VLOOKUP($B1270,[2]Time_S4!$B:$G,5,0))</f>
        <v>Khối 1 - TCT CNC</v>
      </c>
      <c r="Z1270" s="366"/>
    </row>
    <row r="1271" spans="1:26" hidden="1">
      <c r="A1271" s="367">
        <f>SUBTOTAL(3,$B$15:B1271)</f>
        <v>2</v>
      </c>
      <c r="B1271" s="394" t="s">
        <v>2800</v>
      </c>
      <c r="C1271" s="314" t="s">
        <v>2801</v>
      </c>
      <c r="D1271" s="314" t="s">
        <v>407</v>
      </c>
      <c r="E1271" s="314">
        <v>21</v>
      </c>
      <c r="F1271" s="314">
        <v>21</v>
      </c>
      <c r="G1271" s="314">
        <v>12650000</v>
      </c>
      <c r="H1271" s="359">
        <f t="shared" si="39"/>
        <v>11905256</v>
      </c>
      <c r="K1271" s="362"/>
      <c r="M1271" s="361">
        <v>567424</v>
      </c>
      <c r="N1271" s="361">
        <v>1241240</v>
      </c>
      <c r="O1271" s="361">
        <v>106392</v>
      </c>
      <c r="P1271" s="361">
        <v>212784</v>
      </c>
      <c r="Q1271" s="361">
        <v>70928</v>
      </c>
      <c r="R1271" s="361">
        <v>70928</v>
      </c>
      <c r="S1271" s="361">
        <v>141856</v>
      </c>
      <c r="T1271" s="390">
        <v>930000</v>
      </c>
      <c r="U1271" s="364">
        <f t="shared" si="40"/>
        <v>15246808</v>
      </c>
      <c r="W1271" s="365" t="str">
        <f>+VLOOKUP($B1271,[2]Time_S4!$B:$G,6,0)</f>
        <v>Trung tâm Mô hình mô phỏng</v>
      </c>
      <c r="X1271" s="365" t="str">
        <f>IF(W1271="Phòng Kinh doanh","Trung tâm Kinh doanh - TCT CNC",+VLOOKUP($B1271,[2]Time_S4!$B:$G,5,0))</f>
        <v>Khối 1 - TCT CNC</v>
      </c>
      <c r="Z1271" s="366"/>
    </row>
    <row r="1272" spans="1:26" hidden="1">
      <c r="A1272" s="367">
        <f>SUBTOTAL(3,$B$15:B1272)</f>
        <v>2</v>
      </c>
      <c r="B1272" s="394" t="s">
        <v>2802</v>
      </c>
      <c r="C1272" s="314" t="s">
        <v>2803</v>
      </c>
      <c r="D1272" s="314" t="s">
        <v>407</v>
      </c>
      <c r="E1272" s="314">
        <v>21</v>
      </c>
      <c r="F1272" s="314">
        <v>21</v>
      </c>
      <c r="G1272" s="314">
        <v>14739540</v>
      </c>
      <c r="H1272" s="359">
        <f t="shared" si="39"/>
        <v>13953132</v>
      </c>
      <c r="K1272" s="362"/>
      <c r="M1272" s="361">
        <v>599168</v>
      </c>
      <c r="N1272" s="361">
        <v>1310680</v>
      </c>
      <c r="O1272" s="361">
        <v>112344</v>
      </c>
      <c r="P1272" s="361">
        <v>224688</v>
      </c>
      <c r="Q1272" s="361">
        <v>74896</v>
      </c>
      <c r="R1272" s="361">
        <v>74896</v>
      </c>
      <c r="S1272" s="361">
        <v>149792</v>
      </c>
      <c r="T1272" s="390">
        <v>930000</v>
      </c>
      <c r="U1272" s="364">
        <f t="shared" si="40"/>
        <v>17429596</v>
      </c>
      <c r="W1272" s="365" t="str">
        <f>+VLOOKUP($B1272,[2]Time_S4!$B:$G,6,0)</f>
        <v>Trung tâm Thông tin Quân sự</v>
      </c>
      <c r="X1272" s="365" t="str">
        <f>IF(W1272="Phòng Kinh doanh","Trung tâm Kinh doanh - TCT CNC",+VLOOKUP($B1272,[2]Time_S4!$B:$G,5,0))</f>
        <v>Khối 1 - TCT CNC</v>
      </c>
      <c r="Z1272" s="366"/>
    </row>
    <row r="1273" spans="1:26" hidden="1">
      <c r="A1273" s="367">
        <f>SUBTOTAL(3,$B$15:B1273)</f>
        <v>2</v>
      </c>
      <c r="B1273" s="394" t="s">
        <v>2804</v>
      </c>
      <c r="C1273" s="314" t="s">
        <v>2805</v>
      </c>
      <c r="D1273" s="314" t="s">
        <v>410</v>
      </c>
      <c r="E1273" s="314">
        <v>21</v>
      </c>
      <c r="F1273" s="314">
        <v>21</v>
      </c>
      <c r="G1273" s="314">
        <v>25335600</v>
      </c>
      <c r="H1273" s="359">
        <f t="shared" si="39"/>
        <v>23358768</v>
      </c>
      <c r="K1273" s="362"/>
      <c r="M1273" s="361">
        <v>1976832</v>
      </c>
      <c r="N1273" s="361">
        <v>4324320</v>
      </c>
      <c r="O1273" s="361">
        <v>0</v>
      </c>
      <c r="P1273" s="361">
        <v>0</v>
      </c>
      <c r="Q1273" s="361">
        <v>0</v>
      </c>
      <c r="R1273" s="361">
        <v>0</v>
      </c>
      <c r="S1273" s="361">
        <v>494208</v>
      </c>
      <c r="T1273" s="390">
        <v>1030000</v>
      </c>
      <c r="U1273" s="364">
        <f t="shared" si="40"/>
        <v>31184128</v>
      </c>
      <c r="W1273" s="365" t="str">
        <f>+VLOOKUP($B1273,[2]Time_S4!$B:$G,6,0)</f>
        <v>Trung tâm Khí cụ bay</v>
      </c>
      <c r="X1273" s="365" t="str">
        <f>IF(W1273="Phòng Kinh doanh","Trung tâm Kinh doanh - TCT CNC",+VLOOKUP($B1273,[2]Time_S4!$B:$G,5,0))</f>
        <v>Khối 1 - TCT CNC</v>
      </c>
      <c r="Z1273" s="366"/>
    </row>
    <row r="1274" spans="1:26" hidden="1">
      <c r="A1274" s="367">
        <f>SUBTOTAL(3,$B$15:B1274)</f>
        <v>2</v>
      </c>
      <c r="B1274" s="394" t="s">
        <v>2806</v>
      </c>
      <c r="C1274" s="314" t="s">
        <v>1505</v>
      </c>
      <c r="D1274" s="314" t="s">
        <v>407</v>
      </c>
      <c r="E1274" s="314">
        <v>21</v>
      </c>
      <c r="F1274" s="314">
        <v>21</v>
      </c>
      <c r="G1274" s="314">
        <v>12650000</v>
      </c>
      <c r="H1274" s="359">
        <f t="shared" si="39"/>
        <v>11905256</v>
      </c>
      <c r="K1274" s="362"/>
      <c r="M1274" s="361">
        <v>567424</v>
      </c>
      <c r="N1274" s="361">
        <v>1241240</v>
      </c>
      <c r="O1274" s="361">
        <v>106392</v>
      </c>
      <c r="P1274" s="361">
        <v>212784</v>
      </c>
      <c r="Q1274" s="361">
        <v>70928</v>
      </c>
      <c r="R1274" s="361">
        <v>70928</v>
      </c>
      <c r="S1274" s="361">
        <v>141856</v>
      </c>
      <c r="T1274" s="390">
        <v>930000</v>
      </c>
      <c r="U1274" s="364">
        <f t="shared" si="40"/>
        <v>15246808</v>
      </c>
      <c r="W1274" s="365" t="str">
        <f>+VLOOKUP($B1274,[2]Time_S4!$B:$G,6,0)</f>
        <v>Trung tâm Chỉ huy điều khiển</v>
      </c>
      <c r="X1274" s="365" t="str">
        <f>IF(W1274="Phòng Kinh doanh","Trung tâm Kinh doanh - TCT CNC",+VLOOKUP($B1274,[2]Time_S4!$B:$G,5,0))</f>
        <v>Khối 1 - TCT CNC</v>
      </c>
      <c r="Z1274" s="366"/>
    </row>
    <row r="1275" spans="1:26" hidden="1">
      <c r="A1275" s="367">
        <f>SUBTOTAL(3,$B$15:B1275)</f>
        <v>2</v>
      </c>
      <c r="B1275" s="394" t="s">
        <v>2807</v>
      </c>
      <c r="C1275" s="314" t="s">
        <v>2808</v>
      </c>
      <c r="D1275" s="314" t="s">
        <v>407</v>
      </c>
      <c r="E1275" s="314">
        <v>21</v>
      </c>
      <c r="F1275" s="314">
        <v>21</v>
      </c>
      <c r="G1275" s="314">
        <v>12100000</v>
      </c>
      <c r="H1275" s="359">
        <f t="shared" si="39"/>
        <v>11391712</v>
      </c>
      <c r="K1275" s="362"/>
      <c r="M1275" s="361">
        <v>539648</v>
      </c>
      <c r="N1275" s="361">
        <v>1180480</v>
      </c>
      <c r="O1275" s="361">
        <v>101184</v>
      </c>
      <c r="P1275" s="361">
        <v>202368</v>
      </c>
      <c r="Q1275" s="361">
        <v>67456</v>
      </c>
      <c r="R1275" s="361">
        <v>67456</v>
      </c>
      <c r="S1275" s="361">
        <v>134912</v>
      </c>
      <c r="T1275" s="390">
        <v>930000</v>
      </c>
      <c r="U1275" s="364">
        <f t="shared" si="40"/>
        <v>14615216</v>
      </c>
      <c r="W1275" s="365" t="str">
        <f>+VLOOKUP($B1275,[2]Time_S4!$B:$G,6,0)</f>
        <v>Trung tâm Chỉ huy điều khiển</v>
      </c>
      <c r="X1275" s="365" t="str">
        <f>IF(W1275="Phòng Kinh doanh","Trung tâm Kinh doanh - TCT CNC",+VLOOKUP($B1275,[2]Time_S4!$B:$G,5,0))</f>
        <v>Khối 1 - TCT CNC</v>
      </c>
      <c r="Z1275" s="366"/>
    </row>
    <row r="1276" spans="1:26" hidden="1">
      <c r="A1276" s="367">
        <f>SUBTOTAL(3,$B$15:B1276)</f>
        <v>2</v>
      </c>
      <c r="B1276" s="394" t="s">
        <v>2809</v>
      </c>
      <c r="C1276" s="314" t="s">
        <v>2810</v>
      </c>
      <c r="D1276" s="314" t="s">
        <v>407</v>
      </c>
      <c r="E1276" s="314">
        <v>21</v>
      </c>
      <c r="F1276" s="314">
        <v>21</v>
      </c>
      <c r="G1276" s="314">
        <v>10334620</v>
      </c>
      <c r="H1276" s="359">
        <f t="shared" si="39"/>
        <v>9626332</v>
      </c>
      <c r="K1276" s="362"/>
      <c r="M1276" s="361">
        <v>539648</v>
      </c>
      <c r="N1276" s="361">
        <v>1180480</v>
      </c>
      <c r="O1276" s="361">
        <v>101184</v>
      </c>
      <c r="P1276" s="361">
        <v>202368</v>
      </c>
      <c r="Q1276" s="361">
        <v>67456</v>
      </c>
      <c r="R1276" s="361">
        <v>67456</v>
      </c>
      <c r="S1276" s="361">
        <v>134912</v>
      </c>
      <c r="T1276" s="390">
        <v>930000</v>
      </c>
      <c r="U1276" s="364">
        <f t="shared" si="40"/>
        <v>12849836</v>
      </c>
      <c r="W1276" s="365" t="str">
        <f>+VLOOKUP($B1276,[2]Time_S4!$B:$G,6,0)</f>
        <v>Trung tâm Chỉ huy điều khiển</v>
      </c>
      <c r="X1276" s="365" t="str">
        <f>IF(W1276="Phòng Kinh doanh","Trung tâm Kinh doanh - TCT CNC",+VLOOKUP($B1276,[2]Time_S4!$B:$G,5,0))</f>
        <v>Khối 1 - TCT CNC</v>
      </c>
      <c r="Z1276" s="366"/>
    </row>
    <row r="1277" spans="1:26" hidden="1">
      <c r="A1277" s="367">
        <f>SUBTOTAL(3,$B$15:B1277)</f>
        <v>2</v>
      </c>
      <c r="B1277" s="394" t="s">
        <v>2811</v>
      </c>
      <c r="C1277" s="314" t="s">
        <v>2812</v>
      </c>
      <c r="D1277" s="314" t="s">
        <v>407</v>
      </c>
      <c r="E1277" s="314">
        <v>21</v>
      </c>
      <c r="F1277" s="314">
        <v>21</v>
      </c>
      <c r="G1277" s="314">
        <v>12100000</v>
      </c>
      <c r="H1277" s="359">
        <f t="shared" si="39"/>
        <v>11391712</v>
      </c>
      <c r="K1277" s="362"/>
      <c r="M1277" s="361">
        <v>539648</v>
      </c>
      <c r="N1277" s="361">
        <v>1180480</v>
      </c>
      <c r="O1277" s="361">
        <v>101184</v>
      </c>
      <c r="P1277" s="361">
        <v>202368</v>
      </c>
      <c r="Q1277" s="361">
        <v>67456</v>
      </c>
      <c r="R1277" s="361">
        <v>67456</v>
      </c>
      <c r="S1277" s="361">
        <v>134912</v>
      </c>
      <c r="T1277" s="390">
        <v>930000</v>
      </c>
      <c r="U1277" s="364">
        <f t="shared" si="40"/>
        <v>14615216</v>
      </c>
      <c r="W1277" s="365" t="str">
        <f>+VLOOKUP($B1277,[2]Time_S4!$B:$G,6,0)</f>
        <v>Trung tâm Chỉ huy điều khiển</v>
      </c>
      <c r="X1277" s="365" t="str">
        <f>IF(W1277="Phòng Kinh doanh","Trung tâm Kinh doanh - TCT CNC",+VLOOKUP($B1277,[2]Time_S4!$B:$G,5,0))</f>
        <v>Khối 1 - TCT CNC</v>
      </c>
      <c r="Z1277" s="366"/>
    </row>
    <row r="1278" spans="1:26" hidden="1">
      <c r="A1278" s="367">
        <f>SUBTOTAL(3,$B$15:B1278)</f>
        <v>2</v>
      </c>
      <c r="B1278" s="394" t="s">
        <v>2813</v>
      </c>
      <c r="C1278" s="314" t="s">
        <v>2814</v>
      </c>
      <c r="D1278" s="314" t="s">
        <v>407</v>
      </c>
      <c r="E1278" s="314">
        <v>21</v>
      </c>
      <c r="F1278" s="314">
        <v>21</v>
      </c>
      <c r="G1278" s="314">
        <v>15870000</v>
      </c>
      <c r="H1278" s="359">
        <f t="shared" si="39"/>
        <v>15041928</v>
      </c>
      <c r="K1278" s="362"/>
      <c r="M1278" s="361">
        <v>630912</v>
      </c>
      <c r="N1278" s="361">
        <v>1380120</v>
      </c>
      <c r="O1278" s="361">
        <v>118296</v>
      </c>
      <c r="P1278" s="361">
        <v>236592</v>
      </c>
      <c r="Q1278" s="361">
        <v>78864</v>
      </c>
      <c r="R1278" s="361">
        <v>78864</v>
      </c>
      <c r="S1278" s="361">
        <v>157728</v>
      </c>
      <c r="T1278" s="390">
        <v>1047000</v>
      </c>
      <c r="U1278" s="364">
        <f t="shared" si="40"/>
        <v>18770304</v>
      </c>
      <c r="W1278" s="365" t="str">
        <f>+VLOOKUP($B1278,[2]Time_S4!$B:$G,6,0)</f>
        <v>Trung tâm Khí cụ bay</v>
      </c>
      <c r="X1278" s="365" t="str">
        <f>IF(W1278="Phòng Kinh doanh","Trung tâm Kinh doanh - TCT CNC",+VLOOKUP($B1278,[2]Time_S4!$B:$G,5,0))</f>
        <v>Khối 1 - TCT CNC</v>
      </c>
      <c r="Z1278" s="366"/>
    </row>
    <row r="1279" spans="1:26" hidden="1">
      <c r="A1279" s="367">
        <f>SUBTOTAL(3,$B$15:B1279)</f>
        <v>2</v>
      </c>
      <c r="B1279" s="394" t="s">
        <v>2815</v>
      </c>
      <c r="C1279" s="314" t="s">
        <v>2816</v>
      </c>
      <c r="D1279" s="314" t="s">
        <v>407</v>
      </c>
      <c r="E1279" s="314">
        <v>21</v>
      </c>
      <c r="F1279" s="314">
        <v>21</v>
      </c>
      <c r="G1279" s="314">
        <v>17215691</v>
      </c>
      <c r="H1279" s="359">
        <f t="shared" si="39"/>
        <v>16361579</v>
      </c>
      <c r="K1279" s="362"/>
      <c r="M1279" s="361">
        <v>650752</v>
      </c>
      <c r="N1279" s="361">
        <v>1423520</v>
      </c>
      <c r="O1279" s="361">
        <v>122016</v>
      </c>
      <c r="P1279" s="361">
        <v>244032</v>
      </c>
      <c r="Q1279" s="361">
        <v>81344</v>
      </c>
      <c r="R1279" s="361">
        <v>81344</v>
      </c>
      <c r="S1279" s="361">
        <v>162688</v>
      </c>
      <c r="T1279" s="390">
        <v>930000</v>
      </c>
      <c r="U1279" s="364">
        <f t="shared" si="40"/>
        <v>20057275</v>
      </c>
      <c r="W1279" s="365" t="str">
        <f>+VLOOKUP($B1279,[2]Time_S4!$B:$G,6,0)</f>
        <v>Trung tâm Nghiên cứu thiết bị vô tuyến băng rộng</v>
      </c>
      <c r="X1279" s="365" t="str">
        <f>IF(W1279="Phòng Kinh doanh","Trung tâm Kinh doanh - TCT CNC",+VLOOKUP($B1279,[2]Time_S4!$B:$G,5,0))</f>
        <v>Khối 2 - TCT CNC</v>
      </c>
      <c r="Z1279" s="366"/>
    </row>
    <row r="1280" spans="1:26" hidden="1">
      <c r="A1280" s="367">
        <f>SUBTOTAL(3,$B$15:B1280)</f>
        <v>2</v>
      </c>
      <c r="B1280" s="394" t="s">
        <v>2817</v>
      </c>
      <c r="C1280" s="314" t="s">
        <v>2706</v>
      </c>
      <c r="D1280" s="314" t="s">
        <v>407</v>
      </c>
      <c r="E1280" s="314">
        <v>21</v>
      </c>
      <c r="F1280" s="314">
        <v>21</v>
      </c>
      <c r="G1280" s="314">
        <v>12650000</v>
      </c>
      <c r="H1280" s="359">
        <f t="shared" si="39"/>
        <v>11905256</v>
      </c>
      <c r="K1280" s="362"/>
      <c r="M1280" s="361">
        <v>567424</v>
      </c>
      <c r="N1280" s="361">
        <v>1241240</v>
      </c>
      <c r="O1280" s="361">
        <v>106392</v>
      </c>
      <c r="P1280" s="361">
        <v>212784</v>
      </c>
      <c r="Q1280" s="361">
        <v>70928</v>
      </c>
      <c r="R1280" s="361">
        <v>70928</v>
      </c>
      <c r="S1280" s="361">
        <v>141856</v>
      </c>
      <c r="T1280" s="390">
        <v>930000</v>
      </c>
      <c r="U1280" s="364">
        <f t="shared" si="40"/>
        <v>15246808</v>
      </c>
      <c r="W1280" s="365" t="str">
        <f>+VLOOKUP($B1280,[2]Time_S4!$B:$G,6,0)</f>
        <v>Trung tâm Nền tảng IOT</v>
      </c>
      <c r="X1280" s="365" t="str">
        <f>IF(W1280="Phòng Kinh doanh","Trung tâm Kinh doanh - TCT CNC",+VLOOKUP($B1280,[2]Time_S4!$B:$G,5,0))</f>
        <v>Khối 3 - TCT CNC</v>
      </c>
      <c r="Z1280" s="366"/>
    </row>
    <row r="1281" spans="1:26" hidden="1">
      <c r="A1281" s="367">
        <f>SUBTOTAL(3,$B$15:B1281)</f>
        <v>2</v>
      </c>
      <c r="B1281" s="394" t="s">
        <v>2818</v>
      </c>
      <c r="C1281" s="314" t="s">
        <v>2819</v>
      </c>
      <c r="D1281" s="314" t="s">
        <v>407</v>
      </c>
      <c r="E1281" s="314">
        <v>21</v>
      </c>
      <c r="F1281" s="314">
        <v>21</v>
      </c>
      <c r="G1281" s="314">
        <v>12650000</v>
      </c>
      <c r="H1281" s="359">
        <f t="shared" si="39"/>
        <v>11905256</v>
      </c>
      <c r="K1281" s="362"/>
      <c r="M1281" s="361">
        <v>567424</v>
      </c>
      <c r="N1281" s="361">
        <v>1241240</v>
      </c>
      <c r="O1281" s="361">
        <v>106392</v>
      </c>
      <c r="P1281" s="361">
        <v>212784</v>
      </c>
      <c r="Q1281" s="361">
        <v>70928</v>
      </c>
      <c r="R1281" s="361">
        <v>70928</v>
      </c>
      <c r="S1281" s="361">
        <v>141856</v>
      </c>
      <c r="T1281" s="390">
        <v>930000</v>
      </c>
      <c r="U1281" s="364">
        <f t="shared" si="40"/>
        <v>15246808</v>
      </c>
      <c r="W1281" s="365" t="str">
        <f>+VLOOKUP($B1281,[2]Time_S4!$B:$G,6,0)</f>
        <v>Trung tâm Camera</v>
      </c>
      <c r="X1281" s="365" t="str">
        <f>IF(W1281="Phòng Kinh doanh","Trung tâm Kinh doanh - TCT CNC",+VLOOKUP($B1281,[2]Time_S4!$B:$G,5,0))</f>
        <v>Khối 3 - TCT CNC</v>
      </c>
      <c r="Z1281" s="366"/>
    </row>
    <row r="1282" spans="1:26" hidden="1">
      <c r="A1282" s="367">
        <f>SUBTOTAL(3,$B$15:B1282)</f>
        <v>2</v>
      </c>
      <c r="B1282" s="394" t="s">
        <v>2820</v>
      </c>
      <c r="C1282" s="314" t="s">
        <v>2821</v>
      </c>
      <c r="D1282" s="314" t="s">
        <v>407</v>
      </c>
      <c r="E1282" s="314">
        <v>21</v>
      </c>
      <c r="F1282" s="314">
        <v>21</v>
      </c>
      <c r="G1282" s="314">
        <v>21916000</v>
      </c>
      <c r="H1282" s="359">
        <f t="shared" si="39"/>
        <v>20999392</v>
      </c>
      <c r="K1282" s="362"/>
      <c r="M1282" s="361">
        <v>698368</v>
      </c>
      <c r="N1282" s="361">
        <v>1527680</v>
      </c>
      <c r="O1282" s="361">
        <v>130944</v>
      </c>
      <c r="P1282" s="361">
        <v>261888</v>
      </c>
      <c r="Q1282" s="361">
        <v>87296</v>
      </c>
      <c r="R1282" s="361">
        <v>87296</v>
      </c>
      <c r="S1282" s="361">
        <v>174592</v>
      </c>
      <c r="T1282" s="390">
        <v>1030000</v>
      </c>
      <c r="U1282" s="364">
        <f t="shared" si="40"/>
        <v>24997456</v>
      </c>
      <c r="W1282" s="365" t="str">
        <f>+VLOOKUP($B1282,[2]Time_S4!$B:$G,6,0)</f>
        <v>Trung tâm Quang điện tử</v>
      </c>
      <c r="X1282" s="365" t="str">
        <f>IF(W1282="Phòng Kinh doanh","Trung tâm Kinh doanh - TCT CNC",+VLOOKUP($B1282,[2]Time_S4!$B:$G,5,0))</f>
        <v>Khối 1 - TCT CNC</v>
      </c>
      <c r="Z1282" s="366"/>
    </row>
    <row r="1283" spans="1:26" hidden="1">
      <c r="A1283" s="367">
        <f>SUBTOTAL(3,$B$15:B1283)</f>
        <v>2</v>
      </c>
      <c r="B1283" s="394" t="s">
        <v>2822</v>
      </c>
      <c r="C1283" s="314" t="s">
        <v>2823</v>
      </c>
      <c r="D1283" s="314" t="s">
        <v>407</v>
      </c>
      <c r="E1283" s="314">
        <v>21</v>
      </c>
      <c r="F1283" s="314">
        <v>21</v>
      </c>
      <c r="G1283" s="314">
        <v>13915000</v>
      </c>
      <c r="H1283" s="359">
        <f t="shared" si="39"/>
        <v>13128592</v>
      </c>
      <c r="K1283" s="362"/>
      <c r="M1283" s="361">
        <v>599168</v>
      </c>
      <c r="N1283" s="361">
        <v>1310680</v>
      </c>
      <c r="O1283" s="361">
        <v>112344</v>
      </c>
      <c r="P1283" s="361">
        <v>224688</v>
      </c>
      <c r="Q1283" s="361">
        <v>74896</v>
      </c>
      <c r="R1283" s="361">
        <v>74896</v>
      </c>
      <c r="S1283" s="361">
        <v>149792</v>
      </c>
      <c r="T1283" s="390">
        <v>930000</v>
      </c>
      <c r="U1283" s="364">
        <f t="shared" si="40"/>
        <v>16605056</v>
      </c>
      <c r="W1283" s="365" t="str">
        <f>+VLOOKUP($B1283,[2]Time_S4!$B:$G,6,0)</f>
        <v>Trung tâm Quang điện tử</v>
      </c>
      <c r="X1283" s="365" t="str">
        <f>IF(W1283="Phòng Kinh doanh","Trung tâm Kinh doanh - TCT CNC",+VLOOKUP($B1283,[2]Time_S4!$B:$G,5,0))</f>
        <v>Khối 1 - TCT CNC</v>
      </c>
      <c r="Z1283" s="366"/>
    </row>
    <row r="1284" spans="1:26" hidden="1">
      <c r="A1284" s="367">
        <f>SUBTOTAL(3,$B$15:B1284)</f>
        <v>2</v>
      </c>
      <c r="B1284" s="394" t="s">
        <v>2824</v>
      </c>
      <c r="C1284" s="314" t="s">
        <v>2825</v>
      </c>
      <c r="D1284" s="314" t="s">
        <v>407</v>
      </c>
      <c r="E1284" s="314">
        <v>21</v>
      </c>
      <c r="F1284" s="314">
        <v>21</v>
      </c>
      <c r="G1284" s="314">
        <v>14433380</v>
      </c>
      <c r="H1284" s="359">
        <f t="shared" si="39"/>
        <v>13646972</v>
      </c>
      <c r="K1284" s="362"/>
      <c r="M1284" s="361">
        <v>599168</v>
      </c>
      <c r="N1284" s="361">
        <v>1310680</v>
      </c>
      <c r="O1284" s="361">
        <v>112344</v>
      </c>
      <c r="P1284" s="361">
        <v>224688</v>
      </c>
      <c r="Q1284" s="361">
        <v>74896</v>
      </c>
      <c r="R1284" s="361">
        <v>74896</v>
      </c>
      <c r="S1284" s="361">
        <v>149792</v>
      </c>
      <c r="T1284" s="390">
        <v>930000</v>
      </c>
      <c r="U1284" s="364">
        <f t="shared" si="40"/>
        <v>17123436</v>
      </c>
      <c r="W1284" s="365" t="str">
        <f>+VLOOKUP($B1284,[2]Time_S4!$B:$G,6,0)</f>
        <v>Trung tâm Camera</v>
      </c>
      <c r="X1284" s="365" t="str">
        <f>IF(W1284="Phòng Kinh doanh","Trung tâm Kinh doanh - TCT CNC",+VLOOKUP($B1284,[2]Time_S4!$B:$G,5,0))</f>
        <v>Khối 3 - TCT CNC</v>
      </c>
      <c r="Z1284" s="366"/>
    </row>
    <row r="1285" spans="1:26" hidden="1">
      <c r="A1285" s="367">
        <f>SUBTOTAL(3,$B$15:B1285)</f>
        <v>2</v>
      </c>
      <c r="B1285" s="394" t="s">
        <v>2826</v>
      </c>
      <c r="C1285" s="314" t="s">
        <v>2827</v>
      </c>
      <c r="D1285" s="314" t="s">
        <v>407</v>
      </c>
      <c r="E1285" s="314">
        <v>21</v>
      </c>
      <c r="F1285" s="314">
        <v>21</v>
      </c>
      <c r="G1285" s="314">
        <v>11000000</v>
      </c>
      <c r="H1285" s="359">
        <f t="shared" si="39"/>
        <v>10291712</v>
      </c>
      <c r="K1285" s="362"/>
      <c r="M1285" s="361">
        <v>539648</v>
      </c>
      <c r="N1285" s="361">
        <v>1180480</v>
      </c>
      <c r="O1285" s="361">
        <v>101184</v>
      </c>
      <c r="P1285" s="361">
        <v>202368</v>
      </c>
      <c r="Q1285" s="361">
        <v>67456</v>
      </c>
      <c r="R1285" s="361">
        <v>67456</v>
      </c>
      <c r="S1285" s="361">
        <v>134912</v>
      </c>
      <c r="T1285" s="390">
        <v>930000</v>
      </c>
      <c r="U1285" s="364">
        <f t="shared" si="40"/>
        <v>13515216</v>
      </c>
      <c r="W1285" s="365" t="str">
        <f>+VLOOKUP($B1285,[2]Time_S4!$B:$G,6,0)</f>
        <v>Trung tâm Rada</v>
      </c>
      <c r="X1285" s="365" t="str">
        <f>IF(W1285="Phòng Kinh doanh","Trung tâm Kinh doanh - TCT CNC",+VLOOKUP($B1285,[2]Time_S4!$B:$G,5,0))</f>
        <v>Khối 1 - TCT CNC</v>
      </c>
      <c r="Z1285" s="366"/>
    </row>
    <row r="1286" spans="1:26" hidden="1">
      <c r="A1286" s="367">
        <f>SUBTOTAL(3,$B$15:B1286)</f>
        <v>2</v>
      </c>
      <c r="B1286" s="394" t="s">
        <v>2828</v>
      </c>
      <c r="C1286" s="314" t="s">
        <v>2829</v>
      </c>
      <c r="D1286" s="314" t="s">
        <v>407</v>
      </c>
      <c r="E1286" s="314">
        <v>21</v>
      </c>
      <c r="F1286" s="314">
        <v>21</v>
      </c>
      <c r="G1286" s="314">
        <v>14366786</v>
      </c>
      <c r="H1286" s="359">
        <f t="shared" si="39"/>
        <v>13580378</v>
      </c>
      <c r="K1286" s="362"/>
      <c r="M1286" s="361">
        <v>599168</v>
      </c>
      <c r="N1286" s="361">
        <v>1310680</v>
      </c>
      <c r="O1286" s="361">
        <v>112344</v>
      </c>
      <c r="P1286" s="361">
        <v>224688</v>
      </c>
      <c r="Q1286" s="361">
        <v>74896</v>
      </c>
      <c r="R1286" s="361">
        <v>74896</v>
      </c>
      <c r="S1286" s="361">
        <v>149792</v>
      </c>
      <c r="T1286" s="390">
        <v>930000</v>
      </c>
      <c r="U1286" s="364">
        <f t="shared" si="40"/>
        <v>17056842</v>
      </c>
      <c r="W1286" s="365" t="str">
        <f>+VLOOKUP($B1286,[2]Time_S4!$B:$G,6,0)</f>
        <v>Trung tâm Tác chiến điện tử</v>
      </c>
      <c r="X1286" s="365" t="str">
        <f>IF(W1286="Phòng Kinh doanh","Trung tâm Kinh doanh - TCT CNC",+VLOOKUP($B1286,[2]Time_S4!$B:$G,5,0))</f>
        <v>Khối 1 - TCT CNC</v>
      </c>
      <c r="Z1286" s="366"/>
    </row>
    <row r="1287" spans="1:26" hidden="1">
      <c r="A1287" s="367">
        <f>SUBTOTAL(3,$B$15:B1287)</f>
        <v>2</v>
      </c>
      <c r="B1287" s="394" t="s">
        <v>2830</v>
      </c>
      <c r="C1287" s="314" t="s">
        <v>2831</v>
      </c>
      <c r="D1287" s="314" t="s">
        <v>407</v>
      </c>
      <c r="E1287" s="314">
        <v>21</v>
      </c>
      <c r="F1287" s="314">
        <v>21</v>
      </c>
      <c r="G1287" s="314">
        <v>13200000</v>
      </c>
      <c r="H1287" s="359">
        <f t="shared" si="39"/>
        <v>12455256</v>
      </c>
      <c r="K1287" s="362"/>
      <c r="M1287" s="361">
        <v>567424</v>
      </c>
      <c r="N1287" s="361">
        <v>1241240</v>
      </c>
      <c r="O1287" s="361">
        <v>106392</v>
      </c>
      <c r="P1287" s="361">
        <v>212784</v>
      </c>
      <c r="Q1287" s="361">
        <v>70928</v>
      </c>
      <c r="R1287" s="361">
        <v>70928</v>
      </c>
      <c r="S1287" s="361">
        <v>141856</v>
      </c>
      <c r="T1287" s="390">
        <v>930000</v>
      </c>
      <c r="U1287" s="364">
        <f t="shared" si="40"/>
        <v>15796808</v>
      </c>
      <c r="W1287" s="365" t="str">
        <f>+VLOOKUP($B1287,[2]Time_S4!$B:$G,6,0)</f>
        <v>Trung tâm Thông tin Quân sự</v>
      </c>
      <c r="X1287" s="365" t="str">
        <f>IF(W1287="Phòng Kinh doanh","Trung tâm Kinh doanh - TCT CNC",+VLOOKUP($B1287,[2]Time_S4!$B:$G,5,0))</f>
        <v>Khối 1 - TCT CNC</v>
      </c>
      <c r="Z1287" s="366"/>
    </row>
    <row r="1288" spans="1:26" hidden="1">
      <c r="A1288" s="367">
        <f>SUBTOTAL(3,$B$15:B1288)</f>
        <v>2</v>
      </c>
      <c r="B1288" s="394" t="s">
        <v>2832</v>
      </c>
      <c r="C1288" s="314" t="s">
        <v>2833</v>
      </c>
      <c r="D1288" s="314" t="s">
        <v>407</v>
      </c>
      <c r="E1288" s="314">
        <v>21</v>
      </c>
      <c r="F1288" s="314">
        <v>21</v>
      </c>
      <c r="G1288" s="314">
        <v>13800000</v>
      </c>
      <c r="H1288" s="359">
        <f t="shared" si="39"/>
        <v>13013592</v>
      </c>
      <c r="K1288" s="362"/>
      <c r="M1288" s="361">
        <v>599168</v>
      </c>
      <c r="N1288" s="361">
        <v>1310680</v>
      </c>
      <c r="O1288" s="361">
        <v>112344</v>
      </c>
      <c r="P1288" s="361">
        <v>224688</v>
      </c>
      <c r="Q1288" s="361">
        <v>74896</v>
      </c>
      <c r="R1288" s="361">
        <v>74896</v>
      </c>
      <c r="S1288" s="361">
        <v>149792</v>
      </c>
      <c r="T1288" s="390">
        <v>930000</v>
      </c>
      <c r="U1288" s="364">
        <f t="shared" si="40"/>
        <v>16490056</v>
      </c>
      <c r="W1288" s="365" t="str">
        <f>+VLOOKUP($B1288,[2]Time_S4!$B:$G,6,0)</f>
        <v>Trung tâm Chỉ huy điều khiển</v>
      </c>
      <c r="X1288" s="365" t="str">
        <f>IF(W1288="Phòng Kinh doanh","Trung tâm Kinh doanh - TCT CNC",+VLOOKUP($B1288,[2]Time_S4!$B:$G,5,0))</f>
        <v>Khối 1 - TCT CNC</v>
      </c>
      <c r="Z1288" s="366"/>
    </row>
    <row r="1289" spans="1:26" hidden="1">
      <c r="A1289" s="367">
        <f>SUBTOTAL(3,$B$15:B1289)</f>
        <v>2</v>
      </c>
      <c r="B1289" s="394" t="s">
        <v>2834</v>
      </c>
      <c r="C1289" s="314" t="s">
        <v>2835</v>
      </c>
      <c r="D1289" s="314" t="s">
        <v>407</v>
      </c>
      <c r="E1289" s="314">
        <v>21</v>
      </c>
      <c r="F1289" s="314">
        <v>21</v>
      </c>
      <c r="G1289" s="314">
        <v>12430952</v>
      </c>
      <c r="H1289" s="359">
        <f t="shared" si="39"/>
        <v>11686208</v>
      </c>
      <c r="K1289" s="362"/>
      <c r="M1289" s="361">
        <v>567424</v>
      </c>
      <c r="N1289" s="361">
        <v>1241240</v>
      </c>
      <c r="O1289" s="361">
        <v>106392</v>
      </c>
      <c r="P1289" s="361">
        <v>212784</v>
      </c>
      <c r="Q1289" s="361">
        <v>70928</v>
      </c>
      <c r="R1289" s="361">
        <v>70928</v>
      </c>
      <c r="S1289" s="361">
        <v>141856</v>
      </c>
      <c r="T1289" s="390">
        <v>930000</v>
      </c>
      <c r="U1289" s="364">
        <f t="shared" si="40"/>
        <v>15027760</v>
      </c>
      <c r="W1289" s="365" t="str">
        <f>+VLOOKUP($B1289,[2]Time_S4!$B:$G,6,0)</f>
        <v>Trung tâm Nghiên cứu thiết bị vô tuyến băng rộng</v>
      </c>
      <c r="X1289" s="365" t="str">
        <f>IF(W1289="Phòng Kinh doanh","Trung tâm Kinh doanh - TCT CNC",+VLOOKUP($B1289,[2]Time_S4!$B:$G,5,0))</f>
        <v>Khối 2 - TCT CNC</v>
      </c>
      <c r="Z1289" s="366"/>
    </row>
    <row r="1290" spans="1:26" hidden="1">
      <c r="A1290" s="367">
        <f>SUBTOTAL(3,$B$15:B1290)</f>
        <v>2</v>
      </c>
      <c r="B1290" s="394" t="s">
        <v>2836</v>
      </c>
      <c r="C1290" s="314" t="s">
        <v>2837</v>
      </c>
      <c r="D1290" s="314" t="s">
        <v>407</v>
      </c>
      <c r="E1290" s="314">
        <v>21</v>
      </c>
      <c r="F1290" s="314">
        <v>21</v>
      </c>
      <c r="G1290" s="314">
        <v>11000000</v>
      </c>
      <c r="H1290" s="359">
        <f t="shared" si="39"/>
        <v>10291712</v>
      </c>
      <c r="K1290" s="362"/>
      <c r="M1290" s="361">
        <v>539648</v>
      </c>
      <c r="N1290" s="361">
        <v>1180480</v>
      </c>
      <c r="O1290" s="361">
        <v>101184</v>
      </c>
      <c r="P1290" s="361">
        <v>202368</v>
      </c>
      <c r="Q1290" s="361">
        <v>67456</v>
      </c>
      <c r="R1290" s="361">
        <v>67456</v>
      </c>
      <c r="S1290" s="361">
        <v>134912</v>
      </c>
      <c r="T1290" s="390">
        <v>1047000</v>
      </c>
      <c r="U1290" s="364">
        <f t="shared" si="40"/>
        <v>13632216</v>
      </c>
      <c r="W1290" s="365" t="str">
        <f>+VLOOKUP($B1290,[2]Time_S4!$B:$G,6,0)</f>
        <v>Trung tâm Nghiên cứu Công nghệ chuyển mạch</v>
      </c>
      <c r="X1290" s="365" t="str">
        <f>IF(W1290="Phòng Kinh doanh","Trung tâm Kinh doanh - TCT CNC",+VLOOKUP($B1290,[2]Time_S4!$B:$G,5,0))</f>
        <v>Khối 2 - TCT CNC</v>
      </c>
      <c r="Z1290" s="366"/>
    </row>
    <row r="1291" spans="1:26" hidden="1">
      <c r="A1291" s="367">
        <f>SUBTOTAL(3,$B$15:B1291)</f>
        <v>2</v>
      </c>
      <c r="B1291" s="394" t="s">
        <v>2838</v>
      </c>
      <c r="C1291" s="314" t="s">
        <v>2839</v>
      </c>
      <c r="D1291" s="314" t="s">
        <v>407</v>
      </c>
      <c r="E1291" s="314">
        <v>21</v>
      </c>
      <c r="F1291" s="314">
        <v>21</v>
      </c>
      <c r="G1291" s="314">
        <v>15533320</v>
      </c>
      <c r="H1291" s="359">
        <f t="shared" si="39"/>
        <v>14705248</v>
      </c>
      <c r="K1291" s="362"/>
      <c r="M1291" s="361">
        <v>630912</v>
      </c>
      <c r="N1291" s="361">
        <v>1380120</v>
      </c>
      <c r="O1291" s="361">
        <v>118296</v>
      </c>
      <c r="P1291" s="361">
        <v>236592</v>
      </c>
      <c r="Q1291" s="361">
        <v>78864</v>
      </c>
      <c r="R1291" s="361">
        <v>78864</v>
      </c>
      <c r="S1291" s="361">
        <v>157728</v>
      </c>
      <c r="T1291" s="390">
        <v>930000</v>
      </c>
      <c r="U1291" s="364">
        <f t="shared" si="40"/>
        <v>18316624</v>
      </c>
      <c r="W1291" s="365" t="str">
        <f>+VLOOKUP($B1291,[2]Time_S4!$B:$G,6,0)</f>
        <v>Trung tâm Chỉ huy điều khiển</v>
      </c>
      <c r="X1291" s="365" t="str">
        <f>IF(W1291="Phòng Kinh doanh","Trung tâm Kinh doanh - TCT CNC",+VLOOKUP($B1291,[2]Time_S4!$B:$G,5,0))</f>
        <v>Khối 1 - TCT CNC</v>
      </c>
      <c r="Z1291" s="366"/>
    </row>
    <row r="1292" spans="1:26" hidden="1">
      <c r="A1292" s="367">
        <f>SUBTOTAL(3,$B$15:B1292)</f>
        <v>2</v>
      </c>
      <c r="B1292" s="394" t="s">
        <v>2840</v>
      </c>
      <c r="C1292" s="314" t="s">
        <v>2841</v>
      </c>
      <c r="D1292" s="314" t="s">
        <v>407</v>
      </c>
      <c r="E1292" s="314">
        <v>21</v>
      </c>
      <c r="F1292" s="314">
        <v>21</v>
      </c>
      <c r="G1292" s="314">
        <v>13613810</v>
      </c>
      <c r="H1292" s="359">
        <f t="shared" si="39"/>
        <v>12827402</v>
      </c>
      <c r="K1292" s="362"/>
      <c r="M1292" s="361">
        <v>599168</v>
      </c>
      <c r="N1292" s="361">
        <v>1310680</v>
      </c>
      <c r="O1292" s="361">
        <v>112344</v>
      </c>
      <c r="P1292" s="361">
        <v>224688</v>
      </c>
      <c r="Q1292" s="361">
        <v>74896</v>
      </c>
      <c r="R1292" s="361">
        <v>74896</v>
      </c>
      <c r="S1292" s="361">
        <v>149792</v>
      </c>
      <c r="T1292" s="390">
        <v>930000</v>
      </c>
      <c r="U1292" s="364">
        <f t="shared" si="40"/>
        <v>16303866</v>
      </c>
      <c r="W1292" s="365" t="str">
        <f>+VLOOKUP($B1292,[2]Time_S4!$B:$G,6,0)</f>
        <v>Trung tâm Thông tin Quân sự</v>
      </c>
      <c r="X1292" s="365" t="str">
        <f>IF(W1292="Phòng Kinh doanh","Trung tâm Kinh doanh - TCT CNC",+VLOOKUP($B1292,[2]Time_S4!$B:$G,5,0))</f>
        <v>Khối 1 - TCT CNC</v>
      </c>
      <c r="Z1292" s="366"/>
    </row>
    <row r="1293" spans="1:26" hidden="1">
      <c r="A1293" s="367">
        <f>SUBTOTAL(3,$B$15:B1293)</f>
        <v>2</v>
      </c>
      <c r="B1293" s="394" t="s">
        <v>2842</v>
      </c>
      <c r="C1293" s="314" t="s">
        <v>2843</v>
      </c>
      <c r="D1293" s="314" t="s">
        <v>407</v>
      </c>
      <c r="E1293" s="314">
        <v>21</v>
      </c>
      <c r="F1293" s="314">
        <v>21</v>
      </c>
      <c r="G1293" s="314">
        <v>15533320</v>
      </c>
      <c r="H1293" s="359">
        <f t="shared" si="39"/>
        <v>14705248</v>
      </c>
      <c r="K1293" s="362"/>
      <c r="M1293" s="361">
        <v>630912</v>
      </c>
      <c r="N1293" s="361">
        <v>1380120</v>
      </c>
      <c r="O1293" s="361">
        <v>118296</v>
      </c>
      <c r="P1293" s="361">
        <v>236592</v>
      </c>
      <c r="Q1293" s="361">
        <v>78864</v>
      </c>
      <c r="R1293" s="361">
        <v>78864</v>
      </c>
      <c r="S1293" s="361">
        <v>157728</v>
      </c>
      <c r="T1293" s="390">
        <v>930000</v>
      </c>
      <c r="U1293" s="364">
        <f t="shared" si="40"/>
        <v>18316624</v>
      </c>
      <c r="W1293" s="365" t="str">
        <f>+VLOOKUP($B1293,[2]Time_S4!$B:$G,6,0)</f>
        <v>Trung tâm Camera</v>
      </c>
      <c r="X1293" s="365" t="str">
        <f>IF(W1293="Phòng Kinh doanh","Trung tâm Kinh doanh - TCT CNC",+VLOOKUP($B1293,[2]Time_S4!$B:$G,5,0))</f>
        <v>Khối 3 - TCT CNC</v>
      </c>
      <c r="Z1293" s="366"/>
    </row>
    <row r="1294" spans="1:26" hidden="1">
      <c r="A1294" s="367">
        <f>SUBTOTAL(3,$B$15:B1294)</f>
        <v>2</v>
      </c>
      <c r="B1294" s="394" t="s">
        <v>2844</v>
      </c>
      <c r="C1294" s="314" t="s">
        <v>2845</v>
      </c>
      <c r="D1294" s="314" t="s">
        <v>407</v>
      </c>
      <c r="E1294" s="314">
        <v>21</v>
      </c>
      <c r="F1294" s="314">
        <v>21</v>
      </c>
      <c r="G1294" s="314">
        <v>12000000</v>
      </c>
      <c r="H1294" s="359">
        <f t="shared" si="39"/>
        <v>11291712</v>
      </c>
      <c r="K1294" s="362"/>
      <c r="M1294" s="361">
        <v>539648</v>
      </c>
      <c r="N1294" s="361">
        <v>1180480</v>
      </c>
      <c r="O1294" s="361">
        <v>101184</v>
      </c>
      <c r="P1294" s="361">
        <v>202368</v>
      </c>
      <c r="Q1294" s="361">
        <v>67456</v>
      </c>
      <c r="R1294" s="361">
        <v>67456</v>
      </c>
      <c r="S1294" s="361">
        <v>134912</v>
      </c>
      <c r="T1294" s="390">
        <v>930000</v>
      </c>
      <c r="U1294" s="364">
        <f t="shared" si="40"/>
        <v>14515216</v>
      </c>
      <c r="W1294" s="365" t="str">
        <f>+VLOOKUP($B1294,[2]Time_S4!$B:$G,6,0)</f>
        <v>Trung tâm Nghiên cứu thiết bị vô tuyến băng rộng</v>
      </c>
      <c r="X1294" s="365" t="str">
        <f>IF(W1294="Phòng Kinh doanh","Trung tâm Kinh doanh - TCT CNC",+VLOOKUP($B1294,[2]Time_S4!$B:$G,5,0))</f>
        <v>Khối 2 - TCT CNC</v>
      </c>
      <c r="Z1294" s="366"/>
    </row>
    <row r="1295" spans="1:26" hidden="1">
      <c r="A1295" s="367">
        <f>SUBTOTAL(3,$B$15:B1295)</f>
        <v>2</v>
      </c>
      <c r="B1295" s="394" t="s">
        <v>2846</v>
      </c>
      <c r="C1295" s="314" t="s">
        <v>2847</v>
      </c>
      <c r="D1295" s="314" t="s">
        <v>407</v>
      </c>
      <c r="E1295" s="314">
        <v>21</v>
      </c>
      <c r="F1295" s="314">
        <v>21</v>
      </c>
      <c r="G1295" s="314">
        <v>14095715</v>
      </c>
      <c r="H1295" s="359">
        <f t="shared" si="39"/>
        <v>13309307</v>
      </c>
      <c r="K1295" s="362"/>
      <c r="M1295" s="361">
        <v>599168</v>
      </c>
      <c r="N1295" s="361">
        <v>1310680</v>
      </c>
      <c r="O1295" s="361">
        <v>112344</v>
      </c>
      <c r="P1295" s="361">
        <v>224688</v>
      </c>
      <c r="Q1295" s="361">
        <v>74896</v>
      </c>
      <c r="R1295" s="361">
        <v>74896</v>
      </c>
      <c r="S1295" s="361">
        <v>149792</v>
      </c>
      <c r="T1295" s="390">
        <v>930000</v>
      </c>
      <c r="U1295" s="364">
        <f t="shared" si="40"/>
        <v>16785771</v>
      </c>
      <c r="W1295" s="365" t="str">
        <f>+VLOOKUP($B1295,[2]Time_S4!$B:$G,6,0)</f>
        <v>Trung tâm Nghiên cứu Công nghệ chuyển mạch</v>
      </c>
      <c r="X1295" s="365" t="str">
        <f>IF(W1295="Phòng Kinh doanh","Trung tâm Kinh doanh - TCT CNC",+VLOOKUP($B1295,[2]Time_S4!$B:$G,5,0))</f>
        <v>Khối 2 - TCT CNC</v>
      </c>
      <c r="Z1295" s="366"/>
    </row>
    <row r="1296" spans="1:26" hidden="1">
      <c r="A1296" s="367">
        <f>SUBTOTAL(3,$B$15:B1296)</f>
        <v>2</v>
      </c>
      <c r="B1296" s="394" t="s">
        <v>2848</v>
      </c>
      <c r="C1296" s="314" t="s">
        <v>2849</v>
      </c>
      <c r="D1296" s="314" t="s">
        <v>407</v>
      </c>
      <c r="E1296" s="314">
        <v>21</v>
      </c>
      <c r="F1296" s="314">
        <v>21</v>
      </c>
      <c r="G1296" s="314">
        <v>12914286</v>
      </c>
      <c r="H1296" s="359">
        <f t="shared" ref="H1296:H1359" si="41">+G1296-SUM(M1296,O1296,Q1296)</f>
        <v>12169542</v>
      </c>
      <c r="K1296" s="362"/>
      <c r="M1296" s="361">
        <v>567424</v>
      </c>
      <c r="N1296" s="361">
        <v>1241240</v>
      </c>
      <c r="O1296" s="361">
        <v>106392</v>
      </c>
      <c r="P1296" s="361">
        <v>212784</v>
      </c>
      <c r="Q1296" s="361">
        <v>70928</v>
      </c>
      <c r="R1296" s="361">
        <v>70928</v>
      </c>
      <c r="S1296" s="361">
        <v>141856</v>
      </c>
      <c r="T1296" s="390">
        <v>930000</v>
      </c>
      <c r="U1296" s="364">
        <f t="shared" ref="U1296:U1359" si="42">+SUM(H1296:T1296)</f>
        <v>15511094</v>
      </c>
      <c r="W1296" s="365" t="str">
        <f>+VLOOKUP($B1296,[2]Time_S4!$B:$G,6,0)</f>
        <v>Trung tâm Nghiên cứu Công nghệ truyền dẫn</v>
      </c>
      <c r="X1296" s="365" t="str">
        <f>IF(W1296="Phòng Kinh doanh","Trung tâm Kinh doanh - TCT CNC",+VLOOKUP($B1296,[2]Time_S4!$B:$G,5,0))</f>
        <v>Khối 2 - TCT CNC</v>
      </c>
      <c r="Z1296" s="366"/>
    </row>
    <row r="1297" spans="1:26" hidden="1">
      <c r="A1297" s="367">
        <f>SUBTOTAL(3,$B$15:B1297)</f>
        <v>2</v>
      </c>
      <c r="B1297" s="394" t="s">
        <v>2850</v>
      </c>
      <c r="C1297" s="314" t="s">
        <v>2851</v>
      </c>
      <c r="D1297" s="314" t="s">
        <v>407</v>
      </c>
      <c r="E1297" s="314">
        <v>21</v>
      </c>
      <c r="F1297" s="314">
        <v>21</v>
      </c>
      <c r="G1297" s="314">
        <v>13200000</v>
      </c>
      <c r="H1297" s="359">
        <f t="shared" si="41"/>
        <v>12455256</v>
      </c>
      <c r="K1297" s="362"/>
      <c r="M1297" s="361">
        <v>567424</v>
      </c>
      <c r="N1297" s="361">
        <v>1241240</v>
      </c>
      <c r="O1297" s="361">
        <v>106392</v>
      </c>
      <c r="P1297" s="361">
        <v>212784</v>
      </c>
      <c r="Q1297" s="361">
        <v>70928</v>
      </c>
      <c r="R1297" s="361">
        <v>70928</v>
      </c>
      <c r="S1297" s="361">
        <v>141856</v>
      </c>
      <c r="T1297" s="390">
        <v>930000</v>
      </c>
      <c r="U1297" s="364">
        <f t="shared" si="42"/>
        <v>15796808</v>
      </c>
      <c r="W1297" s="365" t="str">
        <f>+VLOOKUP($B1297,[2]Time_S4!$B:$G,6,0)</f>
        <v>Trung tâm Nghiên cứu Công nghệ chuyển mạch</v>
      </c>
      <c r="X1297" s="365" t="str">
        <f>IF(W1297="Phòng Kinh doanh","Trung tâm Kinh doanh - TCT CNC",+VLOOKUP($B1297,[2]Time_S4!$B:$G,5,0))</f>
        <v>Khối 2 - TCT CNC</v>
      </c>
      <c r="Z1297" s="366"/>
    </row>
    <row r="1298" spans="1:26" hidden="1">
      <c r="A1298" s="367">
        <f>SUBTOTAL(3,$B$15:B1298)</f>
        <v>2</v>
      </c>
      <c r="B1298" s="394" t="s">
        <v>2852</v>
      </c>
      <c r="C1298" s="314" t="s">
        <v>2853</v>
      </c>
      <c r="D1298" s="314" t="s">
        <v>407</v>
      </c>
      <c r="E1298" s="314">
        <v>21</v>
      </c>
      <c r="F1298" s="314">
        <v>21</v>
      </c>
      <c r="G1298" s="314">
        <v>10334620</v>
      </c>
      <c r="H1298" s="359">
        <f t="shared" si="41"/>
        <v>9626332</v>
      </c>
      <c r="K1298" s="362"/>
      <c r="M1298" s="361">
        <v>539648</v>
      </c>
      <c r="N1298" s="361">
        <v>1180480</v>
      </c>
      <c r="O1298" s="361">
        <v>101184</v>
      </c>
      <c r="P1298" s="361">
        <v>202368</v>
      </c>
      <c r="Q1298" s="361">
        <v>67456</v>
      </c>
      <c r="R1298" s="361">
        <v>67456</v>
      </c>
      <c r="S1298" s="361">
        <v>134912</v>
      </c>
      <c r="T1298" s="390">
        <v>930000</v>
      </c>
      <c r="U1298" s="364">
        <f t="shared" si="42"/>
        <v>12849836</v>
      </c>
      <c r="W1298" s="365" t="str">
        <f>+VLOOKUP($B1298,[2]Time_S4!$B:$G,6,0)</f>
        <v>Trung tâm Nghiên cứu Công nghệ chuyển mạch</v>
      </c>
      <c r="X1298" s="365" t="str">
        <f>IF(W1298="Phòng Kinh doanh","Trung tâm Kinh doanh - TCT CNC",+VLOOKUP($B1298,[2]Time_S4!$B:$G,5,0))</f>
        <v>Khối 2 - TCT CNC</v>
      </c>
      <c r="Z1298" s="366"/>
    </row>
    <row r="1299" spans="1:26" hidden="1">
      <c r="A1299" s="367">
        <f>SUBTOTAL(3,$B$15:B1299)</f>
        <v>2</v>
      </c>
      <c r="B1299" s="394" t="s">
        <v>2854</v>
      </c>
      <c r="C1299" s="314" t="s">
        <v>2855</v>
      </c>
      <c r="D1299" s="314" t="s">
        <v>407</v>
      </c>
      <c r="E1299" s="314">
        <v>21</v>
      </c>
      <c r="F1299" s="314">
        <v>21</v>
      </c>
      <c r="G1299" s="314">
        <v>14739540</v>
      </c>
      <c r="H1299" s="359">
        <f t="shared" si="41"/>
        <v>13953132</v>
      </c>
      <c r="K1299" s="362"/>
      <c r="M1299" s="361">
        <v>599168</v>
      </c>
      <c r="N1299" s="361">
        <v>1310680</v>
      </c>
      <c r="O1299" s="361">
        <v>112344</v>
      </c>
      <c r="P1299" s="361">
        <v>224688</v>
      </c>
      <c r="Q1299" s="361">
        <v>74896</v>
      </c>
      <c r="R1299" s="361">
        <v>74896</v>
      </c>
      <c r="S1299" s="361">
        <v>149792</v>
      </c>
      <c r="T1299" s="390">
        <v>930000</v>
      </c>
      <c r="U1299" s="364">
        <f t="shared" si="42"/>
        <v>17429596</v>
      </c>
      <c r="W1299" s="365" t="str">
        <f>+VLOOKUP($B1299,[2]Time_S4!$B:$G,6,0)</f>
        <v>Trung tâm Rada</v>
      </c>
      <c r="X1299" s="365" t="str">
        <f>IF(W1299="Phòng Kinh doanh","Trung tâm Kinh doanh - TCT CNC",+VLOOKUP($B1299,[2]Time_S4!$B:$G,5,0))</f>
        <v>Khối 1 - TCT CNC</v>
      </c>
      <c r="Z1299" s="366"/>
    </row>
    <row r="1300" spans="1:26" hidden="1">
      <c r="A1300" s="367">
        <f>SUBTOTAL(3,$B$15:B1300)</f>
        <v>2</v>
      </c>
      <c r="B1300" s="394" t="s">
        <v>2856</v>
      </c>
      <c r="C1300" s="314" t="s">
        <v>1750</v>
      </c>
      <c r="D1300" s="314" t="s">
        <v>407</v>
      </c>
      <c r="E1300" s="314">
        <v>21</v>
      </c>
      <c r="F1300" s="314">
        <v>21</v>
      </c>
      <c r="G1300" s="314">
        <v>10777520</v>
      </c>
      <c r="H1300" s="359">
        <f t="shared" si="41"/>
        <v>10069232</v>
      </c>
      <c r="K1300" s="362"/>
      <c r="M1300" s="361">
        <v>539648</v>
      </c>
      <c r="N1300" s="361">
        <v>1180480</v>
      </c>
      <c r="O1300" s="361">
        <v>101184</v>
      </c>
      <c r="P1300" s="361">
        <v>202368</v>
      </c>
      <c r="Q1300" s="361">
        <v>67456</v>
      </c>
      <c r="R1300" s="361">
        <v>67456</v>
      </c>
      <c r="S1300" s="361">
        <v>134912</v>
      </c>
      <c r="T1300" s="390">
        <v>1047000</v>
      </c>
      <c r="U1300" s="364">
        <f t="shared" si="42"/>
        <v>13409736</v>
      </c>
      <c r="W1300" s="365" t="str">
        <f>+VLOOKUP($B1300,[2]Time_S4!$B:$G,6,0)</f>
        <v>Trung tâm Nghiên cứu Công nghệ truyền dẫn</v>
      </c>
      <c r="X1300" s="365" t="str">
        <f>IF(W1300="Phòng Kinh doanh","Trung tâm Kinh doanh - TCT CNC",+VLOOKUP($B1300,[2]Time_S4!$B:$G,5,0))</f>
        <v>Khối 2 - TCT CNC</v>
      </c>
      <c r="Z1300" s="366"/>
    </row>
    <row r="1301" spans="1:26" hidden="1">
      <c r="A1301" s="367">
        <f>SUBTOTAL(3,$B$15:B1301)</f>
        <v>2</v>
      </c>
      <c r="B1301" s="394" t="s">
        <v>2857</v>
      </c>
      <c r="C1301" s="314" t="s">
        <v>2858</v>
      </c>
      <c r="D1301" s="314" t="s">
        <v>407</v>
      </c>
      <c r="E1301" s="314">
        <v>21</v>
      </c>
      <c r="F1301" s="314">
        <v>21</v>
      </c>
      <c r="G1301" s="314">
        <v>12650000</v>
      </c>
      <c r="H1301" s="359">
        <f t="shared" si="41"/>
        <v>11905256</v>
      </c>
      <c r="K1301" s="362"/>
      <c r="M1301" s="361">
        <v>567424</v>
      </c>
      <c r="N1301" s="361">
        <v>1241240</v>
      </c>
      <c r="O1301" s="361">
        <v>106392</v>
      </c>
      <c r="P1301" s="361">
        <v>212784</v>
      </c>
      <c r="Q1301" s="361">
        <v>70928</v>
      </c>
      <c r="R1301" s="361">
        <v>70928</v>
      </c>
      <c r="S1301" s="361">
        <v>141856</v>
      </c>
      <c r="T1301" s="390">
        <v>930000</v>
      </c>
      <c r="U1301" s="364">
        <f t="shared" si="42"/>
        <v>15246808</v>
      </c>
      <c r="W1301" s="365" t="str">
        <f>+VLOOKUP($B1301,[2]Time_S4!$B:$G,6,0)</f>
        <v>Trung tâm Nghiên cứu Công nghệ truyền dẫn</v>
      </c>
      <c r="X1301" s="365" t="str">
        <f>IF(W1301="Phòng Kinh doanh","Trung tâm Kinh doanh - TCT CNC",+VLOOKUP($B1301,[2]Time_S4!$B:$G,5,0))</f>
        <v>Khối 2 - TCT CNC</v>
      </c>
      <c r="Z1301" s="366"/>
    </row>
    <row r="1302" spans="1:26" hidden="1">
      <c r="A1302" s="367">
        <f>SUBTOTAL(3,$B$15:B1302)</f>
        <v>2</v>
      </c>
      <c r="B1302" s="394" t="s">
        <v>2859</v>
      </c>
      <c r="C1302" s="314" t="s">
        <v>2860</v>
      </c>
      <c r="D1302" s="314" t="s">
        <v>407</v>
      </c>
      <c r="E1302" s="314">
        <v>21</v>
      </c>
      <c r="F1302" s="314">
        <v>21</v>
      </c>
      <c r="G1302" s="314">
        <v>11000000</v>
      </c>
      <c r="H1302" s="359">
        <f t="shared" si="41"/>
        <v>10291712</v>
      </c>
      <c r="K1302" s="362"/>
      <c r="M1302" s="361">
        <v>539648</v>
      </c>
      <c r="N1302" s="361">
        <v>1180480</v>
      </c>
      <c r="O1302" s="361">
        <v>101184</v>
      </c>
      <c r="P1302" s="361">
        <v>202368</v>
      </c>
      <c r="Q1302" s="361">
        <v>67456</v>
      </c>
      <c r="R1302" s="361">
        <v>67456</v>
      </c>
      <c r="S1302" s="361">
        <v>134912</v>
      </c>
      <c r="T1302" s="390">
        <v>930000</v>
      </c>
      <c r="U1302" s="364">
        <f t="shared" si="42"/>
        <v>13515216</v>
      </c>
      <c r="W1302" s="365" t="str">
        <f>+VLOOKUP($B1302,[2]Time_S4!$B:$G,6,0)</f>
        <v>Trung tâm Nghiên cứu thiết bị vô tuyến băng rộng</v>
      </c>
      <c r="X1302" s="365" t="str">
        <f>IF(W1302="Phòng Kinh doanh","Trung tâm Kinh doanh - TCT CNC",+VLOOKUP($B1302,[2]Time_S4!$B:$G,5,0))</f>
        <v>Khối 2 - TCT CNC</v>
      </c>
      <c r="Z1302" s="366"/>
    </row>
    <row r="1303" spans="1:26" hidden="1">
      <c r="A1303" s="367">
        <f>SUBTOTAL(3,$B$15:B1303)</f>
        <v>2</v>
      </c>
      <c r="B1303" s="394" t="s">
        <v>2861</v>
      </c>
      <c r="C1303" s="314" t="s">
        <v>2862</v>
      </c>
      <c r="D1303" s="314" t="s">
        <v>407</v>
      </c>
      <c r="E1303" s="314">
        <v>21</v>
      </c>
      <c r="F1303" s="314">
        <v>21</v>
      </c>
      <c r="G1303" s="314">
        <v>12650000</v>
      </c>
      <c r="H1303" s="359">
        <f t="shared" si="41"/>
        <v>11905256</v>
      </c>
      <c r="K1303" s="362"/>
      <c r="M1303" s="361">
        <v>567424</v>
      </c>
      <c r="N1303" s="361">
        <v>1241240</v>
      </c>
      <c r="O1303" s="361">
        <v>106392</v>
      </c>
      <c r="P1303" s="361">
        <v>212784</v>
      </c>
      <c r="Q1303" s="361">
        <v>70928</v>
      </c>
      <c r="R1303" s="361">
        <v>70928</v>
      </c>
      <c r="S1303" s="361">
        <v>141856</v>
      </c>
      <c r="T1303" s="390">
        <v>930000</v>
      </c>
      <c r="U1303" s="364">
        <f t="shared" si="42"/>
        <v>15246808</v>
      </c>
      <c r="W1303" s="365" t="str">
        <f>+VLOOKUP($B1303,[2]Time_S4!$B:$G,6,0)</f>
        <v>Trung tâm Kỹ thuật công nghệ - TCT CNC</v>
      </c>
      <c r="X1303" s="365" t="str">
        <f>IF(W1303="Phòng Kinh doanh","Trung tâm Kinh doanh - TCT CNC",+VLOOKUP($B1303,[2]Time_S4!$B:$G,5,0))</f>
        <v>Khối 2 - TCT CNC</v>
      </c>
      <c r="Z1303" s="366"/>
    </row>
    <row r="1304" spans="1:26" hidden="1">
      <c r="A1304" s="367">
        <f>SUBTOTAL(3,$B$15:B1304)</f>
        <v>2</v>
      </c>
      <c r="B1304" s="394" t="s">
        <v>2863</v>
      </c>
      <c r="C1304" s="314" t="s">
        <v>2864</v>
      </c>
      <c r="D1304" s="314" t="s">
        <v>407</v>
      </c>
      <c r="E1304" s="314">
        <v>21</v>
      </c>
      <c r="F1304" s="314">
        <v>21</v>
      </c>
      <c r="G1304" s="314">
        <v>13200000</v>
      </c>
      <c r="H1304" s="359">
        <f t="shared" si="41"/>
        <v>12455256</v>
      </c>
      <c r="K1304" s="362"/>
      <c r="M1304" s="361">
        <v>567424</v>
      </c>
      <c r="N1304" s="361">
        <v>1241240</v>
      </c>
      <c r="O1304" s="361">
        <v>106392</v>
      </c>
      <c r="P1304" s="361">
        <v>212784</v>
      </c>
      <c r="Q1304" s="361">
        <v>70928</v>
      </c>
      <c r="R1304" s="361">
        <v>70928</v>
      </c>
      <c r="S1304" s="361">
        <v>141856</v>
      </c>
      <c r="T1304" s="390">
        <v>930000</v>
      </c>
      <c r="U1304" s="364">
        <f t="shared" si="42"/>
        <v>15796808</v>
      </c>
      <c r="W1304" s="365" t="str">
        <f>+VLOOKUP($B1304,[2]Time_S4!$B:$G,6,0)</f>
        <v>Trung tâm Quang điện tử</v>
      </c>
      <c r="X1304" s="365" t="str">
        <f>IF(W1304="Phòng Kinh doanh","Trung tâm Kinh doanh - TCT CNC",+VLOOKUP($B1304,[2]Time_S4!$B:$G,5,0))</f>
        <v>Khối 1 - TCT CNC</v>
      </c>
      <c r="Z1304" s="366"/>
    </row>
    <row r="1305" spans="1:26" hidden="1">
      <c r="A1305" s="367">
        <f>SUBTOTAL(3,$B$15:B1305)</f>
        <v>2</v>
      </c>
      <c r="B1305" s="394" t="s">
        <v>2865</v>
      </c>
      <c r="C1305" s="314" t="s">
        <v>2866</v>
      </c>
      <c r="D1305" s="314" t="s">
        <v>407</v>
      </c>
      <c r="E1305" s="314">
        <v>21</v>
      </c>
      <c r="F1305" s="314">
        <v>21</v>
      </c>
      <c r="G1305" s="314">
        <v>13200000</v>
      </c>
      <c r="H1305" s="359">
        <f t="shared" si="41"/>
        <v>12455256</v>
      </c>
      <c r="K1305" s="362"/>
      <c r="M1305" s="361">
        <v>567424</v>
      </c>
      <c r="N1305" s="361">
        <v>1241240</v>
      </c>
      <c r="O1305" s="361">
        <v>106392</v>
      </c>
      <c r="P1305" s="361">
        <v>212784</v>
      </c>
      <c r="Q1305" s="361">
        <v>70928</v>
      </c>
      <c r="R1305" s="361">
        <v>70928</v>
      </c>
      <c r="S1305" s="361">
        <v>141856</v>
      </c>
      <c r="T1305" s="390">
        <v>930000</v>
      </c>
      <c r="U1305" s="364">
        <f t="shared" si="42"/>
        <v>15796808</v>
      </c>
      <c r="W1305" s="365" t="str">
        <f>+VLOOKUP($B1305,[2]Time_S4!$B:$G,6,0)</f>
        <v>Trung tâm Rada</v>
      </c>
      <c r="X1305" s="365" t="str">
        <f>IF(W1305="Phòng Kinh doanh","Trung tâm Kinh doanh - TCT CNC",+VLOOKUP($B1305,[2]Time_S4!$B:$G,5,0))</f>
        <v>Khối 1 - TCT CNC</v>
      </c>
      <c r="Z1305" s="366"/>
    </row>
    <row r="1306" spans="1:26" hidden="1">
      <c r="A1306" s="367">
        <f>SUBTOTAL(3,$B$15:B1306)</f>
        <v>2</v>
      </c>
      <c r="B1306" s="394" t="s">
        <v>2867</v>
      </c>
      <c r="C1306" s="314" t="s">
        <v>2868</v>
      </c>
      <c r="D1306" s="314" t="s">
        <v>407</v>
      </c>
      <c r="E1306" s="314">
        <v>21</v>
      </c>
      <c r="F1306" s="314">
        <v>21</v>
      </c>
      <c r="G1306" s="314">
        <v>12650000</v>
      </c>
      <c r="H1306" s="359">
        <f t="shared" si="41"/>
        <v>11905256</v>
      </c>
      <c r="K1306" s="362"/>
      <c r="M1306" s="361">
        <v>567424</v>
      </c>
      <c r="N1306" s="361">
        <v>1241240</v>
      </c>
      <c r="O1306" s="361">
        <v>106392</v>
      </c>
      <c r="P1306" s="361">
        <v>212784</v>
      </c>
      <c r="Q1306" s="361">
        <v>70928</v>
      </c>
      <c r="R1306" s="361">
        <v>70928</v>
      </c>
      <c r="S1306" s="361">
        <v>141856</v>
      </c>
      <c r="T1306" s="390">
        <v>930000</v>
      </c>
      <c r="U1306" s="364">
        <f t="shared" si="42"/>
        <v>15246808</v>
      </c>
      <c r="W1306" s="365" t="str">
        <f>+VLOOKUP($B1306,[2]Time_S4!$B:$G,6,0)</f>
        <v>Trung tâm Camera</v>
      </c>
      <c r="X1306" s="365" t="str">
        <f>IF(W1306="Phòng Kinh doanh","Trung tâm Kinh doanh - TCT CNC",+VLOOKUP($B1306,[2]Time_S4!$B:$G,5,0))</f>
        <v>Khối 3 - TCT CNC</v>
      </c>
      <c r="Z1306" s="366"/>
    </row>
    <row r="1307" spans="1:26" hidden="1">
      <c r="A1307" s="367">
        <f>SUBTOTAL(3,$B$15:B1307)</f>
        <v>2</v>
      </c>
      <c r="B1307" s="394" t="s">
        <v>2869</v>
      </c>
      <c r="C1307" s="314" t="s">
        <v>2870</v>
      </c>
      <c r="D1307" s="314" t="s">
        <v>407</v>
      </c>
      <c r="E1307" s="314">
        <v>21</v>
      </c>
      <c r="F1307" s="314">
        <v>21</v>
      </c>
      <c r="G1307" s="314">
        <v>11500000</v>
      </c>
      <c r="H1307" s="359">
        <f t="shared" si="41"/>
        <v>10791712</v>
      </c>
      <c r="K1307" s="362"/>
      <c r="M1307" s="361">
        <v>539648</v>
      </c>
      <c r="N1307" s="361">
        <v>1180480</v>
      </c>
      <c r="O1307" s="361">
        <v>101184</v>
      </c>
      <c r="P1307" s="361">
        <v>202368</v>
      </c>
      <c r="Q1307" s="361">
        <v>67456</v>
      </c>
      <c r="R1307" s="361">
        <v>67456</v>
      </c>
      <c r="S1307" s="361">
        <v>134912</v>
      </c>
      <c r="T1307" s="390">
        <v>930000</v>
      </c>
      <c r="U1307" s="364">
        <f t="shared" si="42"/>
        <v>14015216</v>
      </c>
      <c r="W1307" s="365" t="str">
        <f>+VLOOKUP($B1307,[2]Time_S4!$B:$G,6,0)</f>
        <v>Trung tâm Nghiên cứu Công nghệ truyền dẫn</v>
      </c>
      <c r="X1307" s="365" t="str">
        <f>IF(W1307="Phòng Kinh doanh","Trung tâm Kinh doanh - TCT CNC",+VLOOKUP($B1307,[2]Time_S4!$B:$G,5,0))</f>
        <v>Khối 2 - TCT CNC</v>
      </c>
      <c r="Z1307" s="366"/>
    </row>
    <row r="1308" spans="1:26" hidden="1">
      <c r="A1308" s="367">
        <f>SUBTOTAL(3,$B$15:B1308)</f>
        <v>2</v>
      </c>
      <c r="B1308" s="394" t="s">
        <v>2871</v>
      </c>
      <c r="C1308" s="314" t="s">
        <v>2482</v>
      </c>
      <c r="D1308" s="314" t="s">
        <v>407</v>
      </c>
      <c r="E1308" s="314">
        <v>21</v>
      </c>
      <c r="F1308" s="314">
        <v>21</v>
      </c>
      <c r="G1308" s="314">
        <v>11000000</v>
      </c>
      <c r="H1308" s="359">
        <f t="shared" si="41"/>
        <v>10291712</v>
      </c>
      <c r="K1308" s="362"/>
      <c r="M1308" s="361">
        <v>539648</v>
      </c>
      <c r="N1308" s="361">
        <v>1180480</v>
      </c>
      <c r="O1308" s="361">
        <v>101184</v>
      </c>
      <c r="P1308" s="361">
        <v>202368</v>
      </c>
      <c r="Q1308" s="361">
        <v>67456</v>
      </c>
      <c r="R1308" s="361">
        <v>67456</v>
      </c>
      <c r="S1308" s="361">
        <v>134912</v>
      </c>
      <c r="T1308" s="390">
        <v>930000</v>
      </c>
      <c r="U1308" s="364">
        <f t="shared" si="42"/>
        <v>13515216</v>
      </c>
      <c r="W1308" s="365" t="str">
        <f>+VLOOKUP($B1308,[2]Time_S4!$B:$G,6,0)</f>
        <v>Trung tâm dịch vụ sau bán hàng</v>
      </c>
      <c r="X1308" s="365" t="str">
        <f>IF(W1308="Phòng Kinh doanh","Trung tâm Kinh doanh - TCT CNC",+VLOOKUP($B1308,[2]Time_S4!$B:$G,5,0))</f>
        <v>Khối 2 - TCT CNC</v>
      </c>
      <c r="Z1308" s="366"/>
    </row>
    <row r="1309" spans="1:26" hidden="1">
      <c r="A1309" s="367">
        <f>SUBTOTAL(3,$B$15:B1309)</f>
        <v>2</v>
      </c>
      <c r="B1309" s="394" t="s">
        <v>2872</v>
      </c>
      <c r="C1309" s="314" t="s">
        <v>2648</v>
      </c>
      <c r="D1309" s="314" t="s">
        <v>407</v>
      </c>
      <c r="E1309" s="314">
        <v>21</v>
      </c>
      <c r="F1309" s="314">
        <v>21</v>
      </c>
      <c r="G1309" s="314">
        <v>11000000</v>
      </c>
      <c r="H1309" s="359">
        <f t="shared" si="41"/>
        <v>10291712</v>
      </c>
      <c r="K1309" s="362"/>
      <c r="M1309" s="361">
        <v>539648</v>
      </c>
      <c r="N1309" s="361">
        <v>1180480</v>
      </c>
      <c r="O1309" s="361">
        <v>101184</v>
      </c>
      <c r="P1309" s="361">
        <v>202368</v>
      </c>
      <c r="Q1309" s="361">
        <v>67456</v>
      </c>
      <c r="R1309" s="361">
        <v>67456</v>
      </c>
      <c r="S1309" s="361">
        <v>134912</v>
      </c>
      <c r="T1309" s="390">
        <v>930000</v>
      </c>
      <c r="U1309" s="364">
        <f t="shared" si="42"/>
        <v>13515216</v>
      </c>
      <c r="W1309" s="365" t="str">
        <f>+VLOOKUP($B1309,[2]Time_S4!$B:$G,6,0)</f>
        <v>Trung tâm dịch vụ sau bán hàng</v>
      </c>
      <c r="X1309" s="365" t="str">
        <f>IF(W1309="Phòng Kinh doanh","Trung tâm Kinh doanh - TCT CNC",+VLOOKUP($B1309,[2]Time_S4!$B:$G,5,0))</f>
        <v>Khối 2 - TCT CNC</v>
      </c>
      <c r="Z1309" s="366"/>
    </row>
    <row r="1310" spans="1:26" hidden="1">
      <c r="A1310" s="367">
        <f>SUBTOTAL(3,$B$15:B1310)</f>
        <v>2</v>
      </c>
      <c r="B1310" s="394" t="s">
        <v>2873</v>
      </c>
      <c r="C1310" s="314" t="s">
        <v>1708</v>
      </c>
      <c r="D1310" s="314" t="s">
        <v>407</v>
      </c>
      <c r="E1310" s="314">
        <v>21</v>
      </c>
      <c r="F1310" s="314">
        <v>21</v>
      </c>
      <c r="G1310" s="314">
        <v>21730480</v>
      </c>
      <c r="H1310" s="359">
        <f t="shared" si="41"/>
        <v>20767000</v>
      </c>
      <c r="K1310" s="362"/>
      <c r="M1310" s="361">
        <v>734080</v>
      </c>
      <c r="N1310" s="361">
        <v>1605800</v>
      </c>
      <c r="O1310" s="361">
        <v>137640</v>
      </c>
      <c r="P1310" s="361">
        <v>275280</v>
      </c>
      <c r="Q1310" s="361">
        <v>91760</v>
      </c>
      <c r="R1310" s="361">
        <v>91760</v>
      </c>
      <c r="S1310" s="361">
        <v>183520</v>
      </c>
      <c r="T1310" s="390">
        <v>930000</v>
      </c>
      <c r="U1310" s="364">
        <f t="shared" si="42"/>
        <v>24816840</v>
      </c>
      <c r="W1310" s="365" t="str">
        <f>+VLOOKUP($B1310,[2]Time_S4!$B:$G,6,0)</f>
        <v>Trung tâm Nghiên cứu giải pháp tích hợp công nghệ cao</v>
      </c>
      <c r="X1310" s="365" t="str">
        <f>IF(W1310="Phòng Kinh doanh","Trung tâm Kinh doanh - TCT CNC",+VLOOKUP($B1310,[2]Time_S4!$B:$G,5,0))</f>
        <v>Khối 1 - TCT CNC</v>
      </c>
      <c r="Z1310" s="366"/>
    </row>
    <row r="1311" spans="1:26" hidden="1">
      <c r="A1311" s="367">
        <f>SUBTOTAL(3,$B$15:B1311)</f>
        <v>2</v>
      </c>
      <c r="B1311" s="394" t="s">
        <v>2874</v>
      </c>
      <c r="C1311" s="314" t="s">
        <v>1344</v>
      </c>
      <c r="D1311" s="314" t="s">
        <v>407</v>
      </c>
      <c r="E1311" s="314">
        <v>21</v>
      </c>
      <c r="F1311" s="314">
        <v>21</v>
      </c>
      <c r="G1311" s="314">
        <v>11121520</v>
      </c>
      <c r="H1311" s="359">
        <f t="shared" si="41"/>
        <v>10413232</v>
      </c>
      <c r="K1311" s="362"/>
      <c r="M1311" s="361">
        <v>539648</v>
      </c>
      <c r="N1311" s="361">
        <v>1180480</v>
      </c>
      <c r="O1311" s="361">
        <v>101184</v>
      </c>
      <c r="P1311" s="361">
        <v>202368</v>
      </c>
      <c r="Q1311" s="361">
        <v>67456</v>
      </c>
      <c r="R1311" s="361">
        <v>67456</v>
      </c>
      <c r="S1311" s="361">
        <v>134912</v>
      </c>
      <c r="T1311" s="390">
        <v>930000</v>
      </c>
      <c r="U1311" s="364">
        <f t="shared" si="42"/>
        <v>13636736</v>
      </c>
      <c r="W1311" s="365" t="str">
        <f>+VLOOKUP($B1311,[2]Time_S4!$B:$G,6,0)</f>
        <v>Trung tâm Phát triển nền tảng thanh toán</v>
      </c>
      <c r="X1311" s="365" t="str">
        <f>IF(W1311="Phòng Kinh doanh","Trung tâm Kinh doanh - TCT CNC",+VLOOKUP($B1311,[2]Time_S4!$B:$G,5,0))</f>
        <v>Khối 2 - TCT CNC</v>
      </c>
      <c r="Z1311" s="366"/>
    </row>
    <row r="1312" spans="1:26" hidden="1">
      <c r="A1312" s="367">
        <f>SUBTOTAL(3,$B$15:B1312)</f>
        <v>2</v>
      </c>
      <c r="B1312" s="394" t="s">
        <v>2875</v>
      </c>
      <c r="C1312" s="314" t="s">
        <v>2876</v>
      </c>
      <c r="D1312" s="314" t="s">
        <v>407</v>
      </c>
      <c r="E1312" s="314">
        <v>21</v>
      </c>
      <c r="F1312" s="314">
        <v>21</v>
      </c>
      <c r="G1312" s="314">
        <v>12000000</v>
      </c>
      <c r="H1312" s="359">
        <f t="shared" si="41"/>
        <v>11291712</v>
      </c>
      <c r="K1312" s="362"/>
      <c r="M1312" s="361">
        <v>539648</v>
      </c>
      <c r="N1312" s="361">
        <v>1180480</v>
      </c>
      <c r="O1312" s="361">
        <v>101184</v>
      </c>
      <c r="P1312" s="361">
        <v>202368</v>
      </c>
      <c r="Q1312" s="361">
        <v>67456</v>
      </c>
      <c r="R1312" s="361">
        <v>67456</v>
      </c>
      <c r="S1312" s="361">
        <v>134912</v>
      </c>
      <c r="T1312" s="390">
        <v>1047000</v>
      </c>
      <c r="U1312" s="364">
        <f t="shared" si="42"/>
        <v>14632216</v>
      </c>
      <c r="W1312" s="365" t="str">
        <f>+VLOOKUP($B1312,[2]Time_S4!$B:$G,6,0)</f>
        <v>Trung tâm Camera</v>
      </c>
      <c r="X1312" s="365" t="str">
        <f>IF(W1312="Phòng Kinh doanh","Trung tâm Kinh doanh - TCT CNC",+VLOOKUP($B1312,[2]Time_S4!$B:$G,5,0))</f>
        <v>Khối 3 - TCT CNC</v>
      </c>
      <c r="Z1312" s="366"/>
    </row>
    <row r="1313" spans="1:26" hidden="1">
      <c r="A1313" s="367">
        <f>SUBTOTAL(3,$B$15:B1313)</f>
        <v>2</v>
      </c>
      <c r="B1313" s="394" t="s">
        <v>2877</v>
      </c>
      <c r="C1313" s="314" t="s">
        <v>2878</v>
      </c>
      <c r="D1313" s="314" t="s">
        <v>407</v>
      </c>
      <c r="E1313" s="314">
        <v>21</v>
      </c>
      <c r="F1313" s="314">
        <v>21</v>
      </c>
      <c r="G1313" s="314">
        <v>12650000</v>
      </c>
      <c r="H1313" s="359">
        <f t="shared" si="41"/>
        <v>11905256</v>
      </c>
      <c r="K1313" s="362"/>
      <c r="M1313" s="361">
        <v>567424</v>
      </c>
      <c r="N1313" s="361">
        <v>1241240</v>
      </c>
      <c r="O1313" s="361">
        <v>106392</v>
      </c>
      <c r="P1313" s="361">
        <v>212784</v>
      </c>
      <c r="Q1313" s="361">
        <v>70928</v>
      </c>
      <c r="R1313" s="361">
        <v>70928</v>
      </c>
      <c r="S1313" s="361">
        <v>141856</v>
      </c>
      <c r="T1313" s="390">
        <v>930000</v>
      </c>
      <c r="U1313" s="364">
        <f t="shared" si="42"/>
        <v>15246808</v>
      </c>
      <c r="W1313" s="365" t="str">
        <f>+VLOOKUP($B1313,[2]Time_S4!$B:$G,6,0)</f>
        <v>Trung tâm Phát triển nền tảng thanh toán</v>
      </c>
      <c r="X1313" s="365" t="str">
        <f>IF(W1313="Phòng Kinh doanh","Trung tâm Kinh doanh - TCT CNC",+VLOOKUP($B1313,[2]Time_S4!$B:$G,5,0))</f>
        <v>Khối 2 - TCT CNC</v>
      </c>
      <c r="Z1313" s="366"/>
    </row>
    <row r="1314" spans="1:26" hidden="1">
      <c r="A1314" s="367">
        <f>SUBTOTAL(3,$B$15:B1314)</f>
        <v>2</v>
      </c>
      <c r="B1314" s="394" t="s">
        <v>2879</v>
      </c>
      <c r="C1314" s="314" t="s">
        <v>2880</v>
      </c>
      <c r="D1314" s="314" t="s">
        <v>407</v>
      </c>
      <c r="E1314" s="314">
        <v>21</v>
      </c>
      <c r="F1314" s="314">
        <v>21</v>
      </c>
      <c r="G1314" s="314">
        <v>11500000</v>
      </c>
      <c r="H1314" s="359">
        <f t="shared" si="41"/>
        <v>10791712</v>
      </c>
      <c r="K1314" s="362"/>
      <c r="M1314" s="361">
        <v>539648</v>
      </c>
      <c r="N1314" s="361">
        <v>1180480</v>
      </c>
      <c r="O1314" s="361">
        <v>101184</v>
      </c>
      <c r="P1314" s="361">
        <v>202368</v>
      </c>
      <c r="Q1314" s="361">
        <v>67456</v>
      </c>
      <c r="R1314" s="361">
        <v>67456</v>
      </c>
      <c r="S1314" s="361">
        <v>134912</v>
      </c>
      <c r="T1314" s="390">
        <v>930000</v>
      </c>
      <c r="U1314" s="364">
        <f t="shared" si="42"/>
        <v>14015216</v>
      </c>
      <c r="W1314" s="365" t="str">
        <f>+VLOOKUP($B1314,[2]Time_S4!$B:$G,6,0)</f>
        <v>Trung tâm Phát triển nền tảng thanh toán</v>
      </c>
      <c r="X1314" s="365" t="str">
        <f>IF(W1314="Phòng Kinh doanh","Trung tâm Kinh doanh - TCT CNC",+VLOOKUP($B1314,[2]Time_S4!$B:$G,5,0))</f>
        <v>Khối 2 - TCT CNC</v>
      </c>
      <c r="Z1314" s="366"/>
    </row>
    <row r="1315" spans="1:26" hidden="1">
      <c r="A1315" s="367">
        <f>SUBTOTAL(3,$B$15:B1315)</f>
        <v>2</v>
      </c>
      <c r="B1315" s="394" t="s">
        <v>2881</v>
      </c>
      <c r="C1315" s="314" t="s">
        <v>2882</v>
      </c>
      <c r="D1315" s="314" t="s">
        <v>407</v>
      </c>
      <c r="E1315" s="314">
        <v>21</v>
      </c>
      <c r="F1315" s="314">
        <v>21</v>
      </c>
      <c r="G1315" s="314">
        <v>40063960</v>
      </c>
      <c r="H1315" s="359">
        <f t="shared" si="41"/>
        <v>38881744</v>
      </c>
      <c r="K1315" s="362"/>
      <c r="M1315" s="361">
        <v>900736</v>
      </c>
      <c r="N1315" s="361">
        <v>1970360</v>
      </c>
      <c r="O1315" s="361">
        <v>168888</v>
      </c>
      <c r="P1315" s="361">
        <v>337776</v>
      </c>
      <c r="Q1315" s="361">
        <v>112592</v>
      </c>
      <c r="R1315" s="361">
        <v>112592</v>
      </c>
      <c r="S1315" s="361">
        <v>225184</v>
      </c>
      <c r="T1315" s="390">
        <v>1230000</v>
      </c>
      <c r="U1315" s="364">
        <f t="shared" si="42"/>
        <v>43939872</v>
      </c>
      <c r="W1315" s="365" t="str">
        <f>+VLOOKUP($B1315,[2]Time_S4!$B:$G,6,0)</f>
        <v>Trung tâm Tác chiến điện tử</v>
      </c>
      <c r="X1315" s="365" t="str">
        <f>IF(W1315="Phòng Kinh doanh","Trung tâm Kinh doanh - TCT CNC",+VLOOKUP($B1315,[2]Time_S4!$B:$G,5,0))</f>
        <v>Khối 1 - TCT CNC</v>
      </c>
      <c r="Z1315" s="366"/>
    </row>
    <row r="1316" spans="1:26" hidden="1">
      <c r="A1316" s="367">
        <f>SUBTOTAL(3,$B$15:B1316)</f>
        <v>2</v>
      </c>
      <c r="B1316" s="394" t="s">
        <v>2883</v>
      </c>
      <c r="C1316" s="314" t="s">
        <v>2884</v>
      </c>
      <c r="D1316" s="314" t="s">
        <v>407</v>
      </c>
      <c r="E1316" s="314">
        <v>21</v>
      </c>
      <c r="F1316" s="314">
        <v>21</v>
      </c>
      <c r="G1316" s="314">
        <v>12650000</v>
      </c>
      <c r="H1316" s="359">
        <f t="shared" si="41"/>
        <v>11905256</v>
      </c>
      <c r="K1316" s="362"/>
      <c r="M1316" s="361">
        <v>567424</v>
      </c>
      <c r="N1316" s="361">
        <v>1241240</v>
      </c>
      <c r="O1316" s="361">
        <v>106392</v>
      </c>
      <c r="P1316" s="361">
        <v>212784</v>
      </c>
      <c r="Q1316" s="361">
        <v>70928</v>
      </c>
      <c r="R1316" s="361">
        <v>70928</v>
      </c>
      <c r="S1316" s="361">
        <v>141856</v>
      </c>
      <c r="T1316" s="390">
        <v>930000</v>
      </c>
      <c r="U1316" s="364">
        <f t="shared" si="42"/>
        <v>15246808</v>
      </c>
      <c r="W1316" s="365" t="str">
        <f>+VLOOKUP($B1316,[2]Time_S4!$B:$G,6,0)</f>
        <v>Trung tâm Nghiên cứu Công nghệ truyền dẫn</v>
      </c>
      <c r="X1316" s="365" t="str">
        <f>IF(W1316="Phòng Kinh doanh","Trung tâm Kinh doanh - TCT CNC",+VLOOKUP($B1316,[2]Time_S4!$B:$G,5,0))</f>
        <v>Khối 2 - TCT CNC</v>
      </c>
      <c r="Z1316" s="366"/>
    </row>
    <row r="1317" spans="1:26" hidden="1">
      <c r="A1317" s="367">
        <f>SUBTOTAL(3,$B$15:B1317)</f>
        <v>2</v>
      </c>
      <c r="B1317" s="394" t="s">
        <v>2885</v>
      </c>
      <c r="C1317" s="314" t="s">
        <v>2886</v>
      </c>
      <c r="D1317" s="314" t="s">
        <v>407</v>
      </c>
      <c r="E1317" s="314">
        <v>21</v>
      </c>
      <c r="F1317" s="314">
        <v>21</v>
      </c>
      <c r="G1317" s="314">
        <v>14400000</v>
      </c>
      <c r="H1317" s="359">
        <f t="shared" si="41"/>
        <v>13613592</v>
      </c>
      <c r="K1317" s="362"/>
      <c r="M1317" s="361">
        <v>599168</v>
      </c>
      <c r="N1317" s="361">
        <v>1310680</v>
      </c>
      <c r="O1317" s="361">
        <v>112344</v>
      </c>
      <c r="P1317" s="361">
        <v>224688</v>
      </c>
      <c r="Q1317" s="361">
        <v>74896</v>
      </c>
      <c r="R1317" s="361">
        <v>74896</v>
      </c>
      <c r="S1317" s="361">
        <v>149792</v>
      </c>
      <c r="T1317" s="390">
        <v>930000</v>
      </c>
      <c r="U1317" s="364">
        <f t="shared" si="42"/>
        <v>17090056</v>
      </c>
      <c r="W1317" s="365" t="str">
        <f>+VLOOKUP($B1317,[2]Time_S4!$B:$G,6,0)</f>
        <v>Trung tâm Quang điện tử</v>
      </c>
      <c r="X1317" s="365" t="str">
        <f>IF(W1317="Phòng Kinh doanh","Trung tâm Kinh doanh - TCT CNC",+VLOOKUP($B1317,[2]Time_S4!$B:$G,5,0))</f>
        <v>Khối 1 - TCT CNC</v>
      </c>
      <c r="Z1317" s="366"/>
    </row>
    <row r="1318" spans="1:26" hidden="1">
      <c r="A1318" s="367">
        <f>SUBTOTAL(3,$B$15:B1318)</f>
        <v>2</v>
      </c>
      <c r="B1318" s="394" t="s">
        <v>2887</v>
      </c>
      <c r="C1318" s="314" t="s">
        <v>2888</v>
      </c>
      <c r="D1318" s="314" t="s">
        <v>407</v>
      </c>
      <c r="E1318" s="314">
        <v>21</v>
      </c>
      <c r="F1318" s="314">
        <v>21</v>
      </c>
      <c r="G1318" s="314">
        <v>17991200</v>
      </c>
      <c r="H1318" s="359">
        <f t="shared" si="41"/>
        <v>17121464</v>
      </c>
      <c r="K1318" s="362"/>
      <c r="M1318" s="361">
        <v>662656</v>
      </c>
      <c r="N1318" s="361">
        <v>1449560</v>
      </c>
      <c r="O1318" s="361">
        <v>124248</v>
      </c>
      <c r="P1318" s="361">
        <v>248496</v>
      </c>
      <c r="Q1318" s="361">
        <v>82832</v>
      </c>
      <c r="R1318" s="361">
        <v>82832</v>
      </c>
      <c r="S1318" s="361">
        <v>165664</v>
      </c>
      <c r="T1318" s="390">
        <v>1047000</v>
      </c>
      <c r="U1318" s="364">
        <f t="shared" si="42"/>
        <v>20984752</v>
      </c>
      <c r="W1318" s="365" t="str">
        <f>+VLOOKUP($B1318,[2]Time_S4!$B:$G,6,0)</f>
        <v>Trung tâm Mô hình mô phỏng</v>
      </c>
      <c r="X1318" s="365" t="str">
        <f>IF(W1318="Phòng Kinh doanh","Trung tâm Kinh doanh - TCT CNC",+VLOOKUP($B1318,[2]Time_S4!$B:$G,5,0))</f>
        <v>Khối 1 - TCT CNC</v>
      </c>
      <c r="Z1318" s="366"/>
    </row>
    <row r="1319" spans="1:26" hidden="1">
      <c r="A1319" s="367">
        <f>SUBTOTAL(3,$B$15:B1319)</f>
        <v>2</v>
      </c>
      <c r="B1319" s="394" t="s">
        <v>2889</v>
      </c>
      <c r="C1319" s="314" t="s">
        <v>2890</v>
      </c>
      <c r="D1319" s="314" t="s">
        <v>407</v>
      </c>
      <c r="E1319" s="314">
        <v>21</v>
      </c>
      <c r="F1319" s="314">
        <v>21</v>
      </c>
      <c r="G1319" s="314">
        <v>24041300</v>
      </c>
      <c r="H1319" s="359">
        <f t="shared" si="41"/>
        <v>23077820</v>
      </c>
      <c r="K1319" s="362"/>
      <c r="M1319" s="361">
        <v>734080</v>
      </c>
      <c r="N1319" s="361">
        <v>1605800</v>
      </c>
      <c r="O1319" s="361">
        <v>137640</v>
      </c>
      <c r="P1319" s="361">
        <v>275280</v>
      </c>
      <c r="Q1319" s="361">
        <v>91760</v>
      </c>
      <c r="R1319" s="361">
        <v>91760</v>
      </c>
      <c r="S1319" s="361">
        <v>183520</v>
      </c>
      <c r="T1319" s="390">
        <v>1030000</v>
      </c>
      <c r="U1319" s="364">
        <f t="shared" si="42"/>
        <v>27227660</v>
      </c>
      <c r="W1319" s="365" t="str">
        <f>+VLOOKUP($B1319,[2]Time_S4!$B:$G,6,0)</f>
        <v>Trung tâm Chỉ huy điều khiển</v>
      </c>
      <c r="X1319" s="365" t="str">
        <f>IF(W1319="Phòng Kinh doanh","Trung tâm Kinh doanh - TCT CNC",+VLOOKUP($B1319,[2]Time_S4!$B:$G,5,0))</f>
        <v>Khối 1 - TCT CNC</v>
      </c>
      <c r="Z1319" s="366"/>
    </row>
    <row r="1320" spans="1:26" hidden="1">
      <c r="A1320" s="367">
        <f>SUBTOTAL(3,$B$15:B1320)</f>
        <v>2</v>
      </c>
      <c r="B1320" s="394" t="s">
        <v>2891</v>
      </c>
      <c r="C1320" s="314" t="s">
        <v>2892</v>
      </c>
      <c r="D1320" s="314" t="s">
        <v>407</v>
      </c>
      <c r="E1320" s="314">
        <v>21</v>
      </c>
      <c r="F1320" s="314">
        <v>21</v>
      </c>
      <c r="G1320" s="314">
        <v>11121520</v>
      </c>
      <c r="H1320" s="359">
        <f t="shared" si="41"/>
        <v>10413232</v>
      </c>
      <c r="K1320" s="362"/>
      <c r="M1320" s="361">
        <v>539648</v>
      </c>
      <c r="N1320" s="361">
        <v>1180480</v>
      </c>
      <c r="O1320" s="361">
        <v>101184</v>
      </c>
      <c r="P1320" s="361">
        <v>202368</v>
      </c>
      <c r="Q1320" s="361">
        <v>67456</v>
      </c>
      <c r="R1320" s="361">
        <v>67456</v>
      </c>
      <c r="S1320" s="361">
        <v>134912</v>
      </c>
      <c r="T1320" s="390">
        <v>930000</v>
      </c>
      <c r="U1320" s="364">
        <f t="shared" si="42"/>
        <v>13636736</v>
      </c>
      <c r="W1320" s="365" t="str">
        <f>+VLOOKUP($B1320,[2]Time_S4!$B:$G,6,0)</f>
        <v>Trung tâm dịch vụ sau bán hàng</v>
      </c>
      <c r="X1320" s="365" t="str">
        <f>IF(W1320="Phòng Kinh doanh","Trung tâm Kinh doanh - TCT CNC",+VLOOKUP($B1320,[2]Time_S4!$B:$G,5,0))</f>
        <v>Khối 1 - TCT CNC</v>
      </c>
      <c r="Z1320" s="366"/>
    </row>
    <row r="1321" spans="1:26" hidden="1">
      <c r="A1321" s="367">
        <f>SUBTOTAL(3,$B$15:B1321)</f>
        <v>2</v>
      </c>
      <c r="B1321" s="394" t="s">
        <v>2893</v>
      </c>
      <c r="C1321" s="314" t="s">
        <v>1872</v>
      </c>
      <c r="D1321" s="314" t="s">
        <v>407</v>
      </c>
      <c r="E1321" s="314">
        <v>21</v>
      </c>
      <c r="F1321" s="314">
        <v>21</v>
      </c>
      <c r="G1321" s="314">
        <v>13200000</v>
      </c>
      <c r="H1321" s="359">
        <f t="shared" si="41"/>
        <v>12455256</v>
      </c>
      <c r="K1321" s="362"/>
      <c r="M1321" s="361">
        <v>567424</v>
      </c>
      <c r="N1321" s="361">
        <v>1241240</v>
      </c>
      <c r="O1321" s="361">
        <v>106392</v>
      </c>
      <c r="P1321" s="361">
        <v>212784</v>
      </c>
      <c r="Q1321" s="361">
        <v>70928</v>
      </c>
      <c r="R1321" s="361">
        <v>70928</v>
      </c>
      <c r="S1321" s="361">
        <v>141856</v>
      </c>
      <c r="T1321" s="390">
        <v>930000</v>
      </c>
      <c r="U1321" s="364">
        <f t="shared" si="42"/>
        <v>15796808</v>
      </c>
      <c r="W1321" s="365" t="str">
        <f>+VLOOKUP($B1321,[2]Time_S4!$B:$G,6,0)</f>
        <v>Trung tâm Kỹ thuật công nghệ - TCT CNC</v>
      </c>
      <c r="X1321" s="365" t="str">
        <f>IF(W1321="Phòng Kinh doanh","Trung tâm Kinh doanh - TCT CNC",+VLOOKUP($B1321,[2]Time_S4!$B:$G,5,0))</f>
        <v>Khối 2 - TCT CNC</v>
      </c>
      <c r="Z1321" s="366"/>
    </row>
    <row r="1322" spans="1:26" hidden="1">
      <c r="A1322" s="367">
        <f>SUBTOTAL(3,$B$15:B1322)</f>
        <v>2</v>
      </c>
      <c r="B1322" s="394" t="s">
        <v>2894</v>
      </c>
      <c r="C1322" s="314" t="s">
        <v>2895</v>
      </c>
      <c r="D1322" s="314" t="s">
        <v>407</v>
      </c>
      <c r="E1322" s="314">
        <v>21</v>
      </c>
      <c r="F1322" s="314">
        <v>21</v>
      </c>
      <c r="G1322" s="314">
        <v>12650000</v>
      </c>
      <c r="H1322" s="359">
        <f t="shared" si="41"/>
        <v>11905256</v>
      </c>
      <c r="K1322" s="362"/>
      <c r="M1322" s="361">
        <v>567424</v>
      </c>
      <c r="N1322" s="361">
        <v>1241240</v>
      </c>
      <c r="O1322" s="361">
        <v>106392</v>
      </c>
      <c r="P1322" s="361">
        <v>212784</v>
      </c>
      <c r="Q1322" s="361">
        <v>70928</v>
      </c>
      <c r="R1322" s="361">
        <v>70928</v>
      </c>
      <c r="S1322" s="361">
        <v>141856</v>
      </c>
      <c r="T1322" s="390">
        <v>1047000</v>
      </c>
      <c r="U1322" s="364">
        <f t="shared" si="42"/>
        <v>15363808</v>
      </c>
      <c r="W1322" s="365" t="str">
        <f>+VLOOKUP($B1322,[2]Time_S4!$B:$G,6,0)</f>
        <v>Trung tâm Camera</v>
      </c>
      <c r="X1322" s="365" t="str">
        <f>IF(W1322="Phòng Kinh doanh","Trung tâm Kinh doanh - TCT CNC",+VLOOKUP($B1322,[2]Time_S4!$B:$G,5,0))</f>
        <v>Khối 3 - TCT CNC</v>
      </c>
      <c r="Z1322" s="366"/>
    </row>
    <row r="1323" spans="1:26" hidden="1">
      <c r="A1323" s="367">
        <f>SUBTOTAL(3,$B$15:B1323)</f>
        <v>2</v>
      </c>
      <c r="B1323" s="394" t="s">
        <v>2896</v>
      </c>
      <c r="C1323" s="314" t="s">
        <v>2897</v>
      </c>
      <c r="D1323" s="314" t="s">
        <v>407</v>
      </c>
      <c r="E1323" s="314">
        <v>21</v>
      </c>
      <c r="F1323" s="314">
        <v>21</v>
      </c>
      <c r="G1323" s="314">
        <v>39762100</v>
      </c>
      <c r="H1323" s="359">
        <f t="shared" si="41"/>
        <v>38579884</v>
      </c>
      <c r="K1323" s="362"/>
      <c r="M1323" s="361">
        <v>900736</v>
      </c>
      <c r="N1323" s="361">
        <v>1970360</v>
      </c>
      <c r="O1323" s="361">
        <v>168888</v>
      </c>
      <c r="P1323" s="361">
        <v>337776</v>
      </c>
      <c r="Q1323" s="361">
        <v>112592</v>
      </c>
      <c r="R1323" s="361">
        <v>112592</v>
      </c>
      <c r="S1323" s="361">
        <v>225184</v>
      </c>
      <c r="T1323" s="390">
        <v>1030000</v>
      </c>
      <c r="U1323" s="364">
        <f t="shared" si="42"/>
        <v>43438012</v>
      </c>
      <c r="W1323" s="365" t="str">
        <f>+VLOOKUP($B1323,[2]Time_S4!$B:$G,6,0)</f>
        <v>Trung tâm Camera</v>
      </c>
      <c r="X1323" s="365" t="str">
        <f>IF(W1323="Phòng Kinh doanh","Trung tâm Kinh doanh - TCT CNC",+VLOOKUP($B1323,[2]Time_S4!$B:$G,5,0))</f>
        <v>Khối 3 - TCT CNC</v>
      </c>
      <c r="Z1323" s="366"/>
    </row>
    <row r="1324" spans="1:26" hidden="1">
      <c r="A1324" s="367">
        <f>SUBTOTAL(3,$B$15:B1324)</f>
        <v>2</v>
      </c>
      <c r="B1324" s="394" t="s">
        <v>2898</v>
      </c>
      <c r="C1324" s="314" t="s">
        <v>2899</v>
      </c>
      <c r="D1324" s="314" t="s">
        <v>407</v>
      </c>
      <c r="E1324" s="314">
        <v>21</v>
      </c>
      <c r="F1324" s="314">
        <v>21</v>
      </c>
      <c r="G1324" s="314">
        <v>13200000</v>
      </c>
      <c r="H1324" s="359">
        <f t="shared" si="41"/>
        <v>12455256</v>
      </c>
      <c r="K1324" s="362"/>
      <c r="M1324" s="361">
        <v>567424</v>
      </c>
      <c r="N1324" s="361">
        <v>1241240</v>
      </c>
      <c r="O1324" s="361">
        <v>106392</v>
      </c>
      <c r="P1324" s="361">
        <v>212784</v>
      </c>
      <c r="Q1324" s="361">
        <v>70928</v>
      </c>
      <c r="R1324" s="361">
        <v>70928</v>
      </c>
      <c r="S1324" s="361">
        <v>141856</v>
      </c>
      <c r="T1324" s="390">
        <v>930000</v>
      </c>
      <c r="U1324" s="364">
        <f t="shared" si="42"/>
        <v>15796808</v>
      </c>
      <c r="W1324" s="365" t="str">
        <f>+VLOOKUP($B1324,[2]Time_S4!$B:$G,6,0)</f>
        <v>Trung tâm Phát triển nền tảng thanh toán</v>
      </c>
      <c r="X1324" s="365" t="str">
        <f>IF(W1324="Phòng Kinh doanh","Trung tâm Kinh doanh - TCT CNC",+VLOOKUP($B1324,[2]Time_S4!$B:$G,5,0))</f>
        <v>Khối 2 - TCT CNC</v>
      </c>
      <c r="Z1324" s="366"/>
    </row>
    <row r="1325" spans="1:26" hidden="1">
      <c r="A1325" s="367">
        <f>SUBTOTAL(3,$B$15:B1325)</f>
        <v>2</v>
      </c>
      <c r="B1325" s="394" t="s">
        <v>2900</v>
      </c>
      <c r="C1325" s="314" t="s">
        <v>2901</v>
      </c>
      <c r="D1325" s="314" t="s">
        <v>407</v>
      </c>
      <c r="E1325" s="314">
        <v>21</v>
      </c>
      <c r="F1325" s="314">
        <v>21</v>
      </c>
      <c r="G1325" s="314">
        <v>13800000</v>
      </c>
      <c r="H1325" s="359">
        <f t="shared" si="41"/>
        <v>13013592</v>
      </c>
      <c r="K1325" s="362"/>
      <c r="M1325" s="361">
        <v>599168</v>
      </c>
      <c r="N1325" s="361">
        <v>1310680</v>
      </c>
      <c r="O1325" s="361">
        <v>112344</v>
      </c>
      <c r="P1325" s="361">
        <v>224688</v>
      </c>
      <c r="Q1325" s="361">
        <v>74896</v>
      </c>
      <c r="R1325" s="361">
        <v>74896</v>
      </c>
      <c r="S1325" s="361">
        <v>149792</v>
      </c>
      <c r="T1325" s="390">
        <v>1047000</v>
      </c>
      <c r="U1325" s="364">
        <f t="shared" si="42"/>
        <v>16607056</v>
      </c>
      <c r="W1325" s="365" t="str">
        <f>+VLOOKUP($B1325,[2]Time_S4!$B:$G,6,0)</f>
        <v>Trung tâm Thông tin Quân sự</v>
      </c>
      <c r="X1325" s="365" t="str">
        <f>IF(W1325="Phòng Kinh doanh","Trung tâm Kinh doanh - TCT CNC",+VLOOKUP($B1325,[2]Time_S4!$B:$G,5,0))</f>
        <v>Khối 1 - TCT CNC</v>
      </c>
      <c r="Z1325" s="366"/>
    </row>
    <row r="1326" spans="1:26" hidden="1">
      <c r="A1326" s="367">
        <f>SUBTOTAL(3,$B$15:B1326)</f>
        <v>2</v>
      </c>
      <c r="B1326" s="394" t="s">
        <v>2902</v>
      </c>
      <c r="C1326" s="314" t="s">
        <v>2903</v>
      </c>
      <c r="D1326" s="314" t="s">
        <v>410</v>
      </c>
      <c r="E1326" s="314">
        <v>21</v>
      </c>
      <c r="F1326" s="314">
        <v>21</v>
      </c>
      <c r="G1326" s="314">
        <v>18109880</v>
      </c>
      <c r="H1326" s="359">
        <f t="shared" si="41"/>
        <v>17099000</v>
      </c>
      <c r="K1326" s="362"/>
      <c r="M1326" s="361">
        <v>1010880</v>
      </c>
      <c r="N1326" s="361">
        <v>2211300</v>
      </c>
      <c r="O1326" s="361">
        <v>0</v>
      </c>
      <c r="P1326" s="361">
        <v>0</v>
      </c>
      <c r="Q1326" s="361">
        <v>0</v>
      </c>
      <c r="R1326" s="361">
        <v>0</v>
      </c>
      <c r="S1326" s="361">
        <v>252720</v>
      </c>
      <c r="T1326" s="390">
        <v>1030000</v>
      </c>
      <c r="U1326" s="364">
        <f t="shared" si="42"/>
        <v>21603900</v>
      </c>
      <c r="W1326" s="365" t="str">
        <f>+VLOOKUP($B1326,[2]Time_S4!$B:$G,6,0)</f>
        <v>Trung tâm Nghiên cứu thiết bị vô tuyến băng rộng</v>
      </c>
      <c r="X1326" s="365" t="str">
        <f>IF(W1326="Phòng Kinh doanh","Trung tâm Kinh doanh - TCT CNC",+VLOOKUP($B1326,[2]Time_S4!$B:$G,5,0))</f>
        <v>Khối 2 - TCT CNC</v>
      </c>
      <c r="Z1326" s="366"/>
    </row>
    <row r="1327" spans="1:26" hidden="1">
      <c r="A1327" s="367">
        <f>SUBTOTAL(3,$B$15:B1327)</f>
        <v>2</v>
      </c>
      <c r="B1327" s="394" t="s">
        <v>2904</v>
      </c>
      <c r="C1327" s="314" t="s">
        <v>2905</v>
      </c>
      <c r="D1327" s="314" t="s">
        <v>407</v>
      </c>
      <c r="E1327" s="314">
        <v>21</v>
      </c>
      <c r="F1327" s="314">
        <v>21</v>
      </c>
      <c r="G1327" s="314">
        <v>12650000</v>
      </c>
      <c r="H1327" s="359">
        <f t="shared" si="41"/>
        <v>11905256</v>
      </c>
      <c r="K1327" s="362"/>
      <c r="M1327" s="361">
        <v>567424</v>
      </c>
      <c r="N1327" s="361">
        <v>1241240</v>
      </c>
      <c r="O1327" s="361">
        <v>106392</v>
      </c>
      <c r="P1327" s="361">
        <v>212784</v>
      </c>
      <c r="Q1327" s="361">
        <v>70928</v>
      </c>
      <c r="R1327" s="361">
        <v>70928</v>
      </c>
      <c r="S1327" s="361">
        <v>141856</v>
      </c>
      <c r="T1327" s="390">
        <v>930000</v>
      </c>
      <c r="U1327" s="364">
        <f t="shared" si="42"/>
        <v>15246808</v>
      </c>
      <c r="W1327" s="365" t="str">
        <f>+VLOOKUP($B1327,[2]Time_S4!$B:$G,6,0)</f>
        <v>Trung tâm Công nghệ Cơ khí - Tự động hóa</v>
      </c>
      <c r="X1327" s="365" t="str">
        <f>IF(W1327="Phòng Kinh doanh","Trung tâm Kinh doanh - TCT CNC",+VLOOKUP($B1327,[2]Time_S4!$B:$G,5,0))</f>
        <v>Khối 1 - TCT CNC</v>
      </c>
      <c r="Z1327" s="366"/>
    </row>
    <row r="1328" spans="1:26" hidden="1">
      <c r="A1328" s="367">
        <f>SUBTOTAL(3,$B$15:B1328)</f>
        <v>2</v>
      </c>
      <c r="B1328" s="394" t="s">
        <v>2906</v>
      </c>
      <c r="C1328" s="314" t="s">
        <v>2907</v>
      </c>
      <c r="D1328" s="314" t="s">
        <v>407</v>
      </c>
      <c r="E1328" s="314">
        <v>21</v>
      </c>
      <c r="F1328" s="314">
        <v>21</v>
      </c>
      <c r="G1328" s="314">
        <v>28125440</v>
      </c>
      <c r="H1328" s="359">
        <f t="shared" si="41"/>
        <v>27109880</v>
      </c>
      <c r="K1328" s="362"/>
      <c r="M1328" s="361">
        <v>773760</v>
      </c>
      <c r="N1328" s="361">
        <v>1692600</v>
      </c>
      <c r="O1328" s="361">
        <v>145080</v>
      </c>
      <c r="P1328" s="361">
        <v>290160</v>
      </c>
      <c r="Q1328" s="361">
        <v>96720</v>
      </c>
      <c r="R1328" s="361">
        <v>96720</v>
      </c>
      <c r="S1328" s="361">
        <v>193440</v>
      </c>
      <c r="T1328" s="390">
        <v>1030000</v>
      </c>
      <c r="U1328" s="364">
        <f t="shared" si="42"/>
        <v>31428360</v>
      </c>
      <c r="W1328" s="365" t="str">
        <f>+VLOOKUP($B1328,[2]Time_S4!$B:$G,6,0)</f>
        <v>Trung tâm Tác chiến điện tử</v>
      </c>
      <c r="X1328" s="365" t="str">
        <f>IF(W1328="Phòng Kinh doanh","Trung tâm Kinh doanh - TCT CNC",+VLOOKUP($B1328,[2]Time_S4!$B:$G,5,0))</f>
        <v>Khối 1 - TCT CNC</v>
      </c>
      <c r="Z1328" s="366"/>
    </row>
    <row r="1329" spans="1:26" hidden="1">
      <c r="A1329" s="367">
        <f>SUBTOTAL(3,$B$15:B1329)</f>
        <v>2</v>
      </c>
      <c r="B1329" s="394" t="s">
        <v>2908</v>
      </c>
      <c r="C1329" s="314" t="s">
        <v>2909</v>
      </c>
      <c r="D1329" s="314" t="s">
        <v>407</v>
      </c>
      <c r="E1329" s="314">
        <v>21</v>
      </c>
      <c r="F1329" s="314">
        <v>21</v>
      </c>
      <c r="G1329" s="314">
        <v>13200000</v>
      </c>
      <c r="H1329" s="359">
        <f t="shared" si="41"/>
        <v>12455256</v>
      </c>
      <c r="K1329" s="362"/>
      <c r="M1329" s="361">
        <v>567424</v>
      </c>
      <c r="N1329" s="361">
        <v>1241240</v>
      </c>
      <c r="O1329" s="361">
        <v>106392</v>
      </c>
      <c r="P1329" s="361">
        <v>212784</v>
      </c>
      <c r="Q1329" s="361">
        <v>70928</v>
      </c>
      <c r="R1329" s="361">
        <v>70928</v>
      </c>
      <c r="S1329" s="361">
        <v>141856</v>
      </c>
      <c r="T1329" s="390">
        <v>930000</v>
      </c>
      <c r="U1329" s="364">
        <f t="shared" si="42"/>
        <v>15796808</v>
      </c>
      <c r="W1329" s="365" t="str">
        <f>+VLOOKUP($B1329,[2]Time_S4!$B:$G,6,0)</f>
        <v>Trung tâm Tác chiến điện tử</v>
      </c>
      <c r="X1329" s="365" t="str">
        <f>IF(W1329="Phòng Kinh doanh","Trung tâm Kinh doanh - TCT CNC",+VLOOKUP($B1329,[2]Time_S4!$B:$G,5,0))</f>
        <v>Khối 1 - TCT CNC</v>
      </c>
      <c r="Z1329" s="366"/>
    </row>
    <row r="1330" spans="1:26" hidden="1">
      <c r="A1330" s="367">
        <f>SUBTOTAL(3,$B$15:B1330)</f>
        <v>2</v>
      </c>
      <c r="B1330" s="394" t="s">
        <v>2910</v>
      </c>
      <c r="C1330" s="314" t="s">
        <v>946</v>
      </c>
      <c r="D1330" s="314" t="s">
        <v>407</v>
      </c>
      <c r="E1330" s="314">
        <v>21</v>
      </c>
      <c r="F1330" s="314">
        <v>21</v>
      </c>
      <c r="G1330" s="314">
        <v>12650000</v>
      </c>
      <c r="H1330" s="359">
        <f t="shared" si="41"/>
        <v>11905256</v>
      </c>
      <c r="K1330" s="362"/>
      <c r="M1330" s="361">
        <v>567424</v>
      </c>
      <c r="N1330" s="361">
        <v>1241240</v>
      </c>
      <c r="O1330" s="361">
        <v>106392</v>
      </c>
      <c r="P1330" s="361">
        <v>212784</v>
      </c>
      <c r="Q1330" s="361">
        <v>70928</v>
      </c>
      <c r="R1330" s="361">
        <v>70928</v>
      </c>
      <c r="S1330" s="361">
        <v>141856</v>
      </c>
      <c r="T1330" s="390">
        <v>930000</v>
      </c>
      <c r="U1330" s="364">
        <f t="shared" si="42"/>
        <v>15246808</v>
      </c>
      <c r="W1330" s="365" t="str">
        <f>+VLOOKUP($B1330,[2]Time_S4!$B:$G,6,0)</f>
        <v>Trung tâm Nghiên cứu Công nghệ truyền dẫn</v>
      </c>
      <c r="X1330" s="365" t="str">
        <f>IF(W1330="Phòng Kinh doanh","Trung tâm Kinh doanh - TCT CNC",+VLOOKUP($B1330,[2]Time_S4!$B:$G,5,0))</f>
        <v>Khối 2 - TCT CNC</v>
      </c>
      <c r="Z1330" s="366"/>
    </row>
    <row r="1331" spans="1:26" hidden="1">
      <c r="A1331" s="367">
        <f>SUBTOTAL(3,$B$15:B1331)</f>
        <v>2</v>
      </c>
      <c r="B1331" s="394" t="s">
        <v>2911</v>
      </c>
      <c r="C1331" s="314" t="s">
        <v>2912</v>
      </c>
      <c r="D1331" s="314" t="s">
        <v>407</v>
      </c>
      <c r="E1331" s="314">
        <v>21</v>
      </c>
      <c r="F1331" s="314">
        <v>21</v>
      </c>
      <c r="G1331" s="314">
        <v>18566540</v>
      </c>
      <c r="H1331" s="359">
        <f t="shared" si="41"/>
        <v>17696804</v>
      </c>
      <c r="K1331" s="362"/>
      <c r="M1331" s="361">
        <v>662656</v>
      </c>
      <c r="N1331" s="361">
        <v>1449560</v>
      </c>
      <c r="O1331" s="361">
        <v>124248</v>
      </c>
      <c r="P1331" s="361">
        <v>248496</v>
      </c>
      <c r="Q1331" s="361">
        <v>82832</v>
      </c>
      <c r="R1331" s="361">
        <v>82832</v>
      </c>
      <c r="S1331" s="361">
        <v>165664</v>
      </c>
      <c r="T1331" s="390">
        <v>930000</v>
      </c>
      <c r="U1331" s="364">
        <f t="shared" si="42"/>
        <v>21443092</v>
      </c>
      <c r="W1331" s="365" t="str">
        <f>+VLOOKUP($B1331,[2]Time_S4!$B:$G,6,0)</f>
        <v>Trung tâm Nghiên cứu thiết bị vô tuyến băng rộng</v>
      </c>
      <c r="X1331" s="365" t="str">
        <f>IF(W1331="Phòng Kinh doanh","Trung tâm Kinh doanh - TCT CNC",+VLOOKUP($B1331,[2]Time_S4!$B:$G,5,0))</f>
        <v>Khối 2 - TCT CNC</v>
      </c>
      <c r="Z1331" s="366"/>
    </row>
    <row r="1332" spans="1:26" hidden="1">
      <c r="A1332" s="367">
        <f>SUBTOTAL(3,$B$15:B1332)</f>
        <v>2</v>
      </c>
      <c r="B1332" s="394" t="s">
        <v>2913</v>
      </c>
      <c r="C1332" s="314" t="s">
        <v>2914</v>
      </c>
      <c r="D1332" s="314" t="s">
        <v>407</v>
      </c>
      <c r="E1332" s="314">
        <v>21</v>
      </c>
      <c r="F1332" s="314">
        <v>21</v>
      </c>
      <c r="G1332" s="314">
        <v>12000000</v>
      </c>
      <c r="H1332" s="359">
        <f t="shared" si="41"/>
        <v>11291712</v>
      </c>
      <c r="K1332" s="362"/>
      <c r="M1332" s="361">
        <v>539648</v>
      </c>
      <c r="N1332" s="361">
        <v>1180480</v>
      </c>
      <c r="O1332" s="361">
        <v>101184</v>
      </c>
      <c r="P1332" s="361">
        <v>202368</v>
      </c>
      <c r="Q1332" s="361">
        <v>67456</v>
      </c>
      <c r="R1332" s="361">
        <v>67456</v>
      </c>
      <c r="S1332" s="361">
        <v>134912</v>
      </c>
      <c r="T1332" s="390">
        <v>930000</v>
      </c>
      <c r="U1332" s="364">
        <f t="shared" si="42"/>
        <v>14515216</v>
      </c>
      <c r="W1332" s="365" t="str">
        <f>+VLOOKUP($B1332,[2]Time_S4!$B:$G,6,0)</f>
        <v>Trung tâm Quang điện tử</v>
      </c>
      <c r="X1332" s="365" t="str">
        <f>IF(W1332="Phòng Kinh doanh","Trung tâm Kinh doanh - TCT CNC",+VLOOKUP($B1332,[2]Time_S4!$B:$G,5,0))</f>
        <v>Khối 1 - TCT CNC</v>
      </c>
      <c r="Z1332" s="366"/>
    </row>
    <row r="1333" spans="1:26" hidden="1">
      <c r="A1333" s="367">
        <f>SUBTOTAL(3,$B$15:B1333)</f>
        <v>2</v>
      </c>
      <c r="B1333" s="394" t="s">
        <v>2915</v>
      </c>
      <c r="C1333" s="314" t="s">
        <v>2916</v>
      </c>
      <c r="D1333" s="314" t="s">
        <v>407</v>
      </c>
      <c r="E1333" s="314">
        <v>21</v>
      </c>
      <c r="F1333" s="314">
        <v>21</v>
      </c>
      <c r="G1333" s="314">
        <v>14433380</v>
      </c>
      <c r="H1333" s="359">
        <f t="shared" si="41"/>
        <v>13646972</v>
      </c>
      <c r="K1333" s="362"/>
      <c r="M1333" s="361">
        <v>599168</v>
      </c>
      <c r="N1333" s="361">
        <v>1310680</v>
      </c>
      <c r="O1333" s="361">
        <v>112344</v>
      </c>
      <c r="P1333" s="361">
        <v>224688</v>
      </c>
      <c r="Q1333" s="361">
        <v>74896</v>
      </c>
      <c r="R1333" s="361">
        <v>74896</v>
      </c>
      <c r="S1333" s="361">
        <v>149792</v>
      </c>
      <c r="T1333" s="390">
        <v>930000</v>
      </c>
      <c r="U1333" s="364">
        <f t="shared" si="42"/>
        <v>17123436</v>
      </c>
      <c r="W1333" s="365" t="str">
        <f>+VLOOKUP($B1333,[2]Time_S4!$B:$G,6,0)</f>
        <v>Trung tâm Rada</v>
      </c>
      <c r="X1333" s="365" t="str">
        <f>IF(W1333="Phòng Kinh doanh","Trung tâm Kinh doanh - TCT CNC",+VLOOKUP($B1333,[2]Time_S4!$B:$G,5,0))</f>
        <v>Khối 1 - TCT CNC</v>
      </c>
      <c r="Z1333" s="366"/>
    </row>
    <row r="1334" spans="1:26" hidden="1">
      <c r="A1334" s="367">
        <f>SUBTOTAL(3,$B$15:B1334)</f>
        <v>2</v>
      </c>
      <c r="B1334" s="394" t="s">
        <v>2917</v>
      </c>
      <c r="C1334" s="314" t="s">
        <v>2918</v>
      </c>
      <c r="D1334" s="314" t="s">
        <v>407</v>
      </c>
      <c r="E1334" s="314">
        <v>21</v>
      </c>
      <c r="F1334" s="314">
        <v>21</v>
      </c>
      <c r="G1334" s="314">
        <v>13695500</v>
      </c>
      <c r="H1334" s="359">
        <f t="shared" si="41"/>
        <v>12909092</v>
      </c>
      <c r="K1334" s="362"/>
      <c r="M1334" s="361">
        <v>599168</v>
      </c>
      <c r="N1334" s="361">
        <v>1310680</v>
      </c>
      <c r="O1334" s="361">
        <v>112344</v>
      </c>
      <c r="P1334" s="361">
        <v>224688</v>
      </c>
      <c r="Q1334" s="361">
        <v>74896</v>
      </c>
      <c r="R1334" s="361">
        <v>74896</v>
      </c>
      <c r="S1334" s="361">
        <v>149792</v>
      </c>
      <c r="T1334" s="390">
        <v>930000</v>
      </c>
      <c r="U1334" s="364">
        <f t="shared" si="42"/>
        <v>16385556</v>
      </c>
      <c r="W1334" s="365" t="str">
        <f>+VLOOKUP($B1334,[2]Time_S4!$B:$G,6,0)</f>
        <v>Trung tâm Thông tin Quân sự</v>
      </c>
      <c r="X1334" s="365" t="str">
        <f>IF(W1334="Phòng Kinh doanh","Trung tâm Kinh doanh - TCT CNC",+VLOOKUP($B1334,[2]Time_S4!$B:$G,5,0))</f>
        <v>Khối 1 - TCT CNC</v>
      </c>
      <c r="Z1334" s="366"/>
    </row>
    <row r="1335" spans="1:26" hidden="1">
      <c r="A1335" s="367">
        <f>SUBTOTAL(3,$B$15:B1335)</f>
        <v>2</v>
      </c>
      <c r="B1335" s="394" t="s">
        <v>2919</v>
      </c>
      <c r="C1335" s="314" t="s">
        <v>2920</v>
      </c>
      <c r="D1335" s="314" t="s">
        <v>407</v>
      </c>
      <c r="E1335" s="314">
        <v>21</v>
      </c>
      <c r="F1335" s="314">
        <v>21</v>
      </c>
      <c r="G1335" s="314">
        <v>13200000</v>
      </c>
      <c r="H1335" s="359">
        <f t="shared" si="41"/>
        <v>12455256</v>
      </c>
      <c r="K1335" s="362"/>
      <c r="M1335" s="361">
        <v>567424</v>
      </c>
      <c r="N1335" s="361">
        <v>1241240</v>
      </c>
      <c r="O1335" s="361">
        <v>106392</v>
      </c>
      <c r="P1335" s="361">
        <v>212784</v>
      </c>
      <c r="Q1335" s="361">
        <v>70928</v>
      </c>
      <c r="R1335" s="361">
        <v>70928</v>
      </c>
      <c r="S1335" s="361">
        <v>141856</v>
      </c>
      <c r="T1335" s="390">
        <v>930000</v>
      </c>
      <c r="U1335" s="364">
        <f t="shared" si="42"/>
        <v>15796808</v>
      </c>
      <c r="W1335" s="365" t="str">
        <f>+VLOOKUP($B1335,[2]Time_S4!$B:$G,6,0)</f>
        <v>Trung tâm Camera</v>
      </c>
      <c r="X1335" s="365" t="str">
        <f>IF(W1335="Phòng Kinh doanh","Trung tâm Kinh doanh - TCT CNC",+VLOOKUP($B1335,[2]Time_S4!$B:$G,5,0))</f>
        <v>Khối 3 - TCT CNC</v>
      </c>
      <c r="Z1335" s="366"/>
    </row>
    <row r="1336" spans="1:26" hidden="1">
      <c r="A1336" s="367">
        <f>SUBTOTAL(3,$B$15:B1336)</f>
        <v>2</v>
      </c>
      <c r="B1336" s="394" t="s">
        <v>2921</v>
      </c>
      <c r="C1336" s="314" t="s">
        <v>2922</v>
      </c>
      <c r="D1336" s="314" t="s">
        <v>407</v>
      </c>
      <c r="E1336" s="314">
        <v>21</v>
      </c>
      <c r="F1336" s="314">
        <v>21</v>
      </c>
      <c r="G1336" s="314">
        <v>11000000</v>
      </c>
      <c r="H1336" s="359">
        <f t="shared" si="41"/>
        <v>10291712</v>
      </c>
      <c r="K1336" s="362"/>
      <c r="M1336" s="361">
        <v>539648</v>
      </c>
      <c r="N1336" s="361">
        <v>1180480</v>
      </c>
      <c r="O1336" s="361">
        <v>101184</v>
      </c>
      <c r="P1336" s="361">
        <v>202368</v>
      </c>
      <c r="Q1336" s="361">
        <v>67456</v>
      </c>
      <c r="R1336" s="361">
        <v>67456</v>
      </c>
      <c r="S1336" s="361">
        <v>134912</v>
      </c>
      <c r="T1336" s="390">
        <v>930000</v>
      </c>
      <c r="U1336" s="364">
        <f t="shared" si="42"/>
        <v>13515216</v>
      </c>
      <c r="W1336" s="365" t="str">
        <f>+VLOOKUP($B1336,[2]Time_S4!$B:$G,6,0)</f>
        <v>Trung tâm Khí cụ bay</v>
      </c>
      <c r="X1336" s="365" t="str">
        <f>IF(W1336="Phòng Kinh doanh","Trung tâm Kinh doanh - TCT CNC",+VLOOKUP($B1336,[2]Time_S4!$B:$G,5,0))</f>
        <v>Khối 1 - TCT CNC</v>
      </c>
      <c r="Z1336" s="366"/>
    </row>
    <row r="1337" spans="1:26" hidden="1">
      <c r="A1337" s="367">
        <f>SUBTOTAL(3,$B$15:B1337)</f>
        <v>2</v>
      </c>
      <c r="B1337" s="394" t="s">
        <v>2923</v>
      </c>
      <c r="C1337" s="314" t="s">
        <v>2924</v>
      </c>
      <c r="D1337" s="314" t="s">
        <v>407</v>
      </c>
      <c r="E1337" s="314">
        <v>21</v>
      </c>
      <c r="F1337" s="314">
        <v>21</v>
      </c>
      <c r="G1337" s="314">
        <v>13200000</v>
      </c>
      <c r="H1337" s="359">
        <f t="shared" si="41"/>
        <v>12455256</v>
      </c>
      <c r="K1337" s="362"/>
      <c r="M1337" s="361">
        <v>567424</v>
      </c>
      <c r="N1337" s="361">
        <v>1241240</v>
      </c>
      <c r="O1337" s="361">
        <v>106392</v>
      </c>
      <c r="P1337" s="361">
        <v>212784</v>
      </c>
      <c r="Q1337" s="361">
        <v>70928</v>
      </c>
      <c r="R1337" s="361">
        <v>70928</v>
      </c>
      <c r="S1337" s="361">
        <v>141856</v>
      </c>
      <c r="T1337" s="390">
        <v>1030000</v>
      </c>
      <c r="U1337" s="364">
        <f t="shared" si="42"/>
        <v>15896808</v>
      </c>
      <c r="W1337" s="365" t="str">
        <f>+VLOOKUP($B1337,[2]Time_S4!$B:$G,6,0)</f>
        <v>Trung tâm Nghiên cứu Công nghệ chuyển mạch</v>
      </c>
      <c r="X1337" s="365" t="str">
        <f>IF(W1337="Phòng Kinh doanh","Trung tâm Kinh doanh - TCT CNC",+VLOOKUP($B1337,[2]Time_S4!$B:$G,5,0))</f>
        <v>Khối 2 - TCT CNC</v>
      </c>
      <c r="Z1337" s="366"/>
    </row>
    <row r="1338" spans="1:26" hidden="1">
      <c r="A1338" s="367">
        <f>SUBTOTAL(3,$B$15:B1338)</f>
        <v>2</v>
      </c>
      <c r="B1338" s="394" t="s">
        <v>2925</v>
      </c>
      <c r="C1338" s="314" t="s">
        <v>2926</v>
      </c>
      <c r="D1338" s="314" t="s">
        <v>407</v>
      </c>
      <c r="E1338" s="314">
        <v>21</v>
      </c>
      <c r="F1338" s="314">
        <v>21</v>
      </c>
      <c r="G1338" s="314">
        <v>11598820</v>
      </c>
      <c r="H1338" s="359">
        <f t="shared" si="41"/>
        <v>10854076</v>
      </c>
      <c r="K1338" s="362"/>
      <c r="M1338" s="361">
        <v>567424</v>
      </c>
      <c r="N1338" s="361">
        <v>1241240</v>
      </c>
      <c r="O1338" s="361">
        <v>106392</v>
      </c>
      <c r="P1338" s="361">
        <v>212784</v>
      </c>
      <c r="Q1338" s="361">
        <v>70928</v>
      </c>
      <c r="R1338" s="361">
        <v>70928</v>
      </c>
      <c r="S1338" s="361">
        <v>141856</v>
      </c>
      <c r="T1338" s="390">
        <v>930000</v>
      </c>
      <c r="U1338" s="364">
        <f t="shared" si="42"/>
        <v>14195628</v>
      </c>
      <c r="W1338" s="365" t="str">
        <f>+VLOOKUP($B1338,[2]Time_S4!$B:$G,6,0)</f>
        <v>Trung tâm Phát triển nền tảng thanh toán</v>
      </c>
      <c r="X1338" s="365" t="str">
        <f>IF(W1338="Phòng Kinh doanh","Trung tâm Kinh doanh - TCT CNC",+VLOOKUP($B1338,[2]Time_S4!$B:$G,5,0))</f>
        <v>Khối 2 - TCT CNC</v>
      </c>
      <c r="Z1338" s="366"/>
    </row>
    <row r="1339" spans="1:26" hidden="1">
      <c r="A1339" s="367">
        <f>SUBTOTAL(3,$B$15:B1339)</f>
        <v>2</v>
      </c>
      <c r="B1339" s="394" t="s">
        <v>2927</v>
      </c>
      <c r="C1339" s="314" t="s">
        <v>2928</v>
      </c>
      <c r="D1339" s="314" t="s">
        <v>407</v>
      </c>
      <c r="E1339" s="314">
        <v>21</v>
      </c>
      <c r="F1339" s="314">
        <v>21</v>
      </c>
      <c r="G1339" s="314">
        <v>11942857</v>
      </c>
      <c r="H1339" s="359">
        <f t="shared" si="41"/>
        <v>11198113</v>
      </c>
      <c r="K1339" s="362"/>
      <c r="M1339" s="361">
        <v>567424</v>
      </c>
      <c r="N1339" s="361">
        <v>1241240</v>
      </c>
      <c r="O1339" s="361">
        <v>106392</v>
      </c>
      <c r="P1339" s="361">
        <v>212784</v>
      </c>
      <c r="Q1339" s="361">
        <v>70928</v>
      </c>
      <c r="R1339" s="361">
        <v>70928</v>
      </c>
      <c r="S1339" s="361">
        <v>141856</v>
      </c>
      <c r="T1339" s="390">
        <v>1047000</v>
      </c>
      <c r="U1339" s="364">
        <f t="shared" si="42"/>
        <v>14656665</v>
      </c>
      <c r="W1339" s="365" t="str">
        <f>+VLOOKUP($B1339,[2]Time_S4!$B:$G,6,0)</f>
        <v>Trung tâm Camera</v>
      </c>
      <c r="X1339" s="365" t="str">
        <f>IF(W1339="Phòng Kinh doanh","Trung tâm Kinh doanh - TCT CNC",+VLOOKUP($B1339,[2]Time_S4!$B:$G,5,0))</f>
        <v>Khối 3 - TCT CNC</v>
      </c>
      <c r="Z1339" s="366"/>
    </row>
    <row r="1340" spans="1:26" hidden="1">
      <c r="A1340" s="367">
        <f>SUBTOTAL(3,$B$15:B1340)</f>
        <v>2</v>
      </c>
      <c r="B1340" s="394" t="s">
        <v>2929</v>
      </c>
      <c r="C1340" s="314" t="s">
        <v>2930</v>
      </c>
      <c r="D1340" s="314" t="s">
        <v>407</v>
      </c>
      <c r="E1340" s="314">
        <v>21</v>
      </c>
      <c r="F1340" s="314">
        <v>21</v>
      </c>
      <c r="G1340" s="314">
        <v>21503440</v>
      </c>
      <c r="H1340" s="359">
        <f t="shared" si="41"/>
        <v>20539960</v>
      </c>
      <c r="K1340" s="362"/>
      <c r="M1340" s="361">
        <v>734080</v>
      </c>
      <c r="N1340" s="361">
        <v>1605800</v>
      </c>
      <c r="O1340" s="361">
        <v>137640</v>
      </c>
      <c r="P1340" s="361">
        <v>275280</v>
      </c>
      <c r="Q1340" s="361">
        <v>91760</v>
      </c>
      <c r="R1340" s="361">
        <v>91760</v>
      </c>
      <c r="S1340" s="361">
        <v>183520</v>
      </c>
      <c r="T1340" s="390">
        <v>930000</v>
      </c>
      <c r="U1340" s="364">
        <f t="shared" si="42"/>
        <v>24589800</v>
      </c>
      <c r="W1340" s="365" t="str">
        <f>+VLOOKUP($B1340,[2]Time_S4!$B:$G,6,0)</f>
        <v>Trung tâm Camera</v>
      </c>
      <c r="X1340" s="365" t="str">
        <f>IF(W1340="Phòng Kinh doanh","Trung tâm Kinh doanh - TCT CNC",+VLOOKUP($B1340,[2]Time_S4!$B:$G,5,0))</f>
        <v>Khối 3 - TCT CNC</v>
      </c>
      <c r="Z1340" s="366"/>
    </row>
    <row r="1341" spans="1:26" hidden="1">
      <c r="A1341" s="367">
        <f>SUBTOTAL(3,$B$15:B1341)</f>
        <v>2</v>
      </c>
      <c r="B1341" s="394" t="s">
        <v>2931</v>
      </c>
      <c r="C1341" s="314" t="s">
        <v>2932</v>
      </c>
      <c r="D1341" s="314" t="s">
        <v>407</v>
      </c>
      <c r="E1341" s="314">
        <v>21</v>
      </c>
      <c r="F1341" s="314">
        <v>21</v>
      </c>
      <c r="G1341" s="314">
        <v>11500000</v>
      </c>
      <c r="H1341" s="359">
        <f t="shared" si="41"/>
        <v>10791712</v>
      </c>
      <c r="K1341" s="362"/>
      <c r="M1341" s="361">
        <v>539648</v>
      </c>
      <c r="N1341" s="361">
        <v>1180480</v>
      </c>
      <c r="O1341" s="361">
        <v>101184</v>
      </c>
      <c r="P1341" s="361">
        <v>202368</v>
      </c>
      <c r="Q1341" s="361">
        <v>67456</v>
      </c>
      <c r="R1341" s="361">
        <v>67456</v>
      </c>
      <c r="S1341" s="361">
        <v>134912</v>
      </c>
      <c r="T1341" s="390">
        <v>930000</v>
      </c>
      <c r="U1341" s="364">
        <f t="shared" si="42"/>
        <v>14015216</v>
      </c>
      <c r="W1341" s="365" t="str">
        <f>+VLOOKUP($B1341,[2]Time_S4!$B:$G,6,0)</f>
        <v>Trung tâm Khí cụ bay</v>
      </c>
      <c r="X1341" s="365" t="str">
        <f>IF(W1341="Phòng Kinh doanh","Trung tâm Kinh doanh - TCT CNC",+VLOOKUP($B1341,[2]Time_S4!$B:$G,5,0))</f>
        <v>Khối 1 - TCT CNC</v>
      </c>
      <c r="Z1341" s="366"/>
    </row>
    <row r="1342" spans="1:26" hidden="1">
      <c r="A1342" s="367">
        <f>SUBTOTAL(3,$B$15:B1342)</f>
        <v>2</v>
      </c>
      <c r="B1342" s="394" t="s">
        <v>2933</v>
      </c>
      <c r="C1342" s="314" t="s">
        <v>2934</v>
      </c>
      <c r="D1342" s="314" t="s">
        <v>407</v>
      </c>
      <c r="E1342" s="314">
        <v>21</v>
      </c>
      <c r="F1342" s="314">
        <v>21</v>
      </c>
      <c r="G1342" s="314">
        <v>11844780</v>
      </c>
      <c r="H1342" s="359">
        <f t="shared" si="41"/>
        <v>11100036</v>
      </c>
      <c r="K1342" s="362"/>
      <c r="M1342" s="361">
        <v>567424</v>
      </c>
      <c r="N1342" s="361">
        <v>1241240</v>
      </c>
      <c r="O1342" s="361">
        <v>106392</v>
      </c>
      <c r="P1342" s="361">
        <v>212784</v>
      </c>
      <c r="Q1342" s="361">
        <v>70928</v>
      </c>
      <c r="R1342" s="361">
        <v>70928</v>
      </c>
      <c r="S1342" s="361">
        <v>141856</v>
      </c>
      <c r="T1342" s="390">
        <v>930000</v>
      </c>
      <c r="U1342" s="364">
        <f t="shared" si="42"/>
        <v>14441588</v>
      </c>
      <c r="W1342" s="365" t="str">
        <f>+VLOOKUP($B1342,[2]Time_S4!$B:$G,6,0)</f>
        <v>Trung tâm Nghiên cứu Công nghệ truyền dẫn</v>
      </c>
      <c r="X1342" s="365" t="str">
        <f>IF(W1342="Phòng Kinh doanh","Trung tâm Kinh doanh - TCT CNC",+VLOOKUP($B1342,[2]Time_S4!$B:$G,5,0))</f>
        <v>Khối 2 - TCT CNC</v>
      </c>
      <c r="Z1342" s="366"/>
    </row>
    <row r="1343" spans="1:26" hidden="1">
      <c r="A1343" s="367">
        <f>SUBTOTAL(3,$B$15:B1343)</f>
        <v>2</v>
      </c>
      <c r="B1343" s="394" t="s">
        <v>2935</v>
      </c>
      <c r="C1343" s="314" t="s">
        <v>2936</v>
      </c>
      <c r="D1343" s="314" t="s">
        <v>407</v>
      </c>
      <c r="E1343" s="314">
        <v>21</v>
      </c>
      <c r="F1343" s="314">
        <v>21</v>
      </c>
      <c r="G1343" s="314">
        <v>14282880</v>
      </c>
      <c r="H1343" s="359">
        <f t="shared" si="41"/>
        <v>13496472</v>
      </c>
      <c r="K1343" s="362"/>
      <c r="M1343" s="361">
        <v>599168</v>
      </c>
      <c r="N1343" s="361">
        <v>1310680</v>
      </c>
      <c r="O1343" s="361">
        <v>112344</v>
      </c>
      <c r="P1343" s="361">
        <v>224688</v>
      </c>
      <c r="Q1343" s="361">
        <v>74896</v>
      </c>
      <c r="R1343" s="361">
        <v>74896</v>
      </c>
      <c r="S1343" s="361">
        <v>149792</v>
      </c>
      <c r="T1343" s="390">
        <v>930000</v>
      </c>
      <c r="U1343" s="364">
        <f t="shared" si="42"/>
        <v>16972936</v>
      </c>
      <c r="W1343" s="365" t="str">
        <f>+VLOOKUP($B1343,[2]Time_S4!$B:$G,6,0)</f>
        <v>Trung tâm Phát triển nền tảng thanh toán</v>
      </c>
      <c r="X1343" s="365" t="str">
        <f>IF(W1343="Phòng Kinh doanh","Trung tâm Kinh doanh - TCT CNC",+VLOOKUP($B1343,[2]Time_S4!$B:$G,5,0))</f>
        <v>Khối 2 - TCT CNC</v>
      </c>
      <c r="Z1343" s="366"/>
    </row>
    <row r="1344" spans="1:26" hidden="1">
      <c r="A1344" s="367">
        <f>SUBTOTAL(3,$B$15:B1344)</f>
        <v>2</v>
      </c>
      <c r="B1344" s="394" t="s">
        <v>2937</v>
      </c>
      <c r="C1344" s="314" t="s">
        <v>2938</v>
      </c>
      <c r="D1344" s="314" t="s">
        <v>407</v>
      </c>
      <c r="E1344" s="314">
        <v>21</v>
      </c>
      <c r="F1344" s="314">
        <v>21</v>
      </c>
      <c r="G1344" s="314">
        <v>13200000</v>
      </c>
      <c r="H1344" s="359">
        <f t="shared" si="41"/>
        <v>12455256</v>
      </c>
      <c r="K1344" s="362"/>
      <c r="M1344" s="361">
        <v>567424</v>
      </c>
      <c r="N1344" s="361">
        <v>1241240</v>
      </c>
      <c r="O1344" s="361">
        <v>106392</v>
      </c>
      <c r="P1344" s="361">
        <v>212784</v>
      </c>
      <c r="Q1344" s="361">
        <v>70928</v>
      </c>
      <c r="R1344" s="361">
        <v>70928</v>
      </c>
      <c r="S1344" s="361">
        <v>141856</v>
      </c>
      <c r="T1344" s="390">
        <v>930000</v>
      </c>
      <c r="U1344" s="364">
        <f t="shared" si="42"/>
        <v>15796808</v>
      </c>
      <c r="W1344" s="365" t="str">
        <f>+VLOOKUP($B1344,[2]Time_S4!$B:$G,6,0)</f>
        <v>Trung tâm Rada</v>
      </c>
      <c r="X1344" s="365" t="str">
        <f>IF(W1344="Phòng Kinh doanh","Trung tâm Kinh doanh - TCT CNC",+VLOOKUP($B1344,[2]Time_S4!$B:$G,5,0))</f>
        <v>Khối 1 - TCT CNC</v>
      </c>
      <c r="Z1344" s="366"/>
    </row>
    <row r="1345" spans="1:26" hidden="1">
      <c r="A1345" s="367">
        <f>SUBTOTAL(3,$B$15:B1345)</f>
        <v>2</v>
      </c>
      <c r="B1345" s="394" t="s">
        <v>2939</v>
      </c>
      <c r="C1345" s="314" t="s">
        <v>2940</v>
      </c>
      <c r="D1345" s="314" t="s">
        <v>407</v>
      </c>
      <c r="E1345" s="314">
        <v>21</v>
      </c>
      <c r="F1345" s="314">
        <v>21</v>
      </c>
      <c r="G1345" s="314">
        <v>13695500</v>
      </c>
      <c r="H1345" s="359">
        <f t="shared" si="41"/>
        <v>12909092</v>
      </c>
      <c r="K1345" s="362"/>
      <c r="M1345" s="361">
        <v>599168</v>
      </c>
      <c r="N1345" s="361">
        <v>1310680</v>
      </c>
      <c r="O1345" s="361">
        <v>112344</v>
      </c>
      <c r="P1345" s="361">
        <v>224688</v>
      </c>
      <c r="Q1345" s="361">
        <v>74896</v>
      </c>
      <c r="R1345" s="361">
        <v>74896</v>
      </c>
      <c r="S1345" s="361">
        <v>149792</v>
      </c>
      <c r="T1345" s="390">
        <v>930000</v>
      </c>
      <c r="U1345" s="364">
        <f t="shared" si="42"/>
        <v>16385556</v>
      </c>
      <c r="W1345" s="365" t="str">
        <f>+VLOOKUP($B1345,[2]Time_S4!$B:$G,6,0)</f>
        <v>Trung tâm Đảm bảo chất lượng</v>
      </c>
      <c r="X1345" s="365" t="str">
        <f>IF(W1345="Phòng Kinh doanh","Trung tâm Kinh doanh - TCT CNC",+VLOOKUP($B1345,[2]Time_S4!$B:$G,5,0))</f>
        <v>Khối 1 - TCT CNC</v>
      </c>
      <c r="Z1345" s="366"/>
    </row>
    <row r="1346" spans="1:26" hidden="1">
      <c r="A1346" s="367">
        <f>SUBTOTAL(3,$B$15:B1346)</f>
        <v>2</v>
      </c>
      <c r="B1346" s="394" t="s">
        <v>2941</v>
      </c>
      <c r="C1346" s="314" t="s">
        <v>2942</v>
      </c>
      <c r="D1346" s="314" t="s">
        <v>407</v>
      </c>
      <c r="E1346" s="314">
        <v>21</v>
      </c>
      <c r="F1346" s="314">
        <v>21</v>
      </c>
      <c r="G1346" s="314">
        <v>13000000</v>
      </c>
      <c r="H1346" s="359">
        <f t="shared" si="41"/>
        <v>12291712</v>
      </c>
      <c r="K1346" s="362"/>
      <c r="M1346" s="361">
        <v>539648</v>
      </c>
      <c r="N1346" s="361">
        <v>1180480</v>
      </c>
      <c r="O1346" s="361">
        <v>101184</v>
      </c>
      <c r="P1346" s="361">
        <v>202368</v>
      </c>
      <c r="Q1346" s="361">
        <v>67456</v>
      </c>
      <c r="R1346" s="361">
        <v>67456</v>
      </c>
      <c r="S1346" s="361">
        <v>134912</v>
      </c>
      <c r="T1346" s="390">
        <v>930000</v>
      </c>
      <c r="U1346" s="364">
        <f t="shared" si="42"/>
        <v>15515216</v>
      </c>
      <c r="W1346" s="365" t="str">
        <f>+VLOOKUP($B1346,[2]Time_S4!$B:$G,6,0)</f>
        <v>Trung tâm Thông tin Quân sự</v>
      </c>
      <c r="X1346" s="365" t="str">
        <f>IF(W1346="Phòng Kinh doanh","Trung tâm Kinh doanh - TCT CNC",+VLOOKUP($B1346,[2]Time_S4!$B:$G,5,0))</f>
        <v>Khối 1 - TCT CNC</v>
      </c>
      <c r="Z1346" s="366"/>
    </row>
    <row r="1347" spans="1:26" hidden="1">
      <c r="A1347" s="367">
        <f>SUBTOTAL(3,$B$15:B1347)</f>
        <v>2</v>
      </c>
      <c r="B1347" s="394" t="s">
        <v>2943</v>
      </c>
      <c r="C1347" s="314" t="s">
        <v>2944</v>
      </c>
      <c r="D1347" s="314" t="s">
        <v>407</v>
      </c>
      <c r="E1347" s="314">
        <v>21</v>
      </c>
      <c r="F1347" s="314">
        <v>21</v>
      </c>
      <c r="G1347" s="314">
        <v>13695500</v>
      </c>
      <c r="H1347" s="359">
        <f t="shared" si="41"/>
        <v>12909092</v>
      </c>
      <c r="K1347" s="362"/>
      <c r="M1347" s="361">
        <v>599168</v>
      </c>
      <c r="N1347" s="361">
        <v>1310680</v>
      </c>
      <c r="O1347" s="361">
        <v>112344</v>
      </c>
      <c r="P1347" s="361">
        <v>224688</v>
      </c>
      <c r="Q1347" s="361">
        <v>74896</v>
      </c>
      <c r="R1347" s="361">
        <v>74896</v>
      </c>
      <c r="S1347" s="361">
        <v>149792</v>
      </c>
      <c r="T1347" s="390">
        <v>930000</v>
      </c>
      <c r="U1347" s="364">
        <f t="shared" si="42"/>
        <v>16385556</v>
      </c>
      <c r="W1347" s="365" t="str">
        <f>+VLOOKUP($B1347,[2]Time_S4!$B:$G,6,0)</f>
        <v>Trung tâm Camera</v>
      </c>
      <c r="X1347" s="365" t="str">
        <f>IF(W1347="Phòng Kinh doanh","Trung tâm Kinh doanh - TCT CNC",+VLOOKUP($B1347,[2]Time_S4!$B:$G,5,0))</f>
        <v>Khối 3 - TCT CNC</v>
      </c>
      <c r="Z1347" s="366"/>
    </row>
    <row r="1348" spans="1:26" hidden="1">
      <c r="A1348" s="367">
        <f>SUBTOTAL(3,$B$15:B1348)</f>
        <v>2</v>
      </c>
      <c r="B1348" s="394" t="s">
        <v>2945</v>
      </c>
      <c r="C1348" s="314" t="s">
        <v>2946</v>
      </c>
      <c r="D1348" s="314" t="s">
        <v>410</v>
      </c>
      <c r="E1348" s="314">
        <v>21</v>
      </c>
      <c r="F1348" s="314">
        <v>21</v>
      </c>
      <c r="G1348" s="314">
        <v>12000000</v>
      </c>
      <c r="H1348" s="359">
        <f t="shared" si="41"/>
        <v>11138880</v>
      </c>
      <c r="K1348" s="362"/>
      <c r="M1348" s="361">
        <v>861120</v>
      </c>
      <c r="N1348" s="361">
        <v>1883700</v>
      </c>
      <c r="O1348" s="361">
        <v>0</v>
      </c>
      <c r="P1348" s="361">
        <v>0</v>
      </c>
      <c r="Q1348" s="361">
        <v>0</v>
      </c>
      <c r="R1348" s="361">
        <v>0</v>
      </c>
      <c r="S1348" s="361">
        <v>215280</v>
      </c>
      <c r="T1348" s="390">
        <v>1047000</v>
      </c>
      <c r="U1348" s="364">
        <f t="shared" si="42"/>
        <v>15145980</v>
      </c>
      <c r="W1348" s="365" t="str">
        <f>+VLOOKUP($B1348,[2]Time_S4!$B:$G,6,0)</f>
        <v>Trung tâm Quang điện tử</v>
      </c>
      <c r="X1348" s="365" t="str">
        <f>IF(W1348="Phòng Kinh doanh","Trung tâm Kinh doanh - TCT CNC",+VLOOKUP($B1348,[2]Time_S4!$B:$G,5,0))</f>
        <v>Khối 1 - TCT CNC</v>
      </c>
      <c r="Z1348" s="366"/>
    </row>
    <row r="1349" spans="1:26" hidden="1">
      <c r="A1349" s="367">
        <f>SUBTOTAL(3,$B$15:B1349)</f>
        <v>2</v>
      </c>
      <c r="B1349" s="394" t="s">
        <v>2947</v>
      </c>
      <c r="C1349" s="314" t="s">
        <v>2948</v>
      </c>
      <c r="D1349" s="314" t="s">
        <v>410</v>
      </c>
      <c r="E1349" s="314">
        <v>21</v>
      </c>
      <c r="F1349" s="314">
        <v>21</v>
      </c>
      <c r="G1349" s="314">
        <v>12000000</v>
      </c>
      <c r="H1349" s="359">
        <f t="shared" si="41"/>
        <v>11138880</v>
      </c>
      <c r="K1349" s="362"/>
      <c r="M1349" s="361">
        <v>861120</v>
      </c>
      <c r="N1349" s="361">
        <v>1883700</v>
      </c>
      <c r="O1349" s="361">
        <v>0</v>
      </c>
      <c r="P1349" s="361">
        <v>0</v>
      </c>
      <c r="Q1349" s="361">
        <v>0</v>
      </c>
      <c r="R1349" s="361">
        <v>0</v>
      </c>
      <c r="S1349" s="361">
        <v>215280</v>
      </c>
      <c r="T1349" s="390">
        <v>930000</v>
      </c>
      <c r="U1349" s="364">
        <f t="shared" si="42"/>
        <v>15028980</v>
      </c>
      <c r="W1349" s="365" t="str">
        <f>+VLOOKUP($B1349,[2]Time_S4!$B:$G,6,0)</f>
        <v>Trung tâm Thông tin Quân sự</v>
      </c>
      <c r="X1349" s="365" t="str">
        <f>IF(W1349="Phòng Kinh doanh","Trung tâm Kinh doanh - TCT CNC",+VLOOKUP($B1349,[2]Time_S4!$B:$G,5,0))</f>
        <v>Khối 1 - TCT CNC</v>
      </c>
      <c r="Z1349" s="366"/>
    </row>
    <row r="1350" spans="1:26" hidden="1">
      <c r="A1350" s="367">
        <f>SUBTOTAL(3,$B$15:B1350)</f>
        <v>2</v>
      </c>
      <c r="B1350" s="394" t="s">
        <v>2949</v>
      </c>
      <c r="C1350" s="314" t="s">
        <v>2950</v>
      </c>
      <c r="D1350" s="314" t="s">
        <v>407</v>
      </c>
      <c r="E1350" s="314">
        <v>21</v>
      </c>
      <c r="F1350" s="314">
        <v>21</v>
      </c>
      <c r="G1350" s="314">
        <v>20620220</v>
      </c>
      <c r="H1350" s="359">
        <f t="shared" si="41"/>
        <v>19703612</v>
      </c>
      <c r="K1350" s="362"/>
      <c r="M1350" s="361">
        <v>698368</v>
      </c>
      <c r="N1350" s="361">
        <v>1527680</v>
      </c>
      <c r="O1350" s="361">
        <v>130944</v>
      </c>
      <c r="P1350" s="361">
        <v>261888</v>
      </c>
      <c r="Q1350" s="361">
        <v>87296</v>
      </c>
      <c r="R1350" s="361">
        <v>87296</v>
      </c>
      <c r="S1350" s="361">
        <v>174592</v>
      </c>
      <c r="T1350" s="390">
        <v>930000</v>
      </c>
      <c r="U1350" s="364">
        <f t="shared" si="42"/>
        <v>23601676</v>
      </c>
      <c r="W1350" s="365" t="str">
        <f>+VLOOKUP($B1350,[2]Time_S4!$B:$G,6,0)</f>
        <v>Trung tâm Đảm bảo chất lượng</v>
      </c>
      <c r="X1350" s="365" t="str">
        <f>IF(W1350="Phòng Kinh doanh","Trung tâm Kinh doanh - TCT CNC",+VLOOKUP($B1350,[2]Time_S4!$B:$G,5,0))</f>
        <v>Khối 1 - TCT CNC</v>
      </c>
      <c r="Z1350" s="366"/>
    </row>
    <row r="1351" spans="1:26" hidden="1">
      <c r="A1351" s="367">
        <f>SUBTOTAL(3,$B$15:B1351)</f>
        <v>2</v>
      </c>
      <c r="B1351" s="394" t="s">
        <v>2951</v>
      </c>
      <c r="C1351" s="314" t="s">
        <v>2952</v>
      </c>
      <c r="D1351" s="314" t="s">
        <v>407</v>
      </c>
      <c r="E1351" s="314">
        <v>21</v>
      </c>
      <c r="F1351" s="314">
        <v>21</v>
      </c>
      <c r="G1351" s="314">
        <v>11500000</v>
      </c>
      <c r="H1351" s="359">
        <f t="shared" si="41"/>
        <v>10791712</v>
      </c>
      <c r="K1351" s="362"/>
      <c r="M1351" s="361">
        <v>539648</v>
      </c>
      <c r="N1351" s="361">
        <v>1180480</v>
      </c>
      <c r="O1351" s="361">
        <v>101184</v>
      </c>
      <c r="P1351" s="361">
        <v>202368</v>
      </c>
      <c r="Q1351" s="361">
        <v>67456</v>
      </c>
      <c r="R1351" s="361">
        <v>67456</v>
      </c>
      <c r="S1351" s="361">
        <v>134912</v>
      </c>
      <c r="T1351" s="390">
        <v>930000</v>
      </c>
      <c r="U1351" s="364">
        <f t="shared" si="42"/>
        <v>14015216</v>
      </c>
      <c r="W1351" s="365" t="str">
        <f>+VLOOKUP($B1351,[2]Time_S4!$B:$G,6,0)</f>
        <v>Trung tâm Thông tin Quân sự</v>
      </c>
      <c r="X1351" s="365" t="str">
        <f>IF(W1351="Phòng Kinh doanh","Trung tâm Kinh doanh - TCT CNC",+VLOOKUP($B1351,[2]Time_S4!$B:$G,5,0))</f>
        <v>Khối 1 - TCT CNC</v>
      </c>
      <c r="Z1351" s="366"/>
    </row>
    <row r="1352" spans="1:26" hidden="1">
      <c r="A1352" s="367">
        <f>SUBTOTAL(3,$B$15:B1352)</f>
        <v>2</v>
      </c>
      <c r="B1352" s="394" t="s">
        <v>2953</v>
      </c>
      <c r="C1352" s="314" t="s">
        <v>2954</v>
      </c>
      <c r="D1352" s="314" t="s">
        <v>407</v>
      </c>
      <c r="E1352" s="314">
        <v>21</v>
      </c>
      <c r="F1352" s="314">
        <v>21</v>
      </c>
      <c r="G1352" s="314">
        <v>12000000</v>
      </c>
      <c r="H1352" s="359">
        <f t="shared" si="41"/>
        <v>11291712</v>
      </c>
      <c r="K1352" s="362"/>
      <c r="M1352" s="361">
        <v>539648</v>
      </c>
      <c r="N1352" s="361">
        <v>1180480</v>
      </c>
      <c r="O1352" s="361">
        <v>101184</v>
      </c>
      <c r="P1352" s="361">
        <v>202368</v>
      </c>
      <c r="Q1352" s="361">
        <v>67456</v>
      </c>
      <c r="R1352" s="361">
        <v>67456</v>
      </c>
      <c r="S1352" s="361">
        <v>134912</v>
      </c>
      <c r="T1352" s="390">
        <v>930000</v>
      </c>
      <c r="U1352" s="364">
        <f t="shared" si="42"/>
        <v>14515216</v>
      </c>
      <c r="W1352" s="365" t="str">
        <f>+VLOOKUP($B1352,[2]Time_S4!$B:$G,6,0)</f>
        <v>Trung tâm Chỉ huy điều khiển</v>
      </c>
      <c r="X1352" s="365" t="str">
        <f>IF(W1352="Phòng Kinh doanh","Trung tâm Kinh doanh - TCT CNC",+VLOOKUP($B1352,[2]Time_S4!$B:$G,5,0))</f>
        <v>Khối 1 - TCT CNC</v>
      </c>
      <c r="Z1352" s="366"/>
    </row>
    <row r="1353" spans="1:26" hidden="1">
      <c r="A1353" s="367">
        <f>SUBTOTAL(3,$B$15:B1353)</f>
        <v>2</v>
      </c>
      <c r="B1353" s="394" t="s">
        <v>2955</v>
      </c>
      <c r="C1353" s="314" t="s">
        <v>2956</v>
      </c>
      <c r="D1353" s="314" t="s">
        <v>407</v>
      </c>
      <c r="E1353" s="314">
        <v>21</v>
      </c>
      <c r="F1353" s="314">
        <v>21</v>
      </c>
      <c r="G1353" s="314">
        <v>12650000</v>
      </c>
      <c r="H1353" s="359">
        <f t="shared" si="41"/>
        <v>11905256</v>
      </c>
      <c r="K1353" s="362"/>
      <c r="M1353" s="361">
        <v>567424</v>
      </c>
      <c r="N1353" s="361">
        <v>1241240</v>
      </c>
      <c r="O1353" s="361">
        <v>106392</v>
      </c>
      <c r="P1353" s="361">
        <v>212784</v>
      </c>
      <c r="Q1353" s="361">
        <v>70928</v>
      </c>
      <c r="R1353" s="361">
        <v>70928</v>
      </c>
      <c r="S1353" s="361">
        <v>141856</v>
      </c>
      <c r="T1353" s="390">
        <v>930000</v>
      </c>
      <c r="U1353" s="364">
        <f t="shared" si="42"/>
        <v>15246808</v>
      </c>
      <c r="W1353" s="365" t="str">
        <f>+VLOOKUP($B1353,[2]Time_S4!$B:$G,6,0)</f>
        <v>Trung tâm Chỉ huy điều khiển</v>
      </c>
      <c r="X1353" s="365" t="str">
        <f>IF(W1353="Phòng Kinh doanh","Trung tâm Kinh doanh - TCT CNC",+VLOOKUP($B1353,[2]Time_S4!$B:$G,5,0))</f>
        <v>Khối 1 - TCT CNC</v>
      </c>
      <c r="Z1353" s="366"/>
    </row>
    <row r="1354" spans="1:26" hidden="1">
      <c r="A1354" s="367">
        <f>SUBTOTAL(3,$B$15:B1354)</f>
        <v>2</v>
      </c>
      <c r="B1354" s="394" t="s">
        <v>2957</v>
      </c>
      <c r="C1354" s="314" t="s">
        <v>2958</v>
      </c>
      <c r="D1354" s="314" t="s">
        <v>407</v>
      </c>
      <c r="E1354" s="314">
        <v>21</v>
      </c>
      <c r="F1354" s="314">
        <v>21</v>
      </c>
      <c r="G1354" s="314">
        <v>10334620</v>
      </c>
      <c r="H1354" s="359">
        <f t="shared" si="41"/>
        <v>9626332</v>
      </c>
      <c r="K1354" s="362"/>
      <c r="M1354" s="361">
        <v>539648</v>
      </c>
      <c r="N1354" s="361">
        <v>1180480</v>
      </c>
      <c r="O1354" s="361">
        <v>101184</v>
      </c>
      <c r="P1354" s="361">
        <v>202368</v>
      </c>
      <c r="Q1354" s="361">
        <v>67456</v>
      </c>
      <c r="R1354" s="361">
        <v>67456</v>
      </c>
      <c r="S1354" s="361">
        <v>134912</v>
      </c>
      <c r="T1354" s="390">
        <v>930000</v>
      </c>
      <c r="U1354" s="364">
        <f t="shared" si="42"/>
        <v>12849836</v>
      </c>
      <c r="W1354" s="365" t="str">
        <f>+VLOOKUP($B1354,[2]Time_S4!$B:$G,6,0)</f>
        <v>Trung tâm Chỉ huy điều khiển</v>
      </c>
      <c r="X1354" s="365" t="str">
        <f>IF(W1354="Phòng Kinh doanh","Trung tâm Kinh doanh - TCT CNC",+VLOOKUP($B1354,[2]Time_S4!$B:$G,5,0))</f>
        <v>Khối 1 - TCT CNC</v>
      </c>
      <c r="Z1354" s="366"/>
    </row>
    <row r="1355" spans="1:26" hidden="1">
      <c r="A1355" s="367">
        <f>SUBTOTAL(3,$B$15:B1355)</f>
        <v>2</v>
      </c>
      <c r="B1355" s="394" t="s">
        <v>2959</v>
      </c>
      <c r="C1355" s="314" t="s">
        <v>2960</v>
      </c>
      <c r="D1355" s="314" t="s">
        <v>407</v>
      </c>
      <c r="E1355" s="314">
        <v>21</v>
      </c>
      <c r="F1355" s="314">
        <v>21</v>
      </c>
      <c r="G1355" s="314">
        <v>11000000</v>
      </c>
      <c r="H1355" s="359">
        <f t="shared" si="41"/>
        <v>10291712</v>
      </c>
      <c r="K1355" s="362"/>
      <c r="M1355" s="361">
        <v>539648</v>
      </c>
      <c r="N1355" s="361">
        <v>1180480</v>
      </c>
      <c r="O1355" s="361">
        <v>101184</v>
      </c>
      <c r="P1355" s="361">
        <v>202368</v>
      </c>
      <c r="Q1355" s="361">
        <v>67456</v>
      </c>
      <c r="R1355" s="361">
        <v>67456</v>
      </c>
      <c r="S1355" s="361">
        <v>134912</v>
      </c>
      <c r="T1355" s="390">
        <v>930000</v>
      </c>
      <c r="U1355" s="364">
        <f t="shared" si="42"/>
        <v>13515216</v>
      </c>
      <c r="W1355" s="365" t="str">
        <f>+VLOOKUP($B1355,[2]Time_S4!$B:$G,6,0)</f>
        <v>Trung tâm Quang điện tử</v>
      </c>
      <c r="X1355" s="365" t="str">
        <f>IF(W1355="Phòng Kinh doanh","Trung tâm Kinh doanh - TCT CNC",+VLOOKUP($B1355,[2]Time_S4!$B:$G,5,0))</f>
        <v>Khối 1 - TCT CNC</v>
      </c>
      <c r="Z1355" s="366"/>
    </row>
    <row r="1356" spans="1:26" hidden="1">
      <c r="A1356" s="367">
        <f>SUBTOTAL(3,$B$15:B1356)</f>
        <v>2</v>
      </c>
      <c r="B1356" s="394" t="s">
        <v>2961</v>
      </c>
      <c r="C1356" s="314" t="s">
        <v>2962</v>
      </c>
      <c r="D1356" s="314" t="s">
        <v>407</v>
      </c>
      <c r="E1356" s="314">
        <v>21</v>
      </c>
      <c r="F1356" s="314">
        <v>21</v>
      </c>
      <c r="G1356" s="314">
        <v>19772260</v>
      </c>
      <c r="H1356" s="359">
        <f t="shared" si="41"/>
        <v>18855652</v>
      </c>
      <c r="K1356" s="362"/>
      <c r="M1356" s="361">
        <v>698368</v>
      </c>
      <c r="N1356" s="361">
        <v>1527680</v>
      </c>
      <c r="O1356" s="361">
        <v>130944</v>
      </c>
      <c r="P1356" s="361">
        <v>261888</v>
      </c>
      <c r="Q1356" s="361">
        <v>87296</v>
      </c>
      <c r="R1356" s="361">
        <v>87296</v>
      </c>
      <c r="S1356" s="361">
        <v>174592</v>
      </c>
      <c r="T1356" s="390">
        <v>1047000</v>
      </c>
      <c r="U1356" s="364">
        <f t="shared" si="42"/>
        <v>22870716</v>
      </c>
      <c r="W1356" s="365" t="str">
        <f>+VLOOKUP($B1356,[2]Time_S4!$B:$G,6,0)</f>
        <v>Phòng Quản lý chất lượng</v>
      </c>
      <c r="X1356" s="365" t="str">
        <f>IF(W1356="Phòng Kinh doanh","Trung tâm Kinh doanh - TCT CNC",+VLOOKUP($B1356,[2]Time_S4!$B:$G,5,0))</f>
        <v>Khối 3 - TCT CNC</v>
      </c>
      <c r="Z1356" s="366"/>
    </row>
    <row r="1357" spans="1:26" hidden="1">
      <c r="A1357" s="367">
        <f>SUBTOTAL(3,$B$15:B1357)</f>
        <v>2</v>
      </c>
      <c r="B1357" s="394" t="s">
        <v>2963</v>
      </c>
      <c r="C1357" s="314" t="s">
        <v>2964</v>
      </c>
      <c r="D1357" s="314" t="s">
        <v>407</v>
      </c>
      <c r="E1357" s="314">
        <v>21</v>
      </c>
      <c r="F1357" s="314">
        <v>21</v>
      </c>
      <c r="G1357" s="314">
        <v>12223180</v>
      </c>
      <c r="H1357" s="359">
        <f t="shared" si="41"/>
        <v>11478436</v>
      </c>
      <c r="K1357" s="362"/>
      <c r="M1357" s="361">
        <v>567424</v>
      </c>
      <c r="N1357" s="361">
        <v>1241240</v>
      </c>
      <c r="O1357" s="361">
        <v>106392</v>
      </c>
      <c r="P1357" s="361">
        <v>212784</v>
      </c>
      <c r="Q1357" s="361">
        <v>70928</v>
      </c>
      <c r="R1357" s="361">
        <v>70928</v>
      </c>
      <c r="S1357" s="361">
        <v>141856</v>
      </c>
      <c r="T1357" s="390">
        <v>1047000</v>
      </c>
      <c r="U1357" s="364">
        <f t="shared" si="42"/>
        <v>14936988</v>
      </c>
      <c r="W1357" s="365" t="str">
        <f>+VLOOKUP($B1357,[2]Time_S4!$B:$G,6,0)</f>
        <v>Trung tâm Camera</v>
      </c>
      <c r="X1357" s="365" t="str">
        <f>IF(W1357="Phòng Kinh doanh","Trung tâm Kinh doanh - TCT CNC",+VLOOKUP($B1357,[2]Time_S4!$B:$G,5,0))</f>
        <v>Khối 3 - TCT CNC</v>
      </c>
      <c r="Z1357" s="366"/>
    </row>
    <row r="1358" spans="1:26" hidden="1">
      <c r="A1358" s="367">
        <f>SUBTOTAL(3,$B$15:B1358)</f>
        <v>2</v>
      </c>
      <c r="B1358" s="394" t="s">
        <v>2965</v>
      </c>
      <c r="C1358" s="314" t="s">
        <v>1365</v>
      </c>
      <c r="D1358" s="314" t="s">
        <v>407</v>
      </c>
      <c r="E1358" s="314">
        <v>21</v>
      </c>
      <c r="F1358" s="314">
        <v>21</v>
      </c>
      <c r="G1358" s="314">
        <v>13695500</v>
      </c>
      <c r="H1358" s="359">
        <f t="shared" si="41"/>
        <v>12909092</v>
      </c>
      <c r="K1358" s="362"/>
      <c r="M1358" s="361">
        <v>599168</v>
      </c>
      <c r="N1358" s="361">
        <v>1310680</v>
      </c>
      <c r="O1358" s="361">
        <v>112344</v>
      </c>
      <c r="P1358" s="361">
        <v>224688</v>
      </c>
      <c r="Q1358" s="361">
        <v>74896</v>
      </c>
      <c r="R1358" s="361">
        <v>74896</v>
      </c>
      <c r="S1358" s="361">
        <v>149792</v>
      </c>
      <c r="T1358" s="390">
        <v>1047000</v>
      </c>
      <c r="U1358" s="364">
        <f t="shared" si="42"/>
        <v>16502556</v>
      </c>
      <c r="W1358" s="365" t="str">
        <f>+VLOOKUP($B1358,[2]Time_S4!$B:$G,6,0)</f>
        <v>Phòng Marketing</v>
      </c>
      <c r="X1358" s="365" t="str">
        <f>IF(W1358="Phòng Kinh doanh","Trung tâm Kinh doanh - TCT CNC",+VLOOKUP($B1358,[2]Time_S4!$B:$G,5,0))</f>
        <v>Trung tâm Kinh doanh - TCT CNC</v>
      </c>
      <c r="Z1358" s="366"/>
    </row>
    <row r="1359" spans="1:26" hidden="1">
      <c r="A1359" s="367">
        <f>SUBTOTAL(3,$B$15:B1359)</f>
        <v>2</v>
      </c>
      <c r="B1359" s="394" t="s">
        <v>2966</v>
      </c>
      <c r="C1359" s="314" t="s">
        <v>2967</v>
      </c>
      <c r="D1359" s="314" t="s">
        <v>407</v>
      </c>
      <c r="E1359" s="314">
        <v>21</v>
      </c>
      <c r="F1359" s="314">
        <v>21</v>
      </c>
      <c r="G1359" s="314">
        <v>11000000</v>
      </c>
      <c r="H1359" s="359">
        <f t="shared" si="41"/>
        <v>10291712</v>
      </c>
      <c r="K1359" s="362"/>
      <c r="M1359" s="361">
        <v>539648</v>
      </c>
      <c r="N1359" s="361">
        <v>1180480</v>
      </c>
      <c r="O1359" s="361">
        <v>101184</v>
      </c>
      <c r="P1359" s="361">
        <v>202368</v>
      </c>
      <c r="Q1359" s="361">
        <v>67456</v>
      </c>
      <c r="R1359" s="361">
        <v>67456</v>
      </c>
      <c r="S1359" s="361">
        <v>134912</v>
      </c>
      <c r="T1359" s="390">
        <v>930000</v>
      </c>
      <c r="U1359" s="364">
        <f t="shared" si="42"/>
        <v>13515216</v>
      </c>
      <c r="W1359" s="365" t="str">
        <f>+VLOOKUP($B1359,[2]Time_S4!$B:$G,6,0)</f>
        <v>Trung tâm Nghiên cứu công nghệ Đa phương tiện</v>
      </c>
      <c r="X1359" s="365" t="str">
        <f>IF(W1359="Phòng Kinh doanh","Trung tâm Kinh doanh - TCT CNC",+VLOOKUP($B1359,[2]Time_S4!$B:$G,5,0))</f>
        <v>Khối 2 - TCT CNC</v>
      </c>
      <c r="Z1359" s="366"/>
    </row>
    <row r="1360" spans="1:26" hidden="1">
      <c r="A1360" s="367">
        <f>SUBTOTAL(3,$B$15:B1360)</f>
        <v>2</v>
      </c>
      <c r="B1360" s="394" t="s">
        <v>2968</v>
      </c>
      <c r="C1360" s="314" t="s">
        <v>2969</v>
      </c>
      <c r="D1360" s="314" t="s">
        <v>407</v>
      </c>
      <c r="E1360" s="314">
        <v>21</v>
      </c>
      <c r="F1360" s="314">
        <v>21</v>
      </c>
      <c r="G1360" s="314">
        <v>13718720</v>
      </c>
      <c r="H1360" s="359">
        <f t="shared" ref="H1360:H1365" si="43">+G1360-SUM(M1360,O1360,Q1360)</f>
        <v>12932312</v>
      </c>
      <c r="K1360" s="362"/>
      <c r="M1360" s="361">
        <v>599168</v>
      </c>
      <c r="N1360" s="361">
        <v>1310680</v>
      </c>
      <c r="O1360" s="361">
        <v>112344</v>
      </c>
      <c r="P1360" s="361">
        <v>224688</v>
      </c>
      <c r="Q1360" s="361">
        <v>74896</v>
      </c>
      <c r="R1360" s="361">
        <v>74896</v>
      </c>
      <c r="S1360" s="361">
        <v>149792</v>
      </c>
      <c r="T1360" s="390">
        <v>930000</v>
      </c>
      <c r="U1360" s="364">
        <f t="shared" ref="U1360:U1422" si="44">+SUM(H1360:T1360)</f>
        <v>16408776</v>
      </c>
      <c r="W1360" s="365" t="str">
        <f>+VLOOKUP($B1360,[2]Time_S4!$B:$G,6,0)</f>
        <v>Trung tâm Thông tin Quân sự</v>
      </c>
      <c r="X1360" s="365" t="str">
        <f>IF(W1360="Phòng Kinh doanh","Trung tâm Kinh doanh - TCT CNC",+VLOOKUP($B1360,[2]Time_S4!$B:$G,5,0))</f>
        <v>Khối 1 - TCT CNC</v>
      </c>
      <c r="Z1360" s="366"/>
    </row>
    <row r="1361" spans="1:26" hidden="1">
      <c r="A1361" s="367">
        <f>SUBTOTAL(3,$B$15:B1361)</f>
        <v>2</v>
      </c>
      <c r="B1361" s="394" t="s">
        <v>2970</v>
      </c>
      <c r="C1361" s="314" t="s">
        <v>2971</v>
      </c>
      <c r="D1361" s="314" t="s">
        <v>407</v>
      </c>
      <c r="E1361" s="314">
        <v>21</v>
      </c>
      <c r="F1361" s="314">
        <v>21</v>
      </c>
      <c r="G1361" s="314">
        <v>17617100</v>
      </c>
      <c r="H1361" s="359">
        <f t="shared" si="43"/>
        <v>16747364</v>
      </c>
      <c r="K1361" s="362"/>
      <c r="M1361" s="361">
        <v>662656</v>
      </c>
      <c r="N1361" s="361">
        <v>1449560</v>
      </c>
      <c r="O1361" s="361">
        <v>124248</v>
      </c>
      <c r="P1361" s="361">
        <v>248496</v>
      </c>
      <c r="Q1361" s="361">
        <v>82832</v>
      </c>
      <c r="R1361" s="361">
        <v>82832</v>
      </c>
      <c r="S1361" s="361">
        <v>165664</v>
      </c>
      <c r="T1361" s="390">
        <v>930000</v>
      </c>
      <c r="U1361" s="364">
        <f t="shared" si="44"/>
        <v>20493652</v>
      </c>
      <c r="W1361" s="365" t="str">
        <f>+VLOOKUP($B1361,[2]Time_S4!$B:$G,6,0)</f>
        <v>Trung tâm Camera</v>
      </c>
      <c r="X1361" s="365" t="str">
        <f>IF(W1361="Phòng Kinh doanh","Trung tâm Kinh doanh - TCT CNC",+VLOOKUP($B1361,[2]Time_S4!$B:$G,5,0))</f>
        <v>Khối 3 - TCT CNC</v>
      </c>
      <c r="Z1361" s="366"/>
    </row>
    <row r="1362" spans="1:26" hidden="1">
      <c r="A1362" s="367">
        <f>SUBTOTAL(3,$B$15:B1362)</f>
        <v>2</v>
      </c>
      <c r="B1362" s="394" t="s">
        <v>2972</v>
      </c>
      <c r="C1362" s="314" t="s">
        <v>2973</v>
      </c>
      <c r="D1362" s="314" t="s">
        <v>407</v>
      </c>
      <c r="E1362" s="314">
        <v>21</v>
      </c>
      <c r="F1362" s="314">
        <v>21</v>
      </c>
      <c r="G1362" s="314">
        <v>13142858</v>
      </c>
      <c r="H1362" s="359">
        <f t="shared" si="43"/>
        <v>12398114</v>
      </c>
      <c r="K1362" s="362"/>
      <c r="M1362" s="361">
        <v>567424</v>
      </c>
      <c r="N1362" s="361">
        <v>1241240</v>
      </c>
      <c r="O1362" s="361">
        <v>106392</v>
      </c>
      <c r="P1362" s="361">
        <v>212784</v>
      </c>
      <c r="Q1362" s="361">
        <v>70928</v>
      </c>
      <c r="R1362" s="361">
        <v>70928</v>
      </c>
      <c r="S1362" s="361">
        <v>141856</v>
      </c>
      <c r="T1362" s="390">
        <v>930000</v>
      </c>
      <c r="U1362" s="364">
        <f t="shared" si="44"/>
        <v>15739666</v>
      </c>
      <c r="W1362" s="365" t="str">
        <f>+VLOOKUP($B1362,[2]Time_S4!$B:$G,6,0)</f>
        <v>Trung tâm Thông tin Quân sự</v>
      </c>
      <c r="X1362" s="365" t="str">
        <f>IF(W1362="Phòng Kinh doanh","Trung tâm Kinh doanh - TCT CNC",+VLOOKUP($B1362,[2]Time_S4!$B:$G,5,0))</f>
        <v>Khối 1 - TCT CNC</v>
      </c>
      <c r="Z1362" s="366"/>
    </row>
    <row r="1363" spans="1:26" hidden="1">
      <c r="A1363" s="367">
        <f>SUBTOTAL(3,$B$15:B1363)</f>
        <v>2</v>
      </c>
      <c r="B1363" s="394" t="s">
        <v>2974</v>
      </c>
      <c r="C1363" s="314" t="s">
        <v>2975</v>
      </c>
      <c r="D1363" s="314" t="s">
        <v>407</v>
      </c>
      <c r="E1363" s="314">
        <v>21</v>
      </c>
      <c r="F1363" s="314">
        <v>21</v>
      </c>
      <c r="G1363" s="314">
        <v>14282880</v>
      </c>
      <c r="H1363" s="359">
        <f t="shared" si="43"/>
        <v>13496472</v>
      </c>
      <c r="K1363" s="362"/>
      <c r="M1363" s="361">
        <v>599168</v>
      </c>
      <c r="N1363" s="361">
        <v>1310680</v>
      </c>
      <c r="O1363" s="361">
        <v>112344</v>
      </c>
      <c r="P1363" s="361">
        <v>224688</v>
      </c>
      <c r="Q1363" s="361">
        <v>74896</v>
      </c>
      <c r="R1363" s="361">
        <v>74896</v>
      </c>
      <c r="S1363" s="361">
        <v>149792</v>
      </c>
      <c r="T1363" s="390">
        <v>1047000</v>
      </c>
      <c r="U1363" s="364">
        <f t="shared" si="44"/>
        <v>17089936</v>
      </c>
      <c r="W1363" s="365" t="str">
        <f>+VLOOKUP($B1363,[2]Time_S4!$B:$G,6,0)</f>
        <v>Trung tâm Phát triển nền tảng thanh toán</v>
      </c>
      <c r="X1363" s="365" t="str">
        <f>IF(W1363="Phòng Kinh doanh","Trung tâm Kinh doanh - TCT CNC",+VLOOKUP($B1363,[2]Time_S4!$B:$G,5,0))</f>
        <v>Khối 2 - TCT CNC</v>
      </c>
      <c r="Z1363" s="366"/>
    </row>
    <row r="1364" spans="1:26" hidden="1">
      <c r="A1364" s="367">
        <f>SUBTOTAL(3,$B$15:B1364)</f>
        <v>2</v>
      </c>
      <c r="B1364" s="394" t="s">
        <v>2976</v>
      </c>
      <c r="C1364" s="314" t="s">
        <v>2977</v>
      </c>
      <c r="D1364" s="314" t="s">
        <v>407</v>
      </c>
      <c r="E1364" s="314">
        <v>21</v>
      </c>
      <c r="F1364" s="314">
        <v>21</v>
      </c>
      <c r="G1364" s="314">
        <v>20405220</v>
      </c>
      <c r="H1364" s="359">
        <f t="shared" si="43"/>
        <v>19488612</v>
      </c>
      <c r="K1364" s="362"/>
      <c r="M1364" s="361">
        <v>698368</v>
      </c>
      <c r="N1364" s="361">
        <v>1527680</v>
      </c>
      <c r="O1364" s="361">
        <v>130944</v>
      </c>
      <c r="P1364" s="361">
        <v>261888</v>
      </c>
      <c r="Q1364" s="361">
        <v>87296</v>
      </c>
      <c r="R1364" s="361">
        <v>87296</v>
      </c>
      <c r="S1364" s="361">
        <v>174592</v>
      </c>
      <c r="T1364" s="390">
        <v>930000</v>
      </c>
      <c r="U1364" s="364">
        <f t="shared" si="44"/>
        <v>23386676</v>
      </c>
      <c r="W1364" s="365" t="str">
        <f>+VLOOKUP($B1364,[2]Time_S4!$B:$G,6,0)</f>
        <v>Trung tâm Chỉ huy điều khiển</v>
      </c>
      <c r="X1364" s="365" t="str">
        <f>IF(W1364="Phòng Kinh doanh","Trung tâm Kinh doanh - TCT CNC",+VLOOKUP($B1364,[2]Time_S4!$B:$G,5,0))</f>
        <v>Khối 1 - TCT CNC</v>
      </c>
      <c r="Z1364" s="366"/>
    </row>
    <row r="1365" spans="1:26" hidden="1">
      <c r="A1365" s="367">
        <f>SUBTOTAL(3,$B$15:B1365)</f>
        <v>2</v>
      </c>
      <c r="B1365" s="394" t="s">
        <v>2978</v>
      </c>
      <c r="C1365" s="314" t="s">
        <v>2979</v>
      </c>
      <c r="D1365" s="314" t="s">
        <v>407</v>
      </c>
      <c r="E1365" s="314">
        <v>21</v>
      </c>
      <c r="F1365" s="314">
        <v>21</v>
      </c>
      <c r="G1365" s="314">
        <v>12257142</v>
      </c>
      <c r="H1365" s="359">
        <f t="shared" si="43"/>
        <v>11512398</v>
      </c>
      <c r="K1365" s="362"/>
      <c r="M1365" s="361">
        <v>567424</v>
      </c>
      <c r="N1365" s="361">
        <v>1241240</v>
      </c>
      <c r="O1365" s="361">
        <v>106392</v>
      </c>
      <c r="P1365" s="361">
        <v>212784</v>
      </c>
      <c r="Q1365" s="361">
        <v>70928</v>
      </c>
      <c r="R1365" s="361">
        <v>70928</v>
      </c>
      <c r="S1365" s="361">
        <v>141856</v>
      </c>
      <c r="T1365" s="390">
        <v>930000</v>
      </c>
      <c r="U1365" s="364">
        <f t="shared" si="44"/>
        <v>14853950</v>
      </c>
      <c r="W1365" s="365" t="str">
        <f>+VLOOKUP($B1365,[2]Time_S4!$B:$G,6,0)</f>
        <v>Trung tâm Camera</v>
      </c>
      <c r="X1365" s="365" t="str">
        <f>IF(W1365="Phòng Kinh doanh","Trung tâm Kinh doanh - TCT CNC",+VLOOKUP($B1365,[2]Time_S4!$B:$G,5,0))</f>
        <v>Khối 3 - TCT CNC</v>
      </c>
      <c r="Z1365" s="366"/>
    </row>
    <row r="1366" spans="1:26" hidden="1">
      <c r="A1366" s="367">
        <f>SUBTOTAL(3,$B$15:B1366)</f>
        <v>2</v>
      </c>
      <c r="B1366" s="394" t="s">
        <v>2980</v>
      </c>
      <c r="C1366" s="314" t="s">
        <v>2981</v>
      </c>
      <c r="D1366" s="314" t="s">
        <v>407</v>
      </c>
      <c r="E1366" s="314">
        <v>21</v>
      </c>
      <c r="F1366" s="314">
        <v>21</v>
      </c>
      <c r="G1366" s="314">
        <v>10334620</v>
      </c>
      <c r="H1366" s="359">
        <f>+G1366-SUM(M1366,O1366,Q1366)</f>
        <v>9626332</v>
      </c>
      <c r="K1366" s="362"/>
      <c r="M1366" s="361">
        <v>539648</v>
      </c>
      <c r="N1366" s="361">
        <v>1180480</v>
      </c>
      <c r="O1366" s="361">
        <v>101184</v>
      </c>
      <c r="P1366" s="361">
        <v>202368</v>
      </c>
      <c r="Q1366" s="361">
        <v>67456</v>
      </c>
      <c r="R1366" s="361">
        <v>67456</v>
      </c>
      <c r="S1366" s="361">
        <v>134912</v>
      </c>
      <c r="T1366" s="390">
        <v>930000</v>
      </c>
      <c r="U1366" s="364">
        <f t="shared" si="44"/>
        <v>12849836</v>
      </c>
      <c r="W1366" s="365" t="str">
        <f>+VLOOKUP($B1366,[2]Time_S4!$B:$G,6,0)</f>
        <v>Trung tâm Nền tảng IOT</v>
      </c>
      <c r="X1366" s="365" t="str">
        <f>IF(W1366="Phòng Kinh doanh","Trung tâm Kinh doanh - TCT CNC",+VLOOKUP($B1366,[2]Time_S4!$B:$G,5,0))</f>
        <v>Khối 3 - TCT CNC</v>
      </c>
      <c r="Z1366" s="366"/>
    </row>
    <row r="1367" spans="1:26" hidden="1">
      <c r="A1367" s="367">
        <f>SUBTOTAL(3,$B$15:B1367)</f>
        <v>2</v>
      </c>
      <c r="B1367" s="394" t="s">
        <v>2982</v>
      </c>
      <c r="C1367" s="314" t="s">
        <v>2983</v>
      </c>
      <c r="D1367" s="314" t="s">
        <v>407</v>
      </c>
      <c r="E1367" s="314">
        <v>21</v>
      </c>
      <c r="F1367" s="314">
        <v>21</v>
      </c>
      <c r="G1367" s="314">
        <v>14433380</v>
      </c>
      <c r="H1367" s="359">
        <f t="shared" ref="H1367:H1423" si="45">+G1367-SUM(M1367,O1367,Q1367)</f>
        <v>13646972</v>
      </c>
      <c r="K1367" s="362"/>
      <c r="M1367" s="361">
        <v>599168</v>
      </c>
      <c r="N1367" s="361">
        <v>1310680</v>
      </c>
      <c r="O1367" s="361">
        <v>112344</v>
      </c>
      <c r="P1367" s="361">
        <v>224688</v>
      </c>
      <c r="Q1367" s="361">
        <v>74896</v>
      </c>
      <c r="R1367" s="361">
        <v>74896</v>
      </c>
      <c r="S1367" s="361">
        <v>149792</v>
      </c>
      <c r="T1367" s="390">
        <v>930000</v>
      </c>
      <c r="U1367" s="364">
        <f t="shared" si="44"/>
        <v>17123436</v>
      </c>
      <c r="W1367" s="365" t="str">
        <f>+VLOOKUP($B1367,[2]Time_S4!$B:$G,6,0)</f>
        <v>Trung tâm Thông tin Quân sự</v>
      </c>
      <c r="X1367" s="365" t="str">
        <f>IF(W1367="Phòng Kinh doanh","Trung tâm Kinh doanh - TCT CNC",+VLOOKUP($B1367,[2]Time_S4!$B:$G,5,0))</f>
        <v>Khối 1 - TCT CNC</v>
      </c>
      <c r="Z1367" s="366"/>
    </row>
    <row r="1368" spans="1:26" hidden="1">
      <c r="A1368" s="367">
        <f>SUBTOTAL(3,$B$15:B1368)</f>
        <v>2</v>
      </c>
      <c r="B1368" s="394" t="s">
        <v>2984</v>
      </c>
      <c r="C1368" s="314" t="s">
        <v>1400</v>
      </c>
      <c r="D1368" s="314" t="s">
        <v>407</v>
      </c>
      <c r="E1368" s="314">
        <v>21</v>
      </c>
      <c r="F1368" s="314">
        <v>21</v>
      </c>
      <c r="G1368" s="314">
        <v>17071000</v>
      </c>
      <c r="H1368" s="359">
        <f t="shared" si="45"/>
        <v>16201264</v>
      </c>
      <c r="K1368" s="362"/>
      <c r="M1368" s="361">
        <v>662656</v>
      </c>
      <c r="N1368" s="361">
        <v>1449560</v>
      </c>
      <c r="O1368" s="361">
        <v>124248</v>
      </c>
      <c r="P1368" s="361">
        <v>248496</v>
      </c>
      <c r="Q1368" s="361">
        <v>82832</v>
      </c>
      <c r="R1368" s="361">
        <v>82832</v>
      </c>
      <c r="S1368" s="361">
        <v>165664</v>
      </c>
      <c r="T1368" s="390">
        <v>930000</v>
      </c>
      <c r="U1368" s="364">
        <f t="shared" si="44"/>
        <v>19947552</v>
      </c>
      <c r="W1368" s="365" t="str">
        <f>+VLOOKUP($B1368,[2]Time_S4!$B:$G,6,0)</f>
        <v>Trung tâm Kỹ thuật công nghệ - TCT CNC</v>
      </c>
      <c r="X1368" s="365" t="str">
        <f>IF(W1368="Phòng Kinh doanh","Trung tâm Kinh doanh - TCT CNC",+VLOOKUP($B1368,[2]Time_S4!$B:$G,5,0))</f>
        <v>Khối 2 - TCT CNC</v>
      </c>
      <c r="Z1368" s="366"/>
    </row>
    <row r="1369" spans="1:26" hidden="1">
      <c r="A1369" s="367">
        <f>SUBTOTAL(3,$B$15:B1369)</f>
        <v>2</v>
      </c>
      <c r="B1369" s="394" t="s">
        <v>2985</v>
      </c>
      <c r="C1369" s="314" t="s">
        <v>2986</v>
      </c>
      <c r="D1369" s="314" t="s">
        <v>407</v>
      </c>
      <c r="E1369" s="314">
        <v>21</v>
      </c>
      <c r="F1369" s="314">
        <v>21</v>
      </c>
      <c r="G1369" s="314">
        <v>12257143</v>
      </c>
      <c r="H1369" s="359">
        <f t="shared" si="45"/>
        <v>11470735</v>
      </c>
      <c r="K1369" s="362"/>
      <c r="M1369" s="361">
        <v>599168</v>
      </c>
      <c r="N1369" s="361">
        <v>1310680</v>
      </c>
      <c r="O1369" s="361">
        <v>112344</v>
      </c>
      <c r="P1369" s="361">
        <v>224688</v>
      </c>
      <c r="Q1369" s="361">
        <v>74896</v>
      </c>
      <c r="R1369" s="361">
        <v>74896</v>
      </c>
      <c r="S1369" s="361">
        <v>149792</v>
      </c>
      <c r="T1369" s="390">
        <v>930000</v>
      </c>
      <c r="U1369" s="364">
        <f t="shared" si="44"/>
        <v>14947199</v>
      </c>
      <c r="W1369" s="365" t="str">
        <f>+VLOOKUP($B1369,[2]Time_S4!$B:$G,6,0)</f>
        <v>Trung tâm Phát triển nền tảng thanh toán</v>
      </c>
      <c r="X1369" s="365" t="str">
        <f>IF(W1369="Phòng Kinh doanh","Trung tâm Kinh doanh - TCT CNC",+VLOOKUP($B1369,[2]Time_S4!$B:$G,5,0))</f>
        <v>Khối 2 - TCT CNC</v>
      </c>
      <c r="Z1369" s="366"/>
    </row>
    <row r="1370" spans="1:26" hidden="1">
      <c r="A1370" s="367">
        <f>SUBTOTAL(3,$B$15:B1370)</f>
        <v>2</v>
      </c>
      <c r="B1370" s="394" t="s">
        <v>2987</v>
      </c>
      <c r="C1370" s="314" t="s">
        <v>2988</v>
      </c>
      <c r="D1370" s="314" t="s">
        <v>407</v>
      </c>
      <c r="E1370" s="314">
        <v>21</v>
      </c>
      <c r="F1370" s="314">
        <v>21</v>
      </c>
      <c r="G1370" s="314">
        <v>17071000</v>
      </c>
      <c r="H1370" s="359">
        <f t="shared" si="45"/>
        <v>16201264</v>
      </c>
      <c r="K1370" s="362"/>
      <c r="M1370" s="361">
        <v>662656</v>
      </c>
      <c r="N1370" s="361">
        <v>1449560</v>
      </c>
      <c r="O1370" s="361">
        <v>124248</v>
      </c>
      <c r="P1370" s="361">
        <v>248496</v>
      </c>
      <c r="Q1370" s="361">
        <v>82832</v>
      </c>
      <c r="R1370" s="361">
        <v>82832</v>
      </c>
      <c r="S1370" s="361">
        <v>165664</v>
      </c>
      <c r="T1370" s="390">
        <v>930000</v>
      </c>
      <c r="U1370" s="364">
        <f t="shared" si="44"/>
        <v>19947552</v>
      </c>
      <c r="W1370" s="365" t="str">
        <f>+VLOOKUP($B1370,[2]Time_S4!$B:$G,6,0)</f>
        <v>Trung tâm Camera</v>
      </c>
      <c r="X1370" s="365" t="str">
        <f>IF(W1370="Phòng Kinh doanh","Trung tâm Kinh doanh - TCT CNC",+VLOOKUP($B1370,[2]Time_S4!$B:$G,5,0))</f>
        <v>Khối 3 - TCT CNC</v>
      </c>
      <c r="Z1370" s="366"/>
    </row>
    <row r="1371" spans="1:26" hidden="1">
      <c r="A1371" s="367">
        <f>SUBTOTAL(3,$B$15:B1371)</f>
        <v>2</v>
      </c>
      <c r="B1371" s="394" t="s">
        <v>2989</v>
      </c>
      <c r="C1371" s="314" t="s">
        <v>2990</v>
      </c>
      <c r="D1371" s="314" t="s">
        <v>407</v>
      </c>
      <c r="E1371" s="314">
        <v>21</v>
      </c>
      <c r="F1371" s="314">
        <v>21</v>
      </c>
      <c r="G1371" s="314">
        <v>14433380</v>
      </c>
      <c r="H1371" s="359">
        <f t="shared" si="45"/>
        <v>13646972</v>
      </c>
      <c r="K1371" s="362"/>
      <c r="M1371" s="361">
        <v>599168</v>
      </c>
      <c r="N1371" s="361">
        <v>1310680</v>
      </c>
      <c r="O1371" s="361">
        <v>112344</v>
      </c>
      <c r="P1371" s="361">
        <v>224688</v>
      </c>
      <c r="Q1371" s="361">
        <v>74896</v>
      </c>
      <c r="R1371" s="361">
        <v>74896</v>
      </c>
      <c r="S1371" s="361">
        <v>149792</v>
      </c>
      <c r="T1371" s="390">
        <v>930000</v>
      </c>
      <c r="U1371" s="364">
        <f t="shared" si="44"/>
        <v>17123436</v>
      </c>
      <c r="W1371" s="365" t="str">
        <f>+VLOOKUP($B1371,[2]Time_S4!$B:$G,6,0)</f>
        <v>Trung tâm Công nghệ Cơ khí - Tự động hóa</v>
      </c>
      <c r="X1371" s="365" t="str">
        <f>IF(W1371="Phòng Kinh doanh","Trung tâm Kinh doanh - TCT CNC",+VLOOKUP($B1371,[2]Time_S4!$B:$G,5,0))</f>
        <v>Khối 1 - TCT CNC</v>
      </c>
      <c r="Z1371" s="366"/>
    </row>
    <row r="1372" spans="1:26" hidden="1">
      <c r="A1372" s="367">
        <f>SUBTOTAL(3,$B$15:B1372)</f>
        <v>2</v>
      </c>
      <c r="B1372" s="394" t="s">
        <v>2991</v>
      </c>
      <c r="C1372" s="314" t="s">
        <v>2663</v>
      </c>
      <c r="D1372" s="314" t="s">
        <v>407</v>
      </c>
      <c r="E1372" s="314">
        <v>21</v>
      </c>
      <c r="F1372" s="314">
        <v>21</v>
      </c>
      <c r="G1372" s="314">
        <v>11000000</v>
      </c>
      <c r="H1372" s="359">
        <f t="shared" si="45"/>
        <v>10291712</v>
      </c>
      <c r="K1372" s="362"/>
      <c r="M1372" s="361">
        <v>539648</v>
      </c>
      <c r="N1372" s="361">
        <v>1180480</v>
      </c>
      <c r="O1372" s="361">
        <v>101184</v>
      </c>
      <c r="P1372" s="361">
        <v>202368</v>
      </c>
      <c r="Q1372" s="361">
        <v>67456</v>
      </c>
      <c r="R1372" s="361">
        <v>67456</v>
      </c>
      <c r="S1372" s="361">
        <v>134912</v>
      </c>
      <c r="T1372" s="390">
        <v>930000</v>
      </c>
      <c r="U1372" s="364">
        <f t="shared" si="44"/>
        <v>13515216</v>
      </c>
      <c r="W1372" s="365" t="str">
        <f>+VLOOKUP($B1372,[2]Time_S4!$B:$G,6,0)</f>
        <v>Trung tâm Thông tin Quân sự</v>
      </c>
      <c r="X1372" s="365" t="str">
        <f>IF(W1372="Phòng Kinh doanh","Trung tâm Kinh doanh - TCT CNC",+VLOOKUP($B1372,[2]Time_S4!$B:$G,5,0))</f>
        <v>Khối 1 - TCT CNC</v>
      </c>
      <c r="Z1372" s="366"/>
    </row>
    <row r="1373" spans="1:26" hidden="1">
      <c r="A1373" s="367">
        <f>SUBTOTAL(3,$B$15:B1373)</f>
        <v>2</v>
      </c>
      <c r="B1373" s="394" t="s">
        <v>2992</v>
      </c>
      <c r="C1373" s="314" t="s">
        <v>2993</v>
      </c>
      <c r="D1373" s="314" t="s">
        <v>407</v>
      </c>
      <c r="E1373" s="314">
        <v>21</v>
      </c>
      <c r="F1373" s="314">
        <v>21</v>
      </c>
      <c r="G1373" s="314">
        <v>16198960</v>
      </c>
      <c r="H1373" s="359">
        <f t="shared" si="45"/>
        <v>15370888</v>
      </c>
      <c r="K1373" s="362"/>
      <c r="M1373" s="361">
        <v>630912</v>
      </c>
      <c r="N1373" s="361">
        <v>1380120</v>
      </c>
      <c r="O1373" s="361">
        <v>118296</v>
      </c>
      <c r="P1373" s="361">
        <v>236592</v>
      </c>
      <c r="Q1373" s="361">
        <v>78864</v>
      </c>
      <c r="R1373" s="361">
        <v>78864</v>
      </c>
      <c r="S1373" s="361">
        <v>157728</v>
      </c>
      <c r="T1373" s="390">
        <v>930000</v>
      </c>
      <c r="U1373" s="364">
        <f t="shared" si="44"/>
        <v>18982264</v>
      </c>
      <c r="W1373" s="365" t="str">
        <f>+VLOOKUP($B1373,[2]Time_S4!$B:$G,6,0)</f>
        <v>Trung tâm Nghiên cứu giải pháp tích hợp công nghệ cao</v>
      </c>
      <c r="X1373" s="365" t="str">
        <f>IF(W1373="Phòng Kinh doanh","Trung tâm Kinh doanh - TCT CNC",+VLOOKUP($B1373,[2]Time_S4!$B:$G,5,0))</f>
        <v>Khối 1 - TCT CNC</v>
      </c>
      <c r="Z1373" s="366"/>
    </row>
    <row r="1374" spans="1:26" hidden="1">
      <c r="A1374" s="367">
        <f>SUBTOTAL(3,$B$15:B1374)</f>
        <v>2</v>
      </c>
      <c r="B1374" s="394" t="s">
        <v>2994</v>
      </c>
      <c r="C1374" s="314" t="s">
        <v>2995</v>
      </c>
      <c r="D1374" s="314" t="s">
        <v>407</v>
      </c>
      <c r="E1374" s="314">
        <v>21</v>
      </c>
      <c r="F1374" s="314">
        <v>21</v>
      </c>
      <c r="G1374" s="314">
        <v>13800000</v>
      </c>
      <c r="H1374" s="359">
        <f t="shared" si="45"/>
        <v>13091712</v>
      </c>
      <c r="K1374" s="362"/>
      <c r="M1374" s="361">
        <v>539648</v>
      </c>
      <c r="N1374" s="361">
        <v>1180480</v>
      </c>
      <c r="O1374" s="361">
        <v>101184</v>
      </c>
      <c r="P1374" s="361">
        <v>202368</v>
      </c>
      <c r="Q1374" s="361">
        <v>67456</v>
      </c>
      <c r="R1374" s="361">
        <v>67456</v>
      </c>
      <c r="S1374" s="361">
        <v>134912</v>
      </c>
      <c r="T1374" s="390">
        <v>930000</v>
      </c>
      <c r="U1374" s="364">
        <f t="shared" si="44"/>
        <v>16315216</v>
      </c>
      <c r="W1374" s="365" t="str">
        <f>+VLOOKUP($B1374,[2]Time_S4!$B:$G,6,0)</f>
        <v>Trung tâm Chỉ huy điều khiển</v>
      </c>
      <c r="X1374" s="365" t="str">
        <f>IF(W1374="Phòng Kinh doanh","Trung tâm Kinh doanh - TCT CNC",+VLOOKUP($B1374,[2]Time_S4!$B:$G,5,0))</f>
        <v>Khối 1 - TCT CNC</v>
      </c>
      <c r="Z1374" s="366"/>
    </row>
    <row r="1375" spans="1:26" hidden="1">
      <c r="A1375" s="367">
        <f>SUBTOTAL(3,$B$15:B1375)</f>
        <v>2</v>
      </c>
      <c r="B1375" s="394" t="s">
        <v>2996</v>
      </c>
      <c r="C1375" s="314" t="s">
        <v>2997</v>
      </c>
      <c r="D1375" s="314" t="s">
        <v>407</v>
      </c>
      <c r="E1375" s="314">
        <v>21</v>
      </c>
      <c r="F1375" s="314">
        <v>20</v>
      </c>
      <c r="G1375" s="314">
        <v>10476191</v>
      </c>
      <c r="H1375" s="359">
        <f t="shared" si="45"/>
        <v>9767903</v>
      </c>
      <c r="K1375" s="362"/>
      <c r="M1375" s="361">
        <v>539648</v>
      </c>
      <c r="N1375" s="361">
        <v>1180480</v>
      </c>
      <c r="O1375" s="361">
        <v>101184</v>
      </c>
      <c r="P1375" s="361">
        <v>202368</v>
      </c>
      <c r="Q1375" s="361">
        <v>67456</v>
      </c>
      <c r="R1375" s="361">
        <v>67456</v>
      </c>
      <c r="S1375" s="361">
        <v>134912</v>
      </c>
      <c r="T1375" s="390">
        <v>885714</v>
      </c>
      <c r="U1375" s="364">
        <f t="shared" si="44"/>
        <v>12947121</v>
      </c>
      <c r="W1375" s="365" t="str">
        <f>+VLOOKUP($B1375,[2]Time_S4!$B:$G,6,0)</f>
        <v>Trung tâm Nghiên cứu Công nghệ truyền dẫn</v>
      </c>
      <c r="X1375" s="365" t="str">
        <f>IF(W1375="Phòng Kinh doanh","Trung tâm Kinh doanh - TCT CNC",+VLOOKUP($B1375,[2]Time_S4!$B:$G,5,0))</f>
        <v>Khối 2 - TCT CNC</v>
      </c>
      <c r="Z1375" s="366"/>
    </row>
    <row r="1376" spans="1:26" hidden="1">
      <c r="A1376" s="367">
        <f>SUBTOTAL(3,$B$15:B1376)</f>
        <v>2</v>
      </c>
      <c r="B1376" s="394" t="s">
        <v>2998</v>
      </c>
      <c r="C1376" s="314" t="s">
        <v>2999</v>
      </c>
      <c r="D1376" s="314" t="s">
        <v>407</v>
      </c>
      <c r="E1376" s="314">
        <v>21</v>
      </c>
      <c r="F1376" s="314">
        <v>14</v>
      </c>
      <c r="G1376" s="314">
        <v>7333334</v>
      </c>
      <c r="H1376" s="359">
        <f t="shared" si="45"/>
        <v>6625046</v>
      </c>
      <c r="K1376" s="362"/>
      <c r="M1376" s="361">
        <v>539648</v>
      </c>
      <c r="N1376" s="361">
        <v>1180480</v>
      </c>
      <c r="O1376" s="361">
        <v>101184</v>
      </c>
      <c r="P1376" s="361">
        <v>202368</v>
      </c>
      <c r="Q1376" s="361">
        <v>67456</v>
      </c>
      <c r="R1376" s="361">
        <v>67456</v>
      </c>
      <c r="S1376" s="361">
        <v>134912</v>
      </c>
      <c r="T1376" s="390">
        <v>698000</v>
      </c>
      <c r="U1376" s="364">
        <f t="shared" si="44"/>
        <v>9616550</v>
      </c>
      <c r="W1376" s="365" t="str">
        <f>+VLOOKUP($B1376,[2]Time_S4!$B:$G,6,0)</f>
        <v>Trung tâm Camera</v>
      </c>
      <c r="X1376" s="365" t="str">
        <f>IF(W1376="Phòng Kinh doanh","Trung tâm Kinh doanh - TCT CNC",+VLOOKUP($B1376,[2]Time_S4!$B:$G,5,0))</f>
        <v>Khối 3 - TCT CNC</v>
      </c>
      <c r="Z1376" s="366"/>
    </row>
    <row r="1377" spans="1:26" hidden="1">
      <c r="A1377" s="367">
        <f>SUBTOTAL(3,$B$15:B1377)</f>
        <v>2</v>
      </c>
      <c r="B1377" s="394" t="s">
        <v>3000</v>
      </c>
      <c r="C1377" s="314" t="s">
        <v>3001</v>
      </c>
      <c r="D1377" s="314" t="s">
        <v>407</v>
      </c>
      <c r="E1377" s="314">
        <v>21</v>
      </c>
      <c r="F1377" s="314">
        <v>14</v>
      </c>
      <c r="G1377" s="314">
        <v>7333334</v>
      </c>
      <c r="H1377" s="359">
        <f t="shared" si="45"/>
        <v>6625046</v>
      </c>
      <c r="K1377" s="362"/>
      <c r="M1377" s="361">
        <v>539648</v>
      </c>
      <c r="N1377" s="361">
        <v>1180480</v>
      </c>
      <c r="O1377" s="361">
        <v>101184</v>
      </c>
      <c r="P1377" s="361">
        <v>202368</v>
      </c>
      <c r="Q1377" s="361">
        <v>67456</v>
      </c>
      <c r="R1377" s="361">
        <v>67456</v>
      </c>
      <c r="S1377" s="361">
        <v>134912</v>
      </c>
      <c r="T1377" s="390">
        <v>620000</v>
      </c>
      <c r="U1377" s="364">
        <f t="shared" si="44"/>
        <v>9538550</v>
      </c>
      <c r="W1377" s="365" t="str">
        <f>+VLOOKUP($B1377,[2]Time_S4!$B:$G,6,0)</f>
        <v>Trung tâm Thông tin Quân sự</v>
      </c>
      <c r="X1377" s="365" t="str">
        <f>IF(W1377="Phòng Kinh doanh","Trung tâm Kinh doanh - TCT CNC",+VLOOKUP($B1377,[2]Time_S4!$B:$G,5,0))</f>
        <v>Khối 1 - TCT CNC</v>
      </c>
      <c r="Z1377" s="366"/>
    </row>
    <row r="1378" spans="1:26" hidden="1">
      <c r="A1378" s="367">
        <f>SUBTOTAL(3,$B$15:B1378)</f>
        <v>2</v>
      </c>
      <c r="B1378" s="394" t="s">
        <v>3002</v>
      </c>
      <c r="C1378" s="314" t="s">
        <v>1483</v>
      </c>
      <c r="D1378" s="314" t="s">
        <v>407</v>
      </c>
      <c r="E1378" s="314">
        <v>21</v>
      </c>
      <c r="F1378" s="314">
        <v>11</v>
      </c>
      <c r="G1378" s="314">
        <v>6285715</v>
      </c>
      <c r="H1378" s="359">
        <f t="shared" si="45"/>
        <v>5577427</v>
      </c>
      <c r="K1378" s="362"/>
      <c r="M1378" s="361">
        <v>539648</v>
      </c>
      <c r="N1378" s="361">
        <v>1180480</v>
      </c>
      <c r="O1378" s="361">
        <v>101184</v>
      </c>
      <c r="P1378" s="361">
        <v>202368</v>
      </c>
      <c r="Q1378" s="361">
        <v>67456</v>
      </c>
      <c r="R1378" s="361">
        <v>67456</v>
      </c>
      <c r="S1378" s="361">
        <v>134912</v>
      </c>
      <c r="T1378" s="390">
        <v>487143</v>
      </c>
      <c r="U1378" s="364">
        <f t="shared" si="44"/>
        <v>8358074</v>
      </c>
      <c r="W1378" s="365" t="str">
        <f>+VLOOKUP($B1378,[2]Time_S4!$B:$G,6,0)</f>
        <v>Trung tâm Phát triển nền tảng thanh toán</v>
      </c>
      <c r="X1378" s="365" t="str">
        <f>IF(W1378="Phòng Kinh doanh","Trung tâm Kinh doanh - TCT CNC",+VLOOKUP($B1378,[2]Time_S4!$B:$G,5,0))</f>
        <v>Khối 2 - TCT CNC</v>
      </c>
      <c r="Z1378" s="366"/>
    </row>
    <row r="1379" spans="1:26" hidden="1">
      <c r="A1379" s="367">
        <f>SUBTOTAL(3,$B$15:B1379)</f>
        <v>2</v>
      </c>
      <c r="B1379" s="394" t="s">
        <v>3003</v>
      </c>
      <c r="C1379" s="314" t="s">
        <v>3004</v>
      </c>
      <c r="D1379" s="314" t="s">
        <v>407</v>
      </c>
      <c r="E1379" s="314">
        <v>21</v>
      </c>
      <c r="F1379" s="314">
        <v>11</v>
      </c>
      <c r="G1379" s="314">
        <v>9725330</v>
      </c>
      <c r="H1379" s="359">
        <f t="shared" si="45"/>
        <v>8855594</v>
      </c>
      <c r="K1379" s="362"/>
      <c r="M1379" s="361">
        <v>662656</v>
      </c>
      <c r="N1379" s="361">
        <v>1449560</v>
      </c>
      <c r="O1379" s="361">
        <v>124248</v>
      </c>
      <c r="P1379" s="361">
        <v>248496</v>
      </c>
      <c r="Q1379" s="361">
        <v>82832</v>
      </c>
      <c r="R1379" s="361">
        <v>82832</v>
      </c>
      <c r="S1379" s="361">
        <v>165664</v>
      </c>
      <c r="T1379" s="390">
        <v>487143</v>
      </c>
      <c r="U1379" s="364">
        <f t="shared" si="44"/>
        <v>12159025</v>
      </c>
      <c r="W1379" s="365" t="str">
        <f>+VLOOKUP($B1379,[2]Time_S4!$B:$G,6,0)</f>
        <v>Trung tâm Nghiên cứu Công nghệ truyền dẫn</v>
      </c>
      <c r="X1379" s="365" t="str">
        <f>IF(W1379="Phòng Kinh doanh","Trung tâm Kinh doanh - TCT CNC",+VLOOKUP($B1379,[2]Time_S4!$B:$G,5,0))</f>
        <v>Khối 2 - TCT CNC</v>
      </c>
      <c r="Z1379" s="366"/>
    </row>
    <row r="1380" spans="1:26" hidden="1">
      <c r="A1380" s="367">
        <f>SUBTOTAL(3,$B$15:B1380)</f>
        <v>2</v>
      </c>
      <c r="B1380" s="394" t="s">
        <v>3005</v>
      </c>
      <c r="C1380" s="314" t="s">
        <v>3006</v>
      </c>
      <c r="D1380" s="314" t="s">
        <v>407</v>
      </c>
      <c r="E1380" s="314">
        <v>21</v>
      </c>
      <c r="F1380" s="314">
        <v>11</v>
      </c>
      <c r="G1380" s="314">
        <v>6285715</v>
      </c>
      <c r="H1380" s="359">
        <f t="shared" si="45"/>
        <v>5577427</v>
      </c>
      <c r="K1380" s="362"/>
      <c r="M1380" s="361">
        <v>539648</v>
      </c>
      <c r="N1380" s="361">
        <v>1180480</v>
      </c>
      <c r="O1380" s="361">
        <v>101184</v>
      </c>
      <c r="P1380" s="361">
        <v>202368</v>
      </c>
      <c r="Q1380" s="361">
        <v>67456</v>
      </c>
      <c r="R1380" s="361">
        <v>67456</v>
      </c>
      <c r="S1380" s="361">
        <v>134912</v>
      </c>
      <c r="T1380" s="390">
        <v>487143</v>
      </c>
      <c r="U1380" s="364">
        <f t="shared" si="44"/>
        <v>8358074</v>
      </c>
      <c r="W1380" s="365" t="str">
        <f>+VLOOKUP($B1380,[2]Time_S4!$B:$G,6,0)</f>
        <v>Trung tâm Nghiên cứu Công nghệ chuyển mạch</v>
      </c>
      <c r="X1380" s="365" t="str">
        <f>IF(W1380="Phòng Kinh doanh","Trung tâm Kinh doanh - TCT CNC",+VLOOKUP($B1380,[2]Time_S4!$B:$G,5,0))</f>
        <v>Khối 2 - TCT CNC</v>
      </c>
      <c r="Z1380" s="366"/>
    </row>
    <row r="1381" spans="1:26" hidden="1">
      <c r="A1381" s="367">
        <f>SUBTOTAL(3,$B$15:B1381)</f>
        <v>2</v>
      </c>
      <c r="B1381" s="394" t="s">
        <v>3007</v>
      </c>
      <c r="C1381" s="314" t="s">
        <v>3008</v>
      </c>
      <c r="D1381" s="314" t="s">
        <v>407</v>
      </c>
      <c r="E1381" s="314">
        <v>21</v>
      </c>
      <c r="F1381" s="314">
        <v>6</v>
      </c>
      <c r="G1381" s="314">
        <v>3747719</v>
      </c>
      <c r="H1381" s="359">
        <f t="shared" si="45"/>
        <v>3747719</v>
      </c>
      <c r="K1381" s="362"/>
      <c r="M1381" s="361">
        <v>0</v>
      </c>
      <c r="N1381" s="361">
        <v>0</v>
      </c>
      <c r="O1381" s="361">
        <v>0</v>
      </c>
      <c r="P1381" s="361">
        <v>0</v>
      </c>
      <c r="Q1381" s="361">
        <v>0</v>
      </c>
      <c r="R1381" s="361">
        <v>0</v>
      </c>
      <c r="S1381" s="361">
        <v>0</v>
      </c>
      <c r="T1381" s="390">
        <v>265714</v>
      </c>
      <c r="U1381" s="364">
        <f t="shared" si="44"/>
        <v>4013433</v>
      </c>
      <c r="W1381" s="365" t="str">
        <f>+VLOOKUP($B1381,[2]Time_S4!$B:$G,6,0)</f>
        <v>Trung tâm Nghiên cứu giải pháp tích hợp công nghệ cao</v>
      </c>
      <c r="X1381" s="365" t="str">
        <f>IF(W1381="Phòng Kinh doanh","Trung tâm Kinh doanh - TCT CNC",+VLOOKUP($B1381,[2]Time_S4!$B:$G,5,0))</f>
        <v>Khối 1 - TCT CNC</v>
      </c>
      <c r="Z1381" s="366"/>
    </row>
    <row r="1382" spans="1:26" hidden="1">
      <c r="A1382" s="367">
        <f>SUBTOTAL(3,$B$15:B1382)</f>
        <v>2</v>
      </c>
      <c r="B1382" s="394" t="s">
        <v>3009</v>
      </c>
      <c r="C1382" s="314" t="s">
        <v>3010</v>
      </c>
      <c r="D1382" s="314" t="s">
        <v>407</v>
      </c>
      <c r="E1382" s="314">
        <v>21</v>
      </c>
      <c r="F1382" s="314">
        <v>6</v>
      </c>
      <c r="G1382" s="314">
        <v>4114285</v>
      </c>
      <c r="H1382" s="359">
        <f t="shared" si="45"/>
        <v>4114285</v>
      </c>
      <c r="K1382" s="362"/>
      <c r="M1382" s="361">
        <v>0</v>
      </c>
      <c r="N1382" s="361">
        <v>0</v>
      </c>
      <c r="O1382" s="361">
        <v>0</v>
      </c>
      <c r="P1382" s="361">
        <v>0</v>
      </c>
      <c r="Q1382" s="361">
        <v>0</v>
      </c>
      <c r="R1382" s="361">
        <v>0</v>
      </c>
      <c r="S1382" s="361">
        <v>0</v>
      </c>
      <c r="T1382" s="390">
        <v>265714</v>
      </c>
      <c r="U1382" s="364">
        <f t="shared" si="44"/>
        <v>4379999</v>
      </c>
      <c r="W1382" s="365" t="str">
        <f>+VLOOKUP($B1382,[2]Time_S4!$B:$G,6,0)</f>
        <v>Trung tâm Nghiên cứu công nghệ Đa phương tiện</v>
      </c>
      <c r="X1382" s="365" t="str">
        <f>IF(W1382="Phòng Kinh doanh","Trung tâm Kinh doanh - TCT CNC",+VLOOKUP($B1382,[2]Time_S4!$B:$G,5,0))</f>
        <v>Khối 2 - TCT CNC</v>
      </c>
      <c r="Z1382" s="366"/>
    </row>
    <row r="1383" spans="1:26" hidden="1">
      <c r="A1383" s="367">
        <f>SUBTOTAL(3,$B$15:B1383)</f>
        <v>2</v>
      </c>
      <c r="B1383" s="394" t="s">
        <v>3011</v>
      </c>
      <c r="C1383" s="314" t="s">
        <v>3012</v>
      </c>
      <c r="D1383" s="314" t="s">
        <v>410</v>
      </c>
      <c r="E1383" s="314">
        <v>21</v>
      </c>
      <c r="F1383" s="314">
        <v>21</v>
      </c>
      <c r="G1383" s="314">
        <v>23633660</v>
      </c>
      <c r="H1383" s="359">
        <f t="shared" si="45"/>
        <v>22622780</v>
      </c>
      <c r="K1383" s="362"/>
      <c r="M1383" s="361">
        <v>1010880</v>
      </c>
      <c r="N1383" s="361">
        <v>2211300</v>
      </c>
      <c r="O1383" s="361">
        <v>0</v>
      </c>
      <c r="P1383" s="361">
        <v>0</v>
      </c>
      <c r="Q1383" s="361">
        <v>0</v>
      </c>
      <c r="R1383" s="361">
        <v>0</v>
      </c>
      <c r="S1383" s="361">
        <v>252720</v>
      </c>
      <c r="T1383" s="390">
        <v>930000</v>
      </c>
      <c r="U1383" s="364">
        <f t="shared" si="44"/>
        <v>27027680</v>
      </c>
      <c r="W1383" s="365" t="str">
        <f>+VLOOKUP($B1383,[2]Time_S4!$B:$G,6,0)</f>
        <v>Trung tâm Quang điện tử</v>
      </c>
      <c r="X1383" s="365" t="str">
        <f>IF(W1383="Phòng Kinh doanh","Trung tâm Kinh doanh - TCT CNC",+VLOOKUP($B1383,[2]Time_S4!$B:$G,5,0))</f>
        <v>Khối 1 - TCT CNC</v>
      </c>
      <c r="Z1383" s="366"/>
    </row>
    <row r="1384" spans="1:26" hidden="1">
      <c r="A1384" s="367">
        <f>SUBTOTAL(3,$B$15:B1384)</f>
        <v>2</v>
      </c>
      <c r="B1384" s="394" t="s">
        <v>3013</v>
      </c>
      <c r="C1384" s="314" t="s">
        <v>3014</v>
      </c>
      <c r="D1384" s="314" t="s">
        <v>407</v>
      </c>
      <c r="E1384" s="314">
        <v>21</v>
      </c>
      <c r="F1384" s="314">
        <v>21</v>
      </c>
      <c r="G1384" s="314">
        <v>18233699</v>
      </c>
      <c r="H1384" s="359">
        <f t="shared" si="45"/>
        <v>17363963</v>
      </c>
      <c r="K1384" s="362"/>
      <c r="M1384" s="361">
        <v>662656</v>
      </c>
      <c r="N1384" s="361">
        <v>1449560</v>
      </c>
      <c r="O1384" s="361">
        <v>124248</v>
      </c>
      <c r="P1384" s="361">
        <v>248496</v>
      </c>
      <c r="Q1384" s="361">
        <v>82832</v>
      </c>
      <c r="R1384" s="361">
        <v>82832</v>
      </c>
      <c r="S1384" s="361">
        <v>165664</v>
      </c>
      <c r="T1384" s="390">
        <v>1047000</v>
      </c>
      <c r="U1384" s="364">
        <f t="shared" si="44"/>
        <v>21227251</v>
      </c>
      <c r="W1384" s="365" t="str">
        <f>+VLOOKUP($B1384,[2]Time_S4!$B:$G,6,0)</f>
        <v>Phòng Kinh doanh</v>
      </c>
      <c r="X1384" s="365" t="str">
        <f>IF(W1384="Phòng Kinh doanh","Trung tâm Kinh doanh - TCT CNC",+VLOOKUP($B1384,[2]Time_S4!$B:$G,5,0))</f>
        <v>Trung tâm Kinh doanh - TCT CNC</v>
      </c>
      <c r="Z1384" s="366"/>
    </row>
    <row r="1385" spans="1:26" hidden="1">
      <c r="A1385" s="367">
        <f>SUBTOTAL(3,$B$15:B1385)</f>
        <v>2</v>
      </c>
      <c r="B1385" s="394" t="s">
        <v>3015</v>
      </c>
      <c r="C1385" s="314" t="s">
        <v>3016</v>
      </c>
      <c r="D1385" s="314" t="s">
        <v>407</v>
      </c>
      <c r="E1385" s="314">
        <v>21</v>
      </c>
      <c r="F1385" s="314">
        <v>21</v>
      </c>
      <c r="G1385" s="314">
        <v>26960570</v>
      </c>
      <c r="H1385" s="359">
        <f t="shared" si="45"/>
        <v>25945010</v>
      </c>
      <c r="K1385" s="362"/>
      <c r="M1385" s="361">
        <v>773760</v>
      </c>
      <c r="N1385" s="361">
        <v>1692600</v>
      </c>
      <c r="O1385" s="361">
        <v>145080</v>
      </c>
      <c r="P1385" s="361">
        <v>290160</v>
      </c>
      <c r="Q1385" s="361">
        <v>96720</v>
      </c>
      <c r="R1385" s="361">
        <v>96720</v>
      </c>
      <c r="S1385" s="361">
        <v>193440</v>
      </c>
      <c r="T1385" s="390">
        <v>930000</v>
      </c>
      <c r="U1385" s="364">
        <f t="shared" si="44"/>
        <v>30163490</v>
      </c>
      <c r="W1385" s="365" t="str">
        <f>+VLOOKUP($B1385,[2]Time_S4!$B:$G,6,0)</f>
        <v>Trung tâm Công nghệ Cơ khí - Tự động hóa</v>
      </c>
      <c r="X1385" s="365" t="str">
        <f>IF(W1385="Phòng Kinh doanh","Trung tâm Kinh doanh - TCT CNC",+VLOOKUP($B1385,[2]Time_S4!$B:$G,5,0))</f>
        <v>Khối 1 - TCT CNC</v>
      </c>
      <c r="Z1385" s="366"/>
    </row>
    <row r="1386" spans="1:26" hidden="1">
      <c r="A1386" s="367">
        <f>SUBTOTAL(3,$B$15:B1386)</f>
        <v>2</v>
      </c>
      <c r="B1386" s="394" t="s">
        <v>3017</v>
      </c>
      <c r="C1386" s="314" t="s">
        <v>3018</v>
      </c>
      <c r="D1386" s="314" t="s">
        <v>407</v>
      </c>
      <c r="E1386" s="314">
        <v>21</v>
      </c>
      <c r="F1386" s="314">
        <v>21</v>
      </c>
      <c r="G1386" s="314">
        <v>27714463</v>
      </c>
      <c r="H1386" s="359">
        <f t="shared" si="45"/>
        <v>26698903</v>
      </c>
      <c r="K1386" s="362"/>
      <c r="M1386" s="361">
        <v>773760</v>
      </c>
      <c r="N1386" s="361">
        <v>1692600</v>
      </c>
      <c r="O1386" s="361">
        <v>145080</v>
      </c>
      <c r="P1386" s="361">
        <v>290160</v>
      </c>
      <c r="Q1386" s="361">
        <v>96720</v>
      </c>
      <c r="R1386" s="361">
        <v>96720</v>
      </c>
      <c r="S1386" s="361">
        <v>193440</v>
      </c>
      <c r="T1386" s="390">
        <v>1030000</v>
      </c>
      <c r="U1386" s="364">
        <f t="shared" si="44"/>
        <v>31017383</v>
      </c>
      <c r="W1386" s="365" t="str">
        <f>+VLOOKUP($B1386,[2]Time_S4!$B:$G,6,0)</f>
        <v>Trung tâm Quang điện tử</v>
      </c>
      <c r="X1386" s="365" t="str">
        <f>IF(W1386="Phòng Kinh doanh","Trung tâm Kinh doanh - TCT CNC",+VLOOKUP($B1386,[2]Time_S4!$B:$G,5,0))</f>
        <v>Khối 1 - TCT CNC</v>
      </c>
      <c r="Z1386" s="366"/>
    </row>
    <row r="1387" spans="1:26" hidden="1">
      <c r="A1387" s="367">
        <f>SUBTOTAL(3,$B$15:B1387)</f>
        <v>2</v>
      </c>
      <c r="H1387" s="359">
        <f t="shared" si="45"/>
        <v>0</v>
      </c>
      <c r="K1387" s="362"/>
      <c r="M1387" s="361"/>
      <c r="N1387" s="361"/>
      <c r="O1387" s="361"/>
      <c r="P1387" s="361"/>
      <c r="Q1387" s="361"/>
      <c r="R1387" s="361"/>
      <c r="S1387" s="361"/>
      <c r="U1387" s="364">
        <f t="shared" si="44"/>
        <v>0</v>
      </c>
      <c r="W1387" s="365" t="e">
        <f>+VLOOKUP($B1387,[2]Time_S4!$B:$G,6,0)</f>
        <v>#N/A</v>
      </c>
      <c r="X1387" s="365" t="e">
        <f>IF(W1387="Phòng Kinh doanh","Trung tâm Kinh doanh - TCT CNC",+VLOOKUP($B1387,[2]Time_S4!$B:$G,5,0))</f>
        <v>#N/A</v>
      </c>
      <c r="Z1387" s="366"/>
    </row>
    <row r="1388" spans="1:26" hidden="1">
      <c r="A1388" s="367">
        <f>SUBTOTAL(3,$B$15:B1388)</f>
        <v>2</v>
      </c>
      <c r="B1388" s="394" t="s">
        <v>3019</v>
      </c>
      <c r="C1388" s="314" t="s">
        <v>3020</v>
      </c>
      <c r="D1388" s="314" t="s">
        <v>3021</v>
      </c>
      <c r="E1388" s="314">
        <v>21</v>
      </c>
      <c r="F1388" s="314">
        <v>21</v>
      </c>
      <c r="H1388" s="359">
        <f t="shared" si="45"/>
        <v>0</v>
      </c>
      <c r="K1388" s="362">
        <v>31404491</v>
      </c>
      <c r="M1388" s="361"/>
      <c r="N1388" s="361"/>
      <c r="O1388" s="361"/>
      <c r="P1388" s="361"/>
      <c r="Q1388" s="361"/>
      <c r="R1388" s="361"/>
      <c r="S1388" s="361"/>
      <c r="T1388" s="390">
        <v>365000</v>
      </c>
      <c r="U1388" s="364">
        <f t="shared" si="44"/>
        <v>31769491</v>
      </c>
      <c r="W1388" s="365" t="str">
        <f>+VLOOKUP($B1388,[2]Time_S4!$B:$G,6,0)</f>
        <v>Trung tâm Khí cụ bay</v>
      </c>
      <c r="X1388" s="365" t="str">
        <f>IF(W1388="Phòng Kinh doanh","Trung tâm Kinh doanh - TCT CNC",+VLOOKUP($B1388,[2]Time_S4!$B:$G,5,0))</f>
        <v>Khối 1 - TCT CNC</v>
      </c>
      <c r="Z1388" s="366"/>
    </row>
    <row r="1389" spans="1:26" hidden="1">
      <c r="A1389" s="367">
        <f>SUBTOTAL(3,$B$15:B1389)</f>
        <v>2</v>
      </c>
      <c r="B1389" s="394" t="s">
        <v>1190</v>
      </c>
      <c r="C1389" s="314" t="s">
        <v>1191</v>
      </c>
      <c r="D1389" s="314" t="s">
        <v>3021</v>
      </c>
      <c r="E1389" s="314">
        <v>21</v>
      </c>
      <c r="F1389" s="314">
        <v>15</v>
      </c>
      <c r="H1389" s="359">
        <f t="shared" si="45"/>
        <v>0</v>
      </c>
      <c r="K1389" s="362">
        <v>23571617</v>
      </c>
      <c r="M1389" s="361"/>
      <c r="N1389" s="361"/>
      <c r="O1389" s="361"/>
      <c r="P1389" s="361"/>
      <c r="Q1389" s="361"/>
      <c r="R1389" s="361"/>
      <c r="S1389" s="361"/>
      <c r="T1389" s="390">
        <v>260714</v>
      </c>
      <c r="U1389" s="364">
        <f t="shared" si="44"/>
        <v>23832331</v>
      </c>
      <c r="W1389" s="365" t="str">
        <f>+VLOOKUP($B1389,[2]Time_S4!$B:$G,6,0)</f>
        <v>Trung tâm Thông tin Quân sự</v>
      </c>
      <c r="X1389" s="365" t="str">
        <f>IF(W1389="Phòng Kinh doanh","Trung tâm Kinh doanh - TCT CNC",+VLOOKUP($B1389,[2]Time_S4!$B:$G,5,0))</f>
        <v>Khối 1 - TCT CNC</v>
      </c>
      <c r="Z1389" s="366"/>
    </row>
    <row r="1390" spans="1:26" hidden="1">
      <c r="A1390" s="367">
        <f>SUBTOTAL(3,$B$15:B1390)</f>
        <v>2</v>
      </c>
      <c r="B1390" s="394" t="s">
        <v>3022</v>
      </c>
      <c r="C1390" s="314" t="s">
        <v>3023</v>
      </c>
      <c r="D1390" s="314" t="s">
        <v>3021</v>
      </c>
      <c r="E1390" s="314">
        <v>21</v>
      </c>
      <c r="F1390" s="314">
        <v>21</v>
      </c>
      <c r="H1390" s="359">
        <f t="shared" si="45"/>
        <v>0</v>
      </c>
      <c r="K1390" s="362">
        <v>26037067</v>
      </c>
      <c r="M1390" s="361"/>
      <c r="N1390" s="361"/>
      <c r="O1390" s="361"/>
      <c r="P1390" s="361"/>
      <c r="Q1390" s="361"/>
      <c r="R1390" s="361"/>
      <c r="S1390" s="361"/>
      <c r="T1390" s="390">
        <v>365000</v>
      </c>
      <c r="U1390" s="364">
        <f t="shared" si="44"/>
        <v>26402067</v>
      </c>
      <c r="W1390" s="365" t="str">
        <f>+VLOOKUP($B1390,[2]Time_S4!$B:$G,6,0)</f>
        <v>Trung tâm Camera</v>
      </c>
      <c r="X1390" s="365" t="str">
        <f>IF(W1390="Phòng Kinh doanh","Trung tâm Kinh doanh - TCT CNC",+VLOOKUP($B1390,[2]Time_S4!$B:$G,5,0))</f>
        <v>Khối 3 - TCT CNC</v>
      </c>
      <c r="Z1390" s="366"/>
    </row>
    <row r="1391" spans="1:26" hidden="1">
      <c r="A1391" s="367">
        <f>SUBTOTAL(3,$B$15:B1391)</f>
        <v>2</v>
      </c>
      <c r="B1391" s="394" t="s">
        <v>3024</v>
      </c>
      <c r="C1391" s="314" t="s">
        <v>3025</v>
      </c>
      <c r="D1391" s="314" t="s">
        <v>3021</v>
      </c>
      <c r="E1391" s="314">
        <v>21</v>
      </c>
      <c r="F1391" s="314">
        <v>20</v>
      </c>
      <c r="H1391" s="359">
        <f t="shared" si="45"/>
        <v>0</v>
      </c>
      <c r="K1391" s="362">
        <v>12574592</v>
      </c>
      <c r="M1391" s="361"/>
      <c r="N1391" s="361"/>
      <c r="O1391" s="361"/>
      <c r="P1391" s="361"/>
      <c r="Q1391" s="361"/>
      <c r="R1391" s="361"/>
      <c r="S1391" s="361"/>
      <c r="T1391" s="390">
        <v>347619</v>
      </c>
      <c r="U1391" s="364">
        <f t="shared" si="44"/>
        <v>12922211</v>
      </c>
      <c r="W1391" s="365" t="str">
        <f>+VLOOKUP($B1391,[2]Time_S4!$B:$G,6,0)</f>
        <v>Trung tâm Nghiên cứu giải pháp tích hợp công nghệ cao</v>
      </c>
      <c r="X1391" s="365" t="str">
        <f>IF(W1391="Phòng Kinh doanh","Trung tâm Kinh doanh - TCT CNC",+VLOOKUP($B1391,[2]Time_S4!$B:$G,5,0))</f>
        <v>Khối 1 - TCT CNC</v>
      </c>
      <c r="Z1391" s="366"/>
    </row>
    <row r="1392" spans="1:26" hidden="1">
      <c r="A1392" s="367">
        <f>SUBTOTAL(3,$B$15:B1392)</f>
        <v>2</v>
      </c>
      <c r="B1392" s="394" t="s">
        <v>3026</v>
      </c>
      <c r="C1392" s="314" t="s">
        <v>3027</v>
      </c>
      <c r="D1392" s="314" t="s">
        <v>3021</v>
      </c>
      <c r="E1392" s="314">
        <v>21</v>
      </c>
      <c r="F1392" s="314">
        <v>21</v>
      </c>
      <c r="H1392" s="359">
        <f t="shared" si="45"/>
        <v>0</v>
      </c>
      <c r="K1392" s="362">
        <v>15947496</v>
      </c>
      <c r="M1392" s="361"/>
      <c r="N1392" s="361"/>
      <c r="O1392" s="361"/>
      <c r="P1392" s="361"/>
      <c r="Q1392" s="361"/>
      <c r="R1392" s="361"/>
      <c r="S1392" s="361"/>
      <c r="T1392" s="390">
        <v>365000</v>
      </c>
      <c r="U1392" s="364">
        <f t="shared" si="44"/>
        <v>16312496</v>
      </c>
      <c r="W1392" s="365" t="str">
        <f>+VLOOKUP($B1392,[2]Time_S4!$B:$G,6,0)</f>
        <v>Trung tâm Nền tảng IOT</v>
      </c>
      <c r="X1392" s="365" t="str">
        <f>IF(W1392="Phòng Kinh doanh","Trung tâm Kinh doanh - TCT CNC",+VLOOKUP($B1392,[2]Time_S4!$B:$G,5,0))</f>
        <v>Khối 3 - TCT CNC</v>
      </c>
      <c r="Z1392" s="366"/>
    </row>
    <row r="1393" spans="1:26" hidden="1">
      <c r="A1393" s="367">
        <f>SUBTOTAL(3,$B$15:B1393)</f>
        <v>2</v>
      </c>
      <c r="B1393" s="394" t="s">
        <v>3028</v>
      </c>
      <c r="C1393" s="314" t="s">
        <v>3029</v>
      </c>
      <c r="D1393" s="314" t="s">
        <v>3021</v>
      </c>
      <c r="E1393" s="314">
        <v>21</v>
      </c>
      <c r="F1393" s="314">
        <v>21</v>
      </c>
      <c r="H1393" s="359">
        <f t="shared" si="45"/>
        <v>0</v>
      </c>
      <c r="K1393" s="362">
        <v>11050000</v>
      </c>
      <c r="M1393" s="361"/>
      <c r="N1393" s="361"/>
      <c r="O1393" s="361"/>
      <c r="P1393" s="361"/>
      <c r="Q1393" s="361"/>
      <c r="R1393" s="361"/>
      <c r="S1393" s="361"/>
      <c r="T1393" s="390">
        <v>365000</v>
      </c>
      <c r="U1393" s="364">
        <f t="shared" si="44"/>
        <v>11415000</v>
      </c>
      <c r="W1393" s="365" t="str">
        <f>+VLOOKUP($B1393,[2]Time_S4!$B:$G,6,0)</f>
        <v>Trung tâm Nghiên cứu Công nghệ truyền dẫn</v>
      </c>
      <c r="X1393" s="365" t="str">
        <f>IF(W1393="Phòng Kinh doanh","Trung tâm Kinh doanh - TCT CNC",+VLOOKUP($B1393,[2]Time_S4!$B:$G,5,0))</f>
        <v>Khối 2 - TCT CNC</v>
      </c>
      <c r="Z1393" s="366"/>
    </row>
    <row r="1394" spans="1:26" hidden="1">
      <c r="A1394" s="367">
        <f>SUBTOTAL(3,$B$15:B1394)</f>
        <v>2</v>
      </c>
      <c r="B1394" s="394" t="s">
        <v>3030</v>
      </c>
      <c r="C1394" s="314" t="s">
        <v>3031</v>
      </c>
      <c r="D1394" s="314" t="s">
        <v>3032</v>
      </c>
      <c r="E1394" s="314">
        <v>21</v>
      </c>
      <c r="F1394" s="314">
        <v>1</v>
      </c>
      <c r="H1394" s="359">
        <f t="shared" si="45"/>
        <v>0</v>
      </c>
      <c r="K1394" s="362">
        <v>190476</v>
      </c>
      <c r="M1394" s="361"/>
      <c r="N1394" s="361"/>
      <c r="O1394" s="361"/>
      <c r="P1394" s="361"/>
      <c r="Q1394" s="361"/>
      <c r="R1394" s="361"/>
      <c r="S1394" s="361"/>
      <c r="T1394" s="390">
        <v>17381</v>
      </c>
      <c r="U1394" s="364">
        <f t="shared" si="44"/>
        <v>207857</v>
      </c>
      <c r="W1394" s="365" t="str">
        <f>+VLOOKUP($B1394,[2]Time_S4!$B:$G,6,0)</f>
        <v>Trung tâm Nghiên cứu giải pháp tích hợp công nghệ cao</v>
      </c>
      <c r="X1394" s="365" t="str">
        <f>IF(W1394="Phòng Kinh doanh","Trung tâm Kinh doanh - TCT CNC",+VLOOKUP($B1394,[2]Time_S4!$B:$G,5,0))</f>
        <v>Khối 1 - TCT CNC</v>
      </c>
      <c r="Z1394" s="366"/>
    </row>
    <row r="1395" spans="1:26" hidden="1">
      <c r="A1395" s="367">
        <f>SUBTOTAL(3,$B$15:B1395)</f>
        <v>2</v>
      </c>
      <c r="B1395" s="394" t="s">
        <v>3033</v>
      </c>
      <c r="C1395" s="314" t="s">
        <v>3034</v>
      </c>
      <c r="D1395" s="314" t="s">
        <v>3032</v>
      </c>
      <c r="E1395" s="314">
        <v>21</v>
      </c>
      <c r="F1395" s="314">
        <v>1</v>
      </c>
      <c r="H1395" s="359">
        <f t="shared" si="45"/>
        <v>0</v>
      </c>
      <c r="K1395" s="362">
        <v>190476</v>
      </c>
      <c r="M1395" s="361"/>
      <c r="N1395" s="361"/>
      <c r="O1395" s="361"/>
      <c r="P1395" s="361"/>
      <c r="Q1395" s="361"/>
      <c r="R1395" s="361"/>
      <c r="S1395" s="361"/>
      <c r="T1395" s="390">
        <v>17381</v>
      </c>
      <c r="U1395" s="364">
        <f t="shared" si="44"/>
        <v>207857</v>
      </c>
      <c r="W1395" s="365" t="str">
        <f>+VLOOKUP($B1395,[2]Time_S4!$B:$G,6,0)</f>
        <v>Trung tâm Thông tin Quân sự</v>
      </c>
      <c r="X1395" s="365" t="str">
        <f>IF(W1395="Phòng Kinh doanh","Trung tâm Kinh doanh - TCT CNC",+VLOOKUP($B1395,[2]Time_S4!$B:$G,5,0))</f>
        <v>Khối 1 - TCT CNC</v>
      </c>
      <c r="Z1395" s="366"/>
    </row>
    <row r="1396" spans="1:26" hidden="1">
      <c r="A1396" s="367">
        <f>SUBTOTAL(3,$B$15:B1396)</f>
        <v>2</v>
      </c>
      <c r="B1396" s="394" t="s">
        <v>3035</v>
      </c>
      <c r="C1396" s="314" t="s">
        <v>3036</v>
      </c>
      <c r="D1396" s="314" t="s">
        <v>3032</v>
      </c>
      <c r="E1396" s="314">
        <v>21</v>
      </c>
      <c r="F1396" s="314">
        <v>4</v>
      </c>
      <c r="H1396" s="359">
        <f t="shared" si="45"/>
        <v>0</v>
      </c>
      <c r="K1396" s="362">
        <v>761905</v>
      </c>
      <c r="M1396" s="361"/>
      <c r="N1396" s="361"/>
      <c r="O1396" s="361"/>
      <c r="P1396" s="361"/>
      <c r="Q1396" s="361"/>
      <c r="R1396" s="361"/>
      <c r="S1396" s="361"/>
      <c r="T1396" s="390">
        <v>69524</v>
      </c>
      <c r="U1396" s="364">
        <f t="shared" si="44"/>
        <v>831429</v>
      </c>
      <c r="W1396" s="365" t="str">
        <f>+VLOOKUP($B1396,[2]Time_S4!$B:$G,6,0)</f>
        <v>Trung tâm Khí cụ bay</v>
      </c>
      <c r="X1396" s="365" t="str">
        <f>IF(W1396="Phòng Kinh doanh","Trung tâm Kinh doanh - TCT CNC",+VLOOKUP($B1396,[2]Time_S4!$B:$G,5,0))</f>
        <v>Khối 1 - TCT CNC</v>
      </c>
      <c r="Z1396" s="366"/>
    </row>
    <row r="1397" spans="1:26" hidden="1">
      <c r="A1397" s="367">
        <f>SUBTOTAL(3,$B$15:B1397)</f>
        <v>2</v>
      </c>
      <c r="B1397" s="394" t="s">
        <v>3037</v>
      </c>
      <c r="C1397" s="314" t="s">
        <v>3038</v>
      </c>
      <c r="D1397" s="314" t="s">
        <v>3032</v>
      </c>
      <c r="E1397" s="314">
        <v>21</v>
      </c>
      <c r="F1397" s="314">
        <v>4</v>
      </c>
      <c r="H1397" s="359">
        <f t="shared" si="45"/>
        <v>0</v>
      </c>
      <c r="K1397" s="362">
        <v>761905</v>
      </c>
      <c r="M1397" s="361"/>
      <c r="N1397" s="361"/>
      <c r="O1397" s="361"/>
      <c r="P1397" s="361"/>
      <c r="Q1397" s="361"/>
      <c r="R1397" s="361"/>
      <c r="S1397" s="361"/>
      <c r="T1397" s="390">
        <v>69524</v>
      </c>
      <c r="U1397" s="364">
        <f t="shared" si="44"/>
        <v>831429</v>
      </c>
      <c r="W1397" s="365" t="str">
        <f>+VLOOKUP($B1397,[2]Time_S4!$B:$G,6,0)</f>
        <v>Trung tâm Khí cụ bay</v>
      </c>
      <c r="X1397" s="365" t="str">
        <f>IF(W1397="Phòng Kinh doanh","Trung tâm Kinh doanh - TCT CNC",+VLOOKUP($B1397,[2]Time_S4!$B:$G,5,0))</f>
        <v>Khối 1 - TCT CNC</v>
      </c>
      <c r="Z1397" s="366"/>
    </row>
    <row r="1398" spans="1:26" hidden="1">
      <c r="A1398" s="367">
        <f>SUBTOTAL(3,$B$15:B1398)</f>
        <v>2</v>
      </c>
      <c r="B1398" s="394" t="s">
        <v>3039</v>
      </c>
      <c r="C1398" s="314" t="s">
        <v>3040</v>
      </c>
      <c r="D1398" s="314" t="s">
        <v>3032</v>
      </c>
      <c r="E1398" s="314">
        <v>21</v>
      </c>
      <c r="F1398" s="314">
        <v>4</v>
      </c>
      <c r="H1398" s="359">
        <f t="shared" si="45"/>
        <v>0</v>
      </c>
      <c r="K1398" s="362">
        <v>761905</v>
      </c>
      <c r="M1398" s="361"/>
      <c r="N1398" s="361"/>
      <c r="O1398" s="361"/>
      <c r="P1398" s="361"/>
      <c r="Q1398" s="361"/>
      <c r="R1398" s="361"/>
      <c r="S1398" s="361"/>
      <c r="T1398" s="390">
        <v>69524</v>
      </c>
      <c r="U1398" s="364">
        <f t="shared" si="44"/>
        <v>831429</v>
      </c>
      <c r="W1398" s="365" t="str">
        <f>+VLOOKUP($B1398,[2]Time_S4!$B:$G,6,0)</f>
        <v>Trung tâm Khí cụ bay</v>
      </c>
      <c r="X1398" s="365" t="str">
        <f>IF(W1398="Phòng Kinh doanh","Trung tâm Kinh doanh - TCT CNC",+VLOOKUP($B1398,[2]Time_S4!$B:$G,5,0))</f>
        <v>Khối 1 - TCT CNC</v>
      </c>
      <c r="Z1398" s="366"/>
    </row>
    <row r="1399" spans="1:26" hidden="1">
      <c r="A1399" s="367">
        <f>SUBTOTAL(3,$B$15:B1399)</f>
        <v>2</v>
      </c>
      <c r="B1399" s="394" t="s">
        <v>3041</v>
      </c>
      <c r="C1399" s="314" t="s">
        <v>3042</v>
      </c>
      <c r="D1399" s="314" t="s">
        <v>3032</v>
      </c>
      <c r="E1399" s="314">
        <v>21</v>
      </c>
      <c r="F1399" s="314">
        <v>6</v>
      </c>
      <c r="H1399" s="359">
        <f t="shared" si="45"/>
        <v>0</v>
      </c>
      <c r="K1399" s="362">
        <v>1142857</v>
      </c>
      <c r="M1399" s="361"/>
      <c r="N1399" s="361"/>
      <c r="O1399" s="361"/>
      <c r="P1399" s="361"/>
      <c r="Q1399" s="361"/>
      <c r="R1399" s="361"/>
      <c r="S1399" s="361"/>
      <c r="T1399" s="390">
        <v>104286</v>
      </c>
      <c r="U1399" s="364">
        <f t="shared" si="44"/>
        <v>1247143</v>
      </c>
      <c r="W1399" s="365" t="str">
        <f>+VLOOKUP($B1399,[2]Time_S4!$B:$G,6,0)</f>
        <v>Trung tâm Chỉ huy điều khiển</v>
      </c>
      <c r="X1399" s="365" t="str">
        <f>IF(W1399="Phòng Kinh doanh","Trung tâm Kinh doanh - TCT CNC",+VLOOKUP($B1399,[2]Time_S4!$B:$G,5,0))</f>
        <v>Khối 1 - TCT CNC</v>
      </c>
      <c r="Z1399" s="366"/>
    </row>
    <row r="1400" spans="1:26" hidden="1">
      <c r="A1400" s="367">
        <f>SUBTOTAL(3,$B$15:B1400)</f>
        <v>2</v>
      </c>
      <c r="B1400" s="394" t="s">
        <v>3043</v>
      </c>
      <c r="C1400" s="314" t="s">
        <v>3044</v>
      </c>
      <c r="D1400" s="314" t="s">
        <v>3032</v>
      </c>
      <c r="E1400" s="314">
        <v>21</v>
      </c>
      <c r="F1400" s="314">
        <v>9</v>
      </c>
      <c r="H1400" s="359">
        <f t="shared" si="45"/>
        <v>0</v>
      </c>
      <c r="K1400" s="362">
        <v>1714286</v>
      </c>
      <c r="M1400" s="361"/>
      <c r="N1400" s="361"/>
      <c r="O1400" s="361"/>
      <c r="P1400" s="361"/>
      <c r="Q1400" s="361"/>
      <c r="R1400" s="361"/>
      <c r="S1400" s="361"/>
      <c r="T1400" s="390">
        <v>156429</v>
      </c>
      <c r="U1400" s="364">
        <f t="shared" si="44"/>
        <v>1870715</v>
      </c>
      <c r="W1400" s="365" t="str">
        <f>+VLOOKUP($B1400,[2]Time_S4!$B:$G,6,0)</f>
        <v>Trung tâm Camera</v>
      </c>
      <c r="X1400" s="365" t="str">
        <f>IF(W1400="Phòng Kinh doanh","Trung tâm Kinh doanh - TCT CNC",+VLOOKUP($B1400,[2]Time_S4!$B:$G,5,0))</f>
        <v>Khối 3 - TCT CNC</v>
      </c>
      <c r="Z1400" s="366"/>
    </row>
    <row r="1401" spans="1:26" hidden="1">
      <c r="A1401" s="367">
        <f>SUBTOTAL(3,$B$15:B1401)</f>
        <v>2</v>
      </c>
      <c r="B1401" s="394" t="s">
        <v>2994</v>
      </c>
      <c r="C1401" s="314" t="s">
        <v>2995</v>
      </c>
      <c r="D1401" s="314" t="s">
        <v>3021</v>
      </c>
      <c r="E1401" s="314">
        <v>21</v>
      </c>
      <c r="F1401" s="314">
        <v>0</v>
      </c>
      <c r="H1401" s="359">
        <f t="shared" si="45"/>
        <v>0</v>
      </c>
      <c r="K1401" s="362">
        <v>0</v>
      </c>
      <c r="M1401" s="361"/>
      <c r="N1401" s="361"/>
      <c r="O1401" s="361"/>
      <c r="P1401" s="361"/>
      <c r="Q1401" s="361"/>
      <c r="R1401" s="361"/>
      <c r="S1401" s="361"/>
      <c r="T1401" s="390">
        <v>0</v>
      </c>
      <c r="U1401" s="364">
        <f t="shared" si="44"/>
        <v>0</v>
      </c>
      <c r="W1401" s="365" t="str">
        <f>+VLOOKUP($B1401,[2]Time_S4!$B:$G,6,0)</f>
        <v>Trung tâm Chỉ huy điều khiển</v>
      </c>
      <c r="X1401" s="365" t="str">
        <f>IF(W1401="Phòng Kinh doanh","Trung tâm Kinh doanh - TCT CNC",+VLOOKUP($B1401,[2]Time_S4!$B:$G,5,0))</f>
        <v>Khối 1 - TCT CNC</v>
      </c>
      <c r="Z1401" s="366"/>
    </row>
    <row r="1402" spans="1:26" hidden="1">
      <c r="A1402" s="367">
        <f>SUBTOTAL(3,$B$15:B1402)</f>
        <v>2</v>
      </c>
      <c r="B1402" s="394" t="s">
        <v>3045</v>
      </c>
      <c r="C1402" s="314" t="s">
        <v>3046</v>
      </c>
      <c r="D1402" s="314" t="s">
        <v>3032</v>
      </c>
      <c r="E1402" s="314">
        <v>21</v>
      </c>
      <c r="F1402" s="314">
        <v>21</v>
      </c>
      <c r="H1402" s="359">
        <f t="shared" si="45"/>
        <v>0</v>
      </c>
      <c r="K1402" s="362">
        <v>4000000</v>
      </c>
      <c r="M1402" s="361"/>
      <c r="N1402" s="361"/>
      <c r="O1402" s="361"/>
      <c r="P1402" s="361"/>
      <c r="Q1402" s="361"/>
      <c r="R1402" s="361"/>
      <c r="S1402" s="361"/>
      <c r="T1402" s="390">
        <v>365000</v>
      </c>
      <c r="U1402" s="364">
        <f t="shared" si="44"/>
        <v>4365000</v>
      </c>
      <c r="W1402" s="365" t="str">
        <f>+VLOOKUP($B1402,[2]Time_S4!$B:$G,6,0)</f>
        <v>Trung tâm Rada</v>
      </c>
      <c r="X1402" s="365" t="str">
        <f>IF(W1402="Phòng Kinh doanh","Trung tâm Kinh doanh - TCT CNC",+VLOOKUP($B1402,[2]Time_S4!$B:$G,5,0))</f>
        <v>Khối 1 - TCT CNC</v>
      </c>
      <c r="Z1402" s="366"/>
    </row>
    <row r="1403" spans="1:26" hidden="1">
      <c r="A1403" s="367">
        <f>SUBTOTAL(3,$B$15:B1403)</f>
        <v>2</v>
      </c>
      <c r="B1403" s="394" t="s">
        <v>3047</v>
      </c>
      <c r="C1403" s="314" t="s">
        <v>3048</v>
      </c>
      <c r="D1403" s="314" t="s">
        <v>3032</v>
      </c>
      <c r="E1403" s="314">
        <v>21</v>
      </c>
      <c r="F1403" s="314">
        <v>21</v>
      </c>
      <c r="H1403" s="359">
        <f t="shared" si="45"/>
        <v>0</v>
      </c>
      <c r="K1403" s="362">
        <v>4000000</v>
      </c>
      <c r="M1403" s="361"/>
      <c r="N1403" s="361"/>
      <c r="O1403" s="361"/>
      <c r="P1403" s="361"/>
      <c r="Q1403" s="361"/>
      <c r="R1403" s="361"/>
      <c r="S1403" s="361"/>
      <c r="T1403" s="390">
        <v>365000</v>
      </c>
      <c r="U1403" s="364">
        <f t="shared" si="44"/>
        <v>4365000</v>
      </c>
      <c r="W1403" s="365" t="str">
        <f>+VLOOKUP($B1403,[2]Time_S4!$B:$G,6,0)</f>
        <v>Trung tâm Chỉ huy điều khiển</v>
      </c>
      <c r="X1403" s="365" t="str">
        <f>IF(W1403="Phòng Kinh doanh","Trung tâm Kinh doanh - TCT CNC",+VLOOKUP($B1403,[2]Time_S4!$B:$G,5,0))</f>
        <v>Khối 1 - TCT CNC</v>
      </c>
      <c r="Z1403" s="366"/>
    </row>
    <row r="1404" spans="1:26" hidden="1">
      <c r="A1404" s="367">
        <f>SUBTOTAL(3,$B$15:B1404)</f>
        <v>2</v>
      </c>
      <c r="B1404" s="394" t="s">
        <v>3049</v>
      </c>
      <c r="C1404" s="314" t="s">
        <v>3050</v>
      </c>
      <c r="D1404" s="314" t="s">
        <v>3032</v>
      </c>
      <c r="E1404" s="314">
        <v>21</v>
      </c>
      <c r="F1404" s="314">
        <v>21</v>
      </c>
      <c r="H1404" s="359">
        <f t="shared" si="45"/>
        <v>0</v>
      </c>
      <c r="K1404" s="362">
        <v>4000000</v>
      </c>
      <c r="M1404" s="361"/>
      <c r="N1404" s="361"/>
      <c r="O1404" s="361"/>
      <c r="P1404" s="361"/>
      <c r="Q1404" s="361"/>
      <c r="R1404" s="361"/>
      <c r="S1404" s="361"/>
      <c r="T1404" s="390">
        <v>365000</v>
      </c>
      <c r="U1404" s="364">
        <f t="shared" si="44"/>
        <v>4365000</v>
      </c>
      <c r="W1404" s="365" t="str">
        <f>+VLOOKUP($B1404,[2]Time_S4!$B:$G,6,0)</f>
        <v>Trung tâm Nghiên cứu công nghệ Đa phương tiện</v>
      </c>
      <c r="X1404" s="365" t="str">
        <f>IF(W1404="Phòng Kinh doanh","Trung tâm Kinh doanh - TCT CNC",+VLOOKUP($B1404,[2]Time_S4!$B:$G,5,0))</f>
        <v>Khối 2 - TCT CNC</v>
      </c>
      <c r="Z1404" s="366"/>
    </row>
    <row r="1405" spans="1:26" hidden="1">
      <c r="A1405" s="367">
        <f>SUBTOTAL(3,$B$15:B1405)</f>
        <v>2</v>
      </c>
      <c r="B1405" s="394" t="s">
        <v>2996</v>
      </c>
      <c r="C1405" s="314" t="s">
        <v>2997</v>
      </c>
      <c r="D1405" s="314" t="s">
        <v>3021</v>
      </c>
      <c r="E1405" s="314">
        <v>21</v>
      </c>
      <c r="F1405" s="314">
        <v>1</v>
      </c>
      <c r="H1405" s="359">
        <f t="shared" si="45"/>
        <v>0</v>
      </c>
      <c r="K1405" s="362">
        <v>445238</v>
      </c>
      <c r="M1405" s="361"/>
      <c r="N1405" s="361"/>
      <c r="O1405" s="361"/>
      <c r="P1405" s="361"/>
      <c r="Q1405" s="361"/>
      <c r="R1405" s="361"/>
      <c r="S1405" s="361"/>
      <c r="T1405" s="390">
        <v>17381</v>
      </c>
      <c r="U1405" s="364">
        <f t="shared" si="44"/>
        <v>462619</v>
      </c>
      <c r="W1405" s="365" t="str">
        <f>+VLOOKUP($B1405,[2]Time_S4!$B:$G,6,0)</f>
        <v>Trung tâm Nghiên cứu Công nghệ truyền dẫn</v>
      </c>
      <c r="X1405" s="365" t="str">
        <f>IF(W1405="Phòng Kinh doanh","Trung tâm Kinh doanh - TCT CNC",+VLOOKUP($B1405,[2]Time_S4!$B:$G,5,0))</f>
        <v>Khối 2 - TCT CNC</v>
      </c>
      <c r="Z1405" s="366"/>
    </row>
    <row r="1406" spans="1:26" hidden="1">
      <c r="A1406" s="367">
        <f>SUBTOTAL(3,$B$15:B1406)</f>
        <v>2</v>
      </c>
      <c r="B1406" s="394" t="s">
        <v>3051</v>
      </c>
      <c r="C1406" s="314" t="s">
        <v>3052</v>
      </c>
      <c r="D1406" s="314" t="s">
        <v>3032</v>
      </c>
      <c r="E1406" s="314">
        <v>21</v>
      </c>
      <c r="F1406" s="314">
        <v>21</v>
      </c>
      <c r="H1406" s="359">
        <f t="shared" si="45"/>
        <v>0</v>
      </c>
      <c r="K1406" s="362">
        <v>4000000</v>
      </c>
      <c r="M1406" s="361"/>
      <c r="N1406" s="361"/>
      <c r="O1406" s="361"/>
      <c r="P1406" s="361"/>
      <c r="Q1406" s="361"/>
      <c r="R1406" s="361"/>
      <c r="S1406" s="361"/>
      <c r="T1406" s="390">
        <v>365000</v>
      </c>
      <c r="U1406" s="364">
        <f t="shared" si="44"/>
        <v>4365000</v>
      </c>
      <c r="W1406" s="365" t="str">
        <f>+VLOOKUP($B1406,[2]Time_S4!$B:$G,6,0)</f>
        <v>Trung tâm Quang điện tử</v>
      </c>
      <c r="X1406" s="365" t="str">
        <f>IF(W1406="Phòng Kinh doanh","Trung tâm Kinh doanh - TCT CNC",+VLOOKUP($B1406,[2]Time_S4!$B:$G,5,0))</f>
        <v>Khối 1 - TCT CNC</v>
      </c>
      <c r="Z1406" s="366"/>
    </row>
    <row r="1407" spans="1:26" hidden="1">
      <c r="A1407" s="367">
        <f>SUBTOTAL(3,$B$15:B1407)</f>
        <v>2</v>
      </c>
      <c r="B1407" s="394" t="s">
        <v>2998</v>
      </c>
      <c r="C1407" s="314" t="s">
        <v>2999</v>
      </c>
      <c r="D1407" s="314" t="s">
        <v>3021</v>
      </c>
      <c r="E1407" s="314">
        <v>21</v>
      </c>
      <c r="F1407" s="314">
        <v>7</v>
      </c>
      <c r="H1407" s="359">
        <f t="shared" si="45"/>
        <v>0</v>
      </c>
      <c r="K1407" s="362">
        <v>3116667</v>
      </c>
      <c r="M1407" s="361"/>
      <c r="N1407" s="361"/>
      <c r="O1407" s="361"/>
      <c r="P1407" s="361"/>
      <c r="Q1407" s="361"/>
      <c r="R1407" s="361"/>
      <c r="S1407" s="361"/>
      <c r="T1407" s="390">
        <v>121667</v>
      </c>
      <c r="U1407" s="364">
        <f t="shared" si="44"/>
        <v>3238334</v>
      </c>
      <c r="W1407" s="365" t="str">
        <f>+VLOOKUP($B1407,[2]Time_S4!$B:$G,6,0)</f>
        <v>Trung tâm Camera</v>
      </c>
      <c r="X1407" s="365" t="str">
        <f>IF(W1407="Phòng Kinh doanh","Trung tâm Kinh doanh - TCT CNC",+VLOOKUP($B1407,[2]Time_S4!$B:$G,5,0))</f>
        <v>Khối 3 - TCT CNC</v>
      </c>
      <c r="Z1407" s="366"/>
    </row>
    <row r="1408" spans="1:26" hidden="1">
      <c r="A1408" s="367">
        <f>SUBTOTAL(3,$B$15:B1408)</f>
        <v>2</v>
      </c>
      <c r="B1408" s="394" t="s">
        <v>3000</v>
      </c>
      <c r="C1408" s="314" t="s">
        <v>3001</v>
      </c>
      <c r="D1408" s="314" t="s">
        <v>3021</v>
      </c>
      <c r="E1408" s="314">
        <v>21</v>
      </c>
      <c r="F1408" s="314">
        <v>7</v>
      </c>
      <c r="H1408" s="359">
        <f t="shared" si="45"/>
        <v>0</v>
      </c>
      <c r="K1408" s="362">
        <v>3116667</v>
      </c>
      <c r="M1408" s="361"/>
      <c r="N1408" s="361"/>
      <c r="O1408" s="361"/>
      <c r="P1408" s="361"/>
      <c r="Q1408" s="361"/>
      <c r="R1408" s="361"/>
      <c r="S1408" s="361"/>
      <c r="T1408" s="390">
        <v>121667</v>
      </c>
      <c r="U1408" s="364">
        <f t="shared" si="44"/>
        <v>3238334</v>
      </c>
      <c r="W1408" s="365" t="str">
        <f>+VLOOKUP($B1408,[2]Time_S4!$B:$G,6,0)</f>
        <v>Trung tâm Thông tin Quân sự</v>
      </c>
      <c r="X1408" s="365" t="str">
        <f>IF(W1408="Phòng Kinh doanh","Trung tâm Kinh doanh - TCT CNC",+VLOOKUP($B1408,[2]Time_S4!$B:$G,5,0))</f>
        <v>Khối 1 - TCT CNC</v>
      </c>
      <c r="Z1408" s="366"/>
    </row>
    <row r="1409" spans="1:26" hidden="1">
      <c r="A1409" s="367">
        <f>SUBTOTAL(3,$B$15:B1409)</f>
        <v>2</v>
      </c>
      <c r="B1409" s="394" t="s">
        <v>3002</v>
      </c>
      <c r="C1409" s="314" t="s">
        <v>1483</v>
      </c>
      <c r="D1409" s="314" t="s">
        <v>3021</v>
      </c>
      <c r="E1409" s="314">
        <v>21</v>
      </c>
      <c r="F1409" s="314">
        <v>10</v>
      </c>
      <c r="H1409" s="359">
        <f t="shared" si="45"/>
        <v>0</v>
      </c>
      <c r="K1409" s="362">
        <v>4857143</v>
      </c>
      <c r="M1409" s="361"/>
      <c r="N1409" s="361"/>
      <c r="O1409" s="361"/>
      <c r="P1409" s="361"/>
      <c r="Q1409" s="361"/>
      <c r="R1409" s="361"/>
      <c r="S1409" s="361"/>
      <c r="T1409" s="390">
        <v>173810</v>
      </c>
      <c r="U1409" s="364">
        <f t="shared" si="44"/>
        <v>5030953</v>
      </c>
      <c r="W1409" s="365" t="str">
        <f>+VLOOKUP($B1409,[2]Time_S4!$B:$G,6,0)</f>
        <v>Trung tâm Phát triển nền tảng thanh toán</v>
      </c>
      <c r="X1409" s="365" t="str">
        <f>IF(W1409="Phòng Kinh doanh","Trung tâm Kinh doanh - TCT CNC",+VLOOKUP($B1409,[2]Time_S4!$B:$G,5,0))</f>
        <v>Khối 2 - TCT CNC</v>
      </c>
      <c r="Z1409" s="366"/>
    </row>
    <row r="1410" spans="1:26" hidden="1">
      <c r="A1410" s="367">
        <f>SUBTOTAL(3,$B$15:B1410)</f>
        <v>2</v>
      </c>
      <c r="B1410" s="394" t="s">
        <v>3003</v>
      </c>
      <c r="C1410" s="314" t="s">
        <v>3004</v>
      </c>
      <c r="D1410" s="314" t="s">
        <v>3021</v>
      </c>
      <c r="E1410" s="314">
        <v>21</v>
      </c>
      <c r="F1410" s="314">
        <v>10</v>
      </c>
      <c r="H1410" s="359">
        <f t="shared" si="45"/>
        <v>0</v>
      </c>
      <c r="K1410" s="362">
        <v>7515028</v>
      </c>
      <c r="M1410" s="361"/>
      <c r="N1410" s="361"/>
      <c r="O1410" s="361"/>
      <c r="P1410" s="361"/>
      <c r="Q1410" s="361"/>
      <c r="R1410" s="361"/>
      <c r="S1410" s="361"/>
      <c r="T1410" s="390">
        <v>173810</v>
      </c>
      <c r="U1410" s="364">
        <f t="shared" si="44"/>
        <v>7688838</v>
      </c>
      <c r="W1410" s="365" t="str">
        <f>+VLOOKUP($B1410,[2]Time_S4!$B:$G,6,0)</f>
        <v>Trung tâm Nghiên cứu Công nghệ truyền dẫn</v>
      </c>
      <c r="X1410" s="365" t="str">
        <f>IF(W1410="Phòng Kinh doanh","Trung tâm Kinh doanh - TCT CNC",+VLOOKUP($B1410,[2]Time_S4!$B:$G,5,0))</f>
        <v>Khối 2 - TCT CNC</v>
      </c>
      <c r="Z1410" s="366"/>
    </row>
    <row r="1411" spans="1:26" hidden="1">
      <c r="A1411" s="367">
        <f>SUBTOTAL(3,$B$15:B1411)</f>
        <v>2</v>
      </c>
      <c r="B1411" s="394" t="s">
        <v>3005</v>
      </c>
      <c r="C1411" s="314" t="s">
        <v>3006</v>
      </c>
      <c r="D1411" s="314" t="s">
        <v>3021</v>
      </c>
      <c r="E1411" s="314">
        <v>21</v>
      </c>
      <c r="F1411" s="314">
        <v>10</v>
      </c>
      <c r="H1411" s="359">
        <f t="shared" si="45"/>
        <v>0</v>
      </c>
      <c r="K1411" s="362">
        <v>4857143</v>
      </c>
      <c r="M1411" s="361"/>
      <c r="N1411" s="361"/>
      <c r="O1411" s="361"/>
      <c r="P1411" s="361"/>
      <c r="Q1411" s="361"/>
      <c r="R1411" s="361"/>
      <c r="S1411" s="361"/>
      <c r="T1411" s="390">
        <v>173810</v>
      </c>
      <c r="U1411" s="364">
        <f t="shared" si="44"/>
        <v>5030953</v>
      </c>
      <c r="W1411" s="365" t="str">
        <f>+VLOOKUP($B1411,[2]Time_S4!$B:$G,6,0)</f>
        <v>Trung tâm Nghiên cứu Công nghệ chuyển mạch</v>
      </c>
      <c r="X1411" s="365" t="str">
        <f>IF(W1411="Phòng Kinh doanh","Trung tâm Kinh doanh - TCT CNC",+VLOOKUP($B1411,[2]Time_S4!$B:$G,5,0))</f>
        <v>Khối 2 - TCT CNC</v>
      </c>
      <c r="Z1411" s="366"/>
    </row>
    <row r="1412" spans="1:26" hidden="1">
      <c r="A1412" s="367">
        <f>SUBTOTAL(3,$B$15:B1412)</f>
        <v>2</v>
      </c>
      <c r="B1412" s="394" t="s">
        <v>3053</v>
      </c>
      <c r="C1412" s="314" t="s">
        <v>3054</v>
      </c>
      <c r="D1412" s="314" t="s">
        <v>3021</v>
      </c>
      <c r="E1412" s="314">
        <v>21</v>
      </c>
      <c r="F1412" s="314">
        <v>11</v>
      </c>
      <c r="H1412" s="359">
        <f t="shared" si="45"/>
        <v>0</v>
      </c>
      <c r="K1412" s="362">
        <v>5342857</v>
      </c>
      <c r="M1412" s="361"/>
      <c r="N1412" s="361"/>
      <c r="O1412" s="361"/>
      <c r="P1412" s="361"/>
      <c r="Q1412" s="361"/>
      <c r="R1412" s="361"/>
      <c r="S1412" s="361"/>
      <c r="T1412" s="390">
        <v>191190</v>
      </c>
      <c r="U1412" s="364">
        <f t="shared" si="44"/>
        <v>5534047</v>
      </c>
      <c r="W1412" s="365" t="str">
        <f>+VLOOKUP($B1412,[2]Time_S4!$B:$G,6,0)</f>
        <v>Trung tâm Phát triển nền tảng thanh toán</v>
      </c>
      <c r="X1412" s="365" t="str">
        <f>IF(W1412="Phòng Kinh doanh","Trung tâm Kinh doanh - TCT CNC",+VLOOKUP($B1412,[2]Time_S4!$B:$G,5,0))</f>
        <v>Khối 2 - TCT CNC</v>
      </c>
      <c r="Z1412" s="366"/>
    </row>
    <row r="1413" spans="1:26" hidden="1">
      <c r="A1413" s="367">
        <f>SUBTOTAL(3,$B$15:B1413)</f>
        <v>2</v>
      </c>
      <c r="B1413" s="394" t="s">
        <v>3007</v>
      </c>
      <c r="C1413" s="314" t="s">
        <v>3008</v>
      </c>
      <c r="D1413" s="314" t="s">
        <v>3021</v>
      </c>
      <c r="E1413" s="314">
        <v>21</v>
      </c>
      <c r="F1413" s="314">
        <v>15</v>
      </c>
      <c r="H1413" s="359">
        <f t="shared" si="45"/>
        <v>0</v>
      </c>
      <c r="K1413" s="362">
        <v>7963904</v>
      </c>
      <c r="M1413" s="361"/>
      <c r="N1413" s="361"/>
      <c r="O1413" s="361"/>
      <c r="P1413" s="361"/>
      <c r="Q1413" s="361"/>
      <c r="R1413" s="361"/>
      <c r="S1413" s="361"/>
      <c r="T1413" s="390">
        <v>260714</v>
      </c>
      <c r="U1413" s="364">
        <f t="shared" si="44"/>
        <v>8224618</v>
      </c>
      <c r="W1413" s="365" t="str">
        <f>+VLOOKUP($B1413,[2]Time_S4!$B:$G,6,0)</f>
        <v>Trung tâm Nghiên cứu giải pháp tích hợp công nghệ cao</v>
      </c>
      <c r="X1413" s="365" t="str">
        <f>IF(W1413="Phòng Kinh doanh","Trung tâm Kinh doanh - TCT CNC",+VLOOKUP($B1413,[2]Time_S4!$B:$G,5,0))</f>
        <v>Khối 1 - TCT CNC</v>
      </c>
      <c r="Z1413" s="366"/>
    </row>
    <row r="1414" spans="1:26" hidden="1">
      <c r="A1414" s="367">
        <f>SUBTOTAL(3,$B$15:B1414)</f>
        <v>2</v>
      </c>
      <c r="B1414" s="394" t="s">
        <v>3009</v>
      </c>
      <c r="C1414" s="314" t="s">
        <v>3010</v>
      </c>
      <c r="D1414" s="314" t="s">
        <v>3021</v>
      </c>
      <c r="E1414" s="314">
        <v>21</v>
      </c>
      <c r="F1414" s="314">
        <v>15</v>
      </c>
      <c r="H1414" s="359">
        <f t="shared" si="45"/>
        <v>0</v>
      </c>
      <c r="K1414" s="362">
        <v>8742857</v>
      </c>
      <c r="M1414" s="361"/>
      <c r="N1414" s="361"/>
      <c r="O1414" s="361"/>
      <c r="P1414" s="361"/>
      <c r="Q1414" s="361"/>
      <c r="R1414" s="361"/>
      <c r="S1414" s="361"/>
      <c r="T1414" s="390">
        <v>260714</v>
      </c>
      <c r="U1414" s="364">
        <f t="shared" si="44"/>
        <v>9003571</v>
      </c>
      <c r="W1414" s="365" t="str">
        <f>+VLOOKUP($B1414,[2]Time_S4!$B:$G,6,0)</f>
        <v>Trung tâm Nghiên cứu công nghệ Đa phương tiện</v>
      </c>
      <c r="X1414" s="365" t="str">
        <f>IF(W1414="Phòng Kinh doanh","Trung tâm Kinh doanh - TCT CNC",+VLOOKUP($B1414,[2]Time_S4!$B:$G,5,0))</f>
        <v>Khối 2 - TCT CNC</v>
      </c>
      <c r="Z1414" s="366"/>
    </row>
    <row r="1415" spans="1:26" hidden="1">
      <c r="A1415" s="367">
        <f>SUBTOTAL(3,$B$15:B1415)</f>
        <v>2</v>
      </c>
      <c r="B1415" s="394" t="s">
        <v>3055</v>
      </c>
      <c r="C1415" s="314" t="s">
        <v>3056</v>
      </c>
      <c r="D1415" s="314" t="s">
        <v>3021</v>
      </c>
      <c r="E1415" s="314">
        <v>21</v>
      </c>
      <c r="F1415" s="314">
        <v>15</v>
      </c>
      <c r="H1415" s="359">
        <f t="shared" si="45"/>
        <v>0</v>
      </c>
      <c r="K1415" s="362">
        <v>16034485</v>
      </c>
      <c r="M1415" s="361"/>
      <c r="N1415" s="361"/>
      <c r="O1415" s="361"/>
      <c r="P1415" s="361"/>
      <c r="Q1415" s="361"/>
      <c r="R1415" s="361"/>
      <c r="S1415" s="361"/>
      <c r="T1415" s="390">
        <v>260714</v>
      </c>
      <c r="U1415" s="364">
        <f t="shared" si="44"/>
        <v>16295199</v>
      </c>
      <c r="W1415" s="365" t="str">
        <f>+VLOOKUP($B1415,[2]Time_S4!$B:$G,6,0)</f>
        <v>Trung tâm Tác chiến điện tử</v>
      </c>
      <c r="X1415" s="365" t="str">
        <f>IF(W1415="Phòng Kinh doanh","Trung tâm Kinh doanh - TCT CNC",+VLOOKUP($B1415,[2]Time_S4!$B:$G,5,0))</f>
        <v>Khối 1 - TCT CNC</v>
      </c>
      <c r="Z1415" s="366"/>
    </row>
    <row r="1416" spans="1:26" hidden="1">
      <c r="A1416" s="367">
        <f>SUBTOTAL(3,$B$15:B1416)</f>
        <v>2</v>
      </c>
      <c r="B1416" s="394" t="s">
        <v>3057</v>
      </c>
      <c r="C1416" s="314" t="s">
        <v>3058</v>
      </c>
      <c r="D1416" s="314" t="s">
        <v>3021</v>
      </c>
      <c r="E1416" s="314">
        <v>21</v>
      </c>
      <c r="F1416" s="314">
        <v>21</v>
      </c>
      <c r="H1416" s="359">
        <f t="shared" si="45"/>
        <v>0</v>
      </c>
      <c r="K1416" s="362">
        <v>12793962</v>
      </c>
      <c r="M1416" s="361"/>
      <c r="N1416" s="361"/>
      <c r="O1416" s="361"/>
      <c r="P1416" s="361"/>
      <c r="Q1416" s="361"/>
      <c r="R1416" s="361"/>
      <c r="S1416" s="361"/>
      <c r="T1416" s="390">
        <v>365000</v>
      </c>
      <c r="U1416" s="364">
        <f t="shared" si="44"/>
        <v>13158962</v>
      </c>
      <c r="W1416" s="365" t="str">
        <f>+VLOOKUP($B1416,[2]Time_S4!$B:$G,6,0)</f>
        <v>Trung tâm Thông tin Quân sự</v>
      </c>
      <c r="X1416" s="365" t="str">
        <f>IF(W1416="Phòng Kinh doanh","Trung tâm Kinh doanh - TCT CNC",+VLOOKUP($B1416,[2]Time_S4!$B:$G,5,0))</f>
        <v>Khối 1 - TCT CNC</v>
      </c>
      <c r="Z1416" s="366"/>
    </row>
    <row r="1417" spans="1:26" hidden="1">
      <c r="A1417" s="367">
        <f>SUBTOTAL(3,$B$15:B1417)</f>
        <v>2</v>
      </c>
      <c r="B1417" s="394" t="s">
        <v>3059</v>
      </c>
      <c r="C1417" s="314" t="s">
        <v>2345</v>
      </c>
      <c r="D1417" s="314" t="s">
        <v>3021</v>
      </c>
      <c r="E1417" s="314">
        <v>21</v>
      </c>
      <c r="F1417" s="314">
        <v>21</v>
      </c>
      <c r="H1417" s="359">
        <f t="shared" si="45"/>
        <v>0</v>
      </c>
      <c r="K1417" s="362">
        <v>9654317</v>
      </c>
      <c r="M1417" s="361"/>
      <c r="N1417" s="361"/>
      <c r="O1417" s="361"/>
      <c r="P1417" s="361"/>
      <c r="Q1417" s="361"/>
      <c r="R1417" s="361"/>
      <c r="S1417" s="361"/>
      <c r="T1417" s="390">
        <v>365000</v>
      </c>
      <c r="U1417" s="364">
        <f t="shared" si="44"/>
        <v>10019317</v>
      </c>
      <c r="W1417" s="365" t="str">
        <f>+VLOOKUP($B1417,[2]Time_S4!$B:$G,6,0)</f>
        <v>Trung tâm Công nghệ Cơ khí - Tự động hóa</v>
      </c>
      <c r="X1417" s="365" t="str">
        <f>IF(W1417="Phòng Kinh doanh","Trung tâm Kinh doanh - TCT CNC",+VLOOKUP($B1417,[2]Time_S4!$B:$G,5,0))</f>
        <v>Khối 1 - TCT CNC</v>
      </c>
      <c r="Z1417" s="366"/>
    </row>
    <row r="1418" spans="1:26" hidden="1">
      <c r="A1418" s="367">
        <f>SUBTOTAL(3,$B$15:B1418)</f>
        <v>2</v>
      </c>
      <c r="B1418" s="394" t="s">
        <v>3060</v>
      </c>
      <c r="C1418" s="314" t="s">
        <v>3061</v>
      </c>
      <c r="D1418" s="314" t="s">
        <v>3021</v>
      </c>
      <c r="E1418" s="314">
        <v>21</v>
      </c>
      <c r="F1418" s="314">
        <v>21</v>
      </c>
      <c r="H1418" s="359">
        <f t="shared" si="45"/>
        <v>0</v>
      </c>
      <c r="K1418" s="362">
        <v>15571150</v>
      </c>
      <c r="M1418" s="361"/>
      <c r="N1418" s="361"/>
      <c r="O1418" s="361"/>
      <c r="P1418" s="361"/>
      <c r="Q1418" s="361"/>
      <c r="R1418" s="361"/>
      <c r="S1418" s="361"/>
      <c r="T1418" s="390">
        <v>365000</v>
      </c>
      <c r="U1418" s="364">
        <f t="shared" si="44"/>
        <v>15936150</v>
      </c>
      <c r="W1418" s="365" t="str">
        <f>+VLOOKUP($B1418,[2]Time_S4!$B:$G,6,0)</f>
        <v>Trung tâm Khí cụ bay</v>
      </c>
      <c r="X1418" s="365" t="str">
        <f>IF(W1418="Phòng Kinh doanh","Trung tâm Kinh doanh - TCT CNC",+VLOOKUP($B1418,[2]Time_S4!$B:$G,5,0))</f>
        <v>Khối 1 - TCT CNC</v>
      </c>
      <c r="Z1418" s="366"/>
    </row>
    <row r="1419" spans="1:26" hidden="1">
      <c r="A1419" s="367">
        <f>SUBTOTAL(3,$B$15:B1419)</f>
        <v>2</v>
      </c>
      <c r="B1419" s="394" t="s">
        <v>3062</v>
      </c>
      <c r="C1419" s="314" t="s">
        <v>3063</v>
      </c>
      <c r="D1419" s="314" t="s">
        <v>3021</v>
      </c>
      <c r="E1419" s="314">
        <v>21</v>
      </c>
      <c r="F1419" s="314">
        <v>21</v>
      </c>
      <c r="H1419" s="359">
        <f t="shared" si="45"/>
        <v>0</v>
      </c>
      <c r="K1419" s="362">
        <v>13483295</v>
      </c>
      <c r="M1419" s="361"/>
      <c r="N1419" s="361"/>
      <c r="O1419" s="361"/>
      <c r="P1419" s="361"/>
      <c r="Q1419" s="361"/>
      <c r="R1419" s="361"/>
      <c r="S1419" s="361"/>
      <c r="T1419" s="390">
        <v>365000</v>
      </c>
      <c r="U1419" s="364">
        <f t="shared" si="44"/>
        <v>13848295</v>
      </c>
      <c r="W1419" s="365" t="str">
        <f>+VLOOKUP($B1419,[2]Time_S4!$B:$G,6,0)</f>
        <v>Trung tâm Chỉ huy điều khiển</v>
      </c>
      <c r="X1419" s="365" t="str">
        <f>IF(W1419="Phòng Kinh doanh","Trung tâm Kinh doanh - TCT CNC",+VLOOKUP($B1419,[2]Time_S4!$B:$G,5,0))</f>
        <v>Khối 1 - TCT CNC</v>
      </c>
      <c r="Z1419" s="366"/>
    </row>
    <row r="1420" spans="1:26" hidden="1">
      <c r="A1420" s="367">
        <f>SUBTOTAL(3,$B$15:B1420)</f>
        <v>2</v>
      </c>
      <c r="B1420" s="394" t="s">
        <v>3064</v>
      </c>
      <c r="C1420" s="314" t="s">
        <v>3065</v>
      </c>
      <c r="D1420" s="314" t="s">
        <v>3021</v>
      </c>
      <c r="E1420" s="314">
        <v>21</v>
      </c>
      <c r="F1420" s="314">
        <v>21</v>
      </c>
      <c r="H1420" s="359">
        <f t="shared" si="45"/>
        <v>0</v>
      </c>
      <c r="K1420" s="362">
        <v>14209178</v>
      </c>
      <c r="M1420" s="361"/>
      <c r="N1420" s="361"/>
      <c r="O1420" s="361"/>
      <c r="P1420" s="361"/>
      <c r="Q1420" s="361"/>
      <c r="R1420" s="361"/>
      <c r="S1420" s="361"/>
      <c r="T1420" s="390">
        <v>365000</v>
      </c>
      <c r="U1420" s="364">
        <f t="shared" si="44"/>
        <v>14574178</v>
      </c>
      <c r="W1420" s="365" t="str">
        <f>+VLOOKUP($B1420,[2]Time_S4!$B:$G,6,0)</f>
        <v>Văn phòng</v>
      </c>
      <c r="X1420" s="365" t="str">
        <f>IF(W1420="Phòng Kinh doanh","Trung tâm Kinh doanh - TCT CNC",+VLOOKUP($B1420,[2]Time_S4!$B:$G,5,0))</f>
        <v>Khối cơ quan - TCT CNC</v>
      </c>
      <c r="Z1420" s="366"/>
    </row>
    <row r="1421" spans="1:26" hidden="1">
      <c r="A1421" s="367">
        <f>SUBTOTAL(3,$B$15:B1421)</f>
        <v>2</v>
      </c>
      <c r="B1421" s="394" t="s">
        <v>3066</v>
      </c>
      <c r="C1421" s="314" t="s">
        <v>3067</v>
      </c>
      <c r="D1421" s="314" t="s">
        <v>3021</v>
      </c>
      <c r="E1421" s="314">
        <v>21</v>
      </c>
      <c r="F1421" s="314">
        <v>21</v>
      </c>
      <c r="H1421" s="359">
        <f t="shared" si="45"/>
        <v>0</v>
      </c>
      <c r="K1421" s="362">
        <v>14209178</v>
      </c>
      <c r="M1421" s="361"/>
      <c r="N1421" s="361"/>
      <c r="O1421" s="361"/>
      <c r="P1421" s="361"/>
      <c r="Q1421" s="361"/>
      <c r="R1421" s="361"/>
      <c r="S1421" s="361"/>
      <c r="T1421" s="390">
        <v>365000</v>
      </c>
      <c r="U1421" s="364">
        <f t="shared" si="44"/>
        <v>14574178</v>
      </c>
      <c r="W1421" s="365" t="str">
        <f>+VLOOKUP($B1421,[2]Time_S4!$B:$G,6,0)</f>
        <v>Trung tâm Rada</v>
      </c>
      <c r="X1421" s="365" t="str">
        <f>IF(W1421="Phòng Kinh doanh","Trung tâm Kinh doanh - TCT CNC",+VLOOKUP($B1421,[2]Time_S4!$B:$G,5,0))</f>
        <v>Khối 1 - TCT CNC</v>
      </c>
      <c r="Z1421" s="366"/>
    </row>
    <row r="1422" spans="1:26" hidden="1">
      <c r="A1422" s="367">
        <f>SUBTOTAL(3,$B$15:B1422)</f>
        <v>2</v>
      </c>
      <c r="B1422" s="394" t="s">
        <v>3068</v>
      </c>
      <c r="C1422" s="314" t="s">
        <v>3069</v>
      </c>
      <c r="D1422" s="314" t="s">
        <v>3032</v>
      </c>
      <c r="E1422" s="314">
        <v>21</v>
      </c>
      <c r="F1422" s="314">
        <v>21</v>
      </c>
      <c r="H1422" s="359">
        <f t="shared" si="45"/>
        <v>0</v>
      </c>
      <c r="K1422" s="362">
        <v>4000000</v>
      </c>
      <c r="M1422" s="361"/>
      <c r="N1422" s="361"/>
      <c r="O1422" s="361"/>
      <c r="P1422" s="361"/>
      <c r="Q1422" s="361"/>
      <c r="R1422" s="361"/>
      <c r="S1422" s="361"/>
      <c r="T1422" s="390">
        <v>365000</v>
      </c>
      <c r="U1422" s="364">
        <f t="shared" si="44"/>
        <v>4365000</v>
      </c>
      <c r="W1422" s="365" t="str">
        <f>+VLOOKUP($B1422,[2]Time_S4!$B:$G,6,0)</f>
        <v>Trung tâm Rada</v>
      </c>
      <c r="X1422" s="365" t="str">
        <f>IF(W1422="Phòng Kinh doanh","Trung tâm Kinh doanh - TCT CNC",+VLOOKUP($B1422,[2]Time_S4!$B:$G,5,0))</f>
        <v>Khối 1 - TCT CNC</v>
      </c>
      <c r="Z1422" s="366"/>
    </row>
    <row r="1423" spans="1:26" hidden="1">
      <c r="A1423" s="367">
        <f>SUBTOTAL(3,$B$15:B1423)</f>
        <v>2</v>
      </c>
      <c r="B1423" s="394" t="s">
        <v>3070</v>
      </c>
      <c r="C1423" s="314" t="s">
        <v>3071</v>
      </c>
      <c r="D1423" s="314" t="s">
        <v>3021</v>
      </c>
      <c r="E1423" s="314">
        <v>21</v>
      </c>
      <c r="F1423" s="314">
        <v>21</v>
      </c>
      <c r="H1423" s="359">
        <f t="shared" si="45"/>
        <v>0</v>
      </c>
      <c r="K1423" s="362">
        <v>17163149</v>
      </c>
      <c r="M1423" s="361"/>
      <c r="N1423" s="361"/>
      <c r="O1423" s="361"/>
      <c r="P1423" s="361"/>
      <c r="Q1423" s="361"/>
      <c r="R1423" s="361"/>
      <c r="S1423" s="361"/>
      <c r="T1423" s="390">
        <v>365000</v>
      </c>
      <c r="U1423" s="364">
        <f t="shared" ref="U1423:U1489" si="46">+SUM(H1423:T1423)</f>
        <v>17528149</v>
      </c>
      <c r="W1423" s="365" t="str">
        <f>+VLOOKUP($B1423,[2]Time_S4!$B:$G,6,0)</f>
        <v>Trung tâm Camera</v>
      </c>
      <c r="X1423" s="365" t="str">
        <f>IF(W1423="Phòng Kinh doanh","Trung tâm Kinh doanh - TCT CNC",+VLOOKUP($B1423,[2]Time_S4!$B:$G,5,0))</f>
        <v>Khối 3 - TCT CNC</v>
      </c>
      <c r="Z1423" s="366"/>
    </row>
    <row r="1424" spans="1:26" hidden="1">
      <c r="A1424" s="367">
        <f>SUBTOTAL(3,$B$15:B1424)</f>
        <v>2</v>
      </c>
      <c r="B1424" s="394" t="s">
        <v>3072</v>
      </c>
      <c r="C1424" s="314" t="s">
        <v>2494</v>
      </c>
      <c r="D1424" s="314" t="s">
        <v>3021</v>
      </c>
      <c r="E1424" s="314">
        <v>21</v>
      </c>
      <c r="F1424" s="314">
        <v>21</v>
      </c>
      <c r="H1424" s="359">
        <f>+G1424-SUM(M1424,O1424,Q1424)</f>
        <v>0</v>
      </c>
      <c r="K1424" s="362">
        <v>17898535</v>
      </c>
      <c r="M1424" s="361"/>
      <c r="N1424" s="361"/>
      <c r="O1424" s="361"/>
      <c r="P1424" s="361"/>
      <c r="Q1424" s="361"/>
      <c r="R1424" s="361"/>
      <c r="S1424" s="361"/>
      <c r="T1424" s="396">
        <v>365000</v>
      </c>
      <c r="U1424" s="364">
        <f t="shared" si="46"/>
        <v>18263535</v>
      </c>
      <c r="W1424" s="365" t="str">
        <f>+VLOOKUP($B1424,[2]Time_S4!$B:$G,6,0)</f>
        <v>Trung tâm Nền tảng IOT</v>
      </c>
      <c r="X1424" s="365" t="str">
        <f>IF(W1424="Phòng Kinh doanh","Trung tâm Kinh doanh - TCT CNC",+VLOOKUP($B1424,[2]Time_S4!$B:$G,5,0))</f>
        <v>Khối 3 - TCT CNC</v>
      </c>
      <c r="Z1424" s="366"/>
    </row>
    <row r="1425" spans="1:26" hidden="1">
      <c r="A1425" s="367">
        <f>SUBTOTAL(3,$B$15:B1425)</f>
        <v>2</v>
      </c>
      <c r="B1425" s="394" t="s">
        <v>3073</v>
      </c>
      <c r="C1425" s="314" t="s">
        <v>3074</v>
      </c>
      <c r="D1425" s="314" t="s">
        <v>3021</v>
      </c>
      <c r="E1425" s="314">
        <v>21</v>
      </c>
      <c r="F1425" s="314">
        <v>21</v>
      </c>
      <c r="H1425" s="359">
        <f t="shared" ref="H1425:H1491" si="47">+G1425-SUM(M1425,O1425,Q1425)</f>
        <v>0</v>
      </c>
      <c r="K1425" s="362">
        <v>11900000</v>
      </c>
      <c r="M1425" s="361"/>
      <c r="N1425" s="361"/>
      <c r="O1425" s="361"/>
      <c r="P1425" s="361"/>
      <c r="Q1425" s="361"/>
      <c r="R1425" s="361"/>
      <c r="S1425" s="361"/>
      <c r="T1425" s="396">
        <v>365000</v>
      </c>
      <c r="U1425" s="364">
        <f t="shared" si="46"/>
        <v>12265000</v>
      </c>
      <c r="W1425" s="365" t="str">
        <f>+VLOOKUP($B1425,[2]Time_S4!$B:$G,6,0)</f>
        <v>Trung tâm Nghiên cứu Công nghệ truyền dẫn</v>
      </c>
      <c r="X1425" s="365" t="str">
        <f>IF(W1425="Phòng Kinh doanh","Trung tâm Kinh doanh - TCT CNC",+VLOOKUP($B1425,[2]Time_S4!$B:$G,5,0))</f>
        <v>Khối 2 - TCT CNC</v>
      </c>
      <c r="Z1425" s="366"/>
    </row>
    <row r="1426" spans="1:26" hidden="1">
      <c r="A1426" s="367">
        <f>SUBTOTAL(3,$B$15:B1426)</f>
        <v>2</v>
      </c>
      <c r="B1426" s="394" t="s">
        <v>3075</v>
      </c>
      <c r="C1426" s="314" t="s">
        <v>3076</v>
      </c>
      <c r="D1426" s="314" t="s">
        <v>3032</v>
      </c>
      <c r="E1426" s="314">
        <v>21</v>
      </c>
      <c r="F1426" s="314">
        <v>21</v>
      </c>
      <c r="H1426" s="359">
        <f t="shared" si="47"/>
        <v>0</v>
      </c>
      <c r="K1426" s="362">
        <v>4000000</v>
      </c>
      <c r="M1426" s="361"/>
      <c r="N1426" s="361"/>
      <c r="O1426" s="361"/>
      <c r="P1426" s="361"/>
      <c r="Q1426" s="361"/>
      <c r="R1426" s="361"/>
      <c r="S1426" s="361"/>
      <c r="T1426" s="396">
        <v>365000</v>
      </c>
      <c r="U1426" s="364">
        <f t="shared" si="46"/>
        <v>4365000</v>
      </c>
      <c r="W1426" s="365" t="str">
        <f>+VLOOKUP($B1426,[2]Time_S4!$B:$G,6,0)</f>
        <v>Trung tâm Nghiên cứu Công nghệ truyền dẫn</v>
      </c>
      <c r="X1426" s="365" t="str">
        <f>IF(W1426="Phòng Kinh doanh","Trung tâm Kinh doanh - TCT CNC",+VLOOKUP($B1426,[2]Time_S4!$B:$G,5,0))</f>
        <v>Khối 2 - TCT CNC</v>
      </c>
      <c r="Z1426" s="366"/>
    </row>
    <row r="1427" spans="1:26" hidden="1">
      <c r="A1427" s="367">
        <f>SUBTOTAL(3,$B$15:B1427)</f>
        <v>2</v>
      </c>
      <c r="B1427" s="394" t="s">
        <v>3077</v>
      </c>
      <c r="C1427" s="314" t="s">
        <v>3078</v>
      </c>
      <c r="D1427" s="314" t="s">
        <v>3032</v>
      </c>
      <c r="E1427" s="314">
        <v>21</v>
      </c>
      <c r="F1427" s="314">
        <v>21</v>
      </c>
      <c r="H1427" s="359">
        <f t="shared" si="47"/>
        <v>0</v>
      </c>
      <c r="K1427" s="362">
        <v>4000000</v>
      </c>
      <c r="M1427" s="361"/>
      <c r="N1427" s="361"/>
      <c r="O1427" s="361"/>
      <c r="P1427" s="361"/>
      <c r="Q1427" s="361"/>
      <c r="R1427" s="361"/>
      <c r="S1427" s="361"/>
      <c r="T1427" s="396">
        <v>365000</v>
      </c>
      <c r="U1427" s="364">
        <f t="shared" si="46"/>
        <v>4365000</v>
      </c>
      <c r="W1427" s="365" t="str">
        <f>+VLOOKUP($B1427,[2]Time_S4!$B:$G,6,0)</f>
        <v>Trung tâm Kỹ thuật công nghệ - TCT CNC</v>
      </c>
      <c r="X1427" s="365" t="str">
        <f>IF(W1427="Phòng Kinh doanh","Trung tâm Kinh doanh - TCT CNC",+VLOOKUP($B1427,[2]Time_S4!$B:$G,5,0))</f>
        <v>Khối 2 - TCT CNC</v>
      </c>
      <c r="Z1427" s="366"/>
    </row>
    <row r="1428" spans="1:26" hidden="1">
      <c r="A1428" s="367">
        <f>SUBTOTAL(3,$B$15:B1428)</f>
        <v>2</v>
      </c>
      <c r="B1428" s="394" t="s">
        <v>3079</v>
      </c>
      <c r="C1428" s="314" t="s">
        <v>3080</v>
      </c>
      <c r="D1428" s="314" t="s">
        <v>3021</v>
      </c>
      <c r="E1428" s="314">
        <v>21</v>
      </c>
      <c r="F1428" s="314">
        <v>21</v>
      </c>
      <c r="H1428" s="359">
        <f t="shared" si="47"/>
        <v>0</v>
      </c>
      <c r="K1428" s="362">
        <v>74971000</v>
      </c>
      <c r="M1428" s="361"/>
      <c r="N1428" s="361"/>
      <c r="O1428" s="361"/>
      <c r="P1428" s="361"/>
      <c r="Q1428" s="361"/>
      <c r="R1428" s="361"/>
      <c r="S1428" s="361"/>
      <c r="T1428" s="396">
        <v>365000</v>
      </c>
      <c r="U1428" s="364">
        <f t="shared" si="46"/>
        <v>75336000</v>
      </c>
      <c r="W1428" s="365" t="str">
        <f>+VLOOKUP($B1428,[2]Time_S4!$B:$G,6,0)</f>
        <v>Phòng Phát triển thị trường Quốc tế</v>
      </c>
      <c r="X1428" s="365" t="str">
        <f>IF(W1428="Phòng Kinh doanh","Trung tâm Kinh doanh - TCT CNC",+VLOOKUP($B1428,[2]Time_S4!$B:$G,5,0))</f>
        <v>Trung tâm Kinh doanh - TCT CNC</v>
      </c>
      <c r="Z1428" s="366"/>
    </row>
    <row r="1429" spans="1:26" hidden="1">
      <c r="A1429" s="367">
        <f>SUBTOTAL(3,$B$15:B1429)</f>
        <v>2</v>
      </c>
      <c r="B1429" s="394" t="s">
        <v>3081</v>
      </c>
      <c r="C1429" s="314" t="s">
        <v>654</v>
      </c>
      <c r="D1429" s="314" t="s">
        <v>3032</v>
      </c>
      <c r="E1429" s="314">
        <v>21</v>
      </c>
      <c r="F1429" s="314">
        <v>21</v>
      </c>
      <c r="H1429" s="359">
        <f t="shared" si="47"/>
        <v>0</v>
      </c>
      <c r="K1429" s="362">
        <v>4000000</v>
      </c>
      <c r="M1429" s="361"/>
      <c r="N1429" s="361"/>
      <c r="O1429" s="361"/>
      <c r="P1429" s="361"/>
      <c r="Q1429" s="361"/>
      <c r="R1429" s="361"/>
      <c r="S1429" s="361"/>
      <c r="T1429" s="396">
        <v>365000</v>
      </c>
      <c r="U1429" s="364">
        <f t="shared" si="46"/>
        <v>4365000</v>
      </c>
      <c r="W1429" s="365" t="str">
        <f>+VLOOKUP($B1429,[2]Time_S4!$B:$G,6,0)</f>
        <v>Trung tâm Quang điện tử</v>
      </c>
      <c r="X1429" s="365" t="str">
        <f>IF(W1429="Phòng Kinh doanh","Trung tâm Kinh doanh - TCT CNC",+VLOOKUP($B1429,[2]Time_S4!$B:$G,5,0))</f>
        <v>Khối 1 - TCT CNC</v>
      </c>
      <c r="Z1429" s="366"/>
    </row>
    <row r="1430" spans="1:26" hidden="1">
      <c r="A1430" s="367">
        <f>SUBTOTAL(3,$B$15:B1430)</f>
        <v>2</v>
      </c>
      <c r="B1430" s="394" t="s">
        <v>3082</v>
      </c>
      <c r="C1430" s="314" t="s">
        <v>3083</v>
      </c>
      <c r="D1430" s="314" t="s">
        <v>3032</v>
      </c>
      <c r="E1430" s="314">
        <v>21</v>
      </c>
      <c r="F1430" s="314">
        <v>21</v>
      </c>
      <c r="H1430" s="359">
        <f t="shared" si="47"/>
        <v>0</v>
      </c>
      <c r="K1430" s="362">
        <v>4000000</v>
      </c>
      <c r="M1430" s="361"/>
      <c r="N1430" s="361"/>
      <c r="O1430" s="361"/>
      <c r="P1430" s="361"/>
      <c r="Q1430" s="361"/>
      <c r="R1430" s="361"/>
      <c r="S1430" s="361"/>
      <c r="T1430" s="396">
        <v>365000</v>
      </c>
      <c r="U1430" s="364">
        <f t="shared" si="46"/>
        <v>4365000</v>
      </c>
      <c r="W1430" s="365" t="str">
        <f>+VLOOKUP($B1430,[2]Time_S4!$B:$G,6,0)</f>
        <v>Trung tâm Mô hình mô phỏng</v>
      </c>
      <c r="X1430" s="365" t="str">
        <f>IF(W1430="Phòng Kinh doanh","Trung tâm Kinh doanh - TCT CNC",+VLOOKUP($B1430,[2]Time_S4!$B:$G,5,0))</f>
        <v>Khối 1 - TCT CNC</v>
      </c>
      <c r="Z1430" s="366"/>
    </row>
    <row r="1431" spans="1:26" hidden="1">
      <c r="A1431" s="367">
        <f>SUBTOTAL(3,$B$15:B1431)</f>
        <v>2</v>
      </c>
      <c r="B1431" s="394" t="s">
        <v>3084</v>
      </c>
      <c r="C1431" s="314" t="s">
        <v>3085</v>
      </c>
      <c r="D1431" s="314" t="s">
        <v>3032</v>
      </c>
      <c r="E1431" s="314">
        <v>21</v>
      </c>
      <c r="F1431" s="314">
        <v>21</v>
      </c>
      <c r="H1431" s="359">
        <f t="shared" si="47"/>
        <v>0</v>
      </c>
      <c r="K1431" s="362">
        <v>4000000</v>
      </c>
      <c r="M1431" s="361"/>
      <c r="N1431" s="361"/>
      <c r="O1431" s="361"/>
      <c r="P1431" s="361"/>
      <c r="Q1431" s="361"/>
      <c r="R1431" s="361"/>
      <c r="S1431" s="361"/>
      <c r="T1431" s="396">
        <v>365000</v>
      </c>
      <c r="U1431" s="364">
        <f t="shared" si="46"/>
        <v>4365000</v>
      </c>
      <c r="W1431" s="365" t="str">
        <f>+VLOOKUP($B1431,[2]Time_S4!$B:$G,6,0)</f>
        <v>Trung tâm Chỉ huy điều khiển</v>
      </c>
      <c r="X1431" s="365" t="str">
        <f>IF(W1431="Phòng Kinh doanh","Trung tâm Kinh doanh - TCT CNC",+VLOOKUP($B1431,[2]Time_S4!$B:$G,5,0))</f>
        <v>Khối 1 - TCT CNC</v>
      </c>
      <c r="Z1431" s="366"/>
    </row>
    <row r="1432" spans="1:26" hidden="1">
      <c r="A1432" s="367">
        <f>SUBTOTAL(3,$B$15:B1432)</f>
        <v>2</v>
      </c>
      <c r="B1432" s="394" t="s">
        <v>3086</v>
      </c>
      <c r="C1432" s="314" t="s">
        <v>3087</v>
      </c>
      <c r="D1432" s="314" t="s">
        <v>3021</v>
      </c>
      <c r="E1432" s="314">
        <v>21</v>
      </c>
      <c r="F1432" s="314">
        <v>21</v>
      </c>
      <c r="H1432" s="359">
        <f t="shared" si="47"/>
        <v>0</v>
      </c>
      <c r="K1432" s="362">
        <v>23421240</v>
      </c>
      <c r="M1432" s="361"/>
      <c r="N1432" s="361"/>
      <c r="O1432" s="361"/>
      <c r="P1432" s="361"/>
      <c r="Q1432" s="361"/>
      <c r="R1432" s="361"/>
      <c r="S1432" s="361"/>
      <c r="T1432" s="396">
        <v>365000</v>
      </c>
      <c r="U1432" s="364">
        <f t="shared" si="46"/>
        <v>23786240</v>
      </c>
      <c r="W1432" s="365" t="str">
        <f>+VLOOKUP($B1432,[2]Time_S4!$B:$G,6,0)</f>
        <v>Phòng Marketing</v>
      </c>
      <c r="X1432" s="365" t="str">
        <f>IF(W1432="Phòng Kinh doanh","Trung tâm Kinh doanh - TCT CNC",+VLOOKUP($B1432,[2]Time_S4!$B:$G,5,0))</f>
        <v>Trung tâm Kinh doanh - TCT CNC</v>
      </c>
      <c r="Z1432" s="366"/>
    </row>
    <row r="1433" spans="1:26" hidden="1">
      <c r="A1433" s="367">
        <f>SUBTOTAL(3,$B$15:B1433)</f>
        <v>2</v>
      </c>
      <c r="B1433" s="394" t="s">
        <v>3088</v>
      </c>
      <c r="C1433" s="314" t="s">
        <v>3089</v>
      </c>
      <c r="D1433" s="314" t="s">
        <v>3021</v>
      </c>
      <c r="E1433" s="314">
        <v>21</v>
      </c>
      <c r="F1433" s="314">
        <v>21</v>
      </c>
      <c r="H1433" s="359">
        <f t="shared" si="47"/>
        <v>0</v>
      </c>
      <c r="K1433" s="362">
        <v>9160892</v>
      </c>
      <c r="M1433" s="361"/>
      <c r="N1433" s="361"/>
      <c r="O1433" s="361"/>
      <c r="P1433" s="361"/>
      <c r="Q1433" s="361"/>
      <c r="R1433" s="361"/>
      <c r="S1433" s="361"/>
      <c r="T1433" s="396">
        <v>365000</v>
      </c>
      <c r="U1433" s="364">
        <f t="shared" si="46"/>
        <v>9525892</v>
      </c>
      <c r="W1433" s="365" t="str">
        <f>+VLOOKUP($B1433,[2]Time_S4!$B:$G,6,0)</f>
        <v>Trung tâm dịch vụ sau bán hàng</v>
      </c>
      <c r="X1433" s="365" t="str">
        <f>IF(W1433="Phòng Kinh doanh","Trung tâm Kinh doanh - TCT CNC",+VLOOKUP($B1433,[2]Time_S4!$B:$G,5,0))</f>
        <v>Khối 1 - TCT CNC</v>
      </c>
      <c r="Z1433" s="366"/>
    </row>
    <row r="1434" spans="1:26" hidden="1">
      <c r="A1434" s="367">
        <f>SUBTOTAL(3,$B$15:B1434)</f>
        <v>2</v>
      </c>
      <c r="B1434" s="394" t="s">
        <v>3090</v>
      </c>
      <c r="C1434" s="314" t="s">
        <v>3091</v>
      </c>
      <c r="D1434" s="314" t="s">
        <v>3021</v>
      </c>
      <c r="E1434" s="314">
        <v>21</v>
      </c>
      <c r="F1434" s="314">
        <v>21</v>
      </c>
      <c r="G1434" s="361"/>
      <c r="H1434" s="359">
        <f t="shared" si="47"/>
        <v>0</v>
      </c>
      <c r="I1434" s="361"/>
      <c r="K1434" s="362">
        <v>12013254</v>
      </c>
      <c r="M1434" s="361"/>
      <c r="N1434" s="361"/>
      <c r="O1434" s="361"/>
      <c r="P1434" s="361"/>
      <c r="Q1434" s="361"/>
      <c r="R1434" s="361"/>
      <c r="S1434" s="361"/>
      <c r="T1434" s="396">
        <v>365000</v>
      </c>
      <c r="U1434" s="364">
        <f t="shared" si="46"/>
        <v>12378254</v>
      </c>
      <c r="W1434" s="365" t="str">
        <f>+VLOOKUP($B1434,[2]Time_S4!$B:$G,6,0)</f>
        <v>Trung tâm Khí cụ bay</v>
      </c>
      <c r="X1434" s="365" t="str">
        <f>IF(W1434="Phòng Kinh doanh","Trung tâm Kinh doanh - TCT CNC",+VLOOKUP($B1434,[2]Time_S4!$B:$G,5,0))</f>
        <v>Khối 1 - TCT CNC</v>
      </c>
      <c r="Z1434" s="366"/>
    </row>
    <row r="1435" spans="1:26" hidden="1">
      <c r="A1435" s="367">
        <f>SUBTOTAL(3,$B$15:B1435)</f>
        <v>2</v>
      </c>
      <c r="B1435" s="394" t="s">
        <v>3092</v>
      </c>
      <c r="C1435" s="314" t="s">
        <v>3093</v>
      </c>
      <c r="D1435" s="314" t="s">
        <v>3021</v>
      </c>
      <c r="E1435" s="314">
        <v>21</v>
      </c>
      <c r="F1435" s="314">
        <v>21</v>
      </c>
      <c r="H1435" s="359">
        <f t="shared" si="47"/>
        <v>0</v>
      </c>
      <c r="K1435" s="362">
        <v>11050000</v>
      </c>
      <c r="M1435" s="361"/>
      <c r="N1435" s="361"/>
      <c r="O1435" s="361"/>
      <c r="P1435" s="361"/>
      <c r="Q1435" s="361"/>
      <c r="R1435" s="361"/>
      <c r="S1435" s="361"/>
      <c r="T1435" s="396">
        <v>365000</v>
      </c>
      <c r="U1435" s="364">
        <f t="shared" si="46"/>
        <v>11415000</v>
      </c>
      <c r="W1435" s="365" t="str">
        <f>+VLOOKUP($B1435,[2]Time_S4!$B:$G,6,0)</f>
        <v>Trung tâm Khí cụ bay</v>
      </c>
      <c r="X1435" s="365" t="str">
        <f>IF(W1435="Phòng Kinh doanh","Trung tâm Kinh doanh - TCT CNC",+VLOOKUP($B1435,[2]Time_S4!$B:$G,5,0))</f>
        <v>Khối 1 - TCT CNC</v>
      </c>
      <c r="Z1435" s="366"/>
    </row>
    <row r="1436" spans="1:26" hidden="1">
      <c r="A1436" s="367">
        <f>SUBTOTAL(3,$B$15:B1436)</f>
        <v>2</v>
      </c>
      <c r="B1436" s="394" t="s">
        <v>3094</v>
      </c>
      <c r="C1436" s="314" t="s">
        <v>1069</v>
      </c>
      <c r="D1436" s="314" t="s">
        <v>3021</v>
      </c>
      <c r="E1436" s="314">
        <v>21</v>
      </c>
      <c r="F1436" s="314">
        <v>21</v>
      </c>
      <c r="H1436" s="359">
        <f t="shared" si="47"/>
        <v>0</v>
      </c>
      <c r="K1436" s="362">
        <v>11050000</v>
      </c>
      <c r="M1436" s="361"/>
      <c r="N1436" s="361"/>
      <c r="O1436" s="361"/>
      <c r="P1436" s="361"/>
      <c r="Q1436" s="361"/>
      <c r="R1436" s="361"/>
      <c r="S1436" s="361"/>
      <c r="T1436" s="396">
        <v>365000</v>
      </c>
      <c r="U1436" s="364">
        <f t="shared" si="46"/>
        <v>11415000</v>
      </c>
      <c r="W1436" s="365" t="str">
        <f>+VLOOKUP($B1436,[2]Time_S4!$B:$G,6,0)</f>
        <v>Trung tâm Quang điện tử</v>
      </c>
      <c r="X1436" s="365" t="str">
        <f>IF(W1436="Phòng Kinh doanh","Trung tâm Kinh doanh - TCT CNC",+VLOOKUP($B1436,[2]Time_S4!$B:$G,5,0))</f>
        <v>Khối 1 - TCT CNC</v>
      </c>
      <c r="Z1436" s="366"/>
    </row>
    <row r="1437" spans="1:26" hidden="1">
      <c r="A1437" s="367">
        <f>SUBTOTAL(3,$B$15:B1437)</f>
        <v>2</v>
      </c>
      <c r="B1437" s="394" t="s">
        <v>3095</v>
      </c>
      <c r="C1437" s="314" t="s">
        <v>3096</v>
      </c>
      <c r="D1437" s="314" t="s">
        <v>3021</v>
      </c>
      <c r="E1437" s="314">
        <v>21</v>
      </c>
      <c r="F1437" s="314">
        <v>21</v>
      </c>
      <c r="H1437" s="359">
        <f t="shared" si="47"/>
        <v>0</v>
      </c>
      <c r="K1437" s="362">
        <v>11050000</v>
      </c>
      <c r="M1437" s="361"/>
      <c r="N1437" s="361"/>
      <c r="O1437" s="361"/>
      <c r="P1437" s="361"/>
      <c r="Q1437" s="361"/>
      <c r="R1437" s="361"/>
      <c r="S1437" s="361"/>
      <c r="T1437" s="396">
        <v>365000</v>
      </c>
      <c r="U1437" s="364">
        <f t="shared" si="46"/>
        <v>11415000</v>
      </c>
      <c r="W1437" s="365" t="str">
        <f>+VLOOKUP($B1437,[2]Time_S4!$B:$G,6,0)</f>
        <v>Trung tâm Quang điện tử</v>
      </c>
      <c r="X1437" s="365" t="str">
        <f>IF(W1437="Phòng Kinh doanh","Trung tâm Kinh doanh - TCT CNC",+VLOOKUP($B1437,[2]Time_S4!$B:$G,5,0))</f>
        <v>Khối 1 - TCT CNC</v>
      </c>
      <c r="Z1437" s="366"/>
    </row>
    <row r="1438" spans="1:26" hidden="1">
      <c r="A1438" s="367">
        <f>SUBTOTAL(3,$B$15:B1438)</f>
        <v>2</v>
      </c>
      <c r="B1438" s="394" t="s">
        <v>3097</v>
      </c>
      <c r="C1438" s="314" t="s">
        <v>3098</v>
      </c>
      <c r="D1438" s="314" t="s">
        <v>3021</v>
      </c>
      <c r="E1438" s="314">
        <v>21</v>
      </c>
      <c r="F1438" s="314">
        <v>21</v>
      </c>
      <c r="H1438" s="359">
        <f t="shared" si="47"/>
        <v>0</v>
      </c>
      <c r="K1438" s="362">
        <v>12750000</v>
      </c>
      <c r="M1438" s="361"/>
      <c r="N1438" s="361"/>
      <c r="O1438" s="361"/>
      <c r="P1438" s="361"/>
      <c r="Q1438" s="361"/>
      <c r="R1438" s="361"/>
      <c r="S1438" s="361"/>
      <c r="T1438" s="396">
        <v>365000</v>
      </c>
      <c r="U1438" s="364">
        <f t="shared" si="46"/>
        <v>13115000</v>
      </c>
      <c r="W1438" s="365" t="str">
        <f>+VLOOKUP($B1438,[2]Time_S4!$B:$G,6,0)</f>
        <v>Trung tâm Mô hình mô phỏng</v>
      </c>
      <c r="X1438" s="365" t="str">
        <f>IF(W1438="Phòng Kinh doanh","Trung tâm Kinh doanh - TCT CNC",+VLOOKUP($B1438,[2]Time_S4!$B:$G,5,0))</f>
        <v>Khối 1 - TCT CNC</v>
      </c>
      <c r="Z1438" s="366"/>
    </row>
    <row r="1439" spans="1:26" hidden="1">
      <c r="A1439" s="367">
        <f>SUBTOTAL(3,$B$15:B1439)</f>
        <v>2</v>
      </c>
      <c r="B1439" s="394" t="s">
        <v>3099</v>
      </c>
      <c r="C1439" s="314" t="s">
        <v>3100</v>
      </c>
      <c r="D1439" s="314" t="s">
        <v>3021</v>
      </c>
      <c r="E1439" s="314">
        <v>21</v>
      </c>
      <c r="F1439" s="314">
        <v>21</v>
      </c>
      <c r="H1439" s="359">
        <f t="shared" si="47"/>
        <v>0</v>
      </c>
      <c r="K1439" s="362">
        <v>9453292</v>
      </c>
      <c r="M1439" s="361"/>
      <c r="N1439" s="361"/>
      <c r="O1439" s="361"/>
      <c r="P1439" s="361"/>
      <c r="Q1439" s="361"/>
      <c r="R1439" s="361"/>
      <c r="S1439" s="361"/>
      <c r="T1439" s="396">
        <v>365000</v>
      </c>
      <c r="U1439" s="364">
        <f t="shared" si="46"/>
        <v>9818292</v>
      </c>
      <c r="W1439" s="365" t="str">
        <f>+VLOOKUP($B1439,[2]Time_S4!$B:$G,6,0)</f>
        <v>Trung tâm Nghiên cứu công nghệ Đa phương tiện</v>
      </c>
      <c r="X1439" s="365" t="str">
        <f>IF(W1439="Phòng Kinh doanh","Trung tâm Kinh doanh - TCT CNC",+VLOOKUP($B1439,[2]Time_S4!$B:$G,5,0))</f>
        <v>Khối 2 - TCT CNC</v>
      </c>
      <c r="Z1439" s="366"/>
    </row>
    <row r="1440" spans="1:26" hidden="1">
      <c r="A1440" s="367">
        <f>SUBTOTAL(3,$B$15:B1440)</f>
        <v>2</v>
      </c>
      <c r="B1440" s="394" t="s">
        <v>3101</v>
      </c>
      <c r="C1440" s="314" t="s">
        <v>3102</v>
      </c>
      <c r="D1440" s="314" t="s">
        <v>3021</v>
      </c>
      <c r="E1440" s="314">
        <v>21</v>
      </c>
      <c r="F1440" s="314">
        <v>21</v>
      </c>
      <c r="H1440" s="359">
        <f t="shared" si="47"/>
        <v>0</v>
      </c>
      <c r="K1440" s="362">
        <v>14450000</v>
      </c>
      <c r="M1440" s="361"/>
      <c r="N1440" s="361"/>
      <c r="O1440" s="361"/>
      <c r="P1440" s="361"/>
      <c r="Q1440" s="361"/>
      <c r="R1440" s="361"/>
      <c r="S1440" s="361"/>
      <c r="T1440" s="396">
        <v>365000</v>
      </c>
      <c r="U1440" s="364">
        <f t="shared" si="46"/>
        <v>14815000</v>
      </c>
      <c r="W1440" s="365" t="str">
        <f>+VLOOKUP($B1440,[2]Time_S4!$B:$G,6,0)</f>
        <v>Trung tâm Nghiên cứu thiết bị vô tuyến băng rộng</v>
      </c>
      <c r="X1440" s="365" t="str">
        <f>IF(W1440="Phòng Kinh doanh","Trung tâm Kinh doanh - TCT CNC",+VLOOKUP($B1440,[2]Time_S4!$B:$G,5,0))</f>
        <v>Khối 2 - TCT CNC</v>
      </c>
      <c r="Z1440" s="366"/>
    </row>
    <row r="1441" spans="1:26" hidden="1">
      <c r="A1441" s="367">
        <f>SUBTOTAL(3,$B$15:B1441)</f>
        <v>2</v>
      </c>
      <c r="B1441" s="394" t="s">
        <v>3103</v>
      </c>
      <c r="C1441" s="314" t="s">
        <v>3104</v>
      </c>
      <c r="D1441" s="314" t="s">
        <v>3021</v>
      </c>
      <c r="E1441" s="314">
        <v>21</v>
      </c>
      <c r="F1441" s="314">
        <v>21</v>
      </c>
      <c r="H1441" s="359">
        <f t="shared" si="47"/>
        <v>0</v>
      </c>
      <c r="K1441" s="362">
        <v>17829090</v>
      </c>
      <c r="M1441" s="361"/>
      <c r="N1441" s="361"/>
      <c r="O1441" s="361"/>
      <c r="P1441" s="361"/>
      <c r="Q1441" s="361"/>
      <c r="R1441" s="361"/>
      <c r="S1441" s="361"/>
      <c r="T1441" s="396">
        <v>365000</v>
      </c>
      <c r="U1441" s="364">
        <f t="shared" si="46"/>
        <v>18194090</v>
      </c>
      <c r="W1441" s="365" t="str">
        <f>+VLOOKUP($B1441,[2]Time_S4!$B:$G,6,0)</f>
        <v>Trung tâm sản xuất</v>
      </c>
      <c r="X1441" s="365" t="str">
        <f>IF(W1441="Phòng Kinh doanh","Trung tâm Kinh doanh - TCT CNC",+VLOOKUP($B1441,[2]Time_S4!$B:$G,5,0))</f>
        <v>Khối 1 - TCT CNC</v>
      </c>
      <c r="Z1441" s="366"/>
    </row>
    <row r="1442" spans="1:26" hidden="1">
      <c r="A1442" s="367">
        <f>SUBTOTAL(3,$B$15:B1442)</f>
        <v>2</v>
      </c>
      <c r="B1442" s="394" t="s">
        <v>3105</v>
      </c>
      <c r="C1442" s="314" t="s">
        <v>1969</v>
      </c>
      <c r="D1442" s="314" t="s">
        <v>3021</v>
      </c>
      <c r="E1442" s="314">
        <v>21</v>
      </c>
      <c r="F1442" s="314">
        <v>21</v>
      </c>
      <c r="H1442" s="359">
        <f t="shared" si="47"/>
        <v>0</v>
      </c>
      <c r="K1442" s="362">
        <v>17113900</v>
      </c>
      <c r="M1442" s="361"/>
      <c r="N1442" s="361"/>
      <c r="O1442" s="361"/>
      <c r="P1442" s="361"/>
      <c r="Q1442" s="361"/>
      <c r="R1442" s="361"/>
      <c r="S1442" s="361"/>
      <c r="T1442" s="396">
        <v>365000</v>
      </c>
      <c r="U1442" s="364">
        <f t="shared" si="46"/>
        <v>17478900</v>
      </c>
      <c r="W1442" s="365" t="str">
        <f>+VLOOKUP($B1442,[2]Time_S4!$B:$G,6,0)</f>
        <v>Trung tâm Camera</v>
      </c>
      <c r="X1442" s="365" t="str">
        <f>IF(W1442="Phòng Kinh doanh","Trung tâm Kinh doanh - TCT CNC",+VLOOKUP($B1442,[2]Time_S4!$B:$G,5,0))</f>
        <v>Khối 3 - TCT CNC</v>
      </c>
      <c r="Z1442" s="366"/>
    </row>
    <row r="1443" spans="1:26" hidden="1">
      <c r="A1443" s="367">
        <f>SUBTOTAL(3,$B$15:B1443)</f>
        <v>2</v>
      </c>
      <c r="B1443" s="394" t="s">
        <v>3106</v>
      </c>
      <c r="C1443" s="314" t="s">
        <v>3107</v>
      </c>
      <c r="D1443" s="314" t="s">
        <v>3021</v>
      </c>
      <c r="E1443" s="314">
        <v>21</v>
      </c>
      <c r="F1443" s="314">
        <v>21</v>
      </c>
      <c r="H1443" s="359">
        <f t="shared" si="47"/>
        <v>0</v>
      </c>
      <c r="K1443" s="362">
        <v>11050000</v>
      </c>
      <c r="M1443" s="361"/>
      <c r="N1443" s="361"/>
      <c r="O1443" s="361"/>
      <c r="P1443" s="361"/>
      <c r="Q1443" s="361"/>
      <c r="R1443" s="361"/>
      <c r="S1443" s="361"/>
      <c r="T1443" s="396">
        <v>365000</v>
      </c>
      <c r="U1443" s="364">
        <f t="shared" si="46"/>
        <v>11415000</v>
      </c>
      <c r="W1443" s="365" t="str">
        <f>+VLOOKUP($B1443,[2]Time_S4!$B:$G,6,0)</f>
        <v>Trung tâm Thông tin Quân sự</v>
      </c>
      <c r="X1443" s="365" t="str">
        <f>IF(W1443="Phòng Kinh doanh","Trung tâm Kinh doanh - TCT CNC",+VLOOKUP($B1443,[2]Time_S4!$B:$G,5,0))</f>
        <v>Khối 1 - TCT CNC</v>
      </c>
      <c r="Z1443" s="366"/>
    </row>
    <row r="1444" spans="1:26" hidden="1">
      <c r="A1444" s="367">
        <f>SUBTOTAL(3,$B$15:B1444)</f>
        <v>2</v>
      </c>
      <c r="B1444" s="394" t="s">
        <v>3108</v>
      </c>
      <c r="C1444" s="314" t="s">
        <v>3109</v>
      </c>
      <c r="D1444" s="314" t="s">
        <v>3032</v>
      </c>
      <c r="E1444" s="314">
        <v>21</v>
      </c>
      <c r="F1444" s="314">
        <v>21</v>
      </c>
      <c r="H1444" s="359">
        <f t="shared" si="47"/>
        <v>0</v>
      </c>
      <c r="K1444" s="362">
        <v>4000000</v>
      </c>
      <c r="M1444" s="361"/>
      <c r="N1444" s="361"/>
      <c r="O1444" s="361"/>
      <c r="P1444" s="361"/>
      <c r="Q1444" s="361"/>
      <c r="R1444" s="361"/>
      <c r="S1444" s="361"/>
      <c r="T1444" s="396">
        <v>365000</v>
      </c>
      <c r="U1444" s="364">
        <f t="shared" si="46"/>
        <v>4365000</v>
      </c>
      <c r="W1444" s="365" t="str">
        <f>+VLOOKUP($B1444,[2]Time_S4!$B:$G,6,0)</f>
        <v>Trung tâm Khí cụ bay</v>
      </c>
      <c r="X1444" s="365" t="str">
        <f>IF(W1444="Phòng Kinh doanh","Trung tâm Kinh doanh - TCT CNC",+VLOOKUP($B1444,[2]Time_S4!$B:$G,5,0))</f>
        <v>Khối 1 - TCT CNC</v>
      </c>
      <c r="Z1444" s="366"/>
    </row>
    <row r="1445" spans="1:26" hidden="1">
      <c r="A1445" s="367">
        <f>SUBTOTAL(3,$B$15:B1445)</f>
        <v>2</v>
      </c>
      <c r="B1445" s="394" t="s">
        <v>3110</v>
      </c>
      <c r="C1445" s="314" t="s">
        <v>3111</v>
      </c>
      <c r="D1445" s="314" t="s">
        <v>3021</v>
      </c>
      <c r="E1445" s="314">
        <v>21</v>
      </c>
      <c r="F1445" s="314">
        <v>21</v>
      </c>
      <c r="H1445" s="359">
        <f t="shared" si="47"/>
        <v>0</v>
      </c>
      <c r="K1445" s="362">
        <v>12513700</v>
      </c>
      <c r="M1445" s="361"/>
      <c r="N1445" s="361"/>
      <c r="O1445" s="361"/>
      <c r="P1445" s="361"/>
      <c r="Q1445" s="361"/>
      <c r="R1445" s="361"/>
      <c r="S1445" s="361"/>
      <c r="T1445" s="396">
        <v>365000</v>
      </c>
      <c r="U1445" s="364">
        <f t="shared" si="46"/>
        <v>12878700</v>
      </c>
      <c r="W1445" s="365" t="str">
        <f>+VLOOKUP($B1445,[2]Time_S4!$B:$G,6,0)</f>
        <v>Trung tâm Camera</v>
      </c>
      <c r="X1445" s="365" t="str">
        <f>IF(W1445="Phòng Kinh doanh","Trung tâm Kinh doanh - TCT CNC",+VLOOKUP($B1445,[2]Time_S4!$B:$G,5,0))</f>
        <v>Khối 3 - TCT CNC</v>
      </c>
      <c r="Z1445" s="366"/>
    </row>
    <row r="1446" spans="1:26" hidden="1">
      <c r="A1446" s="367">
        <f>SUBTOTAL(3,$B$15:B1446)</f>
        <v>2</v>
      </c>
      <c r="B1446" s="394" t="s">
        <v>3112</v>
      </c>
      <c r="C1446" s="314" t="s">
        <v>3113</v>
      </c>
      <c r="D1446" s="314" t="s">
        <v>3021</v>
      </c>
      <c r="E1446" s="314">
        <v>21</v>
      </c>
      <c r="F1446" s="314">
        <v>21</v>
      </c>
      <c r="H1446" s="359">
        <f t="shared" si="47"/>
        <v>0</v>
      </c>
      <c r="K1446" s="362">
        <v>14775550</v>
      </c>
      <c r="M1446" s="361"/>
      <c r="N1446" s="361"/>
      <c r="O1446" s="361"/>
      <c r="P1446" s="361"/>
      <c r="Q1446" s="361"/>
      <c r="R1446" s="361"/>
      <c r="S1446" s="361"/>
      <c r="T1446" s="396">
        <v>365000</v>
      </c>
      <c r="U1446" s="364">
        <f t="shared" si="46"/>
        <v>15140550</v>
      </c>
      <c r="W1446" s="365" t="str">
        <f>+VLOOKUP($B1446,[2]Time_S4!$B:$G,6,0)</f>
        <v>Phòng Quản lý chất lượng</v>
      </c>
      <c r="X1446" s="365" t="str">
        <f>IF(W1446="Phòng Kinh doanh","Trung tâm Kinh doanh - TCT CNC",+VLOOKUP($B1446,[2]Time_S4!$B:$G,5,0))</f>
        <v>Khối 3 - TCT CNC</v>
      </c>
      <c r="Z1446" s="366"/>
    </row>
    <row r="1447" spans="1:26" hidden="1">
      <c r="A1447" s="367">
        <f>SUBTOTAL(3,$B$15:B1447)</f>
        <v>2</v>
      </c>
      <c r="B1447" s="394" t="s">
        <v>3114</v>
      </c>
      <c r="C1447" s="314" t="s">
        <v>3115</v>
      </c>
      <c r="D1447" s="314" t="s">
        <v>3021</v>
      </c>
      <c r="E1447" s="314">
        <v>21</v>
      </c>
      <c r="F1447" s="314">
        <v>21</v>
      </c>
      <c r="H1447" s="359">
        <f t="shared" si="47"/>
        <v>0</v>
      </c>
      <c r="K1447" s="362">
        <v>19262581</v>
      </c>
      <c r="M1447" s="361"/>
      <c r="N1447" s="361"/>
      <c r="O1447" s="361"/>
      <c r="P1447" s="361"/>
      <c r="Q1447" s="361"/>
      <c r="R1447" s="361"/>
      <c r="S1447" s="361"/>
      <c r="T1447" s="396">
        <v>365000</v>
      </c>
      <c r="U1447" s="364">
        <f t="shared" si="46"/>
        <v>19627581</v>
      </c>
      <c r="W1447" s="365" t="str">
        <f>+VLOOKUP($B1447,[2]Time_S4!$B:$G,6,0)</f>
        <v>Trung tâm Camera</v>
      </c>
      <c r="X1447" s="365" t="str">
        <f>IF(W1447="Phòng Kinh doanh","Trung tâm Kinh doanh - TCT CNC",+VLOOKUP($B1447,[2]Time_S4!$B:$G,5,0))</f>
        <v>Khối 3 - TCT CNC</v>
      </c>
      <c r="Z1447" s="366"/>
    </row>
    <row r="1448" spans="1:26" hidden="1">
      <c r="A1448" s="367">
        <f>SUBTOTAL(3,$B$15:B1448)</f>
        <v>2</v>
      </c>
      <c r="B1448" s="394" t="s">
        <v>3116</v>
      </c>
      <c r="C1448" s="314" t="s">
        <v>3117</v>
      </c>
      <c r="D1448" s="314" t="s">
        <v>3021</v>
      </c>
      <c r="E1448" s="314">
        <v>21</v>
      </c>
      <c r="F1448" s="314">
        <v>19</v>
      </c>
      <c r="H1448" s="359">
        <f t="shared" si="47"/>
        <v>0</v>
      </c>
      <c r="K1448" s="362">
        <v>14088953</v>
      </c>
      <c r="M1448" s="361"/>
      <c r="N1448" s="361"/>
      <c r="O1448" s="361"/>
      <c r="P1448" s="361"/>
      <c r="Q1448" s="361"/>
      <c r="R1448" s="361"/>
      <c r="S1448" s="361"/>
      <c r="T1448" s="396">
        <v>330238</v>
      </c>
      <c r="U1448" s="364">
        <f t="shared" si="46"/>
        <v>14419191</v>
      </c>
      <c r="W1448" s="365" t="str">
        <f>+VLOOKUP($B1448,[2]Time_S4!$B:$G,6,0)</f>
        <v>Trung tâm Camera</v>
      </c>
      <c r="X1448" s="365" t="str">
        <f>IF(W1448="Phòng Kinh doanh","Trung tâm Kinh doanh - TCT CNC",+VLOOKUP($B1448,[2]Time_S4!$B:$G,5,0))</f>
        <v>Khối 3 - TCT CNC</v>
      </c>
      <c r="Z1448" s="366"/>
    </row>
    <row r="1449" spans="1:26" hidden="1">
      <c r="A1449" s="367">
        <f>SUBTOTAL(3,$B$15:B1449)</f>
        <v>2</v>
      </c>
      <c r="B1449" s="394" t="s">
        <v>3118</v>
      </c>
      <c r="C1449" s="314" t="s">
        <v>3119</v>
      </c>
      <c r="D1449" s="314" t="s">
        <v>3021</v>
      </c>
      <c r="E1449" s="314">
        <v>21</v>
      </c>
      <c r="F1449" s="314">
        <v>20</v>
      </c>
      <c r="H1449" s="359">
        <f t="shared" si="47"/>
        <v>0</v>
      </c>
      <c r="K1449" s="362">
        <v>11441194</v>
      </c>
      <c r="M1449" s="361"/>
      <c r="N1449" s="361"/>
      <c r="O1449" s="361"/>
      <c r="P1449" s="361"/>
      <c r="Q1449" s="361"/>
      <c r="R1449" s="361"/>
      <c r="S1449" s="361"/>
      <c r="T1449" s="396">
        <v>347620</v>
      </c>
      <c r="U1449" s="364">
        <f t="shared" si="46"/>
        <v>11788814</v>
      </c>
      <c r="W1449" s="365" t="str">
        <f>+VLOOKUP($B1449,[2]Time_S4!$B:$G,6,0)</f>
        <v>Trung tâm Camera</v>
      </c>
      <c r="X1449" s="365" t="str">
        <f>IF(W1449="Phòng Kinh doanh","Trung tâm Kinh doanh - TCT CNC",+VLOOKUP($B1449,[2]Time_S4!$B:$G,5,0))</f>
        <v>Khối 3 - TCT CNC</v>
      </c>
      <c r="Z1449" s="366"/>
    </row>
    <row r="1450" spans="1:26" hidden="1">
      <c r="A1450" s="367">
        <f>SUBTOTAL(3,$B$15:B1450)</f>
        <v>2</v>
      </c>
      <c r="B1450" s="394" t="s">
        <v>3120</v>
      </c>
      <c r="C1450" s="314" t="s">
        <v>720</v>
      </c>
      <c r="D1450" s="314" t="s">
        <v>3021</v>
      </c>
      <c r="E1450" s="314">
        <v>21</v>
      </c>
      <c r="F1450" s="314">
        <v>21</v>
      </c>
      <c r="H1450" s="359">
        <f t="shared" si="47"/>
        <v>0</v>
      </c>
      <c r="K1450" s="362">
        <v>11050000</v>
      </c>
      <c r="M1450" s="361"/>
      <c r="N1450" s="361"/>
      <c r="O1450" s="361"/>
      <c r="P1450" s="361"/>
      <c r="Q1450" s="361"/>
      <c r="R1450" s="361"/>
      <c r="S1450" s="361"/>
      <c r="T1450" s="396">
        <v>365000</v>
      </c>
      <c r="U1450" s="364">
        <f t="shared" si="46"/>
        <v>11415000</v>
      </c>
      <c r="W1450" s="365" t="str">
        <f>+VLOOKUP($B1450,[2]Time_S4!$B:$G,6,0)</f>
        <v>Trung tâm Nghiên cứu Công nghệ chuyển mạch</v>
      </c>
      <c r="X1450" s="365" t="str">
        <f>IF(W1450="Phòng Kinh doanh","Trung tâm Kinh doanh - TCT CNC",+VLOOKUP($B1450,[2]Time_S4!$B:$G,5,0))</f>
        <v>Khối 2 - TCT CNC</v>
      </c>
      <c r="Z1450" s="366"/>
    </row>
    <row r="1451" spans="1:26" hidden="1">
      <c r="A1451" s="367">
        <f>SUBTOTAL(3,$B$15:B1451)</f>
        <v>2</v>
      </c>
      <c r="B1451" s="394" t="s">
        <v>3121</v>
      </c>
      <c r="C1451" s="314" t="s">
        <v>3122</v>
      </c>
      <c r="D1451" s="314" t="s">
        <v>3021</v>
      </c>
      <c r="E1451" s="314">
        <v>21</v>
      </c>
      <c r="F1451" s="314">
        <v>21</v>
      </c>
      <c r="H1451" s="359">
        <f t="shared" si="47"/>
        <v>0</v>
      </c>
      <c r="K1451" s="362">
        <v>12750000</v>
      </c>
      <c r="M1451" s="361"/>
      <c r="N1451" s="361"/>
      <c r="O1451" s="361"/>
      <c r="P1451" s="361"/>
      <c r="Q1451" s="361"/>
      <c r="R1451" s="361"/>
      <c r="S1451" s="361"/>
      <c r="T1451" s="396">
        <v>365000</v>
      </c>
      <c r="U1451" s="364">
        <f t="shared" si="46"/>
        <v>13115000</v>
      </c>
      <c r="W1451" s="365" t="str">
        <f>+VLOOKUP($B1451,[2]Time_S4!$B:$G,6,0)</f>
        <v>Trung tâm Phát triển nền tảng thanh toán</v>
      </c>
      <c r="X1451" s="365" t="str">
        <f>IF(W1451="Phòng Kinh doanh","Trung tâm Kinh doanh - TCT CNC",+VLOOKUP($B1451,[2]Time_S4!$B:$G,5,0))</f>
        <v>Khối 2 - TCT CNC</v>
      </c>
      <c r="Z1451" s="366"/>
    </row>
    <row r="1452" spans="1:26" hidden="1">
      <c r="A1452" s="367">
        <f>SUBTOTAL(3,$B$15:B1452)</f>
        <v>2</v>
      </c>
      <c r="B1452" s="394" t="s">
        <v>3123</v>
      </c>
      <c r="C1452" s="314" t="s">
        <v>3124</v>
      </c>
      <c r="D1452" s="314" t="s">
        <v>3032</v>
      </c>
      <c r="E1452" s="314">
        <v>21</v>
      </c>
      <c r="F1452" s="314">
        <v>16</v>
      </c>
      <c r="H1452" s="359">
        <f t="shared" si="47"/>
        <v>0</v>
      </c>
      <c r="K1452" s="362">
        <v>3047619</v>
      </c>
      <c r="M1452" s="361"/>
      <c r="N1452" s="361"/>
      <c r="O1452" s="361"/>
      <c r="P1452" s="361"/>
      <c r="Q1452" s="361"/>
      <c r="R1452" s="361"/>
      <c r="S1452" s="361"/>
      <c r="T1452" s="396">
        <v>278095</v>
      </c>
      <c r="U1452" s="364">
        <f t="shared" si="46"/>
        <v>3325714</v>
      </c>
      <c r="W1452" s="365" t="str">
        <f>+VLOOKUP($B1452,[2]Time_S4!$B:$G,6,0)</f>
        <v>Trung tâm Chỉ huy điều khiển</v>
      </c>
      <c r="X1452" s="365" t="str">
        <f>IF(W1452="Phòng Kinh doanh","Trung tâm Kinh doanh - TCT CNC",+VLOOKUP($B1452,[2]Time_S4!$B:$G,5,0))</f>
        <v>Khối 1 - TCT CNC</v>
      </c>
      <c r="Z1452" s="366"/>
    </row>
    <row r="1453" spans="1:26" hidden="1">
      <c r="A1453" s="367">
        <f>SUBTOTAL(3,$B$15:B1453)</f>
        <v>2</v>
      </c>
      <c r="B1453" s="394" t="s">
        <v>3125</v>
      </c>
      <c r="C1453" s="314" t="s">
        <v>3126</v>
      </c>
      <c r="D1453" s="314" t="s">
        <v>3021</v>
      </c>
      <c r="E1453" s="314">
        <v>21</v>
      </c>
      <c r="F1453" s="314">
        <v>16</v>
      </c>
      <c r="H1453" s="359">
        <f t="shared" si="47"/>
        <v>0</v>
      </c>
      <c r="K1453" s="362">
        <v>9954410</v>
      </c>
      <c r="M1453" s="361"/>
      <c r="N1453" s="361"/>
      <c r="O1453" s="361"/>
      <c r="P1453" s="361"/>
      <c r="Q1453" s="361"/>
      <c r="R1453" s="361"/>
      <c r="S1453" s="361"/>
      <c r="T1453" s="396">
        <v>278095</v>
      </c>
      <c r="U1453" s="364">
        <f t="shared" si="46"/>
        <v>10232505</v>
      </c>
      <c r="W1453" s="365" t="str">
        <f>+VLOOKUP($B1453,[2]Time_S4!$B:$G,6,0)</f>
        <v>Trung tâm Kỹ thuật công nghệ - TCT CNC</v>
      </c>
      <c r="X1453" s="365" t="str">
        <f>IF(W1453="Phòng Kinh doanh","Trung tâm Kinh doanh - TCT CNC",+VLOOKUP($B1453,[2]Time_S4!$B:$G,5,0))</f>
        <v>Khối 2 - TCT CNC</v>
      </c>
      <c r="Z1453" s="366"/>
    </row>
    <row r="1454" spans="1:26" hidden="1">
      <c r="A1454" s="367">
        <f>SUBTOTAL(3,$B$15:B1454)</f>
        <v>2</v>
      </c>
      <c r="B1454" s="394" t="s">
        <v>3127</v>
      </c>
      <c r="C1454" s="314" t="s">
        <v>3128</v>
      </c>
      <c r="D1454" s="314" t="s">
        <v>3129</v>
      </c>
      <c r="E1454" s="314">
        <v>21</v>
      </c>
      <c r="F1454" s="314">
        <v>15</v>
      </c>
      <c r="H1454" s="359">
        <f t="shared" si="47"/>
        <v>0</v>
      </c>
      <c r="K1454" s="362">
        <v>2857143</v>
      </c>
      <c r="M1454" s="361"/>
      <c r="N1454" s="361"/>
      <c r="O1454" s="361"/>
      <c r="P1454" s="361"/>
      <c r="Q1454" s="361"/>
      <c r="R1454" s="361"/>
      <c r="S1454" s="361"/>
      <c r="T1454" s="396">
        <v>521429</v>
      </c>
      <c r="U1454" s="364">
        <f t="shared" si="46"/>
        <v>3378572</v>
      </c>
      <c r="W1454" s="365" t="str">
        <f>+VLOOKUP($B1454,[2]Time_S4!$B:$G,6,0)</f>
        <v>Trung tâm Khí cụ bay</v>
      </c>
      <c r="X1454" s="365" t="str">
        <f>IF(W1454="Phòng Kinh doanh","Trung tâm Kinh doanh - TCT CNC",+VLOOKUP($B1454,[2]Time_S4!$B:$G,5,0))</f>
        <v>Khối 1 - TCT CNC</v>
      </c>
      <c r="Z1454" s="366"/>
    </row>
    <row r="1455" spans="1:26" hidden="1">
      <c r="A1455" s="367">
        <f>SUBTOTAL(3,$B$15:B1455)</f>
        <v>2</v>
      </c>
      <c r="B1455" s="394" t="s">
        <v>3130</v>
      </c>
      <c r="C1455" s="314" t="s">
        <v>3131</v>
      </c>
      <c r="D1455" s="314" t="s">
        <v>3021</v>
      </c>
      <c r="E1455" s="314">
        <v>21</v>
      </c>
      <c r="F1455" s="314">
        <v>13</v>
      </c>
      <c r="H1455" s="359">
        <f t="shared" si="47"/>
        <v>0</v>
      </c>
      <c r="K1455" s="362">
        <v>8346802</v>
      </c>
      <c r="M1455" s="361"/>
      <c r="N1455" s="361"/>
      <c r="O1455" s="361"/>
      <c r="P1455" s="361"/>
      <c r="Q1455" s="361"/>
      <c r="R1455" s="361"/>
      <c r="S1455" s="361"/>
      <c r="T1455" s="396">
        <v>225952</v>
      </c>
      <c r="U1455" s="364">
        <f t="shared" si="46"/>
        <v>8572754</v>
      </c>
      <c r="W1455" s="365" t="str">
        <f>+VLOOKUP($B1455,[2]Time_S4!$B:$G,6,0)</f>
        <v>Trung tâm Camera</v>
      </c>
      <c r="X1455" s="365" t="str">
        <f>IF(W1455="Phòng Kinh doanh","Trung tâm Kinh doanh - TCT CNC",+VLOOKUP($B1455,[2]Time_S4!$B:$G,5,0))</f>
        <v>Khối 3 - TCT CNC</v>
      </c>
      <c r="Z1455" s="366"/>
    </row>
    <row r="1456" spans="1:26" hidden="1">
      <c r="A1456" s="367">
        <f>SUBTOTAL(3,$B$15:B1456)</f>
        <v>2</v>
      </c>
      <c r="B1456" s="394" t="s">
        <v>3132</v>
      </c>
      <c r="C1456" s="314" t="s">
        <v>638</v>
      </c>
      <c r="D1456" s="314" t="s">
        <v>3129</v>
      </c>
      <c r="E1456" s="314">
        <v>21</v>
      </c>
      <c r="F1456" s="314">
        <v>13</v>
      </c>
      <c r="H1456" s="359">
        <f t="shared" si="47"/>
        <v>0</v>
      </c>
      <c r="K1456" s="362">
        <v>2476190</v>
      </c>
      <c r="M1456" s="361"/>
      <c r="N1456" s="361"/>
      <c r="O1456" s="361"/>
      <c r="P1456" s="361"/>
      <c r="Q1456" s="361"/>
      <c r="R1456" s="361"/>
      <c r="S1456" s="361"/>
      <c r="T1456" s="396">
        <v>451905</v>
      </c>
      <c r="U1456" s="364">
        <f t="shared" si="46"/>
        <v>2928095</v>
      </c>
      <c r="W1456" s="365" t="str">
        <f>+VLOOKUP($B1456,[2]Time_S4!$B:$G,6,0)</f>
        <v>Trung tâm Nghiên cứu Công nghệ chuyển mạch</v>
      </c>
      <c r="X1456" s="365" t="str">
        <f>IF(W1456="Phòng Kinh doanh","Trung tâm Kinh doanh - TCT CNC",+VLOOKUP($B1456,[2]Time_S4!$B:$G,5,0))</f>
        <v>Khối 2 - TCT CNC</v>
      </c>
      <c r="Z1456" s="366"/>
    </row>
    <row r="1457" spans="1:26" hidden="1">
      <c r="A1457" s="367">
        <f>SUBTOTAL(3,$B$15:B1457)</f>
        <v>2</v>
      </c>
      <c r="B1457" s="394" t="s">
        <v>3133</v>
      </c>
      <c r="C1457" s="314" t="s">
        <v>3134</v>
      </c>
      <c r="D1457" s="314" t="s">
        <v>3032</v>
      </c>
      <c r="E1457" s="314">
        <v>21</v>
      </c>
      <c r="F1457" s="314">
        <v>13</v>
      </c>
      <c r="H1457" s="359">
        <f t="shared" si="47"/>
        <v>0</v>
      </c>
      <c r="K1457" s="362">
        <v>2476190</v>
      </c>
      <c r="M1457" s="361"/>
      <c r="N1457" s="361"/>
      <c r="O1457" s="361"/>
      <c r="P1457" s="361"/>
      <c r="Q1457" s="361"/>
      <c r="R1457" s="361"/>
      <c r="S1457" s="361"/>
      <c r="T1457" s="396">
        <v>225952</v>
      </c>
      <c r="U1457" s="364">
        <f t="shared" si="46"/>
        <v>2702142</v>
      </c>
      <c r="W1457" s="365" t="str">
        <f>+VLOOKUP($B1457,[2]Time_S4!$B:$G,6,0)</f>
        <v>Trung tâm Nghiên cứu Công nghệ chuyển mạch</v>
      </c>
      <c r="X1457" s="365" t="str">
        <f>IF(W1457="Phòng Kinh doanh","Trung tâm Kinh doanh - TCT CNC",+VLOOKUP($B1457,[2]Time_S4!$B:$G,5,0))</f>
        <v>Khối 2 - TCT CNC</v>
      </c>
      <c r="Z1457" s="366"/>
    </row>
    <row r="1458" spans="1:26" hidden="1">
      <c r="A1458" s="367">
        <f>SUBTOTAL(3,$B$15:B1458)</f>
        <v>2</v>
      </c>
      <c r="B1458" s="394" t="s">
        <v>3135</v>
      </c>
      <c r="C1458" s="314" t="s">
        <v>3136</v>
      </c>
      <c r="D1458" s="314" t="s">
        <v>3021</v>
      </c>
      <c r="E1458" s="314">
        <v>21</v>
      </c>
      <c r="F1458" s="314">
        <v>11</v>
      </c>
      <c r="H1458" s="359">
        <f t="shared" si="47"/>
        <v>0</v>
      </c>
      <c r="K1458" s="362">
        <v>10196371</v>
      </c>
      <c r="M1458" s="361"/>
      <c r="N1458" s="361"/>
      <c r="O1458" s="361"/>
      <c r="P1458" s="361"/>
      <c r="Q1458" s="361"/>
      <c r="R1458" s="361"/>
      <c r="S1458" s="361"/>
      <c r="T1458" s="396">
        <v>191190</v>
      </c>
      <c r="U1458" s="364">
        <f t="shared" si="46"/>
        <v>10387561</v>
      </c>
      <c r="W1458" s="365" t="str">
        <f>+VLOOKUP($B1458,[2]Time_S4!$B:$G,6,0)</f>
        <v>Trung tâm Camera</v>
      </c>
      <c r="X1458" s="365" t="str">
        <f>IF(W1458="Phòng Kinh doanh","Trung tâm Kinh doanh - TCT CNC",+VLOOKUP($B1458,[2]Time_S4!$B:$G,5,0))</f>
        <v>Khối 3 - TCT CNC</v>
      </c>
      <c r="Z1458" s="366"/>
    </row>
    <row r="1459" spans="1:26" hidden="1">
      <c r="A1459" s="367">
        <f>SUBTOTAL(3,$B$15:B1459)</f>
        <v>2</v>
      </c>
      <c r="B1459" s="394" t="s">
        <v>3137</v>
      </c>
      <c r="C1459" s="314" t="s">
        <v>3138</v>
      </c>
      <c r="D1459" s="314" t="s">
        <v>3021</v>
      </c>
      <c r="E1459" s="314">
        <v>21</v>
      </c>
      <c r="F1459" s="314">
        <v>11</v>
      </c>
      <c r="H1459" s="359">
        <f t="shared" si="47"/>
        <v>0</v>
      </c>
      <c r="K1459" s="362">
        <v>6678571</v>
      </c>
      <c r="M1459" s="361"/>
      <c r="N1459" s="361"/>
      <c r="O1459" s="361"/>
      <c r="P1459" s="361"/>
      <c r="Q1459" s="361"/>
      <c r="R1459" s="361"/>
      <c r="S1459" s="361"/>
      <c r="T1459" s="396">
        <v>191190</v>
      </c>
      <c r="U1459" s="364">
        <f t="shared" si="46"/>
        <v>6869761</v>
      </c>
      <c r="W1459" s="365" t="str">
        <f>+VLOOKUP($B1459,[2]Time_S4!$B:$G,6,0)</f>
        <v>Trung tâm Mô hình mô phỏng</v>
      </c>
      <c r="X1459" s="365" t="str">
        <f>IF(W1459="Phòng Kinh doanh","Trung tâm Kinh doanh - TCT CNC",+VLOOKUP($B1459,[2]Time_S4!$B:$G,5,0))</f>
        <v>Khối 1 - TCT CNC</v>
      </c>
      <c r="Z1459" s="366"/>
    </row>
    <row r="1460" spans="1:26" hidden="1">
      <c r="A1460" s="367">
        <f>SUBTOTAL(3,$B$15:B1460)</f>
        <v>2</v>
      </c>
      <c r="B1460" s="394" t="s">
        <v>3139</v>
      </c>
      <c r="C1460" s="314" t="s">
        <v>3140</v>
      </c>
      <c r="D1460" s="314" t="s">
        <v>3021</v>
      </c>
      <c r="E1460" s="314">
        <v>21</v>
      </c>
      <c r="F1460" s="314">
        <v>11</v>
      </c>
      <c r="H1460" s="359">
        <f t="shared" si="47"/>
        <v>0</v>
      </c>
      <c r="K1460" s="362">
        <v>8861948</v>
      </c>
      <c r="M1460" s="361"/>
      <c r="N1460" s="361"/>
      <c r="O1460" s="361"/>
      <c r="P1460" s="361"/>
      <c r="Q1460" s="361"/>
      <c r="R1460" s="361"/>
      <c r="S1460" s="361"/>
      <c r="T1460" s="396">
        <v>191190</v>
      </c>
      <c r="U1460" s="364">
        <f t="shared" si="46"/>
        <v>9053138</v>
      </c>
      <c r="W1460" s="365" t="str">
        <f>+VLOOKUP($B1460,[2]Time_S4!$B:$G,6,0)</f>
        <v>Trung tâm Thông tin Quân sự</v>
      </c>
      <c r="X1460" s="365" t="str">
        <f>IF(W1460="Phòng Kinh doanh","Trung tâm Kinh doanh - TCT CNC",+VLOOKUP($B1460,[2]Time_S4!$B:$G,5,0))</f>
        <v>Khối 1 - TCT CNC</v>
      </c>
      <c r="Z1460" s="366"/>
    </row>
    <row r="1461" spans="1:26" hidden="1">
      <c r="A1461" s="367">
        <f>SUBTOTAL(3,$B$15:B1461)</f>
        <v>2</v>
      </c>
      <c r="B1461" s="394" t="s">
        <v>3141</v>
      </c>
      <c r="C1461" s="314" t="s">
        <v>3142</v>
      </c>
      <c r="D1461" s="314" t="s">
        <v>3021</v>
      </c>
      <c r="E1461" s="314">
        <v>21</v>
      </c>
      <c r="F1461" s="314">
        <v>11</v>
      </c>
      <c r="H1461" s="359">
        <f t="shared" si="47"/>
        <v>0</v>
      </c>
      <c r="K1461" s="362">
        <v>7569048</v>
      </c>
      <c r="M1461" s="361"/>
      <c r="N1461" s="361"/>
      <c r="O1461" s="361"/>
      <c r="P1461" s="361"/>
      <c r="Q1461" s="361"/>
      <c r="R1461" s="361"/>
      <c r="S1461" s="361"/>
      <c r="T1461" s="396">
        <v>191190</v>
      </c>
      <c r="U1461" s="364">
        <f t="shared" si="46"/>
        <v>7760238</v>
      </c>
      <c r="W1461" s="365" t="str">
        <f>+VLOOKUP($B1461,[2]Time_S4!$B:$G,6,0)</f>
        <v>Trung tâm Nghiên cứu thiết bị vô tuyến băng rộng</v>
      </c>
      <c r="X1461" s="365" t="str">
        <f>IF(W1461="Phòng Kinh doanh","Trung tâm Kinh doanh - TCT CNC",+VLOOKUP($B1461,[2]Time_S4!$B:$G,5,0))</f>
        <v>Khối 2 - TCT CNC</v>
      </c>
      <c r="Z1461" s="366"/>
    </row>
    <row r="1462" spans="1:26" hidden="1">
      <c r="A1462" s="367">
        <f>SUBTOTAL(3,$B$15:B1462)</f>
        <v>2</v>
      </c>
      <c r="B1462" s="394" t="s">
        <v>3143</v>
      </c>
      <c r="C1462" s="314" t="s">
        <v>3144</v>
      </c>
      <c r="D1462" s="314" t="s">
        <v>3021</v>
      </c>
      <c r="E1462" s="314">
        <v>21</v>
      </c>
      <c r="F1462" s="314">
        <v>8</v>
      </c>
      <c r="H1462" s="359">
        <f t="shared" si="47"/>
        <v>0</v>
      </c>
      <c r="K1462" s="362">
        <v>4434733</v>
      </c>
      <c r="M1462" s="361"/>
      <c r="N1462" s="361"/>
      <c r="O1462" s="361"/>
      <c r="P1462" s="361"/>
      <c r="Q1462" s="361"/>
      <c r="R1462" s="361"/>
      <c r="S1462" s="361"/>
      <c r="T1462" s="396">
        <v>139048</v>
      </c>
      <c r="U1462" s="364">
        <f t="shared" si="46"/>
        <v>4573781</v>
      </c>
      <c r="W1462" s="365" t="str">
        <f>+VLOOKUP($B1462,[2]Time_S4!$B:$G,6,0)</f>
        <v>Trung tâm Kỹ thuật công nghệ - TCT CNC</v>
      </c>
      <c r="X1462" s="365" t="str">
        <f>IF(W1462="Phòng Kinh doanh","Trung tâm Kinh doanh - TCT CNC",+VLOOKUP($B1462,[2]Time_S4!$B:$G,5,0))</f>
        <v>Khối 2 - TCT CNC</v>
      </c>
      <c r="Z1462" s="366"/>
    </row>
    <row r="1463" spans="1:26" hidden="1">
      <c r="A1463" s="367">
        <f>SUBTOTAL(3,$B$15:B1463)</f>
        <v>2</v>
      </c>
      <c r="B1463" s="394" t="s">
        <v>3145</v>
      </c>
      <c r="C1463" s="314" t="s">
        <v>3146</v>
      </c>
      <c r="D1463" s="314" t="s">
        <v>3021</v>
      </c>
      <c r="E1463" s="314">
        <v>21</v>
      </c>
      <c r="F1463" s="314">
        <v>3</v>
      </c>
      <c r="H1463" s="359">
        <f t="shared" si="47"/>
        <v>0</v>
      </c>
      <c r="K1463" s="362">
        <v>1946444</v>
      </c>
      <c r="M1463" s="361"/>
      <c r="N1463" s="361"/>
      <c r="O1463" s="361"/>
      <c r="P1463" s="361"/>
      <c r="Q1463" s="361"/>
      <c r="R1463" s="361"/>
      <c r="S1463" s="361"/>
      <c r="T1463" s="396">
        <v>52143</v>
      </c>
      <c r="U1463" s="364">
        <f t="shared" si="46"/>
        <v>1998587</v>
      </c>
      <c r="W1463" s="365" t="str">
        <f>+VLOOKUP($B1463,[2]Time_S4!$B:$G,6,0)</f>
        <v>Trung tâm Đảm bảo chất lượng</v>
      </c>
      <c r="X1463" s="365" t="str">
        <f>IF(W1463="Phòng Kinh doanh","Trung tâm Kinh doanh - TCT CNC",+VLOOKUP($B1463,[2]Time_S4!$B:$G,5,0))</f>
        <v>Khối 1 - TCT CNC</v>
      </c>
      <c r="Z1463" s="366"/>
    </row>
    <row r="1464" spans="1:26" hidden="1">
      <c r="A1464" s="367">
        <f>SUBTOTAL(3,$B$15:B1464)</f>
        <v>2</v>
      </c>
      <c r="H1464" s="359">
        <f t="shared" si="47"/>
        <v>0</v>
      </c>
      <c r="K1464" s="362"/>
      <c r="M1464" s="361"/>
      <c r="N1464" s="361"/>
      <c r="O1464" s="361"/>
      <c r="P1464" s="361"/>
      <c r="Q1464" s="361"/>
      <c r="R1464" s="361"/>
      <c r="S1464" s="361"/>
      <c r="T1464" s="396"/>
      <c r="U1464" s="364">
        <f t="shared" si="46"/>
        <v>0</v>
      </c>
      <c r="W1464" s="365" t="e">
        <f>+VLOOKUP($B1464,[2]Time_S4!$B:$G,6,0)</f>
        <v>#N/A</v>
      </c>
      <c r="X1464" s="365" t="e">
        <f>IF(W1464="Phòng Kinh doanh","Trung tâm Kinh doanh - TCT CNC",+VLOOKUP($B1464,[2]Time_S4!$B:$G,5,0))</f>
        <v>#N/A</v>
      </c>
      <c r="Z1464" s="366"/>
    </row>
    <row r="1465" spans="1:26" hidden="1">
      <c r="A1465" s="367">
        <f>SUBTOTAL(3,$B$15:B1465)</f>
        <v>2</v>
      </c>
      <c r="B1465" s="394" t="s">
        <v>585</v>
      </c>
      <c r="C1465" s="314" t="s">
        <v>586</v>
      </c>
      <c r="D1465" s="314" t="s">
        <v>410</v>
      </c>
      <c r="G1465" s="314">
        <v>41192509</v>
      </c>
      <c r="H1465" s="359">
        <f t="shared" si="47"/>
        <v>41192509</v>
      </c>
      <c r="K1465" s="362"/>
      <c r="M1465" s="361"/>
      <c r="N1465" s="361"/>
      <c r="O1465" s="361"/>
      <c r="P1465" s="361"/>
      <c r="Q1465" s="361"/>
      <c r="R1465" s="361"/>
      <c r="S1465" s="361"/>
      <c r="T1465" s="396">
        <v>4304348</v>
      </c>
      <c r="U1465" s="364">
        <f t="shared" si="46"/>
        <v>45496857</v>
      </c>
      <c r="W1465" s="365" t="str">
        <f>+VLOOKUP($B1465,[2]Time_S4!$B:$G,6,0)</f>
        <v>Ban Giám đốc</v>
      </c>
      <c r="X1465" s="365" t="str">
        <f>IF(W1465="Phòng Kinh doanh","Trung tâm Kinh doanh - TCT CNC",+VLOOKUP($B1465,[2]Time_S4!$B:$G,5,0))</f>
        <v>Khối cơ quan - TCT CNC</v>
      </c>
      <c r="Z1465" s="366"/>
    </row>
    <row r="1466" spans="1:26" hidden="1">
      <c r="A1466" s="367">
        <f>SUBTOTAL(3,$B$15:B1466)</f>
        <v>2</v>
      </c>
      <c r="B1466" s="394" t="s">
        <v>587</v>
      </c>
      <c r="C1466" s="314" t="s">
        <v>588</v>
      </c>
      <c r="D1466" s="314" t="s">
        <v>410</v>
      </c>
      <c r="G1466" s="314">
        <v>34589989</v>
      </c>
      <c r="H1466" s="359">
        <f t="shared" si="47"/>
        <v>34589989</v>
      </c>
      <c r="K1466" s="362"/>
      <c r="M1466" s="361"/>
      <c r="N1466" s="361"/>
      <c r="O1466" s="361"/>
      <c r="P1466" s="361"/>
      <c r="Q1466" s="361"/>
      <c r="R1466" s="361"/>
      <c r="S1466" s="361"/>
      <c r="T1466" s="396">
        <v>1434783</v>
      </c>
      <c r="U1466" s="364">
        <f t="shared" si="46"/>
        <v>36024772</v>
      </c>
      <c r="W1466" s="365" t="str">
        <f>+VLOOKUP($B1466,[2]Time_S4!$B:$G,6,0)</f>
        <v>Ban Giám đốc</v>
      </c>
      <c r="X1466" s="365" t="str">
        <f>IF(W1466="Phòng Kinh doanh","Trung tâm Kinh doanh - TCT CNC",+VLOOKUP($B1466,[2]Time_S4!$B:$G,5,0))</f>
        <v>Khối cơ quan - TCT CNC</v>
      </c>
      <c r="Z1466" s="366"/>
    </row>
    <row r="1467" spans="1:26" hidden="1">
      <c r="A1467" s="367">
        <f>SUBTOTAL(3,$B$15:B1467)</f>
        <v>2</v>
      </c>
      <c r="H1467" s="359">
        <f t="shared" si="47"/>
        <v>0</v>
      </c>
      <c r="K1467" s="362"/>
      <c r="M1467" s="361"/>
      <c r="N1467" s="361"/>
      <c r="O1467" s="361"/>
      <c r="P1467" s="361"/>
      <c r="Q1467" s="361"/>
      <c r="R1467" s="361"/>
      <c r="S1467" s="361"/>
      <c r="T1467" s="396"/>
      <c r="U1467" s="364">
        <f t="shared" si="46"/>
        <v>0</v>
      </c>
      <c r="W1467" s="365" t="e">
        <f>+VLOOKUP($B1467,[2]Time_S4!$B:$G,6,0)</f>
        <v>#N/A</v>
      </c>
      <c r="X1467" s="365" t="e">
        <f>IF(W1467="Phòng Kinh doanh","Trung tâm Kinh doanh - TCT CNC",+VLOOKUP($B1467,[2]Time_S4!$B:$G,5,0))</f>
        <v>#N/A</v>
      </c>
      <c r="Z1467" s="366"/>
    </row>
    <row r="1468" spans="1:26" hidden="1">
      <c r="A1468" s="367">
        <f>SUBTOTAL(3,$B$15:B1468)</f>
        <v>2</v>
      </c>
      <c r="B1468" s="394" t="s">
        <v>3147</v>
      </c>
      <c r="C1468" s="314" t="s">
        <v>3148</v>
      </c>
      <c r="D1468" s="314" t="s">
        <v>410</v>
      </c>
      <c r="H1468" s="359">
        <f t="shared" si="47"/>
        <v>-3920717</v>
      </c>
      <c r="K1468" s="362"/>
      <c r="M1468" s="361">
        <v>3920717</v>
      </c>
      <c r="N1468" s="361"/>
      <c r="O1468" s="361"/>
      <c r="P1468" s="361"/>
      <c r="Q1468" s="361"/>
      <c r="R1468" s="361"/>
      <c r="S1468" s="361"/>
      <c r="T1468" s="396"/>
      <c r="U1468" s="364">
        <f t="shared" si="46"/>
        <v>0</v>
      </c>
      <c r="W1468" s="365" t="str">
        <f>+VLOOKUP($B1468,[2]Time_S4!$B:$G,6,0)</f>
        <v>Phòng Chính trị</v>
      </c>
      <c r="X1468" s="365" t="str">
        <f>IF(W1468="Phòng Kinh doanh","Trung tâm Kinh doanh - TCT CNC",+VLOOKUP($B1468,[2]Time_S4!$B:$G,5,0))</f>
        <v>Khối cơ quan - TCT CNC</v>
      </c>
      <c r="Z1468" s="366"/>
    </row>
    <row r="1469" spans="1:26" hidden="1">
      <c r="A1469" s="367">
        <f>SUBTOTAL(3,$B$15:B1469)</f>
        <v>2</v>
      </c>
      <c r="H1469" s="359">
        <f t="shared" si="47"/>
        <v>0</v>
      </c>
      <c r="K1469" s="362"/>
      <c r="M1469" s="361"/>
      <c r="N1469" s="361"/>
      <c r="O1469" s="361"/>
      <c r="P1469" s="361"/>
      <c r="Q1469" s="361"/>
      <c r="R1469" s="361"/>
      <c r="S1469" s="361"/>
      <c r="T1469" s="396"/>
      <c r="U1469" s="364">
        <f t="shared" si="46"/>
        <v>0</v>
      </c>
      <c r="W1469" s="365"/>
      <c r="X1469" s="365"/>
      <c r="Z1469" s="366"/>
    </row>
    <row r="1470" spans="1:26" hidden="1">
      <c r="A1470" s="367">
        <f>SUBTOTAL(3,$B$15:B1470)</f>
        <v>2</v>
      </c>
      <c r="H1470" s="359">
        <f t="shared" si="47"/>
        <v>0</v>
      </c>
      <c r="K1470" s="362"/>
      <c r="M1470" s="361"/>
      <c r="N1470" s="361"/>
      <c r="O1470" s="361"/>
      <c r="P1470" s="361"/>
      <c r="Q1470" s="361"/>
      <c r="R1470" s="361"/>
      <c r="S1470" s="361"/>
      <c r="T1470" s="396"/>
      <c r="U1470" s="364">
        <f t="shared" si="46"/>
        <v>0</v>
      </c>
      <c r="W1470" s="365"/>
      <c r="X1470" s="365"/>
      <c r="Z1470" s="366"/>
    </row>
    <row r="1471" spans="1:26" hidden="1">
      <c r="A1471" s="367">
        <f>SUBTOTAL(3,$B$15:B1471)</f>
        <v>2</v>
      </c>
      <c r="H1471" s="359">
        <f t="shared" si="47"/>
        <v>0</v>
      </c>
      <c r="K1471" s="362"/>
      <c r="M1471" s="361"/>
      <c r="N1471" s="361"/>
      <c r="O1471" s="361"/>
      <c r="P1471" s="361"/>
      <c r="Q1471" s="361"/>
      <c r="R1471" s="361"/>
      <c r="S1471" s="361"/>
      <c r="T1471" s="396"/>
      <c r="U1471" s="364">
        <f t="shared" si="46"/>
        <v>0</v>
      </c>
      <c r="W1471" s="365"/>
      <c r="X1471" s="365"/>
      <c r="Z1471" s="366"/>
    </row>
    <row r="1472" spans="1:26" hidden="1">
      <c r="A1472" s="367">
        <f>SUBTOTAL(3,$B$15:B1472)</f>
        <v>2</v>
      </c>
      <c r="H1472" s="359">
        <f t="shared" si="47"/>
        <v>0</v>
      </c>
      <c r="K1472" s="362"/>
      <c r="M1472" s="361"/>
      <c r="N1472" s="361"/>
      <c r="O1472" s="361"/>
      <c r="P1472" s="361"/>
      <c r="Q1472" s="361"/>
      <c r="R1472" s="361"/>
      <c r="S1472" s="361"/>
      <c r="T1472" s="396"/>
      <c r="U1472" s="364">
        <f t="shared" si="46"/>
        <v>0</v>
      </c>
      <c r="W1472" s="365"/>
      <c r="X1472" s="365"/>
      <c r="Z1472" s="366"/>
    </row>
    <row r="1473" spans="1:26" hidden="1">
      <c r="A1473" s="367">
        <f>SUBTOTAL(3,$B$15:B1473)</f>
        <v>2</v>
      </c>
      <c r="H1473" s="359">
        <f t="shared" si="47"/>
        <v>0</v>
      </c>
      <c r="K1473" s="362"/>
      <c r="M1473" s="361"/>
      <c r="N1473" s="361"/>
      <c r="O1473" s="361"/>
      <c r="P1473" s="361"/>
      <c r="Q1473" s="361"/>
      <c r="R1473" s="361"/>
      <c r="S1473" s="361"/>
      <c r="T1473" s="396"/>
      <c r="U1473" s="364">
        <f t="shared" si="46"/>
        <v>0</v>
      </c>
      <c r="W1473" s="365"/>
      <c r="X1473" s="365"/>
      <c r="Z1473" s="366"/>
    </row>
    <row r="1474" spans="1:26" hidden="1">
      <c r="A1474" s="367">
        <f>SUBTOTAL(3,$B$15:B1474)</f>
        <v>2</v>
      </c>
      <c r="H1474" s="359">
        <f t="shared" si="47"/>
        <v>0</v>
      </c>
      <c r="K1474" s="362"/>
      <c r="M1474" s="361"/>
      <c r="N1474" s="361"/>
      <c r="O1474" s="361"/>
      <c r="P1474" s="361"/>
      <c r="Q1474" s="361"/>
      <c r="R1474" s="361"/>
      <c r="S1474" s="361"/>
      <c r="T1474" s="396"/>
      <c r="U1474" s="364">
        <f t="shared" si="46"/>
        <v>0</v>
      </c>
      <c r="W1474" s="365"/>
      <c r="X1474" s="365"/>
      <c r="Z1474" s="366"/>
    </row>
    <row r="1475" spans="1:26" hidden="1">
      <c r="A1475" s="367">
        <f>SUBTOTAL(3,$B$15:B1475)</f>
        <v>2</v>
      </c>
      <c r="H1475" s="359">
        <f t="shared" si="47"/>
        <v>0</v>
      </c>
      <c r="K1475" s="362"/>
      <c r="M1475" s="361"/>
      <c r="N1475" s="361"/>
      <c r="O1475" s="361"/>
      <c r="P1475" s="361"/>
      <c r="Q1475" s="361"/>
      <c r="R1475" s="361"/>
      <c r="S1475" s="361"/>
      <c r="T1475" s="396"/>
      <c r="U1475" s="364">
        <f t="shared" si="46"/>
        <v>0</v>
      </c>
      <c r="W1475" s="365"/>
      <c r="X1475" s="365"/>
      <c r="Z1475" s="366"/>
    </row>
    <row r="1476" spans="1:26" hidden="1">
      <c r="A1476" s="367">
        <f>SUBTOTAL(3,$B$15:B1476)</f>
        <v>2</v>
      </c>
      <c r="H1476" s="359">
        <f t="shared" si="47"/>
        <v>0</v>
      </c>
      <c r="K1476" s="362"/>
      <c r="M1476" s="361"/>
      <c r="N1476" s="361"/>
      <c r="O1476" s="361"/>
      <c r="P1476" s="361"/>
      <c r="Q1476" s="361"/>
      <c r="R1476" s="361"/>
      <c r="S1476" s="361"/>
      <c r="T1476" s="396"/>
      <c r="U1476" s="364">
        <f t="shared" si="46"/>
        <v>0</v>
      </c>
      <c r="W1476" s="365"/>
      <c r="X1476" s="365"/>
      <c r="Z1476" s="366"/>
    </row>
    <row r="1477" spans="1:26" hidden="1">
      <c r="A1477" s="367">
        <f>SUBTOTAL(3,$B$15:B1477)</f>
        <v>2</v>
      </c>
      <c r="H1477" s="359">
        <f t="shared" si="47"/>
        <v>0</v>
      </c>
      <c r="K1477" s="362"/>
      <c r="M1477" s="361"/>
      <c r="N1477" s="361"/>
      <c r="O1477" s="361"/>
      <c r="P1477" s="361"/>
      <c r="Q1477" s="361"/>
      <c r="R1477" s="361"/>
      <c r="S1477" s="361"/>
      <c r="T1477" s="396"/>
      <c r="U1477" s="364">
        <f t="shared" si="46"/>
        <v>0</v>
      </c>
      <c r="W1477" s="365"/>
      <c r="X1477" s="365"/>
      <c r="Z1477" s="366"/>
    </row>
    <row r="1478" spans="1:26" hidden="1">
      <c r="A1478" s="367">
        <f>SUBTOTAL(3,$B$15:B1478)</f>
        <v>2</v>
      </c>
      <c r="H1478" s="359">
        <f t="shared" si="47"/>
        <v>0</v>
      </c>
      <c r="K1478" s="362"/>
      <c r="M1478" s="361"/>
      <c r="N1478" s="361"/>
      <c r="O1478" s="361"/>
      <c r="P1478" s="361"/>
      <c r="Q1478" s="361"/>
      <c r="R1478" s="361"/>
      <c r="S1478" s="361"/>
      <c r="T1478" s="396"/>
      <c r="U1478" s="364">
        <f t="shared" si="46"/>
        <v>0</v>
      </c>
      <c r="W1478" s="365"/>
      <c r="X1478" s="365"/>
      <c r="Z1478" s="366"/>
    </row>
    <row r="1479" spans="1:26" hidden="1">
      <c r="A1479" s="367">
        <f>SUBTOTAL(3,$B$15:B1479)</f>
        <v>2</v>
      </c>
      <c r="H1479" s="359">
        <f t="shared" si="47"/>
        <v>0</v>
      </c>
      <c r="K1479" s="362"/>
      <c r="M1479" s="361"/>
      <c r="N1479" s="361"/>
      <c r="O1479" s="361"/>
      <c r="P1479" s="361"/>
      <c r="Q1479" s="361"/>
      <c r="R1479" s="361"/>
      <c r="S1479" s="361"/>
      <c r="T1479" s="396"/>
      <c r="U1479" s="364">
        <f t="shared" si="46"/>
        <v>0</v>
      </c>
      <c r="W1479" s="365"/>
      <c r="X1479" s="365"/>
      <c r="Z1479" s="366"/>
    </row>
    <row r="1480" spans="1:26" hidden="1">
      <c r="A1480" s="367">
        <f>SUBTOTAL(3,$B$15:B1480)</f>
        <v>2</v>
      </c>
      <c r="H1480" s="359">
        <f t="shared" si="47"/>
        <v>0</v>
      </c>
      <c r="K1480" s="362"/>
      <c r="M1480" s="361"/>
      <c r="N1480" s="361"/>
      <c r="O1480" s="361"/>
      <c r="P1480" s="361"/>
      <c r="Q1480" s="361"/>
      <c r="R1480" s="361"/>
      <c r="S1480" s="361"/>
      <c r="T1480" s="396"/>
      <c r="U1480" s="364">
        <f t="shared" si="46"/>
        <v>0</v>
      </c>
      <c r="W1480" s="365"/>
      <c r="X1480" s="365"/>
      <c r="Z1480" s="366"/>
    </row>
    <row r="1481" spans="1:26" hidden="1">
      <c r="A1481" s="367">
        <f>SUBTOTAL(3,$B$15:B1481)</f>
        <v>2</v>
      </c>
      <c r="H1481" s="359">
        <f t="shared" si="47"/>
        <v>0</v>
      </c>
      <c r="K1481" s="362"/>
      <c r="M1481" s="361"/>
      <c r="N1481" s="361"/>
      <c r="O1481" s="361"/>
      <c r="P1481" s="361"/>
      <c r="Q1481" s="361"/>
      <c r="R1481" s="361"/>
      <c r="S1481" s="361"/>
      <c r="T1481" s="396"/>
      <c r="U1481" s="364">
        <f t="shared" si="46"/>
        <v>0</v>
      </c>
      <c r="W1481" s="365"/>
      <c r="X1481" s="365"/>
      <c r="Z1481" s="366"/>
    </row>
    <row r="1482" spans="1:26" hidden="1">
      <c r="A1482" s="367">
        <f>SUBTOTAL(3,$B$15:B1482)</f>
        <v>2</v>
      </c>
      <c r="H1482" s="359">
        <f t="shared" si="47"/>
        <v>0</v>
      </c>
      <c r="K1482" s="362"/>
      <c r="M1482" s="361"/>
      <c r="N1482" s="361"/>
      <c r="O1482" s="361"/>
      <c r="P1482" s="361"/>
      <c r="Q1482" s="361"/>
      <c r="R1482" s="361"/>
      <c r="S1482" s="361"/>
      <c r="T1482" s="396"/>
      <c r="U1482" s="364">
        <f t="shared" si="46"/>
        <v>0</v>
      </c>
      <c r="W1482" s="365"/>
      <c r="X1482" s="365"/>
      <c r="Z1482" s="366"/>
    </row>
    <row r="1483" spans="1:26" hidden="1">
      <c r="A1483" s="367">
        <f>SUBTOTAL(3,$B$15:B1483)</f>
        <v>2</v>
      </c>
      <c r="H1483" s="359">
        <f t="shared" si="47"/>
        <v>0</v>
      </c>
      <c r="K1483" s="362"/>
      <c r="M1483" s="361"/>
      <c r="N1483" s="361"/>
      <c r="O1483" s="361"/>
      <c r="P1483" s="361"/>
      <c r="Q1483" s="361"/>
      <c r="R1483" s="361"/>
      <c r="S1483" s="361"/>
      <c r="T1483" s="396"/>
      <c r="U1483" s="364">
        <f t="shared" si="46"/>
        <v>0</v>
      </c>
      <c r="W1483" s="365"/>
      <c r="X1483" s="365"/>
      <c r="Z1483" s="366"/>
    </row>
    <row r="1484" spans="1:26" hidden="1">
      <c r="A1484" s="367">
        <f>SUBTOTAL(3,$B$15:B1484)</f>
        <v>2</v>
      </c>
      <c r="H1484" s="359">
        <f t="shared" si="47"/>
        <v>0</v>
      </c>
      <c r="K1484" s="362"/>
      <c r="M1484" s="361"/>
      <c r="N1484" s="361"/>
      <c r="O1484" s="361"/>
      <c r="P1484" s="361"/>
      <c r="Q1484" s="361"/>
      <c r="R1484" s="361"/>
      <c r="S1484" s="361"/>
      <c r="T1484" s="396"/>
      <c r="U1484" s="364">
        <f t="shared" si="46"/>
        <v>0</v>
      </c>
      <c r="W1484" s="365"/>
      <c r="X1484" s="365"/>
      <c r="Z1484" s="366"/>
    </row>
    <row r="1485" spans="1:26" hidden="1">
      <c r="A1485" s="367">
        <f>SUBTOTAL(3,$B$15:B1485)</f>
        <v>2</v>
      </c>
      <c r="H1485" s="359">
        <f t="shared" si="47"/>
        <v>0</v>
      </c>
      <c r="K1485" s="362"/>
      <c r="M1485" s="361"/>
      <c r="N1485" s="361"/>
      <c r="O1485" s="361"/>
      <c r="P1485" s="361"/>
      <c r="Q1485" s="361"/>
      <c r="R1485" s="361"/>
      <c r="S1485" s="361"/>
      <c r="T1485" s="396"/>
      <c r="U1485" s="364">
        <f t="shared" si="46"/>
        <v>0</v>
      </c>
      <c r="W1485" s="365"/>
      <c r="X1485" s="365"/>
      <c r="Z1485" s="366"/>
    </row>
    <row r="1486" spans="1:26" hidden="1">
      <c r="A1486" s="367">
        <f>SUBTOTAL(3,$B$15:B1486)</f>
        <v>2</v>
      </c>
      <c r="H1486" s="359">
        <f t="shared" si="47"/>
        <v>0</v>
      </c>
      <c r="K1486" s="362"/>
      <c r="M1486" s="361"/>
      <c r="N1486" s="361"/>
      <c r="O1486" s="361"/>
      <c r="P1486" s="361"/>
      <c r="Q1486" s="361"/>
      <c r="R1486" s="361"/>
      <c r="S1486" s="361"/>
      <c r="T1486" s="396"/>
      <c r="U1486" s="364">
        <f t="shared" si="46"/>
        <v>0</v>
      </c>
      <c r="W1486" s="365"/>
      <c r="X1486" s="365"/>
      <c r="Z1486" s="366"/>
    </row>
    <row r="1487" spans="1:26" hidden="1">
      <c r="A1487" s="367">
        <f>SUBTOTAL(3,$B$15:B1487)</f>
        <v>2</v>
      </c>
      <c r="H1487" s="359">
        <f t="shared" si="47"/>
        <v>0</v>
      </c>
      <c r="K1487" s="362"/>
      <c r="M1487" s="361"/>
      <c r="N1487" s="361"/>
      <c r="O1487" s="361"/>
      <c r="P1487" s="361"/>
      <c r="Q1487" s="361"/>
      <c r="R1487" s="361"/>
      <c r="S1487" s="361"/>
      <c r="T1487" s="396"/>
      <c r="U1487" s="364">
        <f t="shared" si="46"/>
        <v>0</v>
      </c>
      <c r="W1487" s="365"/>
      <c r="X1487" s="365"/>
      <c r="Z1487" s="366"/>
    </row>
    <row r="1488" spans="1:26" hidden="1">
      <c r="A1488" s="367">
        <f>SUBTOTAL(3,$B$15:B1488)</f>
        <v>2</v>
      </c>
      <c r="H1488" s="359">
        <f t="shared" si="47"/>
        <v>0</v>
      </c>
      <c r="K1488" s="362"/>
      <c r="M1488" s="361"/>
      <c r="N1488" s="361"/>
      <c r="O1488" s="361"/>
      <c r="P1488" s="361"/>
      <c r="Q1488" s="361"/>
      <c r="R1488" s="361"/>
      <c r="S1488" s="361"/>
      <c r="T1488" s="396"/>
      <c r="U1488" s="364">
        <f t="shared" si="46"/>
        <v>0</v>
      </c>
      <c r="W1488" s="365"/>
      <c r="X1488" s="365"/>
      <c r="Z1488" s="366"/>
    </row>
    <row r="1489" spans="1:26" hidden="1">
      <c r="A1489" s="367">
        <f>SUBTOTAL(3,$B$15:B1489)</f>
        <v>2</v>
      </c>
      <c r="H1489" s="359">
        <f t="shared" si="47"/>
        <v>0</v>
      </c>
      <c r="K1489" s="362"/>
      <c r="M1489" s="361"/>
      <c r="N1489" s="361"/>
      <c r="O1489" s="361"/>
      <c r="P1489" s="361"/>
      <c r="Q1489" s="361"/>
      <c r="R1489" s="361"/>
      <c r="S1489" s="361"/>
      <c r="T1489" s="396"/>
      <c r="U1489" s="364">
        <f t="shared" si="46"/>
        <v>0</v>
      </c>
      <c r="W1489" s="365"/>
      <c r="X1489" s="365"/>
      <c r="Z1489" s="366"/>
    </row>
    <row r="1490" spans="1:26" hidden="1">
      <c r="A1490" s="367">
        <f>SUBTOTAL(3,$B$15:B1490)</f>
        <v>2</v>
      </c>
      <c r="H1490" s="359">
        <f t="shared" si="47"/>
        <v>0</v>
      </c>
      <c r="K1490" s="362"/>
      <c r="M1490" s="361"/>
      <c r="N1490" s="361"/>
      <c r="O1490" s="361"/>
      <c r="P1490" s="361"/>
      <c r="Q1490" s="361"/>
      <c r="R1490" s="361"/>
      <c r="S1490" s="361"/>
      <c r="T1490" s="396"/>
      <c r="U1490" s="364">
        <f t="shared" ref="U1490:U1494" si="48">+SUM(H1490:T1490)</f>
        <v>0</v>
      </c>
      <c r="W1490" s="365"/>
      <c r="X1490" s="365"/>
      <c r="Z1490" s="366"/>
    </row>
    <row r="1491" spans="1:26" hidden="1">
      <c r="A1491" s="367">
        <f>SUBTOTAL(3,$B$15:B1491)</f>
        <v>2</v>
      </c>
      <c r="H1491" s="359">
        <f t="shared" si="47"/>
        <v>0</v>
      </c>
      <c r="K1491" s="362"/>
      <c r="M1491" s="361"/>
      <c r="N1491" s="361"/>
      <c r="O1491" s="361"/>
      <c r="P1491" s="361"/>
      <c r="Q1491" s="361"/>
      <c r="R1491" s="361"/>
      <c r="S1491" s="361"/>
      <c r="T1491" s="396"/>
      <c r="U1491" s="364">
        <f t="shared" si="48"/>
        <v>0</v>
      </c>
      <c r="W1491" s="365"/>
      <c r="X1491" s="365"/>
      <c r="Z1491" s="366"/>
    </row>
    <row r="1492" spans="1:26" hidden="1">
      <c r="A1492" s="367">
        <f>SUBTOTAL(3,$B$15:B1492)</f>
        <v>2</v>
      </c>
      <c r="H1492" s="359">
        <f t="shared" ref="H1492:H1555" si="49">+G1492-SUM(M1492,O1492,Q1492)</f>
        <v>0</v>
      </c>
      <c r="K1492" s="362"/>
      <c r="M1492" s="361"/>
      <c r="N1492" s="361"/>
      <c r="O1492" s="361"/>
      <c r="P1492" s="361"/>
      <c r="Q1492" s="361"/>
      <c r="R1492" s="361"/>
      <c r="S1492" s="361"/>
      <c r="T1492" s="396"/>
      <c r="U1492" s="364">
        <f t="shared" si="48"/>
        <v>0</v>
      </c>
      <c r="W1492" s="365"/>
      <c r="X1492" s="365"/>
      <c r="Z1492" s="366"/>
    </row>
    <row r="1493" spans="1:26" hidden="1">
      <c r="A1493" s="367">
        <f>SUBTOTAL(3,$B$15:B1493)</f>
        <v>2</v>
      </c>
      <c r="H1493" s="359">
        <f t="shared" si="49"/>
        <v>0</v>
      </c>
      <c r="K1493" s="362"/>
      <c r="M1493" s="361"/>
      <c r="N1493" s="361"/>
      <c r="O1493" s="361"/>
      <c r="P1493" s="361"/>
      <c r="Q1493" s="361"/>
      <c r="R1493" s="361"/>
      <c r="S1493" s="361"/>
      <c r="T1493" s="396"/>
      <c r="U1493" s="364">
        <f t="shared" si="48"/>
        <v>0</v>
      </c>
      <c r="W1493" s="365"/>
      <c r="X1493" s="365"/>
      <c r="Z1493" s="366"/>
    </row>
    <row r="1494" spans="1:26" hidden="1">
      <c r="A1494" s="367">
        <f>SUBTOTAL(3,$B$15:B1494)</f>
        <v>2</v>
      </c>
      <c r="H1494" s="359">
        <f t="shared" si="49"/>
        <v>0</v>
      </c>
      <c r="K1494" s="362"/>
      <c r="M1494" s="361"/>
      <c r="N1494" s="361"/>
      <c r="O1494" s="361"/>
      <c r="P1494" s="361"/>
      <c r="Q1494" s="361"/>
      <c r="R1494" s="361"/>
      <c r="S1494" s="361"/>
      <c r="T1494" s="396"/>
      <c r="U1494" s="364">
        <f t="shared" si="48"/>
        <v>0</v>
      </c>
      <c r="W1494" s="365"/>
      <c r="X1494" s="365"/>
      <c r="Z1494" s="366"/>
    </row>
    <row r="1495" spans="1:26" hidden="1">
      <c r="A1495" s="367">
        <f>SUBTOTAL(3,$B$15:B1495)</f>
        <v>2</v>
      </c>
      <c r="H1495" s="359">
        <f t="shared" si="49"/>
        <v>0</v>
      </c>
      <c r="N1495" s="361"/>
      <c r="O1495" s="361"/>
      <c r="P1495" s="361"/>
      <c r="Q1495" s="361"/>
      <c r="R1495" s="361"/>
      <c r="S1495" s="361"/>
      <c r="T1495" s="396"/>
      <c r="U1495" s="364">
        <f t="shared" ref="U1495:U1558" si="50">SUM(H1495:T1495)</f>
        <v>0</v>
      </c>
      <c r="W1495" s="365"/>
      <c r="X1495" s="365"/>
      <c r="Z1495" s="366"/>
    </row>
    <row r="1496" spans="1:26" hidden="1">
      <c r="A1496" s="367">
        <f>SUBTOTAL(3,$B$15:B1496)</f>
        <v>2</v>
      </c>
      <c r="H1496" s="359">
        <f t="shared" si="49"/>
        <v>0</v>
      </c>
      <c r="N1496" s="361"/>
      <c r="O1496" s="361"/>
      <c r="P1496" s="361"/>
      <c r="Q1496" s="361"/>
      <c r="R1496" s="361"/>
      <c r="S1496" s="361"/>
      <c r="T1496" s="396"/>
      <c r="U1496" s="364">
        <f t="shared" si="50"/>
        <v>0</v>
      </c>
      <c r="W1496" s="365"/>
      <c r="X1496" s="365"/>
      <c r="Z1496" s="366"/>
    </row>
    <row r="1497" spans="1:26" hidden="1">
      <c r="A1497" s="367">
        <f>SUBTOTAL(3,$B$15:B1497)</f>
        <v>2</v>
      </c>
      <c r="H1497" s="359">
        <f t="shared" si="49"/>
        <v>0</v>
      </c>
      <c r="N1497" s="361"/>
      <c r="O1497" s="361"/>
      <c r="P1497" s="361"/>
      <c r="Q1497" s="361"/>
      <c r="R1497" s="361"/>
      <c r="S1497" s="361"/>
      <c r="T1497" s="396"/>
      <c r="U1497" s="364">
        <f t="shared" si="50"/>
        <v>0</v>
      </c>
      <c r="W1497" s="365"/>
      <c r="X1497" s="365"/>
      <c r="Z1497" s="366"/>
    </row>
    <row r="1498" spans="1:26" hidden="1">
      <c r="A1498" s="367">
        <f>SUBTOTAL(3,$B$15:B1498)</f>
        <v>2</v>
      </c>
      <c r="H1498" s="359">
        <f t="shared" si="49"/>
        <v>0</v>
      </c>
      <c r="N1498" s="361"/>
      <c r="O1498" s="361"/>
      <c r="P1498" s="361"/>
      <c r="Q1498" s="361"/>
      <c r="R1498" s="361"/>
      <c r="S1498" s="361"/>
      <c r="T1498" s="396"/>
      <c r="U1498" s="364">
        <f t="shared" si="50"/>
        <v>0</v>
      </c>
      <c r="W1498" s="365"/>
      <c r="X1498" s="365"/>
      <c r="Z1498" s="366"/>
    </row>
    <row r="1499" spans="1:26" hidden="1">
      <c r="A1499" s="367">
        <f>SUBTOTAL(3,$B$15:B1499)</f>
        <v>2</v>
      </c>
      <c r="H1499" s="359">
        <f t="shared" si="49"/>
        <v>0</v>
      </c>
      <c r="N1499" s="361"/>
      <c r="O1499" s="361"/>
      <c r="P1499" s="361"/>
      <c r="Q1499" s="361"/>
      <c r="R1499" s="361"/>
      <c r="S1499" s="361"/>
      <c r="T1499" s="396"/>
      <c r="U1499" s="364">
        <f t="shared" si="50"/>
        <v>0</v>
      </c>
      <c r="W1499" s="365"/>
      <c r="X1499" s="365"/>
      <c r="Z1499" s="366"/>
    </row>
    <row r="1500" spans="1:26" hidden="1">
      <c r="A1500" s="367">
        <f>SUBTOTAL(3,$B$15:B1500)</f>
        <v>2</v>
      </c>
      <c r="H1500" s="359">
        <f t="shared" si="49"/>
        <v>0</v>
      </c>
      <c r="N1500" s="361"/>
      <c r="O1500" s="361"/>
      <c r="P1500" s="361"/>
      <c r="Q1500" s="361"/>
      <c r="R1500" s="361"/>
      <c r="S1500" s="361"/>
      <c r="T1500" s="396"/>
      <c r="U1500" s="364">
        <f t="shared" si="50"/>
        <v>0</v>
      </c>
      <c r="W1500" s="365"/>
      <c r="X1500" s="365"/>
      <c r="Z1500" s="366"/>
    </row>
    <row r="1501" spans="1:26" hidden="1">
      <c r="A1501" s="367">
        <f>SUBTOTAL(3,$B$15:B1501)</f>
        <v>2</v>
      </c>
      <c r="H1501" s="359">
        <f t="shared" si="49"/>
        <v>0</v>
      </c>
      <c r="N1501" s="361"/>
      <c r="O1501" s="361"/>
      <c r="P1501" s="361"/>
      <c r="Q1501" s="361"/>
      <c r="R1501" s="361"/>
      <c r="S1501" s="361"/>
      <c r="T1501" s="396"/>
      <c r="U1501" s="364">
        <f t="shared" si="50"/>
        <v>0</v>
      </c>
      <c r="W1501" s="365"/>
      <c r="X1501" s="365"/>
      <c r="Z1501" s="366"/>
    </row>
    <row r="1502" spans="1:26" hidden="1">
      <c r="A1502" s="367">
        <f>SUBTOTAL(3,$B$15:B1502)</f>
        <v>2</v>
      </c>
      <c r="H1502" s="359">
        <f t="shared" si="49"/>
        <v>0</v>
      </c>
      <c r="N1502" s="361"/>
      <c r="O1502" s="361"/>
      <c r="P1502" s="361"/>
      <c r="Q1502" s="361"/>
      <c r="R1502" s="361"/>
      <c r="S1502" s="361"/>
      <c r="T1502" s="396"/>
      <c r="U1502" s="364">
        <f t="shared" si="50"/>
        <v>0</v>
      </c>
      <c r="W1502" s="365"/>
      <c r="X1502" s="365"/>
      <c r="Z1502" s="366"/>
    </row>
    <row r="1503" spans="1:26" hidden="1">
      <c r="A1503" s="367">
        <f>SUBTOTAL(3,$B$15:B1503)</f>
        <v>2</v>
      </c>
      <c r="H1503" s="359">
        <f t="shared" si="49"/>
        <v>0</v>
      </c>
      <c r="N1503" s="361"/>
      <c r="O1503" s="361"/>
      <c r="P1503" s="361"/>
      <c r="Q1503" s="361"/>
      <c r="R1503" s="361"/>
      <c r="S1503" s="361"/>
      <c r="T1503" s="396"/>
      <c r="U1503" s="364">
        <f t="shared" si="50"/>
        <v>0</v>
      </c>
      <c r="W1503" s="365"/>
      <c r="X1503" s="365"/>
      <c r="Z1503" s="366"/>
    </row>
    <row r="1504" spans="1:26" hidden="1">
      <c r="A1504" s="367">
        <f>SUBTOTAL(3,$B$15:B1504)</f>
        <v>2</v>
      </c>
      <c r="H1504" s="359">
        <f t="shared" si="49"/>
        <v>0</v>
      </c>
      <c r="N1504" s="361"/>
      <c r="O1504" s="361"/>
      <c r="P1504" s="361"/>
      <c r="Q1504" s="361"/>
      <c r="R1504" s="361"/>
      <c r="S1504" s="361"/>
      <c r="T1504" s="396"/>
      <c r="U1504" s="364">
        <f t="shared" si="50"/>
        <v>0</v>
      </c>
      <c r="W1504" s="365"/>
      <c r="X1504" s="365"/>
      <c r="Z1504" s="366"/>
    </row>
    <row r="1505" spans="1:26" hidden="1">
      <c r="A1505" s="367">
        <f>SUBTOTAL(3,$B$15:B1505)</f>
        <v>2</v>
      </c>
      <c r="H1505" s="359">
        <f t="shared" si="49"/>
        <v>0</v>
      </c>
      <c r="N1505" s="361"/>
      <c r="O1505" s="361"/>
      <c r="P1505" s="361"/>
      <c r="Q1505" s="361"/>
      <c r="R1505" s="361"/>
      <c r="S1505" s="361"/>
      <c r="T1505" s="396"/>
      <c r="U1505" s="364">
        <f t="shared" si="50"/>
        <v>0</v>
      </c>
      <c r="W1505" s="365"/>
      <c r="X1505" s="365"/>
      <c r="Z1505" s="366"/>
    </row>
    <row r="1506" spans="1:26" hidden="1">
      <c r="A1506" s="367">
        <f>SUBTOTAL(3,$B$15:B1506)</f>
        <v>2</v>
      </c>
      <c r="H1506" s="359">
        <f t="shared" si="49"/>
        <v>0</v>
      </c>
      <c r="N1506" s="361"/>
      <c r="O1506" s="361"/>
      <c r="P1506" s="361"/>
      <c r="Q1506" s="361"/>
      <c r="R1506" s="361"/>
      <c r="S1506" s="361"/>
      <c r="T1506" s="396"/>
      <c r="U1506" s="364">
        <f t="shared" si="50"/>
        <v>0</v>
      </c>
      <c r="W1506" s="365"/>
      <c r="X1506" s="365"/>
      <c r="Z1506" s="366"/>
    </row>
    <row r="1507" spans="1:26" hidden="1">
      <c r="A1507" s="367">
        <f>SUBTOTAL(3,$B$15:B1507)</f>
        <v>2</v>
      </c>
      <c r="H1507" s="359">
        <f t="shared" si="49"/>
        <v>0</v>
      </c>
      <c r="N1507" s="361"/>
      <c r="O1507" s="361"/>
      <c r="P1507" s="361"/>
      <c r="Q1507" s="361"/>
      <c r="R1507" s="361"/>
      <c r="S1507" s="361"/>
      <c r="T1507" s="396"/>
      <c r="U1507" s="364">
        <f t="shared" si="50"/>
        <v>0</v>
      </c>
      <c r="W1507" s="365"/>
      <c r="X1507" s="365"/>
      <c r="Z1507" s="366"/>
    </row>
    <row r="1508" spans="1:26" hidden="1">
      <c r="A1508" s="367">
        <f>SUBTOTAL(3,$B$15:B1508)</f>
        <v>2</v>
      </c>
      <c r="H1508" s="359">
        <f t="shared" si="49"/>
        <v>0</v>
      </c>
      <c r="N1508" s="361"/>
      <c r="O1508" s="361"/>
      <c r="P1508" s="361"/>
      <c r="Q1508" s="361"/>
      <c r="R1508" s="361"/>
      <c r="S1508" s="361"/>
      <c r="T1508" s="396"/>
      <c r="U1508" s="364">
        <f t="shared" si="50"/>
        <v>0</v>
      </c>
      <c r="W1508" s="365"/>
      <c r="X1508" s="365"/>
      <c r="Z1508" s="366"/>
    </row>
    <row r="1509" spans="1:26" hidden="1">
      <c r="A1509" s="367">
        <f>SUBTOTAL(3,$B$15:B1509)</f>
        <v>2</v>
      </c>
      <c r="H1509" s="359">
        <f t="shared" si="49"/>
        <v>0</v>
      </c>
      <c r="N1509" s="361"/>
      <c r="O1509" s="361"/>
      <c r="P1509" s="361"/>
      <c r="Q1509" s="361"/>
      <c r="R1509" s="361"/>
      <c r="S1509" s="361"/>
      <c r="T1509" s="396"/>
      <c r="U1509" s="364">
        <f t="shared" si="50"/>
        <v>0</v>
      </c>
      <c r="W1509" s="365"/>
      <c r="X1509" s="365"/>
      <c r="Z1509" s="366"/>
    </row>
    <row r="1510" spans="1:26" hidden="1">
      <c r="A1510" s="367">
        <f>SUBTOTAL(3,$B$15:B1510)</f>
        <v>2</v>
      </c>
      <c r="H1510" s="359">
        <f t="shared" si="49"/>
        <v>0</v>
      </c>
      <c r="N1510" s="361"/>
      <c r="O1510" s="361"/>
      <c r="P1510" s="361"/>
      <c r="Q1510" s="361"/>
      <c r="R1510" s="361"/>
      <c r="S1510" s="361"/>
      <c r="T1510" s="396"/>
      <c r="U1510" s="364">
        <f t="shared" si="50"/>
        <v>0</v>
      </c>
      <c r="W1510" s="365"/>
      <c r="X1510" s="365"/>
      <c r="Z1510" s="366"/>
    </row>
    <row r="1511" spans="1:26" hidden="1">
      <c r="A1511" s="367">
        <f>SUBTOTAL(3,$B$15:B1511)</f>
        <v>2</v>
      </c>
      <c r="H1511" s="359">
        <f t="shared" si="49"/>
        <v>0</v>
      </c>
      <c r="N1511" s="361"/>
      <c r="O1511" s="361"/>
      <c r="P1511" s="361"/>
      <c r="Q1511" s="361"/>
      <c r="R1511" s="361"/>
      <c r="S1511" s="361"/>
      <c r="T1511" s="396"/>
      <c r="U1511" s="364">
        <f t="shared" si="50"/>
        <v>0</v>
      </c>
      <c r="W1511" s="365"/>
      <c r="X1511" s="365"/>
      <c r="Z1511" s="366"/>
    </row>
    <row r="1512" spans="1:26" hidden="1">
      <c r="A1512" s="367">
        <f>SUBTOTAL(3,$B$15:B1512)</f>
        <v>2</v>
      </c>
      <c r="H1512" s="359">
        <f t="shared" si="49"/>
        <v>0</v>
      </c>
      <c r="N1512" s="361"/>
      <c r="O1512" s="361"/>
      <c r="P1512" s="361"/>
      <c r="Q1512" s="361"/>
      <c r="R1512" s="361"/>
      <c r="S1512" s="361"/>
      <c r="T1512" s="396"/>
      <c r="U1512" s="364">
        <f t="shared" si="50"/>
        <v>0</v>
      </c>
      <c r="W1512" s="365"/>
      <c r="X1512" s="365"/>
      <c r="Z1512" s="366"/>
    </row>
    <row r="1513" spans="1:26" hidden="1">
      <c r="A1513" s="367">
        <f>SUBTOTAL(3,$B$15:B1513)</f>
        <v>2</v>
      </c>
      <c r="H1513" s="359">
        <f t="shared" si="49"/>
        <v>0</v>
      </c>
      <c r="N1513" s="361"/>
      <c r="O1513" s="361"/>
      <c r="P1513" s="361"/>
      <c r="Q1513" s="361"/>
      <c r="R1513" s="361"/>
      <c r="S1513" s="361"/>
      <c r="T1513" s="396"/>
      <c r="U1513" s="364">
        <f t="shared" si="50"/>
        <v>0</v>
      </c>
      <c r="W1513" s="365"/>
      <c r="X1513" s="365"/>
      <c r="Z1513" s="366"/>
    </row>
    <row r="1514" spans="1:26" hidden="1">
      <c r="A1514" s="367">
        <f>SUBTOTAL(3,$B$15:B1514)</f>
        <v>2</v>
      </c>
      <c r="H1514" s="359">
        <f t="shared" si="49"/>
        <v>0</v>
      </c>
      <c r="N1514" s="361"/>
      <c r="O1514" s="361"/>
      <c r="P1514" s="361"/>
      <c r="Q1514" s="361"/>
      <c r="R1514" s="361"/>
      <c r="S1514" s="361"/>
      <c r="T1514" s="396"/>
      <c r="U1514" s="364">
        <f t="shared" si="50"/>
        <v>0</v>
      </c>
      <c r="W1514" s="365"/>
      <c r="X1514" s="365"/>
      <c r="Z1514" s="366"/>
    </row>
    <row r="1515" spans="1:26" hidden="1">
      <c r="A1515" s="367">
        <f>SUBTOTAL(3,$B$15:B1515)</f>
        <v>2</v>
      </c>
      <c r="H1515" s="359">
        <f t="shared" si="49"/>
        <v>0</v>
      </c>
      <c r="N1515" s="361"/>
      <c r="O1515" s="361"/>
      <c r="P1515" s="361"/>
      <c r="Q1515" s="361"/>
      <c r="R1515" s="361"/>
      <c r="S1515" s="361"/>
      <c r="T1515" s="396"/>
      <c r="U1515" s="364">
        <f t="shared" si="50"/>
        <v>0</v>
      </c>
      <c r="W1515" s="365"/>
      <c r="X1515" s="365"/>
      <c r="Z1515" s="366"/>
    </row>
    <row r="1516" spans="1:26" hidden="1">
      <c r="A1516" s="367">
        <f>SUBTOTAL(3,$B$15:B1516)</f>
        <v>2</v>
      </c>
      <c r="H1516" s="359">
        <f t="shared" si="49"/>
        <v>0</v>
      </c>
      <c r="N1516" s="361"/>
      <c r="O1516" s="361"/>
      <c r="P1516" s="361"/>
      <c r="Q1516" s="361"/>
      <c r="R1516" s="361"/>
      <c r="S1516" s="361"/>
      <c r="T1516" s="396"/>
      <c r="U1516" s="364">
        <f t="shared" si="50"/>
        <v>0</v>
      </c>
      <c r="W1516" s="365"/>
      <c r="X1516" s="365"/>
      <c r="Z1516" s="366"/>
    </row>
    <row r="1517" spans="1:26" hidden="1">
      <c r="A1517" s="367">
        <f>SUBTOTAL(3,$B$15:B1517)</f>
        <v>2</v>
      </c>
      <c r="H1517" s="359">
        <f t="shared" si="49"/>
        <v>0</v>
      </c>
      <c r="N1517" s="361"/>
      <c r="O1517" s="361"/>
      <c r="P1517" s="361"/>
      <c r="Q1517" s="361"/>
      <c r="R1517" s="361"/>
      <c r="S1517" s="361"/>
      <c r="T1517" s="396"/>
      <c r="U1517" s="364">
        <f t="shared" si="50"/>
        <v>0</v>
      </c>
      <c r="W1517" s="365"/>
      <c r="X1517" s="365"/>
      <c r="Z1517" s="366"/>
    </row>
    <row r="1518" spans="1:26" hidden="1">
      <c r="A1518" s="367">
        <f>SUBTOTAL(3,$B$15:B1518)</f>
        <v>2</v>
      </c>
      <c r="H1518" s="359">
        <f t="shared" si="49"/>
        <v>0</v>
      </c>
      <c r="N1518" s="361"/>
      <c r="O1518" s="361"/>
      <c r="P1518" s="361"/>
      <c r="Q1518" s="361"/>
      <c r="R1518" s="361"/>
      <c r="S1518" s="361"/>
      <c r="T1518" s="396"/>
      <c r="U1518" s="364">
        <f t="shared" si="50"/>
        <v>0</v>
      </c>
      <c r="W1518" s="365"/>
      <c r="X1518" s="365"/>
      <c r="Z1518" s="366"/>
    </row>
    <row r="1519" spans="1:26" hidden="1">
      <c r="A1519" s="367">
        <f>SUBTOTAL(3,$B$15:B1519)</f>
        <v>2</v>
      </c>
      <c r="H1519" s="359">
        <f t="shared" si="49"/>
        <v>0</v>
      </c>
      <c r="N1519" s="361"/>
      <c r="O1519" s="361"/>
      <c r="P1519" s="361"/>
      <c r="Q1519" s="361"/>
      <c r="R1519" s="361"/>
      <c r="S1519" s="361"/>
      <c r="T1519" s="396"/>
      <c r="U1519" s="364">
        <f t="shared" si="50"/>
        <v>0</v>
      </c>
      <c r="W1519" s="365"/>
      <c r="X1519" s="365"/>
      <c r="Z1519" s="366"/>
    </row>
    <row r="1520" spans="1:26" hidden="1">
      <c r="A1520" s="367">
        <f>SUBTOTAL(3,$B$15:B1520)</f>
        <v>2</v>
      </c>
      <c r="H1520" s="359">
        <f t="shared" si="49"/>
        <v>0</v>
      </c>
      <c r="N1520" s="361"/>
      <c r="O1520" s="361"/>
      <c r="P1520" s="361"/>
      <c r="Q1520" s="361"/>
      <c r="R1520" s="361"/>
      <c r="S1520" s="361"/>
      <c r="T1520" s="396"/>
      <c r="U1520" s="364">
        <f t="shared" si="50"/>
        <v>0</v>
      </c>
      <c r="W1520" s="365"/>
      <c r="X1520" s="365"/>
      <c r="Z1520" s="366"/>
    </row>
    <row r="1521" spans="1:26" hidden="1">
      <c r="A1521" s="367">
        <f>SUBTOTAL(3,$B$15:B1521)</f>
        <v>2</v>
      </c>
      <c r="H1521" s="359">
        <f t="shared" si="49"/>
        <v>0</v>
      </c>
      <c r="N1521" s="361"/>
      <c r="O1521" s="361"/>
      <c r="P1521" s="361"/>
      <c r="Q1521" s="361"/>
      <c r="R1521" s="361"/>
      <c r="S1521" s="361"/>
      <c r="T1521" s="396"/>
      <c r="U1521" s="364">
        <f t="shared" si="50"/>
        <v>0</v>
      </c>
      <c r="W1521" s="365"/>
      <c r="X1521" s="365"/>
      <c r="Z1521" s="366"/>
    </row>
    <row r="1522" spans="1:26" hidden="1">
      <c r="A1522" s="367">
        <f>SUBTOTAL(3,$B$15:B1522)</f>
        <v>2</v>
      </c>
      <c r="H1522" s="359">
        <f t="shared" si="49"/>
        <v>0</v>
      </c>
      <c r="N1522" s="361"/>
      <c r="O1522" s="361"/>
      <c r="P1522" s="361"/>
      <c r="Q1522" s="361"/>
      <c r="R1522" s="361"/>
      <c r="S1522" s="361"/>
      <c r="T1522" s="396"/>
      <c r="U1522" s="364">
        <f t="shared" si="50"/>
        <v>0</v>
      </c>
      <c r="W1522" s="365"/>
      <c r="X1522" s="365"/>
      <c r="Z1522" s="366"/>
    </row>
    <row r="1523" spans="1:26" hidden="1">
      <c r="A1523" s="367">
        <f>SUBTOTAL(3,$B$15:B1523)</f>
        <v>2</v>
      </c>
      <c r="H1523" s="359">
        <f t="shared" si="49"/>
        <v>0</v>
      </c>
      <c r="N1523" s="361"/>
      <c r="O1523" s="361"/>
      <c r="P1523" s="361"/>
      <c r="Q1523" s="361"/>
      <c r="R1523" s="361"/>
      <c r="S1523" s="361"/>
      <c r="T1523" s="396"/>
      <c r="U1523" s="364">
        <f t="shared" si="50"/>
        <v>0</v>
      </c>
      <c r="W1523" s="365"/>
      <c r="X1523" s="365"/>
      <c r="Z1523" s="366"/>
    </row>
    <row r="1524" spans="1:26" hidden="1">
      <c r="A1524" s="367">
        <f>SUBTOTAL(3,$B$15:B1524)</f>
        <v>2</v>
      </c>
      <c r="H1524" s="359">
        <f t="shared" si="49"/>
        <v>0</v>
      </c>
      <c r="N1524" s="361"/>
      <c r="O1524" s="361"/>
      <c r="P1524" s="361"/>
      <c r="Q1524" s="361"/>
      <c r="R1524" s="361"/>
      <c r="S1524" s="361"/>
      <c r="T1524" s="396"/>
      <c r="U1524" s="364">
        <f t="shared" si="50"/>
        <v>0</v>
      </c>
      <c r="W1524" s="365"/>
      <c r="X1524" s="365"/>
      <c r="Z1524" s="366"/>
    </row>
    <row r="1525" spans="1:26" hidden="1">
      <c r="A1525" s="367">
        <f>SUBTOTAL(3,$B$15:B1525)</f>
        <v>2</v>
      </c>
      <c r="H1525" s="359">
        <f t="shared" si="49"/>
        <v>0</v>
      </c>
      <c r="N1525" s="361"/>
      <c r="O1525" s="361"/>
      <c r="P1525" s="361"/>
      <c r="Q1525" s="361"/>
      <c r="R1525" s="361"/>
      <c r="S1525" s="361"/>
      <c r="T1525" s="396"/>
      <c r="U1525" s="364">
        <f t="shared" si="50"/>
        <v>0</v>
      </c>
      <c r="W1525" s="365"/>
      <c r="X1525" s="365"/>
      <c r="Z1525" s="366"/>
    </row>
    <row r="1526" spans="1:26" hidden="1">
      <c r="A1526" s="367">
        <f>SUBTOTAL(3,$B$15:B1526)</f>
        <v>2</v>
      </c>
      <c r="H1526" s="359">
        <f t="shared" si="49"/>
        <v>0</v>
      </c>
      <c r="N1526" s="361"/>
      <c r="O1526" s="361"/>
      <c r="P1526" s="361"/>
      <c r="Q1526" s="361"/>
      <c r="R1526" s="361"/>
      <c r="S1526" s="361"/>
      <c r="T1526" s="396"/>
      <c r="U1526" s="364">
        <f t="shared" si="50"/>
        <v>0</v>
      </c>
      <c r="W1526" s="365"/>
      <c r="X1526" s="365"/>
      <c r="Z1526" s="366"/>
    </row>
    <row r="1527" spans="1:26" hidden="1">
      <c r="A1527" s="367">
        <f>SUBTOTAL(3,$B$15:B1527)</f>
        <v>2</v>
      </c>
      <c r="H1527" s="359">
        <f t="shared" si="49"/>
        <v>0</v>
      </c>
      <c r="N1527" s="361"/>
      <c r="O1527" s="361"/>
      <c r="P1527" s="361"/>
      <c r="Q1527" s="361"/>
      <c r="R1527" s="361"/>
      <c r="S1527" s="361"/>
      <c r="T1527" s="396"/>
      <c r="U1527" s="364">
        <f t="shared" si="50"/>
        <v>0</v>
      </c>
      <c r="W1527" s="365"/>
      <c r="X1527" s="365"/>
      <c r="Z1527" s="366"/>
    </row>
    <row r="1528" spans="1:26" hidden="1">
      <c r="A1528" s="367">
        <f>SUBTOTAL(3,$B$15:B1528)</f>
        <v>2</v>
      </c>
      <c r="H1528" s="359">
        <f t="shared" si="49"/>
        <v>0</v>
      </c>
      <c r="N1528" s="361"/>
      <c r="O1528" s="361"/>
      <c r="P1528" s="361"/>
      <c r="Q1528" s="361"/>
      <c r="R1528" s="361"/>
      <c r="S1528" s="361"/>
      <c r="T1528" s="396"/>
      <c r="U1528" s="364">
        <f t="shared" si="50"/>
        <v>0</v>
      </c>
      <c r="W1528" s="365"/>
      <c r="X1528" s="365"/>
      <c r="Z1528" s="366"/>
    </row>
    <row r="1529" spans="1:26" hidden="1">
      <c r="A1529" s="367">
        <f>SUBTOTAL(3,$B$15:B1529)</f>
        <v>2</v>
      </c>
      <c r="H1529" s="359">
        <f t="shared" si="49"/>
        <v>0</v>
      </c>
      <c r="N1529" s="361"/>
      <c r="O1529" s="361"/>
      <c r="P1529" s="361"/>
      <c r="Q1529" s="361"/>
      <c r="R1529" s="361"/>
      <c r="S1529" s="361"/>
      <c r="T1529" s="396"/>
      <c r="U1529" s="364">
        <f t="shared" si="50"/>
        <v>0</v>
      </c>
      <c r="W1529" s="365"/>
      <c r="X1529" s="365"/>
      <c r="Z1529" s="366"/>
    </row>
    <row r="1530" spans="1:26" hidden="1">
      <c r="A1530" s="367">
        <f>SUBTOTAL(3,$B$15:B1530)</f>
        <v>2</v>
      </c>
      <c r="H1530" s="359">
        <f t="shared" si="49"/>
        <v>0</v>
      </c>
      <c r="N1530" s="361"/>
      <c r="O1530" s="361"/>
      <c r="P1530" s="361"/>
      <c r="Q1530" s="361"/>
      <c r="R1530" s="361"/>
      <c r="S1530" s="361"/>
      <c r="T1530" s="396"/>
      <c r="U1530" s="364">
        <f t="shared" si="50"/>
        <v>0</v>
      </c>
      <c r="W1530" s="365"/>
      <c r="X1530" s="365"/>
      <c r="Z1530" s="366"/>
    </row>
    <row r="1531" spans="1:26" hidden="1">
      <c r="A1531" s="367">
        <f>SUBTOTAL(3,$B$15:B1531)</f>
        <v>2</v>
      </c>
      <c r="H1531" s="359">
        <f t="shared" si="49"/>
        <v>0</v>
      </c>
      <c r="N1531" s="361"/>
      <c r="O1531" s="361"/>
      <c r="P1531" s="361"/>
      <c r="Q1531" s="361"/>
      <c r="R1531" s="361"/>
      <c r="S1531" s="361"/>
      <c r="T1531" s="396"/>
      <c r="U1531" s="364">
        <f t="shared" si="50"/>
        <v>0</v>
      </c>
      <c r="W1531" s="365"/>
      <c r="X1531" s="365"/>
      <c r="Z1531" s="366"/>
    </row>
    <row r="1532" spans="1:26" hidden="1">
      <c r="A1532" s="367">
        <f>SUBTOTAL(3,$B$15:B1532)</f>
        <v>2</v>
      </c>
      <c r="H1532" s="359">
        <f t="shared" si="49"/>
        <v>0</v>
      </c>
      <c r="N1532" s="361"/>
      <c r="O1532" s="361"/>
      <c r="P1532" s="361"/>
      <c r="Q1532" s="361"/>
      <c r="R1532" s="361"/>
      <c r="S1532" s="361"/>
      <c r="T1532" s="396"/>
      <c r="U1532" s="364">
        <f t="shared" si="50"/>
        <v>0</v>
      </c>
      <c r="W1532" s="365"/>
      <c r="X1532" s="365"/>
      <c r="Z1532" s="366"/>
    </row>
    <row r="1533" spans="1:26" hidden="1">
      <c r="A1533" s="367">
        <f>SUBTOTAL(3,$B$15:B1533)</f>
        <v>2</v>
      </c>
      <c r="H1533" s="359">
        <f t="shared" si="49"/>
        <v>0</v>
      </c>
      <c r="N1533" s="361"/>
      <c r="O1533" s="361"/>
      <c r="P1533" s="361"/>
      <c r="Q1533" s="361"/>
      <c r="R1533" s="361"/>
      <c r="S1533" s="361"/>
      <c r="T1533" s="396"/>
      <c r="U1533" s="364">
        <f t="shared" si="50"/>
        <v>0</v>
      </c>
      <c r="W1533" s="365"/>
      <c r="X1533" s="365"/>
      <c r="Z1533" s="366"/>
    </row>
    <row r="1534" spans="1:26" hidden="1">
      <c r="A1534" s="367">
        <f>SUBTOTAL(3,$B$15:B1534)</f>
        <v>2</v>
      </c>
      <c r="H1534" s="359">
        <f t="shared" si="49"/>
        <v>0</v>
      </c>
      <c r="N1534" s="361"/>
      <c r="O1534" s="361"/>
      <c r="P1534" s="361"/>
      <c r="Q1534" s="361"/>
      <c r="R1534" s="361"/>
      <c r="S1534" s="361"/>
      <c r="T1534" s="396"/>
      <c r="U1534" s="364">
        <f t="shared" si="50"/>
        <v>0</v>
      </c>
      <c r="W1534" s="365"/>
      <c r="X1534" s="365"/>
      <c r="Z1534" s="366"/>
    </row>
    <row r="1535" spans="1:26" hidden="1">
      <c r="A1535" s="367">
        <f>SUBTOTAL(3,$B$15:B1535)</f>
        <v>2</v>
      </c>
      <c r="H1535" s="359">
        <f t="shared" si="49"/>
        <v>0</v>
      </c>
      <c r="N1535" s="361"/>
      <c r="O1535" s="361"/>
      <c r="P1535" s="361"/>
      <c r="Q1535" s="361"/>
      <c r="R1535" s="361"/>
      <c r="S1535" s="361"/>
      <c r="T1535" s="396"/>
      <c r="U1535" s="364">
        <f t="shared" si="50"/>
        <v>0</v>
      </c>
      <c r="W1535" s="365"/>
      <c r="X1535" s="365"/>
      <c r="Z1535" s="366"/>
    </row>
    <row r="1536" spans="1:26" hidden="1">
      <c r="A1536" s="367">
        <f>SUBTOTAL(3,$B$15:B1536)</f>
        <v>2</v>
      </c>
      <c r="H1536" s="359">
        <f t="shared" si="49"/>
        <v>0</v>
      </c>
      <c r="N1536" s="361"/>
      <c r="O1536" s="361"/>
      <c r="P1536" s="361"/>
      <c r="Q1536" s="361"/>
      <c r="R1536" s="361"/>
      <c r="S1536" s="361"/>
      <c r="T1536" s="396"/>
      <c r="U1536" s="364">
        <f t="shared" si="50"/>
        <v>0</v>
      </c>
      <c r="W1536" s="365"/>
      <c r="X1536" s="365"/>
      <c r="Z1536" s="366"/>
    </row>
    <row r="1537" spans="1:26" hidden="1">
      <c r="A1537" s="367">
        <f>SUBTOTAL(3,$B$15:B1537)</f>
        <v>2</v>
      </c>
      <c r="H1537" s="359">
        <f t="shared" si="49"/>
        <v>0</v>
      </c>
      <c r="N1537" s="361"/>
      <c r="O1537" s="361"/>
      <c r="P1537" s="361"/>
      <c r="Q1537" s="361"/>
      <c r="R1537" s="361"/>
      <c r="S1537" s="361"/>
      <c r="T1537" s="396"/>
      <c r="U1537" s="364">
        <f t="shared" si="50"/>
        <v>0</v>
      </c>
      <c r="W1537" s="365"/>
      <c r="X1537" s="365"/>
      <c r="Z1537" s="366"/>
    </row>
    <row r="1538" spans="1:26" hidden="1">
      <c r="A1538" s="367">
        <f>SUBTOTAL(3,$B$15:B1538)</f>
        <v>2</v>
      </c>
      <c r="H1538" s="359">
        <f t="shared" si="49"/>
        <v>0</v>
      </c>
      <c r="N1538" s="361"/>
      <c r="O1538" s="361"/>
      <c r="P1538" s="361"/>
      <c r="Q1538" s="361"/>
      <c r="R1538" s="361"/>
      <c r="S1538" s="361"/>
      <c r="T1538" s="396"/>
      <c r="U1538" s="364">
        <f t="shared" si="50"/>
        <v>0</v>
      </c>
      <c r="W1538" s="365"/>
      <c r="X1538" s="365"/>
      <c r="Z1538" s="366"/>
    </row>
    <row r="1539" spans="1:26" hidden="1">
      <c r="A1539" s="367">
        <f>SUBTOTAL(3,$B$15:B1539)</f>
        <v>2</v>
      </c>
      <c r="H1539" s="359">
        <f t="shared" si="49"/>
        <v>0</v>
      </c>
      <c r="N1539" s="361"/>
      <c r="O1539" s="361"/>
      <c r="P1539" s="361"/>
      <c r="Q1539" s="361"/>
      <c r="R1539" s="361"/>
      <c r="S1539" s="361"/>
      <c r="T1539" s="396"/>
      <c r="U1539" s="364">
        <f t="shared" si="50"/>
        <v>0</v>
      </c>
      <c r="W1539" s="365"/>
      <c r="X1539" s="365"/>
      <c r="Z1539" s="366"/>
    </row>
    <row r="1540" spans="1:26" hidden="1">
      <c r="A1540" s="367">
        <f>SUBTOTAL(3,$B$15:B1540)</f>
        <v>2</v>
      </c>
      <c r="H1540" s="359">
        <f t="shared" si="49"/>
        <v>0</v>
      </c>
      <c r="N1540" s="361"/>
      <c r="O1540" s="361"/>
      <c r="P1540" s="361"/>
      <c r="Q1540" s="361"/>
      <c r="R1540" s="361"/>
      <c r="S1540" s="361"/>
      <c r="T1540" s="396"/>
      <c r="U1540" s="364">
        <f t="shared" si="50"/>
        <v>0</v>
      </c>
      <c r="W1540" s="365"/>
      <c r="X1540" s="365"/>
      <c r="Z1540" s="366"/>
    </row>
    <row r="1541" spans="1:26" hidden="1">
      <c r="A1541" s="367">
        <f>SUBTOTAL(3,$B$15:B1541)</f>
        <v>2</v>
      </c>
      <c r="H1541" s="359">
        <f t="shared" si="49"/>
        <v>0</v>
      </c>
      <c r="N1541" s="361"/>
      <c r="O1541" s="361"/>
      <c r="P1541" s="361"/>
      <c r="Q1541" s="361"/>
      <c r="R1541" s="361"/>
      <c r="S1541" s="361"/>
      <c r="T1541" s="396"/>
      <c r="U1541" s="364">
        <f t="shared" si="50"/>
        <v>0</v>
      </c>
      <c r="W1541" s="365"/>
      <c r="X1541" s="365"/>
      <c r="Z1541" s="366"/>
    </row>
    <row r="1542" spans="1:26" hidden="1">
      <c r="A1542" s="367">
        <f>SUBTOTAL(3,$B$15:B1542)</f>
        <v>2</v>
      </c>
      <c r="H1542" s="359">
        <f t="shared" si="49"/>
        <v>0</v>
      </c>
      <c r="N1542" s="361"/>
      <c r="O1542" s="361"/>
      <c r="P1542" s="361"/>
      <c r="Q1542" s="361"/>
      <c r="R1542" s="361"/>
      <c r="S1542" s="361"/>
      <c r="T1542" s="396"/>
      <c r="U1542" s="364">
        <f t="shared" si="50"/>
        <v>0</v>
      </c>
      <c r="W1542" s="365"/>
      <c r="X1542" s="365"/>
      <c r="Z1542" s="366"/>
    </row>
    <row r="1543" spans="1:26" hidden="1">
      <c r="A1543" s="367">
        <f>SUBTOTAL(3,$B$15:B1543)</f>
        <v>2</v>
      </c>
      <c r="H1543" s="359">
        <f t="shared" si="49"/>
        <v>0</v>
      </c>
      <c r="N1543" s="361"/>
      <c r="O1543" s="361"/>
      <c r="P1543" s="361"/>
      <c r="Q1543" s="361"/>
      <c r="R1543" s="361"/>
      <c r="S1543" s="361"/>
      <c r="T1543" s="396"/>
      <c r="U1543" s="364">
        <f t="shared" si="50"/>
        <v>0</v>
      </c>
      <c r="W1543" s="365"/>
      <c r="X1543" s="365"/>
      <c r="Z1543" s="366"/>
    </row>
    <row r="1544" spans="1:26" hidden="1">
      <c r="A1544" s="367">
        <f>SUBTOTAL(3,$B$15:B1544)</f>
        <v>2</v>
      </c>
      <c r="H1544" s="359">
        <f t="shared" si="49"/>
        <v>0</v>
      </c>
      <c r="N1544" s="361"/>
      <c r="O1544" s="361"/>
      <c r="P1544" s="361"/>
      <c r="Q1544" s="361"/>
      <c r="R1544" s="361"/>
      <c r="S1544" s="361"/>
      <c r="T1544" s="396"/>
      <c r="U1544" s="364">
        <f t="shared" si="50"/>
        <v>0</v>
      </c>
      <c r="W1544" s="365"/>
      <c r="X1544" s="365"/>
      <c r="Z1544" s="366"/>
    </row>
    <row r="1545" spans="1:26" hidden="1">
      <c r="A1545" s="367">
        <f>SUBTOTAL(3,$B$15:B1545)</f>
        <v>2</v>
      </c>
      <c r="H1545" s="359">
        <f t="shared" si="49"/>
        <v>0</v>
      </c>
      <c r="N1545" s="361"/>
      <c r="O1545" s="361"/>
      <c r="P1545" s="361"/>
      <c r="Q1545" s="361"/>
      <c r="R1545" s="361"/>
      <c r="S1545" s="361"/>
      <c r="T1545" s="396"/>
      <c r="U1545" s="364">
        <f t="shared" si="50"/>
        <v>0</v>
      </c>
      <c r="W1545" s="365"/>
      <c r="X1545" s="365"/>
      <c r="Z1545" s="366"/>
    </row>
    <row r="1546" spans="1:26" hidden="1">
      <c r="A1546" s="367">
        <f>SUBTOTAL(3,$B$15:B1546)</f>
        <v>2</v>
      </c>
      <c r="H1546" s="359">
        <f t="shared" si="49"/>
        <v>0</v>
      </c>
      <c r="N1546" s="361"/>
      <c r="O1546" s="361"/>
      <c r="P1546" s="361"/>
      <c r="Q1546" s="361"/>
      <c r="R1546" s="361"/>
      <c r="S1546" s="361"/>
      <c r="T1546" s="396"/>
      <c r="U1546" s="364">
        <f t="shared" si="50"/>
        <v>0</v>
      </c>
      <c r="W1546" s="365"/>
      <c r="X1546" s="365"/>
      <c r="Z1546" s="366"/>
    </row>
    <row r="1547" spans="1:26" hidden="1">
      <c r="A1547" s="367">
        <f>SUBTOTAL(3,$B$15:B1547)</f>
        <v>2</v>
      </c>
      <c r="H1547" s="359">
        <f t="shared" si="49"/>
        <v>0</v>
      </c>
      <c r="N1547" s="361"/>
      <c r="O1547" s="361"/>
      <c r="P1547" s="361"/>
      <c r="Q1547" s="361"/>
      <c r="R1547" s="361"/>
      <c r="S1547" s="361"/>
      <c r="T1547" s="396"/>
      <c r="U1547" s="364">
        <f t="shared" si="50"/>
        <v>0</v>
      </c>
      <c r="W1547" s="365"/>
      <c r="X1547" s="365"/>
      <c r="Z1547" s="366"/>
    </row>
    <row r="1548" spans="1:26" hidden="1">
      <c r="A1548" s="367">
        <f>SUBTOTAL(3,$B$15:B1548)</f>
        <v>2</v>
      </c>
      <c r="H1548" s="359">
        <f t="shared" si="49"/>
        <v>0</v>
      </c>
      <c r="N1548" s="361"/>
      <c r="O1548" s="361"/>
      <c r="P1548" s="361"/>
      <c r="Q1548" s="361"/>
      <c r="R1548" s="361"/>
      <c r="S1548" s="361"/>
      <c r="T1548" s="396"/>
      <c r="U1548" s="364">
        <f t="shared" si="50"/>
        <v>0</v>
      </c>
      <c r="W1548" s="365"/>
      <c r="X1548" s="365"/>
      <c r="Z1548" s="366"/>
    </row>
    <row r="1549" spans="1:26" hidden="1">
      <c r="A1549" s="367">
        <f>SUBTOTAL(3,$B$15:B1549)</f>
        <v>2</v>
      </c>
      <c r="H1549" s="359">
        <f t="shared" si="49"/>
        <v>0</v>
      </c>
      <c r="N1549" s="361"/>
      <c r="O1549" s="361"/>
      <c r="P1549" s="361"/>
      <c r="Q1549" s="361"/>
      <c r="R1549" s="361"/>
      <c r="S1549" s="361"/>
      <c r="T1549" s="396"/>
      <c r="U1549" s="364">
        <f t="shared" si="50"/>
        <v>0</v>
      </c>
      <c r="W1549" s="365"/>
      <c r="X1549" s="365"/>
      <c r="Z1549" s="366"/>
    </row>
    <row r="1550" spans="1:26" hidden="1">
      <c r="A1550" s="367">
        <f>SUBTOTAL(3,$B$15:B1550)</f>
        <v>2</v>
      </c>
      <c r="H1550" s="359">
        <f t="shared" si="49"/>
        <v>0</v>
      </c>
      <c r="N1550" s="361"/>
      <c r="O1550" s="361"/>
      <c r="P1550" s="361"/>
      <c r="Q1550" s="361"/>
      <c r="R1550" s="361"/>
      <c r="S1550" s="361"/>
      <c r="T1550" s="396"/>
      <c r="U1550" s="364">
        <f t="shared" si="50"/>
        <v>0</v>
      </c>
      <c r="W1550" s="365"/>
      <c r="X1550" s="365"/>
      <c r="Z1550" s="366"/>
    </row>
    <row r="1551" spans="1:26" hidden="1">
      <c r="A1551" s="367">
        <f>SUBTOTAL(3,$B$15:B1551)</f>
        <v>2</v>
      </c>
      <c r="H1551" s="359">
        <f t="shared" si="49"/>
        <v>0</v>
      </c>
      <c r="N1551" s="361"/>
      <c r="O1551" s="361"/>
      <c r="P1551" s="361"/>
      <c r="Q1551" s="361"/>
      <c r="R1551" s="361"/>
      <c r="S1551" s="361"/>
      <c r="T1551" s="396"/>
      <c r="U1551" s="364">
        <f t="shared" si="50"/>
        <v>0</v>
      </c>
      <c r="W1551" s="365"/>
      <c r="X1551" s="365"/>
      <c r="Z1551" s="366"/>
    </row>
    <row r="1552" spans="1:26" hidden="1">
      <c r="A1552" s="367">
        <f>SUBTOTAL(3,$B$15:B1552)</f>
        <v>2</v>
      </c>
      <c r="H1552" s="359">
        <f t="shared" si="49"/>
        <v>0</v>
      </c>
      <c r="N1552" s="361"/>
      <c r="O1552" s="361"/>
      <c r="P1552" s="361"/>
      <c r="Q1552" s="361"/>
      <c r="R1552" s="361"/>
      <c r="S1552" s="361"/>
      <c r="T1552" s="396"/>
      <c r="U1552" s="364">
        <f t="shared" si="50"/>
        <v>0</v>
      </c>
      <c r="W1552" s="365"/>
      <c r="X1552" s="365"/>
      <c r="Z1552" s="366"/>
    </row>
    <row r="1553" spans="1:26" hidden="1">
      <c r="A1553" s="367">
        <f>SUBTOTAL(3,$B$15:B1553)</f>
        <v>2</v>
      </c>
      <c r="H1553" s="359">
        <f t="shared" si="49"/>
        <v>0</v>
      </c>
      <c r="N1553" s="361"/>
      <c r="O1553" s="361"/>
      <c r="P1553" s="361"/>
      <c r="Q1553" s="361"/>
      <c r="R1553" s="361"/>
      <c r="S1553" s="361"/>
      <c r="T1553" s="396"/>
      <c r="U1553" s="364">
        <f t="shared" si="50"/>
        <v>0</v>
      </c>
      <c r="W1553" s="365"/>
      <c r="X1553" s="365"/>
      <c r="Z1553" s="366"/>
    </row>
    <row r="1554" spans="1:26" hidden="1">
      <c r="A1554" s="367">
        <f>SUBTOTAL(3,$B$15:B1554)</f>
        <v>2</v>
      </c>
      <c r="H1554" s="359">
        <f t="shared" si="49"/>
        <v>0</v>
      </c>
      <c r="N1554" s="361"/>
      <c r="O1554" s="361"/>
      <c r="P1554" s="361"/>
      <c r="Q1554" s="361"/>
      <c r="R1554" s="361"/>
      <c r="S1554" s="361"/>
      <c r="T1554" s="396"/>
      <c r="U1554" s="364">
        <f t="shared" si="50"/>
        <v>0</v>
      </c>
      <c r="W1554" s="365"/>
      <c r="X1554" s="365"/>
      <c r="Z1554" s="366"/>
    </row>
    <row r="1555" spans="1:26" hidden="1">
      <c r="A1555" s="367">
        <f>SUBTOTAL(3,$B$15:B1555)</f>
        <v>2</v>
      </c>
      <c r="H1555" s="359">
        <f t="shared" si="49"/>
        <v>0</v>
      </c>
      <c r="N1555" s="361"/>
      <c r="O1555" s="361"/>
      <c r="P1555" s="361"/>
      <c r="Q1555" s="361"/>
      <c r="R1555" s="361"/>
      <c r="S1555" s="361"/>
      <c r="T1555" s="396"/>
      <c r="U1555" s="364">
        <f t="shared" si="50"/>
        <v>0</v>
      </c>
      <c r="W1555" s="365"/>
      <c r="X1555" s="365"/>
      <c r="Z1555" s="366"/>
    </row>
    <row r="1556" spans="1:26" hidden="1">
      <c r="A1556" s="367">
        <f>SUBTOTAL(3,$B$15:B1556)</f>
        <v>2</v>
      </c>
      <c r="H1556" s="359">
        <f t="shared" ref="H1556:H1619" si="51">+G1556-SUM(M1556,O1556,Q1556)</f>
        <v>0</v>
      </c>
      <c r="N1556" s="361"/>
      <c r="O1556" s="361"/>
      <c r="P1556" s="361"/>
      <c r="Q1556" s="361"/>
      <c r="R1556" s="361"/>
      <c r="S1556" s="361"/>
      <c r="T1556" s="396"/>
      <c r="U1556" s="364">
        <f t="shared" si="50"/>
        <v>0</v>
      </c>
      <c r="W1556" s="365"/>
      <c r="X1556" s="365"/>
      <c r="Z1556" s="366"/>
    </row>
    <row r="1557" spans="1:26" hidden="1">
      <c r="A1557" s="367">
        <f>SUBTOTAL(3,$B$15:B1557)</f>
        <v>2</v>
      </c>
      <c r="H1557" s="359">
        <f t="shared" si="51"/>
        <v>0</v>
      </c>
      <c r="N1557" s="361"/>
      <c r="O1557" s="361"/>
      <c r="P1557" s="361"/>
      <c r="Q1557" s="361"/>
      <c r="R1557" s="361"/>
      <c r="S1557" s="361"/>
      <c r="T1557" s="396"/>
      <c r="U1557" s="364">
        <f t="shared" si="50"/>
        <v>0</v>
      </c>
      <c r="W1557" s="365"/>
      <c r="X1557" s="365"/>
      <c r="Z1557" s="366"/>
    </row>
    <row r="1558" spans="1:26" hidden="1">
      <c r="A1558" s="367">
        <f>SUBTOTAL(3,$B$15:B1558)</f>
        <v>2</v>
      </c>
      <c r="H1558" s="359">
        <f t="shared" si="51"/>
        <v>0</v>
      </c>
      <c r="N1558" s="361"/>
      <c r="O1558" s="361"/>
      <c r="P1558" s="361"/>
      <c r="Q1558" s="361"/>
      <c r="R1558" s="361"/>
      <c r="S1558" s="361"/>
      <c r="T1558" s="396"/>
      <c r="U1558" s="364">
        <f t="shared" si="50"/>
        <v>0</v>
      </c>
      <c r="W1558" s="365"/>
      <c r="X1558" s="365"/>
      <c r="Z1558" s="366"/>
    </row>
    <row r="1559" spans="1:26" hidden="1">
      <c r="A1559" s="367">
        <f>SUBTOTAL(3,$B$15:B1559)</f>
        <v>2</v>
      </c>
      <c r="H1559" s="359">
        <f t="shared" si="51"/>
        <v>0</v>
      </c>
      <c r="N1559" s="361"/>
      <c r="O1559" s="361"/>
      <c r="P1559" s="361"/>
      <c r="Q1559" s="361"/>
      <c r="R1559" s="361"/>
      <c r="S1559" s="361"/>
      <c r="T1559" s="396"/>
      <c r="U1559" s="364">
        <f t="shared" ref="U1559:U1622" si="52">SUM(H1559:T1559)</f>
        <v>0</v>
      </c>
      <c r="W1559" s="365"/>
      <c r="X1559" s="365"/>
      <c r="Z1559" s="366"/>
    </row>
    <row r="1560" spans="1:26" hidden="1">
      <c r="A1560" s="367">
        <f>SUBTOTAL(3,$B$15:B1560)</f>
        <v>2</v>
      </c>
      <c r="H1560" s="359">
        <f t="shared" si="51"/>
        <v>0</v>
      </c>
      <c r="N1560" s="361"/>
      <c r="O1560" s="361"/>
      <c r="P1560" s="361"/>
      <c r="Q1560" s="361"/>
      <c r="R1560" s="361"/>
      <c r="S1560" s="361"/>
      <c r="T1560" s="396"/>
      <c r="U1560" s="364">
        <f t="shared" si="52"/>
        <v>0</v>
      </c>
      <c r="W1560" s="365"/>
      <c r="X1560" s="365"/>
      <c r="Z1560" s="366"/>
    </row>
    <row r="1561" spans="1:26" hidden="1">
      <c r="A1561" s="367">
        <f>SUBTOTAL(3,$B$15:B1561)</f>
        <v>2</v>
      </c>
      <c r="H1561" s="359">
        <f t="shared" si="51"/>
        <v>0</v>
      </c>
      <c r="N1561" s="361"/>
      <c r="O1561" s="361"/>
      <c r="P1561" s="361"/>
      <c r="Q1561" s="361"/>
      <c r="R1561" s="361"/>
      <c r="S1561" s="361"/>
      <c r="T1561" s="396"/>
      <c r="U1561" s="364">
        <f t="shared" si="52"/>
        <v>0</v>
      </c>
      <c r="W1561" s="365"/>
      <c r="X1561" s="365"/>
      <c r="Z1561" s="366"/>
    </row>
    <row r="1562" spans="1:26" hidden="1">
      <c r="A1562" s="367">
        <f>SUBTOTAL(3,$B$15:B1562)</f>
        <v>2</v>
      </c>
      <c r="H1562" s="359">
        <f t="shared" si="51"/>
        <v>0</v>
      </c>
      <c r="N1562" s="361"/>
      <c r="O1562" s="361"/>
      <c r="P1562" s="361"/>
      <c r="Q1562" s="361"/>
      <c r="R1562" s="361"/>
      <c r="S1562" s="361"/>
      <c r="T1562" s="396"/>
      <c r="U1562" s="364">
        <f t="shared" si="52"/>
        <v>0</v>
      </c>
      <c r="W1562" s="365"/>
      <c r="X1562" s="365"/>
      <c r="Z1562" s="366"/>
    </row>
    <row r="1563" spans="1:26" hidden="1">
      <c r="A1563" s="367">
        <f>SUBTOTAL(3,$B$15:B1563)</f>
        <v>2</v>
      </c>
      <c r="H1563" s="359">
        <f t="shared" si="51"/>
        <v>0</v>
      </c>
      <c r="N1563" s="361"/>
      <c r="O1563" s="361"/>
      <c r="P1563" s="361"/>
      <c r="Q1563" s="361"/>
      <c r="R1563" s="361"/>
      <c r="S1563" s="361"/>
      <c r="T1563" s="396"/>
      <c r="U1563" s="364">
        <f t="shared" si="52"/>
        <v>0</v>
      </c>
      <c r="W1563" s="365"/>
      <c r="X1563" s="365"/>
      <c r="Z1563" s="366"/>
    </row>
    <row r="1564" spans="1:26" hidden="1">
      <c r="A1564" s="367">
        <f>SUBTOTAL(3,$B$15:B1564)</f>
        <v>2</v>
      </c>
      <c r="H1564" s="359">
        <f t="shared" si="51"/>
        <v>0</v>
      </c>
      <c r="N1564" s="361"/>
      <c r="O1564" s="361"/>
      <c r="P1564" s="361"/>
      <c r="Q1564" s="361"/>
      <c r="R1564" s="361"/>
      <c r="S1564" s="361"/>
      <c r="T1564" s="396"/>
      <c r="U1564" s="364">
        <f t="shared" si="52"/>
        <v>0</v>
      </c>
      <c r="W1564" s="365"/>
      <c r="X1564" s="365"/>
      <c r="Z1564" s="366"/>
    </row>
    <row r="1565" spans="1:26" hidden="1">
      <c r="A1565" s="367">
        <f>SUBTOTAL(3,$B$15:B1565)</f>
        <v>2</v>
      </c>
      <c r="H1565" s="359">
        <f t="shared" si="51"/>
        <v>0</v>
      </c>
      <c r="N1565" s="361"/>
      <c r="O1565" s="361"/>
      <c r="P1565" s="361"/>
      <c r="Q1565" s="361"/>
      <c r="R1565" s="361"/>
      <c r="S1565" s="361"/>
      <c r="T1565" s="396"/>
      <c r="U1565" s="364">
        <f t="shared" si="52"/>
        <v>0</v>
      </c>
      <c r="W1565" s="365"/>
      <c r="X1565" s="365"/>
      <c r="Z1565" s="366"/>
    </row>
    <row r="1566" spans="1:26" hidden="1">
      <c r="A1566" s="367">
        <f>SUBTOTAL(3,$B$15:B1566)</f>
        <v>2</v>
      </c>
      <c r="H1566" s="359">
        <f t="shared" si="51"/>
        <v>0</v>
      </c>
      <c r="N1566" s="361"/>
      <c r="O1566" s="361"/>
      <c r="P1566" s="361"/>
      <c r="Q1566" s="361"/>
      <c r="R1566" s="361"/>
      <c r="S1566" s="361"/>
      <c r="T1566" s="396"/>
      <c r="U1566" s="364">
        <f t="shared" si="52"/>
        <v>0</v>
      </c>
      <c r="W1566" s="365"/>
      <c r="X1566" s="365"/>
      <c r="Z1566" s="366"/>
    </row>
    <row r="1567" spans="1:26" hidden="1">
      <c r="A1567" s="367">
        <f>SUBTOTAL(3,$B$15:B1567)</f>
        <v>2</v>
      </c>
      <c r="H1567" s="359">
        <f t="shared" si="51"/>
        <v>0</v>
      </c>
      <c r="N1567" s="361"/>
      <c r="O1567" s="361"/>
      <c r="P1567" s="361"/>
      <c r="Q1567" s="361"/>
      <c r="R1567" s="361"/>
      <c r="S1567" s="361"/>
      <c r="T1567" s="396"/>
      <c r="U1567" s="364">
        <f t="shared" si="52"/>
        <v>0</v>
      </c>
      <c r="W1567" s="365"/>
      <c r="X1567" s="365"/>
      <c r="Z1567" s="366"/>
    </row>
    <row r="1568" spans="1:26" hidden="1">
      <c r="A1568" s="367">
        <f>SUBTOTAL(3,$B$15:B1568)</f>
        <v>2</v>
      </c>
      <c r="H1568" s="359">
        <f t="shared" si="51"/>
        <v>0</v>
      </c>
      <c r="N1568" s="361"/>
      <c r="O1568" s="361"/>
      <c r="P1568" s="361"/>
      <c r="Q1568" s="361"/>
      <c r="R1568" s="361"/>
      <c r="S1568" s="361"/>
      <c r="T1568" s="396"/>
      <c r="U1568" s="364">
        <f t="shared" si="52"/>
        <v>0</v>
      </c>
      <c r="W1568" s="365"/>
      <c r="X1568" s="365"/>
      <c r="Z1568" s="366"/>
    </row>
    <row r="1569" spans="1:26" hidden="1">
      <c r="A1569" s="367">
        <f>SUBTOTAL(3,$B$15:B1569)</f>
        <v>2</v>
      </c>
      <c r="H1569" s="359">
        <f t="shared" si="51"/>
        <v>0</v>
      </c>
      <c r="N1569" s="361"/>
      <c r="O1569" s="361"/>
      <c r="P1569" s="361"/>
      <c r="Q1569" s="361"/>
      <c r="R1569" s="361"/>
      <c r="S1569" s="361"/>
      <c r="T1569" s="396"/>
      <c r="U1569" s="364">
        <f t="shared" si="52"/>
        <v>0</v>
      </c>
      <c r="W1569" s="365"/>
      <c r="X1569" s="365"/>
      <c r="Z1569" s="366"/>
    </row>
    <row r="1570" spans="1:26" hidden="1">
      <c r="A1570" s="367">
        <f>SUBTOTAL(3,$B$15:B1570)</f>
        <v>2</v>
      </c>
      <c r="H1570" s="359">
        <f t="shared" si="51"/>
        <v>0</v>
      </c>
      <c r="N1570" s="361"/>
      <c r="O1570" s="361"/>
      <c r="P1570" s="361"/>
      <c r="Q1570" s="361"/>
      <c r="R1570" s="361"/>
      <c r="S1570" s="361"/>
      <c r="T1570" s="396"/>
      <c r="U1570" s="364">
        <f t="shared" si="52"/>
        <v>0</v>
      </c>
      <c r="W1570" s="365"/>
      <c r="X1570" s="365"/>
      <c r="Z1570" s="366"/>
    </row>
    <row r="1571" spans="1:26" hidden="1">
      <c r="A1571" s="367">
        <f>SUBTOTAL(3,$B$15:B1571)</f>
        <v>2</v>
      </c>
      <c r="H1571" s="359">
        <f t="shared" si="51"/>
        <v>0</v>
      </c>
      <c r="N1571" s="361"/>
      <c r="O1571" s="361"/>
      <c r="P1571" s="361"/>
      <c r="Q1571" s="361"/>
      <c r="R1571" s="361"/>
      <c r="S1571" s="361"/>
      <c r="T1571" s="396"/>
      <c r="U1571" s="364">
        <f t="shared" si="52"/>
        <v>0</v>
      </c>
      <c r="W1571" s="365"/>
      <c r="X1571" s="365"/>
      <c r="Z1571" s="366"/>
    </row>
    <row r="1572" spans="1:26" hidden="1">
      <c r="A1572" s="367">
        <f>SUBTOTAL(3,$B$15:B1572)</f>
        <v>2</v>
      </c>
      <c r="H1572" s="359">
        <f t="shared" si="51"/>
        <v>0</v>
      </c>
      <c r="N1572" s="361"/>
      <c r="O1572" s="361"/>
      <c r="P1572" s="361"/>
      <c r="Q1572" s="361"/>
      <c r="R1572" s="361"/>
      <c r="S1572" s="361"/>
      <c r="T1572" s="396"/>
      <c r="U1572" s="364">
        <f t="shared" si="52"/>
        <v>0</v>
      </c>
      <c r="W1572" s="365"/>
      <c r="X1572" s="365"/>
      <c r="Z1572" s="366"/>
    </row>
    <row r="1573" spans="1:26" hidden="1">
      <c r="A1573" s="367">
        <f>SUBTOTAL(3,$B$15:B1573)</f>
        <v>2</v>
      </c>
      <c r="H1573" s="359">
        <f t="shared" si="51"/>
        <v>0</v>
      </c>
      <c r="N1573" s="361"/>
      <c r="O1573" s="361"/>
      <c r="P1573" s="361"/>
      <c r="Q1573" s="361"/>
      <c r="R1573" s="361"/>
      <c r="S1573" s="361"/>
      <c r="T1573" s="396"/>
      <c r="U1573" s="364">
        <f t="shared" si="52"/>
        <v>0</v>
      </c>
      <c r="W1573" s="365"/>
      <c r="X1573" s="365"/>
      <c r="Z1573" s="366"/>
    </row>
    <row r="1574" spans="1:26" hidden="1">
      <c r="A1574" s="367">
        <f>SUBTOTAL(3,$B$15:B1574)</f>
        <v>2</v>
      </c>
      <c r="H1574" s="359">
        <f t="shared" si="51"/>
        <v>0</v>
      </c>
      <c r="N1574" s="361"/>
      <c r="O1574" s="361"/>
      <c r="P1574" s="361"/>
      <c r="Q1574" s="361"/>
      <c r="R1574" s="361"/>
      <c r="S1574" s="361"/>
      <c r="T1574" s="396"/>
      <c r="U1574" s="364">
        <f t="shared" si="52"/>
        <v>0</v>
      </c>
      <c r="W1574" s="365"/>
      <c r="X1574" s="365"/>
      <c r="Z1574" s="366"/>
    </row>
    <row r="1575" spans="1:26" hidden="1">
      <c r="A1575" s="367">
        <f>SUBTOTAL(3,$B$15:B1575)</f>
        <v>2</v>
      </c>
      <c r="H1575" s="359">
        <f t="shared" si="51"/>
        <v>0</v>
      </c>
      <c r="N1575" s="361"/>
      <c r="O1575" s="361"/>
      <c r="P1575" s="361"/>
      <c r="Q1575" s="361"/>
      <c r="R1575" s="361"/>
      <c r="S1575" s="361"/>
      <c r="T1575" s="396"/>
      <c r="U1575" s="364">
        <f t="shared" si="52"/>
        <v>0</v>
      </c>
      <c r="W1575" s="365"/>
      <c r="X1575" s="365"/>
      <c r="Z1575" s="366"/>
    </row>
    <row r="1576" spans="1:26" hidden="1">
      <c r="A1576" s="367">
        <f>SUBTOTAL(3,$B$15:B1576)</f>
        <v>2</v>
      </c>
      <c r="H1576" s="359">
        <f t="shared" si="51"/>
        <v>0</v>
      </c>
      <c r="N1576" s="361"/>
      <c r="O1576" s="361"/>
      <c r="P1576" s="361"/>
      <c r="Q1576" s="361"/>
      <c r="R1576" s="361"/>
      <c r="S1576" s="361"/>
      <c r="T1576" s="396"/>
      <c r="U1576" s="364">
        <f t="shared" si="52"/>
        <v>0</v>
      </c>
      <c r="W1576" s="365"/>
      <c r="X1576" s="365"/>
      <c r="Z1576" s="366"/>
    </row>
    <row r="1577" spans="1:26" hidden="1">
      <c r="A1577" s="367">
        <f>SUBTOTAL(3,$B$15:B1577)</f>
        <v>2</v>
      </c>
      <c r="H1577" s="359">
        <f t="shared" si="51"/>
        <v>0</v>
      </c>
      <c r="N1577" s="361"/>
      <c r="O1577" s="361"/>
      <c r="P1577" s="361"/>
      <c r="Q1577" s="361"/>
      <c r="R1577" s="361"/>
      <c r="S1577" s="361"/>
      <c r="T1577" s="396"/>
      <c r="U1577" s="364">
        <f t="shared" si="52"/>
        <v>0</v>
      </c>
      <c r="W1577" s="365"/>
      <c r="X1577" s="365"/>
      <c r="Z1577" s="366"/>
    </row>
    <row r="1578" spans="1:26" hidden="1">
      <c r="A1578" s="367">
        <f>SUBTOTAL(3,$B$15:B1578)</f>
        <v>2</v>
      </c>
      <c r="H1578" s="359">
        <f t="shared" si="51"/>
        <v>0</v>
      </c>
      <c r="N1578" s="361"/>
      <c r="O1578" s="361"/>
      <c r="P1578" s="361"/>
      <c r="Q1578" s="361"/>
      <c r="R1578" s="361"/>
      <c r="S1578" s="361"/>
      <c r="T1578" s="396"/>
      <c r="U1578" s="364">
        <f t="shared" si="52"/>
        <v>0</v>
      </c>
      <c r="W1578" s="365"/>
      <c r="X1578" s="365"/>
      <c r="Z1578" s="366"/>
    </row>
    <row r="1579" spans="1:26" hidden="1">
      <c r="A1579" s="367">
        <f>SUBTOTAL(3,$B$15:B1579)</f>
        <v>2</v>
      </c>
      <c r="H1579" s="359">
        <f t="shared" si="51"/>
        <v>0</v>
      </c>
      <c r="N1579" s="361"/>
      <c r="O1579" s="361"/>
      <c r="P1579" s="361"/>
      <c r="Q1579" s="361"/>
      <c r="R1579" s="361"/>
      <c r="S1579" s="361"/>
      <c r="T1579" s="396"/>
      <c r="U1579" s="364">
        <f t="shared" si="52"/>
        <v>0</v>
      </c>
      <c r="W1579" s="365"/>
      <c r="X1579" s="365"/>
      <c r="Z1579" s="366"/>
    </row>
    <row r="1580" spans="1:26" hidden="1">
      <c r="A1580" s="367">
        <f>SUBTOTAL(3,$B$15:B1580)</f>
        <v>2</v>
      </c>
      <c r="H1580" s="359">
        <f t="shared" si="51"/>
        <v>0</v>
      </c>
      <c r="N1580" s="361"/>
      <c r="O1580" s="361"/>
      <c r="P1580" s="361"/>
      <c r="Q1580" s="361"/>
      <c r="R1580" s="361"/>
      <c r="S1580" s="361"/>
      <c r="T1580" s="396"/>
      <c r="U1580" s="364">
        <f t="shared" si="52"/>
        <v>0</v>
      </c>
      <c r="W1580" s="365"/>
      <c r="X1580" s="365"/>
      <c r="Z1580" s="366"/>
    </row>
    <row r="1581" spans="1:26" hidden="1">
      <c r="A1581" s="367">
        <f>SUBTOTAL(3,$B$15:B1581)</f>
        <v>2</v>
      </c>
      <c r="H1581" s="359">
        <f t="shared" si="51"/>
        <v>0</v>
      </c>
      <c r="N1581" s="361"/>
      <c r="O1581" s="361"/>
      <c r="P1581" s="361"/>
      <c r="Q1581" s="361"/>
      <c r="R1581" s="361"/>
      <c r="S1581" s="361"/>
      <c r="T1581" s="396"/>
      <c r="U1581" s="364">
        <f t="shared" si="52"/>
        <v>0</v>
      </c>
      <c r="W1581" s="365"/>
      <c r="X1581" s="365"/>
      <c r="Z1581" s="366"/>
    </row>
    <row r="1582" spans="1:26" hidden="1">
      <c r="A1582" s="367">
        <f>SUBTOTAL(3,$B$15:B1582)</f>
        <v>2</v>
      </c>
      <c r="H1582" s="359">
        <f t="shared" si="51"/>
        <v>0</v>
      </c>
      <c r="N1582" s="361"/>
      <c r="O1582" s="361"/>
      <c r="P1582" s="361"/>
      <c r="Q1582" s="361"/>
      <c r="R1582" s="361"/>
      <c r="S1582" s="361"/>
      <c r="T1582" s="396"/>
      <c r="U1582" s="364">
        <f t="shared" si="52"/>
        <v>0</v>
      </c>
      <c r="W1582" s="365"/>
      <c r="X1582" s="365"/>
      <c r="Z1582" s="366"/>
    </row>
    <row r="1583" spans="1:26" hidden="1">
      <c r="A1583" s="367">
        <f>SUBTOTAL(3,$B$15:B1583)</f>
        <v>2</v>
      </c>
      <c r="H1583" s="359">
        <f t="shared" si="51"/>
        <v>0</v>
      </c>
      <c r="N1583" s="361"/>
      <c r="O1583" s="361"/>
      <c r="P1583" s="361"/>
      <c r="Q1583" s="361"/>
      <c r="R1583" s="361"/>
      <c r="S1583" s="361"/>
      <c r="T1583" s="396"/>
      <c r="U1583" s="364">
        <f t="shared" si="52"/>
        <v>0</v>
      </c>
      <c r="W1583" s="365"/>
      <c r="X1583" s="365"/>
      <c r="Z1583" s="366"/>
    </row>
    <row r="1584" spans="1:26" hidden="1">
      <c r="A1584" s="367">
        <f>SUBTOTAL(3,$B$15:B1584)</f>
        <v>2</v>
      </c>
      <c r="H1584" s="359">
        <f t="shared" si="51"/>
        <v>0</v>
      </c>
      <c r="N1584" s="361"/>
      <c r="O1584" s="361"/>
      <c r="P1584" s="361"/>
      <c r="Q1584" s="361"/>
      <c r="R1584" s="361"/>
      <c r="S1584" s="361"/>
      <c r="T1584" s="396"/>
      <c r="U1584" s="364">
        <f t="shared" si="52"/>
        <v>0</v>
      </c>
      <c r="W1584" s="365"/>
      <c r="X1584" s="365"/>
      <c r="Z1584" s="366"/>
    </row>
    <row r="1585" spans="1:26" hidden="1">
      <c r="A1585" s="367">
        <f>SUBTOTAL(3,$B$15:B1585)</f>
        <v>2</v>
      </c>
      <c r="H1585" s="359">
        <f t="shared" si="51"/>
        <v>0</v>
      </c>
      <c r="N1585" s="361"/>
      <c r="O1585" s="361"/>
      <c r="P1585" s="361"/>
      <c r="Q1585" s="361"/>
      <c r="R1585" s="361"/>
      <c r="S1585" s="361"/>
      <c r="T1585" s="396"/>
      <c r="U1585" s="364">
        <f t="shared" si="52"/>
        <v>0</v>
      </c>
      <c r="W1585" s="365"/>
      <c r="X1585" s="365"/>
      <c r="Z1585" s="366"/>
    </row>
    <row r="1586" spans="1:26" hidden="1">
      <c r="A1586" s="367">
        <f>SUBTOTAL(3,$B$15:B1586)</f>
        <v>2</v>
      </c>
      <c r="H1586" s="359">
        <f t="shared" si="51"/>
        <v>0</v>
      </c>
      <c r="N1586" s="361"/>
      <c r="O1586" s="361"/>
      <c r="P1586" s="361"/>
      <c r="Q1586" s="361"/>
      <c r="R1586" s="361"/>
      <c r="S1586" s="361"/>
      <c r="T1586" s="396"/>
      <c r="U1586" s="364">
        <f t="shared" si="52"/>
        <v>0</v>
      </c>
      <c r="W1586" s="365"/>
      <c r="X1586" s="365"/>
      <c r="Z1586" s="366"/>
    </row>
    <row r="1587" spans="1:26" hidden="1">
      <c r="A1587" s="367">
        <f>SUBTOTAL(3,$B$15:B1587)</f>
        <v>2</v>
      </c>
      <c r="H1587" s="359">
        <f t="shared" si="51"/>
        <v>0</v>
      </c>
      <c r="N1587" s="361"/>
      <c r="O1587" s="361"/>
      <c r="P1587" s="361"/>
      <c r="Q1587" s="361"/>
      <c r="R1587" s="361"/>
      <c r="S1587" s="361"/>
      <c r="T1587" s="396"/>
      <c r="U1587" s="364">
        <f t="shared" si="52"/>
        <v>0</v>
      </c>
      <c r="W1587" s="365"/>
      <c r="X1587" s="365"/>
      <c r="Z1587" s="366"/>
    </row>
    <row r="1588" spans="1:26" hidden="1">
      <c r="A1588" s="367">
        <f>SUBTOTAL(3,$B$15:B1588)</f>
        <v>2</v>
      </c>
      <c r="H1588" s="359">
        <f t="shared" si="51"/>
        <v>0</v>
      </c>
      <c r="N1588" s="361"/>
      <c r="O1588" s="361"/>
      <c r="P1588" s="361"/>
      <c r="Q1588" s="361"/>
      <c r="R1588" s="361"/>
      <c r="S1588" s="361"/>
      <c r="T1588" s="396"/>
      <c r="U1588" s="364">
        <f t="shared" si="52"/>
        <v>0</v>
      </c>
      <c r="W1588" s="365"/>
      <c r="X1588" s="365"/>
      <c r="Z1588" s="366"/>
    </row>
    <row r="1589" spans="1:26" hidden="1">
      <c r="A1589" s="367">
        <f>SUBTOTAL(3,$B$15:B1589)</f>
        <v>2</v>
      </c>
      <c r="H1589" s="359">
        <f t="shared" si="51"/>
        <v>0</v>
      </c>
      <c r="N1589" s="361"/>
      <c r="O1589" s="361"/>
      <c r="P1589" s="361"/>
      <c r="Q1589" s="361"/>
      <c r="R1589" s="361"/>
      <c r="S1589" s="361"/>
      <c r="T1589" s="396"/>
      <c r="U1589" s="364">
        <f t="shared" si="52"/>
        <v>0</v>
      </c>
      <c r="W1589" s="365"/>
      <c r="X1589" s="365"/>
      <c r="Z1589" s="366"/>
    </row>
    <row r="1590" spans="1:26" hidden="1">
      <c r="A1590" s="367">
        <f>SUBTOTAL(3,$B$15:B1590)</f>
        <v>2</v>
      </c>
      <c r="H1590" s="359">
        <f t="shared" si="51"/>
        <v>0</v>
      </c>
      <c r="N1590" s="361"/>
      <c r="O1590" s="361"/>
      <c r="P1590" s="361"/>
      <c r="Q1590" s="361"/>
      <c r="R1590" s="361"/>
      <c r="S1590" s="361"/>
      <c r="T1590" s="396"/>
      <c r="U1590" s="364">
        <f t="shared" si="52"/>
        <v>0</v>
      </c>
      <c r="W1590" s="365"/>
      <c r="X1590" s="365"/>
      <c r="Z1590" s="366"/>
    </row>
    <row r="1591" spans="1:26" hidden="1">
      <c r="A1591" s="367">
        <f>SUBTOTAL(3,$B$15:B1591)</f>
        <v>2</v>
      </c>
      <c r="H1591" s="359">
        <f t="shared" si="51"/>
        <v>0</v>
      </c>
      <c r="N1591" s="361"/>
      <c r="O1591" s="361"/>
      <c r="P1591" s="361"/>
      <c r="Q1591" s="361"/>
      <c r="R1591" s="361"/>
      <c r="S1591" s="361"/>
      <c r="T1591" s="396"/>
      <c r="U1591" s="364">
        <f t="shared" si="52"/>
        <v>0</v>
      </c>
      <c r="W1591" s="365"/>
      <c r="X1591" s="365"/>
      <c r="Z1591" s="366"/>
    </row>
    <row r="1592" spans="1:26" hidden="1">
      <c r="A1592" s="367">
        <f>SUBTOTAL(3,$B$15:B1592)</f>
        <v>2</v>
      </c>
      <c r="H1592" s="359">
        <f t="shared" si="51"/>
        <v>0</v>
      </c>
      <c r="N1592" s="361"/>
      <c r="O1592" s="361"/>
      <c r="P1592" s="361"/>
      <c r="Q1592" s="361"/>
      <c r="R1592" s="361"/>
      <c r="S1592" s="361"/>
      <c r="T1592" s="396"/>
      <c r="U1592" s="364">
        <f t="shared" si="52"/>
        <v>0</v>
      </c>
      <c r="W1592" s="365"/>
      <c r="X1592" s="365"/>
      <c r="Z1592" s="366"/>
    </row>
    <row r="1593" spans="1:26" hidden="1">
      <c r="A1593" s="367">
        <f>SUBTOTAL(3,$B$15:B1593)</f>
        <v>2</v>
      </c>
      <c r="H1593" s="359">
        <f t="shared" si="51"/>
        <v>0</v>
      </c>
      <c r="N1593" s="361"/>
      <c r="O1593" s="361"/>
      <c r="P1593" s="361"/>
      <c r="Q1593" s="361"/>
      <c r="R1593" s="361"/>
      <c r="S1593" s="361"/>
      <c r="T1593" s="396"/>
      <c r="U1593" s="364">
        <f t="shared" si="52"/>
        <v>0</v>
      </c>
      <c r="W1593" s="365"/>
      <c r="X1593" s="365"/>
      <c r="Z1593" s="366"/>
    </row>
    <row r="1594" spans="1:26" hidden="1">
      <c r="A1594" s="367">
        <f>SUBTOTAL(3,$B$15:B1594)</f>
        <v>2</v>
      </c>
      <c r="H1594" s="359">
        <f t="shared" si="51"/>
        <v>0</v>
      </c>
      <c r="N1594" s="361"/>
      <c r="O1594" s="361"/>
      <c r="P1594" s="361"/>
      <c r="Q1594" s="361"/>
      <c r="R1594" s="361"/>
      <c r="S1594" s="361"/>
      <c r="T1594" s="396"/>
      <c r="U1594" s="364">
        <f t="shared" si="52"/>
        <v>0</v>
      </c>
      <c r="W1594" s="365"/>
      <c r="X1594" s="365"/>
      <c r="Z1594" s="366"/>
    </row>
    <row r="1595" spans="1:26" hidden="1">
      <c r="A1595" s="367">
        <f>SUBTOTAL(3,$B$15:B1595)</f>
        <v>2</v>
      </c>
      <c r="H1595" s="359">
        <f t="shared" si="51"/>
        <v>0</v>
      </c>
      <c r="N1595" s="361"/>
      <c r="O1595" s="361"/>
      <c r="P1595" s="361"/>
      <c r="Q1595" s="361"/>
      <c r="R1595" s="361"/>
      <c r="S1595" s="361"/>
      <c r="T1595" s="396"/>
      <c r="U1595" s="364">
        <f t="shared" si="52"/>
        <v>0</v>
      </c>
      <c r="W1595" s="365"/>
      <c r="X1595" s="365"/>
      <c r="Z1595" s="366"/>
    </row>
    <row r="1596" spans="1:26" hidden="1">
      <c r="A1596" s="367">
        <f>SUBTOTAL(3,$B$15:B1596)</f>
        <v>2</v>
      </c>
      <c r="H1596" s="359">
        <f t="shared" si="51"/>
        <v>0</v>
      </c>
      <c r="N1596" s="361"/>
      <c r="O1596" s="361"/>
      <c r="P1596" s="361"/>
      <c r="Q1596" s="361"/>
      <c r="R1596" s="361"/>
      <c r="S1596" s="361"/>
      <c r="T1596" s="396"/>
      <c r="U1596" s="364">
        <f t="shared" si="52"/>
        <v>0</v>
      </c>
      <c r="W1596" s="365"/>
      <c r="X1596" s="365"/>
      <c r="Z1596" s="366"/>
    </row>
    <row r="1597" spans="1:26" hidden="1">
      <c r="A1597" s="367">
        <f>SUBTOTAL(3,$B$15:B1597)</f>
        <v>2</v>
      </c>
      <c r="H1597" s="359">
        <f t="shared" si="51"/>
        <v>0</v>
      </c>
      <c r="N1597" s="361"/>
      <c r="O1597" s="361"/>
      <c r="P1597" s="361"/>
      <c r="Q1597" s="361"/>
      <c r="R1597" s="361"/>
      <c r="S1597" s="361"/>
      <c r="T1597" s="396"/>
      <c r="U1597" s="364">
        <f t="shared" si="52"/>
        <v>0</v>
      </c>
      <c r="W1597" s="365"/>
      <c r="X1597" s="365"/>
      <c r="Z1597" s="366"/>
    </row>
    <row r="1598" spans="1:26" hidden="1">
      <c r="A1598" s="367">
        <f>SUBTOTAL(3,$B$15:B1598)</f>
        <v>2</v>
      </c>
      <c r="H1598" s="359">
        <f t="shared" si="51"/>
        <v>0</v>
      </c>
      <c r="N1598" s="361"/>
      <c r="O1598" s="361"/>
      <c r="P1598" s="361"/>
      <c r="Q1598" s="361"/>
      <c r="R1598" s="361"/>
      <c r="S1598" s="361"/>
      <c r="T1598" s="396"/>
      <c r="U1598" s="364">
        <f t="shared" si="52"/>
        <v>0</v>
      </c>
      <c r="W1598" s="365"/>
      <c r="X1598" s="365"/>
      <c r="Z1598" s="366"/>
    </row>
    <row r="1599" spans="1:26" hidden="1">
      <c r="A1599" s="367">
        <f>SUBTOTAL(3,$B$15:B1599)</f>
        <v>2</v>
      </c>
      <c r="H1599" s="359">
        <f t="shared" si="51"/>
        <v>0</v>
      </c>
      <c r="N1599" s="361"/>
      <c r="O1599" s="361"/>
      <c r="P1599" s="361"/>
      <c r="Q1599" s="361"/>
      <c r="R1599" s="361"/>
      <c r="S1599" s="361"/>
      <c r="T1599" s="396"/>
      <c r="U1599" s="364">
        <f t="shared" si="52"/>
        <v>0</v>
      </c>
      <c r="W1599" s="365"/>
      <c r="X1599" s="365"/>
      <c r="Z1599" s="366"/>
    </row>
    <row r="1600" spans="1:26" hidden="1">
      <c r="A1600" s="367">
        <f>SUBTOTAL(3,$B$15:B1600)</f>
        <v>2</v>
      </c>
      <c r="H1600" s="359">
        <f t="shared" si="51"/>
        <v>0</v>
      </c>
      <c r="N1600" s="361"/>
      <c r="O1600" s="361"/>
      <c r="P1600" s="361"/>
      <c r="Q1600" s="361"/>
      <c r="R1600" s="361"/>
      <c r="S1600" s="361"/>
      <c r="T1600" s="396"/>
      <c r="U1600" s="364">
        <f t="shared" si="52"/>
        <v>0</v>
      </c>
      <c r="W1600" s="365"/>
      <c r="X1600" s="365"/>
      <c r="Z1600" s="366"/>
    </row>
    <row r="1601" spans="1:26" hidden="1">
      <c r="A1601" s="367">
        <f>SUBTOTAL(3,$B$15:B1601)</f>
        <v>2</v>
      </c>
      <c r="H1601" s="359">
        <f t="shared" si="51"/>
        <v>0</v>
      </c>
      <c r="N1601" s="361"/>
      <c r="O1601" s="361"/>
      <c r="P1601" s="361"/>
      <c r="Q1601" s="361"/>
      <c r="R1601" s="361"/>
      <c r="S1601" s="361"/>
      <c r="T1601" s="396"/>
      <c r="U1601" s="364">
        <f t="shared" si="52"/>
        <v>0</v>
      </c>
      <c r="W1601" s="365"/>
      <c r="X1601" s="365"/>
      <c r="Z1601" s="366"/>
    </row>
    <row r="1602" spans="1:26" hidden="1">
      <c r="A1602" s="367">
        <f>SUBTOTAL(3,$B$15:B1602)</f>
        <v>2</v>
      </c>
      <c r="H1602" s="359">
        <f t="shared" si="51"/>
        <v>0</v>
      </c>
      <c r="N1602" s="361"/>
      <c r="O1602" s="361"/>
      <c r="P1602" s="361"/>
      <c r="Q1602" s="361"/>
      <c r="R1602" s="361"/>
      <c r="S1602" s="361"/>
      <c r="T1602" s="396"/>
      <c r="U1602" s="364">
        <f t="shared" si="52"/>
        <v>0</v>
      </c>
      <c r="W1602" s="365"/>
      <c r="X1602" s="365"/>
      <c r="Z1602" s="366"/>
    </row>
    <row r="1603" spans="1:26" hidden="1">
      <c r="A1603" s="367">
        <f>SUBTOTAL(3,$B$15:B1603)</f>
        <v>2</v>
      </c>
      <c r="H1603" s="359">
        <f t="shared" si="51"/>
        <v>0</v>
      </c>
      <c r="N1603" s="361"/>
      <c r="O1603" s="361"/>
      <c r="P1603" s="361"/>
      <c r="Q1603" s="361"/>
      <c r="R1603" s="361"/>
      <c r="S1603" s="361"/>
      <c r="T1603" s="396"/>
      <c r="U1603" s="364">
        <f t="shared" si="52"/>
        <v>0</v>
      </c>
      <c r="W1603" s="365"/>
      <c r="X1603" s="365"/>
      <c r="Z1603" s="366"/>
    </row>
    <row r="1604" spans="1:26" hidden="1">
      <c r="A1604" s="367">
        <f>SUBTOTAL(3,$B$15:B1604)</f>
        <v>2</v>
      </c>
      <c r="H1604" s="359">
        <f t="shared" si="51"/>
        <v>0</v>
      </c>
      <c r="N1604" s="361"/>
      <c r="O1604" s="361"/>
      <c r="P1604" s="361"/>
      <c r="Q1604" s="361"/>
      <c r="R1604" s="361"/>
      <c r="S1604" s="361"/>
      <c r="T1604" s="396"/>
      <c r="U1604" s="364">
        <f t="shared" si="52"/>
        <v>0</v>
      </c>
      <c r="W1604" s="365"/>
      <c r="X1604" s="365"/>
      <c r="Z1604" s="366"/>
    </row>
    <row r="1605" spans="1:26" hidden="1">
      <c r="A1605" s="367">
        <f>SUBTOTAL(3,$B$15:B1605)</f>
        <v>2</v>
      </c>
      <c r="H1605" s="359">
        <f t="shared" si="51"/>
        <v>0</v>
      </c>
      <c r="N1605" s="361"/>
      <c r="O1605" s="361"/>
      <c r="P1605" s="361"/>
      <c r="Q1605" s="361"/>
      <c r="R1605" s="361"/>
      <c r="S1605" s="361"/>
      <c r="T1605" s="396"/>
      <c r="U1605" s="364">
        <f t="shared" si="52"/>
        <v>0</v>
      </c>
      <c r="W1605" s="365"/>
      <c r="X1605" s="365"/>
      <c r="Z1605" s="366"/>
    </row>
    <row r="1606" spans="1:26" hidden="1">
      <c r="A1606" s="367">
        <f>SUBTOTAL(3,$B$15:B1606)</f>
        <v>2</v>
      </c>
      <c r="H1606" s="359">
        <f t="shared" si="51"/>
        <v>0</v>
      </c>
      <c r="N1606" s="361"/>
      <c r="O1606" s="361"/>
      <c r="P1606" s="361"/>
      <c r="Q1606" s="361"/>
      <c r="R1606" s="361"/>
      <c r="S1606" s="361"/>
      <c r="T1606" s="396"/>
      <c r="U1606" s="364">
        <f t="shared" si="52"/>
        <v>0</v>
      </c>
      <c r="W1606" s="365"/>
      <c r="X1606" s="365"/>
      <c r="Z1606" s="366"/>
    </row>
    <row r="1607" spans="1:26" hidden="1">
      <c r="A1607" s="367">
        <f>SUBTOTAL(3,$B$15:B1607)</f>
        <v>2</v>
      </c>
      <c r="H1607" s="359">
        <f t="shared" si="51"/>
        <v>0</v>
      </c>
      <c r="N1607" s="361"/>
      <c r="O1607" s="361"/>
      <c r="P1607" s="361"/>
      <c r="Q1607" s="361"/>
      <c r="R1607" s="361"/>
      <c r="S1607" s="361"/>
      <c r="T1607" s="396"/>
      <c r="U1607" s="364">
        <f t="shared" si="52"/>
        <v>0</v>
      </c>
      <c r="W1607" s="365"/>
      <c r="X1607" s="365"/>
      <c r="Z1607" s="366"/>
    </row>
    <row r="1608" spans="1:26" hidden="1">
      <c r="A1608" s="367">
        <f>SUBTOTAL(3,$B$15:B1608)</f>
        <v>2</v>
      </c>
      <c r="H1608" s="359">
        <f t="shared" si="51"/>
        <v>0</v>
      </c>
      <c r="N1608" s="361"/>
      <c r="O1608" s="361"/>
      <c r="P1608" s="361"/>
      <c r="Q1608" s="361"/>
      <c r="R1608" s="361"/>
      <c r="S1608" s="361"/>
      <c r="T1608" s="396"/>
      <c r="U1608" s="364">
        <f t="shared" si="52"/>
        <v>0</v>
      </c>
      <c r="W1608" s="365"/>
      <c r="X1608" s="365"/>
      <c r="Z1608" s="366"/>
    </row>
    <row r="1609" spans="1:26" hidden="1">
      <c r="A1609" s="367">
        <f>SUBTOTAL(3,$B$15:B1609)</f>
        <v>2</v>
      </c>
      <c r="H1609" s="359">
        <f t="shared" si="51"/>
        <v>0</v>
      </c>
      <c r="N1609" s="361"/>
      <c r="O1609" s="361"/>
      <c r="P1609" s="361"/>
      <c r="Q1609" s="361"/>
      <c r="R1609" s="361"/>
      <c r="S1609" s="361"/>
      <c r="T1609" s="396"/>
      <c r="U1609" s="364">
        <f t="shared" si="52"/>
        <v>0</v>
      </c>
      <c r="W1609" s="365"/>
      <c r="X1609" s="365"/>
      <c r="Z1609" s="366"/>
    </row>
    <row r="1610" spans="1:26" hidden="1">
      <c r="A1610" s="367">
        <f>SUBTOTAL(3,$B$15:B1610)</f>
        <v>2</v>
      </c>
      <c r="H1610" s="359">
        <f t="shared" si="51"/>
        <v>0</v>
      </c>
      <c r="N1610" s="361"/>
      <c r="O1610" s="361"/>
      <c r="P1610" s="361"/>
      <c r="Q1610" s="361"/>
      <c r="R1610" s="361"/>
      <c r="S1610" s="361"/>
      <c r="T1610" s="396"/>
      <c r="U1610" s="364">
        <f t="shared" si="52"/>
        <v>0</v>
      </c>
      <c r="W1610" s="365"/>
      <c r="X1610" s="365"/>
      <c r="Z1610" s="366"/>
    </row>
    <row r="1611" spans="1:26" hidden="1">
      <c r="A1611" s="367">
        <f>SUBTOTAL(3,$B$15:B1611)</f>
        <v>2</v>
      </c>
      <c r="H1611" s="359">
        <f t="shared" si="51"/>
        <v>0</v>
      </c>
      <c r="N1611" s="361"/>
      <c r="O1611" s="361"/>
      <c r="P1611" s="361"/>
      <c r="Q1611" s="361"/>
      <c r="R1611" s="361"/>
      <c r="S1611" s="361"/>
      <c r="T1611" s="396"/>
      <c r="U1611" s="364">
        <f t="shared" si="52"/>
        <v>0</v>
      </c>
      <c r="W1611" s="365"/>
      <c r="X1611" s="365"/>
      <c r="Z1611" s="366"/>
    </row>
    <row r="1612" spans="1:26" hidden="1">
      <c r="A1612" s="367">
        <f>SUBTOTAL(3,$B$15:B1612)</f>
        <v>2</v>
      </c>
      <c r="H1612" s="359">
        <f t="shared" si="51"/>
        <v>0</v>
      </c>
      <c r="N1612" s="361"/>
      <c r="O1612" s="361"/>
      <c r="P1612" s="361"/>
      <c r="Q1612" s="361"/>
      <c r="R1612" s="361"/>
      <c r="S1612" s="361"/>
      <c r="T1612" s="396"/>
      <c r="U1612" s="364">
        <f t="shared" si="52"/>
        <v>0</v>
      </c>
      <c r="W1612" s="365"/>
      <c r="X1612" s="365"/>
      <c r="Z1612" s="366"/>
    </row>
    <row r="1613" spans="1:26" hidden="1">
      <c r="A1613" s="367">
        <f>SUBTOTAL(3,$B$15:B1613)</f>
        <v>2</v>
      </c>
      <c r="H1613" s="359">
        <f t="shared" si="51"/>
        <v>0</v>
      </c>
      <c r="N1613" s="361"/>
      <c r="O1613" s="361"/>
      <c r="P1613" s="361"/>
      <c r="Q1613" s="361"/>
      <c r="R1613" s="361"/>
      <c r="S1613" s="361"/>
      <c r="T1613" s="396"/>
      <c r="U1613" s="364">
        <f t="shared" si="52"/>
        <v>0</v>
      </c>
      <c r="W1613" s="365"/>
      <c r="X1613" s="365"/>
      <c r="Z1613" s="366"/>
    </row>
    <row r="1614" spans="1:26" hidden="1">
      <c r="A1614" s="367">
        <f>SUBTOTAL(3,$B$15:B1614)</f>
        <v>2</v>
      </c>
      <c r="H1614" s="359">
        <f t="shared" si="51"/>
        <v>0</v>
      </c>
      <c r="N1614" s="361"/>
      <c r="O1614" s="361"/>
      <c r="P1614" s="361"/>
      <c r="Q1614" s="361"/>
      <c r="R1614" s="361"/>
      <c r="S1614" s="361"/>
      <c r="T1614" s="396"/>
      <c r="U1614" s="364">
        <f t="shared" si="52"/>
        <v>0</v>
      </c>
      <c r="W1614" s="365"/>
      <c r="X1614" s="365"/>
      <c r="Z1614" s="366"/>
    </row>
    <row r="1615" spans="1:26" hidden="1">
      <c r="A1615" s="367">
        <f>SUBTOTAL(3,$B$15:B1615)</f>
        <v>2</v>
      </c>
      <c r="H1615" s="359">
        <f t="shared" si="51"/>
        <v>0</v>
      </c>
      <c r="N1615" s="361"/>
      <c r="O1615" s="361"/>
      <c r="P1615" s="361"/>
      <c r="Q1615" s="361"/>
      <c r="R1615" s="361"/>
      <c r="S1615" s="361"/>
      <c r="T1615" s="396"/>
      <c r="U1615" s="364">
        <f t="shared" si="52"/>
        <v>0</v>
      </c>
      <c r="W1615" s="365"/>
      <c r="X1615" s="365"/>
      <c r="Z1615" s="366"/>
    </row>
    <row r="1616" spans="1:26" hidden="1">
      <c r="A1616" s="367">
        <f>SUBTOTAL(3,$B$15:B1616)</f>
        <v>2</v>
      </c>
      <c r="H1616" s="359">
        <f t="shared" si="51"/>
        <v>0</v>
      </c>
      <c r="N1616" s="361"/>
      <c r="O1616" s="361"/>
      <c r="P1616" s="361"/>
      <c r="Q1616" s="361"/>
      <c r="R1616" s="361"/>
      <c r="S1616" s="361"/>
      <c r="T1616" s="396"/>
      <c r="U1616" s="364">
        <f t="shared" si="52"/>
        <v>0</v>
      </c>
      <c r="W1616" s="365"/>
      <c r="X1616" s="365"/>
      <c r="Z1616" s="366"/>
    </row>
    <row r="1617" spans="1:26" hidden="1">
      <c r="A1617" s="367">
        <f>SUBTOTAL(3,$B$15:B1617)</f>
        <v>2</v>
      </c>
      <c r="H1617" s="359">
        <f t="shared" si="51"/>
        <v>0</v>
      </c>
      <c r="N1617" s="361"/>
      <c r="O1617" s="361"/>
      <c r="P1617" s="361"/>
      <c r="Q1617" s="361"/>
      <c r="R1617" s="361"/>
      <c r="S1617" s="361"/>
      <c r="T1617" s="396"/>
      <c r="U1617" s="364">
        <f t="shared" si="52"/>
        <v>0</v>
      </c>
      <c r="W1617" s="365"/>
      <c r="X1617" s="365"/>
      <c r="Z1617" s="366"/>
    </row>
    <row r="1618" spans="1:26" hidden="1">
      <c r="A1618" s="367">
        <f>SUBTOTAL(3,$B$15:B1618)</f>
        <v>2</v>
      </c>
      <c r="H1618" s="359">
        <f t="shared" si="51"/>
        <v>0</v>
      </c>
      <c r="N1618" s="361"/>
      <c r="O1618" s="361"/>
      <c r="P1618" s="361"/>
      <c r="Q1618" s="361"/>
      <c r="R1618" s="361"/>
      <c r="S1618" s="361"/>
      <c r="T1618" s="396"/>
      <c r="U1618" s="364">
        <f t="shared" si="52"/>
        <v>0</v>
      </c>
      <c r="W1618" s="365"/>
      <c r="X1618" s="365"/>
      <c r="Z1618" s="366"/>
    </row>
    <row r="1619" spans="1:26" hidden="1">
      <c r="A1619" s="367">
        <f>SUBTOTAL(3,$B$15:B1619)</f>
        <v>2</v>
      </c>
      <c r="H1619" s="359">
        <f t="shared" si="51"/>
        <v>0</v>
      </c>
      <c r="N1619" s="361"/>
      <c r="O1619" s="361"/>
      <c r="P1619" s="361"/>
      <c r="Q1619" s="361"/>
      <c r="R1619" s="361"/>
      <c r="S1619" s="361"/>
      <c r="T1619" s="396"/>
      <c r="U1619" s="364">
        <f t="shared" si="52"/>
        <v>0</v>
      </c>
      <c r="W1619" s="365"/>
      <c r="X1619" s="365"/>
      <c r="Z1619" s="366"/>
    </row>
    <row r="1620" spans="1:26" hidden="1">
      <c r="A1620" s="367">
        <f>SUBTOTAL(3,$B$15:B1620)</f>
        <v>2</v>
      </c>
      <c r="H1620" s="359">
        <f t="shared" ref="H1620:H1683" si="53">+G1620-SUM(M1620,O1620,Q1620)</f>
        <v>0</v>
      </c>
      <c r="N1620" s="361"/>
      <c r="O1620" s="361"/>
      <c r="P1620" s="361"/>
      <c r="Q1620" s="361"/>
      <c r="R1620" s="361"/>
      <c r="S1620" s="361"/>
      <c r="T1620" s="396"/>
      <c r="U1620" s="364">
        <f t="shared" si="52"/>
        <v>0</v>
      </c>
      <c r="W1620" s="365"/>
      <c r="X1620" s="365"/>
      <c r="Z1620" s="366"/>
    </row>
    <row r="1621" spans="1:26" hidden="1">
      <c r="A1621" s="367">
        <f>SUBTOTAL(3,$B$15:B1621)</f>
        <v>2</v>
      </c>
      <c r="H1621" s="359">
        <f t="shared" si="53"/>
        <v>0</v>
      </c>
      <c r="N1621" s="361"/>
      <c r="O1621" s="361"/>
      <c r="P1621" s="361"/>
      <c r="Q1621" s="361"/>
      <c r="R1621" s="361"/>
      <c r="S1621" s="361"/>
      <c r="T1621" s="396"/>
      <c r="U1621" s="364">
        <f t="shared" si="52"/>
        <v>0</v>
      </c>
      <c r="W1621" s="365"/>
      <c r="X1621" s="365"/>
      <c r="Z1621" s="366"/>
    </row>
    <row r="1622" spans="1:26" hidden="1">
      <c r="A1622" s="367">
        <f>SUBTOTAL(3,$B$15:B1622)</f>
        <v>2</v>
      </c>
      <c r="H1622" s="359">
        <f t="shared" si="53"/>
        <v>0</v>
      </c>
      <c r="N1622" s="361"/>
      <c r="O1622" s="361"/>
      <c r="P1622" s="361"/>
      <c r="Q1622" s="361"/>
      <c r="R1622" s="361"/>
      <c r="S1622" s="361"/>
      <c r="T1622" s="396"/>
      <c r="U1622" s="364">
        <f t="shared" si="52"/>
        <v>0</v>
      </c>
      <c r="W1622" s="365"/>
      <c r="X1622" s="365"/>
      <c r="Z1622" s="366"/>
    </row>
    <row r="1623" spans="1:26" hidden="1">
      <c r="A1623" s="367">
        <f>SUBTOTAL(3,$B$15:B1623)</f>
        <v>2</v>
      </c>
      <c r="H1623" s="359">
        <f t="shared" si="53"/>
        <v>0</v>
      </c>
      <c r="N1623" s="361"/>
      <c r="O1623" s="361"/>
      <c r="P1623" s="361"/>
      <c r="Q1623" s="361"/>
      <c r="R1623" s="361"/>
      <c r="S1623" s="361"/>
      <c r="T1623" s="396"/>
      <c r="U1623" s="364">
        <f t="shared" ref="U1623:U1686" si="54">SUM(H1623:T1623)</f>
        <v>0</v>
      </c>
      <c r="W1623" s="365"/>
      <c r="X1623" s="365"/>
      <c r="Z1623" s="366"/>
    </row>
    <row r="1624" spans="1:26" hidden="1">
      <c r="A1624" s="367">
        <f>SUBTOTAL(3,$B$15:B1624)</f>
        <v>2</v>
      </c>
      <c r="H1624" s="359">
        <f t="shared" si="53"/>
        <v>0</v>
      </c>
      <c r="N1624" s="361"/>
      <c r="O1624" s="361"/>
      <c r="P1624" s="361"/>
      <c r="Q1624" s="361"/>
      <c r="R1624" s="361"/>
      <c r="S1624" s="361"/>
      <c r="T1624" s="396"/>
      <c r="U1624" s="364">
        <f t="shared" si="54"/>
        <v>0</v>
      </c>
      <c r="W1624" s="365"/>
      <c r="X1624" s="365"/>
      <c r="Z1624" s="366"/>
    </row>
    <row r="1625" spans="1:26" hidden="1">
      <c r="A1625" s="367">
        <f>SUBTOTAL(3,$B$15:B1625)</f>
        <v>2</v>
      </c>
      <c r="H1625" s="359">
        <f t="shared" si="53"/>
        <v>0</v>
      </c>
      <c r="N1625" s="361"/>
      <c r="O1625" s="361"/>
      <c r="P1625" s="361"/>
      <c r="Q1625" s="361"/>
      <c r="R1625" s="361"/>
      <c r="S1625" s="361"/>
      <c r="T1625" s="396"/>
      <c r="U1625" s="364">
        <f t="shared" si="54"/>
        <v>0</v>
      </c>
      <c r="W1625" s="365"/>
      <c r="X1625" s="365"/>
      <c r="Z1625" s="366"/>
    </row>
    <row r="1626" spans="1:26" hidden="1">
      <c r="A1626" s="367">
        <f>SUBTOTAL(3,$B$15:B1626)</f>
        <v>2</v>
      </c>
      <c r="H1626" s="359">
        <f t="shared" si="53"/>
        <v>0</v>
      </c>
      <c r="N1626" s="361"/>
      <c r="O1626" s="361"/>
      <c r="P1626" s="361"/>
      <c r="Q1626" s="361"/>
      <c r="R1626" s="361"/>
      <c r="S1626" s="361"/>
      <c r="T1626" s="396"/>
      <c r="U1626" s="364">
        <f t="shared" si="54"/>
        <v>0</v>
      </c>
      <c r="W1626" s="365"/>
      <c r="X1626" s="365"/>
      <c r="Z1626" s="366"/>
    </row>
    <row r="1627" spans="1:26" hidden="1">
      <c r="A1627" s="367">
        <f>SUBTOTAL(3,$B$15:B1627)</f>
        <v>2</v>
      </c>
      <c r="H1627" s="359">
        <f t="shared" si="53"/>
        <v>0</v>
      </c>
      <c r="N1627" s="361"/>
      <c r="O1627" s="361"/>
      <c r="P1627" s="361"/>
      <c r="Q1627" s="361"/>
      <c r="R1627" s="361"/>
      <c r="S1627" s="361"/>
      <c r="T1627" s="396"/>
      <c r="U1627" s="364">
        <f t="shared" si="54"/>
        <v>0</v>
      </c>
      <c r="W1627" s="365"/>
      <c r="X1627" s="365"/>
      <c r="Z1627" s="366"/>
    </row>
    <row r="1628" spans="1:26" hidden="1">
      <c r="A1628" s="367">
        <f>SUBTOTAL(3,$B$15:B1628)</f>
        <v>2</v>
      </c>
      <c r="H1628" s="359">
        <f t="shared" si="53"/>
        <v>0</v>
      </c>
      <c r="N1628" s="361"/>
      <c r="O1628" s="361"/>
      <c r="P1628" s="361"/>
      <c r="Q1628" s="361"/>
      <c r="R1628" s="361"/>
      <c r="S1628" s="361"/>
      <c r="T1628" s="396"/>
      <c r="U1628" s="364">
        <f t="shared" si="54"/>
        <v>0</v>
      </c>
      <c r="W1628" s="365"/>
      <c r="X1628" s="365"/>
      <c r="Z1628" s="366"/>
    </row>
    <row r="1629" spans="1:26" hidden="1">
      <c r="A1629" s="367">
        <f>SUBTOTAL(3,$B$15:B1629)</f>
        <v>2</v>
      </c>
      <c r="H1629" s="359">
        <f t="shared" si="53"/>
        <v>0</v>
      </c>
      <c r="N1629" s="361"/>
      <c r="O1629" s="361"/>
      <c r="P1629" s="361"/>
      <c r="Q1629" s="361"/>
      <c r="R1629" s="361"/>
      <c r="S1629" s="361"/>
      <c r="T1629" s="396"/>
      <c r="U1629" s="364">
        <f t="shared" si="54"/>
        <v>0</v>
      </c>
      <c r="W1629" s="365"/>
      <c r="X1629" s="365"/>
      <c r="Z1629" s="366"/>
    </row>
    <row r="1630" spans="1:26" hidden="1">
      <c r="A1630" s="367">
        <f>SUBTOTAL(3,$B$15:B1630)</f>
        <v>2</v>
      </c>
      <c r="H1630" s="359">
        <f t="shared" si="53"/>
        <v>0</v>
      </c>
      <c r="N1630" s="361"/>
      <c r="O1630" s="361"/>
      <c r="P1630" s="361"/>
      <c r="Q1630" s="361"/>
      <c r="R1630" s="361"/>
      <c r="S1630" s="361"/>
      <c r="T1630" s="396"/>
      <c r="U1630" s="364">
        <f t="shared" si="54"/>
        <v>0</v>
      </c>
      <c r="W1630" s="365"/>
      <c r="X1630" s="365"/>
      <c r="Z1630" s="366"/>
    </row>
    <row r="1631" spans="1:26" hidden="1">
      <c r="A1631" s="367">
        <f>SUBTOTAL(3,$B$15:B1631)</f>
        <v>2</v>
      </c>
      <c r="H1631" s="359">
        <f t="shared" si="53"/>
        <v>0</v>
      </c>
      <c r="N1631" s="361"/>
      <c r="O1631" s="361"/>
      <c r="P1631" s="361"/>
      <c r="Q1631" s="361"/>
      <c r="R1631" s="361"/>
      <c r="S1631" s="361"/>
      <c r="T1631" s="396"/>
      <c r="U1631" s="364">
        <f t="shared" si="54"/>
        <v>0</v>
      </c>
      <c r="W1631" s="365"/>
      <c r="X1631" s="365"/>
      <c r="Z1631" s="366"/>
    </row>
    <row r="1632" spans="1:26" hidden="1">
      <c r="A1632" s="367">
        <f>SUBTOTAL(3,$B$15:B1632)</f>
        <v>2</v>
      </c>
      <c r="H1632" s="359">
        <f t="shared" si="53"/>
        <v>0</v>
      </c>
      <c r="N1632" s="361"/>
      <c r="O1632" s="361"/>
      <c r="P1632" s="361"/>
      <c r="Q1632" s="361"/>
      <c r="R1632" s="361"/>
      <c r="S1632" s="361"/>
      <c r="T1632" s="396"/>
      <c r="U1632" s="364">
        <f t="shared" si="54"/>
        <v>0</v>
      </c>
      <c r="W1632" s="365"/>
      <c r="X1632" s="365"/>
      <c r="Z1632" s="366"/>
    </row>
    <row r="1633" spans="1:26" hidden="1">
      <c r="A1633" s="367">
        <f>SUBTOTAL(3,$B$15:B1633)</f>
        <v>2</v>
      </c>
      <c r="H1633" s="359">
        <f t="shared" si="53"/>
        <v>0</v>
      </c>
      <c r="N1633" s="361"/>
      <c r="O1633" s="361"/>
      <c r="P1633" s="361"/>
      <c r="Q1633" s="361"/>
      <c r="R1633" s="361"/>
      <c r="S1633" s="361"/>
      <c r="T1633" s="396"/>
      <c r="U1633" s="364">
        <f t="shared" si="54"/>
        <v>0</v>
      </c>
      <c r="W1633" s="365"/>
      <c r="X1633" s="365"/>
      <c r="Z1633" s="366"/>
    </row>
    <row r="1634" spans="1:26" hidden="1">
      <c r="A1634" s="367">
        <f>SUBTOTAL(3,$B$15:B1634)</f>
        <v>2</v>
      </c>
      <c r="H1634" s="359">
        <f t="shared" si="53"/>
        <v>0</v>
      </c>
      <c r="N1634" s="361"/>
      <c r="O1634" s="361"/>
      <c r="P1634" s="361"/>
      <c r="Q1634" s="361"/>
      <c r="R1634" s="361"/>
      <c r="S1634" s="361"/>
      <c r="T1634" s="396"/>
      <c r="U1634" s="364">
        <f t="shared" si="54"/>
        <v>0</v>
      </c>
      <c r="W1634" s="365"/>
      <c r="X1634" s="365"/>
      <c r="Z1634" s="366"/>
    </row>
    <row r="1635" spans="1:26" hidden="1">
      <c r="A1635" s="367">
        <f>SUBTOTAL(3,$B$15:B1635)</f>
        <v>2</v>
      </c>
      <c r="H1635" s="359">
        <f t="shared" si="53"/>
        <v>0</v>
      </c>
      <c r="N1635" s="361"/>
      <c r="O1635" s="361"/>
      <c r="P1635" s="361"/>
      <c r="Q1635" s="361"/>
      <c r="R1635" s="361"/>
      <c r="S1635" s="361"/>
      <c r="T1635" s="396"/>
      <c r="U1635" s="364">
        <f t="shared" si="54"/>
        <v>0</v>
      </c>
      <c r="W1635" s="365"/>
      <c r="X1635" s="365"/>
      <c r="Z1635" s="366"/>
    </row>
    <row r="1636" spans="1:26" hidden="1">
      <c r="A1636" s="367">
        <f>SUBTOTAL(3,$B$15:B1636)</f>
        <v>2</v>
      </c>
      <c r="H1636" s="359">
        <f t="shared" si="53"/>
        <v>0</v>
      </c>
      <c r="N1636" s="361"/>
      <c r="O1636" s="361"/>
      <c r="P1636" s="361"/>
      <c r="Q1636" s="361"/>
      <c r="R1636" s="361"/>
      <c r="S1636" s="361"/>
      <c r="T1636" s="396"/>
      <c r="U1636" s="364">
        <f t="shared" si="54"/>
        <v>0</v>
      </c>
      <c r="W1636" s="365"/>
      <c r="X1636" s="365"/>
      <c r="Z1636" s="366"/>
    </row>
    <row r="1637" spans="1:26" hidden="1">
      <c r="A1637" s="367">
        <f>SUBTOTAL(3,$B$15:B1637)</f>
        <v>2</v>
      </c>
      <c r="H1637" s="359">
        <f t="shared" si="53"/>
        <v>0</v>
      </c>
      <c r="N1637" s="361"/>
      <c r="O1637" s="361"/>
      <c r="P1637" s="361"/>
      <c r="Q1637" s="361"/>
      <c r="R1637" s="361"/>
      <c r="S1637" s="361"/>
      <c r="T1637" s="396"/>
      <c r="U1637" s="364">
        <f t="shared" si="54"/>
        <v>0</v>
      </c>
      <c r="W1637" s="365"/>
      <c r="X1637" s="365"/>
      <c r="Z1637" s="366"/>
    </row>
    <row r="1638" spans="1:26" hidden="1">
      <c r="A1638" s="367">
        <f>SUBTOTAL(3,$B$15:B1638)</f>
        <v>2</v>
      </c>
      <c r="H1638" s="359">
        <f t="shared" si="53"/>
        <v>0</v>
      </c>
      <c r="N1638" s="361"/>
      <c r="O1638" s="361"/>
      <c r="P1638" s="361"/>
      <c r="Q1638" s="361"/>
      <c r="R1638" s="361"/>
      <c r="S1638" s="361"/>
      <c r="T1638" s="396"/>
      <c r="U1638" s="364">
        <f t="shared" si="54"/>
        <v>0</v>
      </c>
      <c r="W1638" s="365"/>
      <c r="X1638" s="365"/>
      <c r="Z1638" s="366"/>
    </row>
    <row r="1639" spans="1:26" hidden="1">
      <c r="A1639" s="367">
        <f>SUBTOTAL(3,$B$15:B1639)</f>
        <v>2</v>
      </c>
      <c r="H1639" s="359">
        <f t="shared" si="53"/>
        <v>0</v>
      </c>
      <c r="N1639" s="361"/>
      <c r="O1639" s="361"/>
      <c r="P1639" s="361"/>
      <c r="Q1639" s="361"/>
      <c r="R1639" s="361"/>
      <c r="S1639" s="361"/>
      <c r="T1639" s="396"/>
      <c r="U1639" s="364">
        <f t="shared" si="54"/>
        <v>0</v>
      </c>
      <c r="W1639" s="365"/>
      <c r="X1639" s="365"/>
      <c r="Z1639" s="366"/>
    </row>
    <row r="1640" spans="1:26" hidden="1">
      <c r="A1640" s="367">
        <f>SUBTOTAL(3,$B$15:B1640)</f>
        <v>2</v>
      </c>
      <c r="H1640" s="359">
        <f t="shared" si="53"/>
        <v>0</v>
      </c>
      <c r="N1640" s="361"/>
      <c r="O1640" s="361"/>
      <c r="P1640" s="361"/>
      <c r="Q1640" s="361"/>
      <c r="R1640" s="361"/>
      <c r="S1640" s="361"/>
      <c r="T1640" s="396"/>
      <c r="U1640" s="364">
        <f t="shared" si="54"/>
        <v>0</v>
      </c>
      <c r="W1640" s="365"/>
      <c r="X1640" s="365"/>
      <c r="Z1640" s="366"/>
    </row>
    <row r="1641" spans="1:26" hidden="1">
      <c r="A1641" s="367">
        <f>SUBTOTAL(3,$B$15:B1641)</f>
        <v>2</v>
      </c>
      <c r="H1641" s="359">
        <f t="shared" si="53"/>
        <v>0</v>
      </c>
      <c r="N1641" s="361"/>
      <c r="O1641" s="361"/>
      <c r="P1641" s="361"/>
      <c r="Q1641" s="361"/>
      <c r="R1641" s="361"/>
      <c r="S1641" s="361"/>
      <c r="T1641" s="396"/>
      <c r="U1641" s="364">
        <f t="shared" si="54"/>
        <v>0</v>
      </c>
      <c r="W1641" s="365"/>
      <c r="X1641" s="365"/>
      <c r="Z1641" s="366"/>
    </row>
    <row r="1642" spans="1:26" hidden="1">
      <c r="A1642" s="367">
        <f>SUBTOTAL(3,$B$15:B1642)</f>
        <v>2</v>
      </c>
      <c r="H1642" s="359">
        <f t="shared" si="53"/>
        <v>0</v>
      </c>
      <c r="N1642" s="361"/>
      <c r="O1642" s="361"/>
      <c r="P1642" s="361"/>
      <c r="Q1642" s="361"/>
      <c r="R1642" s="361"/>
      <c r="S1642" s="361"/>
      <c r="T1642" s="396"/>
      <c r="U1642" s="364">
        <f t="shared" si="54"/>
        <v>0</v>
      </c>
      <c r="W1642" s="365"/>
      <c r="X1642" s="365"/>
      <c r="Z1642" s="366"/>
    </row>
    <row r="1643" spans="1:26" hidden="1">
      <c r="A1643" s="367">
        <f>SUBTOTAL(3,$B$15:B1643)</f>
        <v>2</v>
      </c>
      <c r="H1643" s="359">
        <f t="shared" si="53"/>
        <v>0</v>
      </c>
      <c r="N1643" s="361"/>
      <c r="O1643" s="361"/>
      <c r="P1643" s="361"/>
      <c r="Q1643" s="361"/>
      <c r="R1643" s="361"/>
      <c r="S1643" s="361"/>
      <c r="T1643" s="396"/>
      <c r="U1643" s="364">
        <f t="shared" si="54"/>
        <v>0</v>
      </c>
      <c r="W1643" s="365"/>
      <c r="X1643" s="365"/>
      <c r="Z1643" s="366"/>
    </row>
    <row r="1644" spans="1:26" hidden="1">
      <c r="A1644" s="367">
        <f>SUBTOTAL(3,$B$15:B1644)</f>
        <v>2</v>
      </c>
      <c r="H1644" s="359">
        <f t="shared" si="53"/>
        <v>0</v>
      </c>
      <c r="N1644" s="361"/>
      <c r="O1644" s="361"/>
      <c r="P1644" s="361"/>
      <c r="Q1644" s="361"/>
      <c r="R1644" s="361"/>
      <c r="S1644" s="361"/>
      <c r="T1644" s="396"/>
      <c r="U1644" s="364">
        <f t="shared" si="54"/>
        <v>0</v>
      </c>
      <c r="W1644" s="365"/>
      <c r="X1644" s="365"/>
      <c r="Z1644" s="366"/>
    </row>
    <row r="1645" spans="1:26" hidden="1">
      <c r="A1645" s="367">
        <f>SUBTOTAL(3,$B$15:B1645)</f>
        <v>2</v>
      </c>
      <c r="H1645" s="359">
        <f t="shared" si="53"/>
        <v>0</v>
      </c>
      <c r="N1645" s="361"/>
      <c r="O1645" s="361"/>
      <c r="P1645" s="361"/>
      <c r="Q1645" s="361"/>
      <c r="R1645" s="361"/>
      <c r="S1645" s="361"/>
      <c r="T1645" s="396"/>
      <c r="U1645" s="364">
        <f t="shared" si="54"/>
        <v>0</v>
      </c>
      <c r="W1645" s="365"/>
      <c r="X1645" s="365"/>
      <c r="Z1645" s="366"/>
    </row>
    <row r="1646" spans="1:26" hidden="1">
      <c r="A1646" s="367">
        <f>SUBTOTAL(3,$B$15:B1646)</f>
        <v>2</v>
      </c>
      <c r="H1646" s="359">
        <f t="shared" si="53"/>
        <v>0</v>
      </c>
      <c r="N1646" s="361"/>
      <c r="O1646" s="361"/>
      <c r="P1646" s="361"/>
      <c r="Q1646" s="361"/>
      <c r="R1646" s="361"/>
      <c r="S1646" s="361"/>
      <c r="T1646" s="396"/>
      <c r="U1646" s="364">
        <f t="shared" si="54"/>
        <v>0</v>
      </c>
      <c r="W1646" s="365"/>
      <c r="X1646" s="365"/>
      <c r="Z1646" s="366"/>
    </row>
    <row r="1647" spans="1:26" hidden="1">
      <c r="A1647" s="367">
        <f>SUBTOTAL(3,$B$15:B1647)</f>
        <v>2</v>
      </c>
      <c r="H1647" s="359">
        <f t="shared" si="53"/>
        <v>0</v>
      </c>
      <c r="N1647" s="361"/>
      <c r="O1647" s="361"/>
      <c r="P1647" s="361"/>
      <c r="Q1647" s="361"/>
      <c r="R1647" s="361"/>
      <c r="S1647" s="361"/>
      <c r="T1647" s="396"/>
      <c r="U1647" s="364">
        <f t="shared" si="54"/>
        <v>0</v>
      </c>
      <c r="W1647" s="365"/>
      <c r="X1647" s="365"/>
      <c r="Z1647" s="366"/>
    </row>
    <row r="1648" spans="1:26" hidden="1">
      <c r="A1648" s="367">
        <f>SUBTOTAL(3,$B$15:B1648)</f>
        <v>2</v>
      </c>
      <c r="H1648" s="359">
        <f t="shared" si="53"/>
        <v>0</v>
      </c>
      <c r="N1648" s="361"/>
      <c r="O1648" s="361"/>
      <c r="P1648" s="361"/>
      <c r="Q1648" s="361"/>
      <c r="R1648" s="361"/>
      <c r="S1648" s="361"/>
      <c r="T1648" s="396"/>
      <c r="U1648" s="364">
        <f t="shared" si="54"/>
        <v>0</v>
      </c>
      <c r="W1648" s="365"/>
      <c r="X1648" s="365"/>
      <c r="Z1648" s="366"/>
    </row>
    <row r="1649" spans="1:26" hidden="1">
      <c r="A1649" s="367">
        <f>SUBTOTAL(3,$B$15:B1649)</f>
        <v>2</v>
      </c>
      <c r="H1649" s="359">
        <f t="shared" si="53"/>
        <v>0</v>
      </c>
      <c r="N1649" s="361"/>
      <c r="O1649" s="361"/>
      <c r="P1649" s="361"/>
      <c r="Q1649" s="361"/>
      <c r="R1649" s="361"/>
      <c r="S1649" s="361"/>
      <c r="T1649" s="396"/>
      <c r="U1649" s="364">
        <f t="shared" si="54"/>
        <v>0</v>
      </c>
      <c r="W1649" s="365"/>
      <c r="X1649" s="365"/>
      <c r="Z1649" s="366"/>
    </row>
    <row r="1650" spans="1:26" hidden="1">
      <c r="A1650" s="367">
        <f>SUBTOTAL(3,$B$15:B1650)</f>
        <v>2</v>
      </c>
      <c r="H1650" s="359">
        <f t="shared" si="53"/>
        <v>0</v>
      </c>
      <c r="N1650" s="361"/>
      <c r="O1650" s="361"/>
      <c r="P1650" s="361"/>
      <c r="Q1650" s="361"/>
      <c r="R1650" s="361"/>
      <c r="S1650" s="361"/>
      <c r="T1650" s="396"/>
      <c r="U1650" s="364">
        <f t="shared" si="54"/>
        <v>0</v>
      </c>
      <c r="W1650" s="365"/>
      <c r="X1650" s="365"/>
      <c r="Z1650" s="366"/>
    </row>
    <row r="1651" spans="1:26" hidden="1">
      <c r="A1651" s="367">
        <f>SUBTOTAL(3,$B$15:B1651)</f>
        <v>2</v>
      </c>
      <c r="H1651" s="359">
        <f t="shared" si="53"/>
        <v>0</v>
      </c>
      <c r="N1651" s="361"/>
      <c r="O1651" s="361"/>
      <c r="P1651" s="361"/>
      <c r="Q1651" s="361"/>
      <c r="R1651" s="361"/>
      <c r="S1651" s="361"/>
      <c r="T1651" s="396"/>
      <c r="U1651" s="364">
        <f t="shared" si="54"/>
        <v>0</v>
      </c>
      <c r="W1651" s="365"/>
      <c r="X1651" s="365"/>
      <c r="Z1651" s="366"/>
    </row>
    <row r="1652" spans="1:26" hidden="1">
      <c r="A1652" s="367">
        <f>SUBTOTAL(3,$B$15:B1652)</f>
        <v>2</v>
      </c>
      <c r="H1652" s="359">
        <f t="shared" si="53"/>
        <v>0</v>
      </c>
      <c r="N1652" s="361"/>
      <c r="O1652" s="361"/>
      <c r="P1652" s="361"/>
      <c r="Q1652" s="361"/>
      <c r="R1652" s="361"/>
      <c r="S1652" s="361"/>
      <c r="T1652" s="396"/>
      <c r="U1652" s="364">
        <f t="shared" si="54"/>
        <v>0</v>
      </c>
      <c r="W1652" s="365"/>
      <c r="X1652" s="365"/>
      <c r="Z1652" s="366"/>
    </row>
    <row r="1653" spans="1:26" hidden="1">
      <c r="A1653" s="367">
        <f>SUBTOTAL(3,$B$15:B1653)</f>
        <v>2</v>
      </c>
      <c r="H1653" s="359">
        <f t="shared" si="53"/>
        <v>0</v>
      </c>
      <c r="N1653" s="361"/>
      <c r="O1653" s="361"/>
      <c r="P1653" s="361"/>
      <c r="Q1653" s="361"/>
      <c r="R1653" s="361"/>
      <c r="S1653" s="361"/>
      <c r="T1653" s="396"/>
      <c r="U1653" s="364">
        <f t="shared" si="54"/>
        <v>0</v>
      </c>
      <c r="W1653" s="365"/>
      <c r="X1653" s="365"/>
      <c r="Z1653" s="366"/>
    </row>
    <row r="1654" spans="1:26" hidden="1">
      <c r="A1654" s="367">
        <f>SUBTOTAL(3,$B$15:B1654)</f>
        <v>2</v>
      </c>
      <c r="H1654" s="359">
        <f t="shared" si="53"/>
        <v>0</v>
      </c>
      <c r="N1654" s="361"/>
      <c r="O1654" s="361"/>
      <c r="P1654" s="361"/>
      <c r="Q1654" s="361"/>
      <c r="R1654" s="361"/>
      <c r="S1654" s="361"/>
      <c r="T1654" s="396"/>
      <c r="U1654" s="364">
        <f t="shared" si="54"/>
        <v>0</v>
      </c>
      <c r="W1654" s="365"/>
      <c r="X1654" s="365"/>
      <c r="Z1654" s="366"/>
    </row>
    <row r="1655" spans="1:26" hidden="1">
      <c r="A1655" s="367">
        <f>SUBTOTAL(3,$B$15:B1655)</f>
        <v>2</v>
      </c>
      <c r="H1655" s="359">
        <f t="shared" si="53"/>
        <v>0</v>
      </c>
      <c r="N1655" s="361"/>
      <c r="O1655" s="361"/>
      <c r="P1655" s="361"/>
      <c r="Q1655" s="361"/>
      <c r="R1655" s="361"/>
      <c r="S1655" s="361"/>
      <c r="T1655" s="396"/>
      <c r="U1655" s="364">
        <f t="shared" si="54"/>
        <v>0</v>
      </c>
      <c r="W1655" s="365"/>
      <c r="X1655" s="365"/>
      <c r="Z1655" s="366"/>
    </row>
    <row r="1656" spans="1:26" hidden="1">
      <c r="A1656" s="367">
        <f>SUBTOTAL(3,$B$15:B1656)</f>
        <v>2</v>
      </c>
      <c r="H1656" s="359">
        <f t="shared" si="53"/>
        <v>0</v>
      </c>
      <c r="N1656" s="361"/>
      <c r="O1656" s="361"/>
      <c r="P1656" s="361"/>
      <c r="Q1656" s="361"/>
      <c r="R1656" s="361"/>
      <c r="S1656" s="361"/>
      <c r="T1656" s="396"/>
      <c r="U1656" s="364">
        <f t="shared" si="54"/>
        <v>0</v>
      </c>
      <c r="W1656" s="365"/>
      <c r="X1656" s="365"/>
      <c r="Z1656" s="366"/>
    </row>
    <row r="1657" spans="1:26" hidden="1">
      <c r="A1657" s="367">
        <f>SUBTOTAL(3,$B$15:B1657)</f>
        <v>2</v>
      </c>
      <c r="H1657" s="359">
        <f t="shared" si="53"/>
        <v>0</v>
      </c>
      <c r="N1657" s="361"/>
      <c r="O1657" s="361"/>
      <c r="P1657" s="361"/>
      <c r="Q1657" s="361"/>
      <c r="R1657" s="361"/>
      <c r="S1657" s="361"/>
      <c r="T1657" s="396"/>
      <c r="U1657" s="364">
        <f t="shared" si="54"/>
        <v>0</v>
      </c>
      <c r="W1657" s="365"/>
      <c r="X1657" s="365"/>
      <c r="Z1657" s="366"/>
    </row>
    <row r="1658" spans="1:26" hidden="1">
      <c r="A1658" s="367">
        <f>SUBTOTAL(3,$B$15:B1658)</f>
        <v>2</v>
      </c>
      <c r="H1658" s="359">
        <f t="shared" si="53"/>
        <v>0</v>
      </c>
      <c r="N1658" s="361"/>
      <c r="O1658" s="361"/>
      <c r="P1658" s="361"/>
      <c r="Q1658" s="361"/>
      <c r="R1658" s="361"/>
      <c r="S1658" s="361"/>
      <c r="T1658" s="396"/>
      <c r="U1658" s="364">
        <f t="shared" si="54"/>
        <v>0</v>
      </c>
      <c r="W1658" s="365"/>
      <c r="X1658" s="365"/>
      <c r="Z1658" s="366"/>
    </row>
    <row r="1659" spans="1:26" hidden="1">
      <c r="A1659" s="367">
        <f>SUBTOTAL(3,$B$15:B1659)</f>
        <v>2</v>
      </c>
      <c r="H1659" s="359">
        <f t="shared" si="53"/>
        <v>0</v>
      </c>
      <c r="N1659" s="361"/>
      <c r="O1659" s="361"/>
      <c r="P1659" s="361"/>
      <c r="Q1659" s="361"/>
      <c r="R1659" s="361"/>
      <c r="S1659" s="361"/>
      <c r="T1659" s="396"/>
      <c r="U1659" s="364">
        <f t="shared" si="54"/>
        <v>0</v>
      </c>
      <c r="W1659" s="365"/>
      <c r="X1659" s="365"/>
      <c r="Z1659" s="366"/>
    </row>
    <row r="1660" spans="1:26" hidden="1">
      <c r="A1660" s="367">
        <f>SUBTOTAL(3,$B$15:B1660)</f>
        <v>2</v>
      </c>
      <c r="H1660" s="359">
        <f t="shared" si="53"/>
        <v>0</v>
      </c>
      <c r="N1660" s="361"/>
      <c r="O1660" s="361"/>
      <c r="P1660" s="361"/>
      <c r="Q1660" s="361"/>
      <c r="R1660" s="361"/>
      <c r="S1660" s="361"/>
      <c r="T1660" s="396"/>
      <c r="U1660" s="364">
        <f t="shared" si="54"/>
        <v>0</v>
      </c>
      <c r="W1660" s="365"/>
      <c r="X1660" s="365"/>
      <c r="Z1660" s="366"/>
    </row>
    <row r="1661" spans="1:26" hidden="1">
      <c r="A1661" s="367">
        <f>SUBTOTAL(3,$B$15:B1661)</f>
        <v>2</v>
      </c>
      <c r="H1661" s="359">
        <f t="shared" si="53"/>
        <v>0</v>
      </c>
      <c r="N1661" s="361"/>
      <c r="O1661" s="361"/>
      <c r="P1661" s="361"/>
      <c r="Q1661" s="361"/>
      <c r="R1661" s="361"/>
      <c r="S1661" s="361"/>
      <c r="T1661" s="396"/>
      <c r="U1661" s="364">
        <f t="shared" si="54"/>
        <v>0</v>
      </c>
      <c r="W1661" s="365"/>
      <c r="X1661" s="365"/>
      <c r="Z1661" s="366"/>
    </row>
    <row r="1662" spans="1:26" hidden="1">
      <c r="A1662" s="367">
        <f>SUBTOTAL(3,$B$15:B1662)</f>
        <v>2</v>
      </c>
      <c r="H1662" s="359">
        <f t="shared" si="53"/>
        <v>0</v>
      </c>
      <c r="N1662" s="361"/>
      <c r="O1662" s="361"/>
      <c r="P1662" s="361"/>
      <c r="Q1662" s="361"/>
      <c r="R1662" s="361"/>
      <c r="S1662" s="361"/>
      <c r="T1662" s="396"/>
      <c r="U1662" s="364">
        <f t="shared" si="54"/>
        <v>0</v>
      </c>
      <c r="W1662" s="365"/>
      <c r="X1662" s="365"/>
      <c r="Z1662" s="366"/>
    </row>
    <row r="1663" spans="1:26" hidden="1">
      <c r="A1663" s="367">
        <f>SUBTOTAL(3,$B$15:B1663)</f>
        <v>2</v>
      </c>
      <c r="H1663" s="359">
        <f t="shared" si="53"/>
        <v>0</v>
      </c>
      <c r="N1663" s="361"/>
      <c r="O1663" s="361"/>
      <c r="P1663" s="361"/>
      <c r="Q1663" s="361"/>
      <c r="R1663" s="361"/>
      <c r="S1663" s="361"/>
      <c r="T1663" s="396"/>
      <c r="U1663" s="364">
        <f t="shared" si="54"/>
        <v>0</v>
      </c>
      <c r="W1663" s="365"/>
      <c r="X1663" s="365"/>
      <c r="Z1663" s="366"/>
    </row>
    <row r="1664" spans="1:26" hidden="1">
      <c r="A1664" s="367">
        <f>SUBTOTAL(3,$B$15:B1664)</f>
        <v>2</v>
      </c>
      <c r="H1664" s="359">
        <f t="shared" si="53"/>
        <v>0</v>
      </c>
      <c r="N1664" s="361"/>
      <c r="O1664" s="361"/>
      <c r="P1664" s="361"/>
      <c r="Q1664" s="361"/>
      <c r="R1664" s="361"/>
      <c r="S1664" s="361"/>
      <c r="T1664" s="396"/>
      <c r="U1664" s="364">
        <f t="shared" si="54"/>
        <v>0</v>
      </c>
      <c r="W1664" s="365"/>
      <c r="X1664" s="365"/>
      <c r="Z1664" s="366"/>
    </row>
    <row r="1665" spans="1:26" hidden="1">
      <c r="A1665" s="367">
        <f>SUBTOTAL(3,$B$15:B1665)</f>
        <v>2</v>
      </c>
      <c r="H1665" s="359">
        <f t="shared" si="53"/>
        <v>0</v>
      </c>
      <c r="N1665" s="361"/>
      <c r="O1665" s="361"/>
      <c r="P1665" s="361"/>
      <c r="Q1665" s="361"/>
      <c r="R1665" s="361"/>
      <c r="S1665" s="361"/>
      <c r="T1665" s="396"/>
      <c r="U1665" s="364">
        <f t="shared" si="54"/>
        <v>0</v>
      </c>
      <c r="W1665" s="365"/>
      <c r="X1665" s="365"/>
      <c r="Z1665" s="366"/>
    </row>
    <row r="1666" spans="1:26" hidden="1">
      <c r="A1666" s="367">
        <f>SUBTOTAL(3,$B$15:B1666)</f>
        <v>2</v>
      </c>
      <c r="H1666" s="359">
        <f t="shared" si="53"/>
        <v>0</v>
      </c>
      <c r="N1666" s="361"/>
      <c r="O1666" s="361"/>
      <c r="P1666" s="361"/>
      <c r="Q1666" s="361"/>
      <c r="R1666" s="361"/>
      <c r="S1666" s="361"/>
      <c r="T1666" s="396"/>
      <c r="U1666" s="364">
        <f t="shared" si="54"/>
        <v>0</v>
      </c>
      <c r="W1666" s="365"/>
      <c r="X1666" s="365"/>
      <c r="Z1666" s="366"/>
    </row>
    <row r="1667" spans="1:26" hidden="1">
      <c r="A1667" s="367">
        <f>SUBTOTAL(3,$B$15:B1667)</f>
        <v>2</v>
      </c>
      <c r="H1667" s="359">
        <f t="shared" si="53"/>
        <v>0</v>
      </c>
      <c r="N1667" s="361"/>
      <c r="O1667" s="361"/>
      <c r="P1667" s="361"/>
      <c r="Q1667" s="361"/>
      <c r="R1667" s="361"/>
      <c r="S1667" s="361"/>
      <c r="T1667" s="396"/>
      <c r="U1667" s="364">
        <f t="shared" si="54"/>
        <v>0</v>
      </c>
      <c r="W1667" s="365"/>
      <c r="X1667" s="365"/>
      <c r="Z1667" s="366"/>
    </row>
    <row r="1668" spans="1:26" hidden="1">
      <c r="A1668" s="367">
        <f>SUBTOTAL(3,$B$15:B1668)</f>
        <v>2</v>
      </c>
      <c r="H1668" s="359">
        <f t="shared" si="53"/>
        <v>0</v>
      </c>
      <c r="N1668" s="361"/>
      <c r="O1668" s="361"/>
      <c r="P1668" s="361"/>
      <c r="Q1668" s="361"/>
      <c r="R1668" s="361"/>
      <c r="S1668" s="361"/>
      <c r="T1668" s="396"/>
      <c r="U1668" s="364">
        <f t="shared" si="54"/>
        <v>0</v>
      </c>
      <c r="W1668" s="365"/>
      <c r="X1668" s="365"/>
      <c r="Z1668" s="366"/>
    </row>
    <row r="1669" spans="1:26" hidden="1">
      <c r="A1669" s="367">
        <f>SUBTOTAL(3,$B$15:B1669)</f>
        <v>2</v>
      </c>
      <c r="H1669" s="359">
        <f t="shared" si="53"/>
        <v>0</v>
      </c>
      <c r="N1669" s="361"/>
      <c r="O1669" s="361"/>
      <c r="P1669" s="361"/>
      <c r="Q1669" s="361"/>
      <c r="R1669" s="361"/>
      <c r="S1669" s="361"/>
      <c r="T1669" s="396"/>
      <c r="U1669" s="364">
        <f t="shared" si="54"/>
        <v>0</v>
      </c>
      <c r="W1669" s="365"/>
      <c r="X1669" s="365"/>
      <c r="Z1669" s="366"/>
    </row>
    <row r="1670" spans="1:26" hidden="1">
      <c r="A1670" s="367">
        <f>SUBTOTAL(3,$B$15:B1670)</f>
        <v>2</v>
      </c>
      <c r="H1670" s="359">
        <f t="shared" si="53"/>
        <v>0</v>
      </c>
      <c r="N1670" s="361"/>
      <c r="O1670" s="361"/>
      <c r="P1670" s="361"/>
      <c r="Q1670" s="361"/>
      <c r="R1670" s="361"/>
      <c r="S1670" s="361"/>
      <c r="T1670" s="396"/>
      <c r="U1670" s="364">
        <f t="shared" si="54"/>
        <v>0</v>
      </c>
      <c r="W1670" s="365"/>
      <c r="X1670" s="365"/>
      <c r="Z1670" s="366"/>
    </row>
    <row r="1671" spans="1:26" hidden="1">
      <c r="A1671" s="367">
        <f>SUBTOTAL(3,$B$15:B1671)</f>
        <v>2</v>
      </c>
      <c r="H1671" s="359">
        <f t="shared" si="53"/>
        <v>0</v>
      </c>
      <c r="N1671" s="361"/>
      <c r="O1671" s="361"/>
      <c r="P1671" s="361"/>
      <c r="Q1671" s="361"/>
      <c r="R1671" s="361"/>
      <c r="S1671" s="361"/>
      <c r="T1671" s="396"/>
      <c r="U1671" s="364">
        <f t="shared" si="54"/>
        <v>0</v>
      </c>
      <c r="W1671" s="365"/>
      <c r="X1671" s="365"/>
      <c r="Z1671" s="366"/>
    </row>
    <row r="1672" spans="1:26" hidden="1">
      <c r="A1672" s="367">
        <f>SUBTOTAL(3,$B$15:B1672)</f>
        <v>2</v>
      </c>
      <c r="H1672" s="359">
        <f t="shared" si="53"/>
        <v>0</v>
      </c>
      <c r="N1672" s="361"/>
      <c r="O1672" s="361"/>
      <c r="P1672" s="361"/>
      <c r="Q1672" s="361"/>
      <c r="R1672" s="361"/>
      <c r="S1672" s="361"/>
      <c r="T1672" s="396"/>
      <c r="U1672" s="364">
        <f t="shared" si="54"/>
        <v>0</v>
      </c>
      <c r="W1672" s="365"/>
      <c r="X1672" s="365"/>
      <c r="Z1672" s="366"/>
    </row>
    <row r="1673" spans="1:26" hidden="1">
      <c r="A1673" s="367">
        <f>SUBTOTAL(3,$B$15:B1673)</f>
        <v>2</v>
      </c>
      <c r="H1673" s="359">
        <f t="shared" si="53"/>
        <v>0</v>
      </c>
      <c r="N1673" s="361"/>
      <c r="O1673" s="361"/>
      <c r="P1673" s="361"/>
      <c r="Q1673" s="361"/>
      <c r="R1673" s="361"/>
      <c r="S1673" s="361"/>
      <c r="T1673" s="396"/>
      <c r="U1673" s="364">
        <f t="shared" si="54"/>
        <v>0</v>
      </c>
      <c r="W1673" s="365"/>
      <c r="X1673" s="365"/>
      <c r="Z1673" s="366"/>
    </row>
    <row r="1674" spans="1:26" hidden="1">
      <c r="A1674" s="367">
        <f>SUBTOTAL(3,$B$15:B1674)</f>
        <v>2</v>
      </c>
      <c r="H1674" s="359">
        <f t="shared" si="53"/>
        <v>0</v>
      </c>
      <c r="N1674" s="361"/>
      <c r="O1674" s="361"/>
      <c r="P1674" s="361"/>
      <c r="Q1674" s="361"/>
      <c r="R1674" s="361"/>
      <c r="S1674" s="361"/>
      <c r="T1674" s="396"/>
      <c r="U1674" s="364">
        <f t="shared" si="54"/>
        <v>0</v>
      </c>
      <c r="W1674" s="365"/>
      <c r="X1674" s="365"/>
      <c r="Z1674" s="366"/>
    </row>
    <row r="1675" spans="1:26" hidden="1">
      <c r="A1675" s="367">
        <f>SUBTOTAL(3,$B$15:B1675)</f>
        <v>2</v>
      </c>
      <c r="H1675" s="359">
        <f t="shared" si="53"/>
        <v>0</v>
      </c>
      <c r="N1675" s="361"/>
      <c r="O1675" s="361"/>
      <c r="P1675" s="361"/>
      <c r="Q1675" s="361"/>
      <c r="R1675" s="361"/>
      <c r="S1675" s="361"/>
      <c r="T1675" s="396"/>
      <c r="U1675" s="364">
        <f t="shared" si="54"/>
        <v>0</v>
      </c>
      <c r="W1675" s="365"/>
      <c r="X1675" s="365"/>
      <c r="Z1675" s="366"/>
    </row>
    <row r="1676" spans="1:26" hidden="1">
      <c r="A1676" s="367">
        <f>SUBTOTAL(3,$B$15:B1676)</f>
        <v>2</v>
      </c>
      <c r="H1676" s="359">
        <f t="shared" si="53"/>
        <v>0</v>
      </c>
      <c r="N1676" s="361"/>
      <c r="O1676" s="361"/>
      <c r="P1676" s="361"/>
      <c r="Q1676" s="361"/>
      <c r="R1676" s="361"/>
      <c r="S1676" s="361"/>
      <c r="T1676" s="396"/>
      <c r="U1676" s="364">
        <f t="shared" si="54"/>
        <v>0</v>
      </c>
      <c r="W1676" s="365"/>
      <c r="X1676" s="365"/>
      <c r="Z1676" s="366"/>
    </row>
    <row r="1677" spans="1:26" hidden="1">
      <c r="A1677" s="367">
        <f>SUBTOTAL(3,$B$15:B1677)</f>
        <v>2</v>
      </c>
      <c r="H1677" s="359">
        <f t="shared" si="53"/>
        <v>0</v>
      </c>
      <c r="N1677" s="361"/>
      <c r="O1677" s="361"/>
      <c r="P1677" s="361"/>
      <c r="Q1677" s="361"/>
      <c r="R1677" s="361"/>
      <c r="S1677" s="361"/>
      <c r="T1677" s="396"/>
      <c r="U1677" s="364">
        <f t="shared" si="54"/>
        <v>0</v>
      </c>
      <c r="W1677" s="365"/>
      <c r="X1677" s="365"/>
      <c r="Z1677" s="366"/>
    </row>
    <row r="1678" spans="1:26" hidden="1">
      <c r="A1678" s="367">
        <f>SUBTOTAL(3,$B$15:B1678)</f>
        <v>2</v>
      </c>
      <c r="H1678" s="359">
        <f t="shared" si="53"/>
        <v>0</v>
      </c>
      <c r="N1678" s="361"/>
      <c r="O1678" s="361"/>
      <c r="P1678" s="361"/>
      <c r="Q1678" s="361"/>
      <c r="R1678" s="361"/>
      <c r="S1678" s="361"/>
      <c r="T1678" s="396"/>
      <c r="U1678" s="364">
        <f t="shared" si="54"/>
        <v>0</v>
      </c>
      <c r="W1678" s="365"/>
      <c r="X1678" s="365"/>
      <c r="Z1678" s="366"/>
    </row>
    <row r="1679" spans="1:26" hidden="1">
      <c r="A1679" s="367">
        <f>SUBTOTAL(3,$B$15:B1679)</f>
        <v>2</v>
      </c>
      <c r="H1679" s="359">
        <f t="shared" si="53"/>
        <v>0</v>
      </c>
      <c r="N1679" s="361"/>
      <c r="O1679" s="361"/>
      <c r="P1679" s="361"/>
      <c r="Q1679" s="361"/>
      <c r="R1679" s="361"/>
      <c r="S1679" s="361"/>
      <c r="T1679" s="396"/>
      <c r="U1679" s="364">
        <f t="shared" si="54"/>
        <v>0</v>
      </c>
      <c r="W1679" s="365"/>
      <c r="X1679" s="365"/>
      <c r="Z1679" s="366"/>
    </row>
    <row r="1680" spans="1:26" hidden="1">
      <c r="A1680" s="367">
        <f>SUBTOTAL(3,$B$15:B1680)</f>
        <v>2</v>
      </c>
      <c r="H1680" s="359">
        <f t="shared" si="53"/>
        <v>0</v>
      </c>
      <c r="N1680" s="361"/>
      <c r="O1680" s="361"/>
      <c r="P1680" s="361"/>
      <c r="Q1680" s="361"/>
      <c r="R1680" s="361"/>
      <c r="S1680" s="361"/>
      <c r="T1680" s="396"/>
      <c r="U1680" s="364">
        <f t="shared" si="54"/>
        <v>0</v>
      </c>
      <c r="W1680" s="365"/>
      <c r="X1680" s="365"/>
      <c r="Z1680" s="366"/>
    </row>
    <row r="1681" spans="1:26" hidden="1">
      <c r="A1681" s="367">
        <f>SUBTOTAL(3,$B$15:B1681)</f>
        <v>2</v>
      </c>
      <c r="H1681" s="359">
        <f t="shared" si="53"/>
        <v>0</v>
      </c>
      <c r="N1681" s="361"/>
      <c r="O1681" s="361"/>
      <c r="P1681" s="361"/>
      <c r="Q1681" s="361"/>
      <c r="R1681" s="361"/>
      <c r="S1681" s="361"/>
      <c r="T1681" s="396"/>
      <c r="U1681" s="364">
        <f t="shared" si="54"/>
        <v>0</v>
      </c>
      <c r="W1681" s="365"/>
      <c r="X1681" s="365"/>
      <c r="Z1681" s="366"/>
    </row>
    <row r="1682" spans="1:26" hidden="1">
      <c r="A1682" s="367">
        <f>SUBTOTAL(3,$B$15:B1682)</f>
        <v>2</v>
      </c>
      <c r="H1682" s="359">
        <f t="shared" si="53"/>
        <v>0</v>
      </c>
      <c r="N1682" s="361"/>
      <c r="O1682" s="361"/>
      <c r="P1682" s="361"/>
      <c r="Q1682" s="361"/>
      <c r="R1682" s="361"/>
      <c r="S1682" s="361"/>
      <c r="T1682" s="396"/>
      <c r="U1682" s="364">
        <f t="shared" si="54"/>
        <v>0</v>
      </c>
      <c r="W1682" s="365"/>
      <c r="X1682" s="365"/>
      <c r="Z1682" s="366"/>
    </row>
    <row r="1683" spans="1:26" hidden="1">
      <c r="A1683" s="367">
        <f>SUBTOTAL(3,$B$15:B1683)</f>
        <v>2</v>
      </c>
      <c r="H1683" s="359">
        <f t="shared" si="53"/>
        <v>0</v>
      </c>
      <c r="N1683" s="361"/>
      <c r="O1683" s="361"/>
      <c r="P1683" s="361"/>
      <c r="Q1683" s="361"/>
      <c r="R1683" s="361"/>
      <c r="S1683" s="361"/>
      <c r="T1683" s="396"/>
      <c r="U1683" s="364">
        <f t="shared" si="54"/>
        <v>0</v>
      </c>
      <c r="W1683" s="365"/>
      <c r="X1683" s="365"/>
      <c r="Z1683" s="366"/>
    </row>
    <row r="1684" spans="1:26" hidden="1">
      <c r="A1684" s="367">
        <f>SUBTOTAL(3,$B$15:B1684)</f>
        <v>2</v>
      </c>
      <c r="H1684" s="359">
        <f t="shared" ref="H1684:H1747" si="55">+G1684-SUM(M1684,O1684,Q1684)</f>
        <v>0</v>
      </c>
      <c r="N1684" s="361"/>
      <c r="O1684" s="361"/>
      <c r="P1684" s="361"/>
      <c r="Q1684" s="361"/>
      <c r="R1684" s="361"/>
      <c r="S1684" s="361"/>
      <c r="T1684" s="396"/>
      <c r="U1684" s="364">
        <f t="shared" si="54"/>
        <v>0</v>
      </c>
      <c r="W1684" s="365"/>
      <c r="X1684" s="365"/>
      <c r="Z1684" s="366"/>
    </row>
    <row r="1685" spans="1:26" hidden="1">
      <c r="A1685" s="367">
        <f>SUBTOTAL(3,$B$15:B1685)</f>
        <v>2</v>
      </c>
      <c r="H1685" s="359">
        <f t="shared" si="55"/>
        <v>0</v>
      </c>
      <c r="N1685" s="361"/>
      <c r="O1685" s="361"/>
      <c r="P1685" s="361"/>
      <c r="Q1685" s="361"/>
      <c r="R1685" s="361"/>
      <c r="S1685" s="361"/>
      <c r="T1685" s="396"/>
      <c r="U1685" s="364">
        <f t="shared" si="54"/>
        <v>0</v>
      </c>
      <c r="W1685" s="365"/>
      <c r="X1685" s="365"/>
      <c r="Z1685" s="366"/>
    </row>
    <row r="1686" spans="1:26" hidden="1">
      <c r="A1686" s="367">
        <f>SUBTOTAL(3,$B$15:B1686)</f>
        <v>2</v>
      </c>
      <c r="H1686" s="359">
        <f t="shared" si="55"/>
        <v>0</v>
      </c>
      <c r="N1686" s="361"/>
      <c r="O1686" s="361"/>
      <c r="P1686" s="361"/>
      <c r="Q1686" s="361"/>
      <c r="R1686" s="361"/>
      <c r="S1686" s="361"/>
      <c r="T1686" s="396"/>
      <c r="U1686" s="364">
        <f t="shared" si="54"/>
        <v>0</v>
      </c>
      <c r="W1686" s="365"/>
      <c r="X1686" s="365"/>
      <c r="Z1686" s="366"/>
    </row>
    <row r="1687" spans="1:26" hidden="1">
      <c r="A1687" s="367">
        <f>SUBTOTAL(3,$B$15:B1687)</f>
        <v>2</v>
      </c>
      <c r="H1687" s="359">
        <f t="shared" si="55"/>
        <v>0</v>
      </c>
      <c r="N1687" s="361"/>
      <c r="O1687" s="361"/>
      <c r="P1687" s="361"/>
      <c r="Q1687" s="361"/>
      <c r="R1687" s="361"/>
      <c r="S1687" s="361"/>
      <c r="T1687" s="396"/>
      <c r="U1687" s="364">
        <f t="shared" ref="U1687:U1750" si="56">SUM(H1687:T1687)</f>
        <v>0</v>
      </c>
      <c r="W1687" s="365"/>
      <c r="X1687" s="365"/>
      <c r="Z1687" s="366"/>
    </row>
    <row r="1688" spans="1:26" hidden="1">
      <c r="A1688" s="367">
        <f>SUBTOTAL(3,$B$15:B1688)</f>
        <v>2</v>
      </c>
      <c r="H1688" s="359">
        <f t="shared" si="55"/>
        <v>0</v>
      </c>
      <c r="N1688" s="361"/>
      <c r="O1688" s="361"/>
      <c r="P1688" s="361"/>
      <c r="Q1688" s="361"/>
      <c r="R1688" s="361"/>
      <c r="S1688" s="361"/>
      <c r="T1688" s="396"/>
      <c r="U1688" s="364">
        <f t="shared" si="56"/>
        <v>0</v>
      </c>
      <c r="W1688" s="365"/>
      <c r="X1688" s="365"/>
      <c r="Z1688" s="366"/>
    </row>
    <row r="1689" spans="1:26" hidden="1">
      <c r="A1689" s="367">
        <f>SUBTOTAL(3,$B$15:B1689)</f>
        <v>2</v>
      </c>
      <c r="H1689" s="359">
        <f t="shared" si="55"/>
        <v>0</v>
      </c>
      <c r="N1689" s="361"/>
      <c r="O1689" s="361"/>
      <c r="P1689" s="361"/>
      <c r="Q1689" s="361"/>
      <c r="R1689" s="361"/>
      <c r="S1689" s="361"/>
      <c r="T1689" s="396"/>
      <c r="U1689" s="364">
        <f t="shared" si="56"/>
        <v>0</v>
      </c>
      <c r="W1689" s="365"/>
      <c r="X1689" s="365"/>
      <c r="Z1689" s="366"/>
    </row>
    <row r="1690" spans="1:26" hidden="1">
      <c r="A1690" s="367">
        <f>SUBTOTAL(3,$B$15:B1690)</f>
        <v>2</v>
      </c>
      <c r="H1690" s="359">
        <f t="shared" si="55"/>
        <v>0</v>
      </c>
      <c r="N1690" s="361"/>
      <c r="O1690" s="361"/>
      <c r="P1690" s="361"/>
      <c r="Q1690" s="361"/>
      <c r="R1690" s="361"/>
      <c r="S1690" s="361"/>
      <c r="T1690" s="396"/>
      <c r="U1690" s="364">
        <f t="shared" si="56"/>
        <v>0</v>
      </c>
      <c r="W1690" s="365"/>
      <c r="X1690" s="365"/>
      <c r="Z1690" s="366"/>
    </row>
    <row r="1691" spans="1:26" hidden="1">
      <c r="A1691" s="367">
        <f>SUBTOTAL(3,$B$15:B1691)</f>
        <v>2</v>
      </c>
      <c r="H1691" s="359">
        <f t="shared" si="55"/>
        <v>0</v>
      </c>
      <c r="N1691" s="361"/>
      <c r="O1691" s="361"/>
      <c r="P1691" s="361"/>
      <c r="Q1691" s="361"/>
      <c r="R1691" s="361"/>
      <c r="S1691" s="361"/>
      <c r="T1691" s="396"/>
      <c r="U1691" s="364">
        <f t="shared" si="56"/>
        <v>0</v>
      </c>
      <c r="W1691" s="365"/>
      <c r="X1691" s="365"/>
      <c r="Z1691" s="366"/>
    </row>
    <row r="1692" spans="1:26" hidden="1">
      <c r="A1692" s="367">
        <f>SUBTOTAL(3,$B$15:B1692)</f>
        <v>2</v>
      </c>
      <c r="H1692" s="359">
        <f t="shared" si="55"/>
        <v>0</v>
      </c>
      <c r="N1692" s="361"/>
      <c r="O1692" s="361"/>
      <c r="P1692" s="361"/>
      <c r="Q1692" s="361"/>
      <c r="R1692" s="361"/>
      <c r="S1692" s="361"/>
      <c r="T1692" s="396"/>
      <c r="U1692" s="364">
        <f t="shared" si="56"/>
        <v>0</v>
      </c>
      <c r="W1692" s="365"/>
      <c r="X1692" s="365"/>
      <c r="Z1692" s="366"/>
    </row>
    <row r="1693" spans="1:26" hidden="1">
      <c r="A1693" s="367">
        <f>SUBTOTAL(3,$B$15:B1693)</f>
        <v>2</v>
      </c>
      <c r="H1693" s="359">
        <f t="shared" si="55"/>
        <v>0</v>
      </c>
      <c r="N1693" s="361"/>
      <c r="O1693" s="361"/>
      <c r="P1693" s="361"/>
      <c r="Q1693" s="361"/>
      <c r="R1693" s="361"/>
      <c r="S1693" s="361"/>
      <c r="T1693" s="396"/>
      <c r="U1693" s="364">
        <f t="shared" si="56"/>
        <v>0</v>
      </c>
      <c r="W1693" s="365"/>
      <c r="X1693" s="365"/>
      <c r="Z1693" s="366"/>
    </row>
    <row r="1694" spans="1:26" hidden="1">
      <c r="A1694" s="367">
        <f>SUBTOTAL(3,$B$15:B1694)</f>
        <v>2</v>
      </c>
      <c r="H1694" s="359">
        <f t="shared" si="55"/>
        <v>0</v>
      </c>
      <c r="N1694" s="361"/>
      <c r="O1694" s="361"/>
      <c r="P1694" s="361"/>
      <c r="Q1694" s="361"/>
      <c r="R1694" s="361"/>
      <c r="S1694" s="361"/>
      <c r="T1694" s="396"/>
      <c r="U1694" s="364">
        <f t="shared" si="56"/>
        <v>0</v>
      </c>
      <c r="W1694" s="365"/>
      <c r="X1694" s="365"/>
      <c r="Z1694" s="366"/>
    </row>
    <row r="1695" spans="1:26" hidden="1">
      <c r="A1695" s="367">
        <f>SUBTOTAL(3,$B$15:B1695)</f>
        <v>2</v>
      </c>
      <c r="H1695" s="359">
        <f t="shared" si="55"/>
        <v>0</v>
      </c>
      <c r="N1695" s="361"/>
      <c r="O1695" s="361"/>
      <c r="P1695" s="361"/>
      <c r="Q1695" s="361"/>
      <c r="R1695" s="361"/>
      <c r="S1695" s="361"/>
      <c r="T1695" s="396"/>
      <c r="U1695" s="364">
        <f t="shared" si="56"/>
        <v>0</v>
      </c>
      <c r="W1695" s="365"/>
      <c r="X1695" s="365"/>
      <c r="Z1695" s="366"/>
    </row>
    <row r="1696" spans="1:26" hidden="1">
      <c r="A1696" s="367">
        <f>SUBTOTAL(3,$B$15:B1696)</f>
        <v>2</v>
      </c>
      <c r="H1696" s="359">
        <f t="shared" si="55"/>
        <v>0</v>
      </c>
      <c r="N1696" s="361"/>
      <c r="O1696" s="361"/>
      <c r="P1696" s="361"/>
      <c r="Q1696" s="361"/>
      <c r="R1696" s="361"/>
      <c r="S1696" s="361"/>
      <c r="T1696" s="396"/>
      <c r="U1696" s="364">
        <f t="shared" si="56"/>
        <v>0</v>
      </c>
      <c r="W1696" s="365"/>
      <c r="X1696" s="365"/>
      <c r="Z1696" s="366"/>
    </row>
    <row r="1697" spans="1:26" hidden="1">
      <c r="A1697" s="367">
        <f>SUBTOTAL(3,$B$15:B1697)</f>
        <v>2</v>
      </c>
      <c r="H1697" s="359">
        <f t="shared" si="55"/>
        <v>0</v>
      </c>
      <c r="N1697" s="361"/>
      <c r="O1697" s="361"/>
      <c r="P1697" s="361"/>
      <c r="Q1697" s="361"/>
      <c r="R1697" s="361"/>
      <c r="S1697" s="361"/>
      <c r="T1697" s="396"/>
      <c r="U1697" s="364">
        <f t="shared" si="56"/>
        <v>0</v>
      </c>
      <c r="W1697" s="365"/>
      <c r="X1697" s="365"/>
      <c r="Z1697" s="366"/>
    </row>
    <row r="1698" spans="1:26" hidden="1">
      <c r="A1698" s="367">
        <f>SUBTOTAL(3,$B$15:B1698)</f>
        <v>2</v>
      </c>
      <c r="H1698" s="359">
        <f t="shared" si="55"/>
        <v>0</v>
      </c>
      <c r="N1698" s="361"/>
      <c r="O1698" s="361"/>
      <c r="P1698" s="361"/>
      <c r="Q1698" s="361"/>
      <c r="R1698" s="361"/>
      <c r="S1698" s="361"/>
      <c r="T1698" s="396"/>
      <c r="U1698" s="364">
        <f t="shared" si="56"/>
        <v>0</v>
      </c>
      <c r="W1698" s="365"/>
      <c r="X1698" s="365"/>
      <c r="Z1698" s="366"/>
    </row>
    <row r="1699" spans="1:26" hidden="1">
      <c r="A1699" s="367">
        <f>SUBTOTAL(3,$B$15:B1699)</f>
        <v>2</v>
      </c>
      <c r="H1699" s="359">
        <f t="shared" si="55"/>
        <v>0</v>
      </c>
      <c r="N1699" s="361"/>
      <c r="O1699" s="361"/>
      <c r="P1699" s="361"/>
      <c r="Q1699" s="361"/>
      <c r="R1699" s="361"/>
      <c r="S1699" s="361"/>
      <c r="T1699" s="396"/>
      <c r="U1699" s="364">
        <f t="shared" si="56"/>
        <v>0</v>
      </c>
      <c r="W1699" s="365"/>
      <c r="X1699" s="365"/>
      <c r="Z1699" s="366"/>
    </row>
    <row r="1700" spans="1:26" hidden="1">
      <c r="A1700" s="367">
        <f>SUBTOTAL(3,$B$15:B1700)</f>
        <v>2</v>
      </c>
      <c r="H1700" s="359">
        <f t="shared" si="55"/>
        <v>0</v>
      </c>
      <c r="N1700" s="361"/>
      <c r="O1700" s="361"/>
      <c r="P1700" s="361"/>
      <c r="Q1700" s="361"/>
      <c r="R1700" s="361"/>
      <c r="S1700" s="361"/>
      <c r="T1700" s="396"/>
      <c r="U1700" s="364">
        <f t="shared" si="56"/>
        <v>0</v>
      </c>
      <c r="W1700" s="365"/>
      <c r="X1700" s="365"/>
      <c r="Z1700" s="366"/>
    </row>
    <row r="1701" spans="1:26" hidden="1">
      <c r="A1701" s="367">
        <f>SUBTOTAL(3,$B$15:B1701)</f>
        <v>2</v>
      </c>
      <c r="H1701" s="359">
        <f t="shared" si="55"/>
        <v>0</v>
      </c>
      <c r="N1701" s="361"/>
      <c r="O1701" s="361"/>
      <c r="P1701" s="361"/>
      <c r="Q1701" s="361"/>
      <c r="R1701" s="361"/>
      <c r="S1701" s="361"/>
      <c r="T1701" s="396"/>
      <c r="U1701" s="364">
        <f t="shared" si="56"/>
        <v>0</v>
      </c>
      <c r="W1701" s="365"/>
      <c r="X1701" s="365"/>
      <c r="Z1701" s="366"/>
    </row>
    <row r="1702" spans="1:26" hidden="1">
      <c r="A1702" s="367">
        <f>SUBTOTAL(3,$B$15:B1702)</f>
        <v>2</v>
      </c>
      <c r="H1702" s="359">
        <f t="shared" si="55"/>
        <v>0</v>
      </c>
      <c r="N1702" s="361"/>
      <c r="O1702" s="361"/>
      <c r="P1702" s="361"/>
      <c r="Q1702" s="361"/>
      <c r="R1702" s="361"/>
      <c r="S1702" s="361"/>
      <c r="T1702" s="396"/>
      <c r="U1702" s="364">
        <f t="shared" si="56"/>
        <v>0</v>
      </c>
      <c r="W1702" s="365"/>
      <c r="X1702" s="365"/>
      <c r="Z1702" s="366"/>
    </row>
    <row r="1703" spans="1:26" hidden="1">
      <c r="A1703" s="367">
        <f>SUBTOTAL(3,$B$15:B1703)</f>
        <v>2</v>
      </c>
      <c r="H1703" s="359">
        <f t="shared" si="55"/>
        <v>0</v>
      </c>
      <c r="N1703" s="361"/>
      <c r="O1703" s="361"/>
      <c r="P1703" s="361"/>
      <c r="Q1703" s="361"/>
      <c r="R1703" s="361"/>
      <c r="S1703" s="361"/>
      <c r="T1703" s="396"/>
      <c r="U1703" s="364">
        <f t="shared" si="56"/>
        <v>0</v>
      </c>
      <c r="W1703" s="365"/>
      <c r="X1703" s="365"/>
      <c r="Z1703" s="366"/>
    </row>
    <row r="1704" spans="1:26" hidden="1">
      <c r="A1704" s="367">
        <f>SUBTOTAL(3,$B$15:B1704)</f>
        <v>2</v>
      </c>
      <c r="H1704" s="359">
        <f t="shared" si="55"/>
        <v>0</v>
      </c>
      <c r="N1704" s="361"/>
      <c r="O1704" s="361"/>
      <c r="P1704" s="361"/>
      <c r="Q1704" s="361"/>
      <c r="R1704" s="361"/>
      <c r="S1704" s="361"/>
      <c r="T1704" s="396"/>
      <c r="U1704" s="364">
        <f t="shared" si="56"/>
        <v>0</v>
      </c>
      <c r="W1704" s="365"/>
      <c r="X1704" s="365"/>
      <c r="Z1704" s="366"/>
    </row>
    <row r="1705" spans="1:26" hidden="1">
      <c r="A1705" s="367">
        <f>SUBTOTAL(3,$B$15:B1705)</f>
        <v>2</v>
      </c>
      <c r="H1705" s="359">
        <f t="shared" si="55"/>
        <v>0</v>
      </c>
      <c r="N1705" s="361"/>
      <c r="O1705" s="361"/>
      <c r="P1705" s="361"/>
      <c r="Q1705" s="361"/>
      <c r="R1705" s="361"/>
      <c r="S1705" s="361"/>
      <c r="T1705" s="396"/>
      <c r="U1705" s="364">
        <f t="shared" si="56"/>
        <v>0</v>
      </c>
      <c r="W1705" s="365"/>
      <c r="X1705" s="365"/>
      <c r="Z1705" s="366"/>
    </row>
    <row r="1706" spans="1:26" hidden="1">
      <c r="A1706" s="367">
        <f>SUBTOTAL(3,$B$15:B1706)</f>
        <v>2</v>
      </c>
      <c r="H1706" s="359">
        <f t="shared" si="55"/>
        <v>0</v>
      </c>
      <c r="N1706" s="361"/>
      <c r="O1706" s="361"/>
      <c r="P1706" s="361"/>
      <c r="Q1706" s="361"/>
      <c r="R1706" s="361"/>
      <c r="S1706" s="361"/>
      <c r="T1706" s="396"/>
      <c r="U1706" s="364">
        <f t="shared" si="56"/>
        <v>0</v>
      </c>
      <c r="W1706" s="365"/>
      <c r="X1706" s="365"/>
      <c r="Z1706" s="366"/>
    </row>
    <row r="1707" spans="1:26" hidden="1">
      <c r="A1707" s="367">
        <f>SUBTOTAL(3,$B$15:B1707)</f>
        <v>2</v>
      </c>
      <c r="H1707" s="359">
        <f t="shared" si="55"/>
        <v>0</v>
      </c>
      <c r="N1707" s="361"/>
      <c r="O1707" s="361"/>
      <c r="P1707" s="361"/>
      <c r="Q1707" s="361"/>
      <c r="R1707" s="361"/>
      <c r="S1707" s="361"/>
      <c r="T1707" s="396"/>
      <c r="U1707" s="364">
        <f t="shared" si="56"/>
        <v>0</v>
      </c>
      <c r="W1707" s="365"/>
      <c r="X1707" s="365"/>
      <c r="Z1707" s="366"/>
    </row>
    <row r="1708" spans="1:26" hidden="1">
      <c r="A1708" s="367">
        <f>SUBTOTAL(3,$B$15:B1708)</f>
        <v>2</v>
      </c>
      <c r="H1708" s="359">
        <f t="shared" si="55"/>
        <v>0</v>
      </c>
      <c r="N1708" s="361"/>
      <c r="O1708" s="361"/>
      <c r="P1708" s="361"/>
      <c r="Q1708" s="361"/>
      <c r="R1708" s="361"/>
      <c r="S1708" s="361"/>
      <c r="T1708" s="396"/>
      <c r="U1708" s="364">
        <f t="shared" si="56"/>
        <v>0</v>
      </c>
      <c r="W1708" s="365"/>
      <c r="X1708" s="365"/>
      <c r="Z1708" s="366"/>
    </row>
    <row r="1709" spans="1:26" hidden="1">
      <c r="A1709" s="367">
        <f>SUBTOTAL(3,$B$15:B1709)</f>
        <v>2</v>
      </c>
      <c r="H1709" s="359">
        <f t="shared" si="55"/>
        <v>0</v>
      </c>
      <c r="N1709" s="361"/>
      <c r="O1709" s="361"/>
      <c r="P1709" s="361"/>
      <c r="Q1709" s="361"/>
      <c r="R1709" s="361"/>
      <c r="S1709" s="361"/>
      <c r="T1709" s="396"/>
      <c r="U1709" s="364">
        <f t="shared" si="56"/>
        <v>0</v>
      </c>
      <c r="W1709" s="365"/>
      <c r="X1709" s="365"/>
      <c r="Z1709" s="366"/>
    </row>
    <row r="1710" spans="1:26" hidden="1">
      <c r="A1710" s="367">
        <f>SUBTOTAL(3,$B$15:B1710)</f>
        <v>2</v>
      </c>
      <c r="H1710" s="359">
        <f t="shared" si="55"/>
        <v>0</v>
      </c>
      <c r="N1710" s="361"/>
      <c r="O1710" s="361"/>
      <c r="P1710" s="361"/>
      <c r="Q1710" s="361"/>
      <c r="R1710" s="361"/>
      <c r="S1710" s="361"/>
      <c r="T1710" s="396"/>
      <c r="U1710" s="364">
        <f t="shared" si="56"/>
        <v>0</v>
      </c>
      <c r="W1710" s="365"/>
      <c r="X1710" s="365"/>
      <c r="Z1710" s="366"/>
    </row>
    <row r="1711" spans="1:26" hidden="1">
      <c r="A1711" s="367">
        <f>SUBTOTAL(3,$B$15:B1711)</f>
        <v>2</v>
      </c>
      <c r="H1711" s="359">
        <f t="shared" si="55"/>
        <v>0</v>
      </c>
      <c r="N1711" s="361"/>
      <c r="O1711" s="361"/>
      <c r="P1711" s="361"/>
      <c r="Q1711" s="361"/>
      <c r="R1711" s="361"/>
      <c r="S1711" s="361"/>
      <c r="T1711" s="396"/>
      <c r="U1711" s="364">
        <f t="shared" si="56"/>
        <v>0</v>
      </c>
      <c r="W1711" s="365"/>
      <c r="X1711" s="365"/>
      <c r="Z1711" s="366"/>
    </row>
    <row r="1712" spans="1:26" hidden="1">
      <c r="A1712" s="367">
        <f>SUBTOTAL(3,$B$15:B1712)</f>
        <v>2</v>
      </c>
      <c r="H1712" s="359">
        <f t="shared" si="55"/>
        <v>0</v>
      </c>
      <c r="N1712" s="361"/>
      <c r="O1712" s="361"/>
      <c r="P1712" s="361"/>
      <c r="Q1712" s="361"/>
      <c r="R1712" s="361"/>
      <c r="S1712" s="361"/>
      <c r="T1712" s="396"/>
      <c r="U1712" s="364">
        <f t="shared" si="56"/>
        <v>0</v>
      </c>
      <c r="W1712" s="365"/>
      <c r="X1712" s="365"/>
      <c r="Z1712" s="366"/>
    </row>
    <row r="1713" spans="1:26" hidden="1">
      <c r="A1713" s="367">
        <f>SUBTOTAL(3,$B$15:B1713)</f>
        <v>2</v>
      </c>
      <c r="H1713" s="359">
        <f t="shared" si="55"/>
        <v>0</v>
      </c>
      <c r="N1713" s="361"/>
      <c r="O1713" s="361"/>
      <c r="P1713" s="361"/>
      <c r="Q1713" s="361"/>
      <c r="R1713" s="361"/>
      <c r="S1713" s="361"/>
      <c r="T1713" s="396"/>
      <c r="U1713" s="364">
        <f t="shared" si="56"/>
        <v>0</v>
      </c>
      <c r="W1713" s="365"/>
      <c r="X1713" s="365"/>
      <c r="Z1713" s="366"/>
    </row>
    <row r="1714" spans="1:26" hidden="1">
      <c r="A1714" s="367">
        <f>SUBTOTAL(3,$B$15:B1714)</f>
        <v>2</v>
      </c>
      <c r="H1714" s="359">
        <f t="shared" si="55"/>
        <v>0</v>
      </c>
      <c r="N1714" s="361"/>
      <c r="O1714" s="361"/>
      <c r="P1714" s="361"/>
      <c r="Q1714" s="361"/>
      <c r="R1714" s="361"/>
      <c r="S1714" s="361"/>
      <c r="T1714" s="396"/>
      <c r="U1714" s="364">
        <f t="shared" si="56"/>
        <v>0</v>
      </c>
      <c r="W1714" s="365"/>
      <c r="X1714" s="365"/>
      <c r="Z1714" s="366"/>
    </row>
    <row r="1715" spans="1:26" hidden="1">
      <c r="A1715" s="367">
        <f>SUBTOTAL(3,$B$15:B1715)</f>
        <v>2</v>
      </c>
      <c r="H1715" s="359">
        <f t="shared" si="55"/>
        <v>0</v>
      </c>
      <c r="N1715" s="361"/>
      <c r="O1715" s="361"/>
      <c r="P1715" s="361"/>
      <c r="Q1715" s="361"/>
      <c r="R1715" s="361"/>
      <c r="S1715" s="361"/>
      <c r="T1715" s="396"/>
      <c r="U1715" s="364">
        <f t="shared" si="56"/>
        <v>0</v>
      </c>
      <c r="W1715" s="365"/>
      <c r="X1715" s="365"/>
      <c r="Z1715" s="366"/>
    </row>
    <row r="1716" spans="1:26" hidden="1">
      <c r="A1716" s="367">
        <f>SUBTOTAL(3,$B$15:B1716)</f>
        <v>2</v>
      </c>
      <c r="H1716" s="359">
        <f t="shared" si="55"/>
        <v>0</v>
      </c>
      <c r="N1716" s="361"/>
      <c r="O1716" s="361"/>
      <c r="P1716" s="361"/>
      <c r="Q1716" s="361"/>
      <c r="R1716" s="361"/>
      <c r="S1716" s="361"/>
      <c r="T1716" s="396"/>
      <c r="U1716" s="364">
        <f t="shared" si="56"/>
        <v>0</v>
      </c>
      <c r="W1716" s="365"/>
      <c r="X1716" s="365"/>
      <c r="Z1716" s="366"/>
    </row>
    <row r="1717" spans="1:26" hidden="1">
      <c r="A1717" s="367">
        <f>SUBTOTAL(3,$B$15:B1717)</f>
        <v>2</v>
      </c>
      <c r="H1717" s="359">
        <f t="shared" si="55"/>
        <v>0</v>
      </c>
      <c r="N1717" s="361"/>
      <c r="O1717" s="361"/>
      <c r="P1717" s="361"/>
      <c r="Q1717" s="361"/>
      <c r="R1717" s="361"/>
      <c r="S1717" s="361"/>
      <c r="T1717" s="396"/>
      <c r="U1717" s="364">
        <f t="shared" si="56"/>
        <v>0</v>
      </c>
      <c r="W1717" s="365"/>
      <c r="X1717" s="365"/>
      <c r="Z1717" s="366"/>
    </row>
    <row r="1718" spans="1:26" hidden="1">
      <c r="A1718" s="367">
        <f>SUBTOTAL(3,$B$15:B1718)</f>
        <v>2</v>
      </c>
      <c r="H1718" s="359">
        <f t="shared" si="55"/>
        <v>0</v>
      </c>
      <c r="N1718" s="361"/>
      <c r="O1718" s="361"/>
      <c r="P1718" s="361"/>
      <c r="Q1718" s="361"/>
      <c r="R1718" s="361"/>
      <c r="S1718" s="361"/>
      <c r="T1718" s="396"/>
      <c r="U1718" s="364">
        <f t="shared" si="56"/>
        <v>0</v>
      </c>
      <c r="W1718" s="365"/>
      <c r="X1718" s="365"/>
      <c r="Z1718" s="366"/>
    </row>
    <row r="1719" spans="1:26" hidden="1">
      <c r="A1719" s="367">
        <f>SUBTOTAL(3,$B$15:B1719)</f>
        <v>2</v>
      </c>
      <c r="H1719" s="359">
        <f t="shared" si="55"/>
        <v>0</v>
      </c>
      <c r="N1719" s="361"/>
      <c r="O1719" s="361"/>
      <c r="P1719" s="361"/>
      <c r="Q1719" s="361"/>
      <c r="R1719" s="361"/>
      <c r="S1719" s="361"/>
      <c r="T1719" s="396"/>
      <c r="U1719" s="364">
        <f t="shared" si="56"/>
        <v>0</v>
      </c>
      <c r="W1719" s="365"/>
      <c r="X1719" s="365"/>
      <c r="Z1719" s="366"/>
    </row>
    <row r="1720" spans="1:26" hidden="1">
      <c r="A1720" s="367">
        <f>SUBTOTAL(3,$B$15:B1720)</f>
        <v>2</v>
      </c>
      <c r="H1720" s="359">
        <f t="shared" si="55"/>
        <v>0</v>
      </c>
      <c r="N1720" s="361"/>
      <c r="O1720" s="361"/>
      <c r="P1720" s="361"/>
      <c r="Q1720" s="361"/>
      <c r="R1720" s="361"/>
      <c r="S1720" s="361"/>
      <c r="T1720" s="396"/>
      <c r="U1720" s="364">
        <f t="shared" si="56"/>
        <v>0</v>
      </c>
      <c r="W1720" s="365"/>
      <c r="X1720" s="365"/>
      <c r="Z1720" s="366"/>
    </row>
    <row r="1721" spans="1:26" hidden="1">
      <c r="A1721" s="367">
        <f>SUBTOTAL(3,$B$15:B1721)</f>
        <v>2</v>
      </c>
      <c r="H1721" s="359">
        <f t="shared" si="55"/>
        <v>0</v>
      </c>
      <c r="N1721" s="361"/>
      <c r="O1721" s="361"/>
      <c r="P1721" s="361"/>
      <c r="Q1721" s="361"/>
      <c r="R1721" s="361"/>
      <c r="S1721" s="361"/>
      <c r="T1721" s="396"/>
      <c r="U1721" s="364">
        <f t="shared" si="56"/>
        <v>0</v>
      </c>
      <c r="W1721" s="365"/>
      <c r="X1721" s="365"/>
      <c r="Z1721" s="366"/>
    </row>
    <row r="1722" spans="1:26" hidden="1">
      <c r="A1722" s="367">
        <f>SUBTOTAL(3,$B$15:B1722)</f>
        <v>2</v>
      </c>
      <c r="H1722" s="359">
        <f t="shared" si="55"/>
        <v>0</v>
      </c>
      <c r="N1722" s="361"/>
      <c r="O1722" s="361"/>
      <c r="P1722" s="361"/>
      <c r="Q1722" s="361"/>
      <c r="R1722" s="361"/>
      <c r="S1722" s="361"/>
      <c r="T1722" s="396"/>
      <c r="U1722" s="364">
        <f t="shared" si="56"/>
        <v>0</v>
      </c>
      <c r="W1722" s="365"/>
      <c r="X1722" s="365"/>
      <c r="Z1722" s="366"/>
    </row>
    <row r="1723" spans="1:26" hidden="1">
      <c r="A1723" s="367">
        <f>SUBTOTAL(3,$B$15:B1723)</f>
        <v>2</v>
      </c>
      <c r="H1723" s="359">
        <f t="shared" si="55"/>
        <v>0</v>
      </c>
      <c r="N1723" s="361"/>
      <c r="O1723" s="361"/>
      <c r="P1723" s="361"/>
      <c r="Q1723" s="361"/>
      <c r="R1723" s="361"/>
      <c r="S1723" s="361"/>
      <c r="T1723" s="396"/>
      <c r="U1723" s="364">
        <f t="shared" si="56"/>
        <v>0</v>
      </c>
      <c r="W1723" s="365"/>
      <c r="X1723" s="365"/>
      <c r="Z1723" s="366"/>
    </row>
    <row r="1724" spans="1:26" hidden="1">
      <c r="A1724" s="367">
        <f>SUBTOTAL(3,$B$15:B1724)</f>
        <v>2</v>
      </c>
      <c r="H1724" s="359">
        <f t="shared" si="55"/>
        <v>0</v>
      </c>
      <c r="N1724" s="361"/>
      <c r="O1724" s="361"/>
      <c r="P1724" s="361"/>
      <c r="Q1724" s="361"/>
      <c r="R1724" s="361"/>
      <c r="S1724" s="361"/>
      <c r="T1724" s="396"/>
      <c r="U1724" s="364">
        <f t="shared" si="56"/>
        <v>0</v>
      </c>
      <c r="W1724" s="365"/>
      <c r="X1724" s="365"/>
      <c r="Z1724" s="366"/>
    </row>
    <row r="1725" spans="1:26" hidden="1">
      <c r="A1725" s="367">
        <f>SUBTOTAL(3,$B$15:B1725)</f>
        <v>2</v>
      </c>
      <c r="H1725" s="359">
        <f t="shared" si="55"/>
        <v>0</v>
      </c>
      <c r="N1725" s="361"/>
      <c r="O1725" s="361"/>
      <c r="P1725" s="361"/>
      <c r="Q1725" s="361"/>
      <c r="R1725" s="361"/>
      <c r="S1725" s="361"/>
      <c r="T1725" s="396"/>
      <c r="U1725" s="364">
        <f t="shared" si="56"/>
        <v>0</v>
      </c>
      <c r="W1725" s="365"/>
      <c r="X1725" s="365"/>
      <c r="Z1725" s="366"/>
    </row>
    <row r="1726" spans="1:26" hidden="1">
      <c r="A1726" s="367">
        <f>SUBTOTAL(3,$B$15:B1726)</f>
        <v>2</v>
      </c>
      <c r="H1726" s="359">
        <f t="shared" si="55"/>
        <v>0</v>
      </c>
      <c r="N1726" s="361"/>
      <c r="O1726" s="361"/>
      <c r="P1726" s="361"/>
      <c r="Q1726" s="361"/>
      <c r="R1726" s="361"/>
      <c r="S1726" s="361"/>
      <c r="T1726" s="396"/>
      <c r="U1726" s="364">
        <f t="shared" si="56"/>
        <v>0</v>
      </c>
      <c r="W1726" s="365"/>
      <c r="X1726" s="365"/>
      <c r="Z1726" s="366"/>
    </row>
    <row r="1727" spans="1:26" hidden="1">
      <c r="A1727" s="367">
        <f>SUBTOTAL(3,$B$15:B1727)</f>
        <v>2</v>
      </c>
      <c r="H1727" s="359">
        <f t="shared" si="55"/>
        <v>0</v>
      </c>
      <c r="N1727" s="361"/>
      <c r="O1727" s="361"/>
      <c r="P1727" s="361"/>
      <c r="Q1727" s="361"/>
      <c r="R1727" s="361"/>
      <c r="S1727" s="361"/>
      <c r="T1727" s="396"/>
      <c r="U1727" s="364">
        <f t="shared" si="56"/>
        <v>0</v>
      </c>
      <c r="W1727" s="365"/>
      <c r="X1727" s="365"/>
      <c r="Z1727" s="366"/>
    </row>
    <row r="1728" spans="1:26" hidden="1">
      <c r="A1728" s="367">
        <f>SUBTOTAL(3,$B$15:B1728)</f>
        <v>2</v>
      </c>
      <c r="H1728" s="359">
        <f t="shared" si="55"/>
        <v>0</v>
      </c>
      <c r="N1728" s="361"/>
      <c r="O1728" s="361"/>
      <c r="P1728" s="361"/>
      <c r="Q1728" s="361"/>
      <c r="R1728" s="361"/>
      <c r="S1728" s="361"/>
      <c r="T1728" s="396"/>
      <c r="U1728" s="364">
        <f t="shared" si="56"/>
        <v>0</v>
      </c>
      <c r="W1728" s="365"/>
      <c r="X1728" s="365"/>
      <c r="Z1728" s="366"/>
    </row>
    <row r="1729" spans="1:26" hidden="1">
      <c r="A1729" s="367">
        <f>SUBTOTAL(3,$B$15:B1729)</f>
        <v>2</v>
      </c>
      <c r="H1729" s="359">
        <f t="shared" si="55"/>
        <v>0</v>
      </c>
      <c r="N1729" s="361"/>
      <c r="O1729" s="361"/>
      <c r="P1729" s="361"/>
      <c r="Q1729" s="361"/>
      <c r="R1729" s="361"/>
      <c r="S1729" s="361"/>
      <c r="T1729" s="396"/>
      <c r="U1729" s="364">
        <f t="shared" si="56"/>
        <v>0</v>
      </c>
      <c r="W1729" s="365"/>
      <c r="X1729" s="365"/>
      <c r="Z1729" s="366"/>
    </row>
    <row r="1730" spans="1:26" hidden="1">
      <c r="A1730" s="367">
        <f>SUBTOTAL(3,$B$15:B1730)</f>
        <v>2</v>
      </c>
      <c r="H1730" s="359">
        <f t="shared" si="55"/>
        <v>0</v>
      </c>
      <c r="N1730" s="361"/>
      <c r="O1730" s="361"/>
      <c r="P1730" s="361"/>
      <c r="Q1730" s="361"/>
      <c r="R1730" s="361"/>
      <c r="S1730" s="361"/>
      <c r="T1730" s="396"/>
      <c r="U1730" s="364">
        <f t="shared" si="56"/>
        <v>0</v>
      </c>
      <c r="W1730" s="365"/>
      <c r="X1730" s="365"/>
      <c r="Z1730" s="366"/>
    </row>
    <row r="1731" spans="1:26" hidden="1">
      <c r="A1731" s="367">
        <f>SUBTOTAL(3,$B$15:B1731)</f>
        <v>2</v>
      </c>
      <c r="H1731" s="359">
        <f t="shared" si="55"/>
        <v>0</v>
      </c>
      <c r="N1731" s="361"/>
      <c r="O1731" s="361"/>
      <c r="P1731" s="361"/>
      <c r="Q1731" s="361"/>
      <c r="R1731" s="361"/>
      <c r="S1731" s="361"/>
      <c r="T1731" s="396"/>
      <c r="U1731" s="364">
        <f t="shared" si="56"/>
        <v>0</v>
      </c>
      <c r="W1731" s="365"/>
      <c r="X1731" s="365"/>
      <c r="Z1731" s="366"/>
    </row>
    <row r="1732" spans="1:26" hidden="1">
      <c r="A1732" s="367">
        <f>SUBTOTAL(3,$B$15:B1732)</f>
        <v>2</v>
      </c>
      <c r="H1732" s="359">
        <f t="shared" si="55"/>
        <v>0</v>
      </c>
      <c r="N1732" s="361"/>
      <c r="O1732" s="361"/>
      <c r="P1732" s="361"/>
      <c r="Q1732" s="361"/>
      <c r="R1732" s="361"/>
      <c r="S1732" s="361"/>
      <c r="T1732" s="396"/>
      <c r="U1732" s="364">
        <f t="shared" si="56"/>
        <v>0</v>
      </c>
      <c r="W1732" s="365"/>
      <c r="X1732" s="365"/>
      <c r="Z1732" s="366"/>
    </row>
    <row r="1733" spans="1:26" hidden="1">
      <c r="A1733" s="367">
        <f>SUBTOTAL(3,$B$15:B1733)</f>
        <v>2</v>
      </c>
      <c r="H1733" s="359">
        <f t="shared" si="55"/>
        <v>0</v>
      </c>
      <c r="N1733" s="361"/>
      <c r="O1733" s="361"/>
      <c r="P1733" s="361"/>
      <c r="Q1733" s="361"/>
      <c r="R1733" s="361"/>
      <c r="S1733" s="361"/>
      <c r="T1733" s="396"/>
      <c r="U1733" s="364">
        <f t="shared" si="56"/>
        <v>0</v>
      </c>
      <c r="W1733" s="365"/>
      <c r="X1733" s="365"/>
      <c r="Z1733" s="366"/>
    </row>
    <row r="1734" spans="1:26" hidden="1">
      <c r="A1734" s="367">
        <f>SUBTOTAL(3,$B$15:B1734)</f>
        <v>2</v>
      </c>
      <c r="H1734" s="359">
        <f t="shared" si="55"/>
        <v>0</v>
      </c>
      <c r="N1734" s="361"/>
      <c r="O1734" s="361"/>
      <c r="P1734" s="361"/>
      <c r="Q1734" s="361"/>
      <c r="R1734" s="361"/>
      <c r="S1734" s="361"/>
      <c r="T1734" s="396"/>
      <c r="U1734" s="364">
        <f t="shared" si="56"/>
        <v>0</v>
      </c>
      <c r="W1734" s="365"/>
      <c r="X1734" s="365"/>
      <c r="Z1734" s="366"/>
    </row>
    <row r="1735" spans="1:26" hidden="1">
      <c r="A1735" s="367">
        <f>SUBTOTAL(3,$B$15:B1735)</f>
        <v>2</v>
      </c>
      <c r="H1735" s="359">
        <f t="shared" si="55"/>
        <v>0</v>
      </c>
      <c r="N1735" s="361"/>
      <c r="O1735" s="361"/>
      <c r="P1735" s="361"/>
      <c r="Q1735" s="361"/>
      <c r="R1735" s="361"/>
      <c r="S1735" s="361"/>
      <c r="T1735" s="396"/>
      <c r="U1735" s="364">
        <f t="shared" si="56"/>
        <v>0</v>
      </c>
      <c r="W1735" s="365"/>
      <c r="X1735" s="365"/>
      <c r="Z1735" s="366"/>
    </row>
    <row r="1736" spans="1:26" hidden="1">
      <c r="A1736" s="367">
        <f>SUBTOTAL(3,$B$15:B1736)</f>
        <v>2</v>
      </c>
      <c r="H1736" s="359">
        <f t="shared" si="55"/>
        <v>0</v>
      </c>
      <c r="N1736" s="361"/>
      <c r="O1736" s="361"/>
      <c r="P1736" s="361"/>
      <c r="Q1736" s="361"/>
      <c r="R1736" s="361"/>
      <c r="S1736" s="361"/>
      <c r="T1736" s="396"/>
      <c r="U1736" s="364">
        <f t="shared" si="56"/>
        <v>0</v>
      </c>
      <c r="W1736" s="365"/>
      <c r="X1736" s="365"/>
      <c r="Z1736" s="366"/>
    </row>
    <row r="1737" spans="1:26" hidden="1">
      <c r="A1737" s="367">
        <f>SUBTOTAL(3,$B$15:B1737)</f>
        <v>2</v>
      </c>
      <c r="H1737" s="359">
        <f t="shared" si="55"/>
        <v>0</v>
      </c>
      <c r="N1737" s="361"/>
      <c r="O1737" s="361"/>
      <c r="P1737" s="361"/>
      <c r="Q1737" s="361"/>
      <c r="R1737" s="361"/>
      <c r="S1737" s="361"/>
      <c r="T1737" s="396"/>
      <c r="U1737" s="364">
        <f t="shared" si="56"/>
        <v>0</v>
      </c>
      <c r="W1737" s="365"/>
      <c r="X1737" s="365"/>
      <c r="Z1737" s="366"/>
    </row>
    <row r="1738" spans="1:26" hidden="1">
      <c r="A1738" s="367">
        <f>SUBTOTAL(3,$B$15:B1738)</f>
        <v>2</v>
      </c>
      <c r="H1738" s="359">
        <f t="shared" si="55"/>
        <v>0</v>
      </c>
      <c r="N1738" s="361"/>
      <c r="O1738" s="361"/>
      <c r="P1738" s="361"/>
      <c r="Q1738" s="361"/>
      <c r="R1738" s="361"/>
      <c r="S1738" s="361"/>
      <c r="T1738" s="396"/>
      <c r="U1738" s="364">
        <f t="shared" si="56"/>
        <v>0</v>
      </c>
      <c r="W1738" s="365"/>
      <c r="X1738" s="365"/>
      <c r="Z1738" s="366"/>
    </row>
    <row r="1739" spans="1:26" hidden="1">
      <c r="A1739" s="367">
        <f>SUBTOTAL(3,$B$15:B1739)</f>
        <v>2</v>
      </c>
      <c r="H1739" s="359">
        <f t="shared" si="55"/>
        <v>0</v>
      </c>
      <c r="N1739" s="361"/>
      <c r="O1739" s="361"/>
      <c r="P1739" s="361"/>
      <c r="Q1739" s="361"/>
      <c r="R1739" s="361"/>
      <c r="S1739" s="361"/>
      <c r="T1739" s="396"/>
      <c r="U1739" s="364">
        <f t="shared" si="56"/>
        <v>0</v>
      </c>
      <c r="W1739" s="365"/>
      <c r="X1739" s="365"/>
      <c r="Z1739" s="366"/>
    </row>
    <row r="1740" spans="1:26" hidden="1">
      <c r="A1740" s="367">
        <f>SUBTOTAL(3,$B$15:B1740)</f>
        <v>2</v>
      </c>
      <c r="H1740" s="359">
        <f t="shared" si="55"/>
        <v>0</v>
      </c>
      <c r="N1740" s="361"/>
      <c r="O1740" s="361"/>
      <c r="P1740" s="361"/>
      <c r="Q1740" s="361"/>
      <c r="R1740" s="361"/>
      <c r="S1740" s="361"/>
      <c r="T1740" s="396"/>
      <c r="U1740" s="364">
        <f t="shared" si="56"/>
        <v>0</v>
      </c>
      <c r="W1740" s="365"/>
      <c r="X1740" s="365"/>
      <c r="Z1740" s="366"/>
    </row>
    <row r="1741" spans="1:26" hidden="1">
      <c r="A1741" s="367">
        <f>SUBTOTAL(3,$B$15:B1741)</f>
        <v>2</v>
      </c>
      <c r="H1741" s="359">
        <f t="shared" si="55"/>
        <v>0</v>
      </c>
      <c r="N1741" s="361"/>
      <c r="O1741" s="361"/>
      <c r="P1741" s="361"/>
      <c r="Q1741" s="361"/>
      <c r="R1741" s="361"/>
      <c r="S1741" s="361"/>
      <c r="T1741" s="396"/>
      <c r="U1741" s="364">
        <f t="shared" si="56"/>
        <v>0</v>
      </c>
      <c r="W1741" s="365"/>
      <c r="X1741" s="365"/>
      <c r="Z1741" s="366"/>
    </row>
    <row r="1742" spans="1:26" hidden="1">
      <c r="A1742" s="367">
        <f>SUBTOTAL(3,$B$15:B1742)</f>
        <v>2</v>
      </c>
      <c r="H1742" s="359">
        <f t="shared" si="55"/>
        <v>0</v>
      </c>
      <c r="N1742" s="361"/>
      <c r="O1742" s="361"/>
      <c r="P1742" s="361"/>
      <c r="Q1742" s="361"/>
      <c r="R1742" s="361"/>
      <c r="S1742" s="361"/>
      <c r="T1742" s="396"/>
      <c r="U1742" s="364">
        <f t="shared" si="56"/>
        <v>0</v>
      </c>
      <c r="W1742" s="365"/>
      <c r="X1742" s="365"/>
      <c r="Z1742" s="366"/>
    </row>
    <row r="1743" spans="1:26" hidden="1">
      <c r="A1743" s="367">
        <f>SUBTOTAL(3,$B$15:B1743)</f>
        <v>2</v>
      </c>
      <c r="H1743" s="359">
        <f t="shared" si="55"/>
        <v>0</v>
      </c>
      <c r="N1743" s="361"/>
      <c r="O1743" s="361"/>
      <c r="P1743" s="361"/>
      <c r="Q1743" s="361"/>
      <c r="R1743" s="361"/>
      <c r="S1743" s="361"/>
      <c r="T1743" s="396"/>
      <c r="U1743" s="364">
        <f t="shared" si="56"/>
        <v>0</v>
      </c>
      <c r="W1743" s="365"/>
      <c r="X1743" s="365"/>
      <c r="Z1743" s="366"/>
    </row>
    <row r="1744" spans="1:26" hidden="1">
      <c r="A1744" s="367">
        <f>SUBTOTAL(3,$B$15:B1744)</f>
        <v>2</v>
      </c>
      <c r="H1744" s="359">
        <f t="shared" si="55"/>
        <v>0</v>
      </c>
      <c r="N1744" s="361"/>
      <c r="O1744" s="361"/>
      <c r="P1744" s="361"/>
      <c r="Q1744" s="361"/>
      <c r="R1744" s="361"/>
      <c r="S1744" s="361"/>
      <c r="T1744" s="396"/>
      <c r="U1744" s="364">
        <f t="shared" si="56"/>
        <v>0</v>
      </c>
      <c r="W1744" s="365"/>
      <c r="X1744" s="365"/>
      <c r="Z1744" s="366"/>
    </row>
    <row r="1745" spans="1:26" hidden="1">
      <c r="A1745" s="367">
        <f>SUBTOTAL(3,$B$15:B1745)</f>
        <v>2</v>
      </c>
      <c r="H1745" s="359">
        <f t="shared" si="55"/>
        <v>0</v>
      </c>
      <c r="N1745" s="361"/>
      <c r="O1745" s="361"/>
      <c r="P1745" s="361"/>
      <c r="Q1745" s="361"/>
      <c r="R1745" s="361"/>
      <c r="S1745" s="361"/>
      <c r="T1745" s="396"/>
      <c r="U1745" s="364">
        <f t="shared" si="56"/>
        <v>0</v>
      </c>
      <c r="W1745" s="365"/>
      <c r="X1745" s="365"/>
      <c r="Z1745" s="366"/>
    </row>
    <row r="1746" spans="1:26" hidden="1">
      <c r="A1746" s="367">
        <f>SUBTOTAL(3,$B$15:B1746)</f>
        <v>2</v>
      </c>
      <c r="H1746" s="359">
        <f t="shared" si="55"/>
        <v>0</v>
      </c>
      <c r="N1746" s="361"/>
      <c r="O1746" s="361"/>
      <c r="P1746" s="361"/>
      <c r="Q1746" s="361"/>
      <c r="R1746" s="361"/>
      <c r="S1746" s="361"/>
      <c r="T1746" s="396"/>
      <c r="U1746" s="364">
        <f t="shared" si="56"/>
        <v>0</v>
      </c>
      <c r="W1746" s="365"/>
      <c r="X1746" s="365"/>
      <c r="Z1746" s="366"/>
    </row>
    <row r="1747" spans="1:26" hidden="1">
      <c r="A1747" s="367">
        <f>SUBTOTAL(3,$B$15:B1747)</f>
        <v>2</v>
      </c>
      <c r="H1747" s="359">
        <f t="shared" si="55"/>
        <v>0</v>
      </c>
      <c r="N1747" s="361"/>
      <c r="O1747" s="361"/>
      <c r="P1747" s="361"/>
      <c r="Q1747" s="361"/>
      <c r="R1747" s="361"/>
      <c r="S1747" s="361"/>
      <c r="T1747" s="396"/>
      <c r="U1747" s="364">
        <f t="shared" si="56"/>
        <v>0</v>
      </c>
      <c r="W1747" s="365"/>
      <c r="X1747" s="365"/>
      <c r="Z1747" s="366"/>
    </row>
    <row r="1748" spans="1:26" hidden="1">
      <c r="A1748" s="367">
        <f>SUBTOTAL(3,$B$15:B1748)</f>
        <v>2</v>
      </c>
      <c r="H1748" s="359">
        <f t="shared" ref="H1748:H1811" si="57">+G1748-SUM(M1748,O1748,Q1748)</f>
        <v>0</v>
      </c>
      <c r="N1748" s="361"/>
      <c r="O1748" s="361"/>
      <c r="P1748" s="361"/>
      <c r="Q1748" s="361"/>
      <c r="R1748" s="361"/>
      <c r="S1748" s="361"/>
      <c r="T1748" s="396"/>
      <c r="U1748" s="364">
        <f t="shared" si="56"/>
        <v>0</v>
      </c>
      <c r="W1748" s="365"/>
      <c r="X1748" s="365"/>
      <c r="Z1748" s="366"/>
    </row>
    <row r="1749" spans="1:26" hidden="1">
      <c r="A1749" s="367">
        <f>SUBTOTAL(3,$B$15:B1749)</f>
        <v>2</v>
      </c>
      <c r="H1749" s="359">
        <f t="shared" si="57"/>
        <v>0</v>
      </c>
      <c r="N1749" s="361"/>
      <c r="O1749" s="361"/>
      <c r="P1749" s="361"/>
      <c r="Q1749" s="361"/>
      <c r="R1749" s="361"/>
      <c r="S1749" s="361"/>
      <c r="T1749" s="396"/>
      <c r="U1749" s="364">
        <f t="shared" si="56"/>
        <v>0</v>
      </c>
      <c r="W1749" s="365"/>
      <c r="X1749" s="365"/>
      <c r="Z1749" s="366"/>
    </row>
    <row r="1750" spans="1:26" hidden="1">
      <c r="A1750" s="367">
        <f>SUBTOTAL(3,$B$15:B1750)</f>
        <v>2</v>
      </c>
      <c r="H1750" s="359">
        <f t="shared" si="57"/>
        <v>0</v>
      </c>
      <c r="N1750" s="361"/>
      <c r="O1750" s="361"/>
      <c r="P1750" s="361"/>
      <c r="Q1750" s="361"/>
      <c r="R1750" s="361"/>
      <c r="S1750" s="361"/>
      <c r="T1750" s="396"/>
      <c r="U1750" s="364">
        <f t="shared" si="56"/>
        <v>0</v>
      </c>
      <c r="W1750" s="365"/>
      <c r="X1750" s="365"/>
      <c r="Z1750" s="366"/>
    </row>
    <row r="1751" spans="1:26" hidden="1">
      <c r="A1751" s="367">
        <f>SUBTOTAL(3,$B$15:B1751)</f>
        <v>2</v>
      </c>
      <c r="H1751" s="359">
        <f t="shared" si="57"/>
        <v>0</v>
      </c>
      <c r="N1751" s="361"/>
      <c r="O1751" s="361"/>
      <c r="P1751" s="361"/>
      <c r="Q1751" s="361"/>
      <c r="R1751" s="361"/>
      <c r="S1751" s="361"/>
      <c r="T1751" s="396"/>
      <c r="U1751" s="364">
        <f t="shared" ref="U1751:U1814" si="58">SUM(H1751:T1751)</f>
        <v>0</v>
      </c>
      <c r="W1751" s="365"/>
      <c r="X1751" s="365"/>
      <c r="Z1751" s="366"/>
    </row>
    <row r="1752" spans="1:26" hidden="1">
      <c r="A1752" s="367">
        <f>SUBTOTAL(3,$B$15:B1752)</f>
        <v>2</v>
      </c>
      <c r="H1752" s="359">
        <f t="shared" si="57"/>
        <v>0</v>
      </c>
      <c r="N1752" s="361"/>
      <c r="O1752" s="361"/>
      <c r="P1752" s="361"/>
      <c r="Q1752" s="361"/>
      <c r="R1752" s="361"/>
      <c r="S1752" s="361"/>
      <c r="T1752" s="396"/>
      <c r="U1752" s="364">
        <f t="shared" si="58"/>
        <v>0</v>
      </c>
      <c r="W1752" s="365"/>
      <c r="X1752" s="365"/>
      <c r="Z1752" s="366"/>
    </row>
    <row r="1753" spans="1:26" hidden="1">
      <c r="A1753" s="367">
        <f>SUBTOTAL(3,$B$15:B1753)</f>
        <v>2</v>
      </c>
      <c r="H1753" s="359">
        <f t="shared" si="57"/>
        <v>0</v>
      </c>
      <c r="N1753" s="361"/>
      <c r="O1753" s="361"/>
      <c r="P1753" s="361"/>
      <c r="Q1753" s="361"/>
      <c r="R1753" s="361"/>
      <c r="S1753" s="361"/>
      <c r="T1753" s="396"/>
      <c r="U1753" s="364">
        <f t="shared" si="58"/>
        <v>0</v>
      </c>
      <c r="W1753" s="365"/>
      <c r="X1753" s="365"/>
      <c r="Z1753" s="366"/>
    </row>
    <row r="1754" spans="1:26" hidden="1">
      <c r="A1754" s="367">
        <f>SUBTOTAL(3,$B$15:B1754)</f>
        <v>2</v>
      </c>
      <c r="H1754" s="359">
        <f t="shared" si="57"/>
        <v>0</v>
      </c>
      <c r="N1754" s="361"/>
      <c r="O1754" s="361"/>
      <c r="P1754" s="361"/>
      <c r="Q1754" s="361"/>
      <c r="R1754" s="361"/>
      <c r="S1754" s="361"/>
      <c r="T1754" s="396"/>
      <c r="U1754" s="364">
        <f t="shared" si="58"/>
        <v>0</v>
      </c>
      <c r="W1754" s="365"/>
      <c r="X1754" s="365"/>
      <c r="Z1754" s="366"/>
    </row>
    <row r="1755" spans="1:26" hidden="1">
      <c r="A1755" s="367">
        <f>SUBTOTAL(3,$B$15:B1755)</f>
        <v>2</v>
      </c>
      <c r="H1755" s="359">
        <f t="shared" si="57"/>
        <v>0</v>
      </c>
      <c r="N1755" s="361"/>
      <c r="O1755" s="361"/>
      <c r="P1755" s="361"/>
      <c r="Q1755" s="361"/>
      <c r="R1755" s="361"/>
      <c r="S1755" s="361"/>
      <c r="T1755" s="396"/>
      <c r="U1755" s="364">
        <f t="shared" si="58"/>
        <v>0</v>
      </c>
      <c r="W1755" s="365"/>
      <c r="X1755" s="365"/>
      <c r="Z1755" s="366"/>
    </row>
    <row r="1756" spans="1:26" hidden="1">
      <c r="A1756" s="367">
        <f>SUBTOTAL(3,$B$15:B1756)</f>
        <v>2</v>
      </c>
      <c r="H1756" s="359">
        <f t="shared" si="57"/>
        <v>0</v>
      </c>
      <c r="N1756" s="361"/>
      <c r="O1756" s="361"/>
      <c r="P1756" s="361"/>
      <c r="Q1756" s="361"/>
      <c r="R1756" s="361"/>
      <c r="S1756" s="361"/>
      <c r="T1756" s="396"/>
      <c r="U1756" s="364">
        <f t="shared" si="58"/>
        <v>0</v>
      </c>
      <c r="W1756" s="365"/>
      <c r="X1756" s="365"/>
      <c r="Z1756" s="366"/>
    </row>
    <row r="1757" spans="1:26" hidden="1">
      <c r="A1757" s="367">
        <f>SUBTOTAL(3,$B$15:B1757)</f>
        <v>2</v>
      </c>
      <c r="H1757" s="359">
        <f t="shared" si="57"/>
        <v>0</v>
      </c>
      <c r="N1757" s="361"/>
      <c r="O1757" s="361"/>
      <c r="P1757" s="361"/>
      <c r="Q1757" s="361"/>
      <c r="R1757" s="361"/>
      <c r="S1757" s="361"/>
      <c r="T1757" s="396"/>
      <c r="U1757" s="364">
        <f t="shared" si="58"/>
        <v>0</v>
      </c>
      <c r="W1757" s="365"/>
      <c r="X1757" s="365"/>
      <c r="Z1757" s="366"/>
    </row>
    <row r="1758" spans="1:26" hidden="1">
      <c r="A1758" s="367">
        <f>SUBTOTAL(3,$B$15:B1758)</f>
        <v>2</v>
      </c>
      <c r="H1758" s="359">
        <f t="shared" si="57"/>
        <v>0</v>
      </c>
      <c r="N1758" s="361"/>
      <c r="O1758" s="361"/>
      <c r="P1758" s="361"/>
      <c r="Q1758" s="361"/>
      <c r="R1758" s="361"/>
      <c r="S1758" s="361"/>
      <c r="T1758" s="396"/>
      <c r="U1758" s="364">
        <f t="shared" si="58"/>
        <v>0</v>
      </c>
      <c r="W1758" s="365"/>
      <c r="X1758" s="365"/>
      <c r="Z1758" s="366"/>
    </row>
    <row r="1759" spans="1:26" hidden="1">
      <c r="A1759" s="367">
        <f>SUBTOTAL(3,$B$15:B1759)</f>
        <v>2</v>
      </c>
      <c r="H1759" s="359">
        <f t="shared" si="57"/>
        <v>0</v>
      </c>
      <c r="N1759" s="361"/>
      <c r="O1759" s="361"/>
      <c r="P1759" s="361"/>
      <c r="Q1759" s="361"/>
      <c r="R1759" s="361"/>
      <c r="S1759" s="361"/>
      <c r="T1759" s="396"/>
      <c r="U1759" s="364">
        <f t="shared" si="58"/>
        <v>0</v>
      </c>
      <c r="W1759" s="365"/>
      <c r="X1759" s="365"/>
      <c r="Z1759" s="366"/>
    </row>
    <row r="1760" spans="1:26" hidden="1">
      <c r="A1760" s="367">
        <f>SUBTOTAL(3,$B$15:B1760)</f>
        <v>2</v>
      </c>
      <c r="H1760" s="359">
        <f t="shared" si="57"/>
        <v>0</v>
      </c>
      <c r="N1760" s="361"/>
      <c r="O1760" s="361"/>
      <c r="P1760" s="361"/>
      <c r="Q1760" s="361"/>
      <c r="R1760" s="361"/>
      <c r="S1760" s="361"/>
      <c r="T1760" s="396"/>
      <c r="U1760" s="364">
        <f t="shared" si="58"/>
        <v>0</v>
      </c>
      <c r="W1760" s="365"/>
      <c r="X1760" s="365"/>
      <c r="Z1760" s="366"/>
    </row>
    <row r="1761" spans="1:26" hidden="1">
      <c r="A1761" s="367">
        <f>SUBTOTAL(3,$B$15:B1761)</f>
        <v>2</v>
      </c>
      <c r="H1761" s="359">
        <f t="shared" si="57"/>
        <v>0</v>
      </c>
      <c r="N1761" s="361"/>
      <c r="O1761" s="361"/>
      <c r="P1761" s="361"/>
      <c r="Q1761" s="361"/>
      <c r="R1761" s="361"/>
      <c r="S1761" s="361"/>
      <c r="T1761" s="396"/>
      <c r="U1761" s="364">
        <f t="shared" si="58"/>
        <v>0</v>
      </c>
      <c r="W1761" s="365"/>
      <c r="X1761" s="365"/>
      <c r="Z1761" s="366"/>
    </row>
    <row r="1762" spans="1:26" hidden="1">
      <c r="A1762" s="367">
        <f>SUBTOTAL(3,$B$15:B1762)</f>
        <v>2</v>
      </c>
      <c r="H1762" s="359">
        <f t="shared" si="57"/>
        <v>0</v>
      </c>
      <c r="N1762" s="361"/>
      <c r="O1762" s="361"/>
      <c r="P1762" s="361"/>
      <c r="Q1762" s="361"/>
      <c r="R1762" s="361"/>
      <c r="S1762" s="361"/>
      <c r="T1762" s="396"/>
      <c r="U1762" s="364">
        <f t="shared" si="58"/>
        <v>0</v>
      </c>
      <c r="W1762" s="365"/>
      <c r="X1762" s="365"/>
      <c r="Z1762" s="366"/>
    </row>
    <row r="1763" spans="1:26" hidden="1">
      <c r="A1763" s="367">
        <f>SUBTOTAL(3,$B$15:B1763)</f>
        <v>2</v>
      </c>
      <c r="H1763" s="359">
        <f t="shared" si="57"/>
        <v>0</v>
      </c>
      <c r="N1763" s="361"/>
      <c r="O1763" s="361"/>
      <c r="P1763" s="361"/>
      <c r="Q1763" s="361"/>
      <c r="R1763" s="361"/>
      <c r="S1763" s="361"/>
      <c r="T1763" s="396"/>
      <c r="U1763" s="364">
        <f t="shared" si="58"/>
        <v>0</v>
      </c>
      <c r="W1763" s="365"/>
      <c r="X1763" s="365"/>
      <c r="Z1763" s="366"/>
    </row>
    <row r="1764" spans="1:26" hidden="1">
      <c r="A1764" s="367">
        <f>SUBTOTAL(3,$B$15:B1764)</f>
        <v>2</v>
      </c>
      <c r="H1764" s="359">
        <f t="shared" si="57"/>
        <v>0</v>
      </c>
      <c r="N1764" s="361"/>
      <c r="O1764" s="361"/>
      <c r="P1764" s="361"/>
      <c r="Q1764" s="361"/>
      <c r="R1764" s="361"/>
      <c r="S1764" s="361"/>
      <c r="T1764" s="396"/>
      <c r="U1764" s="364">
        <f t="shared" si="58"/>
        <v>0</v>
      </c>
      <c r="W1764" s="365"/>
      <c r="X1764" s="365"/>
      <c r="Z1764" s="366"/>
    </row>
    <row r="1765" spans="1:26" hidden="1">
      <c r="A1765" s="367">
        <f>SUBTOTAL(3,$B$15:B1765)</f>
        <v>2</v>
      </c>
      <c r="H1765" s="359">
        <f t="shared" si="57"/>
        <v>0</v>
      </c>
      <c r="N1765" s="361"/>
      <c r="O1765" s="361"/>
      <c r="P1765" s="361"/>
      <c r="Q1765" s="361"/>
      <c r="R1765" s="361"/>
      <c r="S1765" s="361"/>
      <c r="T1765" s="396"/>
      <c r="U1765" s="364">
        <f t="shared" si="58"/>
        <v>0</v>
      </c>
      <c r="W1765" s="365"/>
      <c r="X1765" s="365"/>
      <c r="Z1765" s="366"/>
    </row>
    <row r="1766" spans="1:26" hidden="1">
      <c r="A1766" s="367">
        <f>SUBTOTAL(3,$B$15:B1766)</f>
        <v>2</v>
      </c>
      <c r="H1766" s="359">
        <f t="shared" si="57"/>
        <v>0</v>
      </c>
      <c r="N1766" s="361"/>
      <c r="O1766" s="361"/>
      <c r="P1766" s="361"/>
      <c r="Q1766" s="361"/>
      <c r="R1766" s="361"/>
      <c r="S1766" s="361"/>
      <c r="T1766" s="396"/>
      <c r="U1766" s="364">
        <f t="shared" si="58"/>
        <v>0</v>
      </c>
      <c r="W1766" s="365"/>
      <c r="X1766" s="365"/>
      <c r="Z1766" s="366"/>
    </row>
    <row r="1767" spans="1:26" hidden="1">
      <c r="A1767" s="367">
        <f>SUBTOTAL(3,$B$15:B1767)</f>
        <v>2</v>
      </c>
      <c r="H1767" s="359">
        <f t="shared" si="57"/>
        <v>0</v>
      </c>
      <c r="N1767" s="361"/>
      <c r="O1767" s="361"/>
      <c r="P1767" s="361"/>
      <c r="Q1767" s="361"/>
      <c r="R1767" s="361"/>
      <c r="S1767" s="361"/>
      <c r="T1767" s="396"/>
      <c r="U1767" s="364">
        <f t="shared" si="58"/>
        <v>0</v>
      </c>
      <c r="W1767" s="365"/>
      <c r="X1767" s="365"/>
      <c r="Z1767" s="366"/>
    </row>
    <row r="1768" spans="1:26" hidden="1">
      <c r="A1768" s="367">
        <f>SUBTOTAL(3,$B$15:B1768)</f>
        <v>2</v>
      </c>
      <c r="H1768" s="359">
        <f t="shared" si="57"/>
        <v>0</v>
      </c>
      <c r="N1768" s="361"/>
      <c r="O1768" s="361"/>
      <c r="P1768" s="361"/>
      <c r="Q1768" s="361"/>
      <c r="R1768" s="361"/>
      <c r="S1768" s="361"/>
      <c r="T1768" s="396"/>
      <c r="U1768" s="364">
        <f t="shared" si="58"/>
        <v>0</v>
      </c>
      <c r="W1768" s="365"/>
      <c r="X1768" s="365"/>
      <c r="Z1768" s="366"/>
    </row>
    <row r="1769" spans="1:26" hidden="1">
      <c r="A1769" s="367">
        <f>SUBTOTAL(3,$B$15:B1769)</f>
        <v>2</v>
      </c>
      <c r="H1769" s="359">
        <f t="shared" si="57"/>
        <v>0</v>
      </c>
      <c r="N1769" s="361"/>
      <c r="O1769" s="361"/>
      <c r="P1769" s="361"/>
      <c r="Q1769" s="361"/>
      <c r="R1769" s="361"/>
      <c r="S1769" s="361"/>
      <c r="T1769" s="396"/>
      <c r="U1769" s="364">
        <f t="shared" si="58"/>
        <v>0</v>
      </c>
      <c r="W1769" s="365"/>
      <c r="X1769" s="365"/>
      <c r="Z1769" s="366"/>
    </row>
    <row r="1770" spans="1:26" hidden="1">
      <c r="A1770" s="367">
        <f>SUBTOTAL(3,$B$15:B1770)</f>
        <v>2</v>
      </c>
      <c r="H1770" s="359">
        <f t="shared" si="57"/>
        <v>0</v>
      </c>
      <c r="N1770" s="361"/>
      <c r="O1770" s="361"/>
      <c r="P1770" s="361"/>
      <c r="Q1770" s="361"/>
      <c r="R1770" s="361"/>
      <c r="S1770" s="361"/>
      <c r="T1770" s="396"/>
      <c r="U1770" s="364">
        <f t="shared" si="58"/>
        <v>0</v>
      </c>
      <c r="W1770" s="365"/>
      <c r="X1770" s="365"/>
      <c r="Z1770" s="366"/>
    </row>
    <row r="1771" spans="1:26" hidden="1">
      <c r="A1771" s="367">
        <f>SUBTOTAL(3,$B$15:B1771)</f>
        <v>2</v>
      </c>
      <c r="H1771" s="359">
        <f t="shared" si="57"/>
        <v>0</v>
      </c>
      <c r="N1771" s="361"/>
      <c r="O1771" s="361"/>
      <c r="P1771" s="361"/>
      <c r="Q1771" s="361"/>
      <c r="R1771" s="361"/>
      <c r="S1771" s="361"/>
      <c r="T1771" s="396"/>
      <c r="U1771" s="364">
        <f t="shared" si="58"/>
        <v>0</v>
      </c>
      <c r="W1771" s="365"/>
      <c r="X1771" s="365"/>
      <c r="Z1771" s="366"/>
    </row>
    <row r="1772" spans="1:26" hidden="1">
      <c r="A1772" s="367">
        <f>SUBTOTAL(3,$B$15:B1772)</f>
        <v>2</v>
      </c>
      <c r="H1772" s="359">
        <f t="shared" si="57"/>
        <v>0</v>
      </c>
      <c r="N1772" s="361"/>
      <c r="O1772" s="361"/>
      <c r="P1772" s="361"/>
      <c r="Q1772" s="361"/>
      <c r="R1772" s="361"/>
      <c r="S1772" s="361"/>
      <c r="T1772" s="396"/>
      <c r="U1772" s="364">
        <f t="shared" si="58"/>
        <v>0</v>
      </c>
      <c r="W1772" s="365"/>
      <c r="X1772" s="365"/>
      <c r="Z1772" s="366"/>
    </row>
    <row r="1773" spans="1:26" hidden="1">
      <c r="A1773" s="367">
        <f>SUBTOTAL(3,$B$15:B1773)</f>
        <v>2</v>
      </c>
      <c r="H1773" s="359">
        <f t="shared" si="57"/>
        <v>0</v>
      </c>
      <c r="N1773" s="361"/>
      <c r="O1773" s="361"/>
      <c r="P1773" s="361"/>
      <c r="Q1773" s="361"/>
      <c r="R1773" s="361"/>
      <c r="S1773" s="361"/>
      <c r="T1773" s="396"/>
      <c r="U1773" s="364">
        <f t="shared" si="58"/>
        <v>0</v>
      </c>
      <c r="W1773" s="365"/>
      <c r="X1773" s="365"/>
      <c r="Z1773" s="366"/>
    </row>
    <row r="1774" spans="1:26" hidden="1">
      <c r="A1774" s="367">
        <f>SUBTOTAL(3,$B$15:B1774)</f>
        <v>2</v>
      </c>
      <c r="H1774" s="359">
        <f t="shared" si="57"/>
        <v>0</v>
      </c>
      <c r="N1774" s="361"/>
      <c r="O1774" s="361"/>
      <c r="P1774" s="361"/>
      <c r="Q1774" s="361"/>
      <c r="R1774" s="361"/>
      <c r="S1774" s="361"/>
      <c r="T1774" s="396"/>
      <c r="U1774" s="364">
        <f t="shared" si="58"/>
        <v>0</v>
      </c>
      <c r="W1774" s="365"/>
      <c r="X1774" s="365"/>
      <c r="Z1774" s="366"/>
    </row>
    <row r="1775" spans="1:26" hidden="1">
      <c r="A1775" s="367">
        <f>SUBTOTAL(3,$B$15:B1775)</f>
        <v>2</v>
      </c>
      <c r="H1775" s="359">
        <f t="shared" si="57"/>
        <v>0</v>
      </c>
      <c r="N1775" s="361"/>
      <c r="O1775" s="361"/>
      <c r="P1775" s="361"/>
      <c r="Q1775" s="361"/>
      <c r="R1775" s="361"/>
      <c r="S1775" s="361"/>
      <c r="T1775" s="396"/>
      <c r="U1775" s="364">
        <f t="shared" si="58"/>
        <v>0</v>
      </c>
      <c r="W1775" s="365"/>
      <c r="X1775" s="365"/>
      <c r="Z1775" s="366"/>
    </row>
    <row r="1776" spans="1:26" hidden="1">
      <c r="A1776" s="367">
        <f>SUBTOTAL(3,$B$15:B1776)</f>
        <v>2</v>
      </c>
      <c r="H1776" s="359">
        <f t="shared" si="57"/>
        <v>0</v>
      </c>
      <c r="N1776" s="361"/>
      <c r="O1776" s="361"/>
      <c r="P1776" s="361"/>
      <c r="Q1776" s="361"/>
      <c r="R1776" s="361"/>
      <c r="S1776" s="361"/>
      <c r="T1776" s="396"/>
      <c r="U1776" s="364">
        <f t="shared" si="58"/>
        <v>0</v>
      </c>
      <c r="W1776" s="365"/>
      <c r="X1776" s="365"/>
      <c r="Z1776" s="366"/>
    </row>
    <row r="1777" spans="1:26" hidden="1">
      <c r="A1777" s="367">
        <f>SUBTOTAL(3,$B$15:B1777)</f>
        <v>2</v>
      </c>
      <c r="H1777" s="359">
        <f t="shared" si="57"/>
        <v>0</v>
      </c>
      <c r="N1777" s="361"/>
      <c r="O1777" s="361"/>
      <c r="P1777" s="361"/>
      <c r="Q1777" s="361"/>
      <c r="R1777" s="361"/>
      <c r="S1777" s="361"/>
      <c r="T1777" s="396"/>
      <c r="U1777" s="364">
        <f t="shared" si="58"/>
        <v>0</v>
      </c>
      <c r="W1777" s="365"/>
      <c r="X1777" s="365"/>
      <c r="Z1777" s="366"/>
    </row>
    <row r="1778" spans="1:26" hidden="1">
      <c r="A1778" s="367">
        <f>SUBTOTAL(3,$B$15:B1778)</f>
        <v>2</v>
      </c>
      <c r="H1778" s="359">
        <f t="shared" si="57"/>
        <v>0</v>
      </c>
      <c r="N1778" s="361"/>
      <c r="O1778" s="361"/>
      <c r="P1778" s="361"/>
      <c r="Q1778" s="361"/>
      <c r="R1778" s="361"/>
      <c r="S1778" s="361"/>
      <c r="T1778" s="396"/>
      <c r="U1778" s="364">
        <f t="shared" si="58"/>
        <v>0</v>
      </c>
      <c r="W1778" s="365"/>
      <c r="X1778" s="365"/>
      <c r="Z1778" s="366"/>
    </row>
    <row r="1779" spans="1:26" hidden="1">
      <c r="A1779" s="367">
        <f>SUBTOTAL(3,$B$15:B1779)</f>
        <v>2</v>
      </c>
      <c r="H1779" s="359">
        <f t="shared" si="57"/>
        <v>0</v>
      </c>
      <c r="N1779" s="361"/>
      <c r="O1779" s="361"/>
      <c r="P1779" s="361"/>
      <c r="Q1779" s="361"/>
      <c r="R1779" s="361"/>
      <c r="S1779" s="361"/>
      <c r="T1779" s="396"/>
      <c r="U1779" s="364">
        <f t="shared" si="58"/>
        <v>0</v>
      </c>
      <c r="W1779" s="365"/>
      <c r="X1779" s="365"/>
      <c r="Z1779" s="366"/>
    </row>
    <row r="1780" spans="1:26" hidden="1">
      <c r="A1780" s="367">
        <f>SUBTOTAL(3,$B$15:B1780)</f>
        <v>2</v>
      </c>
      <c r="H1780" s="359">
        <f t="shared" si="57"/>
        <v>0</v>
      </c>
      <c r="N1780" s="361"/>
      <c r="O1780" s="361"/>
      <c r="P1780" s="361"/>
      <c r="Q1780" s="361"/>
      <c r="R1780" s="361"/>
      <c r="S1780" s="361"/>
      <c r="T1780" s="396"/>
      <c r="U1780" s="364">
        <f t="shared" si="58"/>
        <v>0</v>
      </c>
      <c r="W1780" s="365"/>
      <c r="X1780" s="365"/>
      <c r="Z1780" s="366"/>
    </row>
    <row r="1781" spans="1:26" hidden="1">
      <c r="A1781" s="367">
        <f>SUBTOTAL(3,$B$15:B1781)</f>
        <v>2</v>
      </c>
      <c r="H1781" s="359">
        <f t="shared" si="57"/>
        <v>0</v>
      </c>
      <c r="N1781" s="361"/>
      <c r="O1781" s="361"/>
      <c r="P1781" s="361"/>
      <c r="Q1781" s="361"/>
      <c r="R1781" s="361"/>
      <c r="S1781" s="361"/>
      <c r="T1781" s="396"/>
      <c r="U1781" s="364">
        <f t="shared" si="58"/>
        <v>0</v>
      </c>
      <c r="W1781" s="365"/>
      <c r="X1781" s="365"/>
      <c r="Z1781" s="366"/>
    </row>
    <row r="1782" spans="1:26" hidden="1">
      <c r="A1782" s="367">
        <f>SUBTOTAL(3,$B$15:B1782)</f>
        <v>2</v>
      </c>
      <c r="H1782" s="359">
        <f t="shared" si="57"/>
        <v>0</v>
      </c>
      <c r="N1782" s="361"/>
      <c r="O1782" s="361"/>
      <c r="P1782" s="361"/>
      <c r="Q1782" s="361"/>
      <c r="R1782" s="361"/>
      <c r="S1782" s="361"/>
      <c r="T1782" s="396"/>
      <c r="U1782" s="364">
        <f t="shared" si="58"/>
        <v>0</v>
      </c>
      <c r="W1782" s="365"/>
      <c r="X1782" s="365"/>
      <c r="Z1782" s="366"/>
    </row>
    <row r="1783" spans="1:26" hidden="1">
      <c r="A1783" s="367">
        <f>SUBTOTAL(3,$B$15:B1783)</f>
        <v>2</v>
      </c>
      <c r="H1783" s="359">
        <f t="shared" si="57"/>
        <v>0</v>
      </c>
      <c r="N1783" s="361"/>
      <c r="O1783" s="361"/>
      <c r="P1783" s="361"/>
      <c r="Q1783" s="361"/>
      <c r="R1783" s="361"/>
      <c r="S1783" s="361"/>
      <c r="T1783" s="396"/>
      <c r="U1783" s="364">
        <f t="shared" si="58"/>
        <v>0</v>
      </c>
      <c r="W1783" s="365"/>
      <c r="X1783" s="365"/>
      <c r="Z1783" s="366"/>
    </row>
    <row r="1784" spans="1:26" hidden="1">
      <c r="A1784" s="367">
        <f>SUBTOTAL(3,$B$15:B1784)</f>
        <v>2</v>
      </c>
      <c r="H1784" s="359">
        <f t="shared" si="57"/>
        <v>0</v>
      </c>
      <c r="N1784" s="361"/>
      <c r="O1784" s="361"/>
      <c r="P1784" s="361"/>
      <c r="Q1784" s="361"/>
      <c r="R1784" s="361"/>
      <c r="S1784" s="361"/>
      <c r="T1784" s="396"/>
      <c r="U1784" s="364">
        <f t="shared" si="58"/>
        <v>0</v>
      </c>
      <c r="W1784" s="365"/>
      <c r="X1784" s="365"/>
      <c r="Z1784" s="366"/>
    </row>
    <row r="1785" spans="1:26" hidden="1">
      <c r="A1785" s="367">
        <f>SUBTOTAL(3,$B$15:B1785)</f>
        <v>2</v>
      </c>
      <c r="H1785" s="359">
        <f t="shared" si="57"/>
        <v>0</v>
      </c>
      <c r="N1785" s="361"/>
      <c r="O1785" s="361"/>
      <c r="P1785" s="361"/>
      <c r="Q1785" s="361"/>
      <c r="R1785" s="361"/>
      <c r="S1785" s="361"/>
      <c r="T1785" s="396"/>
      <c r="U1785" s="364">
        <f t="shared" si="58"/>
        <v>0</v>
      </c>
      <c r="W1785" s="365"/>
      <c r="X1785" s="365"/>
      <c r="Z1785" s="366"/>
    </row>
    <row r="1786" spans="1:26" hidden="1">
      <c r="A1786" s="367">
        <f>SUBTOTAL(3,$B$15:B1786)</f>
        <v>2</v>
      </c>
      <c r="H1786" s="359">
        <f t="shared" si="57"/>
        <v>0</v>
      </c>
      <c r="N1786" s="361"/>
      <c r="O1786" s="361"/>
      <c r="P1786" s="361"/>
      <c r="Q1786" s="361"/>
      <c r="R1786" s="361"/>
      <c r="S1786" s="361"/>
      <c r="T1786" s="396"/>
      <c r="U1786" s="364">
        <f t="shared" si="58"/>
        <v>0</v>
      </c>
      <c r="W1786" s="365"/>
      <c r="X1786" s="365"/>
      <c r="Z1786" s="366"/>
    </row>
    <row r="1787" spans="1:26" hidden="1">
      <c r="A1787" s="367">
        <f>SUBTOTAL(3,$B$15:B1787)</f>
        <v>2</v>
      </c>
      <c r="H1787" s="359">
        <f t="shared" si="57"/>
        <v>0</v>
      </c>
      <c r="N1787" s="361"/>
      <c r="O1787" s="361"/>
      <c r="P1787" s="361"/>
      <c r="Q1787" s="361"/>
      <c r="R1787" s="361"/>
      <c r="S1787" s="361"/>
      <c r="T1787" s="396"/>
      <c r="U1787" s="364">
        <f t="shared" si="58"/>
        <v>0</v>
      </c>
      <c r="W1787" s="365"/>
      <c r="X1787" s="365"/>
      <c r="Z1787" s="366"/>
    </row>
    <row r="1788" spans="1:26" hidden="1">
      <c r="A1788" s="367">
        <f>SUBTOTAL(3,$B$15:B1788)</f>
        <v>2</v>
      </c>
      <c r="H1788" s="359">
        <f t="shared" si="57"/>
        <v>0</v>
      </c>
      <c r="N1788" s="361"/>
      <c r="O1788" s="361"/>
      <c r="P1788" s="361"/>
      <c r="Q1788" s="361"/>
      <c r="R1788" s="361"/>
      <c r="S1788" s="361"/>
      <c r="T1788" s="396"/>
      <c r="U1788" s="364">
        <f t="shared" si="58"/>
        <v>0</v>
      </c>
      <c r="W1788" s="365"/>
      <c r="X1788" s="365"/>
      <c r="Z1788" s="366"/>
    </row>
    <row r="1789" spans="1:26" hidden="1">
      <c r="A1789" s="367">
        <f>SUBTOTAL(3,$B$15:B1789)</f>
        <v>2</v>
      </c>
      <c r="H1789" s="359">
        <f t="shared" si="57"/>
        <v>0</v>
      </c>
      <c r="N1789" s="361"/>
      <c r="O1789" s="361"/>
      <c r="P1789" s="361"/>
      <c r="Q1789" s="361"/>
      <c r="R1789" s="361"/>
      <c r="S1789" s="361"/>
      <c r="T1789" s="396"/>
      <c r="U1789" s="364">
        <f t="shared" si="58"/>
        <v>0</v>
      </c>
      <c r="W1789" s="365"/>
      <c r="X1789" s="365"/>
      <c r="Z1789" s="366"/>
    </row>
    <row r="1790" spans="1:26" hidden="1">
      <c r="A1790" s="367">
        <f>SUBTOTAL(3,$B$15:B1790)</f>
        <v>2</v>
      </c>
      <c r="H1790" s="359">
        <f t="shared" si="57"/>
        <v>0</v>
      </c>
      <c r="N1790" s="361"/>
      <c r="O1790" s="361"/>
      <c r="P1790" s="361"/>
      <c r="Q1790" s="361"/>
      <c r="R1790" s="361"/>
      <c r="S1790" s="361"/>
      <c r="T1790" s="396"/>
      <c r="U1790" s="364">
        <f t="shared" si="58"/>
        <v>0</v>
      </c>
      <c r="W1790" s="365"/>
      <c r="X1790" s="365"/>
      <c r="Z1790" s="366"/>
    </row>
    <row r="1791" spans="1:26" hidden="1">
      <c r="A1791" s="367">
        <f>SUBTOTAL(3,$B$15:B1791)</f>
        <v>2</v>
      </c>
      <c r="H1791" s="359">
        <f t="shared" si="57"/>
        <v>0</v>
      </c>
      <c r="N1791" s="361"/>
      <c r="O1791" s="361"/>
      <c r="P1791" s="361"/>
      <c r="Q1791" s="361"/>
      <c r="R1791" s="361"/>
      <c r="S1791" s="361"/>
      <c r="T1791" s="396"/>
      <c r="U1791" s="364">
        <f t="shared" si="58"/>
        <v>0</v>
      </c>
      <c r="W1791" s="365"/>
      <c r="X1791" s="365"/>
      <c r="Z1791" s="366"/>
    </row>
    <row r="1792" spans="1:26" hidden="1">
      <c r="A1792" s="367">
        <f>SUBTOTAL(3,$B$15:B1792)</f>
        <v>2</v>
      </c>
      <c r="H1792" s="359">
        <f t="shared" si="57"/>
        <v>0</v>
      </c>
      <c r="N1792" s="361"/>
      <c r="O1792" s="361"/>
      <c r="P1792" s="361"/>
      <c r="Q1792" s="361"/>
      <c r="R1792" s="361"/>
      <c r="S1792" s="361"/>
      <c r="T1792" s="396"/>
      <c r="U1792" s="364">
        <f t="shared" si="58"/>
        <v>0</v>
      </c>
      <c r="W1792" s="365"/>
      <c r="X1792" s="365"/>
      <c r="Z1792" s="366"/>
    </row>
    <row r="1793" spans="1:26" hidden="1">
      <c r="A1793" s="367">
        <f>SUBTOTAL(3,$B$15:B1793)</f>
        <v>2</v>
      </c>
      <c r="H1793" s="359">
        <f t="shared" si="57"/>
        <v>0</v>
      </c>
      <c r="N1793" s="361"/>
      <c r="O1793" s="361"/>
      <c r="P1793" s="361"/>
      <c r="Q1793" s="361"/>
      <c r="R1793" s="361"/>
      <c r="S1793" s="361"/>
      <c r="T1793" s="396"/>
      <c r="U1793" s="364">
        <f t="shared" si="58"/>
        <v>0</v>
      </c>
      <c r="W1793" s="365"/>
      <c r="X1793" s="365"/>
      <c r="Z1793" s="366"/>
    </row>
    <row r="1794" spans="1:26" hidden="1">
      <c r="A1794" s="367">
        <f>SUBTOTAL(3,$B$15:B1794)</f>
        <v>2</v>
      </c>
      <c r="H1794" s="359">
        <f t="shared" si="57"/>
        <v>0</v>
      </c>
      <c r="N1794" s="361"/>
      <c r="O1794" s="361"/>
      <c r="P1794" s="361"/>
      <c r="Q1794" s="361"/>
      <c r="R1794" s="361"/>
      <c r="S1794" s="361"/>
      <c r="T1794" s="396"/>
      <c r="U1794" s="364">
        <f t="shared" si="58"/>
        <v>0</v>
      </c>
      <c r="W1794" s="365"/>
      <c r="X1794" s="365"/>
      <c r="Z1794" s="366"/>
    </row>
    <row r="1795" spans="1:26" hidden="1">
      <c r="A1795" s="367">
        <f>SUBTOTAL(3,$B$15:B1795)</f>
        <v>2</v>
      </c>
      <c r="H1795" s="359">
        <f t="shared" si="57"/>
        <v>0</v>
      </c>
      <c r="N1795" s="361"/>
      <c r="O1795" s="361"/>
      <c r="P1795" s="361"/>
      <c r="Q1795" s="361"/>
      <c r="R1795" s="361"/>
      <c r="S1795" s="361"/>
      <c r="T1795" s="396"/>
      <c r="U1795" s="364">
        <f t="shared" si="58"/>
        <v>0</v>
      </c>
      <c r="W1795" s="365"/>
      <c r="X1795" s="365"/>
      <c r="Z1795" s="366"/>
    </row>
    <row r="1796" spans="1:26" hidden="1">
      <c r="A1796" s="367">
        <f>SUBTOTAL(3,$B$15:B1796)</f>
        <v>2</v>
      </c>
      <c r="H1796" s="359">
        <f t="shared" si="57"/>
        <v>0</v>
      </c>
      <c r="N1796" s="361"/>
      <c r="O1796" s="361"/>
      <c r="P1796" s="361"/>
      <c r="Q1796" s="361"/>
      <c r="R1796" s="361"/>
      <c r="S1796" s="361"/>
      <c r="T1796" s="396"/>
      <c r="U1796" s="364">
        <f t="shared" si="58"/>
        <v>0</v>
      </c>
      <c r="W1796" s="365"/>
      <c r="X1796" s="365"/>
      <c r="Z1796" s="366"/>
    </row>
    <row r="1797" spans="1:26" hidden="1">
      <c r="A1797" s="367">
        <f>SUBTOTAL(3,$B$15:B1797)</f>
        <v>2</v>
      </c>
      <c r="H1797" s="359">
        <f t="shared" si="57"/>
        <v>0</v>
      </c>
      <c r="N1797" s="361"/>
      <c r="O1797" s="361"/>
      <c r="P1797" s="361"/>
      <c r="Q1797" s="361"/>
      <c r="R1797" s="361"/>
      <c r="S1797" s="361"/>
      <c r="T1797" s="396"/>
      <c r="U1797" s="364">
        <f t="shared" si="58"/>
        <v>0</v>
      </c>
      <c r="W1797" s="365"/>
      <c r="X1797" s="365"/>
      <c r="Z1797" s="366"/>
    </row>
    <row r="1798" spans="1:26" hidden="1">
      <c r="A1798" s="367">
        <f>SUBTOTAL(3,$B$15:B1798)</f>
        <v>2</v>
      </c>
      <c r="H1798" s="359">
        <f t="shared" si="57"/>
        <v>0</v>
      </c>
      <c r="N1798" s="361"/>
      <c r="O1798" s="361"/>
      <c r="P1798" s="361"/>
      <c r="Q1798" s="361"/>
      <c r="R1798" s="361"/>
      <c r="S1798" s="361"/>
      <c r="T1798" s="396"/>
      <c r="U1798" s="364">
        <f t="shared" si="58"/>
        <v>0</v>
      </c>
      <c r="W1798" s="365"/>
      <c r="X1798" s="365"/>
      <c r="Z1798" s="366"/>
    </row>
    <row r="1799" spans="1:26" hidden="1">
      <c r="A1799" s="367">
        <f>SUBTOTAL(3,$B$15:B1799)</f>
        <v>2</v>
      </c>
      <c r="H1799" s="359">
        <f t="shared" si="57"/>
        <v>0</v>
      </c>
      <c r="N1799" s="361"/>
      <c r="O1799" s="361"/>
      <c r="P1799" s="361"/>
      <c r="Q1799" s="361"/>
      <c r="R1799" s="361"/>
      <c r="S1799" s="361"/>
      <c r="T1799" s="396"/>
      <c r="U1799" s="364">
        <f t="shared" si="58"/>
        <v>0</v>
      </c>
      <c r="W1799" s="365"/>
      <c r="X1799" s="365"/>
      <c r="Z1799" s="366"/>
    </row>
    <row r="1800" spans="1:26" hidden="1">
      <c r="A1800" s="367">
        <f>SUBTOTAL(3,$B$15:B1800)</f>
        <v>2</v>
      </c>
      <c r="H1800" s="359">
        <f t="shared" si="57"/>
        <v>0</v>
      </c>
      <c r="N1800" s="361"/>
      <c r="O1800" s="361"/>
      <c r="P1800" s="361"/>
      <c r="Q1800" s="361"/>
      <c r="R1800" s="361"/>
      <c r="S1800" s="361"/>
      <c r="T1800" s="396"/>
      <c r="U1800" s="364">
        <f t="shared" si="58"/>
        <v>0</v>
      </c>
      <c r="W1800" s="365"/>
      <c r="X1800" s="365"/>
      <c r="Z1800" s="366"/>
    </row>
    <row r="1801" spans="1:26" hidden="1">
      <c r="A1801" s="367">
        <f>SUBTOTAL(3,$B$15:B1801)</f>
        <v>2</v>
      </c>
      <c r="H1801" s="359">
        <f t="shared" si="57"/>
        <v>0</v>
      </c>
      <c r="N1801" s="361"/>
      <c r="O1801" s="361"/>
      <c r="P1801" s="361"/>
      <c r="Q1801" s="361"/>
      <c r="R1801" s="361"/>
      <c r="S1801" s="361"/>
      <c r="T1801" s="396"/>
      <c r="U1801" s="364">
        <f t="shared" si="58"/>
        <v>0</v>
      </c>
      <c r="W1801" s="365"/>
      <c r="X1801" s="365"/>
      <c r="Z1801" s="366"/>
    </row>
    <row r="1802" spans="1:26" hidden="1">
      <c r="A1802" s="367">
        <f>SUBTOTAL(3,$B$15:B1802)</f>
        <v>2</v>
      </c>
      <c r="H1802" s="359">
        <f t="shared" si="57"/>
        <v>0</v>
      </c>
      <c r="N1802" s="361"/>
      <c r="O1802" s="361"/>
      <c r="P1802" s="361"/>
      <c r="Q1802" s="361"/>
      <c r="R1802" s="361"/>
      <c r="S1802" s="361"/>
      <c r="T1802" s="396"/>
      <c r="U1802" s="364">
        <f t="shared" si="58"/>
        <v>0</v>
      </c>
      <c r="W1802" s="365"/>
      <c r="X1802" s="365"/>
      <c r="Z1802" s="366"/>
    </row>
    <row r="1803" spans="1:26" hidden="1">
      <c r="A1803" s="367">
        <f>SUBTOTAL(3,$B$15:B1803)</f>
        <v>2</v>
      </c>
      <c r="H1803" s="359">
        <f t="shared" si="57"/>
        <v>0</v>
      </c>
      <c r="N1803" s="361"/>
      <c r="O1803" s="361"/>
      <c r="P1803" s="361"/>
      <c r="Q1803" s="361"/>
      <c r="R1803" s="361"/>
      <c r="S1803" s="361"/>
      <c r="T1803" s="396"/>
      <c r="U1803" s="364">
        <f t="shared" si="58"/>
        <v>0</v>
      </c>
      <c r="W1803" s="365"/>
      <c r="X1803" s="365"/>
      <c r="Z1803" s="366"/>
    </row>
    <row r="1804" spans="1:26" hidden="1">
      <c r="A1804" s="367">
        <f>SUBTOTAL(3,$B$15:B1804)</f>
        <v>2</v>
      </c>
      <c r="H1804" s="359">
        <f t="shared" si="57"/>
        <v>0</v>
      </c>
      <c r="N1804" s="361"/>
      <c r="O1804" s="361"/>
      <c r="P1804" s="361"/>
      <c r="Q1804" s="361"/>
      <c r="R1804" s="361"/>
      <c r="S1804" s="361"/>
      <c r="T1804" s="396"/>
      <c r="U1804" s="364">
        <f t="shared" si="58"/>
        <v>0</v>
      </c>
      <c r="W1804" s="365"/>
      <c r="X1804" s="365"/>
      <c r="Z1804" s="366"/>
    </row>
    <row r="1805" spans="1:26" hidden="1">
      <c r="A1805" s="367">
        <f>SUBTOTAL(3,$B$15:B1805)</f>
        <v>2</v>
      </c>
      <c r="H1805" s="359">
        <f t="shared" si="57"/>
        <v>0</v>
      </c>
      <c r="N1805" s="361"/>
      <c r="O1805" s="361"/>
      <c r="P1805" s="361"/>
      <c r="Q1805" s="361"/>
      <c r="R1805" s="361"/>
      <c r="S1805" s="361"/>
      <c r="T1805" s="396"/>
      <c r="U1805" s="364">
        <f t="shared" si="58"/>
        <v>0</v>
      </c>
      <c r="W1805" s="365"/>
      <c r="X1805" s="365"/>
      <c r="Z1805" s="366"/>
    </row>
    <row r="1806" spans="1:26" hidden="1">
      <c r="A1806" s="367">
        <f>SUBTOTAL(3,$B$15:B1806)</f>
        <v>2</v>
      </c>
      <c r="H1806" s="359">
        <f t="shared" si="57"/>
        <v>0</v>
      </c>
      <c r="N1806" s="361"/>
      <c r="O1806" s="361"/>
      <c r="P1806" s="361"/>
      <c r="Q1806" s="361"/>
      <c r="R1806" s="361"/>
      <c r="S1806" s="361"/>
      <c r="T1806" s="396"/>
      <c r="U1806" s="364">
        <f t="shared" si="58"/>
        <v>0</v>
      </c>
      <c r="W1806" s="365"/>
      <c r="X1806" s="365"/>
      <c r="Z1806" s="366"/>
    </row>
    <row r="1807" spans="1:26" hidden="1">
      <c r="A1807" s="367">
        <f>SUBTOTAL(3,$B$15:B1807)</f>
        <v>2</v>
      </c>
      <c r="H1807" s="359">
        <f t="shared" si="57"/>
        <v>0</v>
      </c>
      <c r="N1807" s="361"/>
      <c r="O1807" s="361"/>
      <c r="P1807" s="361"/>
      <c r="Q1807" s="361"/>
      <c r="R1807" s="361"/>
      <c r="S1807" s="361"/>
      <c r="T1807" s="396"/>
      <c r="U1807" s="364">
        <f t="shared" si="58"/>
        <v>0</v>
      </c>
      <c r="W1807" s="365"/>
      <c r="X1807" s="365"/>
      <c r="Z1807" s="366"/>
    </row>
    <row r="1808" spans="1:26" hidden="1">
      <c r="A1808" s="367">
        <f>SUBTOTAL(3,$B$15:B1808)</f>
        <v>2</v>
      </c>
      <c r="H1808" s="359">
        <f t="shared" si="57"/>
        <v>0</v>
      </c>
      <c r="N1808" s="361"/>
      <c r="O1808" s="361"/>
      <c r="P1808" s="361"/>
      <c r="Q1808" s="361"/>
      <c r="R1808" s="361"/>
      <c r="S1808" s="361"/>
      <c r="T1808" s="396"/>
      <c r="U1808" s="364">
        <f t="shared" si="58"/>
        <v>0</v>
      </c>
      <c r="W1808" s="365"/>
      <c r="X1808" s="365"/>
      <c r="Z1808" s="366"/>
    </row>
    <row r="1809" spans="1:26" hidden="1">
      <c r="A1809" s="367">
        <f>SUBTOTAL(3,$B$15:B1809)</f>
        <v>2</v>
      </c>
      <c r="H1809" s="359">
        <f t="shared" si="57"/>
        <v>0</v>
      </c>
      <c r="N1809" s="361"/>
      <c r="O1809" s="361"/>
      <c r="P1809" s="361"/>
      <c r="Q1809" s="361"/>
      <c r="R1809" s="361"/>
      <c r="S1809" s="361"/>
      <c r="T1809" s="396"/>
      <c r="U1809" s="364">
        <f t="shared" si="58"/>
        <v>0</v>
      </c>
      <c r="W1809" s="365"/>
      <c r="X1809" s="365"/>
      <c r="Z1809" s="366"/>
    </row>
    <row r="1810" spans="1:26" hidden="1">
      <c r="A1810" s="367">
        <f>SUBTOTAL(3,$B$15:B1810)</f>
        <v>2</v>
      </c>
      <c r="H1810" s="359">
        <f t="shared" si="57"/>
        <v>0</v>
      </c>
      <c r="N1810" s="361"/>
      <c r="O1810" s="361"/>
      <c r="P1810" s="361"/>
      <c r="Q1810" s="361"/>
      <c r="R1810" s="361"/>
      <c r="S1810" s="361"/>
      <c r="T1810" s="396"/>
      <c r="U1810" s="364">
        <f t="shared" si="58"/>
        <v>0</v>
      </c>
      <c r="W1810" s="365"/>
      <c r="X1810" s="365"/>
      <c r="Z1810" s="366"/>
    </row>
    <row r="1811" spans="1:26" hidden="1">
      <c r="A1811" s="367">
        <f>SUBTOTAL(3,$B$15:B1811)</f>
        <v>2</v>
      </c>
      <c r="H1811" s="359">
        <f t="shared" si="57"/>
        <v>0</v>
      </c>
      <c r="N1811" s="361"/>
      <c r="O1811" s="361"/>
      <c r="P1811" s="361"/>
      <c r="Q1811" s="361"/>
      <c r="R1811" s="361"/>
      <c r="S1811" s="361"/>
      <c r="T1811" s="396"/>
      <c r="U1811" s="364">
        <f t="shared" si="58"/>
        <v>0</v>
      </c>
      <c r="W1811" s="365"/>
      <c r="X1811" s="365"/>
      <c r="Z1811" s="366"/>
    </row>
    <row r="1812" spans="1:26" hidden="1">
      <c r="A1812" s="367">
        <f>SUBTOTAL(3,$B$15:B1812)</f>
        <v>2</v>
      </c>
      <c r="H1812" s="359">
        <f t="shared" ref="H1812:H1875" si="59">+G1812-SUM(M1812,O1812,Q1812)</f>
        <v>0</v>
      </c>
      <c r="N1812" s="361"/>
      <c r="O1812" s="361"/>
      <c r="P1812" s="361"/>
      <c r="Q1812" s="361"/>
      <c r="R1812" s="361"/>
      <c r="S1812" s="361"/>
      <c r="T1812" s="396"/>
      <c r="U1812" s="364">
        <f t="shared" si="58"/>
        <v>0</v>
      </c>
      <c r="W1812" s="365"/>
      <c r="X1812" s="365"/>
      <c r="Z1812" s="366"/>
    </row>
    <row r="1813" spans="1:26" hidden="1">
      <c r="A1813" s="367">
        <f>SUBTOTAL(3,$B$15:B1813)</f>
        <v>2</v>
      </c>
      <c r="H1813" s="359">
        <f t="shared" si="59"/>
        <v>0</v>
      </c>
      <c r="N1813" s="361"/>
      <c r="O1813" s="361"/>
      <c r="P1813" s="361"/>
      <c r="Q1813" s="361"/>
      <c r="R1813" s="361"/>
      <c r="S1813" s="361"/>
      <c r="T1813" s="396"/>
      <c r="U1813" s="364">
        <f t="shared" si="58"/>
        <v>0</v>
      </c>
      <c r="W1813" s="365"/>
      <c r="X1813" s="365"/>
      <c r="Z1813" s="366"/>
    </row>
    <row r="1814" spans="1:26" hidden="1">
      <c r="A1814" s="367">
        <f>SUBTOTAL(3,$B$15:B1814)</f>
        <v>2</v>
      </c>
      <c r="H1814" s="359">
        <f t="shared" si="59"/>
        <v>0</v>
      </c>
      <c r="N1814" s="361"/>
      <c r="O1814" s="361"/>
      <c r="P1814" s="361"/>
      <c r="Q1814" s="361"/>
      <c r="R1814" s="361"/>
      <c r="S1814" s="361"/>
      <c r="T1814" s="396"/>
      <c r="U1814" s="364">
        <f t="shared" si="58"/>
        <v>0</v>
      </c>
      <c r="W1814" s="365"/>
      <c r="X1814" s="365"/>
      <c r="Z1814" s="366"/>
    </row>
    <row r="1815" spans="1:26" hidden="1">
      <c r="A1815" s="367">
        <f>SUBTOTAL(3,$B$15:B1815)</f>
        <v>2</v>
      </c>
      <c r="H1815" s="359">
        <f t="shared" si="59"/>
        <v>0</v>
      </c>
      <c r="N1815" s="361"/>
      <c r="O1815" s="361"/>
      <c r="P1815" s="361"/>
      <c r="Q1815" s="361"/>
      <c r="R1815" s="361"/>
      <c r="S1815" s="361"/>
      <c r="T1815" s="396"/>
      <c r="U1815" s="364">
        <f t="shared" ref="U1815:U1878" si="60">SUM(H1815:T1815)</f>
        <v>0</v>
      </c>
      <c r="W1815" s="365"/>
      <c r="X1815" s="365"/>
      <c r="Z1815" s="366"/>
    </row>
    <row r="1816" spans="1:26" hidden="1">
      <c r="A1816" s="367">
        <f>SUBTOTAL(3,$B$15:B1816)</f>
        <v>2</v>
      </c>
      <c r="H1816" s="359">
        <f t="shared" si="59"/>
        <v>0</v>
      </c>
      <c r="N1816" s="361"/>
      <c r="O1816" s="361"/>
      <c r="P1816" s="361"/>
      <c r="Q1816" s="361"/>
      <c r="R1816" s="361"/>
      <c r="S1816" s="361"/>
      <c r="T1816" s="396"/>
      <c r="U1816" s="364">
        <f t="shared" si="60"/>
        <v>0</v>
      </c>
      <c r="W1816" s="365"/>
      <c r="X1816" s="365"/>
      <c r="Z1816" s="366"/>
    </row>
    <row r="1817" spans="1:26" hidden="1">
      <c r="A1817" s="367">
        <f>SUBTOTAL(3,$B$15:B1817)</f>
        <v>2</v>
      </c>
      <c r="H1817" s="359">
        <f t="shared" si="59"/>
        <v>0</v>
      </c>
      <c r="N1817" s="361"/>
      <c r="O1817" s="361"/>
      <c r="P1817" s="361"/>
      <c r="Q1817" s="361"/>
      <c r="R1817" s="361"/>
      <c r="S1817" s="361"/>
      <c r="T1817" s="396"/>
      <c r="U1817" s="364">
        <f t="shared" si="60"/>
        <v>0</v>
      </c>
      <c r="W1817" s="365"/>
      <c r="X1817" s="365"/>
      <c r="Z1817" s="366"/>
    </row>
    <row r="1818" spans="1:26" hidden="1">
      <c r="A1818" s="367">
        <f>SUBTOTAL(3,$B$15:B1818)</f>
        <v>2</v>
      </c>
      <c r="H1818" s="359">
        <f t="shared" si="59"/>
        <v>0</v>
      </c>
      <c r="N1818" s="361"/>
      <c r="O1818" s="361"/>
      <c r="P1818" s="361"/>
      <c r="Q1818" s="361"/>
      <c r="R1818" s="361"/>
      <c r="S1818" s="361"/>
      <c r="T1818" s="396"/>
      <c r="U1818" s="364">
        <f t="shared" si="60"/>
        <v>0</v>
      </c>
      <c r="W1818" s="365"/>
      <c r="X1818" s="365"/>
      <c r="Z1818" s="366"/>
    </row>
    <row r="1819" spans="1:26" hidden="1">
      <c r="A1819" s="367">
        <f>SUBTOTAL(3,$B$15:B1819)</f>
        <v>2</v>
      </c>
      <c r="H1819" s="359">
        <f t="shared" si="59"/>
        <v>0</v>
      </c>
      <c r="N1819" s="361"/>
      <c r="O1819" s="361"/>
      <c r="P1819" s="361"/>
      <c r="Q1819" s="361"/>
      <c r="R1819" s="361"/>
      <c r="S1819" s="361"/>
      <c r="T1819" s="396"/>
      <c r="U1819" s="364">
        <f t="shared" si="60"/>
        <v>0</v>
      </c>
      <c r="W1819" s="365"/>
      <c r="X1819" s="365"/>
      <c r="Z1819" s="366"/>
    </row>
    <row r="1820" spans="1:26" hidden="1">
      <c r="A1820" s="367">
        <f>SUBTOTAL(3,$B$15:B1820)</f>
        <v>2</v>
      </c>
      <c r="H1820" s="359">
        <f t="shared" si="59"/>
        <v>0</v>
      </c>
      <c r="N1820" s="361"/>
      <c r="O1820" s="361"/>
      <c r="P1820" s="361"/>
      <c r="Q1820" s="361"/>
      <c r="R1820" s="361"/>
      <c r="S1820" s="361"/>
      <c r="T1820" s="396"/>
      <c r="U1820" s="364">
        <f t="shared" si="60"/>
        <v>0</v>
      </c>
      <c r="W1820" s="365"/>
      <c r="X1820" s="365"/>
      <c r="Z1820" s="366"/>
    </row>
    <row r="1821" spans="1:26" hidden="1">
      <c r="A1821" s="367">
        <f>SUBTOTAL(3,$B$15:B1821)</f>
        <v>2</v>
      </c>
      <c r="H1821" s="359">
        <f t="shared" si="59"/>
        <v>0</v>
      </c>
      <c r="N1821" s="361"/>
      <c r="O1821" s="361"/>
      <c r="P1821" s="361"/>
      <c r="Q1821" s="361"/>
      <c r="R1821" s="361"/>
      <c r="S1821" s="361"/>
      <c r="T1821" s="396"/>
      <c r="U1821" s="364">
        <f t="shared" si="60"/>
        <v>0</v>
      </c>
      <c r="W1821" s="365"/>
      <c r="X1821" s="365"/>
      <c r="Z1821" s="366"/>
    </row>
    <row r="1822" spans="1:26" hidden="1">
      <c r="A1822" s="367">
        <f>SUBTOTAL(3,$B$15:B1822)</f>
        <v>2</v>
      </c>
      <c r="H1822" s="359">
        <f t="shared" si="59"/>
        <v>0</v>
      </c>
      <c r="N1822" s="361"/>
      <c r="O1822" s="361"/>
      <c r="P1822" s="361"/>
      <c r="Q1822" s="361"/>
      <c r="R1822" s="361"/>
      <c r="S1822" s="361"/>
      <c r="T1822" s="396"/>
      <c r="U1822" s="364">
        <f t="shared" si="60"/>
        <v>0</v>
      </c>
      <c r="W1822" s="365"/>
      <c r="X1822" s="365"/>
      <c r="Z1822" s="366"/>
    </row>
    <row r="1823" spans="1:26" hidden="1">
      <c r="A1823" s="367">
        <f>SUBTOTAL(3,$B$15:B1823)</f>
        <v>2</v>
      </c>
      <c r="H1823" s="359">
        <f t="shared" si="59"/>
        <v>0</v>
      </c>
      <c r="N1823" s="361"/>
      <c r="O1823" s="361"/>
      <c r="P1823" s="361"/>
      <c r="Q1823" s="361"/>
      <c r="R1823" s="361"/>
      <c r="S1823" s="361"/>
      <c r="T1823" s="396"/>
      <c r="U1823" s="364">
        <f t="shared" si="60"/>
        <v>0</v>
      </c>
      <c r="W1823" s="365"/>
      <c r="X1823" s="365"/>
      <c r="Z1823" s="366"/>
    </row>
    <row r="1824" spans="1:26" hidden="1">
      <c r="A1824" s="367">
        <f>SUBTOTAL(3,$B$15:B1824)</f>
        <v>2</v>
      </c>
      <c r="H1824" s="359">
        <f t="shared" si="59"/>
        <v>0</v>
      </c>
      <c r="N1824" s="361"/>
      <c r="O1824" s="361"/>
      <c r="P1824" s="361"/>
      <c r="Q1824" s="361"/>
      <c r="R1824" s="361"/>
      <c r="S1824" s="361"/>
      <c r="T1824" s="396"/>
      <c r="U1824" s="364">
        <f t="shared" si="60"/>
        <v>0</v>
      </c>
      <c r="W1824" s="365"/>
      <c r="X1824" s="365"/>
      <c r="Z1824" s="366"/>
    </row>
    <row r="1825" spans="1:26" hidden="1">
      <c r="A1825" s="367">
        <f>SUBTOTAL(3,$B$15:B1825)</f>
        <v>2</v>
      </c>
      <c r="H1825" s="359">
        <f t="shared" si="59"/>
        <v>0</v>
      </c>
      <c r="N1825" s="361"/>
      <c r="O1825" s="361"/>
      <c r="P1825" s="361"/>
      <c r="Q1825" s="361"/>
      <c r="R1825" s="361"/>
      <c r="S1825" s="361"/>
      <c r="T1825" s="396"/>
      <c r="U1825" s="364">
        <f t="shared" si="60"/>
        <v>0</v>
      </c>
      <c r="W1825" s="365"/>
      <c r="X1825" s="365"/>
      <c r="Z1825" s="366"/>
    </row>
    <row r="1826" spans="1:26" hidden="1">
      <c r="A1826" s="367">
        <f>SUBTOTAL(3,$B$15:B1826)</f>
        <v>2</v>
      </c>
      <c r="H1826" s="359">
        <f t="shared" si="59"/>
        <v>0</v>
      </c>
      <c r="N1826" s="361"/>
      <c r="O1826" s="361"/>
      <c r="P1826" s="361"/>
      <c r="Q1826" s="361"/>
      <c r="R1826" s="361"/>
      <c r="S1826" s="361"/>
      <c r="T1826" s="396"/>
      <c r="U1826" s="364">
        <f t="shared" si="60"/>
        <v>0</v>
      </c>
      <c r="W1826" s="365"/>
      <c r="X1826" s="365"/>
      <c r="Z1826" s="366"/>
    </row>
    <row r="1827" spans="1:26" hidden="1">
      <c r="A1827" s="367">
        <f>SUBTOTAL(3,$B$15:B1827)</f>
        <v>2</v>
      </c>
      <c r="H1827" s="359">
        <f t="shared" si="59"/>
        <v>0</v>
      </c>
      <c r="N1827" s="361"/>
      <c r="O1827" s="361"/>
      <c r="P1827" s="361"/>
      <c r="Q1827" s="361"/>
      <c r="R1827" s="361"/>
      <c r="S1827" s="361"/>
      <c r="T1827" s="396"/>
      <c r="U1827" s="364">
        <f t="shared" si="60"/>
        <v>0</v>
      </c>
      <c r="W1827" s="365"/>
      <c r="X1827" s="365"/>
      <c r="Z1827" s="366"/>
    </row>
    <row r="1828" spans="1:26" hidden="1">
      <c r="A1828" s="367">
        <f>SUBTOTAL(3,$B$15:B1828)</f>
        <v>2</v>
      </c>
      <c r="H1828" s="359">
        <f t="shared" si="59"/>
        <v>0</v>
      </c>
      <c r="N1828" s="361"/>
      <c r="O1828" s="361"/>
      <c r="P1828" s="361"/>
      <c r="Q1828" s="361"/>
      <c r="R1828" s="361"/>
      <c r="S1828" s="361"/>
      <c r="T1828" s="396"/>
      <c r="U1828" s="364">
        <f t="shared" si="60"/>
        <v>0</v>
      </c>
      <c r="W1828" s="365"/>
      <c r="X1828" s="365"/>
      <c r="Z1828" s="366"/>
    </row>
    <row r="1829" spans="1:26" hidden="1">
      <c r="A1829" s="367">
        <f>SUBTOTAL(3,$B$15:B1829)</f>
        <v>2</v>
      </c>
      <c r="H1829" s="359">
        <f t="shared" si="59"/>
        <v>0</v>
      </c>
      <c r="N1829" s="361"/>
      <c r="O1829" s="361"/>
      <c r="P1829" s="361"/>
      <c r="Q1829" s="361"/>
      <c r="R1829" s="361"/>
      <c r="S1829" s="361"/>
      <c r="T1829" s="396"/>
      <c r="U1829" s="364">
        <f t="shared" si="60"/>
        <v>0</v>
      </c>
      <c r="W1829" s="365"/>
      <c r="X1829" s="365"/>
      <c r="Z1829" s="366"/>
    </row>
    <row r="1830" spans="1:26" hidden="1">
      <c r="A1830" s="367">
        <f>SUBTOTAL(3,$B$15:B1830)</f>
        <v>2</v>
      </c>
      <c r="H1830" s="359">
        <f t="shared" si="59"/>
        <v>0</v>
      </c>
      <c r="N1830" s="361"/>
      <c r="O1830" s="361"/>
      <c r="P1830" s="361"/>
      <c r="Q1830" s="361"/>
      <c r="R1830" s="361"/>
      <c r="S1830" s="361"/>
      <c r="T1830" s="396"/>
      <c r="U1830" s="364">
        <f t="shared" si="60"/>
        <v>0</v>
      </c>
      <c r="W1830" s="365"/>
      <c r="X1830" s="365"/>
      <c r="Z1830" s="366"/>
    </row>
    <row r="1831" spans="1:26" hidden="1">
      <c r="A1831" s="367">
        <f>SUBTOTAL(3,$B$15:B1831)</f>
        <v>2</v>
      </c>
      <c r="H1831" s="359">
        <f t="shared" si="59"/>
        <v>0</v>
      </c>
      <c r="N1831" s="361"/>
      <c r="O1831" s="361"/>
      <c r="P1831" s="361"/>
      <c r="Q1831" s="361"/>
      <c r="R1831" s="361"/>
      <c r="S1831" s="361"/>
      <c r="T1831" s="396"/>
      <c r="U1831" s="364">
        <f t="shared" si="60"/>
        <v>0</v>
      </c>
      <c r="W1831" s="365"/>
      <c r="X1831" s="365"/>
      <c r="Z1831" s="366"/>
    </row>
    <row r="1832" spans="1:26" hidden="1">
      <c r="A1832" s="367">
        <f>SUBTOTAL(3,$B$15:B1832)</f>
        <v>2</v>
      </c>
      <c r="H1832" s="359">
        <f t="shared" si="59"/>
        <v>0</v>
      </c>
      <c r="N1832" s="361"/>
      <c r="O1832" s="361"/>
      <c r="P1832" s="361"/>
      <c r="Q1832" s="361"/>
      <c r="R1832" s="361"/>
      <c r="S1832" s="361"/>
      <c r="T1832" s="396"/>
      <c r="U1832" s="364">
        <f t="shared" si="60"/>
        <v>0</v>
      </c>
      <c r="W1832" s="365"/>
      <c r="X1832" s="365"/>
      <c r="Z1832" s="366"/>
    </row>
    <row r="1833" spans="1:26" hidden="1">
      <c r="A1833" s="367">
        <f>SUBTOTAL(3,$B$15:B1833)</f>
        <v>2</v>
      </c>
      <c r="H1833" s="359">
        <f t="shared" si="59"/>
        <v>0</v>
      </c>
      <c r="N1833" s="361"/>
      <c r="O1833" s="361"/>
      <c r="P1833" s="361"/>
      <c r="Q1833" s="361"/>
      <c r="R1833" s="361"/>
      <c r="S1833" s="361"/>
      <c r="T1833" s="396"/>
      <c r="U1833" s="364">
        <f t="shared" si="60"/>
        <v>0</v>
      </c>
      <c r="W1833" s="365"/>
      <c r="X1833" s="365"/>
      <c r="Z1833" s="366"/>
    </row>
    <row r="1834" spans="1:26" hidden="1">
      <c r="A1834" s="367">
        <f>SUBTOTAL(3,$B$15:B1834)</f>
        <v>2</v>
      </c>
      <c r="H1834" s="359">
        <f t="shared" si="59"/>
        <v>0</v>
      </c>
      <c r="N1834" s="361"/>
      <c r="O1834" s="361"/>
      <c r="P1834" s="361"/>
      <c r="Q1834" s="361"/>
      <c r="R1834" s="361"/>
      <c r="S1834" s="361"/>
      <c r="T1834" s="396"/>
      <c r="U1834" s="364">
        <f t="shared" si="60"/>
        <v>0</v>
      </c>
      <c r="W1834" s="365"/>
      <c r="X1834" s="365"/>
      <c r="Z1834" s="366"/>
    </row>
    <row r="1835" spans="1:26" hidden="1">
      <c r="A1835" s="367">
        <f>SUBTOTAL(3,$B$15:B1835)</f>
        <v>2</v>
      </c>
      <c r="H1835" s="359">
        <f t="shared" si="59"/>
        <v>0</v>
      </c>
      <c r="N1835" s="361"/>
      <c r="O1835" s="361"/>
      <c r="P1835" s="361"/>
      <c r="Q1835" s="361"/>
      <c r="R1835" s="361"/>
      <c r="S1835" s="361"/>
      <c r="T1835" s="396"/>
      <c r="U1835" s="364">
        <f t="shared" si="60"/>
        <v>0</v>
      </c>
      <c r="W1835" s="365"/>
      <c r="X1835" s="365"/>
      <c r="Z1835" s="366"/>
    </row>
    <row r="1836" spans="1:26" hidden="1">
      <c r="A1836" s="367">
        <f>SUBTOTAL(3,$B$15:B1836)</f>
        <v>2</v>
      </c>
      <c r="H1836" s="359">
        <f t="shared" si="59"/>
        <v>0</v>
      </c>
      <c r="N1836" s="361"/>
      <c r="O1836" s="361"/>
      <c r="P1836" s="361"/>
      <c r="Q1836" s="361"/>
      <c r="R1836" s="361"/>
      <c r="S1836" s="361"/>
      <c r="T1836" s="396"/>
      <c r="U1836" s="364">
        <f t="shared" si="60"/>
        <v>0</v>
      </c>
      <c r="W1836" s="365"/>
      <c r="X1836" s="365"/>
      <c r="Z1836" s="366"/>
    </row>
    <row r="1837" spans="1:26" hidden="1">
      <c r="A1837" s="367">
        <f>SUBTOTAL(3,$B$15:B1837)</f>
        <v>2</v>
      </c>
      <c r="H1837" s="359">
        <f t="shared" si="59"/>
        <v>0</v>
      </c>
      <c r="N1837" s="361"/>
      <c r="O1837" s="361"/>
      <c r="P1837" s="361"/>
      <c r="Q1837" s="361"/>
      <c r="R1837" s="361"/>
      <c r="S1837" s="361"/>
      <c r="T1837" s="396"/>
      <c r="U1837" s="364">
        <f t="shared" si="60"/>
        <v>0</v>
      </c>
      <c r="W1837" s="365"/>
      <c r="X1837" s="365"/>
      <c r="Z1837" s="366"/>
    </row>
    <row r="1838" spans="1:26" hidden="1">
      <c r="A1838" s="367">
        <f>SUBTOTAL(3,$B$15:B1838)</f>
        <v>2</v>
      </c>
      <c r="H1838" s="359">
        <f t="shared" si="59"/>
        <v>0</v>
      </c>
      <c r="N1838" s="361"/>
      <c r="O1838" s="361"/>
      <c r="P1838" s="361"/>
      <c r="Q1838" s="361"/>
      <c r="R1838" s="361"/>
      <c r="S1838" s="361"/>
      <c r="T1838" s="396"/>
      <c r="U1838" s="364">
        <f t="shared" si="60"/>
        <v>0</v>
      </c>
      <c r="W1838" s="365"/>
      <c r="X1838" s="365"/>
      <c r="Z1838" s="366"/>
    </row>
    <row r="1839" spans="1:26" hidden="1">
      <c r="A1839" s="367">
        <f>SUBTOTAL(3,$B$15:B1839)</f>
        <v>2</v>
      </c>
      <c r="H1839" s="359">
        <f t="shared" si="59"/>
        <v>0</v>
      </c>
      <c r="N1839" s="361"/>
      <c r="O1839" s="361"/>
      <c r="P1839" s="361"/>
      <c r="Q1839" s="361"/>
      <c r="R1839" s="361"/>
      <c r="S1839" s="361"/>
      <c r="T1839" s="396"/>
      <c r="U1839" s="364">
        <f t="shared" si="60"/>
        <v>0</v>
      </c>
      <c r="W1839" s="365"/>
      <c r="X1839" s="365"/>
      <c r="Z1839" s="366"/>
    </row>
    <row r="1840" spans="1:26" hidden="1">
      <c r="A1840" s="367">
        <f>SUBTOTAL(3,$B$15:B1840)</f>
        <v>2</v>
      </c>
      <c r="H1840" s="359">
        <f t="shared" si="59"/>
        <v>0</v>
      </c>
      <c r="N1840" s="361"/>
      <c r="O1840" s="361"/>
      <c r="P1840" s="361"/>
      <c r="Q1840" s="361"/>
      <c r="R1840" s="361"/>
      <c r="S1840" s="361"/>
      <c r="T1840" s="396"/>
      <c r="U1840" s="364">
        <f t="shared" si="60"/>
        <v>0</v>
      </c>
      <c r="W1840" s="365"/>
      <c r="X1840" s="365"/>
      <c r="Z1840" s="366"/>
    </row>
    <row r="1841" spans="1:26" hidden="1">
      <c r="A1841" s="367">
        <f>SUBTOTAL(3,$B$15:B1841)</f>
        <v>2</v>
      </c>
      <c r="H1841" s="359">
        <f t="shared" si="59"/>
        <v>0</v>
      </c>
      <c r="N1841" s="361"/>
      <c r="O1841" s="361"/>
      <c r="P1841" s="361"/>
      <c r="Q1841" s="361"/>
      <c r="R1841" s="361"/>
      <c r="S1841" s="361"/>
      <c r="T1841" s="396"/>
      <c r="U1841" s="364">
        <f t="shared" si="60"/>
        <v>0</v>
      </c>
      <c r="W1841" s="365"/>
      <c r="X1841" s="365"/>
      <c r="Z1841" s="366"/>
    </row>
    <row r="1842" spans="1:26" hidden="1">
      <c r="A1842" s="367">
        <f>SUBTOTAL(3,$B$15:B1842)</f>
        <v>2</v>
      </c>
      <c r="H1842" s="359">
        <f t="shared" si="59"/>
        <v>0</v>
      </c>
      <c r="N1842" s="361"/>
      <c r="O1842" s="361"/>
      <c r="P1842" s="361"/>
      <c r="Q1842" s="361"/>
      <c r="R1842" s="361"/>
      <c r="S1842" s="361"/>
      <c r="T1842" s="396"/>
      <c r="U1842" s="364">
        <f t="shared" si="60"/>
        <v>0</v>
      </c>
      <c r="W1842" s="365"/>
      <c r="X1842" s="365"/>
      <c r="Z1842" s="366"/>
    </row>
    <row r="1843" spans="1:26" hidden="1">
      <c r="A1843" s="367">
        <f>SUBTOTAL(3,$B$15:B1843)</f>
        <v>2</v>
      </c>
      <c r="H1843" s="359">
        <f t="shared" si="59"/>
        <v>0</v>
      </c>
      <c r="N1843" s="361"/>
      <c r="O1843" s="361"/>
      <c r="P1843" s="361"/>
      <c r="Q1843" s="361"/>
      <c r="R1843" s="361"/>
      <c r="S1843" s="361"/>
      <c r="T1843" s="396"/>
      <c r="U1843" s="364">
        <f t="shared" si="60"/>
        <v>0</v>
      </c>
      <c r="W1843" s="365"/>
      <c r="X1843" s="365"/>
      <c r="Z1843" s="366"/>
    </row>
    <row r="1844" spans="1:26" hidden="1">
      <c r="A1844" s="367">
        <f>SUBTOTAL(3,$B$15:B1844)</f>
        <v>2</v>
      </c>
      <c r="H1844" s="359">
        <f t="shared" si="59"/>
        <v>0</v>
      </c>
      <c r="N1844" s="361"/>
      <c r="O1844" s="361"/>
      <c r="P1844" s="361"/>
      <c r="Q1844" s="361"/>
      <c r="R1844" s="361"/>
      <c r="S1844" s="361"/>
      <c r="T1844" s="396"/>
      <c r="U1844" s="364">
        <f t="shared" si="60"/>
        <v>0</v>
      </c>
      <c r="W1844" s="365"/>
      <c r="X1844" s="365"/>
      <c r="Z1844" s="366"/>
    </row>
    <row r="1845" spans="1:26" hidden="1">
      <c r="A1845" s="367">
        <f>SUBTOTAL(3,$B$15:B1845)</f>
        <v>2</v>
      </c>
      <c r="H1845" s="359">
        <f t="shared" si="59"/>
        <v>0</v>
      </c>
      <c r="N1845" s="361"/>
      <c r="O1845" s="361"/>
      <c r="P1845" s="361"/>
      <c r="Q1845" s="361"/>
      <c r="R1845" s="361"/>
      <c r="S1845" s="361"/>
      <c r="T1845" s="396"/>
      <c r="U1845" s="364">
        <f t="shared" si="60"/>
        <v>0</v>
      </c>
      <c r="W1845" s="365"/>
      <c r="X1845" s="365"/>
      <c r="Z1845" s="366"/>
    </row>
    <row r="1846" spans="1:26" hidden="1">
      <c r="A1846" s="367">
        <f>SUBTOTAL(3,$B$15:B1846)</f>
        <v>2</v>
      </c>
      <c r="H1846" s="359">
        <f t="shared" si="59"/>
        <v>0</v>
      </c>
      <c r="N1846" s="361"/>
      <c r="O1846" s="361"/>
      <c r="P1846" s="361"/>
      <c r="Q1846" s="361"/>
      <c r="R1846" s="361"/>
      <c r="S1846" s="361"/>
      <c r="T1846" s="396"/>
      <c r="U1846" s="364">
        <f t="shared" si="60"/>
        <v>0</v>
      </c>
      <c r="W1846" s="365"/>
      <c r="X1846" s="365"/>
      <c r="Z1846" s="366"/>
    </row>
    <row r="1847" spans="1:26" hidden="1">
      <c r="A1847" s="367">
        <f>SUBTOTAL(3,$B$15:B1847)</f>
        <v>2</v>
      </c>
      <c r="H1847" s="359">
        <f t="shared" si="59"/>
        <v>0</v>
      </c>
      <c r="N1847" s="361"/>
      <c r="O1847" s="361"/>
      <c r="P1847" s="361"/>
      <c r="Q1847" s="361"/>
      <c r="R1847" s="361"/>
      <c r="S1847" s="361"/>
      <c r="T1847" s="396"/>
      <c r="U1847" s="364">
        <f t="shared" si="60"/>
        <v>0</v>
      </c>
      <c r="W1847" s="365"/>
      <c r="X1847" s="365"/>
      <c r="Z1847" s="366"/>
    </row>
    <row r="1848" spans="1:26" hidden="1">
      <c r="A1848" s="367">
        <f>SUBTOTAL(3,$B$15:B1848)</f>
        <v>2</v>
      </c>
      <c r="H1848" s="359">
        <f t="shared" si="59"/>
        <v>0</v>
      </c>
      <c r="N1848" s="361"/>
      <c r="O1848" s="361"/>
      <c r="P1848" s="361"/>
      <c r="Q1848" s="361"/>
      <c r="R1848" s="361"/>
      <c r="S1848" s="361"/>
      <c r="T1848" s="396"/>
      <c r="U1848" s="364">
        <f t="shared" si="60"/>
        <v>0</v>
      </c>
      <c r="W1848" s="365"/>
      <c r="X1848" s="365"/>
      <c r="Z1848" s="366"/>
    </row>
    <row r="1849" spans="1:26" hidden="1">
      <c r="A1849" s="367">
        <f>SUBTOTAL(3,$B$15:B1849)</f>
        <v>2</v>
      </c>
      <c r="H1849" s="359">
        <f t="shared" si="59"/>
        <v>0</v>
      </c>
      <c r="N1849" s="361"/>
      <c r="O1849" s="361"/>
      <c r="P1849" s="361"/>
      <c r="Q1849" s="361"/>
      <c r="R1849" s="361"/>
      <c r="S1849" s="361"/>
      <c r="T1849" s="396"/>
      <c r="U1849" s="364">
        <f t="shared" si="60"/>
        <v>0</v>
      </c>
      <c r="W1849" s="365"/>
      <c r="X1849" s="365"/>
      <c r="Z1849" s="366"/>
    </row>
    <row r="1850" spans="1:26" hidden="1">
      <c r="A1850" s="367">
        <f>SUBTOTAL(3,$B$15:B1850)</f>
        <v>2</v>
      </c>
      <c r="H1850" s="359">
        <f t="shared" si="59"/>
        <v>0</v>
      </c>
      <c r="N1850" s="361"/>
      <c r="O1850" s="361"/>
      <c r="P1850" s="361"/>
      <c r="Q1850" s="361"/>
      <c r="R1850" s="361"/>
      <c r="S1850" s="361"/>
      <c r="T1850" s="396"/>
      <c r="U1850" s="364">
        <f t="shared" si="60"/>
        <v>0</v>
      </c>
      <c r="W1850" s="365"/>
      <c r="X1850" s="365"/>
      <c r="Z1850" s="366"/>
    </row>
    <row r="1851" spans="1:26" hidden="1">
      <c r="A1851" s="367">
        <f>SUBTOTAL(3,$B$15:B1851)</f>
        <v>2</v>
      </c>
      <c r="H1851" s="359">
        <f t="shared" si="59"/>
        <v>0</v>
      </c>
      <c r="N1851" s="361"/>
      <c r="O1851" s="361"/>
      <c r="P1851" s="361"/>
      <c r="Q1851" s="361"/>
      <c r="R1851" s="361"/>
      <c r="S1851" s="361"/>
      <c r="T1851" s="396"/>
      <c r="U1851" s="364">
        <f t="shared" si="60"/>
        <v>0</v>
      </c>
      <c r="W1851" s="365"/>
      <c r="X1851" s="365"/>
      <c r="Z1851" s="366"/>
    </row>
    <row r="1852" spans="1:26" hidden="1">
      <c r="A1852" s="367">
        <f>SUBTOTAL(3,$B$15:B1852)</f>
        <v>2</v>
      </c>
      <c r="H1852" s="359">
        <f t="shared" si="59"/>
        <v>0</v>
      </c>
      <c r="N1852" s="361"/>
      <c r="O1852" s="361"/>
      <c r="P1852" s="361"/>
      <c r="Q1852" s="361"/>
      <c r="R1852" s="361"/>
      <c r="S1852" s="361"/>
      <c r="T1852" s="396"/>
      <c r="U1852" s="364">
        <f t="shared" si="60"/>
        <v>0</v>
      </c>
      <c r="W1852" s="365"/>
      <c r="X1852" s="365"/>
      <c r="Z1852" s="366"/>
    </row>
    <row r="1853" spans="1:26" hidden="1">
      <c r="A1853" s="367">
        <f>SUBTOTAL(3,$B$15:B1853)</f>
        <v>2</v>
      </c>
      <c r="H1853" s="359">
        <f t="shared" si="59"/>
        <v>0</v>
      </c>
      <c r="N1853" s="361"/>
      <c r="O1853" s="361"/>
      <c r="P1853" s="361"/>
      <c r="Q1853" s="361"/>
      <c r="R1853" s="361"/>
      <c r="S1853" s="361"/>
      <c r="T1853" s="396"/>
      <c r="U1853" s="364">
        <f t="shared" si="60"/>
        <v>0</v>
      </c>
      <c r="W1853" s="365"/>
      <c r="X1853" s="365"/>
      <c r="Z1853" s="366"/>
    </row>
    <row r="1854" spans="1:26" hidden="1">
      <c r="A1854" s="367">
        <f>SUBTOTAL(3,$B$15:B1854)</f>
        <v>2</v>
      </c>
      <c r="H1854" s="359">
        <f t="shared" si="59"/>
        <v>0</v>
      </c>
      <c r="N1854" s="361"/>
      <c r="O1854" s="361"/>
      <c r="P1854" s="361"/>
      <c r="Q1854" s="361"/>
      <c r="R1854" s="361"/>
      <c r="S1854" s="361"/>
      <c r="T1854" s="396"/>
      <c r="U1854" s="364">
        <f t="shared" si="60"/>
        <v>0</v>
      </c>
      <c r="W1854" s="365"/>
      <c r="X1854" s="365"/>
      <c r="Z1854" s="366"/>
    </row>
    <row r="1855" spans="1:26" hidden="1">
      <c r="A1855" s="367">
        <f>SUBTOTAL(3,$B$15:B1855)</f>
        <v>2</v>
      </c>
      <c r="H1855" s="359">
        <f t="shared" si="59"/>
        <v>0</v>
      </c>
      <c r="N1855" s="361"/>
      <c r="O1855" s="361"/>
      <c r="P1855" s="361"/>
      <c r="Q1855" s="361"/>
      <c r="R1855" s="361"/>
      <c r="S1855" s="361"/>
      <c r="T1855" s="396"/>
      <c r="U1855" s="364">
        <f t="shared" si="60"/>
        <v>0</v>
      </c>
      <c r="W1855" s="365"/>
      <c r="X1855" s="365"/>
      <c r="Z1855" s="366"/>
    </row>
    <row r="1856" spans="1:26" hidden="1">
      <c r="A1856" s="367">
        <f>SUBTOTAL(3,$B$15:B1856)</f>
        <v>2</v>
      </c>
      <c r="H1856" s="359">
        <f t="shared" si="59"/>
        <v>0</v>
      </c>
      <c r="N1856" s="361"/>
      <c r="O1856" s="361"/>
      <c r="P1856" s="361"/>
      <c r="Q1856" s="361"/>
      <c r="R1856" s="361"/>
      <c r="S1856" s="361"/>
      <c r="T1856" s="396"/>
      <c r="U1856" s="364">
        <f t="shared" si="60"/>
        <v>0</v>
      </c>
      <c r="W1856" s="365"/>
      <c r="X1856" s="365"/>
      <c r="Z1856" s="366"/>
    </row>
    <row r="1857" spans="1:26" hidden="1">
      <c r="A1857" s="367">
        <f>SUBTOTAL(3,$B$15:B1857)</f>
        <v>2</v>
      </c>
      <c r="H1857" s="359">
        <f t="shared" si="59"/>
        <v>0</v>
      </c>
      <c r="N1857" s="361"/>
      <c r="O1857" s="361"/>
      <c r="P1857" s="361"/>
      <c r="Q1857" s="361"/>
      <c r="R1857" s="361"/>
      <c r="S1857" s="361"/>
      <c r="T1857" s="396"/>
      <c r="U1857" s="364">
        <f t="shared" si="60"/>
        <v>0</v>
      </c>
      <c r="W1857" s="365"/>
      <c r="X1857" s="365"/>
      <c r="Z1857" s="366"/>
    </row>
    <row r="1858" spans="1:26" hidden="1">
      <c r="A1858" s="367">
        <f>SUBTOTAL(3,$B$15:B1858)</f>
        <v>2</v>
      </c>
      <c r="H1858" s="359">
        <f t="shared" si="59"/>
        <v>0</v>
      </c>
      <c r="N1858" s="361"/>
      <c r="O1858" s="361"/>
      <c r="P1858" s="361"/>
      <c r="Q1858" s="361"/>
      <c r="R1858" s="361"/>
      <c r="S1858" s="361"/>
      <c r="T1858" s="396"/>
      <c r="U1858" s="364">
        <f t="shared" si="60"/>
        <v>0</v>
      </c>
      <c r="W1858" s="365"/>
      <c r="X1858" s="365"/>
      <c r="Z1858" s="366"/>
    </row>
    <row r="1859" spans="1:26" hidden="1">
      <c r="A1859" s="367">
        <f>SUBTOTAL(3,$B$15:B1859)</f>
        <v>2</v>
      </c>
      <c r="H1859" s="359">
        <f t="shared" si="59"/>
        <v>0</v>
      </c>
      <c r="N1859" s="361"/>
      <c r="O1859" s="361"/>
      <c r="P1859" s="361"/>
      <c r="Q1859" s="361"/>
      <c r="R1859" s="361"/>
      <c r="S1859" s="361"/>
      <c r="T1859" s="396"/>
      <c r="U1859" s="364">
        <f t="shared" si="60"/>
        <v>0</v>
      </c>
      <c r="W1859" s="365"/>
      <c r="X1859" s="365"/>
      <c r="Z1859" s="366"/>
    </row>
    <row r="1860" spans="1:26" hidden="1">
      <c r="A1860" s="367">
        <f>SUBTOTAL(3,$B$15:B1860)</f>
        <v>2</v>
      </c>
      <c r="H1860" s="359">
        <f t="shared" si="59"/>
        <v>0</v>
      </c>
      <c r="N1860" s="361"/>
      <c r="O1860" s="361"/>
      <c r="P1860" s="361"/>
      <c r="Q1860" s="361"/>
      <c r="R1860" s="361"/>
      <c r="S1860" s="361"/>
      <c r="T1860" s="396"/>
      <c r="U1860" s="364">
        <f t="shared" si="60"/>
        <v>0</v>
      </c>
      <c r="W1860" s="365"/>
      <c r="X1860" s="365"/>
      <c r="Z1860" s="366"/>
    </row>
    <row r="1861" spans="1:26" hidden="1">
      <c r="A1861" s="367">
        <f>SUBTOTAL(3,$B$15:B1861)</f>
        <v>2</v>
      </c>
      <c r="H1861" s="359">
        <f t="shared" si="59"/>
        <v>0</v>
      </c>
      <c r="N1861" s="361"/>
      <c r="O1861" s="361"/>
      <c r="P1861" s="361"/>
      <c r="Q1861" s="361"/>
      <c r="R1861" s="361"/>
      <c r="S1861" s="361"/>
      <c r="T1861" s="396"/>
      <c r="U1861" s="364">
        <f t="shared" si="60"/>
        <v>0</v>
      </c>
      <c r="W1861" s="365"/>
      <c r="X1861" s="365"/>
      <c r="Z1861" s="366"/>
    </row>
    <row r="1862" spans="1:26" hidden="1">
      <c r="A1862" s="367">
        <f>SUBTOTAL(3,$B$15:B1862)</f>
        <v>2</v>
      </c>
      <c r="H1862" s="359">
        <f t="shared" si="59"/>
        <v>0</v>
      </c>
      <c r="N1862" s="361"/>
      <c r="O1862" s="361"/>
      <c r="P1862" s="361"/>
      <c r="Q1862" s="361"/>
      <c r="R1862" s="361"/>
      <c r="S1862" s="361"/>
      <c r="T1862" s="396"/>
      <c r="U1862" s="364">
        <f t="shared" si="60"/>
        <v>0</v>
      </c>
      <c r="W1862" s="365"/>
      <c r="X1862" s="365"/>
      <c r="Z1862" s="366"/>
    </row>
    <row r="1863" spans="1:26" hidden="1">
      <c r="A1863" s="367">
        <f>SUBTOTAL(3,$B$15:B1863)</f>
        <v>2</v>
      </c>
      <c r="H1863" s="359">
        <f t="shared" si="59"/>
        <v>0</v>
      </c>
      <c r="N1863" s="361"/>
      <c r="O1863" s="361"/>
      <c r="P1863" s="361"/>
      <c r="Q1863" s="361"/>
      <c r="R1863" s="361"/>
      <c r="S1863" s="361"/>
      <c r="T1863" s="396"/>
      <c r="U1863" s="364">
        <f t="shared" si="60"/>
        <v>0</v>
      </c>
      <c r="W1863" s="365"/>
      <c r="X1863" s="365"/>
      <c r="Z1863" s="366"/>
    </row>
    <row r="1864" spans="1:26" hidden="1">
      <c r="A1864" s="367">
        <f>SUBTOTAL(3,$B$15:B1864)</f>
        <v>2</v>
      </c>
      <c r="H1864" s="359">
        <f t="shared" si="59"/>
        <v>0</v>
      </c>
      <c r="N1864" s="361"/>
      <c r="O1864" s="361"/>
      <c r="P1864" s="361"/>
      <c r="Q1864" s="361"/>
      <c r="R1864" s="361"/>
      <c r="S1864" s="361"/>
      <c r="T1864" s="396"/>
      <c r="U1864" s="364">
        <f t="shared" si="60"/>
        <v>0</v>
      </c>
      <c r="W1864" s="365"/>
      <c r="X1864" s="365"/>
      <c r="Z1864" s="366"/>
    </row>
    <row r="1865" spans="1:26" hidden="1">
      <c r="A1865" s="367">
        <f>SUBTOTAL(3,$B$15:B1865)</f>
        <v>2</v>
      </c>
      <c r="H1865" s="359">
        <f t="shared" si="59"/>
        <v>0</v>
      </c>
      <c r="N1865" s="361"/>
      <c r="O1865" s="361"/>
      <c r="P1865" s="361"/>
      <c r="Q1865" s="361"/>
      <c r="R1865" s="361"/>
      <c r="S1865" s="361"/>
      <c r="T1865" s="396"/>
      <c r="U1865" s="364">
        <f t="shared" si="60"/>
        <v>0</v>
      </c>
      <c r="W1865" s="365"/>
      <c r="X1865" s="365"/>
      <c r="Z1865" s="366"/>
    </row>
    <row r="1866" spans="1:26" hidden="1">
      <c r="A1866" s="367">
        <f>SUBTOTAL(3,$B$15:B1866)</f>
        <v>2</v>
      </c>
      <c r="H1866" s="359">
        <f t="shared" si="59"/>
        <v>0</v>
      </c>
      <c r="N1866" s="361"/>
      <c r="O1866" s="361"/>
      <c r="P1866" s="361"/>
      <c r="Q1866" s="361"/>
      <c r="R1866" s="361"/>
      <c r="S1866" s="361"/>
      <c r="T1866" s="396"/>
      <c r="U1866" s="364">
        <f t="shared" si="60"/>
        <v>0</v>
      </c>
      <c r="W1866" s="365"/>
      <c r="X1866" s="365"/>
      <c r="Z1866" s="366"/>
    </row>
    <row r="1867" spans="1:26" hidden="1">
      <c r="A1867" s="367">
        <f>SUBTOTAL(3,$B$15:B1867)</f>
        <v>2</v>
      </c>
      <c r="H1867" s="359">
        <f t="shared" si="59"/>
        <v>0</v>
      </c>
      <c r="N1867" s="361"/>
      <c r="O1867" s="361"/>
      <c r="P1867" s="361"/>
      <c r="Q1867" s="361"/>
      <c r="R1867" s="361"/>
      <c r="S1867" s="361"/>
      <c r="T1867" s="396"/>
      <c r="U1867" s="364">
        <f t="shared" si="60"/>
        <v>0</v>
      </c>
      <c r="W1867" s="365"/>
      <c r="X1867" s="365"/>
      <c r="Z1867" s="366"/>
    </row>
    <row r="1868" spans="1:26" hidden="1">
      <c r="A1868" s="367">
        <f>SUBTOTAL(3,$B$15:B1868)</f>
        <v>2</v>
      </c>
      <c r="H1868" s="359">
        <f t="shared" si="59"/>
        <v>0</v>
      </c>
      <c r="N1868" s="361"/>
      <c r="O1868" s="361"/>
      <c r="P1868" s="361"/>
      <c r="Q1868" s="361"/>
      <c r="R1868" s="361"/>
      <c r="S1868" s="361"/>
      <c r="T1868" s="396"/>
      <c r="U1868" s="364">
        <f t="shared" si="60"/>
        <v>0</v>
      </c>
      <c r="W1868" s="365"/>
      <c r="X1868" s="365"/>
      <c r="Z1868" s="366"/>
    </row>
    <row r="1869" spans="1:26" hidden="1">
      <c r="A1869" s="367">
        <f>SUBTOTAL(3,$B$15:B1869)</f>
        <v>2</v>
      </c>
      <c r="H1869" s="359">
        <f t="shared" si="59"/>
        <v>0</v>
      </c>
      <c r="N1869" s="361"/>
      <c r="O1869" s="361"/>
      <c r="P1869" s="361"/>
      <c r="Q1869" s="361"/>
      <c r="R1869" s="361"/>
      <c r="S1869" s="361"/>
      <c r="T1869" s="396"/>
      <c r="U1869" s="364">
        <f t="shared" si="60"/>
        <v>0</v>
      </c>
      <c r="W1869" s="365"/>
      <c r="X1869" s="365"/>
      <c r="Z1869" s="366"/>
    </row>
    <row r="1870" spans="1:26" hidden="1">
      <c r="A1870" s="367">
        <f>SUBTOTAL(3,$B$15:B1870)</f>
        <v>2</v>
      </c>
      <c r="H1870" s="359">
        <f t="shared" si="59"/>
        <v>0</v>
      </c>
      <c r="N1870" s="361"/>
      <c r="O1870" s="361"/>
      <c r="P1870" s="361"/>
      <c r="Q1870" s="361"/>
      <c r="R1870" s="361"/>
      <c r="S1870" s="361"/>
      <c r="T1870" s="396"/>
      <c r="U1870" s="364">
        <f t="shared" si="60"/>
        <v>0</v>
      </c>
      <c r="W1870" s="365"/>
      <c r="X1870" s="365"/>
      <c r="Z1870" s="366"/>
    </row>
    <row r="1871" spans="1:26" hidden="1">
      <c r="A1871" s="367">
        <f>SUBTOTAL(3,$B$15:B1871)</f>
        <v>2</v>
      </c>
      <c r="H1871" s="359">
        <f t="shared" si="59"/>
        <v>0</v>
      </c>
      <c r="N1871" s="361"/>
      <c r="O1871" s="361"/>
      <c r="P1871" s="361"/>
      <c r="Q1871" s="361"/>
      <c r="R1871" s="361"/>
      <c r="S1871" s="361"/>
      <c r="T1871" s="396"/>
      <c r="U1871" s="364">
        <f t="shared" si="60"/>
        <v>0</v>
      </c>
      <c r="W1871" s="365"/>
      <c r="X1871" s="365"/>
      <c r="Z1871" s="366"/>
    </row>
    <row r="1872" spans="1:26" hidden="1">
      <c r="A1872" s="367">
        <f>SUBTOTAL(3,$B$15:B1872)</f>
        <v>2</v>
      </c>
      <c r="H1872" s="359">
        <f t="shared" si="59"/>
        <v>0</v>
      </c>
      <c r="N1872" s="361"/>
      <c r="O1872" s="361"/>
      <c r="P1872" s="361"/>
      <c r="Q1872" s="361"/>
      <c r="R1872" s="361"/>
      <c r="S1872" s="361"/>
      <c r="T1872" s="396"/>
      <c r="U1872" s="364">
        <f t="shared" si="60"/>
        <v>0</v>
      </c>
      <c r="W1872" s="365"/>
      <c r="X1872" s="365"/>
      <c r="Z1872" s="366"/>
    </row>
    <row r="1873" spans="1:26" hidden="1">
      <c r="A1873" s="367">
        <f>SUBTOTAL(3,$B$15:B1873)</f>
        <v>2</v>
      </c>
      <c r="H1873" s="359">
        <f t="shared" si="59"/>
        <v>0</v>
      </c>
      <c r="N1873" s="361"/>
      <c r="O1873" s="361"/>
      <c r="P1873" s="361"/>
      <c r="Q1873" s="361"/>
      <c r="R1873" s="361"/>
      <c r="S1873" s="361"/>
      <c r="T1873" s="396"/>
      <c r="U1873" s="364">
        <f t="shared" si="60"/>
        <v>0</v>
      </c>
      <c r="W1873" s="365"/>
      <c r="X1873" s="365"/>
      <c r="Z1873" s="366"/>
    </row>
    <row r="1874" spans="1:26" hidden="1">
      <c r="A1874" s="367">
        <f>SUBTOTAL(3,$B$15:B1874)</f>
        <v>2</v>
      </c>
      <c r="H1874" s="359">
        <f t="shared" si="59"/>
        <v>0</v>
      </c>
      <c r="N1874" s="361"/>
      <c r="O1874" s="361"/>
      <c r="P1874" s="361"/>
      <c r="Q1874" s="361"/>
      <c r="R1874" s="361"/>
      <c r="S1874" s="361"/>
      <c r="T1874" s="396"/>
      <c r="U1874" s="364">
        <f t="shared" si="60"/>
        <v>0</v>
      </c>
      <c r="W1874" s="365"/>
      <c r="X1874" s="365"/>
      <c r="Z1874" s="366"/>
    </row>
    <row r="1875" spans="1:26" hidden="1">
      <c r="A1875" s="367">
        <f>SUBTOTAL(3,$B$15:B1875)</f>
        <v>2</v>
      </c>
      <c r="H1875" s="359">
        <f t="shared" si="59"/>
        <v>0</v>
      </c>
      <c r="N1875" s="361"/>
      <c r="O1875" s="361"/>
      <c r="P1875" s="361"/>
      <c r="Q1875" s="361"/>
      <c r="R1875" s="361"/>
      <c r="S1875" s="361"/>
      <c r="T1875" s="396"/>
      <c r="U1875" s="364">
        <f t="shared" si="60"/>
        <v>0</v>
      </c>
      <c r="W1875" s="365"/>
      <c r="X1875" s="365"/>
      <c r="Z1875" s="366"/>
    </row>
    <row r="1876" spans="1:26" hidden="1">
      <c r="A1876" s="367">
        <f>SUBTOTAL(3,$B$15:B1876)</f>
        <v>2</v>
      </c>
      <c r="H1876" s="359">
        <f t="shared" ref="H1876:H1939" si="61">+G1876-SUM(M1876,O1876,Q1876)</f>
        <v>0</v>
      </c>
      <c r="N1876" s="361"/>
      <c r="O1876" s="361"/>
      <c r="P1876" s="361"/>
      <c r="Q1876" s="361"/>
      <c r="R1876" s="361"/>
      <c r="S1876" s="361"/>
      <c r="T1876" s="396"/>
      <c r="U1876" s="364">
        <f t="shared" si="60"/>
        <v>0</v>
      </c>
      <c r="W1876" s="365"/>
      <c r="X1876" s="365"/>
      <c r="Z1876" s="366"/>
    </row>
    <row r="1877" spans="1:26" hidden="1">
      <c r="A1877" s="367">
        <f>SUBTOTAL(3,$B$15:B1877)</f>
        <v>2</v>
      </c>
      <c r="H1877" s="359">
        <f t="shared" si="61"/>
        <v>0</v>
      </c>
      <c r="N1877" s="361"/>
      <c r="O1877" s="361"/>
      <c r="P1877" s="361"/>
      <c r="Q1877" s="361"/>
      <c r="R1877" s="361"/>
      <c r="S1877" s="361"/>
      <c r="T1877" s="396"/>
      <c r="U1877" s="364">
        <f t="shared" si="60"/>
        <v>0</v>
      </c>
      <c r="W1877" s="365"/>
      <c r="X1877" s="365"/>
      <c r="Z1877" s="366"/>
    </row>
    <row r="1878" spans="1:26" hidden="1">
      <c r="A1878" s="367">
        <f>SUBTOTAL(3,$B$15:B1878)</f>
        <v>2</v>
      </c>
      <c r="H1878" s="359">
        <f t="shared" si="61"/>
        <v>0</v>
      </c>
      <c r="N1878" s="361"/>
      <c r="O1878" s="361"/>
      <c r="P1878" s="361"/>
      <c r="Q1878" s="361"/>
      <c r="R1878" s="361"/>
      <c r="S1878" s="361"/>
      <c r="T1878" s="396"/>
      <c r="U1878" s="364">
        <f t="shared" si="60"/>
        <v>0</v>
      </c>
      <c r="W1878" s="365"/>
      <c r="X1878" s="365"/>
      <c r="Z1878" s="366"/>
    </row>
    <row r="1879" spans="1:26" hidden="1">
      <c r="A1879" s="367">
        <f>SUBTOTAL(3,$B$15:B1879)</f>
        <v>2</v>
      </c>
      <c r="H1879" s="359">
        <f t="shared" si="61"/>
        <v>0</v>
      </c>
      <c r="N1879" s="361"/>
      <c r="O1879" s="361"/>
      <c r="P1879" s="361"/>
      <c r="Q1879" s="361"/>
      <c r="R1879" s="361"/>
      <c r="S1879" s="361"/>
      <c r="T1879" s="396"/>
      <c r="U1879" s="364">
        <f t="shared" ref="U1879:U1942" si="62">SUM(H1879:T1879)</f>
        <v>0</v>
      </c>
      <c r="W1879" s="365"/>
      <c r="X1879" s="365"/>
      <c r="Z1879" s="366"/>
    </row>
    <row r="1880" spans="1:26" hidden="1">
      <c r="A1880" s="367">
        <f>SUBTOTAL(3,$B$15:B1880)</f>
        <v>2</v>
      </c>
      <c r="H1880" s="359">
        <f t="shared" si="61"/>
        <v>0</v>
      </c>
      <c r="N1880" s="361"/>
      <c r="O1880" s="361"/>
      <c r="P1880" s="361"/>
      <c r="Q1880" s="361"/>
      <c r="R1880" s="361"/>
      <c r="S1880" s="361"/>
      <c r="T1880" s="396"/>
      <c r="U1880" s="364">
        <f t="shared" si="62"/>
        <v>0</v>
      </c>
      <c r="W1880" s="365"/>
      <c r="X1880" s="365"/>
      <c r="Z1880" s="366"/>
    </row>
    <row r="1881" spans="1:26" hidden="1">
      <c r="A1881" s="367">
        <f>SUBTOTAL(3,$B$15:B1881)</f>
        <v>2</v>
      </c>
      <c r="H1881" s="359">
        <f t="shared" si="61"/>
        <v>0</v>
      </c>
      <c r="N1881" s="361"/>
      <c r="O1881" s="361"/>
      <c r="P1881" s="361"/>
      <c r="Q1881" s="361"/>
      <c r="R1881" s="361"/>
      <c r="S1881" s="361"/>
      <c r="T1881" s="396"/>
      <c r="U1881" s="364">
        <f t="shared" si="62"/>
        <v>0</v>
      </c>
      <c r="W1881" s="365"/>
      <c r="X1881" s="365"/>
      <c r="Z1881" s="366"/>
    </row>
    <row r="1882" spans="1:26" hidden="1">
      <c r="A1882" s="367">
        <f>SUBTOTAL(3,$B$15:B1882)</f>
        <v>2</v>
      </c>
      <c r="H1882" s="359">
        <f t="shared" si="61"/>
        <v>0</v>
      </c>
      <c r="N1882" s="361"/>
      <c r="O1882" s="361"/>
      <c r="P1882" s="361"/>
      <c r="Q1882" s="361"/>
      <c r="R1882" s="361"/>
      <c r="S1882" s="361"/>
      <c r="T1882" s="396"/>
      <c r="U1882" s="364">
        <f t="shared" si="62"/>
        <v>0</v>
      </c>
      <c r="W1882" s="365"/>
      <c r="X1882" s="365"/>
      <c r="Z1882" s="366"/>
    </row>
    <row r="1883" spans="1:26" hidden="1">
      <c r="A1883" s="367">
        <f>SUBTOTAL(3,$B$15:B1883)</f>
        <v>2</v>
      </c>
      <c r="H1883" s="359">
        <f t="shared" si="61"/>
        <v>0</v>
      </c>
      <c r="N1883" s="361"/>
      <c r="O1883" s="361"/>
      <c r="P1883" s="361"/>
      <c r="Q1883" s="361"/>
      <c r="R1883" s="361"/>
      <c r="S1883" s="361"/>
      <c r="T1883" s="396"/>
      <c r="U1883" s="364">
        <f t="shared" si="62"/>
        <v>0</v>
      </c>
      <c r="W1883" s="365"/>
      <c r="X1883" s="365"/>
      <c r="Z1883" s="366"/>
    </row>
    <row r="1884" spans="1:26" hidden="1">
      <c r="A1884" s="367">
        <f>SUBTOTAL(3,$B$15:B1884)</f>
        <v>2</v>
      </c>
      <c r="H1884" s="359">
        <f t="shared" si="61"/>
        <v>0</v>
      </c>
      <c r="N1884" s="361"/>
      <c r="O1884" s="361"/>
      <c r="P1884" s="361"/>
      <c r="Q1884" s="361"/>
      <c r="R1884" s="361"/>
      <c r="S1884" s="361"/>
      <c r="T1884" s="396"/>
      <c r="U1884" s="364">
        <f t="shared" si="62"/>
        <v>0</v>
      </c>
      <c r="W1884" s="365"/>
      <c r="X1884" s="365"/>
      <c r="Z1884" s="366"/>
    </row>
    <row r="1885" spans="1:26" hidden="1">
      <c r="A1885" s="367">
        <f>SUBTOTAL(3,$B$15:B1885)</f>
        <v>2</v>
      </c>
      <c r="H1885" s="359">
        <f t="shared" si="61"/>
        <v>0</v>
      </c>
      <c r="N1885" s="361"/>
      <c r="O1885" s="361"/>
      <c r="P1885" s="361"/>
      <c r="Q1885" s="361"/>
      <c r="R1885" s="361"/>
      <c r="S1885" s="361"/>
      <c r="T1885" s="396"/>
      <c r="U1885" s="364">
        <f t="shared" si="62"/>
        <v>0</v>
      </c>
      <c r="W1885" s="365"/>
      <c r="X1885" s="365"/>
      <c r="Z1885" s="366"/>
    </row>
    <row r="1886" spans="1:26" hidden="1">
      <c r="A1886" s="367">
        <f>SUBTOTAL(3,$B$15:B1886)</f>
        <v>2</v>
      </c>
      <c r="H1886" s="359">
        <f t="shared" si="61"/>
        <v>0</v>
      </c>
      <c r="N1886" s="361"/>
      <c r="O1886" s="361"/>
      <c r="P1886" s="361"/>
      <c r="Q1886" s="361"/>
      <c r="R1886" s="361"/>
      <c r="S1886" s="361"/>
      <c r="T1886" s="396"/>
      <c r="U1886" s="364">
        <f t="shared" si="62"/>
        <v>0</v>
      </c>
      <c r="W1886" s="365"/>
      <c r="X1886" s="365"/>
      <c r="Z1886" s="366"/>
    </row>
    <row r="1887" spans="1:26" hidden="1">
      <c r="A1887" s="367">
        <f>SUBTOTAL(3,$B$15:B1887)</f>
        <v>2</v>
      </c>
      <c r="H1887" s="359">
        <f t="shared" si="61"/>
        <v>0</v>
      </c>
      <c r="N1887" s="361"/>
      <c r="O1887" s="361"/>
      <c r="P1887" s="361"/>
      <c r="Q1887" s="361"/>
      <c r="R1887" s="361"/>
      <c r="S1887" s="361"/>
      <c r="T1887" s="396"/>
      <c r="U1887" s="364">
        <f t="shared" si="62"/>
        <v>0</v>
      </c>
      <c r="W1887" s="365"/>
      <c r="X1887" s="365"/>
      <c r="Z1887" s="366"/>
    </row>
    <row r="1888" spans="1:26" hidden="1">
      <c r="A1888" s="367">
        <f>SUBTOTAL(3,$B$15:B1888)</f>
        <v>2</v>
      </c>
      <c r="H1888" s="359">
        <f t="shared" si="61"/>
        <v>0</v>
      </c>
      <c r="N1888" s="361"/>
      <c r="O1888" s="361"/>
      <c r="P1888" s="361"/>
      <c r="Q1888" s="361"/>
      <c r="R1888" s="361"/>
      <c r="S1888" s="361"/>
      <c r="T1888" s="396"/>
      <c r="U1888" s="364">
        <f t="shared" si="62"/>
        <v>0</v>
      </c>
      <c r="W1888" s="365"/>
      <c r="X1888" s="365"/>
      <c r="Z1888" s="366"/>
    </row>
    <row r="1889" spans="1:26" hidden="1">
      <c r="A1889" s="367">
        <f>SUBTOTAL(3,$B$15:B1889)</f>
        <v>2</v>
      </c>
      <c r="H1889" s="359">
        <f t="shared" si="61"/>
        <v>0</v>
      </c>
      <c r="N1889" s="361"/>
      <c r="O1889" s="361"/>
      <c r="P1889" s="361"/>
      <c r="Q1889" s="361"/>
      <c r="R1889" s="361"/>
      <c r="S1889" s="361"/>
      <c r="T1889" s="396"/>
      <c r="U1889" s="364">
        <f t="shared" si="62"/>
        <v>0</v>
      </c>
      <c r="W1889" s="365"/>
      <c r="X1889" s="365"/>
      <c r="Z1889" s="366"/>
    </row>
    <row r="1890" spans="1:26" hidden="1">
      <c r="A1890" s="367">
        <f>SUBTOTAL(3,$B$15:B1890)</f>
        <v>2</v>
      </c>
      <c r="H1890" s="359">
        <f t="shared" si="61"/>
        <v>0</v>
      </c>
      <c r="N1890" s="361"/>
      <c r="O1890" s="361"/>
      <c r="P1890" s="361"/>
      <c r="Q1890" s="361"/>
      <c r="R1890" s="361"/>
      <c r="S1890" s="361"/>
      <c r="T1890" s="396"/>
      <c r="U1890" s="364">
        <f t="shared" si="62"/>
        <v>0</v>
      </c>
      <c r="W1890" s="365"/>
      <c r="X1890" s="365"/>
      <c r="Z1890" s="366"/>
    </row>
    <row r="1891" spans="1:26" hidden="1">
      <c r="A1891" s="367">
        <f>SUBTOTAL(3,$B$15:B1891)</f>
        <v>2</v>
      </c>
      <c r="H1891" s="359">
        <f t="shared" si="61"/>
        <v>0</v>
      </c>
      <c r="N1891" s="361"/>
      <c r="O1891" s="361"/>
      <c r="P1891" s="361"/>
      <c r="Q1891" s="361"/>
      <c r="R1891" s="361"/>
      <c r="S1891" s="361"/>
      <c r="T1891" s="396"/>
      <c r="U1891" s="364">
        <f t="shared" si="62"/>
        <v>0</v>
      </c>
      <c r="W1891" s="365"/>
      <c r="X1891" s="365"/>
      <c r="Z1891" s="366"/>
    </row>
    <row r="1892" spans="1:26" hidden="1">
      <c r="A1892" s="367">
        <f>SUBTOTAL(3,$B$15:B1892)</f>
        <v>2</v>
      </c>
      <c r="H1892" s="359">
        <f t="shared" si="61"/>
        <v>0</v>
      </c>
      <c r="N1892" s="361"/>
      <c r="O1892" s="361"/>
      <c r="P1892" s="361"/>
      <c r="Q1892" s="361"/>
      <c r="R1892" s="361"/>
      <c r="S1892" s="361"/>
      <c r="T1892" s="396"/>
      <c r="U1892" s="364">
        <f t="shared" si="62"/>
        <v>0</v>
      </c>
      <c r="W1892" s="365"/>
      <c r="X1892" s="365"/>
      <c r="Z1892" s="366"/>
    </row>
    <row r="1893" spans="1:26" hidden="1">
      <c r="A1893" s="367">
        <f>SUBTOTAL(3,$B$15:B1893)</f>
        <v>2</v>
      </c>
      <c r="H1893" s="359">
        <f t="shared" si="61"/>
        <v>0</v>
      </c>
      <c r="N1893" s="361"/>
      <c r="O1893" s="361"/>
      <c r="P1893" s="361"/>
      <c r="Q1893" s="361"/>
      <c r="R1893" s="361"/>
      <c r="S1893" s="361"/>
      <c r="T1893" s="396"/>
      <c r="U1893" s="364">
        <f t="shared" si="62"/>
        <v>0</v>
      </c>
      <c r="W1893" s="365"/>
      <c r="X1893" s="365"/>
      <c r="Z1893" s="366"/>
    </row>
    <row r="1894" spans="1:26" hidden="1">
      <c r="A1894" s="367">
        <f>SUBTOTAL(3,$B$15:B1894)</f>
        <v>2</v>
      </c>
      <c r="H1894" s="359">
        <f t="shared" si="61"/>
        <v>0</v>
      </c>
      <c r="N1894" s="361"/>
      <c r="O1894" s="361"/>
      <c r="P1894" s="361"/>
      <c r="Q1894" s="361"/>
      <c r="R1894" s="361"/>
      <c r="S1894" s="361"/>
      <c r="T1894" s="396"/>
      <c r="U1894" s="364">
        <f t="shared" si="62"/>
        <v>0</v>
      </c>
      <c r="W1894" s="365"/>
      <c r="X1894" s="365"/>
      <c r="Z1894" s="366"/>
    </row>
    <row r="1895" spans="1:26" hidden="1">
      <c r="A1895" s="367">
        <f>SUBTOTAL(3,$B$15:B1895)</f>
        <v>2</v>
      </c>
      <c r="H1895" s="359">
        <f t="shared" si="61"/>
        <v>0</v>
      </c>
      <c r="N1895" s="361"/>
      <c r="O1895" s="361"/>
      <c r="P1895" s="361"/>
      <c r="Q1895" s="361"/>
      <c r="R1895" s="361"/>
      <c r="S1895" s="361"/>
      <c r="T1895" s="396"/>
      <c r="U1895" s="364">
        <f t="shared" si="62"/>
        <v>0</v>
      </c>
      <c r="W1895" s="365"/>
      <c r="X1895" s="365"/>
      <c r="Z1895" s="366"/>
    </row>
    <row r="1896" spans="1:26" hidden="1">
      <c r="A1896" s="367">
        <f>SUBTOTAL(3,$B$15:B1896)</f>
        <v>2</v>
      </c>
      <c r="H1896" s="359">
        <f t="shared" si="61"/>
        <v>0</v>
      </c>
      <c r="N1896" s="361"/>
      <c r="O1896" s="361"/>
      <c r="P1896" s="361"/>
      <c r="Q1896" s="361"/>
      <c r="R1896" s="361"/>
      <c r="S1896" s="361"/>
      <c r="T1896" s="396"/>
      <c r="U1896" s="364">
        <f t="shared" si="62"/>
        <v>0</v>
      </c>
      <c r="W1896" s="365"/>
      <c r="X1896" s="365"/>
      <c r="Z1896" s="366"/>
    </row>
    <row r="1897" spans="1:26" hidden="1">
      <c r="A1897" s="367">
        <f>SUBTOTAL(3,$B$15:B1897)</f>
        <v>2</v>
      </c>
      <c r="H1897" s="359">
        <f t="shared" si="61"/>
        <v>0</v>
      </c>
      <c r="N1897" s="361"/>
      <c r="O1897" s="361"/>
      <c r="P1897" s="361"/>
      <c r="Q1897" s="361"/>
      <c r="R1897" s="361"/>
      <c r="S1897" s="361"/>
      <c r="T1897" s="396"/>
      <c r="U1897" s="364">
        <f t="shared" si="62"/>
        <v>0</v>
      </c>
      <c r="W1897" s="365"/>
      <c r="X1897" s="365"/>
      <c r="Z1897" s="366"/>
    </row>
    <row r="1898" spans="1:26" hidden="1">
      <c r="A1898" s="367">
        <f>SUBTOTAL(3,$B$15:B1898)</f>
        <v>2</v>
      </c>
      <c r="H1898" s="359">
        <f t="shared" si="61"/>
        <v>0</v>
      </c>
      <c r="N1898" s="361"/>
      <c r="O1898" s="361"/>
      <c r="P1898" s="361"/>
      <c r="Q1898" s="361"/>
      <c r="R1898" s="361"/>
      <c r="S1898" s="361"/>
      <c r="T1898" s="396"/>
      <c r="U1898" s="364">
        <f t="shared" si="62"/>
        <v>0</v>
      </c>
      <c r="W1898" s="365"/>
      <c r="X1898" s="365"/>
      <c r="Z1898" s="366"/>
    </row>
    <row r="1899" spans="1:26" hidden="1">
      <c r="A1899" s="367">
        <f>SUBTOTAL(3,$B$15:B1899)</f>
        <v>2</v>
      </c>
      <c r="H1899" s="359">
        <f t="shared" si="61"/>
        <v>0</v>
      </c>
      <c r="N1899" s="361"/>
      <c r="O1899" s="361"/>
      <c r="P1899" s="361"/>
      <c r="Q1899" s="361"/>
      <c r="R1899" s="361"/>
      <c r="S1899" s="361"/>
      <c r="T1899" s="396"/>
      <c r="U1899" s="364">
        <f t="shared" si="62"/>
        <v>0</v>
      </c>
      <c r="W1899" s="365"/>
      <c r="X1899" s="365"/>
      <c r="Z1899" s="366"/>
    </row>
    <row r="1900" spans="1:26" hidden="1">
      <c r="A1900" s="367">
        <f>SUBTOTAL(3,$B$15:B1900)</f>
        <v>2</v>
      </c>
      <c r="H1900" s="359">
        <f t="shared" si="61"/>
        <v>0</v>
      </c>
      <c r="N1900" s="361"/>
      <c r="O1900" s="361"/>
      <c r="P1900" s="361"/>
      <c r="Q1900" s="361"/>
      <c r="R1900" s="361"/>
      <c r="S1900" s="361"/>
      <c r="T1900" s="396"/>
      <c r="U1900" s="364">
        <f t="shared" si="62"/>
        <v>0</v>
      </c>
      <c r="W1900" s="365"/>
      <c r="X1900" s="365"/>
      <c r="Z1900" s="366"/>
    </row>
    <row r="1901" spans="1:26" hidden="1">
      <c r="A1901" s="367">
        <f>SUBTOTAL(3,$B$15:B1901)</f>
        <v>2</v>
      </c>
      <c r="H1901" s="359">
        <f t="shared" si="61"/>
        <v>0</v>
      </c>
      <c r="N1901" s="361"/>
      <c r="O1901" s="361"/>
      <c r="P1901" s="361"/>
      <c r="Q1901" s="361"/>
      <c r="R1901" s="361"/>
      <c r="S1901" s="361"/>
      <c r="T1901" s="396"/>
      <c r="U1901" s="364">
        <f t="shared" si="62"/>
        <v>0</v>
      </c>
      <c r="W1901" s="365"/>
      <c r="X1901" s="365"/>
      <c r="Z1901" s="366"/>
    </row>
    <row r="1902" spans="1:26" hidden="1">
      <c r="A1902" s="367">
        <f>SUBTOTAL(3,$B$15:B1902)</f>
        <v>2</v>
      </c>
      <c r="H1902" s="359">
        <f t="shared" si="61"/>
        <v>0</v>
      </c>
      <c r="N1902" s="361"/>
      <c r="O1902" s="361"/>
      <c r="P1902" s="361"/>
      <c r="Q1902" s="361"/>
      <c r="R1902" s="361"/>
      <c r="S1902" s="361"/>
      <c r="T1902" s="396"/>
      <c r="U1902" s="364">
        <f t="shared" si="62"/>
        <v>0</v>
      </c>
      <c r="W1902" s="365"/>
      <c r="X1902" s="365"/>
      <c r="Z1902" s="366"/>
    </row>
    <row r="1903" spans="1:26" hidden="1">
      <c r="A1903" s="367">
        <f>SUBTOTAL(3,$B$15:B1903)</f>
        <v>2</v>
      </c>
      <c r="H1903" s="359">
        <f t="shared" si="61"/>
        <v>0</v>
      </c>
      <c r="N1903" s="361"/>
      <c r="O1903" s="361"/>
      <c r="P1903" s="361"/>
      <c r="Q1903" s="361"/>
      <c r="R1903" s="361"/>
      <c r="S1903" s="361"/>
      <c r="T1903" s="396"/>
      <c r="U1903" s="364">
        <f t="shared" si="62"/>
        <v>0</v>
      </c>
      <c r="W1903" s="365"/>
      <c r="X1903" s="365"/>
      <c r="Z1903" s="366"/>
    </row>
    <row r="1904" spans="1:26" hidden="1">
      <c r="A1904" s="367">
        <f>SUBTOTAL(3,$B$15:B1904)</f>
        <v>2</v>
      </c>
      <c r="H1904" s="359">
        <f t="shared" si="61"/>
        <v>0</v>
      </c>
      <c r="N1904" s="361"/>
      <c r="O1904" s="361"/>
      <c r="P1904" s="361"/>
      <c r="Q1904" s="361"/>
      <c r="R1904" s="361"/>
      <c r="S1904" s="361"/>
      <c r="T1904" s="396"/>
      <c r="U1904" s="364">
        <f t="shared" si="62"/>
        <v>0</v>
      </c>
      <c r="W1904" s="365"/>
      <c r="X1904" s="365"/>
      <c r="Z1904" s="366"/>
    </row>
    <row r="1905" spans="1:26" hidden="1">
      <c r="A1905" s="367">
        <f>SUBTOTAL(3,$B$15:B1905)</f>
        <v>2</v>
      </c>
      <c r="H1905" s="359">
        <f t="shared" si="61"/>
        <v>0</v>
      </c>
      <c r="N1905" s="361"/>
      <c r="O1905" s="361"/>
      <c r="P1905" s="361"/>
      <c r="Q1905" s="361"/>
      <c r="R1905" s="361"/>
      <c r="S1905" s="361"/>
      <c r="T1905" s="396"/>
      <c r="U1905" s="364">
        <f t="shared" si="62"/>
        <v>0</v>
      </c>
      <c r="W1905" s="365"/>
      <c r="X1905" s="365"/>
      <c r="Z1905" s="366"/>
    </row>
    <row r="1906" spans="1:26" hidden="1">
      <c r="A1906" s="367">
        <f>SUBTOTAL(3,$B$15:B1906)</f>
        <v>2</v>
      </c>
      <c r="H1906" s="359">
        <f t="shared" si="61"/>
        <v>0</v>
      </c>
      <c r="N1906" s="361"/>
      <c r="O1906" s="361"/>
      <c r="P1906" s="361"/>
      <c r="Q1906" s="361"/>
      <c r="R1906" s="361"/>
      <c r="S1906" s="361"/>
      <c r="T1906" s="396"/>
      <c r="U1906" s="364">
        <f t="shared" si="62"/>
        <v>0</v>
      </c>
      <c r="W1906" s="365"/>
      <c r="X1906" s="365"/>
      <c r="Z1906" s="366"/>
    </row>
    <row r="1907" spans="1:26" hidden="1">
      <c r="A1907" s="367">
        <f>SUBTOTAL(3,$B$15:B1907)</f>
        <v>2</v>
      </c>
      <c r="H1907" s="359">
        <f t="shared" si="61"/>
        <v>0</v>
      </c>
      <c r="N1907" s="361"/>
      <c r="O1907" s="361"/>
      <c r="P1907" s="361"/>
      <c r="Q1907" s="361"/>
      <c r="R1907" s="361"/>
      <c r="S1907" s="361"/>
      <c r="T1907" s="396"/>
      <c r="U1907" s="364">
        <f t="shared" si="62"/>
        <v>0</v>
      </c>
      <c r="W1907" s="365"/>
      <c r="X1907" s="365"/>
      <c r="Z1907" s="366"/>
    </row>
    <row r="1908" spans="1:26" hidden="1">
      <c r="A1908" s="367">
        <f>SUBTOTAL(3,$B$15:B1908)</f>
        <v>2</v>
      </c>
      <c r="H1908" s="359">
        <f t="shared" si="61"/>
        <v>0</v>
      </c>
      <c r="N1908" s="361"/>
      <c r="O1908" s="361"/>
      <c r="P1908" s="361"/>
      <c r="Q1908" s="361"/>
      <c r="R1908" s="361"/>
      <c r="S1908" s="361"/>
      <c r="T1908" s="396"/>
      <c r="U1908" s="364">
        <f t="shared" si="62"/>
        <v>0</v>
      </c>
      <c r="W1908" s="365"/>
      <c r="X1908" s="365"/>
      <c r="Z1908" s="366"/>
    </row>
    <row r="1909" spans="1:26" hidden="1">
      <c r="A1909" s="367">
        <f>SUBTOTAL(3,$B$15:B1909)</f>
        <v>2</v>
      </c>
      <c r="H1909" s="359">
        <f t="shared" si="61"/>
        <v>0</v>
      </c>
      <c r="N1909" s="361"/>
      <c r="O1909" s="361"/>
      <c r="P1909" s="361"/>
      <c r="Q1909" s="361"/>
      <c r="R1909" s="361"/>
      <c r="S1909" s="361"/>
      <c r="T1909" s="396"/>
      <c r="U1909" s="364">
        <f t="shared" si="62"/>
        <v>0</v>
      </c>
      <c r="W1909" s="365"/>
      <c r="X1909" s="365"/>
      <c r="Z1909" s="366"/>
    </row>
    <row r="1910" spans="1:26" hidden="1">
      <c r="A1910" s="367">
        <f>SUBTOTAL(3,$B$15:B1910)</f>
        <v>2</v>
      </c>
      <c r="H1910" s="359">
        <f t="shared" si="61"/>
        <v>0</v>
      </c>
      <c r="N1910" s="361"/>
      <c r="O1910" s="361"/>
      <c r="P1910" s="361"/>
      <c r="Q1910" s="361"/>
      <c r="R1910" s="361"/>
      <c r="S1910" s="361"/>
      <c r="T1910" s="396"/>
      <c r="U1910" s="364">
        <f t="shared" si="62"/>
        <v>0</v>
      </c>
      <c r="W1910" s="365"/>
      <c r="X1910" s="365"/>
      <c r="Z1910" s="366"/>
    </row>
    <row r="1911" spans="1:26" hidden="1">
      <c r="A1911" s="367">
        <f>SUBTOTAL(3,$B$15:B1911)</f>
        <v>2</v>
      </c>
      <c r="H1911" s="359">
        <f t="shared" si="61"/>
        <v>0</v>
      </c>
      <c r="N1911" s="361"/>
      <c r="O1911" s="361"/>
      <c r="P1911" s="361"/>
      <c r="Q1911" s="361"/>
      <c r="R1911" s="361"/>
      <c r="S1911" s="361"/>
      <c r="T1911" s="396"/>
      <c r="U1911" s="364">
        <f t="shared" si="62"/>
        <v>0</v>
      </c>
      <c r="W1911" s="365"/>
      <c r="X1911" s="365"/>
      <c r="Z1911" s="366"/>
    </row>
    <row r="1912" spans="1:26" hidden="1">
      <c r="A1912" s="367">
        <f>SUBTOTAL(3,$B$15:B1912)</f>
        <v>2</v>
      </c>
      <c r="H1912" s="359">
        <f t="shared" si="61"/>
        <v>0</v>
      </c>
      <c r="N1912" s="361"/>
      <c r="O1912" s="361"/>
      <c r="P1912" s="361"/>
      <c r="Q1912" s="361"/>
      <c r="R1912" s="361"/>
      <c r="S1912" s="361"/>
      <c r="T1912" s="396"/>
      <c r="U1912" s="364">
        <f t="shared" si="62"/>
        <v>0</v>
      </c>
      <c r="W1912" s="365"/>
      <c r="X1912" s="365"/>
      <c r="Z1912" s="366"/>
    </row>
    <row r="1913" spans="1:26" hidden="1">
      <c r="A1913" s="367">
        <f>SUBTOTAL(3,$B$15:B1913)</f>
        <v>2</v>
      </c>
      <c r="H1913" s="359">
        <f t="shared" si="61"/>
        <v>0</v>
      </c>
      <c r="N1913" s="361"/>
      <c r="O1913" s="361"/>
      <c r="P1913" s="361"/>
      <c r="Q1913" s="361"/>
      <c r="R1913" s="361"/>
      <c r="S1913" s="361"/>
      <c r="T1913" s="396"/>
      <c r="U1913" s="364">
        <f t="shared" si="62"/>
        <v>0</v>
      </c>
      <c r="W1913" s="365"/>
      <c r="X1913" s="365"/>
      <c r="Z1913" s="366"/>
    </row>
    <row r="1914" spans="1:26" hidden="1">
      <c r="A1914" s="367">
        <f>SUBTOTAL(3,$B$15:B1914)</f>
        <v>2</v>
      </c>
      <c r="H1914" s="359">
        <f t="shared" si="61"/>
        <v>0</v>
      </c>
      <c r="N1914" s="361"/>
      <c r="O1914" s="361"/>
      <c r="P1914" s="361"/>
      <c r="Q1914" s="361"/>
      <c r="R1914" s="361"/>
      <c r="S1914" s="361"/>
      <c r="T1914" s="396"/>
      <c r="U1914" s="364">
        <f t="shared" si="62"/>
        <v>0</v>
      </c>
      <c r="W1914" s="365"/>
      <c r="X1914" s="365"/>
      <c r="Z1914" s="366"/>
    </row>
    <row r="1915" spans="1:26" hidden="1">
      <c r="A1915" s="367">
        <f>SUBTOTAL(3,$B$15:B1915)</f>
        <v>2</v>
      </c>
      <c r="H1915" s="359">
        <f t="shared" si="61"/>
        <v>0</v>
      </c>
      <c r="N1915" s="361"/>
      <c r="O1915" s="361"/>
      <c r="P1915" s="361"/>
      <c r="Q1915" s="361"/>
      <c r="R1915" s="361"/>
      <c r="S1915" s="361"/>
      <c r="T1915" s="396"/>
      <c r="U1915" s="364">
        <f t="shared" si="62"/>
        <v>0</v>
      </c>
      <c r="W1915" s="365"/>
      <c r="X1915" s="365"/>
      <c r="Z1915" s="366"/>
    </row>
    <row r="1916" spans="1:26" hidden="1">
      <c r="A1916" s="367">
        <f>SUBTOTAL(3,$B$15:B1916)</f>
        <v>2</v>
      </c>
      <c r="H1916" s="359">
        <f t="shared" si="61"/>
        <v>0</v>
      </c>
      <c r="N1916" s="361"/>
      <c r="O1916" s="361"/>
      <c r="P1916" s="361"/>
      <c r="Q1916" s="361"/>
      <c r="R1916" s="361"/>
      <c r="S1916" s="361"/>
      <c r="T1916" s="396"/>
      <c r="U1916" s="364">
        <f t="shared" si="62"/>
        <v>0</v>
      </c>
      <c r="W1916" s="365"/>
      <c r="X1916" s="365"/>
      <c r="Z1916" s="366"/>
    </row>
    <row r="1917" spans="1:26" hidden="1">
      <c r="A1917" s="367">
        <f>SUBTOTAL(3,$B$15:B1917)</f>
        <v>2</v>
      </c>
      <c r="H1917" s="359">
        <f t="shared" si="61"/>
        <v>0</v>
      </c>
      <c r="N1917" s="361"/>
      <c r="O1917" s="361"/>
      <c r="P1917" s="361"/>
      <c r="Q1917" s="361"/>
      <c r="R1917" s="361"/>
      <c r="S1917" s="361"/>
      <c r="T1917" s="396"/>
      <c r="U1917" s="364">
        <f t="shared" si="62"/>
        <v>0</v>
      </c>
      <c r="W1917" s="365"/>
      <c r="X1917" s="365"/>
      <c r="Z1917" s="366"/>
    </row>
    <row r="1918" spans="1:26" hidden="1">
      <c r="A1918" s="367">
        <f>SUBTOTAL(3,$B$15:B1918)</f>
        <v>2</v>
      </c>
      <c r="H1918" s="359">
        <f t="shared" si="61"/>
        <v>0</v>
      </c>
      <c r="N1918" s="361"/>
      <c r="O1918" s="361"/>
      <c r="P1918" s="361"/>
      <c r="Q1918" s="361"/>
      <c r="R1918" s="361"/>
      <c r="S1918" s="361"/>
      <c r="T1918" s="396"/>
      <c r="U1918" s="364">
        <f t="shared" si="62"/>
        <v>0</v>
      </c>
      <c r="W1918" s="365"/>
      <c r="X1918" s="365"/>
      <c r="Z1918" s="366"/>
    </row>
    <row r="1919" spans="1:26" hidden="1">
      <c r="A1919" s="367">
        <f>SUBTOTAL(3,$B$15:B1919)</f>
        <v>2</v>
      </c>
      <c r="H1919" s="359">
        <f t="shared" si="61"/>
        <v>0</v>
      </c>
      <c r="N1919" s="361"/>
      <c r="O1919" s="361"/>
      <c r="P1919" s="361"/>
      <c r="Q1919" s="361"/>
      <c r="R1919" s="361"/>
      <c r="S1919" s="361"/>
      <c r="T1919" s="396"/>
      <c r="U1919" s="364">
        <f t="shared" si="62"/>
        <v>0</v>
      </c>
      <c r="W1919" s="365"/>
      <c r="X1919" s="365"/>
      <c r="Z1919" s="366"/>
    </row>
    <row r="1920" spans="1:26" hidden="1">
      <c r="A1920" s="367">
        <f>SUBTOTAL(3,$B$15:B1920)</f>
        <v>2</v>
      </c>
      <c r="H1920" s="359">
        <f t="shared" si="61"/>
        <v>0</v>
      </c>
      <c r="N1920" s="361"/>
      <c r="O1920" s="361"/>
      <c r="P1920" s="361"/>
      <c r="Q1920" s="361"/>
      <c r="R1920" s="361"/>
      <c r="S1920" s="361"/>
      <c r="T1920" s="396"/>
      <c r="U1920" s="364">
        <f t="shared" si="62"/>
        <v>0</v>
      </c>
      <c r="W1920" s="365"/>
      <c r="X1920" s="365"/>
      <c r="Z1920" s="366"/>
    </row>
    <row r="1921" spans="1:26" hidden="1">
      <c r="A1921" s="367">
        <f>SUBTOTAL(3,$B$15:B1921)</f>
        <v>2</v>
      </c>
      <c r="H1921" s="359">
        <f t="shared" si="61"/>
        <v>0</v>
      </c>
      <c r="N1921" s="361"/>
      <c r="O1921" s="361"/>
      <c r="P1921" s="361"/>
      <c r="Q1921" s="361"/>
      <c r="R1921" s="361"/>
      <c r="S1921" s="361"/>
      <c r="T1921" s="396"/>
      <c r="U1921" s="364">
        <f t="shared" si="62"/>
        <v>0</v>
      </c>
      <c r="W1921" s="365"/>
      <c r="X1921" s="365"/>
      <c r="Z1921" s="366"/>
    </row>
    <row r="1922" spans="1:26" hidden="1">
      <c r="A1922" s="367">
        <f>SUBTOTAL(3,$B$15:B1922)</f>
        <v>2</v>
      </c>
      <c r="H1922" s="359">
        <f t="shared" si="61"/>
        <v>0</v>
      </c>
      <c r="N1922" s="361"/>
      <c r="O1922" s="361"/>
      <c r="P1922" s="361"/>
      <c r="Q1922" s="361"/>
      <c r="R1922" s="361"/>
      <c r="S1922" s="361"/>
      <c r="T1922" s="396"/>
      <c r="U1922" s="364">
        <f t="shared" si="62"/>
        <v>0</v>
      </c>
      <c r="W1922" s="365"/>
      <c r="X1922" s="365"/>
      <c r="Z1922" s="366"/>
    </row>
    <row r="1923" spans="1:26" hidden="1">
      <c r="A1923" s="367">
        <f>SUBTOTAL(3,$B$15:B1923)</f>
        <v>2</v>
      </c>
      <c r="H1923" s="359">
        <f t="shared" si="61"/>
        <v>0</v>
      </c>
      <c r="N1923" s="361"/>
      <c r="O1923" s="361"/>
      <c r="P1923" s="361"/>
      <c r="Q1923" s="361"/>
      <c r="R1923" s="361"/>
      <c r="S1923" s="361"/>
      <c r="T1923" s="396"/>
      <c r="U1923" s="364">
        <f t="shared" si="62"/>
        <v>0</v>
      </c>
      <c r="W1923" s="365"/>
      <c r="X1923" s="365"/>
      <c r="Z1923" s="366"/>
    </row>
    <row r="1924" spans="1:26" hidden="1">
      <c r="A1924" s="367">
        <f>SUBTOTAL(3,$B$15:B1924)</f>
        <v>2</v>
      </c>
      <c r="H1924" s="359">
        <f t="shared" si="61"/>
        <v>0</v>
      </c>
      <c r="N1924" s="361"/>
      <c r="O1924" s="361"/>
      <c r="P1924" s="361"/>
      <c r="Q1924" s="361"/>
      <c r="R1924" s="361"/>
      <c r="S1924" s="361"/>
      <c r="T1924" s="396"/>
      <c r="U1924" s="364">
        <f t="shared" si="62"/>
        <v>0</v>
      </c>
      <c r="W1924" s="365"/>
      <c r="X1924" s="365"/>
      <c r="Z1924" s="366"/>
    </row>
    <row r="1925" spans="1:26" hidden="1">
      <c r="A1925" s="367">
        <f>SUBTOTAL(3,$B$15:B1925)</f>
        <v>2</v>
      </c>
      <c r="H1925" s="359">
        <f t="shared" si="61"/>
        <v>0</v>
      </c>
      <c r="N1925" s="361"/>
      <c r="O1925" s="361"/>
      <c r="P1925" s="361"/>
      <c r="Q1925" s="361"/>
      <c r="R1925" s="361"/>
      <c r="S1925" s="361"/>
      <c r="T1925" s="396"/>
      <c r="U1925" s="364">
        <f t="shared" si="62"/>
        <v>0</v>
      </c>
      <c r="W1925" s="365"/>
      <c r="X1925" s="365"/>
      <c r="Z1925" s="366"/>
    </row>
    <row r="1926" spans="1:26" hidden="1">
      <c r="A1926" s="367">
        <f>SUBTOTAL(3,$B$15:B1926)</f>
        <v>2</v>
      </c>
      <c r="H1926" s="359">
        <f t="shared" si="61"/>
        <v>0</v>
      </c>
      <c r="N1926" s="361"/>
      <c r="O1926" s="361"/>
      <c r="P1926" s="361"/>
      <c r="Q1926" s="361"/>
      <c r="R1926" s="361"/>
      <c r="S1926" s="361"/>
      <c r="T1926" s="396"/>
      <c r="U1926" s="364">
        <f t="shared" si="62"/>
        <v>0</v>
      </c>
      <c r="W1926" s="365"/>
      <c r="X1926" s="365"/>
      <c r="Z1926" s="366"/>
    </row>
    <row r="1927" spans="1:26" hidden="1">
      <c r="A1927" s="367">
        <f>SUBTOTAL(3,$B$15:B1927)</f>
        <v>2</v>
      </c>
      <c r="H1927" s="359">
        <f t="shared" si="61"/>
        <v>0</v>
      </c>
      <c r="N1927" s="361"/>
      <c r="O1927" s="361"/>
      <c r="P1927" s="361"/>
      <c r="Q1927" s="361"/>
      <c r="R1927" s="361"/>
      <c r="S1927" s="361"/>
      <c r="T1927" s="396"/>
      <c r="U1927" s="364">
        <f t="shared" si="62"/>
        <v>0</v>
      </c>
      <c r="W1927" s="365"/>
      <c r="X1927" s="365"/>
      <c r="Z1927" s="366"/>
    </row>
    <row r="1928" spans="1:26" hidden="1">
      <c r="A1928" s="367">
        <f>SUBTOTAL(3,$B$15:B1928)</f>
        <v>2</v>
      </c>
      <c r="H1928" s="359">
        <f t="shared" si="61"/>
        <v>0</v>
      </c>
      <c r="N1928" s="361"/>
      <c r="O1928" s="361"/>
      <c r="P1928" s="361"/>
      <c r="Q1928" s="361"/>
      <c r="R1928" s="361"/>
      <c r="S1928" s="361"/>
      <c r="T1928" s="396"/>
      <c r="U1928" s="364">
        <f t="shared" si="62"/>
        <v>0</v>
      </c>
      <c r="W1928" s="365"/>
      <c r="X1928" s="365"/>
      <c r="Z1928" s="366"/>
    </row>
    <row r="1929" spans="1:26" hidden="1">
      <c r="A1929" s="367">
        <f>SUBTOTAL(3,$B$15:B1929)</f>
        <v>2</v>
      </c>
      <c r="H1929" s="359">
        <f t="shared" si="61"/>
        <v>0</v>
      </c>
      <c r="N1929" s="361"/>
      <c r="O1929" s="361"/>
      <c r="P1929" s="361"/>
      <c r="Q1929" s="361"/>
      <c r="R1929" s="361"/>
      <c r="S1929" s="361"/>
      <c r="T1929" s="396"/>
      <c r="U1929" s="364">
        <f t="shared" si="62"/>
        <v>0</v>
      </c>
      <c r="W1929" s="365"/>
      <c r="X1929" s="365"/>
      <c r="Z1929" s="366"/>
    </row>
    <row r="1930" spans="1:26" hidden="1">
      <c r="A1930" s="367">
        <f>SUBTOTAL(3,$B$15:B1930)</f>
        <v>2</v>
      </c>
      <c r="H1930" s="359">
        <f t="shared" si="61"/>
        <v>0</v>
      </c>
      <c r="N1930" s="361"/>
      <c r="O1930" s="361"/>
      <c r="P1930" s="361"/>
      <c r="Q1930" s="361"/>
      <c r="R1930" s="361"/>
      <c r="S1930" s="361"/>
      <c r="T1930" s="396"/>
      <c r="U1930" s="364">
        <f t="shared" si="62"/>
        <v>0</v>
      </c>
      <c r="W1930" s="365"/>
      <c r="X1930" s="365"/>
      <c r="Z1930" s="366"/>
    </row>
    <row r="1931" spans="1:26" hidden="1">
      <c r="A1931" s="367">
        <f>SUBTOTAL(3,$B$15:B1931)</f>
        <v>2</v>
      </c>
      <c r="H1931" s="359">
        <f t="shared" si="61"/>
        <v>0</v>
      </c>
      <c r="N1931" s="361"/>
      <c r="O1931" s="361"/>
      <c r="P1931" s="361"/>
      <c r="Q1931" s="361"/>
      <c r="R1931" s="361"/>
      <c r="S1931" s="361"/>
      <c r="T1931" s="396"/>
      <c r="U1931" s="364">
        <f t="shared" si="62"/>
        <v>0</v>
      </c>
      <c r="W1931" s="365"/>
      <c r="X1931" s="365"/>
      <c r="Z1931" s="366"/>
    </row>
    <row r="1932" spans="1:26" hidden="1">
      <c r="A1932" s="367">
        <f>SUBTOTAL(3,$B$15:B1932)</f>
        <v>2</v>
      </c>
      <c r="H1932" s="359">
        <f t="shared" si="61"/>
        <v>0</v>
      </c>
      <c r="N1932" s="361"/>
      <c r="O1932" s="361"/>
      <c r="P1932" s="361"/>
      <c r="Q1932" s="361"/>
      <c r="R1932" s="361"/>
      <c r="S1932" s="361"/>
      <c r="T1932" s="396"/>
      <c r="U1932" s="364">
        <f t="shared" si="62"/>
        <v>0</v>
      </c>
      <c r="W1932" s="365"/>
      <c r="X1932" s="365"/>
      <c r="Z1932" s="366"/>
    </row>
    <row r="1933" spans="1:26" hidden="1">
      <c r="A1933" s="367">
        <f>SUBTOTAL(3,$B$15:B1933)</f>
        <v>2</v>
      </c>
      <c r="H1933" s="359">
        <f t="shared" si="61"/>
        <v>0</v>
      </c>
      <c r="N1933" s="361"/>
      <c r="O1933" s="361"/>
      <c r="P1933" s="361"/>
      <c r="Q1933" s="361"/>
      <c r="R1933" s="361"/>
      <c r="S1933" s="361"/>
      <c r="T1933" s="396"/>
      <c r="U1933" s="364">
        <f t="shared" si="62"/>
        <v>0</v>
      </c>
      <c r="W1933" s="365"/>
      <c r="X1933" s="365"/>
      <c r="Z1933" s="366"/>
    </row>
    <row r="1934" spans="1:26" hidden="1">
      <c r="A1934" s="367">
        <f>SUBTOTAL(3,$B$15:B1934)</f>
        <v>2</v>
      </c>
      <c r="H1934" s="359">
        <f t="shared" si="61"/>
        <v>0</v>
      </c>
      <c r="N1934" s="361"/>
      <c r="O1934" s="361"/>
      <c r="P1934" s="361"/>
      <c r="Q1934" s="361"/>
      <c r="R1934" s="361"/>
      <c r="S1934" s="361"/>
      <c r="T1934" s="396"/>
      <c r="U1934" s="364">
        <f t="shared" si="62"/>
        <v>0</v>
      </c>
      <c r="W1934" s="365"/>
      <c r="X1934" s="365"/>
      <c r="Z1934" s="366"/>
    </row>
    <row r="1935" spans="1:26" hidden="1">
      <c r="A1935" s="367">
        <f>SUBTOTAL(3,$B$15:B1935)</f>
        <v>2</v>
      </c>
      <c r="H1935" s="359">
        <f t="shared" si="61"/>
        <v>0</v>
      </c>
      <c r="N1935" s="361"/>
      <c r="O1935" s="361"/>
      <c r="P1935" s="361"/>
      <c r="Q1935" s="361"/>
      <c r="R1935" s="361"/>
      <c r="S1935" s="361"/>
      <c r="T1935" s="396"/>
      <c r="U1935" s="364">
        <f t="shared" si="62"/>
        <v>0</v>
      </c>
      <c r="W1935" s="365"/>
      <c r="X1935" s="365"/>
      <c r="Z1935" s="366"/>
    </row>
    <row r="1936" spans="1:26" hidden="1">
      <c r="A1936" s="367">
        <f>SUBTOTAL(3,$B$15:B1936)</f>
        <v>2</v>
      </c>
      <c r="H1936" s="359">
        <f t="shared" si="61"/>
        <v>0</v>
      </c>
      <c r="N1936" s="361"/>
      <c r="O1936" s="361"/>
      <c r="P1936" s="361"/>
      <c r="Q1936" s="361"/>
      <c r="R1936" s="361"/>
      <c r="S1936" s="361"/>
      <c r="T1936" s="396"/>
      <c r="U1936" s="364">
        <f t="shared" si="62"/>
        <v>0</v>
      </c>
      <c r="W1936" s="365"/>
      <c r="X1936" s="365"/>
      <c r="Z1936" s="366"/>
    </row>
    <row r="1937" spans="1:26" hidden="1">
      <c r="A1937" s="367">
        <f>SUBTOTAL(3,$B$15:B1937)</f>
        <v>2</v>
      </c>
      <c r="H1937" s="359">
        <f t="shared" si="61"/>
        <v>0</v>
      </c>
      <c r="N1937" s="361"/>
      <c r="O1937" s="361"/>
      <c r="P1937" s="361"/>
      <c r="Q1937" s="361"/>
      <c r="R1937" s="361"/>
      <c r="S1937" s="361"/>
      <c r="T1937" s="396"/>
      <c r="U1937" s="364">
        <f t="shared" si="62"/>
        <v>0</v>
      </c>
      <c r="W1937" s="365"/>
      <c r="X1937" s="365"/>
      <c r="Z1937" s="366"/>
    </row>
    <row r="1938" spans="1:26" hidden="1">
      <c r="A1938" s="367">
        <f>SUBTOTAL(3,$B$15:B1938)</f>
        <v>2</v>
      </c>
      <c r="H1938" s="359">
        <f t="shared" si="61"/>
        <v>0</v>
      </c>
      <c r="N1938" s="361"/>
      <c r="O1938" s="361"/>
      <c r="P1938" s="361"/>
      <c r="Q1938" s="361"/>
      <c r="R1938" s="361"/>
      <c r="S1938" s="361"/>
      <c r="T1938" s="396"/>
      <c r="U1938" s="364">
        <f t="shared" si="62"/>
        <v>0</v>
      </c>
      <c r="W1938" s="365"/>
      <c r="X1938" s="365"/>
      <c r="Z1938" s="366"/>
    </row>
    <row r="1939" spans="1:26" hidden="1">
      <c r="A1939" s="367">
        <f>SUBTOTAL(3,$B$15:B1939)</f>
        <v>2</v>
      </c>
      <c r="H1939" s="359">
        <f t="shared" si="61"/>
        <v>0</v>
      </c>
      <c r="N1939" s="361"/>
      <c r="O1939" s="361"/>
      <c r="P1939" s="361"/>
      <c r="Q1939" s="361"/>
      <c r="R1939" s="361"/>
      <c r="S1939" s="361"/>
      <c r="T1939" s="396"/>
      <c r="U1939" s="364">
        <f t="shared" si="62"/>
        <v>0</v>
      </c>
      <c r="W1939" s="365"/>
      <c r="X1939" s="365"/>
      <c r="Z1939" s="366"/>
    </row>
    <row r="1940" spans="1:26" hidden="1">
      <c r="A1940" s="367">
        <f>SUBTOTAL(3,$B$15:B1940)</f>
        <v>2</v>
      </c>
      <c r="H1940" s="359">
        <f t="shared" ref="H1940:H2003" si="63">+G1940-SUM(M1940,O1940,Q1940)</f>
        <v>0</v>
      </c>
      <c r="N1940" s="361"/>
      <c r="O1940" s="361"/>
      <c r="P1940" s="361"/>
      <c r="Q1940" s="361"/>
      <c r="R1940" s="361"/>
      <c r="S1940" s="361"/>
      <c r="T1940" s="396"/>
      <c r="U1940" s="364">
        <f t="shared" si="62"/>
        <v>0</v>
      </c>
      <c r="W1940" s="365"/>
      <c r="X1940" s="365"/>
      <c r="Z1940" s="366"/>
    </row>
    <row r="1941" spans="1:26" hidden="1">
      <c r="A1941" s="367">
        <f>SUBTOTAL(3,$B$15:B1941)</f>
        <v>2</v>
      </c>
      <c r="H1941" s="359">
        <f t="shared" si="63"/>
        <v>0</v>
      </c>
      <c r="N1941" s="361"/>
      <c r="O1941" s="361"/>
      <c r="P1941" s="361"/>
      <c r="Q1941" s="361"/>
      <c r="R1941" s="361"/>
      <c r="S1941" s="361"/>
      <c r="T1941" s="396"/>
      <c r="U1941" s="364">
        <f t="shared" si="62"/>
        <v>0</v>
      </c>
      <c r="W1941" s="365"/>
      <c r="X1941" s="365"/>
      <c r="Z1941" s="366"/>
    </row>
    <row r="1942" spans="1:26" hidden="1">
      <c r="A1942" s="367">
        <f>SUBTOTAL(3,$B$15:B1942)</f>
        <v>2</v>
      </c>
      <c r="H1942" s="359">
        <f t="shared" si="63"/>
        <v>0</v>
      </c>
      <c r="N1942" s="361"/>
      <c r="O1942" s="361"/>
      <c r="P1942" s="361"/>
      <c r="Q1942" s="361"/>
      <c r="R1942" s="361"/>
      <c r="S1942" s="361"/>
      <c r="T1942" s="396"/>
      <c r="U1942" s="364">
        <f t="shared" si="62"/>
        <v>0</v>
      </c>
      <c r="W1942" s="365"/>
      <c r="X1942" s="365"/>
      <c r="Z1942" s="366"/>
    </row>
    <row r="1943" spans="1:26" hidden="1">
      <c r="A1943" s="367">
        <f>SUBTOTAL(3,$B$15:B1943)</f>
        <v>2</v>
      </c>
      <c r="H1943" s="359">
        <f t="shared" si="63"/>
        <v>0</v>
      </c>
      <c r="N1943" s="361"/>
      <c r="O1943" s="361"/>
      <c r="P1943" s="361"/>
      <c r="Q1943" s="361"/>
      <c r="R1943" s="361"/>
      <c r="S1943" s="361"/>
      <c r="T1943" s="396"/>
      <c r="U1943" s="364">
        <f t="shared" ref="U1943:U2006" si="64">SUM(H1943:T1943)</f>
        <v>0</v>
      </c>
      <c r="W1943" s="365"/>
      <c r="X1943" s="365"/>
      <c r="Z1943" s="366"/>
    </row>
    <row r="1944" spans="1:26" hidden="1">
      <c r="A1944" s="367">
        <f>SUBTOTAL(3,$B$15:B1944)</f>
        <v>2</v>
      </c>
      <c r="H1944" s="359">
        <f t="shared" si="63"/>
        <v>0</v>
      </c>
      <c r="N1944" s="361"/>
      <c r="O1944" s="361"/>
      <c r="P1944" s="361"/>
      <c r="Q1944" s="361"/>
      <c r="R1944" s="361"/>
      <c r="S1944" s="361"/>
      <c r="T1944" s="396"/>
      <c r="U1944" s="364">
        <f t="shared" si="64"/>
        <v>0</v>
      </c>
      <c r="W1944" s="365"/>
      <c r="X1944" s="365"/>
      <c r="Z1944" s="366"/>
    </row>
    <row r="1945" spans="1:26" hidden="1">
      <c r="A1945" s="367">
        <f>SUBTOTAL(3,$B$15:B1945)</f>
        <v>2</v>
      </c>
      <c r="H1945" s="359">
        <f t="shared" si="63"/>
        <v>0</v>
      </c>
      <c r="N1945" s="361"/>
      <c r="O1945" s="361"/>
      <c r="P1945" s="361"/>
      <c r="Q1945" s="361"/>
      <c r="R1945" s="361"/>
      <c r="S1945" s="361"/>
      <c r="T1945" s="396"/>
      <c r="U1945" s="364">
        <f t="shared" si="64"/>
        <v>0</v>
      </c>
      <c r="W1945" s="365"/>
      <c r="X1945" s="365"/>
      <c r="Z1945" s="366"/>
    </row>
    <row r="1946" spans="1:26" hidden="1">
      <c r="A1946" s="367">
        <f>SUBTOTAL(3,$B$15:B1946)</f>
        <v>2</v>
      </c>
      <c r="H1946" s="359">
        <f t="shared" si="63"/>
        <v>0</v>
      </c>
      <c r="N1946" s="361"/>
      <c r="O1946" s="361"/>
      <c r="P1946" s="361"/>
      <c r="Q1946" s="361"/>
      <c r="R1946" s="361"/>
      <c r="S1946" s="361"/>
      <c r="T1946" s="396"/>
      <c r="U1946" s="364">
        <f t="shared" si="64"/>
        <v>0</v>
      </c>
      <c r="W1946" s="365"/>
      <c r="X1946" s="365"/>
      <c r="Z1946" s="366"/>
    </row>
    <row r="1947" spans="1:26" hidden="1">
      <c r="A1947" s="367">
        <f>SUBTOTAL(3,$B$15:B1947)</f>
        <v>2</v>
      </c>
      <c r="H1947" s="359">
        <f t="shared" si="63"/>
        <v>0</v>
      </c>
      <c r="N1947" s="361"/>
      <c r="O1947" s="361"/>
      <c r="P1947" s="361"/>
      <c r="Q1947" s="361"/>
      <c r="R1947" s="361"/>
      <c r="S1947" s="361"/>
      <c r="T1947" s="396"/>
      <c r="U1947" s="364">
        <f t="shared" si="64"/>
        <v>0</v>
      </c>
      <c r="W1947" s="365"/>
      <c r="X1947" s="365"/>
      <c r="Z1947" s="366"/>
    </row>
    <row r="1948" spans="1:26" hidden="1">
      <c r="A1948" s="367">
        <f>SUBTOTAL(3,$B$15:B1948)</f>
        <v>2</v>
      </c>
      <c r="H1948" s="359">
        <f t="shared" si="63"/>
        <v>0</v>
      </c>
      <c r="N1948" s="361"/>
      <c r="O1948" s="361"/>
      <c r="P1948" s="361"/>
      <c r="Q1948" s="361"/>
      <c r="R1948" s="361"/>
      <c r="S1948" s="361"/>
      <c r="T1948" s="396"/>
      <c r="U1948" s="364">
        <f t="shared" si="64"/>
        <v>0</v>
      </c>
      <c r="W1948" s="365"/>
      <c r="X1948" s="365"/>
      <c r="Z1948" s="366"/>
    </row>
    <row r="1949" spans="1:26" hidden="1">
      <c r="A1949" s="367">
        <f>SUBTOTAL(3,$B$15:B1949)</f>
        <v>2</v>
      </c>
      <c r="H1949" s="359">
        <f t="shared" si="63"/>
        <v>0</v>
      </c>
      <c r="N1949" s="361"/>
      <c r="O1949" s="361"/>
      <c r="P1949" s="361"/>
      <c r="Q1949" s="361"/>
      <c r="R1949" s="361"/>
      <c r="S1949" s="361"/>
      <c r="T1949" s="396"/>
      <c r="U1949" s="364">
        <f t="shared" si="64"/>
        <v>0</v>
      </c>
      <c r="W1949" s="365"/>
      <c r="X1949" s="365"/>
      <c r="Z1949" s="366"/>
    </row>
    <row r="1950" spans="1:26" hidden="1">
      <c r="A1950" s="367">
        <f>SUBTOTAL(3,$B$15:B1950)</f>
        <v>2</v>
      </c>
      <c r="H1950" s="359">
        <f t="shared" si="63"/>
        <v>0</v>
      </c>
      <c r="N1950" s="361"/>
      <c r="O1950" s="361"/>
      <c r="P1950" s="361"/>
      <c r="Q1950" s="361"/>
      <c r="R1950" s="361"/>
      <c r="S1950" s="361"/>
      <c r="T1950" s="396"/>
      <c r="U1950" s="364">
        <f t="shared" si="64"/>
        <v>0</v>
      </c>
      <c r="W1950" s="365"/>
      <c r="X1950" s="365"/>
      <c r="Z1950" s="366"/>
    </row>
    <row r="1951" spans="1:26" hidden="1">
      <c r="A1951" s="367">
        <f>SUBTOTAL(3,$B$15:B1951)</f>
        <v>2</v>
      </c>
      <c r="H1951" s="359">
        <f t="shared" si="63"/>
        <v>0</v>
      </c>
      <c r="N1951" s="361"/>
      <c r="O1951" s="361"/>
      <c r="P1951" s="361"/>
      <c r="Q1951" s="361"/>
      <c r="R1951" s="361"/>
      <c r="S1951" s="361"/>
      <c r="T1951" s="396"/>
      <c r="U1951" s="364">
        <f t="shared" si="64"/>
        <v>0</v>
      </c>
      <c r="W1951" s="365"/>
      <c r="X1951" s="365"/>
      <c r="Z1951" s="366"/>
    </row>
    <row r="1952" spans="1:26" hidden="1">
      <c r="A1952" s="367">
        <f>SUBTOTAL(3,$B$15:B1952)</f>
        <v>2</v>
      </c>
      <c r="H1952" s="359">
        <f t="shared" si="63"/>
        <v>0</v>
      </c>
      <c r="N1952" s="361"/>
      <c r="O1952" s="361"/>
      <c r="P1952" s="361"/>
      <c r="Q1952" s="361"/>
      <c r="R1952" s="361"/>
      <c r="S1952" s="361"/>
      <c r="T1952" s="396"/>
      <c r="U1952" s="364">
        <f t="shared" si="64"/>
        <v>0</v>
      </c>
      <c r="W1952" s="365"/>
      <c r="X1952" s="365"/>
      <c r="Z1952" s="366"/>
    </row>
    <row r="1953" spans="1:26" hidden="1">
      <c r="A1953" s="367">
        <f>SUBTOTAL(3,$B$15:B1953)</f>
        <v>2</v>
      </c>
      <c r="H1953" s="359">
        <f t="shared" si="63"/>
        <v>0</v>
      </c>
      <c r="N1953" s="361"/>
      <c r="O1953" s="361"/>
      <c r="P1953" s="361"/>
      <c r="Q1953" s="361"/>
      <c r="R1953" s="361"/>
      <c r="S1953" s="361"/>
      <c r="T1953" s="396"/>
      <c r="U1953" s="364">
        <f t="shared" si="64"/>
        <v>0</v>
      </c>
      <c r="W1953" s="365"/>
      <c r="X1953" s="365"/>
      <c r="Z1953" s="366"/>
    </row>
    <row r="1954" spans="1:26" hidden="1">
      <c r="A1954" s="367">
        <f>SUBTOTAL(3,$B$15:B1954)</f>
        <v>2</v>
      </c>
      <c r="H1954" s="359">
        <f t="shared" si="63"/>
        <v>0</v>
      </c>
      <c r="N1954" s="361"/>
      <c r="O1954" s="361"/>
      <c r="P1954" s="361"/>
      <c r="Q1954" s="361"/>
      <c r="R1954" s="361"/>
      <c r="S1954" s="361"/>
      <c r="T1954" s="396"/>
      <c r="U1954" s="364">
        <f t="shared" si="64"/>
        <v>0</v>
      </c>
      <c r="W1954" s="365"/>
      <c r="X1954" s="365"/>
      <c r="Z1954" s="366"/>
    </row>
    <row r="1955" spans="1:26" hidden="1">
      <c r="A1955" s="367">
        <f>SUBTOTAL(3,$B$15:B1955)</f>
        <v>2</v>
      </c>
      <c r="H1955" s="359">
        <f t="shared" si="63"/>
        <v>0</v>
      </c>
      <c r="N1955" s="361"/>
      <c r="O1955" s="361"/>
      <c r="P1955" s="361"/>
      <c r="Q1955" s="361"/>
      <c r="R1955" s="361"/>
      <c r="S1955" s="361"/>
      <c r="T1955" s="396"/>
      <c r="U1955" s="364">
        <f t="shared" si="64"/>
        <v>0</v>
      </c>
      <c r="W1955" s="365"/>
      <c r="X1955" s="365"/>
      <c r="Z1955" s="366"/>
    </row>
    <row r="1956" spans="1:26" hidden="1">
      <c r="A1956" s="367">
        <f>SUBTOTAL(3,$B$15:B1956)</f>
        <v>2</v>
      </c>
      <c r="H1956" s="359">
        <f t="shared" si="63"/>
        <v>0</v>
      </c>
      <c r="N1956" s="361"/>
      <c r="O1956" s="361"/>
      <c r="P1956" s="361"/>
      <c r="Q1956" s="361"/>
      <c r="R1956" s="361"/>
      <c r="S1956" s="361"/>
      <c r="T1956" s="396"/>
      <c r="U1956" s="364">
        <f t="shared" si="64"/>
        <v>0</v>
      </c>
      <c r="W1956" s="365"/>
      <c r="X1956" s="365"/>
      <c r="Z1956" s="366"/>
    </row>
    <row r="1957" spans="1:26" hidden="1">
      <c r="A1957" s="367">
        <f>SUBTOTAL(3,$B$15:B1957)</f>
        <v>2</v>
      </c>
      <c r="H1957" s="359">
        <f t="shared" si="63"/>
        <v>0</v>
      </c>
      <c r="N1957" s="361"/>
      <c r="O1957" s="361"/>
      <c r="P1957" s="361"/>
      <c r="Q1957" s="361"/>
      <c r="R1957" s="361"/>
      <c r="S1957" s="361"/>
      <c r="T1957" s="396"/>
      <c r="U1957" s="364">
        <f t="shared" si="64"/>
        <v>0</v>
      </c>
      <c r="W1957" s="365"/>
      <c r="X1957" s="365"/>
      <c r="Z1957" s="366"/>
    </row>
    <row r="1958" spans="1:26" hidden="1">
      <c r="A1958" s="367">
        <f>SUBTOTAL(3,$B$15:B1958)</f>
        <v>2</v>
      </c>
      <c r="H1958" s="359">
        <f t="shared" si="63"/>
        <v>0</v>
      </c>
      <c r="N1958" s="361"/>
      <c r="O1958" s="361"/>
      <c r="P1958" s="361"/>
      <c r="Q1958" s="361"/>
      <c r="R1958" s="361"/>
      <c r="S1958" s="361"/>
      <c r="T1958" s="396"/>
      <c r="U1958" s="364">
        <f t="shared" si="64"/>
        <v>0</v>
      </c>
      <c r="W1958" s="365"/>
      <c r="X1958" s="365"/>
      <c r="Z1958" s="366"/>
    </row>
    <row r="1959" spans="1:26" hidden="1">
      <c r="A1959" s="367">
        <f>SUBTOTAL(3,$B$15:B1959)</f>
        <v>2</v>
      </c>
      <c r="H1959" s="359">
        <f t="shared" si="63"/>
        <v>0</v>
      </c>
      <c r="N1959" s="361"/>
      <c r="O1959" s="361"/>
      <c r="P1959" s="361"/>
      <c r="Q1959" s="361"/>
      <c r="R1959" s="361"/>
      <c r="S1959" s="361"/>
      <c r="T1959" s="396"/>
      <c r="U1959" s="364">
        <f t="shared" si="64"/>
        <v>0</v>
      </c>
      <c r="W1959" s="365"/>
      <c r="X1959" s="365"/>
      <c r="Z1959" s="366"/>
    </row>
    <row r="1960" spans="1:26" hidden="1">
      <c r="A1960" s="367">
        <f>SUBTOTAL(3,$B$15:B1960)</f>
        <v>2</v>
      </c>
      <c r="H1960" s="359">
        <f t="shared" si="63"/>
        <v>0</v>
      </c>
      <c r="N1960" s="361"/>
      <c r="O1960" s="361"/>
      <c r="P1960" s="361"/>
      <c r="Q1960" s="361"/>
      <c r="R1960" s="361"/>
      <c r="S1960" s="361"/>
      <c r="T1960" s="396"/>
      <c r="U1960" s="364">
        <f t="shared" si="64"/>
        <v>0</v>
      </c>
      <c r="W1960" s="365"/>
      <c r="X1960" s="365"/>
      <c r="Z1960" s="366"/>
    </row>
    <row r="1961" spans="1:26" hidden="1">
      <c r="A1961" s="367">
        <f>SUBTOTAL(3,$B$15:B1961)</f>
        <v>2</v>
      </c>
      <c r="H1961" s="359">
        <f t="shared" si="63"/>
        <v>0</v>
      </c>
      <c r="N1961" s="361"/>
      <c r="O1961" s="361"/>
      <c r="P1961" s="361"/>
      <c r="Q1961" s="361"/>
      <c r="R1961" s="361"/>
      <c r="S1961" s="361"/>
      <c r="T1961" s="396"/>
      <c r="U1961" s="364">
        <f t="shared" si="64"/>
        <v>0</v>
      </c>
      <c r="W1961" s="365"/>
      <c r="X1961" s="365"/>
      <c r="Z1961" s="366"/>
    </row>
    <row r="1962" spans="1:26" hidden="1">
      <c r="A1962" s="367">
        <f>SUBTOTAL(3,$B$15:B1962)</f>
        <v>2</v>
      </c>
      <c r="H1962" s="359">
        <f t="shared" si="63"/>
        <v>0</v>
      </c>
      <c r="N1962" s="361"/>
      <c r="O1962" s="361"/>
      <c r="P1962" s="361"/>
      <c r="Q1962" s="361"/>
      <c r="R1962" s="361"/>
      <c r="S1962" s="361"/>
      <c r="T1962" s="396"/>
      <c r="U1962" s="364">
        <f t="shared" si="64"/>
        <v>0</v>
      </c>
      <c r="W1962" s="365"/>
      <c r="X1962" s="365"/>
      <c r="Z1962" s="366"/>
    </row>
    <row r="1963" spans="1:26" hidden="1">
      <c r="A1963" s="367">
        <f>SUBTOTAL(3,$B$15:B1963)</f>
        <v>2</v>
      </c>
      <c r="H1963" s="359">
        <f t="shared" si="63"/>
        <v>0</v>
      </c>
      <c r="N1963" s="361"/>
      <c r="O1963" s="361"/>
      <c r="P1963" s="361"/>
      <c r="Q1963" s="361"/>
      <c r="R1963" s="361"/>
      <c r="S1963" s="361"/>
      <c r="T1963" s="396"/>
      <c r="U1963" s="364">
        <f t="shared" si="64"/>
        <v>0</v>
      </c>
      <c r="W1963" s="365"/>
      <c r="X1963" s="365"/>
      <c r="Z1963" s="366"/>
    </row>
    <row r="1964" spans="1:26" hidden="1">
      <c r="A1964" s="367">
        <f>SUBTOTAL(3,$B$15:B1964)</f>
        <v>2</v>
      </c>
      <c r="H1964" s="359">
        <f t="shared" si="63"/>
        <v>0</v>
      </c>
      <c r="N1964" s="361"/>
      <c r="O1964" s="361"/>
      <c r="P1964" s="361"/>
      <c r="Q1964" s="361"/>
      <c r="R1964" s="361"/>
      <c r="S1964" s="361"/>
      <c r="T1964" s="396"/>
      <c r="U1964" s="364">
        <f t="shared" si="64"/>
        <v>0</v>
      </c>
      <c r="W1964" s="365"/>
      <c r="X1964" s="365"/>
      <c r="Z1964" s="366"/>
    </row>
    <row r="1965" spans="1:26" hidden="1">
      <c r="A1965" s="367">
        <f>SUBTOTAL(3,$B$15:B1965)</f>
        <v>2</v>
      </c>
      <c r="H1965" s="359">
        <f t="shared" si="63"/>
        <v>0</v>
      </c>
      <c r="N1965" s="361"/>
      <c r="O1965" s="361"/>
      <c r="P1965" s="361"/>
      <c r="Q1965" s="361"/>
      <c r="R1965" s="361"/>
      <c r="S1965" s="361"/>
      <c r="T1965" s="396"/>
      <c r="U1965" s="364">
        <f t="shared" si="64"/>
        <v>0</v>
      </c>
      <c r="W1965" s="365"/>
      <c r="X1965" s="365"/>
      <c r="Z1965" s="366"/>
    </row>
    <row r="1966" spans="1:26" hidden="1">
      <c r="A1966" s="367">
        <f>SUBTOTAL(3,$B$15:B1966)</f>
        <v>2</v>
      </c>
      <c r="H1966" s="359">
        <f t="shared" si="63"/>
        <v>0</v>
      </c>
      <c r="N1966" s="361"/>
      <c r="O1966" s="361"/>
      <c r="P1966" s="361"/>
      <c r="Q1966" s="361"/>
      <c r="R1966" s="361"/>
      <c r="S1966" s="361"/>
      <c r="T1966" s="396"/>
      <c r="U1966" s="364">
        <f t="shared" si="64"/>
        <v>0</v>
      </c>
      <c r="W1966" s="365"/>
      <c r="X1966" s="365"/>
      <c r="Z1966" s="366"/>
    </row>
    <row r="1967" spans="1:26" hidden="1">
      <c r="A1967" s="367">
        <f>SUBTOTAL(3,$B$15:B1967)</f>
        <v>2</v>
      </c>
      <c r="H1967" s="359">
        <f t="shared" si="63"/>
        <v>0</v>
      </c>
      <c r="N1967" s="361"/>
      <c r="O1967" s="361"/>
      <c r="P1967" s="361"/>
      <c r="Q1967" s="361"/>
      <c r="R1967" s="361"/>
      <c r="S1967" s="361"/>
      <c r="T1967" s="396"/>
      <c r="U1967" s="364">
        <f t="shared" si="64"/>
        <v>0</v>
      </c>
      <c r="W1967" s="365"/>
      <c r="X1967" s="365"/>
      <c r="Z1967" s="366"/>
    </row>
    <row r="1968" spans="1:26" hidden="1">
      <c r="A1968" s="367">
        <f>SUBTOTAL(3,$B$15:B1968)</f>
        <v>2</v>
      </c>
      <c r="H1968" s="359">
        <f t="shared" si="63"/>
        <v>0</v>
      </c>
      <c r="N1968" s="361"/>
      <c r="O1968" s="361"/>
      <c r="P1968" s="361"/>
      <c r="Q1968" s="361"/>
      <c r="R1968" s="361"/>
      <c r="S1968" s="361"/>
      <c r="T1968" s="396"/>
      <c r="U1968" s="364">
        <f t="shared" si="64"/>
        <v>0</v>
      </c>
      <c r="W1968" s="365"/>
      <c r="X1968" s="365"/>
      <c r="Z1968" s="366"/>
    </row>
    <row r="1969" spans="1:26" hidden="1">
      <c r="A1969" s="367">
        <f>SUBTOTAL(3,$B$15:B1969)</f>
        <v>2</v>
      </c>
      <c r="H1969" s="359">
        <f t="shared" si="63"/>
        <v>0</v>
      </c>
      <c r="N1969" s="361"/>
      <c r="O1969" s="361"/>
      <c r="P1969" s="361"/>
      <c r="Q1969" s="361"/>
      <c r="R1969" s="361"/>
      <c r="S1969" s="361"/>
      <c r="T1969" s="396"/>
      <c r="U1969" s="364">
        <f t="shared" si="64"/>
        <v>0</v>
      </c>
      <c r="W1969" s="365"/>
      <c r="X1969" s="365"/>
      <c r="Z1969" s="366"/>
    </row>
    <row r="1970" spans="1:26" hidden="1">
      <c r="A1970" s="367">
        <f>SUBTOTAL(3,$B$15:B1970)</f>
        <v>2</v>
      </c>
      <c r="H1970" s="359">
        <f t="shared" si="63"/>
        <v>0</v>
      </c>
      <c r="N1970" s="361"/>
      <c r="O1970" s="361"/>
      <c r="P1970" s="361"/>
      <c r="Q1970" s="361"/>
      <c r="R1970" s="361"/>
      <c r="S1970" s="361"/>
      <c r="T1970" s="396"/>
      <c r="U1970" s="364">
        <f t="shared" si="64"/>
        <v>0</v>
      </c>
      <c r="W1970" s="365"/>
      <c r="X1970" s="365"/>
      <c r="Z1970" s="366"/>
    </row>
    <row r="1971" spans="1:26" hidden="1">
      <c r="A1971" s="367">
        <f>SUBTOTAL(3,$B$15:B1971)</f>
        <v>2</v>
      </c>
      <c r="H1971" s="359">
        <f t="shared" si="63"/>
        <v>0</v>
      </c>
      <c r="N1971" s="361"/>
      <c r="O1971" s="361"/>
      <c r="P1971" s="361"/>
      <c r="Q1971" s="361"/>
      <c r="R1971" s="361"/>
      <c r="S1971" s="361"/>
      <c r="T1971" s="396"/>
      <c r="U1971" s="364">
        <f t="shared" si="64"/>
        <v>0</v>
      </c>
      <c r="W1971" s="365"/>
      <c r="X1971" s="365"/>
      <c r="Z1971" s="366"/>
    </row>
    <row r="1972" spans="1:26" hidden="1">
      <c r="A1972" s="367">
        <f>SUBTOTAL(3,$B$15:B1972)</f>
        <v>2</v>
      </c>
      <c r="H1972" s="359">
        <f t="shared" si="63"/>
        <v>0</v>
      </c>
      <c r="N1972" s="361"/>
      <c r="O1972" s="361"/>
      <c r="P1972" s="361"/>
      <c r="Q1972" s="361"/>
      <c r="R1972" s="361"/>
      <c r="S1972" s="361"/>
      <c r="T1972" s="396"/>
      <c r="U1972" s="364">
        <f t="shared" si="64"/>
        <v>0</v>
      </c>
      <c r="W1972" s="365"/>
      <c r="X1972" s="365"/>
      <c r="Z1972" s="366"/>
    </row>
    <row r="1973" spans="1:26" hidden="1">
      <c r="A1973" s="367">
        <f>SUBTOTAL(3,$B$15:B1973)</f>
        <v>2</v>
      </c>
      <c r="H1973" s="359">
        <f t="shared" si="63"/>
        <v>0</v>
      </c>
      <c r="N1973" s="361"/>
      <c r="O1973" s="361"/>
      <c r="P1973" s="361"/>
      <c r="Q1973" s="361"/>
      <c r="R1973" s="361"/>
      <c r="S1973" s="361"/>
      <c r="T1973" s="396"/>
      <c r="U1973" s="364">
        <f t="shared" si="64"/>
        <v>0</v>
      </c>
      <c r="W1973" s="365"/>
      <c r="X1973" s="365"/>
      <c r="Z1973" s="366"/>
    </row>
    <row r="1974" spans="1:26" hidden="1">
      <c r="A1974" s="367">
        <f>SUBTOTAL(3,$B$15:B1974)</f>
        <v>2</v>
      </c>
      <c r="H1974" s="359">
        <f t="shared" si="63"/>
        <v>0</v>
      </c>
      <c r="N1974" s="361"/>
      <c r="O1974" s="361"/>
      <c r="P1974" s="361"/>
      <c r="Q1974" s="361"/>
      <c r="R1974" s="361"/>
      <c r="S1974" s="361"/>
      <c r="T1974" s="396"/>
      <c r="U1974" s="364">
        <f t="shared" si="64"/>
        <v>0</v>
      </c>
      <c r="W1974" s="365"/>
      <c r="X1974" s="365"/>
      <c r="Z1974" s="366"/>
    </row>
    <row r="1975" spans="1:26" hidden="1">
      <c r="A1975" s="367">
        <f>SUBTOTAL(3,$B$15:B1975)</f>
        <v>2</v>
      </c>
      <c r="H1975" s="359">
        <f t="shared" si="63"/>
        <v>0</v>
      </c>
      <c r="N1975" s="361"/>
      <c r="O1975" s="361"/>
      <c r="P1975" s="361"/>
      <c r="Q1975" s="361"/>
      <c r="R1975" s="361"/>
      <c r="S1975" s="361"/>
      <c r="T1975" s="396"/>
      <c r="U1975" s="364">
        <f t="shared" si="64"/>
        <v>0</v>
      </c>
      <c r="W1975" s="365"/>
      <c r="X1975" s="365"/>
      <c r="Z1975" s="366"/>
    </row>
    <row r="1976" spans="1:26" hidden="1">
      <c r="A1976" s="367">
        <f>SUBTOTAL(3,$B$15:B1976)</f>
        <v>2</v>
      </c>
      <c r="H1976" s="359">
        <f t="shared" si="63"/>
        <v>0</v>
      </c>
      <c r="N1976" s="361"/>
      <c r="O1976" s="361"/>
      <c r="P1976" s="361"/>
      <c r="Q1976" s="361"/>
      <c r="R1976" s="361"/>
      <c r="S1976" s="361"/>
      <c r="T1976" s="396"/>
      <c r="U1976" s="364">
        <f t="shared" si="64"/>
        <v>0</v>
      </c>
      <c r="W1976" s="365"/>
      <c r="X1976" s="365"/>
      <c r="Z1976" s="366"/>
    </row>
    <row r="1977" spans="1:26" hidden="1">
      <c r="A1977" s="367">
        <f>SUBTOTAL(3,$B$15:B1977)</f>
        <v>2</v>
      </c>
      <c r="H1977" s="359">
        <f t="shared" si="63"/>
        <v>0</v>
      </c>
      <c r="N1977" s="361"/>
      <c r="O1977" s="361"/>
      <c r="P1977" s="361"/>
      <c r="Q1977" s="361"/>
      <c r="R1977" s="361"/>
      <c r="S1977" s="361"/>
      <c r="T1977" s="396"/>
      <c r="U1977" s="364">
        <f t="shared" si="64"/>
        <v>0</v>
      </c>
      <c r="W1977" s="365"/>
      <c r="X1977" s="365"/>
      <c r="Z1977" s="366"/>
    </row>
    <row r="1978" spans="1:26" hidden="1">
      <c r="A1978" s="367">
        <f>SUBTOTAL(3,$B$15:B1978)</f>
        <v>2</v>
      </c>
      <c r="H1978" s="359">
        <f t="shared" si="63"/>
        <v>0</v>
      </c>
      <c r="N1978" s="361"/>
      <c r="O1978" s="361"/>
      <c r="P1978" s="361"/>
      <c r="Q1978" s="361"/>
      <c r="R1978" s="361"/>
      <c r="S1978" s="361"/>
      <c r="T1978" s="396"/>
      <c r="U1978" s="364">
        <f t="shared" si="64"/>
        <v>0</v>
      </c>
      <c r="W1978" s="365"/>
      <c r="X1978" s="365"/>
      <c r="Z1978" s="366"/>
    </row>
    <row r="1979" spans="1:26" hidden="1">
      <c r="A1979" s="367">
        <f>SUBTOTAL(3,$B$15:B1979)</f>
        <v>2</v>
      </c>
      <c r="H1979" s="359">
        <f t="shared" si="63"/>
        <v>0</v>
      </c>
      <c r="N1979" s="361"/>
      <c r="O1979" s="361"/>
      <c r="P1979" s="361"/>
      <c r="Q1979" s="361"/>
      <c r="R1979" s="361"/>
      <c r="S1979" s="361"/>
      <c r="T1979" s="396"/>
      <c r="U1979" s="364">
        <f t="shared" si="64"/>
        <v>0</v>
      </c>
      <c r="W1979" s="365"/>
      <c r="X1979" s="365"/>
      <c r="Z1979" s="366"/>
    </row>
    <row r="1980" spans="1:26" hidden="1">
      <c r="A1980" s="367">
        <f>SUBTOTAL(3,$B$15:B1980)</f>
        <v>2</v>
      </c>
      <c r="H1980" s="359">
        <f t="shared" si="63"/>
        <v>0</v>
      </c>
      <c r="N1980" s="361"/>
      <c r="O1980" s="361"/>
      <c r="P1980" s="361"/>
      <c r="Q1980" s="361"/>
      <c r="R1980" s="361"/>
      <c r="S1980" s="361"/>
      <c r="T1980" s="396"/>
      <c r="U1980" s="364">
        <f t="shared" si="64"/>
        <v>0</v>
      </c>
      <c r="W1980" s="365"/>
      <c r="X1980" s="365"/>
      <c r="Z1980" s="366"/>
    </row>
    <row r="1981" spans="1:26" hidden="1">
      <c r="A1981" s="367">
        <f>SUBTOTAL(3,$B$15:B1981)</f>
        <v>2</v>
      </c>
      <c r="H1981" s="359">
        <f t="shared" si="63"/>
        <v>0</v>
      </c>
      <c r="N1981" s="361"/>
      <c r="O1981" s="361"/>
      <c r="P1981" s="361"/>
      <c r="Q1981" s="361"/>
      <c r="R1981" s="361"/>
      <c r="S1981" s="361"/>
      <c r="T1981" s="396"/>
      <c r="U1981" s="364">
        <f t="shared" si="64"/>
        <v>0</v>
      </c>
      <c r="W1981" s="365"/>
      <c r="X1981" s="365"/>
      <c r="Z1981" s="366"/>
    </row>
    <row r="1982" spans="1:26" hidden="1">
      <c r="A1982" s="367">
        <f>SUBTOTAL(3,$B$15:B1982)</f>
        <v>2</v>
      </c>
      <c r="H1982" s="359">
        <f t="shared" si="63"/>
        <v>0</v>
      </c>
      <c r="N1982" s="361"/>
      <c r="O1982" s="361"/>
      <c r="P1982" s="361"/>
      <c r="Q1982" s="361"/>
      <c r="R1982" s="361"/>
      <c r="S1982" s="361"/>
      <c r="T1982" s="396"/>
      <c r="U1982" s="364">
        <f t="shared" si="64"/>
        <v>0</v>
      </c>
      <c r="W1982" s="365"/>
      <c r="X1982" s="365"/>
      <c r="Z1982" s="366"/>
    </row>
    <row r="1983" spans="1:26" hidden="1">
      <c r="A1983" s="367">
        <f>SUBTOTAL(3,$B$15:B1983)</f>
        <v>2</v>
      </c>
      <c r="H1983" s="359">
        <f t="shared" si="63"/>
        <v>0</v>
      </c>
      <c r="N1983" s="361"/>
      <c r="O1983" s="361"/>
      <c r="P1983" s="361"/>
      <c r="Q1983" s="361"/>
      <c r="R1983" s="361"/>
      <c r="S1983" s="361"/>
      <c r="T1983" s="396"/>
      <c r="U1983" s="364">
        <f t="shared" si="64"/>
        <v>0</v>
      </c>
      <c r="W1983" s="365"/>
      <c r="X1983" s="365"/>
      <c r="Z1983" s="366"/>
    </row>
    <row r="1984" spans="1:26" hidden="1">
      <c r="A1984" s="367">
        <f>SUBTOTAL(3,$B$15:B1984)</f>
        <v>2</v>
      </c>
      <c r="H1984" s="359">
        <f t="shared" si="63"/>
        <v>0</v>
      </c>
      <c r="N1984" s="361"/>
      <c r="O1984" s="361"/>
      <c r="P1984" s="361"/>
      <c r="Q1984" s="361"/>
      <c r="R1984" s="361"/>
      <c r="S1984" s="361"/>
      <c r="T1984" s="396"/>
      <c r="U1984" s="364">
        <f t="shared" si="64"/>
        <v>0</v>
      </c>
      <c r="W1984" s="365"/>
      <c r="X1984" s="365"/>
      <c r="Z1984" s="366"/>
    </row>
    <row r="1985" spans="1:26" hidden="1">
      <c r="A1985" s="367">
        <f>SUBTOTAL(3,$B$15:B1985)</f>
        <v>2</v>
      </c>
      <c r="H1985" s="359">
        <f t="shared" si="63"/>
        <v>0</v>
      </c>
      <c r="N1985" s="361"/>
      <c r="O1985" s="361"/>
      <c r="P1985" s="361"/>
      <c r="Q1985" s="361"/>
      <c r="R1985" s="361"/>
      <c r="S1985" s="361"/>
      <c r="T1985" s="396"/>
      <c r="U1985" s="364">
        <f t="shared" si="64"/>
        <v>0</v>
      </c>
      <c r="W1985" s="365"/>
      <c r="X1985" s="365"/>
      <c r="Z1985" s="366"/>
    </row>
    <row r="1986" spans="1:26" hidden="1">
      <c r="A1986" s="367">
        <f>SUBTOTAL(3,$B$15:B1986)</f>
        <v>2</v>
      </c>
      <c r="H1986" s="359">
        <f t="shared" si="63"/>
        <v>0</v>
      </c>
      <c r="N1986" s="361"/>
      <c r="O1986" s="361"/>
      <c r="P1986" s="361"/>
      <c r="Q1986" s="361"/>
      <c r="R1986" s="361"/>
      <c r="S1986" s="361"/>
      <c r="T1986" s="396"/>
      <c r="U1986" s="364">
        <f t="shared" si="64"/>
        <v>0</v>
      </c>
      <c r="W1986" s="365"/>
      <c r="X1986" s="365"/>
      <c r="Z1986" s="366"/>
    </row>
    <row r="1987" spans="1:26" hidden="1">
      <c r="A1987" s="367">
        <f>SUBTOTAL(3,$B$15:B1987)</f>
        <v>2</v>
      </c>
      <c r="H1987" s="359">
        <f t="shared" si="63"/>
        <v>0</v>
      </c>
      <c r="N1987" s="361"/>
      <c r="O1987" s="361"/>
      <c r="P1987" s="361"/>
      <c r="Q1987" s="361"/>
      <c r="R1987" s="361"/>
      <c r="S1987" s="361"/>
      <c r="T1987" s="396"/>
      <c r="U1987" s="364">
        <f t="shared" si="64"/>
        <v>0</v>
      </c>
      <c r="W1987" s="365"/>
      <c r="X1987" s="365"/>
      <c r="Z1987" s="366"/>
    </row>
    <row r="1988" spans="1:26" hidden="1">
      <c r="A1988" s="367">
        <f>SUBTOTAL(3,$B$15:B1988)</f>
        <v>2</v>
      </c>
      <c r="H1988" s="359">
        <f t="shared" si="63"/>
        <v>0</v>
      </c>
      <c r="N1988" s="361"/>
      <c r="O1988" s="361"/>
      <c r="P1988" s="361"/>
      <c r="Q1988" s="361"/>
      <c r="R1988" s="361"/>
      <c r="S1988" s="361"/>
      <c r="T1988" s="396"/>
      <c r="U1988" s="364">
        <f t="shared" si="64"/>
        <v>0</v>
      </c>
      <c r="W1988" s="365"/>
      <c r="X1988" s="365"/>
      <c r="Z1988" s="366"/>
    </row>
    <row r="1989" spans="1:26" hidden="1">
      <c r="A1989" s="367">
        <f>SUBTOTAL(3,$B$15:B1989)</f>
        <v>2</v>
      </c>
      <c r="H1989" s="359">
        <f t="shared" si="63"/>
        <v>0</v>
      </c>
      <c r="N1989" s="361"/>
      <c r="O1989" s="361"/>
      <c r="P1989" s="361"/>
      <c r="Q1989" s="361"/>
      <c r="R1989" s="361"/>
      <c r="S1989" s="361"/>
      <c r="T1989" s="396"/>
      <c r="U1989" s="364">
        <f t="shared" si="64"/>
        <v>0</v>
      </c>
      <c r="W1989" s="365"/>
      <c r="X1989" s="365"/>
      <c r="Z1989" s="366"/>
    </row>
    <row r="1990" spans="1:26" hidden="1">
      <c r="A1990" s="367">
        <f>SUBTOTAL(3,$B$15:B1990)</f>
        <v>2</v>
      </c>
      <c r="H1990" s="359">
        <f t="shared" si="63"/>
        <v>0</v>
      </c>
      <c r="N1990" s="361"/>
      <c r="O1990" s="361"/>
      <c r="P1990" s="361"/>
      <c r="Q1990" s="361"/>
      <c r="R1990" s="361"/>
      <c r="S1990" s="361"/>
      <c r="T1990" s="396"/>
      <c r="U1990" s="364">
        <f t="shared" si="64"/>
        <v>0</v>
      </c>
      <c r="W1990" s="365"/>
      <c r="X1990" s="365"/>
      <c r="Z1990" s="366"/>
    </row>
    <row r="1991" spans="1:26" hidden="1">
      <c r="A1991" s="367">
        <f>SUBTOTAL(3,$B$15:B1991)</f>
        <v>2</v>
      </c>
      <c r="H1991" s="359">
        <f t="shared" si="63"/>
        <v>0</v>
      </c>
      <c r="N1991" s="361"/>
      <c r="O1991" s="361"/>
      <c r="P1991" s="361"/>
      <c r="Q1991" s="361"/>
      <c r="R1991" s="361"/>
      <c r="S1991" s="361"/>
      <c r="T1991" s="396"/>
      <c r="U1991" s="364">
        <f t="shared" si="64"/>
        <v>0</v>
      </c>
      <c r="W1991" s="365"/>
      <c r="X1991" s="365"/>
      <c r="Z1991" s="366"/>
    </row>
    <row r="1992" spans="1:26" hidden="1">
      <c r="A1992" s="367">
        <f>SUBTOTAL(3,$B$15:B1992)</f>
        <v>2</v>
      </c>
      <c r="H1992" s="359">
        <f t="shared" si="63"/>
        <v>0</v>
      </c>
      <c r="N1992" s="361"/>
      <c r="O1992" s="361"/>
      <c r="P1992" s="361"/>
      <c r="Q1992" s="361"/>
      <c r="R1992" s="361"/>
      <c r="S1992" s="361"/>
      <c r="T1992" s="396"/>
      <c r="U1992" s="364">
        <f t="shared" si="64"/>
        <v>0</v>
      </c>
      <c r="W1992" s="365"/>
      <c r="X1992" s="365"/>
      <c r="Z1992" s="366"/>
    </row>
    <row r="1993" spans="1:26" hidden="1">
      <c r="A1993" s="367">
        <f>SUBTOTAL(3,$B$15:B1993)</f>
        <v>2</v>
      </c>
      <c r="H1993" s="359">
        <f t="shared" si="63"/>
        <v>0</v>
      </c>
      <c r="N1993" s="361"/>
      <c r="O1993" s="361"/>
      <c r="P1993" s="361"/>
      <c r="Q1993" s="361"/>
      <c r="R1993" s="361"/>
      <c r="S1993" s="361"/>
      <c r="T1993" s="396"/>
      <c r="U1993" s="364">
        <f t="shared" si="64"/>
        <v>0</v>
      </c>
      <c r="W1993" s="365"/>
      <c r="X1993" s="365"/>
      <c r="Z1993" s="366"/>
    </row>
    <row r="1994" spans="1:26" hidden="1">
      <c r="A1994" s="367">
        <f>SUBTOTAL(3,$B$15:B1994)</f>
        <v>2</v>
      </c>
      <c r="H1994" s="359">
        <f t="shared" si="63"/>
        <v>0</v>
      </c>
      <c r="N1994" s="361"/>
      <c r="O1994" s="361"/>
      <c r="P1994" s="361"/>
      <c r="Q1994" s="361"/>
      <c r="R1994" s="361"/>
      <c r="S1994" s="361"/>
      <c r="T1994" s="396"/>
      <c r="U1994" s="364">
        <f t="shared" si="64"/>
        <v>0</v>
      </c>
      <c r="W1994" s="365"/>
      <c r="X1994" s="365"/>
      <c r="Z1994" s="366"/>
    </row>
    <row r="1995" spans="1:26" hidden="1">
      <c r="A1995" s="367">
        <f>SUBTOTAL(3,$B$15:B1995)</f>
        <v>2</v>
      </c>
      <c r="H1995" s="359">
        <f t="shared" si="63"/>
        <v>0</v>
      </c>
      <c r="N1995" s="361"/>
      <c r="O1995" s="361"/>
      <c r="P1995" s="361"/>
      <c r="Q1995" s="361"/>
      <c r="R1995" s="361"/>
      <c r="S1995" s="361"/>
      <c r="T1995" s="396"/>
      <c r="U1995" s="364">
        <f t="shared" si="64"/>
        <v>0</v>
      </c>
      <c r="W1995" s="365"/>
      <c r="X1995" s="365"/>
      <c r="Z1995" s="366"/>
    </row>
    <row r="1996" spans="1:26" hidden="1">
      <c r="A1996" s="367">
        <f>SUBTOTAL(3,$B$15:B1996)</f>
        <v>2</v>
      </c>
      <c r="H1996" s="359">
        <f t="shared" si="63"/>
        <v>0</v>
      </c>
      <c r="N1996" s="361"/>
      <c r="O1996" s="361"/>
      <c r="P1996" s="361"/>
      <c r="Q1996" s="361"/>
      <c r="R1996" s="361"/>
      <c r="S1996" s="361"/>
      <c r="T1996" s="396"/>
      <c r="U1996" s="364">
        <f t="shared" si="64"/>
        <v>0</v>
      </c>
      <c r="W1996" s="365"/>
      <c r="X1996" s="365"/>
      <c r="Z1996" s="366"/>
    </row>
    <row r="1997" spans="1:26" hidden="1">
      <c r="A1997" s="367">
        <f>SUBTOTAL(3,$B$15:B1997)</f>
        <v>2</v>
      </c>
      <c r="H1997" s="359">
        <f t="shared" si="63"/>
        <v>0</v>
      </c>
      <c r="N1997" s="361"/>
      <c r="O1997" s="361"/>
      <c r="P1997" s="361"/>
      <c r="Q1997" s="361"/>
      <c r="R1997" s="361"/>
      <c r="S1997" s="361"/>
      <c r="T1997" s="396"/>
      <c r="U1997" s="364">
        <f t="shared" si="64"/>
        <v>0</v>
      </c>
      <c r="W1997" s="365"/>
      <c r="X1997" s="365"/>
      <c r="Z1997" s="366"/>
    </row>
    <row r="1998" spans="1:26" hidden="1">
      <c r="A1998" s="367">
        <f>SUBTOTAL(3,$B$15:B1998)</f>
        <v>2</v>
      </c>
      <c r="H1998" s="359">
        <f t="shared" si="63"/>
        <v>0</v>
      </c>
      <c r="N1998" s="361"/>
      <c r="O1998" s="361"/>
      <c r="P1998" s="361"/>
      <c r="Q1998" s="361"/>
      <c r="R1998" s="361"/>
      <c r="S1998" s="361"/>
      <c r="T1998" s="396"/>
      <c r="U1998" s="364">
        <f t="shared" si="64"/>
        <v>0</v>
      </c>
      <c r="W1998" s="365"/>
      <c r="X1998" s="365"/>
      <c r="Z1998" s="366"/>
    </row>
    <row r="1999" spans="1:26" hidden="1">
      <c r="A1999" s="367">
        <f>SUBTOTAL(3,$B$15:B1999)</f>
        <v>2</v>
      </c>
      <c r="H1999" s="359">
        <f t="shared" si="63"/>
        <v>0</v>
      </c>
      <c r="N1999" s="361"/>
      <c r="O1999" s="361"/>
      <c r="P1999" s="361"/>
      <c r="Q1999" s="361"/>
      <c r="R1999" s="361"/>
      <c r="S1999" s="361"/>
      <c r="T1999" s="396"/>
      <c r="U1999" s="364">
        <f t="shared" si="64"/>
        <v>0</v>
      </c>
      <c r="W1999" s="365"/>
      <c r="X1999" s="365"/>
      <c r="Z1999" s="366"/>
    </row>
    <row r="2000" spans="1:26" hidden="1">
      <c r="A2000" s="367">
        <f>SUBTOTAL(3,$B$15:B2000)</f>
        <v>2</v>
      </c>
      <c r="H2000" s="359">
        <f t="shared" si="63"/>
        <v>0</v>
      </c>
      <c r="N2000" s="361"/>
      <c r="O2000" s="361"/>
      <c r="P2000" s="361"/>
      <c r="Q2000" s="361"/>
      <c r="R2000" s="361"/>
      <c r="S2000" s="361"/>
      <c r="T2000" s="396"/>
      <c r="U2000" s="364">
        <f t="shared" si="64"/>
        <v>0</v>
      </c>
      <c r="W2000" s="365"/>
      <c r="X2000" s="365"/>
      <c r="Z2000" s="366"/>
    </row>
    <row r="2001" spans="1:26" hidden="1">
      <c r="A2001" s="367">
        <f>SUBTOTAL(3,$B$15:B2001)</f>
        <v>2</v>
      </c>
      <c r="H2001" s="359">
        <f t="shared" si="63"/>
        <v>0</v>
      </c>
      <c r="N2001" s="361"/>
      <c r="O2001" s="361"/>
      <c r="P2001" s="361"/>
      <c r="Q2001" s="361"/>
      <c r="R2001" s="361"/>
      <c r="S2001" s="361"/>
      <c r="T2001" s="396"/>
      <c r="U2001" s="364">
        <f t="shared" si="64"/>
        <v>0</v>
      </c>
      <c r="W2001" s="365"/>
      <c r="X2001" s="365"/>
      <c r="Z2001" s="366"/>
    </row>
    <row r="2002" spans="1:26" hidden="1">
      <c r="A2002" s="367">
        <f>SUBTOTAL(3,$B$15:B2002)</f>
        <v>2</v>
      </c>
      <c r="H2002" s="359">
        <f t="shared" si="63"/>
        <v>0</v>
      </c>
      <c r="N2002" s="361"/>
      <c r="O2002" s="361"/>
      <c r="P2002" s="361"/>
      <c r="Q2002" s="361"/>
      <c r="R2002" s="361"/>
      <c r="S2002" s="361"/>
      <c r="T2002" s="396"/>
      <c r="U2002" s="364">
        <f t="shared" si="64"/>
        <v>0</v>
      </c>
      <c r="W2002" s="365"/>
      <c r="X2002" s="365"/>
      <c r="Z2002" s="366"/>
    </row>
    <row r="2003" spans="1:26" hidden="1">
      <c r="A2003" s="367">
        <f>SUBTOTAL(3,$B$15:B2003)</f>
        <v>2</v>
      </c>
      <c r="H2003" s="359">
        <f t="shared" si="63"/>
        <v>0</v>
      </c>
      <c r="N2003" s="361"/>
      <c r="O2003" s="361"/>
      <c r="P2003" s="361"/>
      <c r="Q2003" s="361"/>
      <c r="R2003" s="361"/>
      <c r="S2003" s="361"/>
      <c r="T2003" s="396"/>
      <c r="U2003" s="364">
        <f t="shared" si="64"/>
        <v>0</v>
      </c>
      <c r="W2003" s="365"/>
      <c r="X2003" s="365"/>
      <c r="Z2003" s="366"/>
    </row>
    <row r="2004" spans="1:26" hidden="1">
      <c r="A2004" s="367">
        <f>SUBTOTAL(3,$B$15:B2004)</f>
        <v>2</v>
      </c>
      <c r="H2004" s="359">
        <f t="shared" ref="H2004:H2067" si="65">+G2004-SUM(M2004,O2004,Q2004)</f>
        <v>0</v>
      </c>
      <c r="N2004" s="361"/>
      <c r="O2004" s="361"/>
      <c r="P2004" s="361"/>
      <c r="Q2004" s="361"/>
      <c r="R2004" s="361"/>
      <c r="S2004" s="361"/>
      <c r="T2004" s="396"/>
      <c r="U2004" s="364">
        <f t="shared" si="64"/>
        <v>0</v>
      </c>
      <c r="W2004" s="365"/>
      <c r="X2004" s="365"/>
      <c r="Z2004" s="366"/>
    </row>
    <row r="2005" spans="1:26" hidden="1">
      <c r="A2005" s="367">
        <f>SUBTOTAL(3,$B$15:B2005)</f>
        <v>2</v>
      </c>
      <c r="H2005" s="359">
        <f t="shared" si="65"/>
        <v>0</v>
      </c>
      <c r="N2005" s="361"/>
      <c r="O2005" s="361"/>
      <c r="P2005" s="361"/>
      <c r="Q2005" s="361"/>
      <c r="R2005" s="361"/>
      <c r="S2005" s="361"/>
      <c r="T2005" s="396"/>
      <c r="U2005" s="364">
        <f t="shared" si="64"/>
        <v>0</v>
      </c>
      <c r="W2005" s="365"/>
      <c r="X2005" s="365"/>
      <c r="Z2005" s="366"/>
    </row>
    <row r="2006" spans="1:26" hidden="1">
      <c r="A2006" s="367">
        <f>SUBTOTAL(3,$B$15:B2006)</f>
        <v>2</v>
      </c>
      <c r="H2006" s="359">
        <f t="shared" si="65"/>
        <v>0</v>
      </c>
      <c r="N2006" s="361"/>
      <c r="O2006" s="361"/>
      <c r="P2006" s="361"/>
      <c r="Q2006" s="361"/>
      <c r="R2006" s="361"/>
      <c r="S2006" s="361"/>
      <c r="T2006" s="396"/>
      <c r="U2006" s="364">
        <f t="shared" si="64"/>
        <v>0</v>
      </c>
      <c r="W2006" s="365"/>
      <c r="X2006" s="365"/>
      <c r="Z2006" s="366"/>
    </row>
    <row r="2007" spans="1:26" hidden="1">
      <c r="A2007" s="367">
        <f>SUBTOTAL(3,$B$15:B2007)</f>
        <v>2</v>
      </c>
      <c r="H2007" s="359">
        <f t="shared" si="65"/>
        <v>0</v>
      </c>
      <c r="N2007" s="361"/>
      <c r="O2007" s="361"/>
      <c r="P2007" s="361"/>
      <c r="Q2007" s="361"/>
      <c r="R2007" s="361"/>
      <c r="S2007" s="361"/>
      <c r="T2007" s="396"/>
      <c r="U2007" s="364">
        <f t="shared" ref="U2007:U2070" si="66">SUM(H2007:T2007)</f>
        <v>0</v>
      </c>
      <c r="W2007" s="365"/>
      <c r="X2007" s="365"/>
      <c r="Z2007" s="366"/>
    </row>
    <row r="2008" spans="1:26" hidden="1">
      <c r="A2008" s="367">
        <f>SUBTOTAL(3,$B$15:B2008)</f>
        <v>2</v>
      </c>
      <c r="H2008" s="359">
        <f t="shared" si="65"/>
        <v>0</v>
      </c>
      <c r="N2008" s="361"/>
      <c r="O2008" s="361"/>
      <c r="P2008" s="361"/>
      <c r="Q2008" s="361"/>
      <c r="R2008" s="361"/>
      <c r="S2008" s="361"/>
      <c r="T2008" s="396"/>
      <c r="U2008" s="364">
        <f t="shared" si="66"/>
        <v>0</v>
      </c>
      <c r="W2008" s="365"/>
      <c r="X2008" s="365"/>
      <c r="Z2008" s="366"/>
    </row>
    <row r="2009" spans="1:26" hidden="1">
      <c r="A2009" s="367">
        <f>SUBTOTAL(3,$B$15:B2009)</f>
        <v>2</v>
      </c>
      <c r="H2009" s="359">
        <f t="shared" si="65"/>
        <v>0</v>
      </c>
      <c r="N2009" s="361"/>
      <c r="O2009" s="361"/>
      <c r="P2009" s="361"/>
      <c r="Q2009" s="361"/>
      <c r="R2009" s="361"/>
      <c r="S2009" s="361"/>
      <c r="T2009" s="396"/>
      <c r="U2009" s="364">
        <f t="shared" si="66"/>
        <v>0</v>
      </c>
      <c r="W2009" s="365"/>
      <c r="X2009" s="365"/>
      <c r="Z2009" s="366"/>
    </row>
    <row r="2010" spans="1:26" hidden="1">
      <c r="A2010" s="367">
        <f>SUBTOTAL(3,$B$15:B2010)</f>
        <v>2</v>
      </c>
      <c r="H2010" s="359">
        <f t="shared" si="65"/>
        <v>0</v>
      </c>
      <c r="N2010" s="361"/>
      <c r="O2010" s="361"/>
      <c r="P2010" s="361"/>
      <c r="Q2010" s="361"/>
      <c r="R2010" s="361"/>
      <c r="S2010" s="361"/>
      <c r="T2010" s="396"/>
      <c r="U2010" s="364">
        <f t="shared" si="66"/>
        <v>0</v>
      </c>
      <c r="W2010" s="365"/>
      <c r="X2010" s="365"/>
      <c r="Z2010" s="366"/>
    </row>
    <row r="2011" spans="1:26" hidden="1">
      <c r="A2011" s="367">
        <f>SUBTOTAL(3,$B$15:B2011)</f>
        <v>2</v>
      </c>
      <c r="H2011" s="359">
        <f t="shared" si="65"/>
        <v>0</v>
      </c>
      <c r="N2011" s="361"/>
      <c r="O2011" s="361"/>
      <c r="P2011" s="361"/>
      <c r="Q2011" s="361"/>
      <c r="R2011" s="361"/>
      <c r="S2011" s="361"/>
      <c r="T2011" s="396"/>
      <c r="U2011" s="364">
        <f t="shared" si="66"/>
        <v>0</v>
      </c>
      <c r="W2011" s="365"/>
      <c r="X2011" s="365"/>
      <c r="Z2011" s="366"/>
    </row>
    <row r="2012" spans="1:26" hidden="1">
      <c r="A2012" s="367">
        <f>SUBTOTAL(3,$B$15:B2012)</f>
        <v>2</v>
      </c>
      <c r="H2012" s="359">
        <f t="shared" si="65"/>
        <v>0</v>
      </c>
      <c r="N2012" s="361"/>
      <c r="O2012" s="361"/>
      <c r="P2012" s="361"/>
      <c r="Q2012" s="361"/>
      <c r="R2012" s="361"/>
      <c r="S2012" s="361"/>
      <c r="T2012" s="396"/>
      <c r="U2012" s="364">
        <f t="shared" si="66"/>
        <v>0</v>
      </c>
      <c r="W2012" s="365"/>
      <c r="X2012" s="365"/>
      <c r="Z2012" s="366"/>
    </row>
    <row r="2013" spans="1:26" hidden="1">
      <c r="A2013" s="367">
        <f>SUBTOTAL(3,$B$15:B2013)</f>
        <v>2</v>
      </c>
      <c r="H2013" s="359">
        <f t="shared" si="65"/>
        <v>0</v>
      </c>
      <c r="N2013" s="361"/>
      <c r="O2013" s="361"/>
      <c r="P2013" s="361"/>
      <c r="Q2013" s="361"/>
      <c r="R2013" s="361"/>
      <c r="S2013" s="361"/>
      <c r="T2013" s="396"/>
      <c r="U2013" s="364">
        <f t="shared" si="66"/>
        <v>0</v>
      </c>
      <c r="W2013" s="365"/>
      <c r="X2013" s="365"/>
      <c r="Z2013" s="366"/>
    </row>
    <row r="2014" spans="1:26" hidden="1">
      <c r="A2014" s="367">
        <f>SUBTOTAL(3,$B$15:B2014)</f>
        <v>2</v>
      </c>
      <c r="H2014" s="359">
        <f t="shared" si="65"/>
        <v>0</v>
      </c>
      <c r="N2014" s="361"/>
      <c r="O2014" s="361"/>
      <c r="P2014" s="361"/>
      <c r="Q2014" s="361"/>
      <c r="R2014" s="361"/>
      <c r="S2014" s="361"/>
      <c r="T2014" s="396"/>
      <c r="U2014" s="364">
        <f t="shared" si="66"/>
        <v>0</v>
      </c>
      <c r="W2014" s="365"/>
      <c r="X2014" s="365"/>
      <c r="Z2014" s="366"/>
    </row>
    <row r="2015" spans="1:26" hidden="1">
      <c r="A2015" s="367">
        <f>SUBTOTAL(3,$B$15:B2015)</f>
        <v>2</v>
      </c>
      <c r="H2015" s="359">
        <f t="shared" si="65"/>
        <v>0</v>
      </c>
      <c r="N2015" s="361"/>
      <c r="O2015" s="361"/>
      <c r="P2015" s="361"/>
      <c r="Q2015" s="361"/>
      <c r="R2015" s="361"/>
      <c r="S2015" s="361"/>
      <c r="T2015" s="396"/>
      <c r="U2015" s="364">
        <f t="shared" si="66"/>
        <v>0</v>
      </c>
      <c r="W2015" s="365"/>
      <c r="X2015" s="365"/>
      <c r="Z2015" s="366"/>
    </row>
    <row r="2016" spans="1:26" hidden="1">
      <c r="A2016" s="367">
        <f>SUBTOTAL(3,$B$15:B2016)</f>
        <v>2</v>
      </c>
      <c r="H2016" s="359">
        <f t="shared" si="65"/>
        <v>0</v>
      </c>
      <c r="N2016" s="361"/>
      <c r="O2016" s="361"/>
      <c r="P2016" s="361"/>
      <c r="Q2016" s="361"/>
      <c r="R2016" s="361"/>
      <c r="S2016" s="361"/>
      <c r="T2016" s="396"/>
      <c r="U2016" s="364">
        <f t="shared" si="66"/>
        <v>0</v>
      </c>
      <c r="W2016" s="365"/>
      <c r="X2016" s="365"/>
      <c r="Z2016" s="366"/>
    </row>
    <row r="2017" spans="1:26" hidden="1">
      <c r="A2017" s="367">
        <f>SUBTOTAL(3,$B$15:B2017)</f>
        <v>2</v>
      </c>
      <c r="H2017" s="359">
        <f t="shared" si="65"/>
        <v>0</v>
      </c>
      <c r="N2017" s="361"/>
      <c r="O2017" s="361"/>
      <c r="P2017" s="361"/>
      <c r="Q2017" s="361"/>
      <c r="R2017" s="361"/>
      <c r="S2017" s="361"/>
      <c r="T2017" s="396"/>
      <c r="U2017" s="364">
        <f t="shared" si="66"/>
        <v>0</v>
      </c>
      <c r="W2017" s="365"/>
      <c r="X2017" s="365"/>
      <c r="Z2017" s="366"/>
    </row>
    <row r="2018" spans="1:26" hidden="1">
      <c r="A2018" s="367">
        <f>SUBTOTAL(3,$B$15:B2018)</f>
        <v>2</v>
      </c>
      <c r="H2018" s="359">
        <f t="shared" si="65"/>
        <v>0</v>
      </c>
      <c r="N2018" s="361"/>
      <c r="O2018" s="361"/>
      <c r="P2018" s="361"/>
      <c r="Q2018" s="361"/>
      <c r="R2018" s="361"/>
      <c r="S2018" s="361"/>
      <c r="T2018" s="396"/>
      <c r="U2018" s="364">
        <f t="shared" si="66"/>
        <v>0</v>
      </c>
      <c r="W2018" s="365"/>
      <c r="X2018" s="365"/>
      <c r="Z2018" s="366"/>
    </row>
    <row r="2019" spans="1:26" hidden="1">
      <c r="A2019" s="367">
        <f>SUBTOTAL(3,$B$15:B2019)</f>
        <v>2</v>
      </c>
      <c r="H2019" s="359">
        <f t="shared" si="65"/>
        <v>0</v>
      </c>
      <c r="N2019" s="361"/>
      <c r="O2019" s="361"/>
      <c r="P2019" s="361"/>
      <c r="Q2019" s="361"/>
      <c r="R2019" s="361"/>
      <c r="S2019" s="361"/>
      <c r="T2019" s="396"/>
      <c r="U2019" s="364">
        <f t="shared" si="66"/>
        <v>0</v>
      </c>
      <c r="W2019" s="365"/>
      <c r="X2019" s="365"/>
      <c r="Z2019" s="366"/>
    </row>
    <row r="2020" spans="1:26" hidden="1">
      <c r="A2020" s="367">
        <f>SUBTOTAL(3,$B$15:B2020)</f>
        <v>2</v>
      </c>
      <c r="H2020" s="359">
        <f t="shared" si="65"/>
        <v>0</v>
      </c>
      <c r="N2020" s="361"/>
      <c r="O2020" s="361"/>
      <c r="P2020" s="361"/>
      <c r="Q2020" s="361"/>
      <c r="R2020" s="361"/>
      <c r="S2020" s="361"/>
      <c r="T2020" s="396"/>
      <c r="U2020" s="364">
        <f t="shared" si="66"/>
        <v>0</v>
      </c>
      <c r="W2020" s="365"/>
      <c r="X2020" s="365"/>
      <c r="Z2020" s="366"/>
    </row>
    <row r="2021" spans="1:26" hidden="1">
      <c r="A2021" s="367">
        <f>SUBTOTAL(3,$B$15:B2021)</f>
        <v>2</v>
      </c>
      <c r="H2021" s="359">
        <f t="shared" si="65"/>
        <v>0</v>
      </c>
      <c r="N2021" s="361"/>
      <c r="O2021" s="361"/>
      <c r="P2021" s="361"/>
      <c r="Q2021" s="361"/>
      <c r="R2021" s="361"/>
      <c r="S2021" s="361"/>
      <c r="T2021" s="396"/>
      <c r="U2021" s="364">
        <f t="shared" si="66"/>
        <v>0</v>
      </c>
      <c r="W2021" s="365"/>
      <c r="X2021" s="365"/>
      <c r="Z2021" s="366"/>
    </row>
    <row r="2022" spans="1:26" hidden="1">
      <c r="A2022" s="367">
        <f>SUBTOTAL(3,$B$15:B2022)</f>
        <v>2</v>
      </c>
      <c r="H2022" s="359">
        <f t="shared" si="65"/>
        <v>0</v>
      </c>
      <c r="N2022" s="361"/>
      <c r="O2022" s="361"/>
      <c r="P2022" s="361"/>
      <c r="Q2022" s="361"/>
      <c r="R2022" s="361"/>
      <c r="S2022" s="361"/>
      <c r="T2022" s="396"/>
      <c r="U2022" s="364">
        <f t="shared" si="66"/>
        <v>0</v>
      </c>
      <c r="W2022" s="365"/>
      <c r="X2022" s="365"/>
      <c r="Z2022" s="366"/>
    </row>
    <row r="2023" spans="1:26" hidden="1">
      <c r="A2023" s="367">
        <f>SUBTOTAL(3,$B$15:B2023)</f>
        <v>2</v>
      </c>
      <c r="H2023" s="359">
        <f t="shared" si="65"/>
        <v>0</v>
      </c>
      <c r="N2023" s="361"/>
      <c r="O2023" s="361"/>
      <c r="P2023" s="361"/>
      <c r="Q2023" s="361"/>
      <c r="R2023" s="361"/>
      <c r="S2023" s="361"/>
      <c r="T2023" s="396"/>
      <c r="U2023" s="364">
        <f t="shared" si="66"/>
        <v>0</v>
      </c>
      <c r="W2023" s="365"/>
      <c r="X2023" s="365"/>
      <c r="Z2023" s="366"/>
    </row>
    <row r="2024" spans="1:26" hidden="1">
      <c r="A2024" s="367">
        <f>SUBTOTAL(3,$B$15:B2024)</f>
        <v>2</v>
      </c>
      <c r="H2024" s="359">
        <f t="shared" si="65"/>
        <v>0</v>
      </c>
      <c r="N2024" s="361"/>
      <c r="O2024" s="361"/>
      <c r="P2024" s="361"/>
      <c r="Q2024" s="361"/>
      <c r="R2024" s="361"/>
      <c r="S2024" s="361"/>
      <c r="T2024" s="396"/>
      <c r="U2024" s="364">
        <f t="shared" si="66"/>
        <v>0</v>
      </c>
      <c r="W2024" s="365"/>
      <c r="X2024" s="365"/>
      <c r="Z2024" s="366"/>
    </row>
    <row r="2025" spans="1:26" hidden="1">
      <c r="A2025" s="367">
        <f>SUBTOTAL(3,$B$15:B2025)</f>
        <v>2</v>
      </c>
      <c r="H2025" s="359">
        <f t="shared" si="65"/>
        <v>0</v>
      </c>
      <c r="N2025" s="361"/>
      <c r="O2025" s="361"/>
      <c r="P2025" s="361"/>
      <c r="Q2025" s="361"/>
      <c r="R2025" s="361"/>
      <c r="S2025" s="361"/>
      <c r="T2025" s="396"/>
      <c r="U2025" s="364">
        <f t="shared" si="66"/>
        <v>0</v>
      </c>
      <c r="W2025" s="365"/>
      <c r="X2025" s="365"/>
      <c r="Z2025" s="366"/>
    </row>
    <row r="2026" spans="1:26" hidden="1">
      <c r="A2026" s="367">
        <f>SUBTOTAL(3,$B$15:B2026)</f>
        <v>2</v>
      </c>
      <c r="H2026" s="359">
        <f t="shared" si="65"/>
        <v>0</v>
      </c>
      <c r="N2026" s="361"/>
      <c r="O2026" s="361"/>
      <c r="P2026" s="361"/>
      <c r="Q2026" s="361"/>
      <c r="R2026" s="361"/>
      <c r="S2026" s="361"/>
      <c r="T2026" s="396"/>
      <c r="U2026" s="364">
        <f t="shared" si="66"/>
        <v>0</v>
      </c>
      <c r="W2026" s="365"/>
      <c r="X2026" s="365"/>
      <c r="Z2026" s="366"/>
    </row>
    <row r="2027" spans="1:26" hidden="1">
      <c r="A2027" s="367">
        <f>SUBTOTAL(3,$B$15:B2027)</f>
        <v>2</v>
      </c>
      <c r="H2027" s="359">
        <f t="shared" si="65"/>
        <v>0</v>
      </c>
      <c r="N2027" s="361"/>
      <c r="O2027" s="361"/>
      <c r="P2027" s="361"/>
      <c r="Q2027" s="361"/>
      <c r="R2027" s="361"/>
      <c r="S2027" s="361"/>
      <c r="T2027" s="396"/>
      <c r="U2027" s="364">
        <f t="shared" si="66"/>
        <v>0</v>
      </c>
      <c r="W2027" s="365"/>
      <c r="X2027" s="365"/>
      <c r="Z2027" s="366"/>
    </row>
    <row r="2028" spans="1:26" hidden="1">
      <c r="A2028" s="367">
        <f>SUBTOTAL(3,$B$15:B2028)</f>
        <v>2</v>
      </c>
      <c r="H2028" s="359">
        <f t="shared" si="65"/>
        <v>0</v>
      </c>
      <c r="N2028" s="361"/>
      <c r="O2028" s="361"/>
      <c r="P2028" s="361"/>
      <c r="Q2028" s="361"/>
      <c r="R2028" s="361"/>
      <c r="S2028" s="361"/>
      <c r="T2028" s="396"/>
      <c r="U2028" s="364">
        <f t="shared" si="66"/>
        <v>0</v>
      </c>
      <c r="W2028" s="365"/>
      <c r="X2028" s="365"/>
      <c r="Z2028" s="366"/>
    </row>
    <row r="2029" spans="1:26" hidden="1">
      <c r="A2029" s="367">
        <f>SUBTOTAL(3,$B$15:B2029)</f>
        <v>2</v>
      </c>
      <c r="H2029" s="359">
        <f t="shared" si="65"/>
        <v>0</v>
      </c>
      <c r="N2029" s="361"/>
      <c r="O2029" s="361"/>
      <c r="P2029" s="361"/>
      <c r="Q2029" s="361"/>
      <c r="R2029" s="361"/>
      <c r="S2029" s="361"/>
      <c r="T2029" s="396"/>
      <c r="U2029" s="364">
        <f t="shared" si="66"/>
        <v>0</v>
      </c>
      <c r="W2029" s="365"/>
      <c r="X2029" s="365"/>
      <c r="Z2029" s="366"/>
    </row>
    <row r="2030" spans="1:26" hidden="1">
      <c r="A2030" s="367">
        <f>SUBTOTAL(3,$B$15:B2030)</f>
        <v>2</v>
      </c>
      <c r="H2030" s="359">
        <f t="shared" si="65"/>
        <v>0</v>
      </c>
      <c r="N2030" s="361"/>
      <c r="O2030" s="361"/>
      <c r="P2030" s="361"/>
      <c r="Q2030" s="361"/>
      <c r="R2030" s="361"/>
      <c r="S2030" s="361"/>
      <c r="T2030" s="396"/>
      <c r="U2030" s="364">
        <f t="shared" si="66"/>
        <v>0</v>
      </c>
      <c r="W2030" s="365"/>
      <c r="X2030" s="365"/>
      <c r="Z2030" s="366"/>
    </row>
    <row r="2031" spans="1:26" hidden="1">
      <c r="A2031" s="367">
        <f>SUBTOTAL(3,$B$15:B2031)</f>
        <v>2</v>
      </c>
      <c r="H2031" s="359">
        <f t="shared" si="65"/>
        <v>0</v>
      </c>
      <c r="N2031" s="361"/>
      <c r="O2031" s="361"/>
      <c r="P2031" s="361"/>
      <c r="Q2031" s="361"/>
      <c r="R2031" s="361"/>
      <c r="S2031" s="361"/>
      <c r="T2031" s="396"/>
      <c r="U2031" s="364">
        <f t="shared" si="66"/>
        <v>0</v>
      </c>
      <c r="W2031" s="365"/>
      <c r="X2031" s="365"/>
      <c r="Z2031" s="366"/>
    </row>
    <row r="2032" spans="1:26" hidden="1">
      <c r="A2032" s="367">
        <f>SUBTOTAL(3,$B$15:B2032)</f>
        <v>2</v>
      </c>
      <c r="H2032" s="359">
        <f t="shared" si="65"/>
        <v>0</v>
      </c>
      <c r="N2032" s="361"/>
      <c r="O2032" s="361"/>
      <c r="P2032" s="361"/>
      <c r="Q2032" s="361"/>
      <c r="R2032" s="361"/>
      <c r="S2032" s="361"/>
      <c r="T2032" s="396"/>
      <c r="U2032" s="364">
        <f t="shared" si="66"/>
        <v>0</v>
      </c>
      <c r="W2032" s="365"/>
      <c r="X2032" s="365"/>
      <c r="Z2032" s="366"/>
    </row>
    <row r="2033" spans="1:26" hidden="1">
      <c r="A2033" s="367">
        <f>SUBTOTAL(3,$B$15:B2033)</f>
        <v>2</v>
      </c>
      <c r="H2033" s="359">
        <f t="shared" si="65"/>
        <v>0</v>
      </c>
      <c r="N2033" s="361"/>
      <c r="O2033" s="361"/>
      <c r="P2033" s="361"/>
      <c r="Q2033" s="361"/>
      <c r="R2033" s="361"/>
      <c r="S2033" s="361"/>
      <c r="T2033" s="396"/>
      <c r="U2033" s="364">
        <f t="shared" si="66"/>
        <v>0</v>
      </c>
      <c r="W2033" s="365"/>
      <c r="X2033" s="365"/>
      <c r="Z2033" s="366"/>
    </row>
    <row r="2034" spans="1:26" hidden="1">
      <c r="A2034" s="367">
        <f>SUBTOTAL(3,$B$15:B2034)</f>
        <v>2</v>
      </c>
      <c r="H2034" s="359">
        <f t="shared" si="65"/>
        <v>0</v>
      </c>
      <c r="N2034" s="361"/>
      <c r="O2034" s="361"/>
      <c r="P2034" s="361"/>
      <c r="Q2034" s="361"/>
      <c r="R2034" s="361"/>
      <c r="S2034" s="361"/>
      <c r="T2034" s="396"/>
      <c r="U2034" s="364">
        <f t="shared" si="66"/>
        <v>0</v>
      </c>
      <c r="W2034" s="365"/>
      <c r="X2034" s="365"/>
      <c r="Z2034" s="366"/>
    </row>
    <row r="2035" spans="1:26" hidden="1">
      <c r="A2035" s="367">
        <f>SUBTOTAL(3,$B$15:B2035)</f>
        <v>2</v>
      </c>
      <c r="H2035" s="359">
        <f t="shared" si="65"/>
        <v>0</v>
      </c>
      <c r="N2035" s="361"/>
      <c r="O2035" s="361"/>
      <c r="P2035" s="361"/>
      <c r="Q2035" s="361"/>
      <c r="R2035" s="361"/>
      <c r="S2035" s="361"/>
      <c r="T2035" s="396"/>
      <c r="U2035" s="364">
        <f t="shared" si="66"/>
        <v>0</v>
      </c>
      <c r="W2035" s="365"/>
      <c r="X2035" s="365"/>
      <c r="Z2035" s="366"/>
    </row>
    <row r="2036" spans="1:26" hidden="1">
      <c r="A2036" s="367">
        <f>SUBTOTAL(3,$B$15:B2036)</f>
        <v>2</v>
      </c>
      <c r="H2036" s="359">
        <f t="shared" si="65"/>
        <v>0</v>
      </c>
      <c r="N2036" s="361"/>
      <c r="O2036" s="361"/>
      <c r="P2036" s="361"/>
      <c r="Q2036" s="361"/>
      <c r="R2036" s="361"/>
      <c r="S2036" s="361"/>
      <c r="T2036" s="396"/>
      <c r="U2036" s="364">
        <f t="shared" si="66"/>
        <v>0</v>
      </c>
      <c r="W2036" s="365"/>
      <c r="X2036" s="365"/>
      <c r="Z2036" s="366"/>
    </row>
    <row r="2037" spans="1:26" hidden="1">
      <c r="A2037" s="367">
        <f>SUBTOTAL(3,$B$15:B2037)</f>
        <v>2</v>
      </c>
      <c r="H2037" s="359">
        <f t="shared" si="65"/>
        <v>0</v>
      </c>
      <c r="N2037" s="361"/>
      <c r="O2037" s="361"/>
      <c r="P2037" s="361"/>
      <c r="Q2037" s="361"/>
      <c r="R2037" s="361"/>
      <c r="S2037" s="361"/>
      <c r="T2037" s="396"/>
      <c r="U2037" s="364">
        <f t="shared" si="66"/>
        <v>0</v>
      </c>
      <c r="W2037" s="365"/>
      <c r="X2037" s="365"/>
      <c r="Z2037" s="366"/>
    </row>
    <row r="2038" spans="1:26" hidden="1">
      <c r="A2038" s="367">
        <f>SUBTOTAL(3,$B$15:B2038)</f>
        <v>2</v>
      </c>
      <c r="H2038" s="359">
        <f t="shared" si="65"/>
        <v>0</v>
      </c>
      <c r="N2038" s="361"/>
      <c r="O2038" s="361"/>
      <c r="P2038" s="361"/>
      <c r="Q2038" s="361"/>
      <c r="R2038" s="361"/>
      <c r="S2038" s="361"/>
      <c r="T2038" s="396"/>
      <c r="U2038" s="364">
        <f t="shared" si="66"/>
        <v>0</v>
      </c>
      <c r="W2038" s="365"/>
      <c r="X2038" s="365"/>
      <c r="Z2038" s="366"/>
    </row>
    <row r="2039" spans="1:26" hidden="1">
      <c r="A2039" s="367">
        <f>SUBTOTAL(3,$B$15:B2039)</f>
        <v>2</v>
      </c>
      <c r="H2039" s="359">
        <f t="shared" si="65"/>
        <v>0</v>
      </c>
      <c r="N2039" s="361"/>
      <c r="O2039" s="361"/>
      <c r="P2039" s="361"/>
      <c r="Q2039" s="361"/>
      <c r="R2039" s="361"/>
      <c r="S2039" s="361"/>
      <c r="T2039" s="396"/>
      <c r="U2039" s="364">
        <f t="shared" si="66"/>
        <v>0</v>
      </c>
      <c r="W2039" s="365"/>
      <c r="X2039" s="365"/>
      <c r="Z2039" s="366"/>
    </row>
    <row r="2040" spans="1:26" hidden="1">
      <c r="A2040" s="367">
        <f>SUBTOTAL(3,$B$15:B2040)</f>
        <v>2</v>
      </c>
      <c r="H2040" s="359">
        <f t="shared" si="65"/>
        <v>0</v>
      </c>
      <c r="N2040" s="361"/>
      <c r="O2040" s="361"/>
      <c r="P2040" s="361"/>
      <c r="Q2040" s="361"/>
      <c r="R2040" s="361"/>
      <c r="S2040" s="361"/>
      <c r="T2040" s="396"/>
      <c r="U2040" s="364">
        <f t="shared" si="66"/>
        <v>0</v>
      </c>
      <c r="W2040" s="365"/>
      <c r="X2040" s="365"/>
      <c r="Z2040" s="366"/>
    </row>
    <row r="2041" spans="1:26" hidden="1">
      <c r="A2041" s="367">
        <f>SUBTOTAL(3,$B$15:B2041)</f>
        <v>2</v>
      </c>
      <c r="H2041" s="359">
        <f t="shared" si="65"/>
        <v>0</v>
      </c>
      <c r="N2041" s="361"/>
      <c r="O2041" s="361"/>
      <c r="P2041" s="361"/>
      <c r="Q2041" s="361"/>
      <c r="R2041" s="361"/>
      <c r="S2041" s="361"/>
      <c r="T2041" s="396"/>
      <c r="U2041" s="364">
        <f t="shared" si="66"/>
        <v>0</v>
      </c>
      <c r="W2041" s="365"/>
      <c r="X2041" s="365"/>
      <c r="Z2041" s="366"/>
    </row>
    <row r="2042" spans="1:26" hidden="1">
      <c r="A2042" s="367">
        <f>SUBTOTAL(3,$B$15:B2042)</f>
        <v>2</v>
      </c>
      <c r="H2042" s="359">
        <f t="shared" si="65"/>
        <v>0</v>
      </c>
      <c r="N2042" s="361"/>
      <c r="O2042" s="361"/>
      <c r="P2042" s="361"/>
      <c r="Q2042" s="361"/>
      <c r="R2042" s="361"/>
      <c r="S2042" s="361"/>
      <c r="T2042" s="396"/>
      <c r="U2042" s="364">
        <f t="shared" si="66"/>
        <v>0</v>
      </c>
      <c r="W2042" s="365"/>
      <c r="X2042" s="365"/>
      <c r="Z2042" s="366"/>
    </row>
    <row r="2043" spans="1:26" hidden="1">
      <c r="A2043" s="367">
        <f>SUBTOTAL(3,$B$15:B2043)</f>
        <v>2</v>
      </c>
      <c r="H2043" s="359">
        <f t="shared" si="65"/>
        <v>0</v>
      </c>
      <c r="N2043" s="361"/>
      <c r="O2043" s="361"/>
      <c r="P2043" s="361"/>
      <c r="Q2043" s="361"/>
      <c r="R2043" s="361"/>
      <c r="S2043" s="361"/>
      <c r="T2043" s="396"/>
      <c r="U2043" s="364">
        <f t="shared" si="66"/>
        <v>0</v>
      </c>
      <c r="W2043" s="365"/>
      <c r="X2043" s="365"/>
      <c r="Z2043" s="366"/>
    </row>
    <row r="2044" spans="1:26" hidden="1">
      <c r="A2044" s="367">
        <f>SUBTOTAL(3,$B$15:B2044)</f>
        <v>2</v>
      </c>
      <c r="H2044" s="359">
        <f t="shared" si="65"/>
        <v>0</v>
      </c>
      <c r="N2044" s="361"/>
      <c r="O2044" s="361"/>
      <c r="P2044" s="361"/>
      <c r="Q2044" s="361"/>
      <c r="R2044" s="361"/>
      <c r="S2044" s="361"/>
      <c r="T2044" s="396"/>
      <c r="U2044" s="364">
        <f t="shared" si="66"/>
        <v>0</v>
      </c>
      <c r="W2044" s="365"/>
      <c r="X2044" s="365"/>
      <c r="Z2044" s="366"/>
    </row>
    <row r="2045" spans="1:26" hidden="1">
      <c r="A2045" s="367">
        <f>SUBTOTAL(3,$B$15:B2045)</f>
        <v>2</v>
      </c>
      <c r="H2045" s="359">
        <f t="shared" si="65"/>
        <v>0</v>
      </c>
      <c r="N2045" s="361"/>
      <c r="O2045" s="361"/>
      <c r="P2045" s="361"/>
      <c r="Q2045" s="361"/>
      <c r="R2045" s="361"/>
      <c r="S2045" s="361"/>
      <c r="T2045" s="396"/>
      <c r="U2045" s="364">
        <f t="shared" si="66"/>
        <v>0</v>
      </c>
      <c r="W2045" s="365"/>
      <c r="X2045" s="365"/>
      <c r="Z2045" s="366"/>
    </row>
    <row r="2046" spans="1:26" hidden="1">
      <c r="A2046" s="367">
        <f>SUBTOTAL(3,$B$15:B2046)</f>
        <v>2</v>
      </c>
      <c r="H2046" s="359">
        <f t="shared" si="65"/>
        <v>0</v>
      </c>
      <c r="N2046" s="361"/>
      <c r="O2046" s="361"/>
      <c r="P2046" s="361"/>
      <c r="Q2046" s="361"/>
      <c r="R2046" s="361"/>
      <c r="S2046" s="361"/>
      <c r="T2046" s="396"/>
      <c r="U2046" s="364">
        <f t="shared" si="66"/>
        <v>0</v>
      </c>
      <c r="W2046" s="365"/>
      <c r="X2046" s="365"/>
      <c r="Z2046" s="366"/>
    </row>
    <row r="2047" spans="1:26" hidden="1">
      <c r="A2047" s="367">
        <f>SUBTOTAL(3,$B$15:B2047)</f>
        <v>2</v>
      </c>
      <c r="H2047" s="359">
        <f t="shared" si="65"/>
        <v>0</v>
      </c>
      <c r="N2047" s="361"/>
      <c r="O2047" s="361"/>
      <c r="P2047" s="361"/>
      <c r="Q2047" s="361"/>
      <c r="R2047" s="361"/>
      <c r="S2047" s="361"/>
      <c r="T2047" s="396"/>
      <c r="U2047" s="364">
        <f t="shared" si="66"/>
        <v>0</v>
      </c>
      <c r="W2047" s="365"/>
      <c r="X2047" s="365"/>
      <c r="Z2047" s="366"/>
    </row>
    <row r="2048" spans="1:26" hidden="1">
      <c r="A2048" s="367">
        <f>SUBTOTAL(3,$B$15:B2048)</f>
        <v>2</v>
      </c>
      <c r="H2048" s="359">
        <f t="shared" si="65"/>
        <v>0</v>
      </c>
      <c r="N2048" s="361"/>
      <c r="O2048" s="361"/>
      <c r="P2048" s="361"/>
      <c r="Q2048" s="361"/>
      <c r="R2048" s="361"/>
      <c r="S2048" s="361"/>
      <c r="T2048" s="396"/>
      <c r="U2048" s="364">
        <f t="shared" si="66"/>
        <v>0</v>
      </c>
      <c r="W2048" s="365"/>
      <c r="X2048" s="365"/>
      <c r="Z2048" s="366"/>
    </row>
    <row r="2049" spans="1:26" hidden="1">
      <c r="A2049" s="367">
        <f>SUBTOTAL(3,$B$15:B2049)</f>
        <v>2</v>
      </c>
      <c r="H2049" s="359">
        <f t="shared" si="65"/>
        <v>0</v>
      </c>
      <c r="N2049" s="361"/>
      <c r="O2049" s="361"/>
      <c r="P2049" s="361"/>
      <c r="Q2049" s="361"/>
      <c r="R2049" s="361"/>
      <c r="S2049" s="361"/>
      <c r="T2049" s="396"/>
      <c r="U2049" s="364">
        <f t="shared" si="66"/>
        <v>0</v>
      </c>
      <c r="W2049" s="365"/>
      <c r="X2049" s="365"/>
      <c r="Z2049" s="366"/>
    </row>
    <row r="2050" spans="1:26" hidden="1">
      <c r="A2050" s="367">
        <f>SUBTOTAL(3,$B$15:B2050)</f>
        <v>2</v>
      </c>
      <c r="H2050" s="359">
        <f t="shared" si="65"/>
        <v>0</v>
      </c>
      <c r="N2050" s="361"/>
      <c r="O2050" s="361"/>
      <c r="P2050" s="361"/>
      <c r="Q2050" s="361"/>
      <c r="R2050" s="361"/>
      <c r="S2050" s="361"/>
      <c r="T2050" s="396"/>
      <c r="U2050" s="364">
        <f t="shared" si="66"/>
        <v>0</v>
      </c>
      <c r="W2050" s="365"/>
      <c r="X2050" s="365"/>
      <c r="Z2050" s="366"/>
    </row>
    <row r="2051" spans="1:26" hidden="1">
      <c r="A2051" s="367">
        <f>SUBTOTAL(3,$B$15:B2051)</f>
        <v>2</v>
      </c>
      <c r="H2051" s="359">
        <f t="shared" si="65"/>
        <v>0</v>
      </c>
      <c r="N2051" s="361"/>
      <c r="O2051" s="361"/>
      <c r="P2051" s="361"/>
      <c r="Q2051" s="361"/>
      <c r="R2051" s="361"/>
      <c r="S2051" s="361"/>
      <c r="T2051" s="396"/>
      <c r="U2051" s="364">
        <f t="shared" si="66"/>
        <v>0</v>
      </c>
      <c r="W2051" s="365"/>
      <c r="X2051" s="365"/>
      <c r="Z2051" s="366"/>
    </row>
    <row r="2052" spans="1:26" hidden="1">
      <c r="A2052" s="367">
        <f>SUBTOTAL(3,$B$15:B2052)</f>
        <v>2</v>
      </c>
      <c r="H2052" s="359">
        <f t="shared" si="65"/>
        <v>0</v>
      </c>
      <c r="N2052" s="361"/>
      <c r="O2052" s="361"/>
      <c r="P2052" s="361"/>
      <c r="Q2052" s="361"/>
      <c r="R2052" s="361"/>
      <c r="S2052" s="361"/>
      <c r="T2052" s="396"/>
      <c r="U2052" s="364">
        <f t="shared" si="66"/>
        <v>0</v>
      </c>
      <c r="W2052" s="365"/>
      <c r="X2052" s="365"/>
      <c r="Z2052" s="366"/>
    </row>
    <row r="2053" spans="1:26" hidden="1">
      <c r="A2053" s="367">
        <f>SUBTOTAL(3,$B$15:B2053)</f>
        <v>2</v>
      </c>
      <c r="H2053" s="359">
        <f t="shared" si="65"/>
        <v>0</v>
      </c>
      <c r="N2053" s="361"/>
      <c r="O2053" s="361"/>
      <c r="P2053" s="361"/>
      <c r="Q2053" s="361"/>
      <c r="R2053" s="361"/>
      <c r="S2053" s="361"/>
      <c r="T2053" s="396"/>
      <c r="U2053" s="364">
        <f t="shared" si="66"/>
        <v>0</v>
      </c>
      <c r="W2053" s="365"/>
      <c r="X2053" s="365"/>
      <c r="Z2053" s="366"/>
    </row>
    <row r="2054" spans="1:26" hidden="1">
      <c r="A2054" s="367">
        <f>SUBTOTAL(3,$B$15:B2054)</f>
        <v>2</v>
      </c>
      <c r="H2054" s="359">
        <f t="shared" si="65"/>
        <v>0</v>
      </c>
      <c r="N2054" s="361"/>
      <c r="O2054" s="361"/>
      <c r="P2054" s="361"/>
      <c r="Q2054" s="361"/>
      <c r="R2054" s="361"/>
      <c r="S2054" s="361"/>
      <c r="T2054" s="396"/>
      <c r="U2054" s="364">
        <f t="shared" si="66"/>
        <v>0</v>
      </c>
      <c r="W2054" s="365"/>
      <c r="X2054" s="365"/>
      <c r="Z2054" s="366"/>
    </row>
    <row r="2055" spans="1:26" hidden="1">
      <c r="A2055" s="367">
        <f>SUBTOTAL(3,$B$15:B2055)</f>
        <v>2</v>
      </c>
      <c r="H2055" s="359">
        <f t="shared" si="65"/>
        <v>0</v>
      </c>
      <c r="N2055" s="361"/>
      <c r="O2055" s="361"/>
      <c r="P2055" s="361"/>
      <c r="Q2055" s="361"/>
      <c r="R2055" s="361"/>
      <c r="S2055" s="361"/>
      <c r="T2055" s="396"/>
      <c r="U2055" s="364">
        <f t="shared" si="66"/>
        <v>0</v>
      </c>
      <c r="W2055" s="365"/>
      <c r="X2055" s="365"/>
      <c r="Z2055" s="366"/>
    </row>
    <row r="2056" spans="1:26" hidden="1">
      <c r="A2056" s="367">
        <f>SUBTOTAL(3,$B$15:B2056)</f>
        <v>2</v>
      </c>
      <c r="H2056" s="359">
        <f t="shared" si="65"/>
        <v>0</v>
      </c>
      <c r="N2056" s="361"/>
      <c r="O2056" s="361"/>
      <c r="P2056" s="361"/>
      <c r="Q2056" s="361"/>
      <c r="R2056" s="361"/>
      <c r="S2056" s="361"/>
      <c r="T2056" s="396"/>
      <c r="U2056" s="364">
        <f t="shared" si="66"/>
        <v>0</v>
      </c>
      <c r="W2056" s="365"/>
      <c r="X2056" s="365"/>
      <c r="Z2056" s="366"/>
    </row>
    <row r="2057" spans="1:26" hidden="1">
      <c r="A2057" s="367">
        <f>SUBTOTAL(3,$B$15:B2057)</f>
        <v>2</v>
      </c>
      <c r="H2057" s="359">
        <f t="shared" si="65"/>
        <v>0</v>
      </c>
      <c r="N2057" s="361"/>
      <c r="O2057" s="361"/>
      <c r="P2057" s="361"/>
      <c r="Q2057" s="361"/>
      <c r="R2057" s="361"/>
      <c r="S2057" s="361"/>
      <c r="T2057" s="396"/>
      <c r="U2057" s="364">
        <f t="shared" si="66"/>
        <v>0</v>
      </c>
      <c r="W2057" s="365"/>
      <c r="X2057" s="365"/>
      <c r="Z2057" s="366"/>
    </row>
    <row r="2058" spans="1:26" hidden="1">
      <c r="A2058" s="367">
        <f>SUBTOTAL(3,$B$15:B2058)</f>
        <v>2</v>
      </c>
      <c r="H2058" s="359">
        <f t="shared" si="65"/>
        <v>0</v>
      </c>
      <c r="N2058" s="361"/>
      <c r="O2058" s="361"/>
      <c r="P2058" s="361"/>
      <c r="Q2058" s="361"/>
      <c r="R2058" s="361"/>
      <c r="S2058" s="361"/>
      <c r="T2058" s="396"/>
      <c r="U2058" s="364">
        <f t="shared" si="66"/>
        <v>0</v>
      </c>
      <c r="W2058" s="365"/>
      <c r="X2058" s="365"/>
      <c r="Z2058" s="366"/>
    </row>
    <row r="2059" spans="1:26" hidden="1">
      <c r="A2059" s="367">
        <f>SUBTOTAL(3,$B$15:B2059)</f>
        <v>2</v>
      </c>
      <c r="H2059" s="359">
        <f t="shared" si="65"/>
        <v>0</v>
      </c>
      <c r="N2059" s="361"/>
      <c r="O2059" s="361"/>
      <c r="P2059" s="361"/>
      <c r="Q2059" s="361"/>
      <c r="R2059" s="361"/>
      <c r="S2059" s="361"/>
      <c r="T2059" s="396"/>
      <c r="U2059" s="364">
        <f t="shared" si="66"/>
        <v>0</v>
      </c>
      <c r="W2059" s="365"/>
      <c r="X2059" s="365"/>
      <c r="Z2059" s="366"/>
    </row>
    <row r="2060" spans="1:26" hidden="1">
      <c r="A2060" s="367">
        <f>SUBTOTAL(3,$B$15:B2060)</f>
        <v>2</v>
      </c>
      <c r="H2060" s="359">
        <f t="shared" si="65"/>
        <v>0</v>
      </c>
      <c r="N2060" s="361"/>
      <c r="O2060" s="361"/>
      <c r="P2060" s="361"/>
      <c r="Q2060" s="361"/>
      <c r="R2060" s="361"/>
      <c r="S2060" s="361"/>
      <c r="T2060" s="396"/>
      <c r="U2060" s="364">
        <f t="shared" si="66"/>
        <v>0</v>
      </c>
      <c r="W2060" s="365"/>
      <c r="X2060" s="365"/>
      <c r="Z2060" s="366"/>
    </row>
    <row r="2061" spans="1:26" hidden="1">
      <c r="A2061" s="367">
        <f>SUBTOTAL(3,$B$15:B2061)</f>
        <v>2</v>
      </c>
      <c r="H2061" s="359">
        <f t="shared" si="65"/>
        <v>0</v>
      </c>
      <c r="N2061" s="361"/>
      <c r="O2061" s="361"/>
      <c r="P2061" s="361"/>
      <c r="Q2061" s="361"/>
      <c r="R2061" s="361"/>
      <c r="S2061" s="361"/>
      <c r="T2061" s="396"/>
      <c r="U2061" s="364">
        <f t="shared" si="66"/>
        <v>0</v>
      </c>
      <c r="W2061" s="365"/>
      <c r="X2061" s="365"/>
      <c r="Z2061" s="366"/>
    </row>
    <row r="2062" spans="1:26" hidden="1">
      <c r="A2062" s="367">
        <f>SUBTOTAL(3,$B$15:B2062)</f>
        <v>2</v>
      </c>
      <c r="H2062" s="359">
        <f t="shared" si="65"/>
        <v>0</v>
      </c>
      <c r="N2062" s="361"/>
      <c r="O2062" s="361"/>
      <c r="P2062" s="361"/>
      <c r="Q2062" s="361"/>
      <c r="R2062" s="361"/>
      <c r="S2062" s="361"/>
      <c r="T2062" s="396"/>
      <c r="U2062" s="364">
        <f t="shared" si="66"/>
        <v>0</v>
      </c>
      <c r="W2062" s="365"/>
      <c r="X2062" s="365"/>
      <c r="Z2062" s="366"/>
    </row>
    <row r="2063" spans="1:26" hidden="1">
      <c r="A2063" s="367">
        <f>SUBTOTAL(3,$B$15:B2063)</f>
        <v>2</v>
      </c>
      <c r="H2063" s="359">
        <f t="shared" si="65"/>
        <v>0</v>
      </c>
      <c r="N2063" s="361"/>
      <c r="O2063" s="361"/>
      <c r="P2063" s="361"/>
      <c r="Q2063" s="361"/>
      <c r="R2063" s="361"/>
      <c r="S2063" s="361"/>
      <c r="T2063" s="396"/>
      <c r="U2063" s="364">
        <f t="shared" si="66"/>
        <v>0</v>
      </c>
      <c r="W2063" s="365"/>
      <c r="X2063" s="365"/>
      <c r="Z2063" s="366"/>
    </row>
    <row r="2064" spans="1:26" hidden="1">
      <c r="A2064" s="367">
        <f>SUBTOTAL(3,$B$15:B2064)</f>
        <v>2</v>
      </c>
      <c r="H2064" s="359">
        <f t="shared" si="65"/>
        <v>0</v>
      </c>
      <c r="N2064" s="361"/>
      <c r="O2064" s="361"/>
      <c r="P2064" s="361"/>
      <c r="Q2064" s="361"/>
      <c r="R2064" s="361"/>
      <c r="S2064" s="361"/>
      <c r="T2064" s="396"/>
      <c r="U2064" s="364">
        <f t="shared" si="66"/>
        <v>0</v>
      </c>
      <c r="W2064" s="365"/>
      <c r="X2064" s="365"/>
      <c r="Z2064" s="366"/>
    </row>
    <row r="2065" spans="1:26" hidden="1">
      <c r="A2065" s="367">
        <f>SUBTOTAL(3,$B$15:B2065)</f>
        <v>2</v>
      </c>
      <c r="H2065" s="359">
        <f t="shared" si="65"/>
        <v>0</v>
      </c>
      <c r="N2065" s="361"/>
      <c r="O2065" s="361"/>
      <c r="P2065" s="361"/>
      <c r="Q2065" s="361"/>
      <c r="R2065" s="361"/>
      <c r="S2065" s="361"/>
      <c r="T2065" s="396"/>
      <c r="U2065" s="364">
        <f t="shared" si="66"/>
        <v>0</v>
      </c>
      <c r="W2065" s="365"/>
      <c r="X2065" s="365"/>
      <c r="Z2065" s="366"/>
    </row>
    <row r="2066" spans="1:26" hidden="1">
      <c r="A2066" s="367">
        <f>SUBTOTAL(3,$B$15:B2066)</f>
        <v>2</v>
      </c>
      <c r="H2066" s="359">
        <f t="shared" si="65"/>
        <v>0</v>
      </c>
      <c r="N2066" s="361"/>
      <c r="O2066" s="361"/>
      <c r="P2066" s="361"/>
      <c r="Q2066" s="361"/>
      <c r="R2066" s="361"/>
      <c r="S2066" s="361"/>
      <c r="T2066" s="396"/>
      <c r="U2066" s="364">
        <f t="shared" si="66"/>
        <v>0</v>
      </c>
      <c r="W2066" s="365"/>
      <c r="X2066" s="365"/>
      <c r="Z2066" s="366"/>
    </row>
    <row r="2067" spans="1:26" hidden="1">
      <c r="A2067" s="367">
        <f>SUBTOTAL(3,$B$15:B2067)</f>
        <v>2</v>
      </c>
      <c r="H2067" s="359">
        <f t="shared" si="65"/>
        <v>0</v>
      </c>
      <c r="N2067" s="361"/>
      <c r="O2067" s="361"/>
      <c r="P2067" s="361"/>
      <c r="Q2067" s="361"/>
      <c r="R2067" s="361"/>
      <c r="S2067" s="361"/>
      <c r="T2067" s="396"/>
      <c r="U2067" s="364">
        <f t="shared" si="66"/>
        <v>0</v>
      </c>
      <c r="W2067" s="365"/>
      <c r="X2067" s="365"/>
      <c r="Z2067" s="366"/>
    </row>
    <row r="2068" spans="1:26" hidden="1">
      <c r="A2068" s="367">
        <f>SUBTOTAL(3,$B$15:B2068)</f>
        <v>2</v>
      </c>
      <c r="H2068" s="359">
        <f t="shared" ref="H2068:H2131" si="67">+G2068-SUM(M2068,O2068,Q2068)</f>
        <v>0</v>
      </c>
      <c r="N2068" s="361"/>
      <c r="O2068" s="361"/>
      <c r="P2068" s="361"/>
      <c r="Q2068" s="361"/>
      <c r="R2068" s="361"/>
      <c r="S2068" s="361"/>
      <c r="T2068" s="396"/>
      <c r="U2068" s="364">
        <f t="shared" si="66"/>
        <v>0</v>
      </c>
      <c r="W2068" s="365"/>
      <c r="X2068" s="365"/>
      <c r="Z2068" s="366"/>
    </row>
    <row r="2069" spans="1:26" hidden="1">
      <c r="A2069" s="367">
        <f>SUBTOTAL(3,$B$15:B2069)</f>
        <v>2</v>
      </c>
      <c r="H2069" s="359">
        <f t="shared" si="67"/>
        <v>0</v>
      </c>
      <c r="N2069" s="361"/>
      <c r="O2069" s="361"/>
      <c r="P2069" s="361"/>
      <c r="Q2069" s="361"/>
      <c r="R2069" s="361"/>
      <c r="S2069" s="361"/>
      <c r="T2069" s="396"/>
      <c r="U2069" s="364">
        <f t="shared" si="66"/>
        <v>0</v>
      </c>
      <c r="W2069" s="365"/>
      <c r="X2069" s="365"/>
      <c r="Z2069" s="366"/>
    </row>
    <row r="2070" spans="1:26" hidden="1">
      <c r="A2070" s="367">
        <f>SUBTOTAL(3,$B$15:B2070)</f>
        <v>2</v>
      </c>
      <c r="H2070" s="359">
        <f t="shared" si="67"/>
        <v>0</v>
      </c>
      <c r="N2070" s="361"/>
      <c r="O2070" s="361"/>
      <c r="P2070" s="361"/>
      <c r="Q2070" s="361"/>
      <c r="R2070" s="361"/>
      <c r="S2070" s="361"/>
      <c r="T2070" s="396"/>
      <c r="U2070" s="364">
        <f t="shared" si="66"/>
        <v>0</v>
      </c>
      <c r="W2070" s="365"/>
      <c r="X2070" s="365"/>
      <c r="Z2070" s="366"/>
    </row>
    <row r="2071" spans="1:26" hidden="1">
      <c r="A2071" s="367">
        <f>SUBTOTAL(3,$B$15:B2071)</f>
        <v>2</v>
      </c>
      <c r="H2071" s="359">
        <f t="shared" si="67"/>
        <v>0</v>
      </c>
      <c r="N2071" s="361"/>
      <c r="O2071" s="361"/>
      <c r="P2071" s="361"/>
      <c r="Q2071" s="361"/>
      <c r="R2071" s="361"/>
      <c r="S2071" s="361"/>
      <c r="T2071" s="396"/>
      <c r="U2071" s="364">
        <f t="shared" ref="U2071:U2134" si="68">SUM(H2071:T2071)</f>
        <v>0</v>
      </c>
      <c r="W2071" s="365"/>
      <c r="X2071" s="365"/>
      <c r="Z2071" s="366"/>
    </row>
    <row r="2072" spans="1:26" hidden="1">
      <c r="A2072" s="367">
        <f>SUBTOTAL(3,$B$15:B2072)</f>
        <v>2</v>
      </c>
      <c r="H2072" s="359">
        <f t="shared" si="67"/>
        <v>0</v>
      </c>
      <c r="N2072" s="361"/>
      <c r="O2072" s="361"/>
      <c r="P2072" s="361"/>
      <c r="Q2072" s="361"/>
      <c r="R2072" s="361"/>
      <c r="S2072" s="361"/>
      <c r="T2072" s="396"/>
      <c r="U2072" s="364">
        <f t="shared" si="68"/>
        <v>0</v>
      </c>
      <c r="W2072" s="365"/>
      <c r="X2072" s="365"/>
      <c r="Z2072" s="366"/>
    </row>
    <row r="2073" spans="1:26" hidden="1">
      <c r="A2073" s="367">
        <f>SUBTOTAL(3,$B$15:B2073)</f>
        <v>2</v>
      </c>
      <c r="H2073" s="359">
        <f t="shared" si="67"/>
        <v>0</v>
      </c>
      <c r="N2073" s="361"/>
      <c r="O2073" s="361"/>
      <c r="P2073" s="361"/>
      <c r="Q2073" s="361"/>
      <c r="R2073" s="361"/>
      <c r="S2073" s="361"/>
      <c r="T2073" s="396"/>
      <c r="U2073" s="364">
        <f t="shared" si="68"/>
        <v>0</v>
      </c>
      <c r="W2073" s="365"/>
      <c r="X2073" s="365"/>
      <c r="Z2073" s="366"/>
    </row>
    <row r="2074" spans="1:26" hidden="1">
      <c r="A2074" s="367">
        <f>SUBTOTAL(3,$B$15:B2074)</f>
        <v>2</v>
      </c>
      <c r="H2074" s="359">
        <f t="shared" si="67"/>
        <v>0</v>
      </c>
      <c r="N2074" s="361"/>
      <c r="O2074" s="361"/>
      <c r="P2074" s="361"/>
      <c r="Q2074" s="361"/>
      <c r="R2074" s="361"/>
      <c r="S2074" s="361"/>
      <c r="T2074" s="396"/>
      <c r="U2074" s="364">
        <f t="shared" si="68"/>
        <v>0</v>
      </c>
      <c r="W2074" s="365"/>
      <c r="X2074" s="365"/>
      <c r="Z2074" s="366"/>
    </row>
    <row r="2075" spans="1:26" hidden="1">
      <c r="A2075" s="367">
        <f>SUBTOTAL(3,$B$15:B2075)</f>
        <v>2</v>
      </c>
      <c r="H2075" s="359">
        <f t="shared" si="67"/>
        <v>0</v>
      </c>
      <c r="N2075" s="361"/>
      <c r="O2075" s="361"/>
      <c r="P2075" s="361"/>
      <c r="Q2075" s="361"/>
      <c r="R2075" s="361"/>
      <c r="S2075" s="361"/>
      <c r="T2075" s="396"/>
      <c r="U2075" s="364">
        <f t="shared" si="68"/>
        <v>0</v>
      </c>
      <c r="W2075" s="365"/>
      <c r="X2075" s="365"/>
      <c r="Z2075" s="366"/>
    </row>
    <row r="2076" spans="1:26" hidden="1">
      <c r="A2076" s="367">
        <f>SUBTOTAL(3,$B$15:B2076)</f>
        <v>2</v>
      </c>
      <c r="H2076" s="359">
        <f t="shared" si="67"/>
        <v>0</v>
      </c>
      <c r="N2076" s="361"/>
      <c r="O2076" s="361"/>
      <c r="P2076" s="361"/>
      <c r="Q2076" s="361"/>
      <c r="R2076" s="361"/>
      <c r="S2076" s="361"/>
      <c r="T2076" s="396"/>
      <c r="U2076" s="364">
        <f t="shared" si="68"/>
        <v>0</v>
      </c>
      <c r="W2076" s="365"/>
      <c r="X2076" s="365"/>
      <c r="Z2076" s="366"/>
    </row>
    <row r="2077" spans="1:26" hidden="1">
      <c r="A2077" s="367">
        <f>SUBTOTAL(3,$B$15:B2077)</f>
        <v>2</v>
      </c>
      <c r="H2077" s="359">
        <f t="shared" si="67"/>
        <v>0</v>
      </c>
      <c r="N2077" s="361"/>
      <c r="O2077" s="361"/>
      <c r="P2077" s="361"/>
      <c r="Q2077" s="361"/>
      <c r="R2077" s="361"/>
      <c r="S2077" s="361"/>
      <c r="T2077" s="396"/>
      <c r="U2077" s="364">
        <f t="shared" si="68"/>
        <v>0</v>
      </c>
      <c r="W2077" s="365"/>
      <c r="X2077" s="365"/>
      <c r="Z2077" s="366"/>
    </row>
    <row r="2078" spans="1:26" hidden="1">
      <c r="A2078" s="367">
        <f>SUBTOTAL(3,$B$15:B2078)</f>
        <v>2</v>
      </c>
      <c r="H2078" s="359">
        <f t="shared" si="67"/>
        <v>0</v>
      </c>
      <c r="N2078" s="361"/>
      <c r="O2078" s="361"/>
      <c r="P2078" s="361"/>
      <c r="Q2078" s="361"/>
      <c r="R2078" s="361"/>
      <c r="S2078" s="361"/>
      <c r="T2078" s="396"/>
      <c r="U2078" s="364">
        <f t="shared" si="68"/>
        <v>0</v>
      </c>
      <c r="W2078" s="365"/>
      <c r="X2078" s="365"/>
      <c r="Z2078" s="366"/>
    </row>
    <row r="2079" spans="1:26" hidden="1">
      <c r="A2079" s="367">
        <f>SUBTOTAL(3,$B$15:B2079)</f>
        <v>2</v>
      </c>
      <c r="H2079" s="359">
        <f t="shared" si="67"/>
        <v>0</v>
      </c>
      <c r="N2079" s="361"/>
      <c r="O2079" s="361"/>
      <c r="P2079" s="361"/>
      <c r="Q2079" s="361"/>
      <c r="R2079" s="361"/>
      <c r="S2079" s="361"/>
      <c r="T2079" s="396"/>
      <c r="U2079" s="364">
        <f t="shared" si="68"/>
        <v>0</v>
      </c>
      <c r="W2079" s="365"/>
      <c r="X2079" s="365"/>
      <c r="Z2079" s="366"/>
    </row>
    <row r="2080" spans="1:26" hidden="1">
      <c r="A2080" s="367">
        <f>SUBTOTAL(3,$B$15:B2080)</f>
        <v>2</v>
      </c>
      <c r="H2080" s="359">
        <f t="shared" si="67"/>
        <v>0</v>
      </c>
      <c r="N2080" s="361"/>
      <c r="O2080" s="361"/>
      <c r="P2080" s="361"/>
      <c r="Q2080" s="361"/>
      <c r="R2080" s="361"/>
      <c r="S2080" s="361"/>
      <c r="T2080" s="396"/>
      <c r="U2080" s="364">
        <f t="shared" si="68"/>
        <v>0</v>
      </c>
      <c r="W2080" s="365"/>
      <c r="X2080" s="365"/>
      <c r="Z2080" s="366"/>
    </row>
    <row r="2081" spans="1:26" hidden="1">
      <c r="A2081" s="367">
        <f>SUBTOTAL(3,$B$15:B2081)</f>
        <v>2</v>
      </c>
      <c r="H2081" s="359">
        <f t="shared" si="67"/>
        <v>0</v>
      </c>
      <c r="N2081" s="361"/>
      <c r="O2081" s="361"/>
      <c r="P2081" s="361"/>
      <c r="Q2081" s="361"/>
      <c r="R2081" s="361"/>
      <c r="S2081" s="361"/>
      <c r="T2081" s="396"/>
      <c r="U2081" s="364">
        <f t="shared" si="68"/>
        <v>0</v>
      </c>
      <c r="W2081" s="365"/>
      <c r="X2081" s="365"/>
      <c r="Z2081" s="366"/>
    </row>
    <row r="2082" spans="1:26" hidden="1">
      <c r="A2082" s="367">
        <f>SUBTOTAL(3,$B$15:B2082)</f>
        <v>2</v>
      </c>
      <c r="H2082" s="359">
        <f t="shared" si="67"/>
        <v>0</v>
      </c>
      <c r="N2082" s="361"/>
      <c r="O2082" s="361"/>
      <c r="P2082" s="361"/>
      <c r="Q2082" s="361"/>
      <c r="R2082" s="361"/>
      <c r="S2082" s="361"/>
      <c r="T2082" s="396"/>
      <c r="U2082" s="364">
        <f t="shared" si="68"/>
        <v>0</v>
      </c>
      <c r="W2082" s="365"/>
      <c r="X2082" s="365"/>
      <c r="Z2082" s="366"/>
    </row>
    <row r="2083" spans="1:26" hidden="1">
      <c r="A2083" s="367">
        <f>SUBTOTAL(3,$B$15:B2083)</f>
        <v>2</v>
      </c>
      <c r="H2083" s="359">
        <f t="shared" si="67"/>
        <v>0</v>
      </c>
      <c r="N2083" s="361"/>
      <c r="O2083" s="361"/>
      <c r="P2083" s="361"/>
      <c r="Q2083" s="361"/>
      <c r="R2083" s="361"/>
      <c r="S2083" s="361"/>
      <c r="T2083" s="396"/>
      <c r="U2083" s="364">
        <f t="shared" si="68"/>
        <v>0</v>
      </c>
      <c r="W2083" s="365"/>
      <c r="X2083" s="365"/>
      <c r="Z2083" s="366"/>
    </row>
    <row r="2084" spans="1:26" hidden="1">
      <c r="A2084" s="367">
        <f>SUBTOTAL(3,$B$15:B2084)</f>
        <v>2</v>
      </c>
      <c r="H2084" s="359">
        <f t="shared" si="67"/>
        <v>0</v>
      </c>
      <c r="N2084" s="361"/>
      <c r="O2084" s="361"/>
      <c r="P2084" s="361"/>
      <c r="Q2084" s="361"/>
      <c r="R2084" s="361"/>
      <c r="S2084" s="361"/>
      <c r="T2084" s="396"/>
      <c r="U2084" s="364">
        <f t="shared" si="68"/>
        <v>0</v>
      </c>
      <c r="W2084" s="365"/>
      <c r="X2084" s="365"/>
      <c r="Z2084" s="366"/>
    </row>
    <row r="2085" spans="1:26" hidden="1">
      <c r="A2085" s="367">
        <f>SUBTOTAL(3,$B$15:B2085)</f>
        <v>2</v>
      </c>
      <c r="H2085" s="359">
        <f t="shared" si="67"/>
        <v>0</v>
      </c>
      <c r="N2085" s="361"/>
      <c r="O2085" s="361"/>
      <c r="P2085" s="361"/>
      <c r="Q2085" s="361"/>
      <c r="R2085" s="361"/>
      <c r="S2085" s="361"/>
      <c r="T2085" s="396"/>
      <c r="U2085" s="364">
        <f t="shared" si="68"/>
        <v>0</v>
      </c>
      <c r="W2085" s="365"/>
      <c r="X2085" s="365"/>
      <c r="Z2085" s="366"/>
    </row>
    <row r="2086" spans="1:26" hidden="1">
      <c r="A2086" s="367">
        <f>SUBTOTAL(3,$B$15:B2086)</f>
        <v>2</v>
      </c>
      <c r="H2086" s="359">
        <f t="shared" si="67"/>
        <v>0</v>
      </c>
      <c r="N2086" s="361"/>
      <c r="O2086" s="361"/>
      <c r="P2086" s="361"/>
      <c r="Q2086" s="361"/>
      <c r="R2086" s="361"/>
      <c r="S2086" s="361"/>
      <c r="T2086" s="396"/>
      <c r="U2086" s="364">
        <f t="shared" si="68"/>
        <v>0</v>
      </c>
      <c r="W2086" s="365"/>
      <c r="X2086" s="365"/>
      <c r="Z2086" s="366"/>
    </row>
    <row r="2087" spans="1:26" hidden="1">
      <c r="A2087" s="367">
        <f>SUBTOTAL(3,$B$15:B2087)</f>
        <v>2</v>
      </c>
      <c r="H2087" s="359">
        <f t="shared" si="67"/>
        <v>0</v>
      </c>
      <c r="N2087" s="361"/>
      <c r="O2087" s="361"/>
      <c r="P2087" s="361"/>
      <c r="Q2087" s="361"/>
      <c r="R2087" s="361"/>
      <c r="S2087" s="361"/>
      <c r="T2087" s="396"/>
      <c r="U2087" s="364">
        <f t="shared" si="68"/>
        <v>0</v>
      </c>
      <c r="W2087" s="365"/>
      <c r="X2087" s="365"/>
      <c r="Z2087" s="366"/>
    </row>
    <row r="2088" spans="1:26" hidden="1">
      <c r="A2088" s="367">
        <f>SUBTOTAL(3,$B$15:B2088)</f>
        <v>2</v>
      </c>
      <c r="H2088" s="359">
        <f t="shared" si="67"/>
        <v>0</v>
      </c>
      <c r="N2088" s="361"/>
      <c r="O2088" s="361"/>
      <c r="P2088" s="361"/>
      <c r="Q2088" s="361"/>
      <c r="R2088" s="361"/>
      <c r="S2088" s="361"/>
      <c r="T2088" s="396"/>
      <c r="U2088" s="364">
        <f t="shared" si="68"/>
        <v>0</v>
      </c>
      <c r="W2088" s="365"/>
      <c r="X2088" s="365"/>
      <c r="Z2088" s="366"/>
    </row>
    <row r="2089" spans="1:26" hidden="1">
      <c r="A2089" s="367">
        <f>SUBTOTAL(3,$B$15:B2089)</f>
        <v>2</v>
      </c>
      <c r="H2089" s="359">
        <f t="shared" si="67"/>
        <v>0</v>
      </c>
      <c r="N2089" s="361"/>
      <c r="O2089" s="361"/>
      <c r="P2089" s="361"/>
      <c r="Q2089" s="361"/>
      <c r="R2089" s="361"/>
      <c r="S2089" s="361"/>
      <c r="T2089" s="396"/>
      <c r="U2089" s="364">
        <f t="shared" si="68"/>
        <v>0</v>
      </c>
      <c r="W2089" s="365"/>
      <c r="X2089" s="365"/>
      <c r="Z2089" s="366"/>
    </row>
    <row r="2090" spans="1:26" hidden="1">
      <c r="A2090" s="367">
        <f>SUBTOTAL(3,$B$15:B2090)</f>
        <v>2</v>
      </c>
      <c r="H2090" s="359">
        <f t="shared" si="67"/>
        <v>0</v>
      </c>
      <c r="N2090" s="361"/>
      <c r="O2090" s="361"/>
      <c r="P2090" s="361"/>
      <c r="Q2090" s="361"/>
      <c r="R2090" s="361"/>
      <c r="S2090" s="361"/>
      <c r="T2090" s="396"/>
      <c r="U2090" s="364">
        <f t="shared" si="68"/>
        <v>0</v>
      </c>
      <c r="W2090" s="365"/>
      <c r="X2090" s="365"/>
      <c r="Z2090" s="366"/>
    </row>
    <row r="2091" spans="1:26" hidden="1">
      <c r="A2091" s="367">
        <f>SUBTOTAL(3,$B$15:B2091)</f>
        <v>2</v>
      </c>
      <c r="H2091" s="359">
        <f t="shared" si="67"/>
        <v>0</v>
      </c>
      <c r="N2091" s="361"/>
      <c r="O2091" s="361"/>
      <c r="P2091" s="361"/>
      <c r="Q2091" s="361"/>
      <c r="R2091" s="361"/>
      <c r="S2091" s="361"/>
      <c r="T2091" s="396"/>
      <c r="U2091" s="364">
        <f t="shared" si="68"/>
        <v>0</v>
      </c>
      <c r="W2091" s="365"/>
      <c r="X2091" s="365"/>
      <c r="Z2091" s="366"/>
    </row>
    <row r="2092" spans="1:26" hidden="1">
      <c r="A2092" s="367">
        <f>SUBTOTAL(3,$B$15:B2092)</f>
        <v>2</v>
      </c>
      <c r="H2092" s="359">
        <f t="shared" si="67"/>
        <v>0</v>
      </c>
      <c r="N2092" s="361"/>
      <c r="O2092" s="361"/>
      <c r="P2092" s="361"/>
      <c r="Q2092" s="361"/>
      <c r="R2092" s="361"/>
      <c r="S2092" s="361"/>
      <c r="T2092" s="396"/>
      <c r="U2092" s="364">
        <f t="shared" si="68"/>
        <v>0</v>
      </c>
      <c r="W2092" s="365"/>
      <c r="X2092" s="365"/>
      <c r="Z2092" s="366"/>
    </row>
    <row r="2093" spans="1:26" hidden="1">
      <c r="A2093" s="367">
        <f>SUBTOTAL(3,$B$15:B2093)</f>
        <v>2</v>
      </c>
      <c r="H2093" s="359">
        <f t="shared" si="67"/>
        <v>0</v>
      </c>
      <c r="N2093" s="361"/>
      <c r="O2093" s="361"/>
      <c r="P2093" s="361"/>
      <c r="Q2093" s="361"/>
      <c r="R2093" s="361"/>
      <c r="S2093" s="361"/>
      <c r="T2093" s="396"/>
      <c r="U2093" s="364">
        <f t="shared" si="68"/>
        <v>0</v>
      </c>
      <c r="W2093" s="365"/>
      <c r="X2093" s="365"/>
      <c r="Z2093" s="366"/>
    </row>
    <row r="2094" spans="1:26" hidden="1">
      <c r="A2094" s="367">
        <f>SUBTOTAL(3,$B$15:B2094)</f>
        <v>2</v>
      </c>
      <c r="H2094" s="359">
        <f t="shared" si="67"/>
        <v>0</v>
      </c>
      <c r="N2094" s="361"/>
      <c r="O2094" s="361"/>
      <c r="P2094" s="361"/>
      <c r="Q2094" s="361"/>
      <c r="R2094" s="361"/>
      <c r="S2094" s="361"/>
      <c r="T2094" s="396"/>
      <c r="U2094" s="364">
        <f t="shared" si="68"/>
        <v>0</v>
      </c>
      <c r="W2094" s="365"/>
      <c r="X2094" s="365"/>
      <c r="Z2094" s="366"/>
    </row>
    <row r="2095" spans="1:26" hidden="1">
      <c r="A2095" s="367">
        <f>SUBTOTAL(3,$B$15:B2095)</f>
        <v>2</v>
      </c>
      <c r="H2095" s="359">
        <f t="shared" si="67"/>
        <v>0</v>
      </c>
      <c r="N2095" s="361"/>
      <c r="O2095" s="361"/>
      <c r="P2095" s="361"/>
      <c r="Q2095" s="361"/>
      <c r="R2095" s="361"/>
      <c r="S2095" s="361"/>
      <c r="T2095" s="396"/>
      <c r="U2095" s="364">
        <f t="shared" si="68"/>
        <v>0</v>
      </c>
      <c r="W2095" s="365"/>
      <c r="X2095" s="365"/>
      <c r="Z2095" s="366"/>
    </row>
    <row r="2096" spans="1:26" hidden="1">
      <c r="A2096" s="367">
        <f>SUBTOTAL(3,$B$15:B2096)</f>
        <v>2</v>
      </c>
      <c r="H2096" s="359">
        <f t="shared" si="67"/>
        <v>0</v>
      </c>
      <c r="N2096" s="361"/>
      <c r="O2096" s="361"/>
      <c r="P2096" s="361"/>
      <c r="Q2096" s="361"/>
      <c r="R2096" s="361"/>
      <c r="S2096" s="361"/>
      <c r="T2096" s="396"/>
      <c r="U2096" s="364">
        <f t="shared" si="68"/>
        <v>0</v>
      </c>
      <c r="W2096" s="365"/>
      <c r="X2096" s="365"/>
      <c r="Z2096" s="366"/>
    </row>
    <row r="2097" spans="1:26" hidden="1">
      <c r="A2097" s="367">
        <f>SUBTOTAL(3,$B$15:B2097)</f>
        <v>2</v>
      </c>
      <c r="H2097" s="359">
        <f t="shared" si="67"/>
        <v>0</v>
      </c>
      <c r="N2097" s="361"/>
      <c r="O2097" s="361"/>
      <c r="P2097" s="361"/>
      <c r="Q2097" s="361"/>
      <c r="R2097" s="361"/>
      <c r="S2097" s="361"/>
      <c r="T2097" s="396"/>
      <c r="U2097" s="364">
        <f t="shared" si="68"/>
        <v>0</v>
      </c>
      <c r="W2097" s="365"/>
      <c r="X2097" s="365"/>
      <c r="Z2097" s="366"/>
    </row>
    <row r="2098" spans="1:26" hidden="1">
      <c r="A2098" s="367">
        <f>SUBTOTAL(3,$B$15:B2098)</f>
        <v>2</v>
      </c>
      <c r="H2098" s="359">
        <f t="shared" si="67"/>
        <v>0</v>
      </c>
      <c r="N2098" s="361"/>
      <c r="O2098" s="361"/>
      <c r="P2098" s="361"/>
      <c r="Q2098" s="361"/>
      <c r="R2098" s="361"/>
      <c r="S2098" s="361"/>
      <c r="T2098" s="396"/>
      <c r="U2098" s="364">
        <f t="shared" si="68"/>
        <v>0</v>
      </c>
      <c r="W2098" s="365"/>
      <c r="X2098" s="365"/>
      <c r="Z2098" s="366"/>
    </row>
    <row r="2099" spans="1:26" hidden="1">
      <c r="A2099" s="367">
        <f>SUBTOTAL(3,$B$15:B2099)</f>
        <v>2</v>
      </c>
      <c r="H2099" s="359">
        <f t="shared" si="67"/>
        <v>0</v>
      </c>
      <c r="N2099" s="361"/>
      <c r="O2099" s="361"/>
      <c r="P2099" s="361"/>
      <c r="Q2099" s="361"/>
      <c r="R2099" s="361"/>
      <c r="S2099" s="361"/>
      <c r="T2099" s="396"/>
      <c r="U2099" s="364">
        <f t="shared" si="68"/>
        <v>0</v>
      </c>
      <c r="W2099" s="365"/>
      <c r="X2099" s="365"/>
      <c r="Z2099" s="366"/>
    </row>
    <row r="2100" spans="1:26" hidden="1">
      <c r="A2100" s="367">
        <f>SUBTOTAL(3,$B$15:B2100)</f>
        <v>2</v>
      </c>
      <c r="H2100" s="359">
        <f t="shared" si="67"/>
        <v>0</v>
      </c>
      <c r="N2100" s="361"/>
      <c r="O2100" s="361"/>
      <c r="P2100" s="361"/>
      <c r="Q2100" s="361"/>
      <c r="R2100" s="361"/>
      <c r="S2100" s="361"/>
      <c r="T2100" s="396"/>
      <c r="U2100" s="364">
        <f t="shared" si="68"/>
        <v>0</v>
      </c>
      <c r="W2100" s="365"/>
      <c r="X2100" s="365"/>
      <c r="Z2100" s="366"/>
    </row>
    <row r="2101" spans="1:26" hidden="1">
      <c r="A2101" s="367">
        <f>SUBTOTAL(3,$B$15:B2101)</f>
        <v>2</v>
      </c>
      <c r="H2101" s="359">
        <f t="shared" si="67"/>
        <v>0</v>
      </c>
      <c r="N2101" s="361"/>
      <c r="O2101" s="361"/>
      <c r="P2101" s="361"/>
      <c r="Q2101" s="361"/>
      <c r="R2101" s="361"/>
      <c r="S2101" s="361"/>
      <c r="T2101" s="396"/>
      <c r="U2101" s="364">
        <f t="shared" si="68"/>
        <v>0</v>
      </c>
      <c r="W2101" s="365"/>
      <c r="X2101" s="365"/>
      <c r="Z2101" s="366"/>
    </row>
    <row r="2102" spans="1:26" hidden="1">
      <c r="A2102" s="367">
        <f>SUBTOTAL(3,$B$15:B2102)</f>
        <v>2</v>
      </c>
      <c r="H2102" s="359">
        <f t="shared" si="67"/>
        <v>0</v>
      </c>
      <c r="N2102" s="361"/>
      <c r="O2102" s="361"/>
      <c r="P2102" s="361"/>
      <c r="Q2102" s="361"/>
      <c r="R2102" s="361"/>
      <c r="S2102" s="361"/>
      <c r="T2102" s="396"/>
      <c r="U2102" s="364">
        <f t="shared" si="68"/>
        <v>0</v>
      </c>
      <c r="W2102" s="365"/>
      <c r="X2102" s="365"/>
      <c r="Z2102" s="366"/>
    </row>
    <row r="2103" spans="1:26" hidden="1">
      <c r="A2103" s="367">
        <f>SUBTOTAL(3,$B$15:B2103)</f>
        <v>2</v>
      </c>
      <c r="H2103" s="359">
        <f t="shared" si="67"/>
        <v>0</v>
      </c>
      <c r="N2103" s="361"/>
      <c r="O2103" s="361"/>
      <c r="P2103" s="361"/>
      <c r="Q2103" s="361"/>
      <c r="R2103" s="361"/>
      <c r="S2103" s="361"/>
      <c r="T2103" s="396"/>
      <c r="U2103" s="364">
        <f t="shared" si="68"/>
        <v>0</v>
      </c>
      <c r="W2103" s="365"/>
      <c r="X2103" s="365"/>
      <c r="Z2103" s="366"/>
    </row>
    <row r="2104" spans="1:26" hidden="1">
      <c r="A2104" s="367">
        <f>SUBTOTAL(3,$B$15:B2104)</f>
        <v>2</v>
      </c>
      <c r="H2104" s="359">
        <f t="shared" si="67"/>
        <v>0</v>
      </c>
      <c r="N2104" s="361"/>
      <c r="O2104" s="361"/>
      <c r="P2104" s="361"/>
      <c r="Q2104" s="361"/>
      <c r="R2104" s="361"/>
      <c r="S2104" s="361"/>
      <c r="T2104" s="396"/>
      <c r="U2104" s="364">
        <f t="shared" si="68"/>
        <v>0</v>
      </c>
      <c r="W2104" s="365"/>
      <c r="X2104" s="365"/>
      <c r="Z2104" s="366"/>
    </row>
    <row r="2105" spans="1:26" hidden="1">
      <c r="A2105" s="367">
        <f>SUBTOTAL(3,$B$15:B2105)</f>
        <v>2</v>
      </c>
      <c r="H2105" s="359">
        <f t="shared" si="67"/>
        <v>0</v>
      </c>
      <c r="N2105" s="361"/>
      <c r="O2105" s="361"/>
      <c r="P2105" s="361"/>
      <c r="Q2105" s="361"/>
      <c r="R2105" s="361"/>
      <c r="S2105" s="361"/>
      <c r="T2105" s="396"/>
      <c r="U2105" s="364">
        <f t="shared" si="68"/>
        <v>0</v>
      </c>
      <c r="W2105" s="365"/>
      <c r="X2105" s="365"/>
      <c r="Z2105" s="366"/>
    </row>
    <row r="2106" spans="1:26" hidden="1">
      <c r="A2106" s="367">
        <f>SUBTOTAL(3,$B$15:B2106)</f>
        <v>2</v>
      </c>
      <c r="H2106" s="359">
        <f t="shared" si="67"/>
        <v>0</v>
      </c>
      <c r="N2106" s="361"/>
      <c r="O2106" s="361"/>
      <c r="P2106" s="361"/>
      <c r="Q2106" s="361"/>
      <c r="R2106" s="361"/>
      <c r="S2106" s="361"/>
      <c r="T2106" s="396"/>
      <c r="U2106" s="364">
        <f t="shared" si="68"/>
        <v>0</v>
      </c>
      <c r="W2106" s="365"/>
      <c r="X2106" s="365"/>
      <c r="Z2106" s="366"/>
    </row>
    <row r="2107" spans="1:26" hidden="1">
      <c r="A2107" s="367">
        <f>SUBTOTAL(3,$B$15:B2107)</f>
        <v>2</v>
      </c>
      <c r="H2107" s="359">
        <f t="shared" si="67"/>
        <v>0</v>
      </c>
      <c r="N2107" s="361"/>
      <c r="O2107" s="361"/>
      <c r="P2107" s="361"/>
      <c r="Q2107" s="361"/>
      <c r="R2107" s="361"/>
      <c r="S2107" s="361"/>
      <c r="T2107" s="396"/>
      <c r="U2107" s="364">
        <f t="shared" si="68"/>
        <v>0</v>
      </c>
      <c r="W2107" s="365"/>
      <c r="X2107" s="365"/>
      <c r="Z2107" s="366"/>
    </row>
    <row r="2108" spans="1:26" hidden="1">
      <c r="A2108" s="367">
        <f>SUBTOTAL(3,$B$15:B2108)</f>
        <v>2</v>
      </c>
      <c r="H2108" s="359">
        <f t="shared" si="67"/>
        <v>0</v>
      </c>
      <c r="N2108" s="361"/>
      <c r="O2108" s="361"/>
      <c r="P2108" s="361"/>
      <c r="Q2108" s="361"/>
      <c r="R2108" s="361"/>
      <c r="S2108" s="361"/>
      <c r="T2108" s="396"/>
      <c r="U2108" s="364">
        <f t="shared" si="68"/>
        <v>0</v>
      </c>
      <c r="W2108" s="365"/>
      <c r="X2108" s="365"/>
      <c r="Z2108" s="366"/>
    </row>
    <row r="2109" spans="1:26" hidden="1">
      <c r="A2109" s="367">
        <f>SUBTOTAL(3,$B$15:B2109)</f>
        <v>2</v>
      </c>
      <c r="H2109" s="359">
        <f t="shared" si="67"/>
        <v>0</v>
      </c>
      <c r="N2109" s="361"/>
      <c r="O2109" s="361"/>
      <c r="P2109" s="361"/>
      <c r="Q2109" s="361"/>
      <c r="R2109" s="361"/>
      <c r="S2109" s="361"/>
      <c r="T2109" s="396"/>
      <c r="U2109" s="364">
        <f t="shared" si="68"/>
        <v>0</v>
      </c>
      <c r="W2109" s="365"/>
      <c r="X2109" s="365"/>
      <c r="Z2109" s="366"/>
    </row>
    <row r="2110" spans="1:26" hidden="1">
      <c r="A2110" s="367">
        <f>SUBTOTAL(3,$B$15:B2110)</f>
        <v>2</v>
      </c>
      <c r="H2110" s="359">
        <f t="shared" si="67"/>
        <v>0</v>
      </c>
      <c r="N2110" s="361"/>
      <c r="O2110" s="361"/>
      <c r="P2110" s="361"/>
      <c r="Q2110" s="361"/>
      <c r="R2110" s="361"/>
      <c r="S2110" s="361"/>
      <c r="T2110" s="396"/>
      <c r="U2110" s="364">
        <f t="shared" si="68"/>
        <v>0</v>
      </c>
      <c r="W2110" s="365"/>
      <c r="X2110" s="365"/>
      <c r="Z2110" s="366"/>
    </row>
    <row r="2111" spans="1:26" hidden="1">
      <c r="A2111" s="367">
        <f>SUBTOTAL(3,$B$15:B2111)</f>
        <v>2</v>
      </c>
      <c r="H2111" s="359">
        <f t="shared" si="67"/>
        <v>0</v>
      </c>
      <c r="N2111" s="361"/>
      <c r="O2111" s="361"/>
      <c r="P2111" s="361"/>
      <c r="Q2111" s="361"/>
      <c r="R2111" s="361"/>
      <c r="S2111" s="361"/>
      <c r="T2111" s="396"/>
      <c r="U2111" s="364">
        <f t="shared" si="68"/>
        <v>0</v>
      </c>
      <c r="W2111" s="365"/>
      <c r="X2111" s="365"/>
      <c r="Z2111" s="366"/>
    </row>
    <row r="2112" spans="1:26" hidden="1">
      <c r="A2112" s="367">
        <f>SUBTOTAL(3,$B$15:B2112)</f>
        <v>2</v>
      </c>
      <c r="H2112" s="359">
        <f t="shared" si="67"/>
        <v>0</v>
      </c>
      <c r="N2112" s="361"/>
      <c r="O2112" s="361"/>
      <c r="P2112" s="361"/>
      <c r="Q2112" s="361"/>
      <c r="R2112" s="361"/>
      <c r="S2112" s="361"/>
      <c r="T2112" s="396"/>
      <c r="U2112" s="364">
        <f t="shared" si="68"/>
        <v>0</v>
      </c>
      <c r="W2112" s="365"/>
      <c r="X2112" s="365"/>
      <c r="Z2112" s="366"/>
    </row>
    <row r="2113" spans="1:26" hidden="1">
      <c r="A2113" s="367">
        <f>SUBTOTAL(3,$B$15:B2113)</f>
        <v>2</v>
      </c>
      <c r="H2113" s="359">
        <f t="shared" si="67"/>
        <v>0</v>
      </c>
      <c r="N2113" s="361"/>
      <c r="O2113" s="361"/>
      <c r="P2113" s="361"/>
      <c r="Q2113" s="361"/>
      <c r="R2113" s="361"/>
      <c r="S2113" s="361"/>
      <c r="T2113" s="396"/>
      <c r="U2113" s="364">
        <f t="shared" si="68"/>
        <v>0</v>
      </c>
      <c r="W2113" s="365"/>
      <c r="X2113" s="365"/>
      <c r="Z2113" s="366"/>
    </row>
    <row r="2114" spans="1:26" hidden="1">
      <c r="A2114" s="367">
        <f>SUBTOTAL(3,$B$15:B2114)</f>
        <v>2</v>
      </c>
      <c r="H2114" s="359">
        <f t="shared" si="67"/>
        <v>0</v>
      </c>
      <c r="N2114" s="361"/>
      <c r="O2114" s="361"/>
      <c r="P2114" s="361"/>
      <c r="Q2114" s="361"/>
      <c r="R2114" s="361"/>
      <c r="S2114" s="361"/>
      <c r="T2114" s="396"/>
      <c r="U2114" s="364">
        <f t="shared" si="68"/>
        <v>0</v>
      </c>
      <c r="W2114" s="365"/>
      <c r="X2114" s="365"/>
      <c r="Z2114" s="366"/>
    </row>
    <row r="2115" spans="1:26" hidden="1">
      <c r="A2115" s="367">
        <f>SUBTOTAL(3,$B$15:B2115)</f>
        <v>2</v>
      </c>
      <c r="H2115" s="359">
        <f t="shared" si="67"/>
        <v>0</v>
      </c>
      <c r="N2115" s="361"/>
      <c r="O2115" s="361"/>
      <c r="P2115" s="361"/>
      <c r="Q2115" s="361"/>
      <c r="R2115" s="361"/>
      <c r="S2115" s="361"/>
      <c r="T2115" s="396"/>
      <c r="U2115" s="364">
        <f t="shared" si="68"/>
        <v>0</v>
      </c>
      <c r="W2115" s="365"/>
      <c r="X2115" s="365"/>
      <c r="Z2115" s="366"/>
    </row>
    <row r="2116" spans="1:26" hidden="1">
      <c r="A2116" s="367">
        <f>SUBTOTAL(3,$B$15:B2116)</f>
        <v>2</v>
      </c>
      <c r="H2116" s="359">
        <f t="shared" si="67"/>
        <v>0</v>
      </c>
      <c r="N2116" s="361"/>
      <c r="O2116" s="361"/>
      <c r="P2116" s="361"/>
      <c r="Q2116" s="361"/>
      <c r="R2116" s="361"/>
      <c r="S2116" s="361"/>
      <c r="T2116" s="396"/>
      <c r="U2116" s="364">
        <f t="shared" si="68"/>
        <v>0</v>
      </c>
      <c r="W2116" s="365"/>
      <c r="X2116" s="365"/>
      <c r="Z2116" s="366"/>
    </row>
    <row r="2117" spans="1:26" hidden="1">
      <c r="A2117" s="367">
        <f>SUBTOTAL(3,$B$15:B2117)</f>
        <v>2</v>
      </c>
      <c r="H2117" s="359">
        <f t="shared" si="67"/>
        <v>0</v>
      </c>
      <c r="N2117" s="361"/>
      <c r="O2117" s="361"/>
      <c r="P2117" s="361"/>
      <c r="Q2117" s="361"/>
      <c r="R2117" s="361"/>
      <c r="S2117" s="361"/>
      <c r="T2117" s="396"/>
      <c r="U2117" s="364">
        <f t="shared" si="68"/>
        <v>0</v>
      </c>
      <c r="W2117" s="365"/>
      <c r="X2117" s="365"/>
      <c r="Z2117" s="366"/>
    </row>
    <row r="2118" spans="1:26" hidden="1">
      <c r="A2118" s="367">
        <f>SUBTOTAL(3,$B$15:B2118)</f>
        <v>2</v>
      </c>
      <c r="H2118" s="359">
        <f t="shared" si="67"/>
        <v>0</v>
      </c>
      <c r="N2118" s="361"/>
      <c r="O2118" s="361"/>
      <c r="P2118" s="361"/>
      <c r="Q2118" s="361"/>
      <c r="R2118" s="361"/>
      <c r="S2118" s="361"/>
      <c r="T2118" s="396"/>
      <c r="U2118" s="364">
        <f t="shared" si="68"/>
        <v>0</v>
      </c>
      <c r="W2118" s="365"/>
      <c r="X2118" s="365"/>
      <c r="Z2118" s="366"/>
    </row>
    <row r="2119" spans="1:26" hidden="1">
      <c r="A2119" s="367">
        <f>SUBTOTAL(3,$B$15:B2119)</f>
        <v>2</v>
      </c>
      <c r="H2119" s="359">
        <f t="shared" si="67"/>
        <v>0</v>
      </c>
      <c r="N2119" s="361"/>
      <c r="O2119" s="361"/>
      <c r="P2119" s="361"/>
      <c r="Q2119" s="361"/>
      <c r="R2119" s="361"/>
      <c r="S2119" s="361"/>
      <c r="T2119" s="396"/>
      <c r="U2119" s="364">
        <f t="shared" si="68"/>
        <v>0</v>
      </c>
      <c r="W2119" s="365"/>
      <c r="X2119" s="365"/>
      <c r="Z2119" s="366"/>
    </row>
    <row r="2120" spans="1:26" hidden="1">
      <c r="A2120" s="367">
        <f>SUBTOTAL(3,$B$15:B2120)</f>
        <v>2</v>
      </c>
      <c r="H2120" s="359">
        <f t="shared" si="67"/>
        <v>0</v>
      </c>
      <c r="N2120" s="361"/>
      <c r="O2120" s="361"/>
      <c r="P2120" s="361"/>
      <c r="Q2120" s="361"/>
      <c r="R2120" s="361"/>
      <c r="S2120" s="361"/>
      <c r="T2120" s="396"/>
      <c r="U2120" s="364">
        <f t="shared" si="68"/>
        <v>0</v>
      </c>
      <c r="W2120" s="365"/>
      <c r="X2120" s="365"/>
      <c r="Z2120" s="366"/>
    </row>
    <row r="2121" spans="1:26" hidden="1">
      <c r="A2121" s="367">
        <f>SUBTOTAL(3,$B$15:B2121)</f>
        <v>2</v>
      </c>
      <c r="H2121" s="359">
        <f t="shared" si="67"/>
        <v>0</v>
      </c>
      <c r="N2121" s="361"/>
      <c r="O2121" s="361"/>
      <c r="P2121" s="361"/>
      <c r="Q2121" s="361"/>
      <c r="R2121" s="361"/>
      <c r="S2121" s="361"/>
      <c r="T2121" s="396"/>
      <c r="U2121" s="364">
        <f t="shared" si="68"/>
        <v>0</v>
      </c>
      <c r="W2121" s="365"/>
      <c r="X2121" s="365"/>
      <c r="Z2121" s="366"/>
    </row>
    <row r="2122" spans="1:26" hidden="1">
      <c r="A2122" s="367">
        <f>SUBTOTAL(3,$B$15:B2122)</f>
        <v>2</v>
      </c>
      <c r="H2122" s="359">
        <f t="shared" si="67"/>
        <v>0</v>
      </c>
      <c r="N2122" s="361"/>
      <c r="O2122" s="361"/>
      <c r="P2122" s="361"/>
      <c r="Q2122" s="361"/>
      <c r="R2122" s="361"/>
      <c r="S2122" s="361"/>
      <c r="T2122" s="396"/>
      <c r="U2122" s="364">
        <f t="shared" si="68"/>
        <v>0</v>
      </c>
      <c r="W2122" s="365"/>
      <c r="X2122" s="365"/>
      <c r="Z2122" s="366"/>
    </row>
    <row r="2123" spans="1:26" hidden="1">
      <c r="A2123" s="367">
        <f>SUBTOTAL(3,$B$15:B2123)</f>
        <v>2</v>
      </c>
      <c r="H2123" s="359">
        <f t="shared" si="67"/>
        <v>0</v>
      </c>
      <c r="N2123" s="361"/>
      <c r="O2123" s="361"/>
      <c r="P2123" s="361"/>
      <c r="Q2123" s="361"/>
      <c r="R2123" s="361"/>
      <c r="S2123" s="361"/>
      <c r="T2123" s="396"/>
      <c r="U2123" s="364">
        <f t="shared" si="68"/>
        <v>0</v>
      </c>
      <c r="W2123" s="365"/>
      <c r="X2123" s="365"/>
      <c r="Z2123" s="366"/>
    </row>
    <row r="2124" spans="1:26" hidden="1">
      <c r="A2124" s="367">
        <f>SUBTOTAL(3,$B$15:B2124)</f>
        <v>2</v>
      </c>
      <c r="H2124" s="359">
        <f t="shared" si="67"/>
        <v>0</v>
      </c>
      <c r="N2124" s="361"/>
      <c r="O2124" s="361"/>
      <c r="P2124" s="361"/>
      <c r="Q2124" s="361"/>
      <c r="R2124" s="361"/>
      <c r="S2124" s="361"/>
      <c r="T2124" s="396"/>
      <c r="U2124" s="364">
        <f t="shared" si="68"/>
        <v>0</v>
      </c>
      <c r="W2124" s="365"/>
      <c r="X2124" s="365"/>
      <c r="Z2124" s="366"/>
    </row>
    <row r="2125" spans="1:26" hidden="1">
      <c r="A2125" s="367">
        <f>SUBTOTAL(3,$B$15:B2125)</f>
        <v>2</v>
      </c>
      <c r="H2125" s="359">
        <f t="shared" si="67"/>
        <v>0</v>
      </c>
      <c r="N2125" s="361"/>
      <c r="O2125" s="361"/>
      <c r="P2125" s="361"/>
      <c r="Q2125" s="361"/>
      <c r="R2125" s="361"/>
      <c r="S2125" s="361"/>
      <c r="T2125" s="396"/>
      <c r="U2125" s="364">
        <f t="shared" si="68"/>
        <v>0</v>
      </c>
      <c r="W2125" s="365"/>
      <c r="X2125" s="365"/>
      <c r="Z2125" s="366"/>
    </row>
    <row r="2126" spans="1:26" hidden="1">
      <c r="A2126" s="367">
        <f>SUBTOTAL(3,$B$15:B2126)</f>
        <v>2</v>
      </c>
      <c r="H2126" s="359">
        <f t="shared" si="67"/>
        <v>0</v>
      </c>
      <c r="N2126" s="361"/>
      <c r="O2126" s="361"/>
      <c r="P2126" s="361"/>
      <c r="Q2126" s="361"/>
      <c r="R2126" s="361"/>
      <c r="S2126" s="361"/>
      <c r="T2126" s="396"/>
      <c r="U2126" s="364">
        <f t="shared" si="68"/>
        <v>0</v>
      </c>
      <c r="W2126" s="365"/>
      <c r="X2126" s="365"/>
      <c r="Z2126" s="366"/>
    </row>
    <row r="2127" spans="1:26" hidden="1">
      <c r="A2127" s="367">
        <f>SUBTOTAL(3,$B$15:B2127)</f>
        <v>2</v>
      </c>
      <c r="H2127" s="359">
        <f t="shared" si="67"/>
        <v>0</v>
      </c>
      <c r="N2127" s="361"/>
      <c r="O2127" s="361"/>
      <c r="P2127" s="361"/>
      <c r="Q2127" s="361"/>
      <c r="R2127" s="361"/>
      <c r="S2127" s="361"/>
      <c r="T2127" s="396"/>
      <c r="U2127" s="364">
        <f t="shared" si="68"/>
        <v>0</v>
      </c>
      <c r="W2127" s="365"/>
      <c r="X2127" s="365"/>
      <c r="Z2127" s="366"/>
    </row>
    <row r="2128" spans="1:26" hidden="1">
      <c r="A2128" s="367">
        <f>SUBTOTAL(3,$B$15:B2128)</f>
        <v>2</v>
      </c>
      <c r="H2128" s="359">
        <f t="shared" si="67"/>
        <v>0</v>
      </c>
      <c r="N2128" s="361"/>
      <c r="O2128" s="361"/>
      <c r="P2128" s="361"/>
      <c r="Q2128" s="361"/>
      <c r="R2128" s="361"/>
      <c r="S2128" s="361"/>
      <c r="T2128" s="396"/>
      <c r="U2128" s="364">
        <f t="shared" si="68"/>
        <v>0</v>
      </c>
      <c r="W2128" s="365"/>
      <c r="X2128" s="365"/>
      <c r="Z2128" s="366"/>
    </row>
    <row r="2129" spans="1:26" hidden="1">
      <c r="A2129" s="367">
        <f>SUBTOTAL(3,$B$15:B2129)</f>
        <v>2</v>
      </c>
      <c r="H2129" s="359">
        <f t="shared" si="67"/>
        <v>0</v>
      </c>
      <c r="N2129" s="361"/>
      <c r="O2129" s="361"/>
      <c r="P2129" s="361"/>
      <c r="Q2129" s="361"/>
      <c r="R2129" s="361"/>
      <c r="S2129" s="361"/>
      <c r="T2129" s="396"/>
      <c r="U2129" s="364">
        <f t="shared" si="68"/>
        <v>0</v>
      </c>
      <c r="W2129" s="365"/>
      <c r="X2129" s="365"/>
      <c r="Z2129" s="366"/>
    </row>
    <row r="2130" spans="1:26" hidden="1">
      <c r="A2130" s="367">
        <f>SUBTOTAL(3,$B$15:B2130)</f>
        <v>2</v>
      </c>
      <c r="H2130" s="359">
        <f t="shared" si="67"/>
        <v>0</v>
      </c>
      <c r="N2130" s="361"/>
      <c r="O2130" s="361"/>
      <c r="P2130" s="361"/>
      <c r="Q2130" s="361"/>
      <c r="R2130" s="361"/>
      <c r="S2130" s="361"/>
      <c r="T2130" s="396"/>
      <c r="U2130" s="364">
        <f t="shared" si="68"/>
        <v>0</v>
      </c>
      <c r="W2130" s="365"/>
      <c r="X2130" s="365"/>
      <c r="Z2130" s="366"/>
    </row>
    <row r="2131" spans="1:26" hidden="1">
      <c r="A2131" s="367">
        <f>SUBTOTAL(3,$B$15:B2131)</f>
        <v>2</v>
      </c>
      <c r="H2131" s="359">
        <f t="shared" si="67"/>
        <v>0</v>
      </c>
      <c r="N2131" s="361"/>
      <c r="O2131" s="361"/>
      <c r="P2131" s="361"/>
      <c r="Q2131" s="361"/>
      <c r="R2131" s="361"/>
      <c r="S2131" s="361"/>
      <c r="T2131" s="396"/>
      <c r="U2131" s="364">
        <f t="shared" si="68"/>
        <v>0</v>
      </c>
      <c r="W2131" s="365"/>
      <c r="X2131" s="365"/>
      <c r="Z2131" s="366"/>
    </row>
    <row r="2132" spans="1:26" hidden="1">
      <c r="A2132" s="367">
        <f>SUBTOTAL(3,$B$15:B2132)</f>
        <v>2</v>
      </c>
      <c r="H2132" s="359">
        <f t="shared" ref="H2132:H2195" si="69">+G2132-SUM(M2132,O2132,Q2132)</f>
        <v>0</v>
      </c>
      <c r="N2132" s="361"/>
      <c r="O2132" s="361"/>
      <c r="P2132" s="361"/>
      <c r="Q2132" s="361"/>
      <c r="R2132" s="361"/>
      <c r="S2132" s="361"/>
      <c r="T2132" s="396"/>
      <c r="U2132" s="364">
        <f t="shared" si="68"/>
        <v>0</v>
      </c>
      <c r="W2132" s="365"/>
      <c r="X2132" s="365"/>
      <c r="Z2132" s="366"/>
    </row>
    <row r="2133" spans="1:26" hidden="1">
      <c r="A2133" s="367">
        <f>SUBTOTAL(3,$B$15:B2133)</f>
        <v>2</v>
      </c>
      <c r="H2133" s="359">
        <f t="shared" si="69"/>
        <v>0</v>
      </c>
      <c r="N2133" s="361"/>
      <c r="O2133" s="361"/>
      <c r="P2133" s="361"/>
      <c r="Q2133" s="361"/>
      <c r="R2133" s="361"/>
      <c r="S2133" s="361"/>
      <c r="T2133" s="396"/>
      <c r="U2133" s="364">
        <f t="shared" si="68"/>
        <v>0</v>
      </c>
      <c r="W2133" s="365"/>
      <c r="X2133" s="365"/>
      <c r="Z2133" s="366"/>
    </row>
    <row r="2134" spans="1:26" hidden="1">
      <c r="A2134" s="367">
        <f>SUBTOTAL(3,$B$15:B2134)</f>
        <v>2</v>
      </c>
      <c r="H2134" s="359">
        <f t="shared" si="69"/>
        <v>0</v>
      </c>
      <c r="N2134" s="361"/>
      <c r="O2134" s="361"/>
      <c r="P2134" s="361"/>
      <c r="Q2134" s="361"/>
      <c r="R2134" s="361"/>
      <c r="S2134" s="361"/>
      <c r="T2134" s="396"/>
      <c r="U2134" s="364">
        <f t="shared" si="68"/>
        <v>0</v>
      </c>
      <c r="W2134" s="365"/>
      <c r="X2134" s="365"/>
      <c r="Z2134" s="366"/>
    </row>
    <row r="2135" spans="1:26" hidden="1">
      <c r="A2135" s="367">
        <f>SUBTOTAL(3,$B$15:B2135)</f>
        <v>2</v>
      </c>
      <c r="H2135" s="359">
        <f t="shared" si="69"/>
        <v>0</v>
      </c>
      <c r="N2135" s="361"/>
      <c r="O2135" s="361"/>
      <c r="P2135" s="361"/>
      <c r="Q2135" s="361"/>
      <c r="R2135" s="361"/>
      <c r="S2135" s="361"/>
      <c r="T2135" s="396"/>
      <c r="U2135" s="364">
        <f t="shared" ref="U2135:U2198" si="70">SUM(H2135:T2135)</f>
        <v>0</v>
      </c>
      <c r="W2135" s="365"/>
      <c r="X2135" s="365"/>
      <c r="Z2135" s="366"/>
    </row>
    <row r="2136" spans="1:26" hidden="1">
      <c r="A2136" s="367">
        <f>SUBTOTAL(3,$B$15:B2136)</f>
        <v>2</v>
      </c>
      <c r="H2136" s="359">
        <f t="shared" si="69"/>
        <v>0</v>
      </c>
      <c r="N2136" s="361"/>
      <c r="O2136" s="361"/>
      <c r="P2136" s="361"/>
      <c r="Q2136" s="361"/>
      <c r="R2136" s="361"/>
      <c r="S2136" s="361"/>
      <c r="T2136" s="396"/>
      <c r="U2136" s="364">
        <f t="shared" si="70"/>
        <v>0</v>
      </c>
      <c r="W2136" s="365"/>
      <c r="X2136" s="365"/>
      <c r="Z2136" s="366"/>
    </row>
    <row r="2137" spans="1:26" hidden="1">
      <c r="A2137" s="367">
        <f>SUBTOTAL(3,$B$15:B2137)</f>
        <v>2</v>
      </c>
      <c r="H2137" s="359">
        <f t="shared" si="69"/>
        <v>0</v>
      </c>
      <c r="N2137" s="361"/>
      <c r="O2137" s="361"/>
      <c r="P2137" s="361"/>
      <c r="Q2137" s="361"/>
      <c r="R2137" s="361"/>
      <c r="S2137" s="361"/>
      <c r="T2137" s="396"/>
      <c r="U2137" s="364">
        <f t="shared" si="70"/>
        <v>0</v>
      </c>
      <c r="W2137" s="365"/>
      <c r="X2137" s="365"/>
      <c r="Z2137" s="366"/>
    </row>
    <row r="2138" spans="1:26" hidden="1">
      <c r="A2138" s="367">
        <f>SUBTOTAL(3,$B$15:B2138)</f>
        <v>2</v>
      </c>
      <c r="H2138" s="359">
        <f t="shared" si="69"/>
        <v>0</v>
      </c>
      <c r="N2138" s="361"/>
      <c r="O2138" s="361"/>
      <c r="P2138" s="361"/>
      <c r="Q2138" s="361"/>
      <c r="R2138" s="361"/>
      <c r="S2138" s="361"/>
      <c r="T2138" s="396"/>
      <c r="U2138" s="364">
        <f t="shared" si="70"/>
        <v>0</v>
      </c>
      <c r="W2138" s="365"/>
      <c r="X2138" s="365"/>
      <c r="Z2138" s="366"/>
    </row>
    <row r="2139" spans="1:26" hidden="1">
      <c r="A2139" s="367">
        <f>SUBTOTAL(3,$B$15:B2139)</f>
        <v>2</v>
      </c>
      <c r="H2139" s="359">
        <f t="shared" si="69"/>
        <v>0</v>
      </c>
      <c r="N2139" s="361"/>
      <c r="O2139" s="361"/>
      <c r="P2139" s="361"/>
      <c r="Q2139" s="361"/>
      <c r="R2139" s="361"/>
      <c r="S2139" s="361"/>
      <c r="T2139" s="396"/>
      <c r="U2139" s="364">
        <f t="shared" si="70"/>
        <v>0</v>
      </c>
      <c r="W2139" s="365"/>
      <c r="X2139" s="365"/>
      <c r="Z2139" s="366"/>
    </row>
    <row r="2140" spans="1:26" hidden="1">
      <c r="A2140" s="367">
        <f>SUBTOTAL(3,$B$15:B2140)</f>
        <v>2</v>
      </c>
      <c r="H2140" s="359">
        <f t="shared" si="69"/>
        <v>0</v>
      </c>
      <c r="N2140" s="361"/>
      <c r="O2140" s="361"/>
      <c r="P2140" s="361"/>
      <c r="Q2140" s="361"/>
      <c r="R2140" s="361"/>
      <c r="S2140" s="361"/>
      <c r="T2140" s="396"/>
      <c r="U2140" s="364">
        <f t="shared" si="70"/>
        <v>0</v>
      </c>
      <c r="W2140" s="365"/>
      <c r="X2140" s="365"/>
      <c r="Z2140" s="366"/>
    </row>
    <row r="2141" spans="1:26" hidden="1">
      <c r="A2141" s="367">
        <f>SUBTOTAL(3,$B$15:B2141)</f>
        <v>2</v>
      </c>
      <c r="H2141" s="359">
        <f t="shared" si="69"/>
        <v>0</v>
      </c>
      <c r="N2141" s="361"/>
      <c r="O2141" s="361"/>
      <c r="P2141" s="361"/>
      <c r="Q2141" s="361"/>
      <c r="R2141" s="361"/>
      <c r="S2141" s="361"/>
      <c r="T2141" s="396"/>
      <c r="U2141" s="364">
        <f t="shared" si="70"/>
        <v>0</v>
      </c>
      <c r="W2141" s="365"/>
      <c r="X2141" s="365"/>
      <c r="Z2141" s="366"/>
    </row>
    <row r="2142" spans="1:26" hidden="1">
      <c r="A2142" s="367">
        <f>SUBTOTAL(3,$B$15:B2142)</f>
        <v>2</v>
      </c>
      <c r="H2142" s="359">
        <f t="shared" si="69"/>
        <v>0</v>
      </c>
      <c r="N2142" s="361"/>
      <c r="O2142" s="361"/>
      <c r="P2142" s="361"/>
      <c r="Q2142" s="361"/>
      <c r="R2142" s="361"/>
      <c r="S2142" s="361"/>
      <c r="T2142" s="396"/>
      <c r="U2142" s="364">
        <f t="shared" si="70"/>
        <v>0</v>
      </c>
      <c r="W2142" s="365"/>
      <c r="X2142" s="365"/>
      <c r="Z2142" s="366"/>
    </row>
    <row r="2143" spans="1:26" hidden="1">
      <c r="A2143" s="367">
        <f>SUBTOTAL(3,$B$15:B2143)</f>
        <v>2</v>
      </c>
      <c r="H2143" s="359">
        <f t="shared" si="69"/>
        <v>0</v>
      </c>
      <c r="N2143" s="361"/>
      <c r="O2143" s="361"/>
      <c r="P2143" s="361"/>
      <c r="Q2143" s="361"/>
      <c r="R2143" s="361"/>
      <c r="S2143" s="361"/>
      <c r="T2143" s="396"/>
      <c r="U2143" s="364">
        <f t="shared" si="70"/>
        <v>0</v>
      </c>
      <c r="W2143" s="365"/>
      <c r="X2143" s="365"/>
      <c r="Z2143" s="366"/>
    </row>
    <row r="2144" spans="1:26" hidden="1">
      <c r="A2144" s="367">
        <f>SUBTOTAL(3,$B$15:B2144)</f>
        <v>2</v>
      </c>
      <c r="H2144" s="359">
        <f t="shared" si="69"/>
        <v>0</v>
      </c>
      <c r="N2144" s="361"/>
      <c r="O2144" s="361"/>
      <c r="P2144" s="361"/>
      <c r="Q2144" s="361"/>
      <c r="R2144" s="361"/>
      <c r="S2144" s="361"/>
      <c r="T2144" s="396"/>
      <c r="U2144" s="364">
        <f t="shared" si="70"/>
        <v>0</v>
      </c>
      <c r="W2144" s="365"/>
      <c r="X2144" s="365"/>
      <c r="Z2144" s="366"/>
    </row>
    <row r="2145" spans="1:26" hidden="1">
      <c r="A2145" s="367">
        <f>SUBTOTAL(3,$B$15:B2145)</f>
        <v>2</v>
      </c>
      <c r="H2145" s="359">
        <f t="shared" si="69"/>
        <v>0</v>
      </c>
      <c r="N2145" s="361"/>
      <c r="O2145" s="361"/>
      <c r="P2145" s="361"/>
      <c r="Q2145" s="361"/>
      <c r="R2145" s="361"/>
      <c r="S2145" s="361"/>
      <c r="T2145" s="396"/>
      <c r="U2145" s="364">
        <f t="shared" si="70"/>
        <v>0</v>
      </c>
      <c r="W2145" s="365"/>
      <c r="X2145" s="365"/>
      <c r="Z2145" s="366"/>
    </row>
    <row r="2146" spans="1:26" hidden="1">
      <c r="A2146" s="367">
        <f>SUBTOTAL(3,$B$15:B2146)</f>
        <v>2</v>
      </c>
      <c r="H2146" s="359">
        <f t="shared" si="69"/>
        <v>0</v>
      </c>
      <c r="N2146" s="361"/>
      <c r="O2146" s="361"/>
      <c r="P2146" s="361"/>
      <c r="Q2146" s="361"/>
      <c r="R2146" s="361"/>
      <c r="S2146" s="361"/>
      <c r="T2146" s="396"/>
      <c r="U2146" s="364">
        <f t="shared" si="70"/>
        <v>0</v>
      </c>
      <c r="W2146" s="365"/>
      <c r="X2146" s="365"/>
      <c r="Z2146" s="366"/>
    </row>
    <row r="2147" spans="1:26" hidden="1">
      <c r="A2147" s="367">
        <f>SUBTOTAL(3,$B$15:B2147)</f>
        <v>2</v>
      </c>
      <c r="H2147" s="359">
        <f t="shared" si="69"/>
        <v>0</v>
      </c>
      <c r="N2147" s="361"/>
      <c r="O2147" s="361"/>
      <c r="P2147" s="361"/>
      <c r="Q2147" s="361"/>
      <c r="R2147" s="361"/>
      <c r="S2147" s="361"/>
      <c r="T2147" s="396"/>
      <c r="U2147" s="364">
        <f t="shared" si="70"/>
        <v>0</v>
      </c>
      <c r="W2147" s="365"/>
      <c r="X2147" s="365"/>
      <c r="Z2147" s="366"/>
    </row>
    <row r="2148" spans="1:26" hidden="1">
      <c r="A2148" s="367">
        <f>SUBTOTAL(3,$B$15:B2148)</f>
        <v>2</v>
      </c>
      <c r="H2148" s="359">
        <f t="shared" si="69"/>
        <v>0</v>
      </c>
      <c r="N2148" s="361"/>
      <c r="O2148" s="361"/>
      <c r="P2148" s="361"/>
      <c r="Q2148" s="361"/>
      <c r="R2148" s="361"/>
      <c r="S2148" s="361"/>
      <c r="T2148" s="396"/>
      <c r="U2148" s="364">
        <f t="shared" si="70"/>
        <v>0</v>
      </c>
      <c r="W2148" s="365"/>
      <c r="X2148" s="365"/>
      <c r="Z2148" s="366"/>
    </row>
    <row r="2149" spans="1:26" hidden="1">
      <c r="A2149" s="367">
        <f>SUBTOTAL(3,$B$15:B2149)</f>
        <v>2</v>
      </c>
      <c r="H2149" s="359">
        <f t="shared" si="69"/>
        <v>0</v>
      </c>
      <c r="N2149" s="361"/>
      <c r="O2149" s="361"/>
      <c r="P2149" s="361"/>
      <c r="Q2149" s="361"/>
      <c r="R2149" s="361"/>
      <c r="S2149" s="361"/>
      <c r="T2149" s="396"/>
      <c r="U2149" s="364">
        <f t="shared" si="70"/>
        <v>0</v>
      </c>
      <c r="W2149" s="365"/>
      <c r="X2149" s="365"/>
      <c r="Z2149" s="366"/>
    </row>
    <row r="2150" spans="1:26" hidden="1">
      <c r="A2150" s="367">
        <f>SUBTOTAL(3,$B$15:B2150)</f>
        <v>2</v>
      </c>
      <c r="H2150" s="359">
        <f t="shared" si="69"/>
        <v>0</v>
      </c>
      <c r="N2150" s="361"/>
      <c r="O2150" s="361"/>
      <c r="P2150" s="361"/>
      <c r="Q2150" s="361"/>
      <c r="R2150" s="361"/>
      <c r="S2150" s="361"/>
      <c r="T2150" s="396"/>
      <c r="U2150" s="364">
        <f t="shared" si="70"/>
        <v>0</v>
      </c>
      <c r="W2150" s="365"/>
      <c r="X2150" s="365"/>
      <c r="Z2150" s="366"/>
    </row>
    <row r="2151" spans="1:26" hidden="1">
      <c r="A2151" s="367">
        <f>SUBTOTAL(3,$B$15:B2151)</f>
        <v>2</v>
      </c>
      <c r="H2151" s="359">
        <f t="shared" si="69"/>
        <v>0</v>
      </c>
      <c r="N2151" s="361"/>
      <c r="O2151" s="361"/>
      <c r="P2151" s="361"/>
      <c r="Q2151" s="361"/>
      <c r="R2151" s="361"/>
      <c r="S2151" s="361"/>
      <c r="T2151" s="396"/>
      <c r="U2151" s="364">
        <f t="shared" si="70"/>
        <v>0</v>
      </c>
      <c r="W2151" s="365"/>
      <c r="X2151" s="365"/>
      <c r="Z2151" s="366"/>
    </row>
    <row r="2152" spans="1:26" hidden="1">
      <c r="A2152" s="367">
        <f>SUBTOTAL(3,$B$15:B2152)</f>
        <v>2</v>
      </c>
      <c r="H2152" s="359">
        <f t="shared" si="69"/>
        <v>0</v>
      </c>
      <c r="N2152" s="361"/>
      <c r="O2152" s="361"/>
      <c r="P2152" s="361"/>
      <c r="Q2152" s="361"/>
      <c r="R2152" s="361"/>
      <c r="S2152" s="361"/>
      <c r="T2152" s="396"/>
      <c r="U2152" s="364">
        <f t="shared" si="70"/>
        <v>0</v>
      </c>
      <c r="W2152" s="365"/>
      <c r="X2152" s="365"/>
      <c r="Z2152" s="366"/>
    </row>
    <row r="2153" spans="1:26" hidden="1">
      <c r="A2153" s="367">
        <f>SUBTOTAL(3,$B$15:B2153)</f>
        <v>2</v>
      </c>
      <c r="H2153" s="359">
        <f t="shared" si="69"/>
        <v>0</v>
      </c>
      <c r="N2153" s="361"/>
      <c r="O2153" s="361"/>
      <c r="P2153" s="361"/>
      <c r="Q2153" s="361"/>
      <c r="R2153" s="361"/>
      <c r="S2153" s="361"/>
      <c r="T2153" s="396"/>
      <c r="U2153" s="364">
        <f t="shared" si="70"/>
        <v>0</v>
      </c>
      <c r="W2153" s="365"/>
      <c r="X2153" s="365"/>
      <c r="Z2153" s="366"/>
    </row>
    <row r="2154" spans="1:26" hidden="1">
      <c r="A2154" s="367">
        <f>SUBTOTAL(3,$B$15:B2154)</f>
        <v>2</v>
      </c>
      <c r="H2154" s="359">
        <f t="shared" si="69"/>
        <v>0</v>
      </c>
      <c r="N2154" s="361"/>
      <c r="O2154" s="361"/>
      <c r="P2154" s="361"/>
      <c r="Q2154" s="361"/>
      <c r="R2154" s="361"/>
      <c r="S2154" s="361"/>
      <c r="T2154" s="396"/>
      <c r="U2154" s="364">
        <f t="shared" si="70"/>
        <v>0</v>
      </c>
      <c r="W2154" s="365"/>
      <c r="X2154" s="365"/>
      <c r="Z2154" s="366"/>
    </row>
    <row r="2155" spans="1:26" hidden="1">
      <c r="A2155" s="367">
        <f>SUBTOTAL(3,$B$15:B2155)</f>
        <v>2</v>
      </c>
      <c r="H2155" s="359">
        <f t="shared" si="69"/>
        <v>0</v>
      </c>
      <c r="N2155" s="361"/>
      <c r="O2155" s="361"/>
      <c r="P2155" s="361"/>
      <c r="Q2155" s="361"/>
      <c r="R2155" s="361"/>
      <c r="S2155" s="361"/>
      <c r="T2155" s="396"/>
      <c r="U2155" s="364">
        <f t="shared" si="70"/>
        <v>0</v>
      </c>
      <c r="W2155" s="365"/>
      <c r="X2155" s="365"/>
      <c r="Z2155" s="366"/>
    </row>
    <row r="2156" spans="1:26" hidden="1">
      <c r="A2156" s="367">
        <f>SUBTOTAL(3,$B$15:B2156)</f>
        <v>2</v>
      </c>
      <c r="H2156" s="359">
        <f t="shared" si="69"/>
        <v>0</v>
      </c>
      <c r="N2156" s="361"/>
      <c r="O2156" s="361"/>
      <c r="P2156" s="361"/>
      <c r="Q2156" s="361"/>
      <c r="R2156" s="361"/>
      <c r="S2156" s="361"/>
      <c r="T2156" s="396"/>
      <c r="U2156" s="364">
        <f t="shared" si="70"/>
        <v>0</v>
      </c>
      <c r="W2156" s="365"/>
      <c r="X2156" s="365"/>
      <c r="Z2156" s="366"/>
    </row>
    <row r="2157" spans="1:26" hidden="1">
      <c r="A2157" s="367">
        <f>SUBTOTAL(3,$B$15:B2157)</f>
        <v>2</v>
      </c>
      <c r="H2157" s="359">
        <f t="shared" si="69"/>
        <v>0</v>
      </c>
      <c r="N2157" s="361"/>
      <c r="O2157" s="361"/>
      <c r="P2157" s="361"/>
      <c r="Q2157" s="361"/>
      <c r="R2157" s="361"/>
      <c r="S2157" s="361"/>
      <c r="T2157" s="396"/>
      <c r="U2157" s="364">
        <f t="shared" si="70"/>
        <v>0</v>
      </c>
      <c r="W2157" s="365"/>
      <c r="X2157" s="365"/>
      <c r="Z2157" s="366"/>
    </row>
    <row r="2158" spans="1:26" hidden="1">
      <c r="A2158" s="367">
        <f>SUBTOTAL(3,$B$15:B2158)</f>
        <v>2</v>
      </c>
      <c r="H2158" s="359">
        <f t="shared" si="69"/>
        <v>0</v>
      </c>
      <c r="N2158" s="361"/>
      <c r="O2158" s="361"/>
      <c r="P2158" s="361"/>
      <c r="Q2158" s="361"/>
      <c r="R2158" s="361"/>
      <c r="S2158" s="361"/>
      <c r="T2158" s="396"/>
      <c r="U2158" s="364">
        <f t="shared" si="70"/>
        <v>0</v>
      </c>
      <c r="W2158" s="365"/>
      <c r="X2158" s="365"/>
      <c r="Z2158" s="366"/>
    </row>
    <row r="2159" spans="1:26" hidden="1">
      <c r="A2159" s="367">
        <f>SUBTOTAL(3,$B$15:B2159)</f>
        <v>2</v>
      </c>
      <c r="H2159" s="359">
        <f t="shared" si="69"/>
        <v>0</v>
      </c>
      <c r="N2159" s="361"/>
      <c r="O2159" s="361"/>
      <c r="P2159" s="361"/>
      <c r="Q2159" s="361"/>
      <c r="R2159" s="361"/>
      <c r="S2159" s="361"/>
      <c r="T2159" s="396"/>
      <c r="U2159" s="364">
        <f t="shared" si="70"/>
        <v>0</v>
      </c>
      <c r="W2159" s="365"/>
      <c r="X2159" s="365"/>
      <c r="Z2159" s="366"/>
    </row>
    <row r="2160" spans="1:26" hidden="1">
      <c r="A2160" s="367">
        <f>SUBTOTAL(3,$B$15:B2160)</f>
        <v>2</v>
      </c>
      <c r="H2160" s="359">
        <f t="shared" si="69"/>
        <v>0</v>
      </c>
      <c r="N2160" s="361"/>
      <c r="O2160" s="361"/>
      <c r="P2160" s="361"/>
      <c r="Q2160" s="361"/>
      <c r="R2160" s="361"/>
      <c r="S2160" s="361"/>
      <c r="T2160" s="396"/>
      <c r="U2160" s="364">
        <f t="shared" si="70"/>
        <v>0</v>
      </c>
      <c r="W2160" s="365"/>
      <c r="X2160" s="365"/>
      <c r="Z2160" s="366"/>
    </row>
    <row r="2161" spans="1:26" hidden="1">
      <c r="A2161" s="367">
        <f>SUBTOTAL(3,$B$15:B2161)</f>
        <v>2</v>
      </c>
      <c r="H2161" s="359">
        <f t="shared" si="69"/>
        <v>0</v>
      </c>
      <c r="N2161" s="361"/>
      <c r="O2161" s="361"/>
      <c r="P2161" s="361"/>
      <c r="Q2161" s="361"/>
      <c r="R2161" s="361"/>
      <c r="S2161" s="361"/>
      <c r="T2161" s="396"/>
      <c r="U2161" s="364">
        <f t="shared" si="70"/>
        <v>0</v>
      </c>
      <c r="W2161" s="365"/>
      <c r="X2161" s="365"/>
      <c r="Z2161" s="366"/>
    </row>
    <row r="2162" spans="1:26" hidden="1">
      <c r="A2162" s="367">
        <f>SUBTOTAL(3,$B$15:B2162)</f>
        <v>2</v>
      </c>
      <c r="H2162" s="359">
        <f t="shared" si="69"/>
        <v>0</v>
      </c>
      <c r="N2162" s="361"/>
      <c r="O2162" s="361"/>
      <c r="P2162" s="361"/>
      <c r="Q2162" s="361"/>
      <c r="R2162" s="361"/>
      <c r="S2162" s="361"/>
      <c r="T2162" s="396"/>
      <c r="U2162" s="364">
        <f t="shared" si="70"/>
        <v>0</v>
      </c>
      <c r="W2162" s="365"/>
      <c r="X2162" s="365"/>
      <c r="Z2162" s="366"/>
    </row>
    <row r="2163" spans="1:26" hidden="1">
      <c r="A2163" s="367">
        <f>SUBTOTAL(3,$B$15:B2163)</f>
        <v>2</v>
      </c>
      <c r="H2163" s="359">
        <f t="shared" si="69"/>
        <v>0</v>
      </c>
      <c r="N2163" s="361"/>
      <c r="O2163" s="361"/>
      <c r="P2163" s="361"/>
      <c r="Q2163" s="361"/>
      <c r="R2163" s="361"/>
      <c r="S2163" s="361"/>
      <c r="T2163" s="396"/>
      <c r="U2163" s="364">
        <f t="shared" si="70"/>
        <v>0</v>
      </c>
      <c r="W2163" s="365"/>
      <c r="X2163" s="365"/>
      <c r="Z2163" s="366"/>
    </row>
    <row r="2164" spans="1:26" hidden="1">
      <c r="A2164" s="367">
        <f>SUBTOTAL(3,$B$15:B2164)</f>
        <v>2</v>
      </c>
      <c r="H2164" s="359">
        <f t="shared" si="69"/>
        <v>0</v>
      </c>
      <c r="N2164" s="361"/>
      <c r="O2164" s="361"/>
      <c r="P2164" s="361"/>
      <c r="Q2164" s="361"/>
      <c r="R2164" s="361"/>
      <c r="S2164" s="361"/>
      <c r="T2164" s="396"/>
      <c r="U2164" s="364">
        <f t="shared" si="70"/>
        <v>0</v>
      </c>
      <c r="W2164" s="365"/>
      <c r="X2164" s="365"/>
      <c r="Z2164" s="366"/>
    </row>
    <row r="2165" spans="1:26" hidden="1">
      <c r="A2165" s="367">
        <f>SUBTOTAL(3,$B$15:B2165)</f>
        <v>2</v>
      </c>
      <c r="H2165" s="359">
        <f t="shared" si="69"/>
        <v>0</v>
      </c>
      <c r="N2165" s="361"/>
      <c r="O2165" s="361"/>
      <c r="P2165" s="361"/>
      <c r="Q2165" s="361"/>
      <c r="R2165" s="361"/>
      <c r="S2165" s="361"/>
      <c r="T2165" s="396"/>
      <c r="U2165" s="364">
        <f t="shared" si="70"/>
        <v>0</v>
      </c>
      <c r="W2165" s="365"/>
      <c r="X2165" s="365"/>
      <c r="Z2165" s="366"/>
    </row>
    <row r="2166" spans="1:26" hidden="1">
      <c r="A2166" s="367">
        <f>SUBTOTAL(3,$B$15:B2166)</f>
        <v>2</v>
      </c>
      <c r="H2166" s="359">
        <f t="shared" si="69"/>
        <v>0</v>
      </c>
      <c r="N2166" s="361"/>
      <c r="O2166" s="361"/>
      <c r="P2166" s="361"/>
      <c r="Q2166" s="361"/>
      <c r="R2166" s="361"/>
      <c r="S2166" s="361"/>
      <c r="T2166" s="396"/>
      <c r="U2166" s="364">
        <f t="shared" si="70"/>
        <v>0</v>
      </c>
      <c r="W2166" s="365"/>
      <c r="X2166" s="365"/>
      <c r="Z2166" s="366"/>
    </row>
    <row r="2167" spans="1:26" hidden="1">
      <c r="A2167" s="367">
        <f>SUBTOTAL(3,$B$15:B2167)</f>
        <v>2</v>
      </c>
      <c r="H2167" s="359">
        <f t="shared" si="69"/>
        <v>0</v>
      </c>
      <c r="N2167" s="361"/>
      <c r="O2167" s="361"/>
      <c r="P2167" s="361"/>
      <c r="Q2167" s="361"/>
      <c r="R2167" s="361"/>
      <c r="S2167" s="361"/>
      <c r="T2167" s="396"/>
      <c r="U2167" s="364">
        <f t="shared" si="70"/>
        <v>0</v>
      </c>
      <c r="W2167" s="365"/>
      <c r="X2167" s="365"/>
      <c r="Z2167" s="366"/>
    </row>
    <row r="2168" spans="1:26" hidden="1">
      <c r="A2168" s="367">
        <f>SUBTOTAL(3,$B$15:B2168)</f>
        <v>2</v>
      </c>
      <c r="H2168" s="359">
        <f t="shared" si="69"/>
        <v>0</v>
      </c>
      <c r="N2168" s="361"/>
      <c r="O2168" s="361"/>
      <c r="P2168" s="361"/>
      <c r="Q2168" s="361"/>
      <c r="R2168" s="361"/>
      <c r="S2168" s="361"/>
      <c r="T2168" s="396"/>
      <c r="U2168" s="364">
        <f t="shared" si="70"/>
        <v>0</v>
      </c>
      <c r="W2168" s="365"/>
      <c r="X2168" s="365"/>
      <c r="Z2168" s="366"/>
    </row>
    <row r="2169" spans="1:26" hidden="1">
      <c r="A2169" s="367">
        <f>SUBTOTAL(3,$B$15:B2169)</f>
        <v>2</v>
      </c>
      <c r="H2169" s="359">
        <f t="shared" si="69"/>
        <v>0</v>
      </c>
      <c r="N2169" s="361"/>
      <c r="O2169" s="361"/>
      <c r="P2169" s="361"/>
      <c r="Q2169" s="361"/>
      <c r="R2169" s="361"/>
      <c r="S2169" s="361"/>
      <c r="T2169" s="396"/>
      <c r="U2169" s="364">
        <f t="shared" si="70"/>
        <v>0</v>
      </c>
      <c r="W2169" s="365"/>
      <c r="X2169" s="365"/>
      <c r="Z2169" s="366"/>
    </row>
    <row r="2170" spans="1:26" hidden="1">
      <c r="A2170" s="367">
        <f>SUBTOTAL(3,$B$15:B2170)</f>
        <v>2</v>
      </c>
      <c r="H2170" s="359">
        <f t="shared" si="69"/>
        <v>0</v>
      </c>
      <c r="N2170" s="361"/>
      <c r="O2170" s="361"/>
      <c r="P2170" s="361"/>
      <c r="Q2170" s="361"/>
      <c r="R2170" s="361"/>
      <c r="S2170" s="361"/>
      <c r="T2170" s="396"/>
      <c r="U2170" s="364">
        <f t="shared" si="70"/>
        <v>0</v>
      </c>
      <c r="W2170" s="365"/>
      <c r="X2170" s="365"/>
      <c r="Z2170" s="366"/>
    </row>
    <row r="2171" spans="1:26" hidden="1">
      <c r="A2171" s="367">
        <f>SUBTOTAL(3,$B$15:B2171)</f>
        <v>2</v>
      </c>
      <c r="H2171" s="359">
        <f t="shared" si="69"/>
        <v>0</v>
      </c>
      <c r="N2171" s="361"/>
      <c r="O2171" s="361"/>
      <c r="P2171" s="361"/>
      <c r="Q2171" s="361"/>
      <c r="R2171" s="361"/>
      <c r="S2171" s="361"/>
      <c r="T2171" s="396"/>
      <c r="U2171" s="364">
        <f t="shared" si="70"/>
        <v>0</v>
      </c>
      <c r="W2171" s="365"/>
      <c r="X2171" s="365"/>
      <c r="Z2171" s="366"/>
    </row>
    <row r="2172" spans="1:26" hidden="1">
      <c r="A2172" s="367">
        <f>SUBTOTAL(3,$B$15:B2172)</f>
        <v>2</v>
      </c>
      <c r="H2172" s="359">
        <f t="shared" si="69"/>
        <v>0</v>
      </c>
      <c r="N2172" s="361"/>
      <c r="O2172" s="361"/>
      <c r="P2172" s="361"/>
      <c r="Q2172" s="361"/>
      <c r="R2172" s="361"/>
      <c r="S2172" s="361"/>
      <c r="T2172" s="396"/>
      <c r="U2172" s="364">
        <f t="shared" si="70"/>
        <v>0</v>
      </c>
      <c r="W2172" s="365"/>
      <c r="X2172" s="365"/>
      <c r="Z2172" s="366"/>
    </row>
    <row r="2173" spans="1:26" hidden="1">
      <c r="A2173" s="367">
        <f>SUBTOTAL(3,$B$15:B2173)</f>
        <v>2</v>
      </c>
      <c r="H2173" s="359">
        <f t="shared" si="69"/>
        <v>0</v>
      </c>
      <c r="N2173" s="361"/>
      <c r="O2173" s="361"/>
      <c r="P2173" s="361"/>
      <c r="Q2173" s="361"/>
      <c r="R2173" s="361"/>
      <c r="S2173" s="361"/>
      <c r="T2173" s="396"/>
      <c r="U2173" s="364">
        <f t="shared" si="70"/>
        <v>0</v>
      </c>
      <c r="W2173" s="365"/>
      <c r="X2173" s="365"/>
      <c r="Z2173" s="366"/>
    </row>
    <row r="2174" spans="1:26" hidden="1">
      <c r="A2174" s="367">
        <f>SUBTOTAL(3,$B$15:B2174)</f>
        <v>2</v>
      </c>
      <c r="H2174" s="359">
        <f t="shared" si="69"/>
        <v>0</v>
      </c>
      <c r="N2174" s="361"/>
      <c r="O2174" s="361"/>
      <c r="P2174" s="361"/>
      <c r="Q2174" s="361"/>
      <c r="R2174" s="361"/>
      <c r="S2174" s="361"/>
      <c r="T2174" s="396"/>
      <c r="U2174" s="364">
        <f t="shared" si="70"/>
        <v>0</v>
      </c>
      <c r="W2174" s="365"/>
      <c r="X2174" s="365"/>
      <c r="Z2174" s="366"/>
    </row>
    <row r="2175" spans="1:26" hidden="1">
      <c r="A2175" s="367">
        <f>SUBTOTAL(3,$B$15:B2175)</f>
        <v>2</v>
      </c>
      <c r="H2175" s="359">
        <f t="shared" si="69"/>
        <v>0</v>
      </c>
      <c r="N2175" s="361"/>
      <c r="O2175" s="361"/>
      <c r="P2175" s="361"/>
      <c r="Q2175" s="361"/>
      <c r="R2175" s="361"/>
      <c r="S2175" s="361"/>
      <c r="T2175" s="396"/>
      <c r="U2175" s="364">
        <f t="shared" si="70"/>
        <v>0</v>
      </c>
      <c r="W2175" s="365"/>
      <c r="X2175" s="365"/>
      <c r="Z2175" s="366"/>
    </row>
    <row r="2176" spans="1:26" hidden="1">
      <c r="A2176" s="367">
        <f>SUBTOTAL(3,$B$15:B2176)</f>
        <v>2</v>
      </c>
      <c r="H2176" s="359">
        <f t="shared" si="69"/>
        <v>0</v>
      </c>
      <c r="N2176" s="361"/>
      <c r="O2176" s="361"/>
      <c r="P2176" s="361"/>
      <c r="Q2176" s="361"/>
      <c r="R2176" s="361"/>
      <c r="S2176" s="361"/>
      <c r="T2176" s="396"/>
      <c r="U2176" s="364">
        <f t="shared" si="70"/>
        <v>0</v>
      </c>
      <c r="W2176" s="365"/>
      <c r="X2176" s="365"/>
      <c r="Z2176" s="366"/>
    </row>
    <row r="2177" spans="1:26" hidden="1">
      <c r="A2177" s="367">
        <f>SUBTOTAL(3,$B$15:B2177)</f>
        <v>2</v>
      </c>
      <c r="H2177" s="359">
        <f t="shared" si="69"/>
        <v>0</v>
      </c>
      <c r="N2177" s="361"/>
      <c r="O2177" s="361"/>
      <c r="P2177" s="361"/>
      <c r="Q2177" s="361"/>
      <c r="R2177" s="361"/>
      <c r="S2177" s="361"/>
      <c r="T2177" s="396"/>
      <c r="U2177" s="364">
        <f t="shared" si="70"/>
        <v>0</v>
      </c>
      <c r="W2177" s="365"/>
      <c r="X2177" s="365"/>
      <c r="Z2177" s="366"/>
    </row>
    <row r="2178" spans="1:26" hidden="1">
      <c r="A2178" s="367">
        <f>SUBTOTAL(3,$B$15:B2178)</f>
        <v>2</v>
      </c>
      <c r="H2178" s="359">
        <f t="shared" si="69"/>
        <v>0</v>
      </c>
      <c r="N2178" s="361"/>
      <c r="O2178" s="361"/>
      <c r="P2178" s="361"/>
      <c r="Q2178" s="361"/>
      <c r="R2178" s="361"/>
      <c r="S2178" s="361"/>
      <c r="T2178" s="396"/>
      <c r="U2178" s="364">
        <f t="shared" si="70"/>
        <v>0</v>
      </c>
      <c r="W2178" s="365"/>
      <c r="X2178" s="365"/>
      <c r="Z2178" s="366"/>
    </row>
    <row r="2179" spans="1:26" hidden="1">
      <c r="A2179" s="367">
        <f>SUBTOTAL(3,$B$15:B2179)</f>
        <v>2</v>
      </c>
      <c r="H2179" s="359">
        <f t="shared" si="69"/>
        <v>0</v>
      </c>
      <c r="N2179" s="361"/>
      <c r="O2179" s="361"/>
      <c r="P2179" s="361"/>
      <c r="Q2179" s="361"/>
      <c r="R2179" s="361"/>
      <c r="S2179" s="361"/>
      <c r="T2179" s="396"/>
      <c r="U2179" s="364">
        <f t="shared" si="70"/>
        <v>0</v>
      </c>
      <c r="W2179" s="365"/>
      <c r="X2179" s="365"/>
      <c r="Z2179" s="366"/>
    </row>
    <row r="2180" spans="1:26" hidden="1">
      <c r="A2180" s="367">
        <f>SUBTOTAL(3,$B$15:B2180)</f>
        <v>2</v>
      </c>
      <c r="H2180" s="359">
        <f t="shared" si="69"/>
        <v>0</v>
      </c>
      <c r="N2180" s="361"/>
      <c r="O2180" s="361"/>
      <c r="P2180" s="361"/>
      <c r="Q2180" s="361"/>
      <c r="R2180" s="361"/>
      <c r="S2180" s="361"/>
      <c r="T2180" s="396"/>
      <c r="U2180" s="364">
        <f t="shared" si="70"/>
        <v>0</v>
      </c>
      <c r="W2180" s="365"/>
      <c r="X2180" s="365"/>
      <c r="Z2180" s="366"/>
    </row>
    <row r="2181" spans="1:26" hidden="1">
      <c r="A2181" s="367">
        <f>SUBTOTAL(3,$B$15:B2181)</f>
        <v>2</v>
      </c>
      <c r="H2181" s="359">
        <f t="shared" si="69"/>
        <v>0</v>
      </c>
      <c r="N2181" s="361"/>
      <c r="O2181" s="361"/>
      <c r="P2181" s="361"/>
      <c r="Q2181" s="361"/>
      <c r="R2181" s="361"/>
      <c r="S2181" s="361"/>
      <c r="T2181" s="396"/>
      <c r="U2181" s="364">
        <f t="shared" si="70"/>
        <v>0</v>
      </c>
      <c r="W2181" s="365"/>
      <c r="X2181" s="365"/>
      <c r="Z2181" s="366"/>
    </row>
    <row r="2182" spans="1:26" hidden="1">
      <c r="A2182" s="367">
        <f>SUBTOTAL(3,$B$15:B2182)</f>
        <v>2</v>
      </c>
      <c r="H2182" s="359">
        <f t="shared" si="69"/>
        <v>0</v>
      </c>
      <c r="N2182" s="361"/>
      <c r="O2182" s="361"/>
      <c r="P2182" s="361"/>
      <c r="Q2182" s="361"/>
      <c r="R2182" s="361"/>
      <c r="S2182" s="361"/>
      <c r="T2182" s="396"/>
      <c r="U2182" s="364">
        <f t="shared" si="70"/>
        <v>0</v>
      </c>
      <c r="W2182" s="365"/>
      <c r="X2182" s="365"/>
      <c r="Z2182" s="366"/>
    </row>
    <row r="2183" spans="1:26" hidden="1">
      <c r="A2183" s="367">
        <f>SUBTOTAL(3,$B$15:B2183)</f>
        <v>2</v>
      </c>
      <c r="H2183" s="359">
        <f t="shared" si="69"/>
        <v>0</v>
      </c>
      <c r="N2183" s="361"/>
      <c r="O2183" s="361"/>
      <c r="P2183" s="361"/>
      <c r="Q2183" s="361"/>
      <c r="R2183" s="361"/>
      <c r="S2183" s="361"/>
      <c r="T2183" s="396"/>
      <c r="U2183" s="364">
        <f t="shared" si="70"/>
        <v>0</v>
      </c>
      <c r="W2183" s="365"/>
      <c r="X2183" s="365"/>
      <c r="Z2183" s="366"/>
    </row>
    <row r="2184" spans="1:26" hidden="1">
      <c r="A2184" s="367">
        <f>SUBTOTAL(3,$B$15:B2184)</f>
        <v>2</v>
      </c>
      <c r="H2184" s="359">
        <f t="shared" si="69"/>
        <v>0</v>
      </c>
      <c r="N2184" s="361"/>
      <c r="O2184" s="361"/>
      <c r="P2184" s="361"/>
      <c r="Q2184" s="361"/>
      <c r="R2184" s="361"/>
      <c r="S2184" s="361"/>
      <c r="T2184" s="396"/>
      <c r="U2184" s="364">
        <f t="shared" si="70"/>
        <v>0</v>
      </c>
      <c r="W2184" s="365"/>
      <c r="X2184" s="365"/>
      <c r="Z2184" s="366"/>
    </row>
    <row r="2185" spans="1:26" hidden="1">
      <c r="A2185" s="367">
        <f>SUBTOTAL(3,$B$15:B2185)</f>
        <v>2</v>
      </c>
      <c r="H2185" s="359">
        <f t="shared" si="69"/>
        <v>0</v>
      </c>
      <c r="N2185" s="361"/>
      <c r="O2185" s="361"/>
      <c r="P2185" s="361"/>
      <c r="Q2185" s="361"/>
      <c r="R2185" s="361"/>
      <c r="S2185" s="361"/>
      <c r="T2185" s="396"/>
      <c r="U2185" s="364">
        <f t="shared" si="70"/>
        <v>0</v>
      </c>
      <c r="W2185" s="365"/>
      <c r="X2185" s="365"/>
      <c r="Z2185" s="366"/>
    </row>
    <row r="2186" spans="1:26" hidden="1">
      <c r="A2186" s="367">
        <f>SUBTOTAL(3,$B$15:B2186)</f>
        <v>2</v>
      </c>
      <c r="H2186" s="359">
        <f t="shared" si="69"/>
        <v>0</v>
      </c>
      <c r="N2186" s="361"/>
      <c r="O2186" s="361"/>
      <c r="P2186" s="361"/>
      <c r="Q2186" s="361"/>
      <c r="R2186" s="361"/>
      <c r="S2186" s="361"/>
      <c r="T2186" s="396"/>
      <c r="U2186" s="364">
        <f t="shared" si="70"/>
        <v>0</v>
      </c>
      <c r="W2186" s="365"/>
      <c r="X2186" s="365"/>
      <c r="Z2186" s="366"/>
    </row>
    <row r="2187" spans="1:26" hidden="1">
      <c r="A2187" s="367">
        <f>SUBTOTAL(3,$B$15:B2187)</f>
        <v>2</v>
      </c>
      <c r="H2187" s="359">
        <f t="shared" si="69"/>
        <v>0</v>
      </c>
      <c r="N2187" s="361"/>
      <c r="O2187" s="361"/>
      <c r="P2187" s="361"/>
      <c r="Q2187" s="361"/>
      <c r="R2187" s="361"/>
      <c r="S2187" s="361"/>
      <c r="T2187" s="396"/>
      <c r="U2187" s="364">
        <f t="shared" si="70"/>
        <v>0</v>
      </c>
      <c r="W2187" s="365"/>
      <c r="X2187" s="365"/>
      <c r="Z2187" s="366"/>
    </row>
    <row r="2188" spans="1:26" hidden="1">
      <c r="A2188" s="367">
        <f>SUBTOTAL(3,$B$15:B2188)</f>
        <v>2</v>
      </c>
      <c r="H2188" s="359">
        <f t="shared" si="69"/>
        <v>0</v>
      </c>
      <c r="N2188" s="361"/>
      <c r="O2188" s="361"/>
      <c r="P2188" s="361"/>
      <c r="Q2188" s="361"/>
      <c r="R2188" s="361"/>
      <c r="S2188" s="361"/>
      <c r="T2188" s="396"/>
      <c r="U2188" s="364">
        <f t="shared" si="70"/>
        <v>0</v>
      </c>
      <c r="W2188" s="365"/>
      <c r="X2188" s="365"/>
      <c r="Z2188" s="366"/>
    </row>
    <row r="2189" spans="1:26" hidden="1">
      <c r="A2189" s="367">
        <f>SUBTOTAL(3,$B$15:B2189)</f>
        <v>2</v>
      </c>
      <c r="H2189" s="359">
        <f t="shared" si="69"/>
        <v>0</v>
      </c>
      <c r="N2189" s="361"/>
      <c r="O2189" s="361"/>
      <c r="P2189" s="361"/>
      <c r="Q2189" s="361"/>
      <c r="R2189" s="361"/>
      <c r="S2189" s="361"/>
      <c r="T2189" s="396"/>
      <c r="U2189" s="364">
        <f t="shared" si="70"/>
        <v>0</v>
      </c>
      <c r="W2189" s="365"/>
      <c r="X2189" s="365"/>
      <c r="Z2189" s="366"/>
    </row>
    <row r="2190" spans="1:26" hidden="1">
      <c r="A2190" s="367">
        <f>SUBTOTAL(3,$B$15:B2190)</f>
        <v>2</v>
      </c>
      <c r="H2190" s="359">
        <f t="shared" si="69"/>
        <v>0</v>
      </c>
      <c r="N2190" s="361"/>
      <c r="O2190" s="361"/>
      <c r="P2190" s="361"/>
      <c r="Q2190" s="361"/>
      <c r="R2190" s="361"/>
      <c r="S2190" s="361"/>
      <c r="T2190" s="396"/>
      <c r="U2190" s="364">
        <f t="shared" si="70"/>
        <v>0</v>
      </c>
      <c r="W2190" s="365"/>
      <c r="X2190" s="365"/>
      <c r="Z2190" s="366"/>
    </row>
    <row r="2191" spans="1:26" hidden="1">
      <c r="A2191" s="367">
        <f>SUBTOTAL(3,$B$15:B2191)</f>
        <v>2</v>
      </c>
      <c r="H2191" s="359">
        <f t="shared" si="69"/>
        <v>0</v>
      </c>
      <c r="N2191" s="361"/>
      <c r="O2191" s="361"/>
      <c r="P2191" s="361"/>
      <c r="Q2191" s="361"/>
      <c r="R2191" s="361"/>
      <c r="S2191" s="361"/>
      <c r="T2191" s="396"/>
      <c r="U2191" s="364">
        <f t="shared" si="70"/>
        <v>0</v>
      </c>
      <c r="W2191" s="365"/>
      <c r="X2191" s="365"/>
      <c r="Z2191" s="366"/>
    </row>
    <row r="2192" spans="1:26" hidden="1">
      <c r="A2192" s="367">
        <f>SUBTOTAL(3,$B$15:B2192)</f>
        <v>2</v>
      </c>
      <c r="H2192" s="359">
        <f t="shared" si="69"/>
        <v>0</v>
      </c>
      <c r="N2192" s="361"/>
      <c r="O2192" s="361"/>
      <c r="P2192" s="361"/>
      <c r="Q2192" s="361"/>
      <c r="R2192" s="361"/>
      <c r="S2192" s="361"/>
      <c r="T2192" s="396"/>
      <c r="U2192" s="364">
        <f t="shared" si="70"/>
        <v>0</v>
      </c>
      <c r="W2192" s="365"/>
      <c r="X2192" s="365"/>
      <c r="Z2192" s="366"/>
    </row>
    <row r="2193" spans="1:26" hidden="1">
      <c r="A2193" s="367">
        <f>SUBTOTAL(3,$B$15:B2193)</f>
        <v>2</v>
      </c>
      <c r="H2193" s="359">
        <f t="shared" si="69"/>
        <v>0</v>
      </c>
      <c r="N2193" s="361"/>
      <c r="O2193" s="361"/>
      <c r="P2193" s="361"/>
      <c r="Q2193" s="361"/>
      <c r="R2193" s="361"/>
      <c r="S2193" s="361"/>
      <c r="T2193" s="396"/>
      <c r="U2193" s="364">
        <f t="shared" si="70"/>
        <v>0</v>
      </c>
      <c r="W2193" s="365"/>
      <c r="X2193" s="365"/>
      <c r="Z2193" s="366"/>
    </row>
    <row r="2194" spans="1:26" hidden="1">
      <c r="A2194" s="367">
        <f>SUBTOTAL(3,$B$15:B2194)</f>
        <v>2</v>
      </c>
      <c r="H2194" s="359">
        <f t="shared" si="69"/>
        <v>0</v>
      </c>
      <c r="N2194" s="361"/>
      <c r="O2194" s="361"/>
      <c r="P2194" s="361"/>
      <c r="Q2194" s="361"/>
      <c r="R2194" s="361"/>
      <c r="S2194" s="361"/>
      <c r="T2194" s="396"/>
      <c r="U2194" s="364">
        <f t="shared" si="70"/>
        <v>0</v>
      </c>
      <c r="W2194" s="365"/>
      <c r="X2194" s="365"/>
      <c r="Z2194" s="366"/>
    </row>
    <row r="2195" spans="1:26" hidden="1">
      <c r="A2195" s="367">
        <f>SUBTOTAL(3,$B$15:B2195)</f>
        <v>2</v>
      </c>
      <c r="H2195" s="359">
        <f t="shared" si="69"/>
        <v>0</v>
      </c>
      <c r="N2195" s="361"/>
      <c r="O2195" s="361"/>
      <c r="P2195" s="361"/>
      <c r="Q2195" s="361"/>
      <c r="R2195" s="361"/>
      <c r="S2195" s="361"/>
      <c r="T2195" s="396"/>
      <c r="U2195" s="364">
        <f t="shared" si="70"/>
        <v>0</v>
      </c>
      <c r="W2195" s="365"/>
      <c r="X2195" s="365"/>
      <c r="Z2195" s="366"/>
    </row>
    <row r="2196" spans="1:26" hidden="1">
      <c r="A2196" s="367">
        <f>SUBTOTAL(3,$B$15:B2196)</f>
        <v>2</v>
      </c>
      <c r="H2196" s="359">
        <f t="shared" ref="H2196:H2259" si="71">+G2196-SUM(M2196,O2196,Q2196)</f>
        <v>0</v>
      </c>
      <c r="N2196" s="361"/>
      <c r="O2196" s="361"/>
      <c r="P2196" s="361"/>
      <c r="Q2196" s="361"/>
      <c r="R2196" s="361"/>
      <c r="S2196" s="361"/>
      <c r="T2196" s="396"/>
      <c r="U2196" s="364">
        <f t="shared" si="70"/>
        <v>0</v>
      </c>
      <c r="W2196" s="365"/>
      <c r="X2196" s="365"/>
      <c r="Z2196" s="366"/>
    </row>
    <row r="2197" spans="1:26" hidden="1">
      <c r="A2197" s="367">
        <f>SUBTOTAL(3,$B$15:B2197)</f>
        <v>2</v>
      </c>
      <c r="H2197" s="359">
        <f t="shared" si="71"/>
        <v>0</v>
      </c>
      <c r="N2197" s="361"/>
      <c r="O2197" s="361"/>
      <c r="P2197" s="361"/>
      <c r="Q2197" s="361"/>
      <c r="R2197" s="361"/>
      <c r="S2197" s="361"/>
      <c r="T2197" s="396"/>
      <c r="U2197" s="364">
        <f t="shared" si="70"/>
        <v>0</v>
      </c>
      <c r="W2197" s="365"/>
      <c r="X2197" s="365"/>
      <c r="Z2197" s="366"/>
    </row>
    <row r="2198" spans="1:26" hidden="1">
      <c r="A2198" s="367">
        <f>SUBTOTAL(3,$B$15:B2198)</f>
        <v>2</v>
      </c>
      <c r="H2198" s="359">
        <f t="shared" si="71"/>
        <v>0</v>
      </c>
      <c r="N2198" s="361"/>
      <c r="O2198" s="361"/>
      <c r="P2198" s="361"/>
      <c r="Q2198" s="361"/>
      <c r="R2198" s="361"/>
      <c r="S2198" s="361"/>
      <c r="T2198" s="396"/>
      <c r="U2198" s="364">
        <f t="shared" si="70"/>
        <v>0</v>
      </c>
      <c r="W2198" s="365"/>
      <c r="X2198" s="365"/>
      <c r="Z2198" s="366"/>
    </row>
    <row r="2199" spans="1:26" hidden="1">
      <c r="A2199" s="367">
        <f>SUBTOTAL(3,$B$15:B2199)</f>
        <v>2</v>
      </c>
      <c r="H2199" s="359">
        <f t="shared" si="71"/>
        <v>0</v>
      </c>
      <c r="N2199" s="361"/>
      <c r="O2199" s="361"/>
      <c r="P2199" s="361"/>
      <c r="Q2199" s="361"/>
      <c r="R2199" s="361"/>
      <c r="S2199" s="361"/>
      <c r="T2199" s="396"/>
      <c r="U2199" s="364">
        <f t="shared" ref="U2199:U2262" si="72">SUM(H2199:T2199)</f>
        <v>0</v>
      </c>
      <c r="W2199" s="365"/>
      <c r="X2199" s="365"/>
      <c r="Z2199" s="366"/>
    </row>
    <row r="2200" spans="1:26" hidden="1">
      <c r="A2200" s="367">
        <f>SUBTOTAL(3,$B$15:B2200)</f>
        <v>2</v>
      </c>
      <c r="H2200" s="359">
        <f t="shared" si="71"/>
        <v>0</v>
      </c>
      <c r="N2200" s="361"/>
      <c r="O2200" s="361"/>
      <c r="P2200" s="361"/>
      <c r="Q2200" s="361"/>
      <c r="R2200" s="361"/>
      <c r="S2200" s="361"/>
      <c r="T2200" s="396"/>
      <c r="U2200" s="364">
        <f t="shared" si="72"/>
        <v>0</v>
      </c>
      <c r="W2200" s="365"/>
      <c r="X2200" s="365"/>
      <c r="Z2200" s="366"/>
    </row>
    <row r="2201" spans="1:26" hidden="1">
      <c r="A2201" s="367">
        <f>SUBTOTAL(3,$B$15:B2201)</f>
        <v>2</v>
      </c>
      <c r="H2201" s="359">
        <f t="shared" si="71"/>
        <v>0</v>
      </c>
      <c r="N2201" s="361"/>
      <c r="O2201" s="361"/>
      <c r="P2201" s="361"/>
      <c r="Q2201" s="361"/>
      <c r="R2201" s="361"/>
      <c r="S2201" s="361"/>
      <c r="T2201" s="396"/>
      <c r="U2201" s="364">
        <f t="shared" si="72"/>
        <v>0</v>
      </c>
      <c r="W2201" s="365"/>
      <c r="X2201" s="365"/>
      <c r="Z2201" s="366"/>
    </row>
    <row r="2202" spans="1:26" hidden="1">
      <c r="A2202" s="367">
        <f>SUBTOTAL(3,$B$15:B2202)</f>
        <v>2</v>
      </c>
      <c r="H2202" s="359">
        <f t="shared" si="71"/>
        <v>0</v>
      </c>
      <c r="N2202" s="361"/>
      <c r="O2202" s="361"/>
      <c r="P2202" s="361"/>
      <c r="Q2202" s="361"/>
      <c r="R2202" s="361"/>
      <c r="S2202" s="361"/>
      <c r="T2202" s="396"/>
      <c r="U2202" s="364">
        <f t="shared" si="72"/>
        <v>0</v>
      </c>
      <c r="W2202" s="365"/>
      <c r="X2202" s="365"/>
      <c r="Z2202" s="366"/>
    </row>
    <row r="2203" spans="1:26" hidden="1">
      <c r="A2203" s="367">
        <f>SUBTOTAL(3,$B$15:B2203)</f>
        <v>2</v>
      </c>
      <c r="H2203" s="359">
        <f t="shared" si="71"/>
        <v>0</v>
      </c>
      <c r="N2203" s="361"/>
      <c r="O2203" s="361"/>
      <c r="P2203" s="361"/>
      <c r="Q2203" s="361"/>
      <c r="R2203" s="361"/>
      <c r="S2203" s="361"/>
      <c r="T2203" s="396"/>
      <c r="U2203" s="364">
        <f t="shared" si="72"/>
        <v>0</v>
      </c>
      <c r="W2203" s="365"/>
      <c r="X2203" s="365"/>
      <c r="Z2203" s="366"/>
    </row>
    <row r="2204" spans="1:26" hidden="1">
      <c r="A2204" s="367">
        <f>SUBTOTAL(3,$B$15:B2204)</f>
        <v>2</v>
      </c>
      <c r="H2204" s="359">
        <f t="shared" si="71"/>
        <v>0</v>
      </c>
      <c r="N2204" s="361"/>
      <c r="O2204" s="361"/>
      <c r="P2204" s="361"/>
      <c r="Q2204" s="361"/>
      <c r="R2204" s="361"/>
      <c r="S2204" s="361"/>
      <c r="T2204" s="396"/>
      <c r="U2204" s="364">
        <f t="shared" si="72"/>
        <v>0</v>
      </c>
      <c r="W2204" s="365"/>
      <c r="X2204" s="365"/>
      <c r="Z2204" s="366"/>
    </row>
    <row r="2205" spans="1:26" hidden="1">
      <c r="A2205" s="367">
        <f>SUBTOTAL(3,$B$15:B2205)</f>
        <v>2</v>
      </c>
      <c r="H2205" s="359">
        <f t="shared" si="71"/>
        <v>0</v>
      </c>
      <c r="N2205" s="361"/>
      <c r="O2205" s="361"/>
      <c r="P2205" s="361"/>
      <c r="Q2205" s="361"/>
      <c r="R2205" s="361"/>
      <c r="S2205" s="361"/>
      <c r="T2205" s="396"/>
      <c r="U2205" s="364">
        <f t="shared" si="72"/>
        <v>0</v>
      </c>
      <c r="W2205" s="365"/>
      <c r="X2205" s="365"/>
      <c r="Z2205" s="366"/>
    </row>
    <row r="2206" spans="1:26" hidden="1">
      <c r="A2206" s="367">
        <f>SUBTOTAL(3,$B$15:B2206)</f>
        <v>2</v>
      </c>
      <c r="H2206" s="359">
        <f t="shared" si="71"/>
        <v>0</v>
      </c>
      <c r="N2206" s="361"/>
      <c r="O2206" s="361"/>
      <c r="P2206" s="361"/>
      <c r="Q2206" s="361"/>
      <c r="R2206" s="361"/>
      <c r="S2206" s="361"/>
      <c r="T2206" s="396"/>
      <c r="U2206" s="364">
        <f t="shared" si="72"/>
        <v>0</v>
      </c>
      <c r="W2206" s="365"/>
      <c r="X2206" s="365"/>
      <c r="Z2206" s="366"/>
    </row>
    <row r="2207" spans="1:26" hidden="1">
      <c r="A2207" s="367">
        <f>SUBTOTAL(3,$B$15:B2207)</f>
        <v>2</v>
      </c>
      <c r="H2207" s="359">
        <f t="shared" si="71"/>
        <v>0</v>
      </c>
      <c r="N2207" s="361"/>
      <c r="O2207" s="361"/>
      <c r="P2207" s="361"/>
      <c r="Q2207" s="361"/>
      <c r="R2207" s="361"/>
      <c r="S2207" s="361"/>
      <c r="T2207" s="396"/>
      <c r="U2207" s="364">
        <f t="shared" si="72"/>
        <v>0</v>
      </c>
      <c r="W2207" s="365"/>
      <c r="X2207" s="365"/>
      <c r="Z2207" s="366"/>
    </row>
    <row r="2208" spans="1:26" hidden="1">
      <c r="A2208" s="367">
        <f>SUBTOTAL(3,$B$15:B2208)</f>
        <v>2</v>
      </c>
      <c r="H2208" s="359">
        <f t="shared" si="71"/>
        <v>0</v>
      </c>
      <c r="N2208" s="361"/>
      <c r="O2208" s="361"/>
      <c r="P2208" s="361"/>
      <c r="Q2208" s="361"/>
      <c r="R2208" s="361"/>
      <c r="S2208" s="361"/>
      <c r="T2208" s="396"/>
      <c r="U2208" s="364">
        <f t="shared" si="72"/>
        <v>0</v>
      </c>
      <c r="W2208" s="365"/>
      <c r="X2208" s="365"/>
      <c r="Z2208" s="366"/>
    </row>
    <row r="2209" spans="1:26" hidden="1">
      <c r="A2209" s="367">
        <f>SUBTOTAL(3,$B$15:B2209)</f>
        <v>2</v>
      </c>
      <c r="H2209" s="359">
        <f t="shared" si="71"/>
        <v>0</v>
      </c>
      <c r="N2209" s="361"/>
      <c r="O2209" s="361"/>
      <c r="P2209" s="361"/>
      <c r="Q2209" s="361"/>
      <c r="R2209" s="361"/>
      <c r="S2209" s="361"/>
      <c r="T2209" s="396"/>
      <c r="U2209" s="364">
        <f t="shared" si="72"/>
        <v>0</v>
      </c>
      <c r="W2209" s="365"/>
      <c r="X2209" s="365"/>
      <c r="Z2209" s="366"/>
    </row>
    <row r="2210" spans="1:26" hidden="1">
      <c r="A2210" s="367">
        <f>SUBTOTAL(3,$B$15:B2210)</f>
        <v>2</v>
      </c>
      <c r="H2210" s="359">
        <f t="shared" si="71"/>
        <v>0</v>
      </c>
      <c r="N2210" s="361"/>
      <c r="O2210" s="361"/>
      <c r="P2210" s="361"/>
      <c r="Q2210" s="361"/>
      <c r="R2210" s="361"/>
      <c r="S2210" s="361"/>
      <c r="T2210" s="396"/>
      <c r="U2210" s="364">
        <f t="shared" si="72"/>
        <v>0</v>
      </c>
      <c r="W2210" s="365"/>
      <c r="X2210" s="365"/>
      <c r="Z2210" s="366"/>
    </row>
    <row r="2211" spans="1:26" hidden="1">
      <c r="A2211" s="367">
        <f>SUBTOTAL(3,$B$15:B2211)</f>
        <v>2</v>
      </c>
      <c r="H2211" s="359">
        <f t="shared" si="71"/>
        <v>0</v>
      </c>
      <c r="N2211" s="361"/>
      <c r="O2211" s="361"/>
      <c r="P2211" s="361"/>
      <c r="Q2211" s="361"/>
      <c r="R2211" s="361"/>
      <c r="S2211" s="361"/>
      <c r="T2211" s="396"/>
      <c r="U2211" s="364">
        <f t="shared" si="72"/>
        <v>0</v>
      </c>
      <c r="W2211" s="365"/>
      <c r="X2211" s="365"/>
      <c r="Z2211" s="366"/>
    </row>
    <row r="2212" spans="1:26" hidden="1">
      <c r="A2212" s="367">
        <f>SUBTOTAL(3,$B$15:B2212)</f>
        <v>2</v>
      </c>
      <c r="H2212" s="359">
        <f t="shared" si="71"/>
        <v>0</v>
      </c>
      <c r="N2212" s="361"/>
      <c r="O2212" s="361"/>
      <c r="P2212" s="361"/>
      <c r="Q2212" s="361"/>
      <c r="R2212" s="361"/>
      <c r="S2212" s="361"/>
      <c r="T2212" s="396"/>
      <c r="U2212" s="364">
        <f t="shared" si="72"/>
        <v>0</v>
      </c>
      <c r="W2212" s="365"/>
      <c r="X2212" s="365"/>
      <c r="Z2212" s="366"/>
    </row>
    <row r="2213" spans="1:26" hidden="1">
      <c r="A2213" s="367">
        <f>SUBTOTAL(3,$B$15:B2213)</f>
        <v>2</v>
      </c>
      <c r="H2213" s="359">
        <f t="shared" si="71"/>
        <v>0</v>
      </c>
      <c r="N2213" s="361"/>
      <c r="O2213" s="361"/>
      <c r="P2213" s="361"/>
      <c r="Q2213" s="361"/>
      <c r="R2213" s="361"/>
      <c r="S2213" s="361"/>
      <c r="T2213" s="396"/>
      <c r="U2213" s="364">
        <f t="shared" si="72"/>
        <v>0</v>
      </c>
      <c r="W2213" s="365"/>
      <c r="X2213" s="365"/>
      <c r="Z2213" s="366"/>
    </row>
    <row r="2214" spans="1:26" hidden="1">
      <c r="A2214" s="367">
        <f>SUBTOTAL(3,$B$15:B2214)</f>
        <v>2</v>
      </c>
      <c r="H2214" s="359">
        <f t="shared" si="71"/>
        <v>0</v>
      </c>
      <c r="N2214" s="361"/>
      <c r="O2214" s="361"/>
      <c r="P2214" s="361"/>
      <c r="Q2214" s="361"/>
      <c r="R2214" s="361"/>
      <c r="S2214" s="361"/>
      <c r="T2214" s="396"/>
      <c r="U2214" s="364">
        <f t="shared" si="72"/>
        <v>0</v>
      </c>
      <c r="W2214" s="365"/>
      <c r="X2214" s="365"/>
      <c r="Z2214" s="366"/>
    </row>
    <row r="2215" spans="1:26" hidden="1">
      <c r="A2215" s="367">
        <f>SUBTOTAL(3,$B$15:B2215)</f>
        <v>2</v>
      </c>
      <c r="H2215" s="359">
        <f t="shared" si="71"/>
        <v>0</v>
      </c>
      <c r="N2215" s="361"/>
      <c r="O2215" s="361"/>
      <c r="P2215" s="361"/>
      <c r="Q2215" s="361"/>
      <c r="R2215" s="361"/>
      <c r="S2215" s="361"/>
      <c r="T2215" s="396"/>
      <c r="U2215" s="364">
        <f t="shared" si="72"/>
        <v>0</v>
      </c>
      <c r="W2215" s="365"/>
      <c r="X2215" s="365"/>
      <c r="Z2215" s="366"/>
    </row>
    <row r="2216" spans="1:26" hidden="1">
      <c r="A2216" s="367">
        <f>SUBTOTAL(3,$B$15:B2216)</f>
        <v>2</v>
      </c>
      <c r="H2216" s="359">
        <f t="shared" si="71"/>
        <v>0</v>
      </c>
      <c r="N2216" s="361"/>
      <c r="O2216" s="361"/>
      <c r="P2216" s="361"/>
      <c r="Q2216" s="361"/>
      <c r="R2216" s="361"/>
      <c r="S2216" s="361"/>
      <c r="T2216" s="396"/>
      <c r="U2216" s="364">
        <f t="shared" si="72"/>
        <v>0</v>
      </c>
      <c r="W2216" s="365"/>
      <c r="X2216" s="365"/>
      <c r="Z2216" s="366"/>
    </row>
    <row r="2217" spans="1:26" hidden="1">
      <c r="A2217" s="367">
        <f>SUBTOTAL(3,$B$15:B2217)</f>
        <v>2</v>
      </c>
      <c r="H2217" s="359">
        <f t="shared" si="71"/>
        <v>0</v>
      </c>
      <c r="N2217" s="361"/>
      <c r="O2217" s="361"/>
      <c r="P2217" s="361"/>
      <c r="Q2217" s="361"/>
      <c r="R2217" s="361"/>
      <c r="S2217" s="361"/>
      <c r="T2217" s="396"/>
      <c r="U2217" s="364">
        <f t="shared" si="72"/>
        <v>0</v>
      </c>
      <c r="W2217" s="365"/>
      <c r="X2217" s="365"/>
      <c r="Z2217" s="366"/>
    </row>
    <row r="2218" spans="1:26" hidden="1">
      <c r="A2218" s="367">
        <f>SUBTOTAL(3,$B$15:B2218)</f>
        <v>2</v>
      </c>
      <c r="H2218" s="359">
        <f t="shared" si="71"/>
        <v>0</v>
      </c>
      <c r="N2218" s="361"/>
      <c r="O2218" s="361"/>
      <c r="P2218" s="361"/>
      <c r="Q2218" s="361"/>
      <c r="R2218" s="361"/>
      <c r="S2218" s="361"/>
      <c r="T2218" s="396"/>
      <c r="U2218" s="364">
        <f t="shared" si="72"/>
        <v>0</v>
      </c>
      <c r="W2218" s="365"/>
      <c r="X2218" s="365"/>
      <c r="Z2218" s="366"/>
    </row>
    <row r="2219" spans="1:26" hidden="1">
      <c r="A2219" s="367">
        <f>SUBTOTAL(3,$B$15:B2219)</f>
        <v>2</v>
      </c>
      <c r="H2219" s="359">
        <f t="shared" si="71"/>
        <v>0</v>
      </c>
      <c r="N2219" s="361"/>
      <c r="O2219" s="361"/>
      <c r="P2219" s="361"/>
      <c r="Q2219" s="361"/>
      <c r="R2219" s="361"/>
      <c r="S2219" s="361"/>
      <c r="T2219" s="396"/>
      <c r="U2219" s="364">
        <f t="shared" si="72"/>
        <v>0</v>
      </c>
      <c r="W2219" s="365"/>
      <c r="X2219" s="365"/>
      <c r="Z2219" s="366"/>
    </row>
    <row r="2220" spans="1:26" hidden="1">
      <c r="A2220" s="367">
        <f>SUBTOTAL(3,$B$15:B2220)</f>
        <v>2</v>
      </c>
      <c r="H2220" s="359">
        <f t="shared" si="71"/>
        <v>0</v>
      </c>
      <c r="N2220" s="361"/>
      <c r="O2220" s="361"/>
      <c r="P2220" s="361"/>
      <c r="Q2220" s="361"/>
      <c r="R2220" s="361"/>
      <c r="S2220" s="361"/>
      <c r="T2220" s="396"/>
      <c r="U2220" s="364">
        <f t="shared" si="72"/>
        <v>0</v>
      </c>
      <c r="W2220" s="365"/>
      <c r="X2220" s="365"/>
      <c r="Z2220" s="366"/>
    </row>
    <row r="2221" spans="1:26" hidden="1">
      <c r="A2221" s="367">
        <f>SUBTOTAL(3,$B$15:B2221)</f>
        <v>2</v>
      </c>
      <c r="H2221" s="359">
        <f t="shared" si="71"/>
        <v>0</v>
      </c>
      <c r="N2221" s="361"/>
      <c r="O2221" s="361"/>
      <c r="P2221" s="361"/>
      <c r="Q2221" s="361"/>
      <c r="R2221" s="361"/>
      <c r="S2221" s="361"/>
      <c r="T2221" s="396"/>
      <c r="U2221" s="364">
        <f t="shared" si="72"/>
        <v>0</v>
      </c>
      <c r="W2221" s="365"/>
      <c r="X2221" s="365"/>
      <c r="Z2221" s="366"/>
    </row>
    <row r="2222" spans="1:26" hidden="1">
      <c r="A2222" s="367">
        <f>SUBTOTAL(3,$B$15:B2222)</f>
        <v>2</v>
      </c>
      <c r="H2222" s="359">
        <f t="shared" si="71"/>
        <v>0</v>
      </c>
      <c r="N2222" s="361"/>
      <c r="O2222" s="361"/>
      <c r="P2222" s="361"/>
      <c r="Q2222" s="361"/>
      <c r="R2222" s="361"/>
      <c r="S2222" s="361"/>
      <c r="T2222" s="396"/>
      <c r="U2222" s="364">
        <f t="shared" si="72"/>
        <v>0</v>
      </c>
      <c r="W2222" s="365"/>
      <c r="X2222" s="365"/>
      <c r="Z2222" s="366"/>
    </row>
    <row r="2223" spans="1:26" hidden="1">
      <c r="A2223" s="367">
        <f>SUBTOTAL(3,$B$15:B2223)</f>
        <v>2</v>
      </c>
      <c r="H2223" s="359">
        <f t="shared" si="71"/>
        <v>0</v>
      </c>
      <c r="N2223" s="361"/>
      <c r="O2223" s="361"/>
      <c r="P2223" s="361"/>
      <c r="Q2223" s="361"/>
      <c r="R2223" s="361"/>
      <c r="S2223" s="361"/>
      <c r="T2223" s="396"/>
      <c r="U2223" s="364">
        <f t="shared" si="72"/>
        <v>0</v>
      </c>
      <c r="W2223" s="365"/>
      <c r="X2223" s="365"/>
      <c r="Z2223" s="366"/>
    </row>
    <row r="2224" spans="1:26" hidden="1">
      <c r="A2224" s="367">
        <f>SUBTOTAL(3,$B$15:B2224)</f>
        <v>2</v>
      </c>
      <c r="H2224" s="359">
        <f t="shared" si="71"/>
        <v>0</v>
      </c>
      <c r="N2224" s="361"/>
      <c r="O2224" s="361"/>
      <c r="P2224" s="361"/>
      <c r="Q2224" s="361"/>
      <c r="R2224" s="361"/>
      <c r="S2224" s="361"/>
      <c r="T2224" s="396"/>
      <c r="U2224" s="364">
        <f t="shared" si="72"/>
        <v>0</v>
      </c>
      <c r="W2224" s="365"/>
      <c r="X2224" s="365"/>
      <c r="Z2224" s="366"/>
    </row>
    <row r="2225" spans="1:26" hidden="1">
      <c r="A2225" s="367">
        <f>SUBTOTAL(3,$B$15:B2225)</f>
        <v>2</v>
      </c>
      <c r="H2225" s="359">
        <f t="shared" si="71"/>
        <v>0</v>
      </c>
      <c r="N2225" s="361"/>
      <c r="O2225" s="361"/>
      <c r="P2225" s="361"/>
      <c r="Q2225" s="361"/>
      <c r="R2225" s="361"/>
      <c r="S2225" s="361"/>
      <c r="T2225" s="396"/>
      <c r="U2225" s="364">
        <f t="shared" si="72"/>
        <v>0</v>
      </c>
      <c r="W2225" s="365"/>
      <c r="X2225" s="365"/>
      <c r="Z2225" s="366"/>
    </row>
    <row r="2226" spans="1:26" hidden="1">
      <c r="A2226" s="367">
        <f>SUBTOTAL(3,$B$15:B2226)</f>
        <v>2</v>
      </c>
      <c r="H2226" s="359">
        <f t="shared" si="71"/>
        <v>0</v>
      </c>
      <c r="N2226" s="361"/>
      <c r="O2226" s="361"/>
      <c r="P2226" s="361"/>
      <c r="Q2226" s="361"/>
      <c r="R2226" s="361"/>
      <c r="S2226" s="361"/>
      <c r="T2226" s="396"/>
      <c r="U2226" s="364">
        <f t="shared" si="72"/>
        <v>0</v>
      </c>
      <c r="W2226" s="365"/>
      <c r="X2226" s="365"/>
      <c r="Z2226" s="366"/>
    </row>
    <row r="2227" spans="1:26" hidden="1">
      <c r="A2227" s="367">
        <f>SUBTOTAL(3,$B$15:B2227)</f>
        <v>2</v>
      </c>
      <c r="H2227" s="359">
        <f t="shared" si="71"/>
        <v>0</v>
      </c>
      <c r="N2227" s="361"/>
      <c r="O2227" s="361"/>
      <c r="P2227" s="361"/>
      <c r="Q2227" s="361"/>
      <c r="R2227" s="361"/>
      <c r="S2227" s="361"/>
      <c r="T2227" s="396"/>
      <c r="U2227" s="364">
        <f t="shared" si="72"/>
        <v>0</v>
      </c>
      <c r="W2227" s="365"/>
      <c r="X2227" s="365"/>
      <c r="Z2227" s="366"/>
    </row>
    <row r="2228" spans="1:26" hidden="1">
      <c r="A2228" s="367">
        <f>SUBTOTAL(3,$B$15:B2228)</f>
        <v>2</v>
      </c>
      <c r="H2228" s="359">
        <f t="shared" si="71"/>
        <v>0</v>
      </c>
      <c r="N2228" s="361"/>
      <c r="O2228" s="361"/>
      <c r="P2228" s="361"/>
      <c r="Q2228" s="361"/>
      <c r="R2228" s="361"/>
      <c r="S2228" s="361"/>
      <c r="T2228" s="396"/>
      <c r="U2228" s="364">
        <f t="shared" si="72"/>
        <v>0</v>
      </c>
      <c r="W2228" s="365"/>
      <c r="X2228" s="365"/>
      <c r="Z2228" s="366"/>
    </row>
    <row r="2229" spans="1:26" hidden="1">
      <c r="A2229" s="367">
        <f>SUBTOTAL(3,$B$15:B2229)</f>
        <v>2</v>
      </c>
      <c r="H2229" s="359">
        <f t="shared" si="71"/>
        <v>0</v>
      </c>
      <c r="N2229" s="361"/>
      <c r="O2229" s="361"/>
      <c r="P2229" s="361"/>
      <c r="Q2229" s="361"/>
      <c r="R2229" s="361"/>
      <c r="S2229" s="361"/>
      <c r="T2229" s="396"/>
      <c r="U2229" s="364">
        <f t="shared" si="72"/>
        <v>0</v>
      </c>
      <c r="W2229" s="365"/>
      <c r="X2229" s="365"/>
      <c r="Z2229" s="366"/>
    </row>
    <row r="2230" spans="1:26" hidden="1">
      <c r="A2230" s="367">
        <f>SUBTOTAL(3,$B$15:B2230)</f>
        <v>2</v>
      </c>
      <c r="H2230" s="359">
        <f t="shared" si="71"/>
        <v>0</v>
      </c>
      <c r="N2230" s="361"/>
      <c r="O2230" s="361"/>
      <c r="P2230" s="361"/>
      <c r="Q2230" s="361"/>
      <c r="R2230" s="361"/>
      <c r="S2230" s="361"/>
      <c r="T2230" s="396"/>
      <c r="U2230" s="364">
        <f t="shared" si="72"/>
        <v>0</v>
      </c>
      <c r="W2230" s="365"/>
      <c r="X2230" s="365"/>
      <c r="Z2230" s="366"/>
    </row>
    <row r="2231" spans="1:26" hidden="1">
      <c r="A2231" s="367">
        <f>SUBTOTAL(3,$B$15:B2231)</f>
        <v>2</v>
      </c>
      <c r="H2231" s="359">
        <f t="shared" si="71"/>
        <v>0</v>
      </c>
      <c r="N2231" s="361"/>
      <c r="O2231" s="361"/>
      <c r="P2231" s="361"/>
      <c r="Q2231" s="361"/>
      <c r="R2231" s="361"/>
      <c r="S2231" s="361"/>
      <c r="T2231" s="396"/>
      <c r="U2231" s="364">
        <f t="shared" si="72"/>
        <v>0</v>
      </c>
      <c r="W2231" s="365"/>
      <c r="X2231" s="365"/>
      <c r="Z2231" s="366"/>
    </row>
    <row r="2232" spans="1:26" hidden="1">
      <c r="A2232" s="367">
        <f>SUBTOTAL(3,$B$15:B2232)</f>
        <v>2</v>
      </c>
      <c r="H2232" s="359">
        <f t="shared" si="71"/>
        <v>0</v>
      </c>
      <c r="N2232" s="361"/>
      <c r="O2232" s="361"/>
      <c r="P2232" s="361"/>
      <c r="Q2232" s="361"/>
      <c r="R2232" s="361"/>
      <c r="S2232" s="361"/>
      <c r="T2232" s="396"/>
      <c r="U2232" s="364">
        <f t="shared" si="72"/>
        <v>0</v>
      </c>
      <c r="W2232" s="365"/>
      <c r="X2232" s="365"/>
      <c r="Z2232" s="366"/>
    </row>
    <row r="2233" spans="1:26" hidden="1">
      <c r="A2233" s="367">
        <f>SUBTOTAL(3,$B$15:B2233)</f>
        <v>2</v>
      </c>
      <c r="H2233" s="359">
        <f t="shared" si="71"/>
        <v>0</v>
      </c>
      <c r="N2233" s="361"/>
      <c r="O2233" s="361"/>
      <c r="P2233" s="361"/>
      <c r="Q2233" s="361"/>
      <c r="R2233" s="361"/>
      <c r="S2233" s="361"/>
      <c r="T2233" s="396"/>
      <c r="U2233" s="364">
        <f t="shared" si="72"/>
        <v>0</v>
      </c>
      <c r="W2233" s="365"/>
      <c r="X2233" s="365"/>
      <c r="Z2233" s="366"/>
    </row>
    <row r="2234" spans="1:26" hidden="1">
      <c r="A2234" s="367">
        <f>SUBTOTAL(3,$B$15:B2234)</f>
        <v>2</v>
      </c>
      <c r="H2234" s="359">
        <f t="shared" si="71"/>
        <v>0</v>
      </c>
      <c r="N2234" s="361"/>
      <c r="O2234" s="361"/>
      <c r="P2234" s="361"/>
      <c r="Q2234" s="361"/>
      <c r="R2234" s="361"/>
      <c r="S2234" s="361"/>
      <c r="T2234" s="396"/>
      <c r="U2234" s="364">
        <f t="shared" si="72"/>
        <v>0</v>
      </c>
      <c r="W2234" s="365"/>
      <c r="X2234" s="365"/>
      <c r="Z2234" s="366"/>
    </row>
    <row r="2235" spans="1:26" hidden="1">
      <c r="A2235" s="367">
        <f>SUBTOTAL(3,$B$15:B2235)</f>
        <v>2</v>
      </c>
      <c r="H2235" s="359">
        <f t="shared" si="71"/>
        <v>0</v>
      </c>
      <c r="N2235" s="361"/>
      <c r="O2235" s="361"/>
      <c r="P2235" s="361"/>
      <c r="Q2235" s="361"/>
      <c r="R2235" s="361"/>
      <c r="S2235" s="361"/>
      <c r="T2235" s="396"/>
      <c r="U2235" s="364">
        <f t="shared" si="72"/>
        <v>0</v>
      </c>
      <c r="W2235" s="365"/>
      <c r="X2235" s="365"/>
      <c r="Z2235" s="366"/>
    </row>
    <row r="2236" spans="1:26" hidden="1">
      <c r="A2236" s="367">
        <f>SUBTOTAL(3,$B$15:B2236)</f>
        <v>2</v>
      </c>
      <c r="H2236" s="359">
        <f t="shared" si="71"/>
        <v>0</v>
      </c>
      <c r="N2236" s="361"/>
      <c r="O2236" s="361"/>
      <c r="P2236" s="361"/>
      <c r="Q2236" s="361"/>
      <c r="R2236" s="361"/>
      <c r="S2236" s="361"/>
      <c r="T2236" s="396"/>
      <c r="U2236" s="364">
        <f t="shared" si="72"/>
        <v>0</v>
      </c>
      <c r="W2236" s="365"/>
      <c r="X2236" s="365"/>
      <c r="Z2236" s="366"/>
    </row>
    <row r="2237" spans="1:26" hidden="1">
      <c r="A2237" s="367">
        <f>SUBTOTAL(3,$B$15:B2237)</f>
        <v>2</v>
      </c>
      <c r="H2237" s="359">
        <f t="shared" si="71"/>
        <v>0</v>
      </c>
      <c r="N2237" s="361"/>
      <c r="O2237" s="361"/>
      <c r="P2237" s="361"/>
      <c r="Q2237" s="361"/>
      <c r="R2237" s="361"/>
      <c r="S2237" s="361"/>
      <c r="T2237" s="396"/>
      <c r="U2237" s="364">
        <f t="shared" si="72"/>
        <v>0</v>
      </c>
      <c r="W2237" s="365"/>
      <c r="X2237" s="365"/>
      <c r="Z2237" s="366"/>
    </row>
    <row r="2238" spans="1:26" hidden="1">
      <c r="A2238" s="367">
        <f>SUBTOTAL(3,$B$15:B2238)</f>
        <v>2</v>
      </c>
      <c r="H2238" s="359">
        <f t="shared" si="71"/>
        <v>0</v>
      </c>
      <c r="N2238" s="361"/>
      <c r="O2238" s="361"/>
      <c r="P2238" s="361"/>
      <c r="Q2238" s="361"/>
      <c r="R2238" s="361"/>
      <c r="S2238" s="361"/>
      <c r="T2238" s="396"/>
      <c r="U2238" s="364">
        <f t="shared" si="72"/>
        <v>0</v>
      </c>
      <c r="W2238" s="365"/>
      <c r="X2238" s="365"/>
      <c r="Z2238" s="366"/>
    </row>
    <row r="2239" spans="1:26" hidden="1">
      <c r="A2239" s="367">
        <f>SUBTOTAL(3,$B$15:B2239)</f>
        <v>2</v>
      </c>
      <c r="H2239" s="359">
        <f t="shared" si="71"/>
        <v>0</v>
      </c>
      <c r="N2239" s="361"/>
      <c r="O2239" s="361"/>
      <c r="P2239" s="361"/>
      <c r="Q2239" s="361"/>
      <c r="R2239" s="361"/>
      <c r="S2239" s="361"/>
      <c r="T2239" s="396"/>
      <c r="U2239" s="364">
        <f t="shared" si="72"/>
        <v>0</v>
      </c>
      <c r="W2239" s="365"/>
      <c r="X2239" s="365"/>
      <c r="Z2239" s="366"/>
    </row>
    <row r="2240" spans="1:26" hidden="1">
      <c r="A2240" s="367">
        <f>SUBTOTAL(3,$B$15:B2240)</f>
        <v>2</v>
      </c>
      <c r="H2240" s="359">
        <f t="shared" si="71"/>
        <v>0</v>
      </c>
      <c r="N2240" s="361"/>
      <c r="O2240" s="361"/>
      <c r="P2240" s="361"/>
      <c r="Q2240" s="361"/>
      <c r="R2240" s="361"/>
      <c r="S2240" s="361"/>
      <c r="T2240" s="396"/>
      <c r="U2240" s="364">
        <f t="shared" si="72"/>
        <v>0</v>
      </c>
      <c r="W2240" s="365"/>
      <c r="X2240" s="365"/>
      <c r="Z2240" s="366"/>
    </row>
    <row r="2241" spans="1:26" hidden="1">
      <c r="A2241" s="367">
        <f>SUBTOTAL(3,$B$15:B2241)</f>
        <v>2</v>
      </c>
      <c r="H2241" s="359">
        <f t="shared" si="71"/>
        <v>0</v>
      </c>
      <c r="N2241" s="361"/>
      <c r="O2241" s="361"/>
      <c r="P2241" s="361"/>
      <c r="Q2241" s="361"/>
      <c r="R2241" s="361"/>
      <c r="S2241" s="361"/>
      <c r="T2241" s="396"/>
      <c r="U2241" s="364">
        <f t="shared" si="72"/>
        <v>0</v>
      </c>
      <c r="W2241" s="365"/>
      <c r="X2241" s="365"/>
      <c r="Z2241" s="366"/>
    </row>
    <row r="2242" spans="1:26" hidden="1">
      <c r="A2242" s="367">
        <f>SUBTOTAL(3,$B$15:B2242)</f>
        <v>2</v>
      </c>
      <c r="H2242" s="359">
        <f t="shared" si="71"/>
        <v>0</v>
      </c>
      <c r="N2242" s="361"/>
      <c r="O2242" s="361"/>
      <c r="P2242" s="361"/>
      <c r="Q2242" s="361"/>
      <c r="R2242" s="361"/>
      <c r="S2242" s="361"/>
      <c r="T2242" s="396"/>
      <c r="U2242" s="364">
        <f t="shared" si="72"/>
        <v>0</v>
      </c>
      <c r="W2242" s="365"/>
      <c r="X2242" s="365"/>
      <c r="Z2242" s="366"/>
    </row>
    <row r="2243" spans="1:26" hidden="1">
      <c r="A2243" s="367">
        <f>SUBTOTAL(3,$B$15:B2243)</f>
        <v>2</v>
      </c>
      <c r="H2243" s="359">
        <f t="shared" si="71"/>
        <v>0</v>
      </c>
      <c r="N2243" s="361"/>
      <c r="O2243" s="361"/>
      <c r="P2243" s="361"/>
      <c r="Q2243" s="361"/>
      <c r="R2243" s="361"/>
      <c r="S2243" s="361"/>
      <c r="T2243" s="396"/>
      <c r="U2243" s="364">
        <f t="shared" si="72"/>
        <v>0</v>
      </c>
      <c r="W2243" s="365"/>
      <c r="X2243" s="365"/>
      <c r="Z2243" s="366"/>
    </row>
    <row r="2244" spans="1:26" hidden="1">
      <c r="A2244" s="367">
        <f>SUBTOTAL(3,$B$15:B2244)</f>
        <v>2</v>
      </c>
      <c r="H2244" s="359">
        <f t="shared" si="71"/>
        <v>0</v>
      </c>
      <c r="N2244" s="361"/>
      <c r="O2244" s="361"/>
      <c r="P2244" s="361"/>
      <c r="Q2244" s="361"/>
      <c r="R2244" s="361"/>
      <c r="S2244" s="361"/>
      <c r="T2244" s="396"/>
      <c r="U2244" s="364">
        <f t="shared" si="72"/>
        <v>0</v>
      </c>
      <c r="W2244" s="365"/>
      <c r="X2244" s="365"/>
      <c r="Z2244" s="366"/>
    </row>
    <row r="2245" spans="1:26" hidden="1">
      <c r="A2245" s="367">
        <f>SUBTOTAL(3,$B$15:B2245)</f>
        <v>2</v>
      </c>
      <c r="H2245" s="359">
        <f t="shared" si="71"/>
        <v>0</v>
      </c>
      <c r="N2245" s="361"/>
      <c r="O2245" s="361"/>
      <c r="P2245" s="361"/>
      <c r="Q2245" s="361"/>
      <c r="R2245" s="361"/>
      <c r="S2245" s="361"/>
      <c r="T2245" s="396"/>
      <c r="U2245" s="364">
        <f t="shared" si="72"/>
        <v>0</v>
      </c>
      <c r="W2245" s="365"/>
      <c r="X2245" s="365"/>
      <c r="Z2245" s="366"/>
    </row>
    <row r="2246" spans="1:26" hidden="1">
      <c r="A2246" s="367">
        <f>SUBTOTAL(3,$B$15:B2246)</f>
        <v>2</v>
      </c>
      <c r="H2246" s="359">
        <f t="shared" si="71"/>
        <v>0</v>
      </c>
      <c r="N2246" s="361"/>
      <c r="O2246" s="361"/>
      <c r="P2246" s="361"/>
      <c r="Q2246" s="361"/>
      <c r="R2246" s="361"/>
      <c r="S2246" s="361"/>
      <c r="T2246" s="396"/>
      <c r="U2246" s="364">
        <f t="shared" si="72"/>
        <v>0</v>
      </c>
      <c r="W2246" s="365"/>
      <c r="X2246" s="365"/>
      <c r="Z2246" s="366"/>
    </row>
    <row r="2247" spans="1:26" hidden="1">
      <c r="A2247" s="367">
        <f>SUBTOTAL(3,$B$15:B2247)</f>
        <v>2</v>
      </c>
      <c r="H2247" s="359">
        <f t="shared" si="71"/>
        <v>0</v>
      </c>
      <c r="N2247" s="361"/>
      <c r="O2247" s="361"/>
      <c r="P2247" s="361"/>
      <c r="Q2247" s="361"/>
      <c r="R2247" s="361"/>
      <c r="S2247" s="361"/>
      <c r="T2247" s="396"/>
      <c r="U2247" s="364">
        <f t="shared" si="72"/>
        <v>0</v>
      </c>
      <c r="W2247" s="365"/>
      <c r="X2247" s="365"/>
      <c r="Z2247" s="366"/>
    </row>
    <row r="2248" spans="1:26" hidden="1">
      <c r="A2248" s="367">
        <f>SUBTOTAL(3,$B$15:B2248)</f>
        <v>2</v>
      </c>
      <c r="H2248" s="359">
        <f t="shared" si="71"/>
        <v>0</v>
      </c>
      <c r="N2248" s="361"/>
      <c r="O2248" s="361"/>
      <c r="P2248" s="361"/>
      <c r="Q2248" s="361"/>
      <c r="R2248" s="361"/>
      <c r="S2248" s="361"/>
      <c r="T2248" s="396"/>
      <c r="U2248" s="364">
        <f t="shared" si="72"/>
        <v>0</v>
      </c>
      <c r="W2248" s="365"/>
      <c r="X2248" s="365"/>
      <c r="Z2248" s="366"/>
    </row>
    <row r="2249" spans="1:26" hidden="1">
      <c r="A2249" s="367">
        <f>SUBTOTAL(3,$B$15:B2249)</f>
        <v>2</v>
      </c>
      <c r="H2249" s="359">
        <f t="shared" si="71"/>
        <v>0</v>
      </c>
      <c r="N2249" s="361"/>
      <c r="O2249" s="361"/>
      <c r="P2249" s="361"/>
      <c r="Q2249" s="361"/>
      <c r="R2249" s="361"/>
      <c r="S2249" s="361"/>
      <c r="T2249" s="396"/>
      <c r="U2249" s="364">
        <f t="shared" si="72"/>
        <v>0</v>
      </c>
      <c r="W2249" s="365"/>
      <c r="X2249" s="365"/>
      <c r="Z2249" s="366"/>
    </row>
    <row r="2250" spans="1:26" hidden="1">
      <c r="A2250" s="367">
        <f>SUBTOTAL(3,$B$15:B2250)</f>
        <v>2</v>
      </c>
      <c r="H2250" s="359">
        <f t="shared" si="71"/>
        <v>0</v>
      </c>
      <c r="N2250" s="361"/>
      <c r="O2250" s="361"/>
      <c r="P2250" s="361"/>
      <c r="Q2250" s="361"/>
      <c r="R2250" s="361"/>
      <c r="S2250" s="361"/>
      <c r="T2250" s="396"/>
      <c r="U2250" s="364">
        <f t="shared" si="72"/>
        <v>0</v>
      </c>
      <c r="W2250" s="365"/>
      <c r="X2250" s="365"/>
      <c r="Z2250" s="366"/>
    </row>
    <row r="2251" spans="1:26" hidden="1">
      <c r="A2251" s="367">
        <f>SUBTOTAL(3,$B$15:B2251)</f>
        <v>2</v>
      </c>
      <c r="H2251" s="359">
        <f t="shared" si="71"/>
        <v>0</v>
      </c>
      <c r="N2251" s="361"/>
      <c r="O2251" s="361"/>
      <c r="P2251" s="361"/>
      <c r="Q2251" s="361"/>
      <c r="R2251" s="361"/>
      <c r="S2251" s="361"/>
      <c r="T2251" s="396"/>
      <c r="U2251" s="364">
        <f t="shared" si="72"/>
        <v>0</v>
      </c>
      <c r="W2251" s="365"/>
      <c r="X2251" s="365"/>
      <c r="Z2251" s="366"/>
    </row>
    <row r="2252" spans="1:26" hidden="1">
      <c r="A2252" s="367">
        <f>SUBTOTAL(3,$B$15:B2252)</f>
        <v>2</v>
      </c>
      <c r="H2252" s="359">
        <f t="shared" si="71"/>
        <v>0</v>
      </c>
      <c r="N2252" s="361"/>
      <c r="O2252" s="361"/>
      <c r="P2252" s="361"/>
      <c r="Q2252" s="361"/>
      <c r="R2252" s="361"/>
      <c r="S2252" s="361"/>
      <c r="T2252" s="396"/>
      <c r="U2252" s="364">
        <f t="shared" si="72"/>
        <v>0</v>
      </c>
      <c r="W2252" s="365"/>
      <c r="X2252" s="365"/>
      <c r="Z2252" s="366"/>
    </row>
    <row r="2253" spans="1:26" hidden="1">
      <c r="A2253" s="367">
        <f>SUBTOTAL(3,$B$15:B2253)</f>
        <v>2</v>
      </c>
      <c r="H2253" s="359">
        <f t="shared" si="71"/>
        <v>0</v>
      </c>
      <c r="N2253" s="361"/>
      <c r="O2253" s="361"/>
      <c r="P2253" s="361"/>
      <c r="Q2253" s="361"/>
      <c r="R2253" s="361"/>
      <c r="S2253" s="361"/>
      <c r="T2253" s="396"/>
      <c r="U2253" s="364">
        <f t="shared" si="72"/>
        <v>0</v>
      </c>
      <c r="W2253" s="365"/>
      <c r="X2253" s="365"/>
      <c r="Z2253" s="366"/>
    </row>
    <row r="2254" spans="1:26" hidden="1">
      <c r="A2254" s="367">
        <f>SUBTOTAL(3,$B$15:B2254)</f>
        <v>2</v>
      </c>
      <c r="H2254" s="359">
        <f t="shared" si="71"/>
        <v>0</v>
      </c>
      <c r="N2254" s="361"/>
      <c r="O2254" s="361"/>
      <c r="P2254" s="361"/>
      <c r="Q2254" s="361"/>
      <c r="R2254" s="361"/>
      <c r="S2254" s="361"/>
      <c r="T2254" s="396"/>
      <c r="U2254" s="364">
        <f t="shared" si="72"/>
        <v>0</v>
      </c>
      <c r="W2254" s="365"/>
      <c r="X2254" s="365"/>
      <c r="Z2254" s="366"/>
    </row>
    <row r="2255" spans="1:26" hidden="1">
      <c r="A2255" s="367">
        <f>SUBTOTAL(3,$B$15:B2255)</f>
        <v>2</v>
      </c>
      <c r="H2255" s="359">
        <f t="shared" si="71"/>
        <v>0</v>
      </c>
      <c r="N2255" s="361"/>
      <c r="O2255" s="361"/>
      <c r="P2255" s="361"/>
      <c r="Q2255" s="361"/>
      <c r="R2255" s="361"/>
      <c r="S2255" s="361"/>
      <c r="T2255" s="396"/>
      <c r="U2255" s="364">
        <f t="shared" si="72"/>
        <v>0</v>
      </c>
      <c r="W2255" s="365"/>
      <c r="X2255" s="365"/>
      <c r="Z2255" s="366"/>
    </row>
    <row r="2256" spans="1:26" hidden="1">
      <c r="A2256" s="367">
        <f>SUBTOTAL(3,$B$15:B2256)</f>
        <v>2</v>
      </c>
      <c r="H2256" s="359">
        <f t="shared" si="71"/>
        <v>0</v>
      </c>
      <c r="N2256" s="361"/>
      <c r="O2256" s="361"/>
      <c r="P2256" s="361"/>
      <c r="Q2256" s="361"/>
      <c r="R2256" s="361"/>
      <c r="S2256" s="361"/>
      <c r="T2256" s="396"/>
      <c r="U2256" s="364">
        <f t="shared" si="72"/>
        <v>0</v>
      </c>
      <c r="W2256" s="365"/>
      <c r="X2256" s="365"/>
      <c r="Z2256" s="366"/>
    </row>
    <row r="2257" spans="1:26" hidden="1">
      <c r="A2257" s="367">
        <f>SUBTOTAL(3,$B$15:B2257)</f>
        <v>2</v>
      </c>
      <c r="H2257" s="359">
        <f t="shared" si="71"/>
        <v>0</v>
      </c>
      <c r="N2257" s="361"/>
      <c r="O2257" s="361"/>
      <c r="P2257" s="361"/>
      <c r="Q2257" s="361"/>
      <c r="R2257" s="361"/>
      <c r="S2257" s="361"/>
      <c r="T2257" s="396"/>
      <c r="U2257" s="364">
        <f t="shared" si="72"/>
        <v>0</v>
      </c>
      <c r="W2257" s="365"/>
      <c r="X2257" s="365"/>
      <c r="Z2257" s="366"/>
    </row>
    <row r="2258" spans="1:26" hidden="1">
      <c r="A2258" s="367">
        <f>SUBTOTAL(3,$B$15:B2258)</f>
        <v>2</v>
      </c>
      <c r="H2258" s="359">
        <f t="shared" si="71"/>
        <v>0</v>
      </c>
      <c r="N2258" s="361"/>
      <c r="O2258" s="361"/>
      <c r="P2258" s="361"/>
      <c r="Q2258" s="361"/>
      <c r="R2258" s="361"/>
      <c r="S2258" s="361"/>
      <c r="T2258" s="396"/>
      <c r="U2258" s="364">
        <f t="shared" si="72"/>
        <v>0</v>
      </c>
      <c r="W2258" s="365"/>
      <c r="X2258" s="365"/>
      <c r="Z2258" s="366"/>
    </row>
    <row r="2259" spans="1:26" hidden="1">
      <c r="A2259" s="367">
        <f>SUBTOTAL(3,$B$15:B2259)</f>
        <v>2</v>
      </c>
      <c r="H2259" s="359">
        <f t="shared" si="71"/>
        <v>0</v>
      </c>
      <c r="N2259" s="361"/>
      <c r="O2259" s="361"/>
      <c r="P2259" s="361"/>
      <c r="Q2259" s="361"/>
      <c r="R2259" s="361"/>
      <c r="S2259" s="361"/>
      <c r="T2259" s="396"/>
      <c r="U2259" s="364">
        <f t="shared" si="72"/>
        <v>0</v>
      </c>
      <c r="W2259" s="365"/>
      <c r="X2259" s="365"/>
      <c r="Z2259" s="366"/>
    </row>
    <row r="2260" spans="1:26" hidden="1">
      <c r="A2260" s="367">
        <f>SUBTOTAL(3,$B$15:B2260)</f>
        <v>2</v>
      </c>
      <c r="H2260" s="359">
        <f t="shared" ref="H2260:H2284" si="73">+G2260-SUM(M2260,O2260,Q2260)</f>
        <v>0</v>
      </c>
      <c r="N2260" s="361"/>
      <c r="O2260" s="361"/>
      <c r="P2260" s="361"/>
      <c r="Q2260" s="361"/>
      <c r="R2260" s="361"/>
      <c r="S2260" s="361"/>
      <c r="T2260" s="396"/>
      <c r="U2260" s="364">
        <f t="shared" si="72"/>
        <v>0</v>
      </c>
      <c r="W2260" s="365"/>
      <c r="X2260" s="365"/>
      <c r="Z2260" s="366"/>
    </row>
    <row r="2261" spans="1:26" hidden="1">
      <c r="A2261" s="367">
        <f>SUBTOTAL(3,$B$15:B2261)</f>
        <v>2</v>
      </c>
      <c r="H2261" s="359">
        <f t="shared" si="73"/>
        <v>0</v>
      </c>
      <c r="N2261" s="361"/>
      <c r="O2261" s="361"/>
      <c r="P2261" s="361"/>
      <c r="Q2261" s="361"/>
      <c r="R2261" s="361"/>
      <c r="S2261" s="361"/>
      <c r="T2261" s="396"/>
      <c r="U2261" s="364">
        <f t="shared" si="72"/>
        <v>0</v>
      </c>
      <c r="W2261" s="365"/>
      <c r="X2261" s="365"/>
      <c r="Z2261" s="366"/>
    </row>
    <row r="2262" spans="1:26" hidden="1">
      <c r="A2262" s="367">
        <f>SUBTOTAL(3,$B$15:B2262)</f>
        <v>2</v>
      </c>
      <c r="H2262" s="359">
        <f t="shared" si="73"/>
        <v>0</v>
      </c>
      <c r="N2262" s="361"/>
      <c r="O2262" s="361"/>
      <c r="P2262" s="361"/>
      <c r="Q2262" s="361"/>
      <c r="R2262" s="361"/>
      <c r="S2262" s="361"/>
      <c r="T2262" s="396"/>
      <c r="U2262" s="364">
        <f t="shared" si="72"/>
        <v>0</v>
      </c>
      <c r="W2262" s="365"/>
      <c r="X2262" s="365"/>
      <c r="Z2262" s="366"/>
    </row>
    <row r="2263" spans="1:26" hidden="1">
      <c r="A2263" s="367">
        <f>SUBTOTAL(3,$B$15:B2263)</f>
        <v>2</v>
      </c>
      <c r="H2263" s="359">
        <f t="shared" si="73"/>
        <v>0</v>
      </c>
      <c r="N2263" s="361"/>
      <c r="O2263" s="361"/>
      <c r="P2263" s="361"/>
      <c r="Q2263" s="361"/>
      <c r="R2263" s="361"/>
      <c r="S2263" s="361"/>
      <c r="T2263" s="396"/>
      <c r="U2263" s="364">
        <f t="shared" ref="U2263:U2326" si="74">SUM(H2263:T2263)</f>
        <v>0</v>
      </c>
      <c r="W2263" s="365"/>
      <c r="X2263" s="365"/>
      <c r="Z2263" s="366"/>
    </row>
    <row r="2264" spans="1:26" hidden="1">
      <c r="A2264" s="367">
        <f>SUBTOTAL(3,$B$15:B2264)</f>
        <v>2</v>
      </c>
      <c r="H2264" s="359">
        <f t="shared" si="73"/>
        <v>0</v>
      </c>
      <c r="N2264" s="361"/>
      <c r="O2264" s="361"/>
      <c r="P2264" s="361"/>
      <c r="Q2264" s="361"/>
      <c r="R2264" s="361"/>
      <c r="S2264" s="361"/>
      <c r="T2264" s="396"/>
      <c r="U2264" s="364">
        <f t="shared" si="74"/>
        <v>0</v>
      </c>
      <c r="W2264" s="365"/>
      <c r="X2264" s="365"/>
      <c r="Z2264" s="366"/>
    </row>
    <row r="2265" spans="1:26" hidden="1">
      <c r="A2265" s="367">
        <f>SUBTOTAL(3,$B$15:B2265)</f>
        <v>2</v>
      </c>
      <c r="H2265" s="359">
        <f t="shared" si="73"/>
        <v>0</v>
      </c>
      <c r="N2265" s="361"/>
      <c r="O2265" s="361"/>
      <c r="P2265" s="361"/>
      <c r="Q2265" s="361"/>
      <c r="R2265" s="361"/>
      <c r="S2265" s="361"/>
      <c r="T2265" s="396"/>
      <c r="U2265" s="364">
        <f t="shared" si="74"/>
        <v>0</v>
      </c>
      <c r="W2265" s="365"/>
      <c r="X2265" s="365"/>
      <c r="Z2265" s="366"/>
    </row>
    <row r="2266" spans="1:26" hidden="1">
      <c r="A2266" s="367">
        <f>SUBTOTAL(3,$B$15:B2266)</f>
        <v>2</v>
      </c>
      <c r="H2266" s="359">
        <f t="shared" si="73"/>
        <v>0</v>
      </c>
      <c r="N2266" s="361"/>
      <c r="O2266" s="361"/>
      <c r="P2266" s="361"/>
      <c r="Q2266" s="361"/>
      <c r="R2266" s="361"/>
      <c r="S2266" s="361"/>
      <c r="T2266" s="396"/>
      <c r="U2266" s="364">
        <f t="shared" si="74"/>
        <v>0</v>
      </c>
      <c r="W2266" s="365"/>
      <c r="X2266" s="365"/>
      <c r="Z2266" s="366"/>
    </row>
    <row r="2267" spans="1:26" hidden="1">
      <c r="A2267" s="367">
        <f>SUBTOTAL(3,$B$15:B2267)</f>
        <v>2</v>
      </c>
      <c r="H2267" s="359">
        <f t="shared" si="73"/>
        <v>0</v>
      </c>
      <c r="N2267" s="361"/>
      <c r="O2267" s="361"/>
      <c r="P2267" s="361"/>
      <c r="Q2267" s="361"/>
      <c r="R2267" s="361"/>
      <c r="S2267" s="361"/>
      <c r="T2267" s="396"/>
      <c r="U2267" s="364">
        <f t="shared" si="74"/>
        <v>0</v>
      </c>
      <c r="W2267" s="365"/>
      <c r="X2267" s="365"/>
      <c r="Z2267" s="366"/>
    </row>
    <row r="2268" spans="1:26" hidden="1">
      <c r="A2268" s="367">
        <f>SUBTOTAL(3,$B$15:B2268)</f>
        <v>2</v>
      </c>
      <c r="H2268" s="359">
        <f t="shared" si="73"/>
        <v>0</v>
      </c>
      <c r="N2268" s="361"/>
      <c r="O2268" s="361"/>
      <c r="P2268" s="361"/>
      <c r="Q2268" s="361"/>
      <c r="R2268" s="361"/>
      <c r="S2268" s="361"/>
      <c r="T2268" s="396"/>
      <c r="U2268" s="364">
        <f t="shared" si="74"/>
        <v>0</v>
      </c>
      <c r="W2268" s="365"/>
      <c r="X2268" s="365"/>
      <c r="Z2268" s="366"/>
    </row>
    <row r="2269" spans="1:26" hidden="1">
      <c r="A2269" s="367">
        <f>SUBTOTAL(3,$B$15:B2269)</f>
        <v>2</v>
      </c>
      <c r="H2269" s="359">
        <f t="shared" si="73"/>
        <v>0</v>
      </c>
      <c r="N2269" s="361"/>
      <c r="O2269" s="361"/>
      <c r="P2269" s="361"/>
      <c r="Q2269" s="361"/>
      <c r="R2269" s="361"/>
      <c r="S2269" s="361"/>
      <c r="T2269" s="396"/>
      <c r="U2269" s="364">
        <f t="shared" si="74"/>
        <v>0</v>
      </c>
      <c r="W2269" s="365"/>
      <c r="X2269" s="365"/>
      <c r="Z2269" s="366"/>
    </row>
    <row r="2270" spans="1:26" hidden="1">
      <c r="A2270" s="367">
        <f>SUBTOTAL(3,$B$15:B2270)</f>
        <v>2</v>
      </c>
      <c r="H2270" s="359">
        <f t="shared" si="73"/>
        <v>0</v>
      </c>
      <c r="N2270" s="361"/>
      <c r="O2270" s="361"/>
      <c r="P2270" s="361"/>
      <c r="Q2270" s="361"/>
      <c r="R2270" s="361"/>
      <c r="S2270" s="361"/>
      <c r="T2270" s="396"/>
      <c r="U2270" s="364">
        <f t="shared" si="74"/>
        <v>0</v>
      </c>
      <c r="W2270" s="365"/>
      <c r="X2270" s="365"/>
      <c r="Z2270" s="366"/>
    </row>
    <row r="2271" spans="1:26" hidden="1">
      <c r="A2271" s="367">
        <f>SUBTOTAL(3,$B$15:B2271)</f>
        <v>2</v>
      </c>
      <c r="H2271" s="359">
        <f t="shared" si="73"/>
        <v>0</v>
      </c>
      <c r="N2271" s="361"/>
      <c r="O2271" s="361"/>
      <c r="P2271" s="361"/>
      <c r="Q2271" s="361"/>
      <c r="R2271" s="361"/>
      <c r="S2271" s="361"/>
      <c r="T2271" s="396"/>
      <c r="U2271" s="364">
        <f t="shared" si="74"/>
        <v>0</v>
      </c>
      <c r="W2271" s="365"/>
      <c r="X2271" s="365"/>
      <c r="Z2271" s="366"/>
    </row>
    <row r="2272" spans="1:26" hidden="1">
      <c r="A2272" s="367">
        <f>SUBTOTAL(3,$B$15:B2272)</f>
        <v>2</v>
      </c>
      <c r="H2272" s="359">
        <f t="shared" si="73"/>
        <v>0</v>
      </c>
      <c r="N2272" s="361"/>
      <c r="O2272" s="361"/>
      <c r="P2272" s="361"/>
      <c r="Q2272" s="361"/>
      <c r="R2272" s="361"/>
      <c r="S2272" s="361"/>
      <c r="T2272" s="396"/>
      <c r="U2272" s="364">
        <f t="shared" si="74"/>
        <v>0</v>
      </c>
      <c r="W2272" s="365"/>
      <c r="X2272" s="365"/>
      <c r="Z2272" s="366"/>
    </row>
    <row r="2273" spans="1:26" hidden="1">
      <c r="A2273" s="367">
        <f>SUBTOTAL(3,$B$15:B2273)</f>
        <v>2</v>
      </c>
      <c r="H2273" s="359">
        <f t="shared" si="73"/>
        <v>0</v>
      </c>
      <c r="N2273" s="361"/>
      <c r="O2273" s="361"/>
      <c r="P2273" s="361"/>
      <c r="Q2273" s="361"/>
      <c r="R2273" s="361"/>
      <c r="S2273" s="361"/>
      <c r="T2273" s="396"/>
      <c r="U2273" s="364">
        <f t="shared" si="74"/>
        <v>0</v>
      </c>
      <c r="W2273" s="365"/>
      <c r="X2273" s="365"/>
      <c r="Z2273" s="366"/>
    </row>
    <row r="2274" spans="1:26" hidden="1">
      <c r="A2274" s="367">
        <f>SUBTOTAL(3,$B$15:B2274)</f>
        <v>2</v>
      </c>
      <c r="H2274" s="359">
        <f t="shared" si="73"/>
        <v>0</v>
      </c>
      <c r="N2274" s="361"/>
      <c r="O2274" s="361"/>
      <c r="P2274" s="361"/>
      <c r="Q2274" s="361"/>
      <c r="R2274" s="361"/>
      <c r="S2274" s="361"/>
      <c r="T2274" s="396"/>
      <c r="U2274" s="364">
        <f t="shared" si="74"/>
        <v>0</v>
      </c>
      <c r="W2274" s="365"/>
      <c r="X2274" s="365"/>
      <c r="Z2274" s="366"/>
    </row>
    <row r="2275" spans="1:26" hidden="1">
      <c r="A2275" s="367">
        <f>SUBTOTAL(3,$B$15:B2275)</f>
        <v>2</v>
      </c>
      <c r="H2275" s="359">
        <f t="shared" si="73"/>
        <v>0</v>
      </c>
      <c r="N2275" s="361"/>
      <c r="O2275" s="361"/>
      <c r="P2275" s="361"/>
      <c r="Q2275" s="361"/>
      <c r="R2275" s="361"/>
      <c r="S2275" s="361"/>
      <c r="T2275" s="396"/>
      <c r="U2275" s="364">
        <f t="shared" si="74"/>
        <v>0</v>
      </c>
      <c r="W2275" s="365"/>
      <c r="X2275" s="365"/>
      <c r="Z2275" s="366"/>
    </row>
    <row r="2276" spans="1:26" hidden="1">
      <c r="A2276" s="367">
        <f>SUBTOTAL(3,$B$15:B2276)</f>
        <v>2</v>
      </c>
      <c r="H2276" s="359">
        <f t="shared" si="73"/>
        <v>0</v>
      </c>
      <c r="N2276" s="361"/>
      <c r="O2276" s="361"/>
      <c r="P2276" s="361"/>
      <c r="Q2276" s="361"/>
      <c r="R2276" s="361"/>
      <c r="S2276" s="361"/>
      <c r="T2276" s="396"/>
      <c r="U2276" s="364">
        <f t="shared" si="74"/>
        <v>0</v>
      </c>
      <c r="W2276" s="365"/>
      <c r="X2276" s="365"/>
      <c r="Z2276" s="366"/>
    </row>
    <row r="2277" spans="1:26" hidden="1">
      <c r="A2277" s="367">
        <f>SUBTOTAL(3,$B$15:B2277)</f>
        <v>2</v>
      </c>
      <c r="H2277" s="359">
        <f t="shared" si="73"/>
        <v>0</v>
      </c>
      <c r="N2277" s="361"/>
      <c r="O2277" s="361"/>
      <c r="P2277" s="361"/>
      <c r="Q2277" s="361"/>
      <c r="R2277" s="361"/>
      <c r="S2277" s="361"/>
      <c r="T2277" s="396"/>
      <c r="U2277" s="364">
        <f t="shared" si="74"/>
        <v>0</v>
      </c>
      <c r="W2277" s="365"/>
      <c r="X2277" s="365"/>
      <c r="Z2277" s="366"/>
    </row>
    <row r="2278" spans="1:26" hidden="1">
      <c r="A2278" s="367">
        <f>SUBTOTAL(3,$B$15:B2278)</f>
        <v>2</v>
      </c>
      <c r="H2278" s="359">
        <f t="shared" si="73"/>
        <v>0</v>
      </c>
      <c r="N2278" s="361"/>
      <c r="O2278" s="361"/>
      <c r="P2278" s="361"/>
      <c r="Q2278" s="361"/>
      <c r="R2278" s="361"/>
      <c r="S2278" s="361"/>
      <c r="T2278" s="396"/>
      <c r="U2278" s="364">
        <f t="shared" si="74"/>
        <v>0</v>
      </c>
      <c r="W2278" s="365"/>
      <c r="X2278" s="365"/>
      <c r="Z2278" s="366"/>
    </row>
    <row r="2279" spans="1:26" hidden="1">
      <c r="A2279" s="367">
        <f>SUBTOTAL(3,$B$15:B2279)</f>
        <v>2</v>
      </c>
      <c r="H2279" s="359">
        <f t="shared" si="73"/>
        <v>0</v>
      </c>
      <c r="N2279" s="361"/>
      <c r="O2279" s="361"/>
      <c r="P2279" s="361"/>
      <c r="Q2279" s="361"/>
      <c r="R2279" s="361"/>
      <c r="S2279" s="361"/>
      <c r="T2279" s="396"/>
      <c r="U2279" s="364">
        <f t="shared" si="74"/>
        <v>0</v>
      </c>
      <c r="W2279" s="365"/>
      <c r="X2279" s="365"/>
      <c r="Z2279" s="366"/>
    </row>
    <row r="2280" spans="1:26" hidden="1">
      <c r="A2280" s="367">
        <f>SUBTOTAL(3,$B$15:B2280)</f>
        <v>2</v>
      </c>
      <c r="H2280" s="359">
        <f t="shared" si="73"/>
        <v>0</v>
      </c>
      <c r="N2280" s="361"/>
      <c r="O2280" s="361"/>
      <c r="P2280" s="361"/>
      <c r="Q2280" s="361"/>
      <c r="R2280" s="361"/>
      <c r="S2280" s="361"/>
      <c r="T2280" s="396"/>
      <c r="U2280" s="364">
        <f t="shared" si="74"/>
        <v>0</v>
      </c>
      <c r="W2280" s="365"/>
      <c r="X2280" s="365"/>
      <c r="Z2280" s="366"/>
    </row>
    <row r="2281" spans="1:26" hidden="1">
      <c r="A2281" s="367">
        <f>SUBTOTAL(3,$B$15:B2281)</f>
        <v>2</v>
      </c>
      <c r="H2281" s="359">
        <f t="shared" si="73"/>
        <v>0</v>
      </c>
      <c r="N2281" s="361"/>
      <c r="O2281" s="361"/>
      <c r="P2281" s="361"/>
      <c r="Q2281" s="361"/>
      <c r="R2281" s="361"/>
      <c r="S2281" s="361"/>
      <c r="T2281" s="396"/>
      <c r="U2281" s="364">
        <f t="shared" si="74"/>
        <v>0</v>
      </c>
      <c r="W2281" s="365"/>
      <c r="X2281" s="365"/>
      <c r="Z2281" s="366"/>
    </row>
    <row r="2282" spans="1:26" hidden="1">
      <c r="A2282" s="367">
        <f>SUBTOTAL(3,$B$15:B2282)</f>
        <v>2</v>
      </c>
      <c r="H2282" s="359">
        <f t="shared" si="73"/>
        <v>0</v>
      </c>
      <c r="N2282" s="361"/>
      <c r="O2282" s="361"/>
      <c r="P2282" s="361"/>
      <c r="Q2282" s="361"/>
      <c r="R2282" s="361"/>
      <c r="S2282" s="361"/>
      <c r="T2282" s="396"/>
      <c r="U2282" s="364">
        <f t="shared" si="74"/>
        <v>0</v>
      </c>
      <c r="W2282" s="365"/>
      <c r="X2282" s="365"/>
      <c r="Z2282" s="366"/>
    </row>
    <row r="2283" spans="1:26" hidden="1">
      <c r="A2283" s="367">
        <f>SUBTOTAL(3,$B$15:B2283)</f>
        <v>2</v>
      </c>
      <c r="H2283" s="359">
        <f t="shared" si="73"/>
        <v>0</v>
      </c>
      <c r="N2283" s="361"/>
      <c r="O2283" s="361"/>
      <c r="P2283" s="361"/>
      <c r="Q2283" s="361"/>
      <c r="R2283" s="361"/>
      <c r="S2283" s="361"/>
      <c r="T2283" s="396"/>
      <c r="U2283" s="364">
        <f t="shared" si="74"/>
        <v>0</v>
      </c>
      <c r="W2283" s="365"/>
      <c r="X2283" s="365"/>
      <c r="Z2283" s="366"/>
    </row>
    <row r="2284" spans="1:26" hidden="1">
      <c r="A2284" s="367">
        <f>SUBTOTAL(3,$B$15:B2284)</f>
        <v>2</v>
      </c>
      <c r="H2284" s="359">
        <f t="shared" si="73"/>
        <v>0</v>
      </c>
      <c r="N2284" s="361"/>
      <c r="O2284" s="361"/>
      <c r="P2284" s="361"/>
      <c r="Q2284" s="361"/>
      <c r="R2284" s="361"/>
      <c r="S2284" s="361"/>
      <c r="T2284" s="396"/>
      <c r="U2284" s="364">
        <f t="shared" si="74"/>
        <v>0</v>
      </c>
      <c r="W2284" s="365"/>
      <c r="X2284" s="365"/>
    </row>
    <row r="2285" spans="1:26" hidden="1">
      <c r="A2285" s="367">
        <f>SUBTOTAL(3,$B$15:B2285)</f>
        <v>2</v>
      </c>
      <c r="H2285" s="359">
        <f>+G2285-SUM(M2285,O2285,Q2285)</f>
        <v>0</v>
      </c>
      <c r="T2285" s="396"/>
      <c r="U2285" s="364">
        <f t="shared" si="74"/>
        <v>0</v>
      </c>
      <c r="W2285" s="365"/>
      <c r="X2285" s="365"/>
    </row>
    <row r="2286" spans="1:26" hidden="1">
      <c r="A2286" s="367">
        <f>SUBTOTAL(3,$B$15:B2286)</f>
        <v>2</v>
      </c>
      <c r="H2286" s="359">
        <f t="shared" ref="H2286:H2349" si="75">+G2286-SUM(M2286,O2286,Q2286)</f>
        <v>0</v>
      </c>
      <c r="T2286" s="396"/>
      <c r="U2286" s="364">
        <f t="shared" si="74"/>
        <v>0</v>
      </c>
      <c r="W2286" s="365"/>
      <c r="X2286" s="365"/>
    </row>
    <row r="2287" spans="1:26" hidden="1">
      <c r="A2287" s="367">
        <f>SUBTOTAL(3,$B$15:B2287)</f>
        <v>2</v>
      </c>
      <c r="H2287" s="359">
        <f t="shared" si="75"/>
        <v>0</v>
      </c>
      <c r="T2287" s="396"/>
      <c r="U2287" s="364">
        <f t="shared" si="74"/>
        <v>0</v>
      </c>
      <c r="W2287" s="365"/>
      <c r="X2287" s="365"/>
    </row>
    <row r="2288" spans="1:26" hidden="1">
      <c r="A2288" s="367">
        <f>SUBTOTAL(3,$B$15:B2288)</f>
        <v>2</v>
      </c>
      <c r="H2288" s="359">
        <f t="shared" si="75"/>
        <v>0</v>
      </c>
      <c r="T2288" s="396"/>
      <c r="U2288" s="364">
        <f t="shared" si="74"/>
        <v>0</v>
      </c>
      <c r="W2288" s="365"/>
      <c r="X2288" s="365"/>
    </row>
    <row r="2289" spans="1:24" hidden="1">
      <c r="A2289" s="367">
        <f>SUBTOTAL(3,$B$15:B2289)</f>
        <v>2</v>
      </c>
      <c r="H2289" s="359">
        <f t="shared" si="75"/>
        <v>0</v>
      </c>
      <c r="T2289" s="396"/>
      <c r="U2289" s="364">
        <f t="shared" si="74"/>
        <v>0</v>
      </c>
      <c r="W2289" s="365"/>
      <c r="X2289" s="365"/>
    </row>
    <row r="2290" spans="1:24" hidden="1">
      <c r="A2290" s="367">
        <f>SUBTOTAL(3,$B$15:B2290)</f>
        <v>2</v>
      </c>
      <c r="H2290" s="359">
        <f t="shared" si="75"/>
        <v>0</v>
      </c>
      <c r="T2290" s="396"/>
      <c r="U2290" s="364">
        <f t="shared" si="74"/>
        <v>0</v>
      </c>
      <c r="W2290" s="365"/>
      <c r="X2290" s="365"/>
    </row>
    <row r="2291" spans="1:24" hidden="1">
      <c r="A2291" s="367">
        <f>SUBTOTAL(3,$B$15:B2291)</f>
        <v>2</v>
      </c>
      <c r="H2291" s="359">
        <f t="shared" si="75"/>
        <v>0</v>
      </c>
      <c r="T2291" s="396"/>
      <c r="U2291" s="364">
        <f t="shared" si="74"/>
        <v>0</v>
      </c>
      <c r="W2291" s="365"/>
      <c r="X2291" s="365"/>
    </row>
    <row r="2292" spans="1:24" hidden="1">
      <c r="A2292" s="367">
        <f>SUBTOTAL(3,$B$15:B2292)</f>
        <v>2</v>
      </c>
      <c r="H2292" s="359">
        <f t="shared" si="75"/>
        <v>0</v>
      </c>
      <c r="T2292" s="396"/>
      <c r="U2292" s="364">
        <f t="shared" si="74"/>
        <v>0</v>
      </c>
      <c r="W2292" s="365"/>
      <c r="X2292" s="365"/>
    </row>
    <row r="2293" spans="1:24" hidden="1">
      <c r="A2293" s="367">
        <f>SUBTOTAL(3,$B$15:B2293)</f>
        <v>2</v>
      </c>
      <c r="H2293" s="359">
        <f t="shared" si="75"/>
        <v>0</v>
      </c>
      <c r="T2293" s="396"/>
      <c r="U2293" s="364">
        <f t="shared" si="74"/>
        <v>0</v>
      </c>
      <c r="W2293" s="365"/>
      <c r="X2293" s="365"/>
    </row>
    <row r="2294" spans="1:24" hidden="1">
      <c r="A2294" s="367">
        <f>SUBTOTAL(3,$B$15:B2294)</f>
        <v>2</v>
      </c>
      <c r="H2294" s="359">
        <f t="shared" si="75"/>
        <v>0</v>
      </c>
      <c r="T2294" s="396"/>
      <c r="U2294" s="364">
        <f t="shared" si="74"/>
        <v>0</v>
      </c>
      <c r="W2294" s="365"/>
      <c r="X2294" s="365"/>
    </row>
    <row r="2295" spans="1:24" hidden="1">
      <c r="A2295" s="367">
        <f>SUBTOTAL(3,$B$15:B2295)</f>
        <v>2</v>
      </c>
      <c r="H2295" s="359">
        <f t="shared" si="75"/>
        <v>0</v>
      </c>
      <c r="T2295" s="396"/>
      <c r="U2295" s="364">
        <f t="shared" si="74"/>
        <v>0</v>
      </c>
      <c r="W2295" s="365"/>
      <c r="X2295" s="365"/>
    </row>
    <row r="2296" spans="1:24" hidden="1">
      <c r="A2296" s="367">
        <f>SUBTOTAL(3,$B$15:B2296)</f>
        <v>2</v>
      </c>
      <c r="H2296" s="359">
        <f t="shared" si="75"/>
        <v>0</v>
      </c>
      <c r="T2296" s="396"/>
      <c r="U2296" s="364">
        <f t="shared" si="74"/>
        <v>0</v>
      </c>
      <c r="W2296" s="365"/>
      <c r="X2296" s="365"/>
    </row>
    <row r="2297" spans="1:24" hidden="1">
      <c r="A2297" s="367">
        <f>SUBTOTAL(3,$B$15:B2297)</f>
        <v>2</v>
      </c>
      <c r="H2297" s="359">
        <f t="shared" si="75"/>
        <v>0</v>
      </c>
      <c r="T2297" s="396"/>
      <c r="U2297" s="364">
        <f t="shared" si="74"/>
        <v>0</v>
      </c>
      <c r="W2297" s="365"/>
      <c r="X2297" s="365"/>
    </row>
    <row r="2298" spans="1:24" hidden="1">
      <c r="A2298" s="367">
        <f>SUBTOTAL(3,$B$15:B2298)</f>
        <v>2</v>
      </c>
      <c r="H2298" s="359">
        <f t="shared" si="75"/>
        <v>0</v>
      </c>
      <c r="T2298" s="396"/>
      <c r="U2298" s="364">
        <f t="shared" si="74"/>
        <v>0</v>
      </c>
      <c r="W2298" s="365"/>
      <c r="X2298" s="365"/>
    </row>
    <row r="2299" spans="1:24" hidden="1">
      <c r="A2299" s="367">
        <f>SUBTOTAL(3,$B$15:B2299)</f>
        <v>2</v>
      </c>
      <c r="H2299" s="359">
        <f t="shared" si="75"/>
        <v>0</v>
      </c>
      <c r="T2299" s="396"/>
      <c r="U2299" s="364">
        <f t="shared" si="74"/>
        <v>0</v>
      </c>
      <c r="W2299" s="365"/>
      <c r="X2299" s="365"/>
    </row>
    <row r="2300" spans="1:24" hidden="1">
      <c r="A2300" s="367">
        <f>SUBTOTAL(3,$B$15:B2300)</f>
        <v>2</v>
      </c>
      <c r="H2300" s="359">
        <f t="shared" si="75"/>
        <v>0</v>
      </c>
      <c r="T2300" s="396"/>
      <c r="U2300" s="364">
        <f t="shared" si="74"/>
        <v>0</v>
      </c>
      <c r="W2300" s="365"/>
      <c r="X2300" s="365"/>
    </row>
    <row r="2301" spans="1:24" hidden="1">
      <c r="A2301" s="367">
        <f>SUBTOTAL(3,$B$15:B2301)</f>
        <v>2</v>
      </c>
      <c r="H2301" s="359">
        <f t="shared" si="75"/>
        <v>0</v>
      </c>
      <c r="T2301" s="396"/>
      <c r="U2301" s="364">
        <f t="shared" si="74"/>
        <v>0</v>
      </c>
      <c r="W2301" s="365"/>
      <c r="X2301" s="365"/>
    </row>
    <row r="2302" spans="1:24" hidden="1">
      <c r="A2302" s="367">
        <f>SUBTOTAL(3,$B$15:B2302)</f>
        <v>2</v>
      </c>
      <c r="H2302" s="359">
        <f t="shared" si="75"/>
        <v>0</v>
      </c>
      <c r="T2302" s="396"/>
      <c r="U2302" s="364">
        <f t="shared" si="74"/>
        <v>0</v>
      </c>
      <c r="W2302" s="365"/>
      <c r="X2302" s="365"/>
    </row>
    <row r="2303" spans="1:24" hidden="1">
      <c r="A2303" s="367">
        <f>SUBTOTAL(3,$B$15:B2303)</f>
        <v>2</v>
      </c>
      <c r="H2303" s="359">
        <f t="shared" si="75"/>
        <v>0</v>
      </c>
      <c r="T2303" s="396"/>
      <c r="U2303" s="364">
        <f t="shared" si="74"/>
        <v>0</v>
      </c>
      <c r="W2303" s="365"/>
      <c r="X2303" s="365"/>
    </row>
    <row r="2304" spans="1:24" hidden="1">
      <c r="A2304" s="367">
        <f>SUBTOTAL(3,$B$15:B2304)</f>
        <v>2</v>
      </c>
      <c r="H2304" s="359">
        <f t="shared" si="75"/>
        <v>0</v>
      </c>
      <c r="T2304" s="396"/>
      <c r="U2304" s="364">
        <f t="shared" si="74"/>
        <v>0</v>
      </c>
      <c r="W2304" s="365"/>
      <c r="X2304" s="365"/>
    </row>
    <row r="2305" spans="1:24" hidden="1">
      <c r="A2305" s="367">
        <f>SUBTOTAL(3,$B$15:B2305)</f>
        <v>2</v>
      </c>
      <c r="H2305" s="359">
        <f t="shared" si="75"/>
        <v>0</v>
      </c>
      <c r="T2305" s="396"/>
      <c r="U2305" s="364">
        <f t="shared" si="74"/>
        <v>0</v>
      </c>
      <c r="W2305" s="365"/>
      <c r="X2305" s="365"/>
    </row>
    <row r="2306" spans="1:24" hidden="1">
      <c r="A2306" s="367">
        <f>SUBTOTAL(3,$B$15:B2306)</f>
        <v>2</v>
      </c>
      <c r="H2306" s="359">
        <f t="shared" si="75"/>
        <v>0</v>
      </c>
      <c r="T2306" s="396"/>
      <c r="U2306" s="364">
        <f t="shared" si="74"/>
        <v>0</v>
      </c>
      <c r="W2306" s="365"/>
      <c r="X2306" s="365"/>
    </row>
    <row r="2307" spans="1:24" hidden="1">
      <c r="A2307" s="367">
        <f>SUBTOTAL(3,$B$15:B2307)</f>
        <v>2</v>
      </c>
      <c r="H2307" s="359">
        <f t="shared" si="75"/>
        <v>0</v>
      </c>
      <c r="T2307" s="396"/>
      <c r="U2307" s="364">
        <f t="shared" si="74"/>
        <v>0</v>
      </c>
      <c r="W2307" s="365"/>
      <c r="X2307" s="365"/>
    </row>
    <row r="2308" spans="1:24" hidden="1">
      <c r="A2308" s="367">
        <f>SUBTOTAL(3,$B$15:B2308)</f>
        <v>2</v>
      </c>
      <c r="H2308" s="359">
        <f t="shared" si="75"/>
        <v>0</v>
      </c>
      <c r="T2308" s="396"/>
      <c r="U2308" s="364">
        <f t="shared" si="74"/>
        <v>0</v>
      </c>
      <c r="W2308" s="365"/>
      <c r="X2308" s="365"/>
    </row>
    <row r="2309" spans="1:24" hidden="1">
      <c r="A2309" s="367">
        <f>SUBTOTAL(3,$B$15:B2309)</f>
        <v>2</v>
      </c>
      <c r="H2309" s="359">
        <f t="shared" si="75"/>
        <v>0</v>
      </c>
      <c r="T2309" s="396"/>
      <c r="U2309" s="364">
        <f t="shared" si="74"/>
        <v>0</v>
      </c>
      <c r="W2309" s="365"/>
      <c r="X2309" s="365"/>
    </row>
    <row r="2310" spans="1:24" hidden="1">
      <c r="A2310" s="367">
        <f>SUBTOTAL(3,$B$15:B2310)</f>
        <v>2</v>
      </c>
      <c r="H2310" s="359">
        <f t="shared" si="75"/>
        <v>0</v>
      </c>
      <c r="T2310" s="396"/>
      <c r="U2310" s="364">
        <f t="shared" si="74"/>
        <v>0</v>
      </c>
      <c r="W2310" s="365"/>
      <c r="X2310" s="365"/>
    </row>
    <row r="2311" spans="1:24" hidden="1">
      <c r="A2311" s="367">
        <f>SUBTOTAL(3,$B$15:B2311)</f>
        <v>2</v>
      </c>
      <c r="H2311" s="359">
        <f t="shared" si="75"/>
        <v>0</v>
      </c>
      <c r="T2311" s="396"/>
      <c r="U2311" s="364">
        <f t="shared" si="74"/>
        <v>0</v>
      </c>
      <c r="W2311" s="365"/>
      <c r="X2311" s="365"/>
    </row>
    <row r="2312" spans="1:24" hidden="1">
      <c r="A2312" s="367">
        <f>SUBTOTAL(3,$B$15:B2312)</f>
        <v>2</v>
      </c>
      <c r="H2312" s="359">
        <f t="shared" si="75"/>
        <v>0</v>
      </c>
      <c r="T2312" s="396"/>
      <c r="U2312" s="364">
        <f t="shared" si="74"/>
        <v>0</v>
      </c>
      <c r="W2312" s="365"/>
      <c r="X2312" s="365"/>
    </row>
    <row r="2313" spans="1:24" hidden="1">
      <c r="A2313" s="367">
        <f>SUBTOTAL(3,$B$15:B2313)</f>
        <v>2</v>
      </c>
      <c r="H2313" s="359">
        <f t="shared" si="75"/>
        <v>0</v>
      </c>
      <c r="T2313" s="396"/>
      <c r="U2313" s="364">
        <f t="shared" si="74"/>
        <v>0</v>
      </c>
      <c r="W2313" s="365"/>
      <c r="X2313" s="365"/>
    </row>
    <row r="2314" spans="1:24" hidden="1">
      <c r="A2314" s="367">
        <f>SUBTOTAL(3,$B$15:B2314)</f>
        <v>2</v>
      </c>
      <c r="H2314" s="359">
        <f t="shared" si="75"/>
        <v>0</v>
      </c>
      <c r="T2314" s="396"/>
      <c r="U2314" s="364">
        <f t="shared" si="74"/>
        <v>0</v>
      </c>
      <c r="W2314" s="365"/>
      <c r="X2314" s="365"/>
    </row>
    <row r="2315" spans="1:24" hidden="1">
      <c r="A2315" s="367">
        <f>SUBTOTAL(3,$B$15:B2315)</f>
        <v>2</v>
      </c>
      <c r="H2315" s="359">
        <f t="shared" si="75"/>
        <v>0</v>
      </c>
      <c r="T2315" s="396"/>
      <c r="U2315" s="364">
        <f t="shared" si="74"/>
        <v>0</v>
      </c>
      <c r="W2315" s="365"/>
      <c r="X2315" s="365"/>
    </row>
    <row r="2316" spans="1:24" hidden="1">
      <c r="A2316" s="367">
        <f>SUBTOTAL(3,$B$15:B2316)</f>
        <v>2</v>
      </c>
      <c r="H2316" s="359">
        <f t="shared" si="75"/>
        <v>0</v>
      </c>
      <c r="T2316" s="396"/>
      <c r="U2316" s="364">
        <f t="shared" si="74"/>
        <v>0</v>
      </c>
      <c r="W2316" s="365"/>
      <c r="X2316" s="365"/>
    </row>
    <row r="2317" spans="1:24" hidden="1">
      <c r="A2317" s="367">
        <f>SUBTOTAL(3,$B$15:B2317)</f>
        <v>2</v>
      </c>
      <c r="H2317" s="359">
        <f t="shared" si="75"/>
        <v>0</v>
      </c>
      <c r="T2317" s="396"/>
      <c r="U2317" s="364">
        <f t="shared" si="74"/>
        <v>0</v>
      </c>
      <c r="W2317" s="365"/>
      <c r="X2317" s="365"/>
    </row>
    <row r="2318" spans="1:24" hidden="1">
      <c r="A2318" s="367">
        <f>SUBTOTAL(3,$B$15:B2318)</f>
        <v>2</v>
      </c>
      <c r="H2318" s="359">
        <f t="shared" si="75"/>
        <v>0</v>
      </c>
      <c r="T2318" s="396"/>
      <c r="U2318" s="364">
        <f t="shared" si="74"/>
        <v>0</v>
      </c>
      <c r="W2318" s="365"/>
      <c r="X2318" s="365"/>
    </row>
    <row r="2319" spans="1:24" hidden="1">
      <c r="A2319" s="367">
        <f>SUBTOTAL(3,$B$15:B2319)</f>
        <v>2</v>
      </c>
      <c r="H2319" s="359">
        <f t="shared" si="75"/>
        <v>0</v>
      </c>
      <c r="T2319" s="396"/>
      <c r="U2319" s="364">
        <f t="shared" si="74"/>
        <v>0</v>
      </c>
      <c r="W2319" s="365"/>
      <c r="X2319" s="365"/>
    </row>
    <row r="2320" spans="1:24" hidden="1">
      <c r="A2320" s="367">
        <f>SUBTOTAL(3,$B$15:B2320)</f>
        <v>2</v>
      </c>
      <c r="H2320" s="359">
        <f t="shared" si="75"/>
        <v>0</v>
      </c>
      <c r="T2320" s="396"/>
      <c r="U2320" s="364">
        <f t="shared" si="74"/>
        <v>0</v>
      </c>
      <c r="W2320" s="365"/>
      <c r="X2320" s="365"/>
    </row>
    <row r="2321" spans="1:24" hidden="1">
      <c r="A2321" s="367">
        <f>SUBTOTAL(3,$B$15:B2321)</f>
        <v>2</v>
      </c>
      <c r="H2321" s="359">
        <f t="shared" si="75"/>
        <v>0</v>
      </c>
      <c r="T2321" s="396"/>
      <c r="U2321" s="364">
        <f t="shared" si="74"/>
        <v>0</v>
      </c>
      <c r="W2321" s="365"/>
      <c r="X2321" s="365"/>
    </row>
    <row r="2322" spans="1:24" hidden="1">
      <c r="A2322" s="367">
        <f>SUBTOTAL(3,$B$15:B2322)</f>
        <v>2</v>
      </c>
      <c r="H2322" s="359">
        <f t="shared" si="75"/>
        <v>0</v>
      </c>
      <c r="T2322" s="396"/>
      <c r="U2322" s="364">
        <f t="shared" si="74"/>
        <v>0</v>
      </c>
      <c r="W2322" s="365"/>
      <c r="X2322" s="365"/>
    </row>
    <row r="2323" spans="1:24" hidden="1">
      <c r="A2323" s="367">
        <f>SUBTOTAL(3,$B$15:B2323)</f>
        <v>2</v>
      </c>
      <c r="H2323" s="359">
        <f t="shared" si="75"/>
        <v>0</v>
      </c>
      <c r="T2323" s="396"/>
      <c r="U2323" s="364">
        <f t="shared" si="74"/>
        <v>0</v>
      </c>
      <c r="W2323" s="365"/>
      <c r="X2323" s="365"/>
    </row>
    <row r="2324" spans="1:24" hidden="1">
      <c r="A2324" s="367">
        <f>SUBTOTAL(3,$B$15:B2324)</f>
        <v>2</v>
      </c>
      <c r="H2324" s="359">
        <f t="shared" si="75"/>
        <v>0</v>
      </c>
      <c r="T2324" s="396"/>
      <c r="U2324" s="364">
        <f t="shared" si="74"/>
        <v>0</v>
      </c>
      <c r="W2324" s="365"/>
      <c r="X2324" s="365"/>
    </row>
    <row r="2325" spans="1:24" hidden="1">
      <c r="A2325" s="367">
        <f>SUBTOTAL(3,$B$15:B2325)</f>
        <v>2</v>
      </c>
      <c r="H2325" s="359">
        <f t="shared" si="75"/>
        <v>0</v>
      </c>
      <c r="T2325" s="396"/>
      <c r="U2325" s="364">
        <f t="shared" si="74"/>
        <v>0</v>
      </c>
      <c r="W2325" s="365"/>
      <c r="X2325" s="365"/>
    </row>
    <row r="2326" spans="1:24" hidden="1">
      <c r="A2326" s="367">
        <f>SUBTOTAL(3,$B$15:B2326)</f>
        <v>2</v>
      </c>
      <c r="H2326" s="359">
        <f t="shared" si="75"/>
        <v>0</v>
      </c>
      <c r="T2326" s="396"/>
      <c r="U2326" s="364">
        <f t="shared" si="74"/>
        <v>0</v>
      </c>
      <c r="W2326" s="365"/>
      <c r="X2326" s="365"/>
    </row>
    <row r="2327" spans="1:24" hidden="1">
      <c r="A2327" s="367">
        <f>SUBTOTAL(3,$B$15:B2327)</f>
        <v>2</v>
      </c>
      <c r="H2327" s="359">
        <f t="shared" si="75"/>
        <v>0</v>
      </c>
      <c r="T2327" s="396"/>
      <c r="U2327" s="364">
        <f t="shared" ref="U2327:U2390" si="76">SUM(H2327:T2327)</f>
        <v>0</v>
      </c>
      <c r="W2327" s="365"/>
      <c r="X2327" s="365"/>
    </row>
    <row r="2328" spans="1:24" hidden="1">
      <c r="A2328" s="367">
        <f>SUBTOTAL(3,$B$15:B2328)</f>
        <v>2</v>
      </c>
      <c r="H2328" s="359">
        <f t="shared" si="75"/>
        <v>0</v>
      </c>
      <c r="T2328" s="396"/>
      <c r="U2328" s="364">
        <f t="shared" si="76"/>
        <v>0</v>
      </c>
      <c r="W2328" s="365"/>
      <c r="X2328" s="365"/>
    </row>
    <row r="2329" spans="1:24" hidden="1">
      <c r="A2329" s="367">
        <f>SUBTOTAL(3,$B$15:B2329)</f>
        <v>2</v>
      </c>
      <c r="H2329" s="359">
        <f t="shared" si="75"/>
        <v>0</v>
      </c>
      <c r="T2329" s="396"/>
      <c r="U2329" s="364">
        <f t="shared" si="76"/>
        <v>0</v>
      </c>
      <c r="W2329" s="365"/>
      <c r="X2329" s="365"/>
    </row>
    <row r="2330" spans="1:24" hidden="1">
      <c r="A2330" s="367">
        <f>SUBTOTAL(3,$B$15:B2330)</f>
        <v>2</v>
      </c>
      <c r="H2330" s="359">
        <f t="shared" si="75"/>
        <v>0</v>
      </c>
      <c r="T2330" s="396"/>
      <c r="U2330" s="364">
        <f t="shared" si="76"/>
        <v>0</v>
      </c>
      <c r="W2330" s="365"/>
      <c r="X2330" s="365"/>
    </row>
    <row r="2331" spans="1:24" hidden="1">
      <c r="A2331" s="367">
        <f>SUBTOTAL(3,$B$15:B2331)</f>
        <v>2</v>
      </c>
      <c r="H2331" s="359">
        <f t="shared" si="75"/>
        <v>0</v>
      </c>
      <c r="T2331" s="396"/>
      <c r="U2331" s="364">
        <f t="shared" si="76"/>
        <v>0</v>
      </c>
      <c r="W2331" s="365"/>
      <c r="X2331" s="365"/>
    </row>
    <row r="2332" spans="1:24" hidden="1">
      <c r="A2332" s="367">
        <f>SUBTOTAL(3,$B$15:B2332)</f>
        <v>2</v>
      </c>
      <c r="H2332" s="359">
        <f t="shared" si="75"/>
        <v>0</v>
      </c>
      <c r="T2332" s="396"/>
      <c r="U2332" s="364">
        <f t="shared" si="76"/>
        <v>0</v>
      </c>
      <c r="W2332" s="365"/>
      <c r="X2332" s="365"/>
    </row>
    <row r="2333" spans="1:24" hidden="1">
      <c r="A2333" s="367">
        <f>SUBTOTAL(3,$B$15:B2333)</f>
        <v>2</v>
      </c>
      <c r="H2333" s="359">
        <f t="shared" si="75"/>
        <v>0</v>
      </c>
      <c r="T2333" s="396"/>
      <c r="U2333" s="364">
        <f t="shared" si="76"/>
        <v>0</v>
      </c>
      <c r="W2333" s="365"/>
      <c r="X2333" s="365"/>
    </row>
    <row r="2334" spans="1:24" hidden="1">
      <c r="A2334" s="367">
        <f>SUBTOTAL(3,$B$15:B2334)</f>
        <v>2</v>
      </c>
      <c r="H2334" s="359">
        <f t="shared" si="75"/>
        <v>0</v>
      </c>
      <c r="T2334" s="396"/>
      <c r="U2334" s="364">
        <f t="shared" si="76"/>
        <v>0</v>
      </c>
      <c r="W2334" s="365"/>
      <c r="X2334" s="365"/>
    </row>
    <row r="2335" spans="1:24" hidden="1">
      <c r="A2335" s="367">
        <f>SUBTOTAL(3,$B$15:B2335)</f>
        <v>2</v>
      </c>
      <c r="H2335" s="359">
        <f t="shared" si="75"/>
        <v>0</v>
      </c>
      <c r="T2335" s="396"/>
      <c r="U2335" s="364">
        <f t="shared" si="76"/>
        <v>0</v>
      </c>
      <c r="W2335" s="365"/>
      <c r="X2335" s="365"/>
    </row>
    <row r="2336" spans="1:24" hidden="1">
      <c r="A2336" s="367">
        <f>SUBTOTAL(3,$B$15:B2336)</f>
        <v>2</v>
      </c>
      <c r="H2336" s="359">
        <f t="shared" si="75"/>
        <v>0</v>
      </c>
      <c r="T2336" s="396"/>
      <c r="U2336" s="364">
        <f t="shared" si="76"/>
        <v>0</v>
      </c>
      <c r="W2336" s="365"/>
      <c r="X2336" s="365"/>
    </row>
    <row r="2337" spans="1:24" hidden="1">
      <c r="A2337" s="367">
        <f>SUBTOTAL(3,$B$15:B2337)</f>
        <v>2</v>
      </c>
      <c r="H2337" s="359">
        <f t="shared" si="75"/>
        <v>0</v>
      </c>
      <c r="T2337" s="396"/>
      <c r="U2337" s="364">
        <f t="shared" si="76"/>
        <v>0</v>
      </c>
      <c r="W2337" s="365"/>
      <c r="X2337" s="365"/>
    </row>
    <row r="2338" spans="1:24" hidden="1">
      <c r="A2338" s="367">
        <f>SUBTOTAL(3,$B$15:B2338)</f>
        <v>2</v>
      </c>
      <c r="H2338" s="359">
        <f t="shared" si="75"/>
        <v>0</v>
      </c>
      <c r="T2338" s="396"/>
      <c r="U2338" s="364">
        <f t="shared" si="76"/>
        <v>0</v>
      </c>
      <c r="W2338" s="365"/>
      <c r="X2338" s="365"/>
    </row>
    <row r="2339" spans="1:24" hidden="1">
      <c r="A2339" s="367">
        <f>SUBTOTAL(3,$B$15:B2339)</f>
        <v>2</v>
      </c>
      <c r="H2339" s="359">
        <f t="shared" si="75"/>
        <v>0</v>
      </c>
      <c r="T2339" s="396"/>
      <c r="U2339" s="364">
        <f t="shared" si="76"/>
        <v>0</v>
      </c>
      <c r="W2339" s="365"/>
      <c r="X2339" s="365"/>
    </row>
    <row r="2340" spans="1:24" hidden="1">
      <c r="A2340" s="367">
        <f>SUBTOTAL(3,$B$15:B2340)</f>
        <v>2</v>
      </c>
      <c r="H2340" s="359">
        <f t="shared" si="75"/>
        <v>0</v>
      </c>
      <c r="T2340" s="396"/>
      <c r="U2340" s="364">
        <f t="shared" si="76"/>
        <v>0</v>
      </c>
      <c r="W2340" s="365"/>
      <c r="X2340" s="365"/>
    </row>
    <row r="2341" spans="1:24" hidden="1">
      <c r="A2341" s="367">
        <f>SUBTOTAL(3,$B$15:B2341)</f>
        <v>2</v>
      </c>
      <c r="H2341" s="359">
        <f t="shared" si="75"/>
        <v>0</v>
      </c>
      <c r="T2341" s="396"/>
      <c r="U2341" s="364">
        <f t="shared" si="76"/>
        <v>0</v>
      </c>
      <c r="W2341" s="365"/>
      <c r="X2341" s="365"/>
    </row>
    <row r="2342" spans="1:24" hidden="1">
      <c r="A2342" s="367">
        <f>SUBTOTAL(3,$B$15:B2342)</f>
        <v>2</v>
      </c>
      <c r="H2342" s="359">
        <f t="shared" si="75"/>
        <v>0</v>
      </c>
      <c r="T2342" s="396"/>
      <c r="U2342" s="364">
        <f t="shared" si="76"/>
        <v>0</v>
      </c>
      <c r="W2342" s="365"/>
      <c r="X2342" s="365"/>
    </row>
    <row r="2343" spans="1:24" hidden="1">
      <c r="A2343" s="367">
        <f>SUBTOTAL(3,$B$15:B2343)</f>
        <v>2</v>
      </c>
      <c r="H2343" s="359">
        <f t="shared" si="75"/>
        <v>0</v>
      </c>
      <c r="T2343" s="396"/>
      <c r="U2343" s="364">
        <f t="shared" si="76"/>
        <v>0</v>
      </c>
      <c r="W2343" s="365"/>
      <c r="X2343" s="365"/>
    </row>
    <row r="2344" spans="1:24" hidden="1">
      <c r="A2344" s="367">
        <f>SUBTOTAL(3,$B$15:B2344)</f>
        <v>2</v>
      </c>
      <c r="H2344" s="359">
        <f t="shared" si="75"/>
        <v>0</v>
      </c>
      <c r="T2344" s="396"/>
      <c r="U2344" s="364">
        <f t="shared" si="76"/>
        <v>0</v>
      </c>
      <c r="W2344" s="365"/>
      <c r="X2344" s="365"/>
    </row>
    <row r="2345" spans="1:24" hidden="1">
      <c r="A2345" s="367">
        <f>SUBTOTAL(3,$B$15:B2345)</f>
        <v>2</v>
      </c>
      <c r="H2345" s="359">
        <f t="shared" si="75"/>
        <v>0</v>
      </c>
      <c r="T2345" s="396"/>
      <c r="U2345" s="364">
        <f t="shared" si="76"/>
        <v>0</v>
      </c>
      <c r="W2345" s="365"/>
      <c r="X2345" s="365"/>
    </row>
    <row r="2346" spans="1:24" hidden="1">
      <c r="A2346" s="367">
        <f>SUBTOTAL(3,$B$15:B2346)</f>
        <v>2</v>
      </c>
      <c r="H2346" s="359">
        <f t="shared" si="75"/>
        <v>0</v>
      </c>
      <c r="T2346" s="396"/>
      <c r="U2346" s="364">
        <f t="shared" si="76"/>
        <v>0</v>
      </c>
      <c r="W2346" s="365"/>
      <c r="X2346" s="365"/>
    </row>
    <row r="2347" spans="1:24" hidden="1">
      <c r="A2347" s="367">
        <f>SUBTOTAL(3,$B$15:B2347)</f>
        <v>2</v>
      </c>
      <c r="H2347" s="359">
        <f t="shared" si="75"/>
        <v>0</v>
      </c>
      <c r="T2347" s="396"/>
      <c r="U2347" s="364">
        <f t="shared" si="76"/>
        <v>0</v>
      </c>
      <c r="W2347" s="365"/>
      <c r="X2347" s="365"/>
    </row>
    <row r="2348" spans="1:24" hidden="1">
      <c r="A2348" s="367">
        <f>SUBTOTAL(3,$B$15:B2348)</f>
        <v>2</v>
      </c>
      <c r="H2348" s="359">
        <f t="shared" si="75"/>
        <v>0</v>
      </c>
      <c r="T2348" s="396"/>
      <c r="U2348" s="364">
        <f t="shared" si="76"/>
        <v>0</v>
      </c>
      <c r="W2348" s="365"/>
      <c r="X2348" s="365"/>
    </row>
    <row r="2349" spans="1:24" hidden="1">
      <c r="A2349" s="367">
        <f>SUBTOTAL(3,$B$15:B2349)</f>
        <v>2</v>
      </c>
      <c r="H2349" s="359">
        <f t="shared" si="75"/>
        <v>0</v>
      </c>
      <c r="T2349" s="396"/>
      <c r="U2349" s="364">
        <f t="shared" si="76"/>
        <v>0</v>
      </c>
      <c r="W2349" s="365"/>
      <c r="X2349" s="365"/>
    </row>
    <row r="2350" spans="1:24" hidden="1">
      <c r="A2350" s="367">
        <f>SUBTOTAL(3,$B$15:B2350)</f>
        <v>2</v>
      </c>
      <c r="H2350" s="359">
        <f t="shared" ref="H2350:H2413" si="77">+G2350-SUM(M2350,O2350,Q2350)</f>
        <v>0</v>
      </c>
      <c r="T2350" s="396"/>
      <c r="U2350" s="364">
        <f t="shared" si="76"/>
        <v>0</v>
      </c>
      <c r="W2350" s="365"/>
      <c r="X2350" s="365"/>
    </row>
    <row r="2351" spans="1:24" hidden="1">
      <c r="A2351" s="367">
        <f>SUBTOTAL(3,$B$15:B2351)</f>
        <v>2</v>
      </c>
      <c r="H2351" s="359">
        <f t="shared" si="77"/>
        <v>0</v>
      </c>
      <c r="T2351" s="396"/>
      <c r="U2351" s="364">
        <f t="shared" si="76"/>
        <v>0</v>
      </c>
      <c r="W2351" s="365"/>
      <c r="X2351" s="365"/>
    </row>
    <row r="2352" spans="1:24" hidden="1">
      <c r="A2352" s="367">
        <f>SUBTOTAL(3,$B$15:B2352)</f>
        <v>2</v>
      </c>
      <c r="H2352" s="359">
        <f t="shared" si="77"/>
        <v>0</v>
      </c>
      <c r="T2352" s="396"/>
      <c r="U2352" s="364">
        <f t="shared" si="76"/>
        <v>0</v>
      </c>
      <c r="W2352" s="365"/>
      <c r="X2352" s="365"/>
    </row>
    <row r="2353" spans="1:24" hidden="1">
      <c r="A2353" s="367">
        <f>SUBTOTAL(3,$B$15:B2353)</f>
        <v>2</v>
      </c>
      <c r="H2353" s="359">
        <f t="shared" si="77"/>
        <v>0</v>
      </c>
      <c r="T2353" s="396"/>
      <c r="U2353" s="364">
        <f t="shared" si="76"/>
        <v>0</v>
      </c>
      <c r="W2353" s="365"/>
      <c r="X2353" s="365"/>
    </row>
    <row r="2354" spans="1:24" hidden="1">
      <c r="A2354" s="367">
        <f>SUBTOTAL(3,$B$15:B2354)</f>
        <v>2</v>
      </c>
      <c r="H2354" s="359">
        <f t="shared" si="77"/>
        <v>0</v>
      </c>
      <c r="T2354" s="396"/>
      <c r="U2354" s="364">
        <f t="shared" si="76"/>
        <v>0</v>
      </c>
      <c r="W2354" s="365"/>
      <c r="X2354" s="365"/>
    </row>
    <row r="2355" spans="1:24" hidden="1">
      <c r="A2355" s="367">
        <f>SUBTOTAL(3,$B$15:B2355)</f>
        <v>2</v>
      </c>
      <c r="H2355" s="359">
        <f t="shared" si="77"/>
        <v>0</v>
      </c>
      <c r="T2355" s="396"/>
      <c r="U2355" s="364">
        <f t="shared" si="76"/>
        <v>0</v>
      </c>
      <c r="W2355" s="365"/>
      <c r="X2355" s="365"/>
    </row>
    <row r="2356" spans="1:24" hidden="1">
      <c r="A2356" s="367">
        <f>SUBTOTAL(3,$B$15:B2356)</f>
        <v>2</v>
      </c>
      <c r="H2356" s="359">
        <f t="shared" si="77"/>
        <v>0</v>
      </c>
      <c r="T2356" s="396"/>
      <c r="U2356" s="364">
        <f t="shared" si="76"/>
        <v>0</v>
      </c>
      <c r="W2356" s="365"/>
      <c r="X2356" s="365"/>
    </row>
    <row r="2357" spans="1:24" hidden="1">
      <c r="A2357" s="367">
        <f>SUBTOTAL(3,$B$15:B2357)</f>
        <v>2</v>
      </c>
      <c r="H2357" s="359">
        <f t="shared" si="77"/>
        <v>0</v>
      </c>
      <c r="T2357" s="396"/>
      <c r="U2357" s="364">
        <f t="shared" si="76"/>
        <v>0</v>
      </c>
      <c r="W2357" s="365"/>
      <c r="X2357" s="365"/>
    </row>
    <row r="2358" spans="1:24" hidden="1">
      <c r="A2358" s="367">
        <f>SUBTOTAL(3,$B$15:B2358)</f>
        <v>2</v>
      </c>
      <c r="H2358" s="359">
        <f t="shared" si="77"/>
        <v>0</v>
      </c>
      <c r="T2358" s="396"/>
      <c r="U2358" s="364">
        <f t="shared" si="76"/>
        <v>0</v>
      </c>
      <c r="W2358" s="365"/>
      <c r="X2358" s="365"/>
    </row>
    <row r="2359" spans="1:24" hidden="1">
      <c r="A2359" s="367">
        <f>SUBTOTAL(3,$B$15:B2359)</f>
        <v>2</v>
      </c>
      <c r="H2359" s="359">
        <f t="shared" si="77"/>
        <v>0</v>
      </c>
      <c r="T2359" s="396"/>
      <c r="U2359" s="364">
        <f t="shared" si="76"/>
        <v>0</v>
      </c>
      <c r="W2359" s="365"/>
      <c r="X2359" s="365"/>
    </row>
    <row r="2360" spans="1:24" hidden="1">
      <c r="A2360" s="367">
        <f>SUBTOTAL(3,$B$15:B2360)</f>
        <v>2</v>
      </c>
      <c r="H2360" s="359">
        <f t="shared" si="77"/>
        <v>0</v>
      </c>
      <c r="T2360" s="396"/>
      <c r="U2360" s="364">
        <f t="shared" si="76"/>
        <v>0</v>
      </c>
      <c r="W2360" s="365"/>
      <c r="X2360" s="365"/>
    </row>
    <row r="2361" spans="1:24" hidden="1">
      <c r="A2361" s="367">
        <f>SUBTOTAL(3,$B$15:B2361)</f>
        <v>2</v>
      </c>
      <c r="H2361" s="359">
        <f t="shared" si="77"/>
        <v>0</v>
      </c>
      <c r="T2361" s="396"/>
      <c r="U2361" s="364">
        <f t="shared" si="76"/>
        <v>0</v>
      </c>
      <c r="W2361" s="365"/>
      <c r="X2361" s="365"/>
    </row>
    <row r="2362" spans="1:24" hidden="1">
      <c r="A2362" s="367">
        <f>SUBTOTAL(3,$B$15:B2362)</f>
        <v>2</v>
      </c>
      <c r="H2362" s="359">
        <f t="shared" si="77"/>
        <v>0</v>
      </c>
      <c r="T2362" s="396"/>
      <c r="U2362" s="364">
        <f t="shared" si="76"/>
        <v>0</v>
      </c>
      <c r="W2362" s="365"/>
      <c r="X2362" s="365"/>
    </row>
    <row r="2363" spans="1:24" hidden="1">
      <c r="A2363" s="367">
        <f>SUBTOTAL(3,$B$15:B2363)</f>
        <v>2</v>
      </c>
      <c r="H2363" s="359">
        <f t="shared" si="77"/>
        <v>0</v>
      </c>
      <c r="T2363" s="396"/>
      <c r="U2363" s="364">
        <f t="shared" si="76"/>
        <v>0</v>
      </c>
      <c r="W2363" s="365"/>
      <c r="X2363" s="365"/>
    </row>
    <row r="2364" spans="1:24" hidden="1">
      <c r="A2364" s="367">
        <f>SUBTOTAL(3,$B$15:B2364)</f>
        <v>2</v>
      </c>
      <c r="H2364" s="359">
        <f t="shared" si="77"/>
        <v>0</v>
      </c>
      <c r="T2364" s="396"/>
      <c r="U2364" s="364">
        <f t="shared" si="76"/>
        <v>0</v>
      </c>
      <c r="W2364" s="365"/>
      <c r="X2364" s="365"/>
    </row>
    <row r="2365" spans="1:24" hidden="1">
      <c r="A2365" s="367">
        <f>SUBTOTAL(3,$B$15:B2365)</f>
        <v>2</v>
      </c>
      <c r="H2365" s="359">
        <f t="shared" si="77"/>
        <v>0</v>
      </c>
      <c r="T2365" s="396"/>
      <c r="U2365" s="364">
        <f t="shared" si="76"/>
        <v>0</v>
      </c>
      <c r="W2365" s="365"/>
      <c r="X2365" s="365"/>
    </row>
    <row r="2366" spans="1:24" hidden="1">
      <c r="A2366" s="367">
        <f>SUBTOTAL(3,$B$15:B2366)</f>
        <v>2</v>
      </c>
      <c r="H2366" s="359">
        <f t="shared" si="77"/>
        <v>0</v>
      </c>
      <c r="T2366" s="396"/>
      <c r="U2366" s="364">
        <f t="shared" si="76"/>
        <v>0</v>
      </c>
      <c r="W2366" s="365"/>
      <c r="X2366" s="365"/>
    </row>
    <row r="2367" spans="1:24" hidden="1">
      <c r="A2367" s="367">
        <f>SUBTOTAL(3,$B$15:B2367)</f>
        <v>2</v>
      </c>
      <c r="H2367" s="359">
        <f t="shared" si="77"/>
        <v>0</v>
      </c>
      <c r="T2367" s="396"/>
      <c r="U2367" s="364">
        <f t="shared" si="76"/>
        <v>0</v>
      </c>
      <c r="W2367" s="365"/>
      <c r="X2367" s="365"/>
    </row>
    <row r="2368" spans="1:24" hidden="1">
      <c r="A2368" s="367">
        <f>SUBTOTAL(3,$B$15:B2368)</f>
        <v>2</v>
      </c>
      <c r="H2368" s="359">
        <f t="shared" si="77"/>
        <v>0</v>
      </c>
      <c r="T2368" s="396"/>
      <c r="U2368" s="364">
        <f t="shared" si="76"/>
        <v>0</v>
      </c>
      <c r="W2368" s="365"/>
      <c r="X2368" s="365"/>
    </row>
    <row r="2369" spans="1:24" hidden="1">
      <c r="A2369" s="367">
        <f>SUBTOTAL(3,$B$15:B2369)</f>
        <v>2</v>
      </c>
      <c r="H2369" s="359">
        <f t="shared" si="77"/>
        <v>0</v>
      </c>
      <c r="T2369" s="396"/>
      <c r="U2369" s="364">
        <f t="shared" si="76"/>
        <v>0</v>
      </c>
      <c r="W2369" s="365"/>
      <c r="X2369" s="365"/>
    </row>
    <row r="2370" spans="1:24" hidden="1">
      <c r="A2370" s="367">
        <f>SUBTOTAL(3,$B$15:B2370)</f>
        <v>2</v>
      </c>
      <c r="H2370" s="359">
        <f t="shared" si="77"/>
        <v>0</v>
      </c>
      <c r="T2370" s="396"/>
      <c r="U2370" s="364">
        <f t="shared" si="76"/>
        <v>0</v>
      </c>
      <c r="W2370" s="365"/>
      <c r="X2370" s="365"/>
    </row>
    <row r="2371" spans="1:24" hidden="1">
      <c r="A2371" s="367">
        <f>SUBTOTAL(3,$B$15:B2371)</f>
        <v>2</v>
      </c>
      <c r="H2371" s="359">
        <f t="shared" si="77"/>
        <v>0</v>
      </c>
      <c r="T2371" s="396"/>
      <c r="U2371" s="364">
        <f t="shared" si="76"/>
        <v>0</v>
      </c>
      <c r="W2371" s="365"/>
      <c r="X2371" s="365"/>
    </row>
    <row r="2372" spans="1:24" hidden="1">
      <c r="A2372" s="367">
        <f>SUBTOTAL(3,$B$15:B2372)</f>
        <v>2</v>
      </c>
      <c r="H2372" s="359">
        <f t="shared" si="77"/>
        <v>0</v>
      </c>
      <c r="T2372" s="396"/>
      <c r="U2372" s="364">
        <f t="shared" si="76"/>
        <v>0</v>
      </c>
      <c r="W2372" s="365"/>
      <c r="X2372" s="365"/>
    </row>
    <row r="2373" spans="1:24" hidden="1">
      <c r="A2373" s="367">
        <f>SUBTOTAL(3,$B$15:B2373)</f>
        <v>2</v>
      </c>
      <c r="H2373" s="359">
        <f t="shared" si="77"/>
        <v>0</v>
      </c>
      <c r="T2373" s="396"/>
      <c r="U2373" s="364">
        <f t="shared" si="76"/>
        <v>0</v>
      </c>
      <c r="W2373" s="365"/>
      <c r="X2373" s="365"/>
    </row>
    <row r="2374" spans="1:24" hidden="1">
      <c r="A2374" s="367">
        <f>SUBTOTAL(3,$B$15:B2374)</f>
        <v>2</v>
      </c>
      <c r="H2374" s="359">
        <f t="shared" si="77"/>
        <v>0</v>
      </c>
      <c r="T2374" s="396"/>
      <c r="U2374" s="364">
        <f t="shared" si="76"/>
        <v>0</v>
      </c>
      <c r="W2374" s="365"/>
      <c r="X2374" s="365"/>
    </row>
    <row r="2375" spans="1:24" hidden="1">
      <c r="A2375" s="367">
        <f>SUBTOTAL(3,$B$15:B2375)</f>
        <v>2</v>
      </c>
      <c r="H2375" s="359">
        <f t="shared" si="77"/>
        <v>0</v>
      </c>
      <c r="T2375" s="396"/>
      <c r="U2375" s="364">
        <f t="shared" si="76"/>
        <v>0</v>
      </c>
      <c r="W2375" s="365"/>
      <c r="X2375" s="365"/>
    </row>
    <row r="2376" spans="1:24" hidden="1">
      <c r="A2376" s="367">
        <f>SUBTOTAL(3,$B$15:B2376)</f>
        <v>2</v>
      </c>
      <c r="H2376" s="359">
        <f t="shared" si="77"/>
        <v>0</v>
      </c>
      <c r="T2376" s="396"/>
      <c r="U2376" s="364">
        <f t="shared" si="76"/>
        <v>0</v>
      </c>
      <c r="W2376" s="365"/>
      <c r="X2376" s="365"/>
    </row>
    <row r="2377" spans="1:24" hidden="1">
      <c r="A2377" s="367">
        <f>SUBTOTAL(3,$B$15:B2377)</f>
        <v>2</v>
      </c>
      <c r="H2377" s="359">
        <f t="shared" si="77"/>
        <v>0</v>
      </c>
      <c r="T2377" s="396"/>
      <c r="U2377" s="364">
        <f t="shared" si="76"/>
        <v>0</v>
      </c>
      <c r="W2377" s="365"/>
      <c r="X2377" s="365"/>
    </row>
    <row r="2378" spans="1:24" hidden="1">
      <c r="A2378" s="367">
        <f>SUBTOTAL(3,$B$15:B2378)</f>
        <v>2</v>
      </c>
      <c r="H2378" s="359">
        <f t="shared" si="77"/>
        <v>0</v>
      </c>
      <c r="T2378" s="396"/>
      <c r="U2378" s="364">
        <f t="shared" si="76"/>
        <v>0</v>
      </c>
      <c r="W2378" s="365"/>
      <c r="X2378" s="365"/>
    </row>
    <row r="2379" spans="1:24" hidden="1">
      <c r="A2379" s="367">
        <f>SUBTOTAL(3,$B$15:B2379)</f>
        <v>2</v>
      </c>
      <c r="H2379" s="359">
        <f t="shared" si="77"/>
        <v>0</v>
      </c>
      <c r="T2379" s="396"/>
      <c r="U2379" s="364">
        <f t="shared" si="76"/>
        <v>0</v>
      </c>
      <c r="W2379" s="365"/>
      <c r="X2379" s="365"/>
    </row>
    <row r="2380" spans="1:24" hidden="1">
      <c r="A2380" s="367">
        <f>SUBTOTAL(3,$B$15:B2380)</f>
        <v>2</v>
      </c>
      <c r="H2380" s="359">
        <f t="shared" si="77"/>
        <v>0</v>
      </c>
      <c r="T2380" s="396"/>
      <c r="U2380" s="364">
        <f t="shared" si="76"/>
        <v>0</v>
      </c>
      <c r="W2380" s="365"/>
      <c r="X2380" s="365"/>
    </row>
    <row r="2381" spans="1:24" hidden="1">
      <c r="A2381" s="367">
        <f>SUBTOTAL(3,$B$15:B2381)</f>
        <v>2</v>
      </c>
      <c r="H2381" s="359">
        <f t="shared" si="77"/>
        <v>0</v>
      </c>
      <c r="T2381" s="396"/>
      <c r="U2381" s="364">
        <f t="shared" si="76"/>
        <v>0</v>
      </c>
      <c r="W2381" s="365"/>
      <c r="X2381" s="365"/>
    </row>
    <row r="2382" spans="1:24" hidden="1">
      <c r="A2382" s="367">
        <f>SUBTOTAL(3,$B$15:B2382)</f>
        <v>2</v>
      </c>
      <c r="H2382" s="359">
        <f t="shared" si="77"/>
        <v>0</v>
      </c>
      <c r="T2382" s="396"/>
      <c r="U2382" s="364">
        <f t="shared" si="76"/>
        <v>0</v>
      </c>
      <c r="W2382" s="365"/>
      <c r="X2382" s="365"/>
    </row>
    <row r="2383" spans="1:24" hidden="1">
      <c r="A2383" s="367">
        <f>SUBTOTAL(3,$B$15:B2383)</f>
        <v>2</v>
      </c>
      <c r="H2383" s="359">
        <f t="shared" si="77"/>
        <v>0</v>
      </c>
      <c r="T2383" s="396"/>
      <c r="U2383" s="364">
        <f t="shared" si="76"/>
        <v>0</v>
      </c>
      <c r="W2383" s="365"/>
      <c r="X2383" s="365"/>
    </row>
    <row r="2384" spans="1:24" hidden="1">
      <c r="A2384" s="367">
        <f>SUBTOTAL(3,$B$15:B2384)</f>
        <v>2</v>
      </c>
      <c r="H2384" s="359">
        <f t="shared" si="77"/>
        <v>0</v>
      </c>
      <c r="T2384" s="396"/>
      <c r="U2384" s="364">
        <f t="shared" si="76"/>
        <v>0</v>
      </c>
      <c r="W2384" s="365"/>
      <c r="X2384" s="365"/>
    </row>
    <row r="2385" spans="1:24" hidden="1">
      <c r="A2385" s="367">
        <f>SUBTOTAL(3,$B$15:B2385)</f>
        <v>2</v>
      </c>
      <c r="H2385" s="359">
        <f t="shared" si="77"/>
        <v>0</v>
      </c>
      <c r="T2385" s="396"/>
      <c r="U2385" s="364">
        <f t="shared" si="76"/>
        <v>0</v>
      </c>
      <c r="W2385" s="365"/>
      <c r="X2385" s="365"/>
    </row>
    <row r="2386" spans="1:24" hidden="1">
      <c r="A2386" s="367">
        <f>SUBTOTAL(3,$B$15:B2386)</f>
        <v>2</v>
      </c>
      <c r="H2386" s="359">
        <f t="shared" si="77"/>
        <v>0</v>
      </c>
      <c r="T2386" s="396"/>
      <c r="U2386" s="364">
        <f t="shared" si="76"/>
        <v>0</v>
      </c>
      <c r="W2386" s="365"/>
      <c r="X2386" s="365"/>
    </row>
    <row r="2387" spans="1:24" hidden="1">
      <c r="A2387" s="367">
        <f>SUBTOTAL(3,$B$15:B2387)</f>
        <v>2</v>
      </c>
      <c r="H2387" s="359">
        <f t="shared" si="77"/>
        <v>0</v>
      </c>
      <c r="T2387" s="396"/>
      <c r="U2387" s="364">
        <f t="shared" si="76"/>
        <v>0</v>
      </c>
      <c r="W2387" s="365"/>
      <c r="X2387" s="365"/>
    </row>
    <row r="2388" spans="1:24" hidden="1">
      <c r="A2388" s="367">
        <f>SUBTOTAL(3,$B$15:B2388)</f>
        <v>2</v>
      </c>
      <c r="H2388" s="359">
        <f t="shared" si="77"/>
        <v>0</v>
      </c>
      <c r="T2388" s="396"/>
      <c r="U2388" s="364">
        <f t="shared" si="76"/>
        <v>0</v>
      </c>
      <c r="W2388" s="365"/>
      <c r="X2388" s="365"/>
    </row>
    <row r="2389" spans="1:24" hidden="1">
      <c r="A2389" s="367">
        <f>SUBTOTAL(3,$B$15:B2389)</f>
        <v>2</v>
      </c>
      <c r="H2389" s="359">
        <f t="shared" si="77"/>
        <v>0</v>
      </c>
      <c r="T2389" s="396"/>
      <c r="U2389" s="364">
        <f t="shared" si="76"/>
        <v>0</v>
      </c>
      <c r="W2389" s="365"/>
      <c r="X2389" s="365"/>
    </row>
    <row r="2390" spans="1:24" hidden="1">
      <c r="A2390" s="367">
        <f>SUBTOTAL(3,$B$15:B2390)</f>
        <v>2</v>
      </c>
      <c r="H2390" s="359">
        <f t="shared" si="77"/>
        <v>0</v>
      </c>
      <c r="T2390" s="396"/>
      <c r="U2390" s="364">
        <f t="shared" si="76"/>
        <v>0</v>
      </c>
      <c r="W2390" s="365"/>
      <c r="X2390" s="365"/>
    </row>
    <row r="2391" spans="1:24" hidden="1">
      <c r="A2391" s="367">
        <f>SUBTOTAL(3,$B$15:B2391)</f>
        <v>2</v>
      </c>
      <c r="H2391" s="359">
        <f t="shared" si="77"/>
        <v>0</v>
      </c>
      <c r="T2391" s="396"/>
      <c r="U2391" s="364">
        <f t="shared" ref="U2391:U2454" si="78">SUM(H2391:T2391)</f>
        <v>0</v>
      </c>
      <c r="W2391" s="365"/>
      <c r="X2391" s="365"/>
    </row>
    <row r="2392" spans="1:24" hidden="1">
      <c r="A2392" s="367">
        <f>SUBTOTAL(3,$B$15:B2392)</f>
        <v>2</v>
      </c>
      <c r="H2392" s="359">
        <f t="shared" si="77"/>
        <v>0</v>
      </c>
      <c r="T2392" s="396"/>
      <c r="U2392" s="364">
        <f t="shared" si="78"/>
        <v>0</v>
      </c>
      <c r="W2392" s="365"/>
      <c r="X2392" s="365"/>
    </row>
    <row r="2393" spans="1:24" hidden="1">
      <c r="A2393" s="367">
        <f>SUBTOTAL(3,$B$15:B2393)</f>
        <v>2</v>
      </c>
      <c r="H2393" s="359">
        <f t="shared" si="77"/>
        <v>0</v>
      </c>
      <c r="T2393" s="396"/>
      <c r="U2393" s="364">
        <f t="shared" si="78"/>
        <v>0</v>
      </c>
      <c r="W2393" s="365"/>
      <c r="X2393" s="365"/>
    </row>
    <row r="2394" spans="1:24" hidden="1">
      <c r="A2394" s="367">
        <f>SUBTOTAL(3,$B$15:B2394)</f>
        <v>2</v>
      </c>
      <c r="H2394" s="359">
        <f t="shared" si="77"/>
        <v>0</v>
      </c>
      <c r="T2394" s="396"/>
      <c r="U2394" s="364">
        <f t="shared" si="78"/>
        <v>0</v>
      </c>
      <c r="W2394" s="365"/>
      <c r="X2394" s="365"/>
    </row>
    <row r="2395" spans="1:24" hidden="1">
      <c r="A2395" s="367">
        <f>SUBTOTAL(3,$B$15:B2395)</f>
        <v>2</v>
      </c>
      <c r="H2395" s="359">
        <f t="shared" si="77"/>
        <v>0</v>
      </c>
      <c r="T2395" s="396"/>
      <c r="U2395" s="364">
        <f t="shared" si="78"/>
        <v>0</v>
      </c>
      <c r="W2395" s="365"/>
      <c r="X2395" s="365"/>
    </row>
    <row r="2396" spans="1:24" hidden="1">
      <c r="A2396" s="367">
        <f>SUBTOTAL(3,$B$15:B2396)</f>
        <v>2</v>
      </c>
      <c r="H2396" s="359">
        <f t="shared" si="77"/>
        <v>0</v>
      </c>
      <c r="T2396" s="396"/>
      <c r="U2396" s="364">
        <f t="shared" si="78"/>
        <v>0</v>
      </c>
      <c r="W2396" s="365"/>
      <c r="X2396" s="365"/>
    </row>
    <row r="2397" spans="1:24" hidden="1">
      <c r="A2397" s="367">
        <f>SUBTOTAL(3,$B$15:B2397)</f>
        <v>2</v>
      </c>
      <c r="H2397" s="359">
        <f t="shared" si="77"/>
        <v>0</v>
      </c>
      <c r="T2397" s="396"/>
      <c r="U2397" s="364">
        <f t="shared" si="78"/>
        <v>0</v>
      </c>
      <c r="W2397" s="365"/>
      <c r="X2397" s="365"/>
    </row>
    <row r="2398" spans="1:24" hidden="1">
      <c r="A2398" s="367">
        <f>SUBTOTAL(3,$B$15:B2398)</f>
        <v>2</v>
      </c>
      <c r="H2398" s="359">
        <f t="shared" si="77"/>
        <v>0</v>
      </c>
      <c r="T2398" s="396"/>
      <c r="U2398" s="364">
        <f t="shared" si="78"/>
        <v>0</v>
      </c>
      <c r="W2398" s="365"/>
      <c r="X2398" s="365"/>
    </row>
    <row r="2399" spans="1:24" hidden="1">
      <c r="A2399" s="367">
        <f>SUBTOTAL(3,$B$15:B2399)</f>
        <v>2</v>
      </c>
      <c r="H2399" s="359">
        <f t="shared" si="77"/>
        <v>0</v>
      </c>
      <c r="T2399" s="396"/>
      <c r="U2399" s="364">
        <f t="shared" si="78"/>
        <v>0</v>
      </c>
      <c r="W2399" s="365"/>
      <c r="X2399" s="365"/>
    </row>
    <row r="2400" spans="1:24" hidden="1">
      <c r="A2400" s="367">
        <f>SUBTOTAL(3,$B$15:B2400)</f>
        <v>2</v>
      </c>
      <c r="H2400" s="359">
        <f t="shared" si="77"/>
        <v>0</v>
      </c>
      <c r="T2400" s="396"/>
      <c r="U2400" s="364">
        <f t="shared" si="78"/>
        <v>0</v>
      </c>
      <c r="W2400" s="365"/>
      <c r="X2400" s="365"/>
    </row>
    <row r="2401" spans="1:24" hidden="1">
      <c r="A2401" s="367">
        <f>SUBTOTAL(3,$B$15:B2401)</f>
        <v>2</v>
      </c>
      <c r="H2401" s="359">
        <f t="shared" si="77"/>
        <v>0</v>
      </c>
      <c r="T2401" s="396"/>
      <c r="U2401" s="364">
        <f t="shared" si="78"/>
        <v>0</v>
      </c>
      <c r="W2401" s="365"/>
      <c r="X2401" s="365"/>
    </row>
    <row r="2402" spans="1:24" hidden="1">
      <c r="A2402" s="367">
        <f>SUBTOTAL(3,$B$15:B2402)</f>
        <v>2</v>
      </c>
      <c r="H2402" s="359">
        <f t="shared" si="77"/>
        <v>0</v>
      </c>
      <c r="T2402" s="396"/>
      <c r="U2402" s="364">
        <f t="shared" si="78"/>
        <v>0</v>
      </c>
      <c r="W2402" s="365"/>
      <c r="X2402" s="365"/>
    </row>
    <row r="2403" spans="1:24" hidden="1">
      <c r="A2403" s="367">
        <f>SUBTOTAL(3,$B$15:B2403)</f>
        <v>2</v>
      </c>
      <c r="H2403" s="359">
        <f t="shared" si="77"/>
        <v>0</v>
      </c>
      <c r="T2403" s="396"/>
      <c r="U2403" s="364">
        <f t="shared" si="78"/>
        <v>0</v>
      </c>
      <c r="W2403" s="365"/>
      <c r="X2403" s="365"/>
    </row>
    <row r="2404" spans="1:24" hidden="1">
      <c r="A2404" s="367">
        <f>SUBTOTAL(3,$B$15:B2404)</f>
        <v>2</v>
      </c>
      <c r="H2404" s="359">
        <f t="shared" si="77"/>
        <v>0</v>
      </c>
      <c r="T2404" s="396"/>
      <c r="U2404" s="364">
        <f t="shared" si="78"/>
        <v>0</v>
      </c>
      <c r="W2404" s="365"/>
      <c r="X2404" s="365"/>
    </row>
    <row r="2405" spans="1:24" hidden="1">
      <c r="A2405" s="367">
        <f>SUBTOTAL(3,$B$15:B2405)</f>
        <v>2</v>
      </c>
      <c r="H2405" s="359">
        <f t="shared" si="77"/>
        <v>0</v>
      </c>
      <c r="T2405" s="396"/>
      <c r="U2405" s="364">
        <f t="shared" si="78"/>
        <v>0</v>
      </c>
      <c r="W2405" s="365"/>
      <c r="X2405" s="365"/>
    </row>
    <row r="2406" spans="1:24" hidden="1">
      <c r="A2406" s="367">
        <f>SUBTOTAL(3,$B$15:B2406)</f>
        <v>2</v>
      </c>
      <c r="H2406" s="359">
        <f t="shared" si="77"/>
        <v>0</v>
      </c>
      <c r="T2406" s="396"/>
      <c r="U2406" s="364">
        <f t="shared" si="78"/>
        <v>0</v>
      </c>
      <c r="W2406" s="365"/>
      <c r="X2406" s="365"/>
    </row>
    <row r="2407" spans="1:24" hidden="1">
      <c r="A2407" s="367">
        <f>SUBTOTAL(3,$B$15:B2407)</f>
        <v>2</v>
      </c>
      <c r="H2407" s="359">
        <f t="shared" si="77"/>
        <v>0</v>
      </c>
      <c r="T2407" s="396"/>
      <c r="U2407" s="364">
        <f t="shared" si="78"/>
        <v>0</v>
      </c>
      <c r="W2407" s="365"/>
      <c r="X2407" s="365"/>
    </row>
    <row r="2408" spans="1:24" hidden="1">
      <c r="A2408" s="367">
        <f>SUBTOTAL(3,$B$15:B2408)</f>
        <v>2</v>
      </c>
      <c r="H2408" s="359">
        <f t="shared" si="77"/>
        <v>0</v>
      </c>
      <c r="T2408" s="396"/>
      <c r="U2408" s="364">
        <f t="shared" si="78"/>
        <v>0</v>
      </c>
      <c r="W2408" s="365"/>
      <c r="X2408" s="365"/>
    </row>
    <row r="2409" spans="1:24" hidden="1">
      <c r="A2409" s="367">
        <f>SUBTOTAL(3,$B$15:B2409)</f>
        <v>2</v>
      </c>
      <c r="H2409" s="359">
        <f t="shared" si="77"/>
        <v>0</v>
      </c>
      <c r="T2409" s="396"/>
      <c r="U2409" s="364">
        <f t="shared" si="78"/>
        <v>0</v>
      </c>
      <c r="W2409" s="365"/>
      <c r="X2409" s="365"/>
    </row>
    <row r="2410" spans="1:24" hidden="1">
      <c r="A2410" s="367">
        <f>SUBTOTAL(3,$B$15:B2410)</f>
        <v>2</v>
      </c>
      <c r="H2410" s="359">
        <f t="shared" si="77"/>
        <v>0</v>
      </c>
      <c r="T2410" s="396"/>
      <c r="U2410" s="364">
        <f t="shared" si="78"/>
        <v>0</v>
      </c>
      <c r="W2410" s="365"/>
      <c r="X2410" s="365"/>
    </row>
    <row r="2411" spans="1:24" hidden="1">
      <c r="A2411" s="367">
        <f>SUBTOTAL(3,$B$15:B2411)</f>
        <v>2</v>
      </c>
      <c r="H2411" s="359">
        <f t="shared" si="77"/>
        <v>0</v>
      </c>
      <c r="T2411" s="396"/>
      <c r="U2411" s="364">
        <f t="shared" si="78"/>
        <v>0</v>
      </c>
      <c r="W2411" s="365"/>
      <c r="X2411" s="365"/>
    </row>
    <row r="2412" spans="1:24" hidden="1">
      <c r="A2412" s="367">
        <f>SUBTOTAL(3,$B$15:B2412)</f>
        <v>2</v>
      </c>
      <c r="H2412" s="359">
        <f t="shared" si="77"/>
        <v>0</v>
      </c>
      <c r="T2412" s="396"/>
      <c r="U2412" s="364">
        <f t="shared" si="78"/>
        <v>0</v>
      </c>
      <c r="W2412" s="365"/>
      <c r="X2412" s="365"/>
    </row>
    <row r="2413" spans="1:24" hidden="1">
      <c r="A2413" s="367">
        <f>SUBTOTAL(3,$B$15:B2413)</f>
        <v>2</v>
      </c>
      <c r="H2413" s="359">
        <f t="shared" si="77"/>
        <v>0</v>
      </c>
      <c r="T2413" s="396"/>
      <c r="U2413" s="364">
        <f t="shared" si="78"/>
        <v>0</v>
      </c>
      <c r="W2413" s="365"/>
      <c r="X2413" s="365"/>
    </row>
    <row r="2414" spans="1:24" hidden="1">
      <c r="A2414" s="367">
        <f>SUBTOTAL(3,$B$15:B2414)</f>
        <v>2</v>
      </c>
      <c r="H2414" s="359">
        <f t="shared" ref="H2414:H2477" si="79">+G2414-SUM(M2414,O2414,Q2414)</f>
        <v>0</v>
      </c>
      <c r="T2414" s="396"/>
      <c r="U2414" s="364">
        <f t="shared" si="78"/>
        <v>0</v>
      </c>
      <c r="W2414" s="365"/>
      <c r="X2414" s="365"/>
    </row>
    <row r="2415" spans="1:24" hidden="1">
      <c r="A2415" s="367">
        <f>SUBTOTAL(3,$B$15:B2415)</f>
        <v>2</v>
      </c>
      <c r="H2415" s="359">
        <f t="shared" si="79"/>
        <v>0</v>
      </c>
      <c r="T2415" s="396"/>
      <c r="U2415" s="364">
        <f t="shared" si="78"/>
        <v>0</v>
      </c>
      <c r="W2415" s="365"/>
      <c r="X2415" s="365"/>
    </row>
    <row r="2416" spans="1:24" hidden="1">
      <c r="A2416" s="367">
        <f>SUBTOTAL(3,$B$15:B2416)</f>
        <v>2</v>
      </c>
      <c r="H2416" s="359">
        <f t="shared" si="79"/>
        <v>0</v>
      </c>
      <c r="T2416" s="396"/>
      <c r="U2416" s="364">
        <f t="shared" si="78"/>
        <v>0</v>
      </c>
      <c r="W2416" s="365"/>
      <c r="X2416" s="365"/>
    </row>
    <row r="2417" spans="1:24" hidden="1">
      <c r="A2417" s="367">
        <f>SUBTOTAL(3,$B$15:B2417)</f>
        <v>2</v>
      </c>
      <c r="H2417" s="359">
        <f t="shared" si="79"/>
        <v>0</v>
      </c>
      <c r="T2417" s="396"/>
      <c r="U2417" s="364">
        <f t="shared" si="78"/>
        <v>0</v>
      </c>
      <c r="W2417" s="365"/>
      <c r="X2417" s="365"/>
    </row>
    <row r="2418" spans="1:24" hidden="1">
      <c r="A2418" s="367">
        <f>SUBTOTAL(3,$B$15:B2418)</f>
        <v>2</v>
      </c>
      <c r="H2418" s="359">
        <f t="shared" si="79"/>
        <v>0</v>
      </c>
      <c r="T2418" s="396"/>
      <c r="U2418" s="364">
        <f t="shared" si="78"/>
        <v>0</v>
      </c>
      <c r="W2418" s="365"/>
      <c r="X2418" s="365"/>
    </row>
    <row r="2419" spans="1:24" hidden="1">
      <c r="A2419" s="367">
        <f>SUBTOTAL(3,$B$15:B2419)</f>
        <v>2</v>
      </c>
      <c r="H2419" s="359">
        <f t="shared" si="79"/>
        <v>0</v>
      </c>
      <c r="T2419" s="396"/>
      <c r="U2419" s="364">
        <f t="shared" si="78"/>
        <v>0</v>
      </c>
      <c r="W2419" s="365"/>
      <c r="X2419" s="365"/>
    </row>
    <row r="2420" spans="1:24" hidden="1">
      <c r="A2420" s="367">
        <f>SUBTOTAL(3,$B$15:B2420)</f>
        <v>2</v>
      </c>
      <c r="H2420" s="359">
        <f t="shared" si="79"/>
        <v>0</v>
      </c>
      <c r="T2420" s="396"/>
      <c r="U2420" s="364">
        <f t="shared" si="78"/>
        <v>0</v>
      </c>
      <c r="W2420" s="365"/>
      <c r="X2420" s="365"/>
    </row>
    <row r="2421" spans="1:24" hidden="1">
      <c r="A2421" s="367">
        <f>SUBTOTAL(3,$B$15:B2421)</f>
        <v>2</v>
      </c>
      <c r="H2421" s="359">
        <f t="shared" si="79"/>
        <v>0</v>
      </c>
      <c r="T2421" s="396"/>
      <c r="U2421" s="364">
        <f t="shared" si="78"/>
        <v>0</v>
      </c>
      <c r="W2421" s="365"/>
      <c r="X2421" s="365"/>
    </row>
    <row r="2422" spans="1:24" hidden="1">
      <c r="A2422" s="367">
        <f>SUBTOTAL(3,$B$15:B2422)</f>
        <v>2</v>
      </c>
      <c r="H2422" s="359">
        <f t="shared" si="79"/>
        <v>0</v>
      </c>
      <c r="T2422" s="396"/>
      <c r="U2422" s="364">
        <f t="shared" si="78"/>
        <v>0</v>
      </c>
      <c r="W2422" s="365"/>
      <c r="X2422" s="365"/>
    </row>
    <row r="2423" spans="1:24" hidden="1">
      <c r="A2423" s="367">
        <f>SUBTOTAL(3,$B$15:B2423)</f>
        <v>2</v>
      </c>
      <c r="H2423" s="359">
        <f t="shared" si="79"/>
        <v>0</v>
      </c>
      <c r="T2423" s="396"/>
      <c r="U2423" s="364">
        <f t="shared" si="78"/>
        <v>0</v>
      </c>
      <c r="W2423" s="365"/>
      <c r="X2423" s="365"/>
    </row>
    <row r="2424" spans="1:24" hidden="1">
      <c r="A2424" s="367">
        <f>SUBTOTAL(3,$B$15:B2424)</f>
        <v>2</v>
      </c>
      <c r="H2424" s="359">
        <f t="shared" si="79"/>
        <v>0</v>
      </c>
      <c r="T2424" s="396"/>
      <c r="U2424" s="364">
        <f t="shared" si="78"/>
        <v>0</v>
      </c>
      <c r="W2424" s="365"/>
      <c r="X2424" s="365"/>
    </row>
    <row r="2425" spans="1:24" hidden="1">
      <c r="A2425" s="367">
        <f>SUBTOTAL(3,$B$15:B2425)</f>
        <v>2</v>
      </c>
      <c r="H2425" s="359">
        <f t="shared" si="79"/>
        <v>0</v>
      </c>
      <c r="T2425" s="396"/>
      <c r="U2425" s="364">
        <f t="shared" si="78"/>
        <v>0</v>
      </c>
      <c r="W2425" s="365"/>
      <c r="X2425" s="365"/>
    </row>
    <row r="2426" spans="1:24" hidden="1">
      <c r="A2426" s="367">
        <f>SUBTOTAL(3,$B$15:B2426)</f>
        <v>2</v>
      </c>
      <c r="H2426" s="359">
        <f t="shared" si="79"/>
        <v>0</v>
      </c>
      <c r="T2426" s="396"/>
      <c r="U2426" s="364">
        <f t="shared" si="78"/>
        <v>0</v>
      </c>
      <c r="W2426" s="365"/>
      <c r="X2426" s="365"/>
    </row>
    <row r="2427" spans="1:24" hidden="1">
      <c r="A2427" s="367">
        <f>SUBTOTAL(3,$B$15:B2427)</f>
        <v>2</v>
      </c>
      <c r="H2427" s="359">
        <f t="shared" si="79"/>
        <v>0</v>
      </c>
      <c r="T2427" s="396"/>
      <c r="U2427" s="364">
        <f t="shared" si="78"/>
        <v>0</v>
      </c>
      <c r="W2427" s="365"/>
      <c r="X2427" s="365"/>
    </row>
    <row r="2428" spans="1:24" hidden="1">
      <c r="A2428" s="367">
        <f>SUBTOTAL(3,$B$15:B2428)</f>
        <v>2</v>
      </c>
      <c r="H2428" s="359">
        <f t="shared" si="79"/>
        <v>0</v>
      </c>
      <c r="T2428" s="396"/>
      <c r="U2428" s="364">
        <f t="shared" si="78"/>
        <v>0</v>
      </c>
      <c r="W2428" s="365"/>
      <c r="X2428" s="365"/>
    </row>
    <row r="2429" spans="1:24" hidden="1">
      <c r="A2429" s="367">
        <f>SUBTOTAL(3,$B$15:B2429)</f>
        <v>2</v>
      </c>
      <c r="H2429" s="359">
        <f t="shared" si="79"/>
        <v>0</v>
      </c>
      <c r="T2429" s="396"/>
      <c r="U2429" s="364">
        <f t="shared" si="78"/>
        <v>0</v>
      </c>
      <c r="W2429" s="365"/>
      <c r="X2429" s="365"/>
    </row>
    <row r="2430" spans="1:24" hidden="1">
      <c r="A2430" s="367">
        <f>SUBTOTAL(3,$B$15:B2430)</f>
        <v>2</v>
      </c>
      <c r="H2430" s="359">
        <f t="shared" si="79"/>
        <v>0</v>
      </c>
      <c r="T2430" s="396"/>
      <c r="U2430" s="364">
        <f t="shared" si="78"/>
        <v>0</v>
      </c>
      <c r="W2430" s="365"/>
      <c r="X2430" s="365"/>
    </row>
    <row r="2431" spans="1:24" hidden="1">
      <c r="A2431" s="367">
        <f>SUBTOTAL(3,$B$15:B2431)</f>
        <v>2</v>
      </c>
      <c r="H2431" s="359">
        <f t="shared" si="79"/>
        <v>0</v>
      </c>
      <c r="T2431" s="396"/>
      <c r="U2431" s="364">
        <f t="shared" si="78"/>
        <v>0</v>
      </c>
      <c r="W2431" s="365"/>
      <c r="X2431" s="365"/>
    </row>
    <row r="2432" spans="1:24" hidden="1">
      <c r="A2432" s="367">
        <f>SUBTOTAL(3,$B$15:B2432)</f>
        <v>2</v>
      </c>
      <c r="H2432" s="359">
        <f t="shared" si="79"/>
        <v>0</v>
      </c>
      <c r="T2432" s="396"/>
      <c r="U2432" s="364">
        <f t="shared" si="78"/>
        <v>0</v>
      </c>
      <c r="W2432" s="365"/>
      <c r="X2432" s="365"/>
    </row>
    <row r="2433" spans="1:24" hidden="1">
      <c r="A2433" s="367">
        <f>SUBTOTAL(3,$B$15:B2433)</f>
        <v>2</v>
      </c>
      <c r="H2433" s="359">
        <f t="shared" si="79"/>
        <v>0</v>
      </c>
      <c r="T2433" s="396"/>
      <c r="U2433" s="364">
        <f t="shared" si="78"/>
        <v>0</v>
      </c>
      <c r="W2433" s="365"/>
      <c r="X2433" s="365"/>
    </row>
    <row r="2434" spans="1:24" hidden="1">
      <c r="A2434" s="367">
        <f>SUBTOTAL(3,$B$15:B2434)</f>
        <v>2</v>
      </c>
      <c r="H2434" s="359">
        <f t="shared" si="79"/>
        <v>0</v>
      </c>
      <c r="T2434" s="396"/>
      <c r="U2434" s="364">
        <f t="shared" si="78"/>
        <v>0</v>
      </c>
      <c r="W2434" s="365"/>
      <c r="X2434" s="365"/>
    </row>
    <row r="2435" spans="1:24" hidden="1">
      <c r="A2435" s="367">
        <f>SUBTOTAL(3,$B$15:B2435)</f>
        <v>2</v>
      </c>
      <c r="H2435" s="359">
        <f t="shared" si="79"/>
        <v>0</v>
      </c>
      <c r="T2435" s="396"/>
      <c r="U2435" s="364">
        <f t="shared" si="78"/>
        <v>0</v>
      </c>
      <c r="W2435" s="365"/>
      <c r="X2435" s="365"/>
    </row>
    <row r="2436" spans="1:24" hidden="1">
      <c r="A2436" s="367">
        <f>SUBTOTAL(3,$B$15:B2436)</f>
        <v>2</v>
      </c>
      <c r="H2436" s="359">
        <f t="shared" si="79"/>
        <v>0</v>
      </c>
      <c r="T2436" s="396"/>
      <c r="U2436" s="364">
        <f t="shared" si="78"/>
        <v>0</v>
      </c>
      <c r="W2436" s="365"/>
      <c r="X2436" s="365"/>
    </row>
    <row r="2437" spans="1:24" hidden="1">
      <c r="A2437" s="367">
        <f>SUBTOTAL(3,$B$15:B2437)</f>
        <v>2</v>
      </c>
      <c r="H2437" s="359">
        <f t="shared" si="79"/>
        <v>0</v>
      </c>
      <c r="T2437" s="396"/>
      <c r="U2437" s="364">
        <f t="shared" si="78"/>
        <v>0</v>
      </c>
      <c r="W2437" s="365"/>
      <c r="X2437" s="365"/>
    </row>
    <row r="2438" spans="1:24" hidden="1">
      <c r="A2438" s="367">
        <f>SUBTOTAL(3,$B$15:B2438)</f>
        <v>2</v>
      </c>
      <c r="H2438" s="359">
        <f t="shared" si="79"/>
        <v>0</v>
      </c>
      <c r="T2438" s="396"/>
      <c r="U2438" s="364">
        <f t="shared" si="78"/>
        <v>0</v>
      </c>
      <c r="W2438" s="365"/>
      <c r="X2438" s="365"/>
    </row>
    <row r="2439" spans="1:24" hidden="1">
      <c r="A2439" s="367">
        <f>SUBTOTAL(3,$B$15:B2439)</f>
        <v>2</v>
      </c>
      <c r="H2439" s="359">
        <f t="shared" si="79"/>
        <v>0</v>
      </c>
      <c r="T2439" s="396"/>
      <c r="U2439" s="364">
        <f t="shared" si="78"/>
        <v>0</v>
      </c>
      <c r="W2439" s="365"/>
      <c r="X2439" s="365"/>
    </row>
    <row r="2440" spans="1:24" hidden="1">
      <c r="A2440" s="367">
        <f>SUBTOTAL(3,$B$15:B2440)</f>
        <v>2</v>
      </c>
      <c r="H2440" s="359">
        <f t="shared" si="79"/>
        <v>0</v>
      </c>
      <c r="T2440" s="396"/>
      <c r="U2440" s="364">
        <f t="shared" si="78"/>
        <v>0</v>
      </c>
      <c r="W2440" s="365"/>
      <c r="X2440" s="365"/>
    </row>
    <row r="2441" spans="1:24" hidden="1">
      <c r="A2441" s="367">
        <f>SUBTOTAL(3,$B$15:B2441)</f>
        <v>2</v>
      </c>
      <c r="H2441" s="359">
        <f t="shared" si="79"/>
        <v>0</v>
      </c>
      <c r="T2441" s="396"/>
      <c r="U2441" s="364">
        <f t="shared" si="78"/>
        <v>0</v>
      </c>
      <c r="W2441" s="365"/>
      <c r="X2441" s="365"/>
    </row>
    <row r="2442" spans="1:24" hidden="1">
      <c r="A2442" s="367">
        <f>SUBTOTAL(3,$B$15:B2442)</f>
        <v>2</v>
      </c>
      <c r="H2442" s="359">
        <f t="shared" si="79"/>
        <v>0</v>
      </c>
      <c r="T2442" s="396"/>
      <c r="U2442" s="364">
        <f t="shared" si="78"/>
        <v>0</v>
      </c>
      <c r="W2442" s="365"/>
      <c r="X2442" s="365"/>
    </row>
    <row r="2443" spans="1:24" hidden="1">
      <c r="A2443" s="367">
        <f>SUBTOTAL(3,$B$15:B2443)</f>
        <v>2</v>
      </c>
      <c r="H2443" s="359">
        <f t="shared" si="79"/>
        <v>0</v>
      </c>
      <c r="T2443" s="396"/>
      <c r="U2443" s="364">
        <f t="shared" si="78"/>
        <v>0</v>
      </c>
      <c r="W2443" s="365"/>
      <c r="X2443" s="365"/>
    </row>
    <row r="2444" spans="1:24" hidden="1">
      <c r="A2444" s="367">
        <f>SUBTOTAL(3,$B$15:B2444)</f>
        <v>2</v>
      </c>
      <c r="H2444" s="359">
        <f t="shared" si="79"/>
        <v>0</v>
      </c>
      <c r="T2444" s="396"/>
      <c r="U2444" s="364">
        <f t="shared" si="78"/>
        <v>0</v>
      </c>
      <c r="W2444" s="365"/>
      <c r="X2444" s="365"/>
    </row>
    <row r="2445" spans="1:24" hidden="1">
      <c r="A2445" s="367">
        <f>SUBTOTAL(3,$B$15:B2445)</f>
        <v>2</v>
      </c>
      <c r="H2445" s="359">
        <f t="shared" si="79"/>
        <v>0</v>
      </c>
      <c r="T2445" s="396"/>
      <c r="U2445" s="364">
        <f t="shared" si="78"/>
        <v>0</v>
      </c>
      <c r="W2445" s="365"/>
      <c r="X2445" s="365"/>
    </row>
    <row r="2446" spans="1:24" hidden="1">
      <c r="A2446" s="367">
        <f>SUBTOTAL(3,$B$15:B2446)</f>
        <v>2</v>
      </c>
      <c r="H2446" s="359">
        <f t="shared" si="79"/>
        <v>0</v>
      </c>
      <c r="T2446" s="396"/>
      <c r="U2446" s="364">
        <f t="shared" si="78"/>
        <v>0</v>
      </c>
      <c r="W2446" s="365"/>
      <c r="X2446" s="365"/>
    </row>
    <row r="2447" spans="1:24" hidden="1">
      <c r="A2447" s="367">
        <f>SUBTOTAL(3,$B$15:B2447)</f>
        <v>2</v>
      </c>
      <c r="H2447" s="359">
        <f t="shared" si="79"/>
        <v>0</v>
      </c>
      <c r="T2447" s="396"/>
      <c r="U2447" s="364">
        <f t="shared" si="78"/>
        <v>0</v>
      </c>
      <c r="W2447" s="365"/>
      <c r="X2447" s="365"/>
    </row>
    <row r="2448" spans="1:24" hidden="1">
      <c r="A2448" s="367">
        <f>SUBTOTAL(3,$B$15:B2448)</f>
        <v>2</v>
      </c>
      <c r="H2448" s="359">
        <f t="shared" si="79"/>
        <v>0</v>
      </c>
      <c r="T2448" s="396"/>
      <c r="U2448" s="364">
        <f t="shared" si="78"/>
        <v>0</v>
      </c>
      <c r="W2448" s="365"/>
      <c r="X2448" s="365"/>
    </row>
    <row r="2449" spans="1:24" hidden="1">
      <c r="A2449" s="367">
        <f>SUBTOTAL(3,$B$15:B2449)</f>
        <v>2</v>
      </c>
      <c r="H2449" s="359">
        <f t="shared" si="79"/>
        <v>0</v>
      </c>
      <c r="T2449" s="396"/>
      <c r="U2449" s="364">
        <f t="shared" si="78"/>
        <v>0</v>
      </c>
      <c r="W2449" s="365"/>
      <c r="X2449" s="365"/>
    </row>
    <row r="2450" spans="1:24" hidden="1">
      <c r="A2450" s="367">
        <f>SUBTOTAL(3,$B$15:B2450)</f>
        <v>2</v>
      </c>
      <c r="H2450" s="359">
        <f t="shared" si="79"/>
        <v>0</v>
      </c>
      <c r="T2450" s="396"/>
      <c r="U2450" s="364">
        <f t="shared" si="78"/>
        <v>0</v>
      </c>
      <c r="W2450" s="365"/>
      <c r="X2450" s="365"/>
    </row>
    <row r="2451" spans="1:24" hidden="1">
      <c r="A2451" s="367">
        <f>SUBTOTAL(3,$B$15:B2451)</f>
        <v>2</v>
      </c>
      <c r="H2451" s="359">
        <f t="shared" si="79"/>
        <v>0</v>
      </c>
      <c r="T2451" s="396"/>
      <c r="U2451" s="364">
        <f t="shared" si="78"/>
        <v>0</v>
      </c>
      <c r="W2451" s="365"/>
      <c r="X2451" s="365"/>
    </row>
    <row r="2452" spans="1:24" hidden="1">
      <c r="A2452" s="367">
        <f>SUBTOTAL(3,$B$15:B2452)</f>
        <v>2</v>
      </c>
      <c r="H2452" s="359">
        <f t="shared" si="79"/>
        <v>0</v>
      </c>
      <c r="T2452" s="396"/>
      <c r="U2452" s="364">
        <f t="shared" si="78"/>
        <v>0</v>
      </c>
      <c r="W2452" s="365"/>
      <c r="X2452" s="365"/>
    </row>
    <row r="2453" spans="1:24" hidden="1">
      <c r="A2453" s="367">
        <f>SUBTOTAL(3,$B$15:B2453)</f>
        <v>2</v>
      </c>
      <c r="H2453" s="359">
        <f t="shared" si="79"/>
        <v>0</v>
      </c>
      <c r="T2453" s="396"/>
      <c r="U2453" s="364">
        <f t="shared" si="78"/>
        <v>0</v>
      </c>
      <c r="W2453" s="365"/>
      <c r="X2453" s="365"/>
    </row>
    <row r="2454" spans="1:24" hidden="1">
      <c r="A2454" s="367">
        <f>SUBTOTAL(3,$B$15:B2454)</f>
        <v>2</v>
      </c>
      <c r="H2454" s="359">
        <f t="shared" si="79"/>
        <v>0</v>
      </c>
      <c r="T2454" s="396"/>
      <c r="U2454" s="364">
        <f t="shared" si="78"/>
        <v>0</v>
      </c>
      <c r="W2454" s="365"/>
      <c r="X2454" s="365"/>
    </row>
    <row r="2455" spans="1:24" hidden="1">
      <c r="A2455" s="367">
        <f>SUBTOTAL(3,$B$15:B2455)</f>
        <v>2</v>
      </c>
      <c r="H2455" s="359">
        <f t="shared" si="79"/>
        <v>0</v>
      </c>
      <c r="T2455" s="396"/>
      <c r="U2455" s="364">
        <f t="shared" ref="U2455:U2503" si="80">SUM(H2455:T2455)</f>
        <v>0</v>
      </c>
      <c r="W2455" s="365"/>
      <c r="X2455" s="365"/>
    </row>
    <row r="2456" spans="1:24" hidden="1">
      <c r="A2456" s="367">
        <f>SUBTOTAL(3,$B$15:B2456)</f>
        <v>2</v>
      </c>
      <c r="H2456" s="359">
        <f t="shared" si="79"/>
        <v>0</v>
      </c>
      <c r="T2456" s="396"/>
      <c r="U2456" s="364">
        <f t="shared" si="80"/>
        <v>0</v>
      </c>
      <c r="W2456" s="365"/>
      <c r="X2456" s="365"/>
    </row>
    <row r="2457" spans="1:24" hidden="1">
      <c r="A2457" s="367">
        <f>SUBTOTAL(3,$B$15:B2457)</f>
        <v>2</v>
      </c>
      <c r="H2457" s="359">
        <f t="shared" si="79"/>
        <v>0</v>
      </c>
      <c r="T2457" s="396"/>
      <c r="U2457" s="364">
        <f t="shared" si="80"/>
        <v>0</v>
      </c>
      <c r="W2457" s="365"/>
      <c r="X2457" s="365"/>
    </row>
    <row r="2458" spans="1:24" hidden="1">
      <c r="A2458" s="367">
        <f>SUBTOTAL(3,$B$15:B2458)</f>
        <v>2</v>
      </c>
      <c r="H2458" s="359">
        <f t="shared" si="79"/>
        <v>0</v>
      </c>
      <c r="T2458" s="396"/>
      <c r="U2458" s="364">
        <f t="shared" si="80"/>
        <v>0</v>
      </c>
      <c r="W2458" s="365"/>
      <c r="X2458" s="365"/>
    </row>
    <row r="2459" spans="1:24" hidden="1">
      <c r="A2459" s="367">
        <f>SUBTOTAL(3,$B$15:B2459)</f>
        <v>2</v>
      </c>
      <c r="H2459" s="359">
        <f t="shared" si="79"/>
        <v>0</v>
      </c>
      <c r="T2459" s="396"/>
      <c r="U2459" s="364">
        <f t="shared" si="80"/>
        <v>0</v>
      </c>
      <c r="W2459" s="365"/>
      <c r="X2459" s="365"/>
    </row>
    <row r="2460" spans="1:24" hidden="1">
      <c r="A2460" s="367">
        <f>SUBTOTAL(3,$B$15:B2460)</f>
        <v>2</v>
      </c>
      <c r="H2460" s="359">
        <f t="shared" si="79"/>
        <v>0</v>
      </c>
      <c r="T2460" s="396"/>
      <c r="U2460" s="364">
        <f t="shared" si="80"/>
        <v>0</v>
      </c>
      <c r="W2460" s="365"/>
      <c r="X2460" s="365"/>
    </row>
    <row r="2461" spans="1:24" hidden="1">
      <c r="A2461" s="367">
        <f>SUBTOTAL(3,$B$15:B2461)</f>
        <v>2</v>
      </c>
      <c r="H2461" s="359">
        <f t="shared" si="79"/>
        <v>0</v>
      </c>
      <c r="T2461" s="396"/>
      <c r="U2461" s="364">
        <f t="shared" si="80"/>
        <v>0</v>
      </c>
      <c r="W2461" s="365"/>
      <c r="X2461" s="365"/>
    </row>
    <row r="2462" spans="1:24" hidden="1">
      <c r="A2462" s="367">
        <f>SUBTOTAL(3,$B$15:B2462)</f>
        <v>2</v>
      </c>
      <c r="H2462" s="359">
        <f t="shared" si="79"/>
        <v>0</v>
      </c>
      <c r="T2462" s="396"/>
      <c r="U2462" s="364">
        <f t="shared" si="80"/>
        <v>0</v>
      </c>
      <c r="W2462" s="365"/>
      <c r="X2462" s="365"/>
    </row>
    <row r="2463" spans="1:24" hidden="1">
      <c r="A2463" s="367">
        <f>SUBTOTAL(3,$B$15:B2463)</f>
        <v>2</v>
      </c>
      <c r="H2463" s="359">
        <f t="shared" si="79"/>
        <v>0</v>
      </c>
      <c r="T2463" s="396"/>
      <c r="U2463" s="364">
        <f t="shared" si="80"/>
        <v>0</v>
      </c>
      <c r="W2463" s="365"/>
      <c r="X2463" s="365"/>
    </row>
    <row r="2464" spans="1:24" hidden="1">
      <c r="A2464" s="367">
        <f>SUBTOTAL(3,$B$15:B2464)</f>
        <v>2</v>
      </c>
      <c r="H2464" s="359">
        <f t="shared" si="79"/>
        <v>0</v>
      </c>
      <c r="T2464" s="396"/>
      <c r="U2464" s="364">
        <f t="shared" si="80"/>
        <v>0</v>
      </c>
      <c r="W2464" s="365"/>
      <c r="X2464" s="365"/>
    </row>
    <row r="2465" spans="1:24" hidden="1">
      <c r="A2465" s="367">
        <f>SUBTOTAL(3,$B$15:B2465)</f>
        <v>2</v>
      </c>
      <c r="H2465" s="359">
        <f t="shared" si="79"/>
        <v>0</v>
      </c>
      <c r="T2465" s="396"/>
      <c r="U2465" s="364">
        <f t="shared" si="80"/>
        <v>0</v>
      </c>
      <c r="W2465" s="365"/>
      <c r="X2465" s="365"/>
    </row>
    <row r="2466" spans="1:24" hidden="1">
      <c r="A2466" s="367">
        <f>SUBTOTAL(3,$B$15:B2466)</f>
        <v>2</v>
      </c>
      <c r="H2466" s="359">
        <f t="shared" si="79"/>
        <v>0</v>
      </c>
      <c r="T2466" s="396"/>
      <c r="U2466" s="364">
        <f t="shared" si="80"/>
        <v>0</v>
      </c>
      <c r="W2466" s="365"/>
      <c r="X2466" s="365"/>
    </row>
    <row r="2467" spans="1:24" hidden="1">
      <c r="A2467" s="367">
        <f>SUBTOTAL(3,$B$15:B2467)</f>
        <v>2</v>
      </c>
      <c r="H2467" s="359">
        <f t="shared" si="79"/>
        <v>0</v>
      </c>
      <c r="T2467" s="396"/>
      <c r="U2467" s="364">
        <f t="shared" si="80"/>
        <v>0</v>
      </c>
      <c r="W2467" s="365"/>
      <c r="X2467" s="365"/>
    </row>
    <row r="2468" spans="1:24" hidden="1">
      <c r="A2468" s="367">
        <f>SUBTOTAL(3,$B$15:B2468)</f>
        <v>2</v>
      </c>
      <c r="H2468" s="359">
        <f t="shared" si="79"/>
        <v>0</v>
      </c>
      <c r="T2468" s="396"/>
      <c r="U2468" s="364">
        <f t="shared" si="80"/>
        <v>0</v>
      </c>
      <c r="W2468" s="365"/>
      <c r="X2468" s="365"/>
    </row>
    <row r="2469" spans="1:24" hidden="1">
      <c r="A2469" s="367">
        <f>SUBTOTAL(3,$B$15:B2469)</f>
        <v>2</v>
      </c>
      <c r="H2469" s="359">
        <f t="shared" si="79"/>
        <v>0</v>
      </c>
      <c r="T2469" s="396"/>
      <c r="U2469" s="364">
        <f t="shared" si="80"/>
        <v>0</v>
      </c>
      <c r="W2469" s="365"/>
      <c r="X2469" s="365"/>
    </row>
    <row r="2470" spans="1:24" hidden="1">
      <c r="A2470" s="367">
        <f>SUBTOTAL(3,$B$15:B2470)</f>
        <v>2</v>
      </c>
      <c r="H2470" s="359">
        <f t="shared" si="79"/>
        <v>0</v>
      </c>
      <c r="T2470" s="396"/>
      <c r="U2470" s="364">
        <f t="shared" si="80"/>
        <v>0</v>
      </c>
      <c r="W2470" s="365"/>
      <c r="X2470" s="365"/>
    </row>
    <row r="2471" spans="1:24" hidden="1">
      <c r="A2471" s="367">
        <f>SUBTOTAL(3,$B$15:B2471)</f>
        <v>2</v>
      </c>
      <c r="H2471" s="359">
        <f t="shared" si="79"/>
        <v>0</v>
      </c>
      <c r="T2471" s="396"/>
      <c r="U2471" s="364">
        <f t="shared" si="80"/>
        <v>0</v>
      </c>
      <c r="W2471" s="365"/>
      <c r="X2471" s="365"/>
    </row>
    <row r="2472" spans="1:24" hidden="1">
      <c r="A2472" s="367">
        <f>SUBTOTAL(3,$B$15:B2472)</f>
        <v>2</v>
      </c>
      <c r="H2472" s="359">
        <f t="shared" si="79"/>
        <v>0</v>
      </c>
      <c r="T2472" s="396"/>
      <c r="U2472" s="364">
        <f t="shared" si="80"/>
        <v>0</v>
      </c>
      <c r="W2472" s="365"/>
      <c r="X2472" s="365"/>
    </row>
    <row r="2473" spans="1:24" hidden="1">
      <c r="A2473" s="367">
        <f>SUBTOTAL(3,$B$15:B2473)</f>
        <v>2</v>
      </c>
      <c r="H2473" s="359">
        <f t="shared" si="79"/>
        <v>0</v>
      </c>
      <c r="T2473" s="396"/>
      <c r="U2473" s="364">
        <f t="shared" si="80"/>
        <v>0</v>
      </c>
      <c r="W2473" s="365"/>
      <c r="X2473" s="365"/>
    </row>
    <row r="2474" spans="1:24" hidden="1">
      <c r="A2474" s="367">
        <f>SUBTOTAL(3,$B$15:B2474)</f>
        <v>2</v>
      </c>
      <c r="H2474" s="359">
        <f t="shared" si="79"/>
        <v>0</v>
      </c>
      <c r="T2474" s="396"/>
      <c r="U2474" s="364">
        <f t="shared" si="80"/>
        <v>0</v>
      </c>
      <c r="W2474" s="365"/>
      <c r="X2474" s="365"/>
    </row>
    <row r="2475" spans="1:24" hidden="1">
      <c r="A2475" s="367">
        <f>SUBTOTAL(3,$B$15:B2475)</f>
        <v>2</v>
      </c>
      <c r="H2475" s="359">
        <f t="shared" si="79"/>
        <v>0</v>
      </c>
      <c r="T2475" s="396"/>
      <c r="U2475" s="364">
        <f t="shared" si="80"/>
        <v>0</v>
      </c>
      <c r="W2475" s="365"/>
      <c r="X2475" s="365"/>
    </row>
    <row r="2476" spans="1:24" hidden="1">
      <c r="A2476" s="367">
        <f>SUBTOTAL(3,$B$15:B2476)</f>
        <v>2</v>
      </c>
      <c r="H2476" s="359">
        <f t="shared" si="79"/>
        <v>0</v>
      </c>
      <c r="T2476" s="396"/>
      <c r="U2476" s="364">
        <f t="shared" si="80"/>
        <v>0</v>
      </c>
      <c r="W2476" s="365"/>
      <c r="X2476" s="365"/>
    </row>
    <row r="2477" spans="1:24" hidden="1">
      <c r="A2477" s="367">
        <f>SUBTOTAL(3,$B$15:B2477)</f>
        <v>2</v>
      </c>
      <c r="H2477" s="359">
        <f t="shared" si="79"/>
        <v>0</v>
      </c>
      <c r="T2477" s="396"/>
      <c r="U2477" s="364">
        <f t="shared" si="80"/>
        <v>0</v>
      </c>
      <c r="W2477" s="365"/>
      <c r="X2477" s="365"/>
    </row>
    <row r="2478" spans="1:24" hidden="1">
      <c r="A2478" s="367">
        <f>SUBTOTAL(3,$B$15:B2478)</f>
        <v>2</v>
      </c>
      <c r="H2478" s="359">
        <f t="shared" ref="H2478:H2503" si="81">+G2478-SUM(M2478,O2478,Q2478)</f>
        <v>0</v>
      </c>
      <c r="T2478" s="396"/>
      <c r="U2478" s="364">
        <f t="shared" si="80"/>
        <v>0</v>
      </c>
      <c r="W2478" s="365"/>
      <c r="X2478" s="365"/>
    </row>
    <row r="2479" spans="1:24" hidden="1">
      <c r="A2479" s="367">
        <f>SUBTOTAL(3,$B$15:B2479)</f>
        <v>2</v>
      </c>
      <c r="H2479" s="359">
        <f t="shared" si="81"/>
        <v>0</v>
      </c>
      <c r="T2479" s="396"/>
      <c r="U2479" s="364">
        <f t="shared" si="80"/>
        <v>0</v>
      </c>
      <c r="W2479" s="365"/>
      <c r="X2479" s="365"/>
    </row>
    <row r="2480" spans="1:24" hidden="1">
      <c r="A2480" s="367">
        <f>SUBTOTAL(3,$B$15:B2480)</f>
        <v>2</v>
      </c>
      <c r="H2480" s="359">
        <f t="shared" si="81"/>
        <v>0</v>
      </c>
      <c r="T2480" s="396"/>
      <c r="U2480" s="364">
        <f t="shared" si="80"/>
        <v>0</v>
      </c>
      <c r="W2480" s="365"/>
      <c r="X2480" s="365"/>
    </row>
    <row r="2481" spans="1:24" hidden="1">
      <c r="A2481" s="367">
        <f>SUBTOTAL(3,$B$15:B2481)</f>
        <v>2</v>
      </c>
      <c r="H2481" s="359">
        <f t="shared" si="81"/>
        <v>0</v>
      </c>
      <c r="T2481" s="396"/>
      <c r="U2481" s="364">
        <f t="shared" si="80"/>
        <v>0</v>
      </c>
      <c r="W2481" s="365"/>
      <c r="X2481" s="365"/>
    </row>
    <row r="2482" spans="1:24" hidden="1">
      <c r="A2482" s="367">
        <f>SUBTOTAL(3,$B$15:B2482)</f>
        <v>2</v>
      </c>
      <c r="H2482" s="359">
        <f t="shared" si="81"/>
        <v>0</v>
      </c>
      <c r="T2482" s="397"/>
      <c r="U2482" s="364">
        <f t="shared" si="80"/>
        <v>0</v>
      </c>
      <c r="W2482" s="365"/>
      <c r="X2482" s="365"/>
    </row>
    <row r="2483" spans="1:24" hidden="1">
      <c r="A2483" s="367">
        <f>SUBTOTAL(3,$B$15:B2483)</f>
        <v>2</v>
      </c>
      <c r="H2483" s="359">
        <f t="shared" si="81"/>
        <v>0</v>
      </c>
      <c r="T2483" s="397"/>
      <c r="U2483" s="364">
        <f t="shared" si="80"/>
        <v>0</v>
      </c>
      <c r="W2483" s="365"/>
      <c r="X2483" s="365"/>
    </row>
    <row r="2484" spans="1:24" hidden="1">
      <c r="A2484" s="367">
        <f>SUBTOTAL(3,$B$15:B2484)</f>
        <v>2</v>
      </c>
      <c r="H2484" s="359">
        <f t="shared" si="81"/>
        <v>0</v>
      </c>
      <c r="T2484" s="397"/>
      <c r="U2484" s="364">
        <f t="shared" si="80"/>
        <v>0</v>
      </c>
      <c r="W2484" s="365"/>
      <c r="X2484" s="365"/>
    </row>
    <row r="2485" spans="1:24" hidden="1">
      <c r="A2485" s="367">
        <f>SUBTOTAL(3,$B$15:B2485)</f>
        <v>2</v>
      </c>
      <c r="H2485" s="359">
        <f t="shared" si="81"/>
        <v>0</v>
      </c>
      <c r="T2485" s="397"/>
      <c r="U2485" s="364">
        <f t="shared" si="80"/>
        <v>0</v>
      </c>
      <c r="W2485" s="365"/>
      <c r="X2485" s="365"/>
    </row>
    <row r="2486" spans="1:24" hidden="1">
      <c r="A2486" s="367">
        <f>SUBTOTAL(3,$B$15:B2486)</f>
        <v>2</v>
      </c>
      <c r="H2486" s="359">
        <f t="shared" si="81"/>
        <v>0</v>
      </c>
      <c r="T2486" s="397"/>
      <c r="U2486" s="364">
        <f t="shared" si="80"/>
        <v>0</v>
      </c>
      <c r="W2486" s="365"/>
      <c r="X2486" s="365"/>
    </row>
    <row r="2487" spans="1:24" hidden="1">
      <c r="A2487" s="367">
        <f>SUBTOTAL(3,$B$15:B2487)</f>
        <v>2</v>
      </c>
      <c r="H2487" s="359">
        <f t="shared" si="81"/>
        <v>0</v>
      </c>
      <c r="T2487" s="397"/>
      <c r="U2487" s="364">
        <f t="shared" si="80"/>
        <v>0</v>
      </c>
      <c r="W2487" s="365"/>
      <c r="X2487" s="365"/>
    </row>
    <row r="2488" spans="1:24" hidden="1">
      <c r="A2488" s="367">
        <f>SUBTOTAL(3,$B$15:B2488)</f>
        <v>2</v>
      </c>
      <c r="H2488" s="359">
        <f t="shared" si="81"/>
        <v>0</v>
      </c>
      <c r="T2488" s="397"/>
      <c r="U2488" s="364">
        <f t="shared" si="80"/>
        <v>0</v>
      </c>
      <c r="W2488" s="365"/>
      <c r="X2488" s="365"/>
    </row>
    <row r="2489" spans="1:24" hidden="1">
      <c r="A2489" s="367">
        <f>SUBTOTAL(3,$B$15:B2489)</f>
        <v>2</v>
      </c>
      <c r="H2489" s="359">
        <f t="shared" si="81"/>
        <v>0</v>
      </c>
      <c r="T2489" s="397"/>
      <c r="U2489" s="364">
        <f t="shared" si="80"/>
        <v>0</v>
      </c>
      <c r="W2489" s="365"/>
      <c r="X2489" s="365"/>
    </row>
    <row r="2490" spans="1:24" hidden="1">
      <c r="A2490" s="367">
        <f>SUBTOTAL(3,$B$15:B2490)</f>
        <v>2</v>
      </c>
      <c r="H2490" s="359">
        <f t="shared" si="81"/>
        <v>0</v>
      </c>
      <c r="T2490" s="397"/>
      <c r="U2490" s="364">
        <f t="shared" si="80"/>
        <v>0</v>
      </c>
      <c r="W2490" s="365"/>
      <c r="X2490" s="365"/>
    </row>
    <row r="2491" spans="1:24" hidden="1">
      <c r="A2491" s="367">
        <f>SUBTOTAL(3,$B$15:B2491)</f>
        <v>2</v>
      </c>
      <c r="H2491" s="359">
        <f t="shared" si="81"/>
        <v>0</v>
      </c>
      <c r="T2491" s="397"/>
      <c r="U2491" s="364">
        <f t="shared" si="80"/>
        <v>0</v>
      </c>
      <c r="W2491" s="365"/>
      <c r="X2491" s="365"/>
    </row>
    <row r="2492" spans="1:24" hidden="1">
      <c r="A2492" s="367">
        <f>SUBTOTAL(3,$B$15:B2492)</f>
        <v>2</v>
      </c>
      <c r="H2492" s="359">
        <f t="shared" si="81"/>
        <v>0</v>
      </c>
      <c r="T2492" s="397"/>
      <c r="U2492" s="364">
        <f t="shared" si="80"/>
        <v>0</v>
      </c>
      <c r="W2492" s="365"/>
      <c r="X2492" s="365"/>
    </row>
    <row r="2493" spans="1:24" hidden="1">
      <c r="A2493" s="367">
        <f>SUBTOTAL(3,$B$15:B2493)</f>
        <v>2</v>
      </c>
      <c r="H2493" s="359">
        <f t="shared" si="81"/>
        <v>0</v>
      </c>
      <c r="T2493" s="397"/>
      <c r="U2493" s="364">
        <f t="shared" si="80"/>
        <v>0</v>
      </c>
      <c r="W2493" s="365"/>
      <c r="X2493" s="365"/>
    </row>
    <row r="2494" spans="1:24" hidden="1">
      <c r="A2494" s="367">
        <f>SUBTOTAL(3,$B$15:B2494)</f>
        <v>2</v>
      </c>
      <c r="H2494" s="359">
        <f t="shared" si="81"/>
        <v>0</v>
      </c>
      <c r="T2494" s="397"/>
      <c r="U2494" s="364">
        <f t="shared" si="80"/>
        <v>0</v>
      </c>
      <c r="W2494" s="365"/>
      <c r="X2494" s="365"/>
    </row>
    <row r="2495" spans="1:24" hidden="1">
      <c r="A2495" s="367">
        <f>SUBTOTAL(3,$B$15:B2495)</f>
        <v>2</v>
      </c>
      <c r="H2495" s="359">
        <f t="shared" si="81"/>
        <v>0</v>
      </c>
      <c r="T2495" s="397"/>
      <c r="U2495" s="364">
        <f t="shared" si="80"/>
        <v>0</v>
      </c>
      <c r="W2495" s="365"/>
      <c r="X2495" s="365"/>
    </row>
    <row r="2496" spans="1:24" hidden="1">
      <c r="A2496" s="367">
        <f>SUBTOTAL(3,$B$15:B2496)</f>
        <v>2</v>
      </c>
      <c r="H2496" s="359">
        <f t="shared" si="81"/>
        <v>0</v>
      </c>
      <c r="T2496" s="397"/>
      <c r="U2496" s="364">
        <f t="shared" si="80"/>
        <v>0</v>
      </c>
      <c r="W2496" s="365"/>
      <c r="X2496" s="365"/>
    </row>
    <row r="2497" spans="1:24" hidden="1">
      <c r="A2497" s="367">
        <f>SUBTOTAL(3,$B$15:B2497)</f>
        <v>2</v>
      </c>
      <c r="H2497" s="359">
        <f t="shared" si="81"/>
        <v>0</v>
      </c>
      <c r="T2497" s="397"/>
      <c r="U2497" s="364">
        <f t="shared" si="80"/>
        <v>0</v>
      </c>
      <c r="W2497" s="365"/>
      <c r="X2497" s="365"/>
    </row>
    <row r="2498" spans="1:24" hidden="1">
      <c r="A2498" s="367">
        <f>SUBTOTAL(3,$B$15:B2498)</f>
        <v>2</v>
      </c>
      <c r="H2498" s="359">
        <f t="shared" si="81"/>
        <v>0</v>
      </c>
      <c r="T2498" s="397"/>
      <c r="U2498" s="364">
        <f t="shared" si="80"/>
        <v>0</v>
      </c>
      <c r="W2498" s="365"/>
      <c r="X2498" s="365"/>
    </row>
    <row r="2499" spans="1:24" hidden="1">
      <c r="A2499" s="367">
        <f>SUBTOTAL(3,$B$15:B2499)</f>
        <v>2</v>
      </c>
      <c r="H2499" s="359">
        <f t="shared" si="81"/>
        <v>0</v>
      </c>
      <c r="T2499" s="397"/>
      <c r="U2499" s="364">
        <f t="shared" si="80"/>
        <v>0</v>
      </c>
      <c r="W2499" s="365"/>
      <c r="X2499" s="365"/>
    </row>
    <row r="2500" spans="1:24" hidden="1">
      <c r="A2500" s="367">
        <f>SUBTOTAL(3,$B$15:B2500)</f>
        <v>2</v>
      </c>
      <c r="H2500" s="359">
        <f t="shared" si="81"/>
        <v>0</v>
      </c>
      <c r="T2500" s="397"/>
      <c r="U2500" s="364">
        <f t="shared" si="80"/>
        <v>0</v>
      </c>
      <c r="W2500" s="365"/>
      <c r="X2500" s="365"/>
    </row>
    <row r="2501" spans="1:24" hidden="1">
      <c r="A2501" s="367">
        <f>SUBTOTAL(3,$B$15:B2501)</f>
        <v>2</v>
      </c>
      <c r="H2501" s="359">
        <f t="shared" si="81"/>
        <v>0</v>
      </c>
      <c r="T2501" s="397"/>
      <c r="U2501" s="364">
        <f t="shared" si="80"/>
        <v>0</v>
      </c>
      <c r="W2501" s="365"/>
      <c r="X2501" s="365"/>
    </row>
    <row r="2502" spans="1:24" hidden="1">
      <c r="A2502" s="367">
        <f>SUBTOTAL(3,$B$15:B2502)</f>
        <v>2</v>
      </c>
      <c r="H2502" s="359">
        <f t="shared" si="81"/>
        <v>0</v>
      </c>
      <c r="T2502" s="397"/>
      <c r="U2502" s="364">
        <f t="shared" si="80"/>
        <v>0</v>
      </c>
      <c r="W2502" s="365"/>
      <c r="X2502" s="365"/>
    </row>
    <row r="2503" spans="1:24">
      <c r="A2503" s="367">
        <f>SUBTOTAL(3,$B$15:B2503)</f>
        <v>2</v>
      </c>
      <c r="H2503" s="359">
        <f t="shared" si="81"/>
        <v>0</v>
      </c>
      <c r="T2503" s="397"/>
      <c r="U2503" s="364">
        <f t="shared" si="80"/>
        <v>0</v>
      </c>
      <c r="W2503" s="365"/>
      <c r="X2503" s="365"/>
    </row>
  </sheetData>
  <autoFilter ref="A14:Z2502" xr:uid="{00000000-0009-0000-0000-000007000000}">
    <filterColumn colId="2">
      <colorFilter dxfId="19"/>
    </filterColumn>
  </autoFilter>
  <mergeCells count="38">
    <mergeCell ref="E11:E12"/>
    <mergeCell ref="F11:F12"/>
    <mergeCell ref="M11:M12"/>
    <mergeCell ref="N11:N12"/>
    <mergeCell ref="O11:O12"/>
    <mergeCell ref="J9:J12"/>
    <mergeCell ref="K9:K12"/>
    <mergeCell ref="L9:L12"/>
    <mergeCell ref="P11:P12"/>
    <mergeCell ref="V9:V12"/>
    <mergeCell ref="W9:W12"/>
    <mergeCell ref="X9:X12"/>
    <mergeCell ref="Y9:Y12"/>
    <mergeCell ref="M9:S9"/>
    <mergeCell ref="T9:T12"/>
    <mergeCell ref="U9:U12"/>
    <mergeCell ref="A6:U6"/>
    <mergeCell ref="A7:U7"/>
    <mergeCell ref="A9:A12"/>
    <mergeCell ref="B9:B12"/>
    <mergeCell ref="C9:C12"/>
    <mergeCell ref="D9:D12"/>
    <mergeCell ref="E9:F10"/>
    <mergeCell ref="G9:G12"/>
    <mergeCell ref="H9:H12"/>
    <mergeCell ref="I9:I12"/>
    <mergeCell ref="M10:N10"/>
    <mergeCell ref="O10:P10"/>
    <mergeCell ref="Q10:R10"/>
    <mergeCell ref="S10:S12"/>
    <mergeCell ref="Q11:Q12"/>
    <mergeCell ref="R11:R12"/>
    <mergeCell ref="A5:U5"/>
    <mergeCell ref="B1:G1"/>
    <mergeCell ref="P1:T1"/>
    <mergeCell ref="B2:G2"/>
    <mergeCell ref="P2:T2"/>
    <mergeCell ref="A4:U4"/>
  </mergeCells>
  <conditionalFormatting sqref="B13">
    <cfRule type="duplicateValues" dxfId="18" priority="13"/>
    <cfRule type="duplicateValues" dxfId="17" priority="16"/>
  </conditionalFormatting>
  <conditionalFormatting sqref="B1464">
    <cfRule type="duplicateValues" dxfId="16" priority="5"/>
    <cfRule type="duplicateValues" dxfId="15" priority="8"/>
  </conditionalFormatting>
  <conditionalFormatting sqref="B1465">
    <cfRule type="duplicateValues" dxfId="14" priority="1"/>
    <cfRule type="duplicateValues" dxfId="13" priority="4"/>
  </conditionalFormatting>
  <conditionalFormatting sqref="B1466">
    <cfRule type="duplicateValues" dxfId="12" priority="9"/>
    <cfRule type="duplicateValues" dxfId="11" priority="12"/>
  </conditionalFormatting>
  <conditionalFormatting sqref="B1467:B1048576 B1:B12 B14:B1463">
    <cfRule type="duplicateValues" dxfId="10" priority="17"/>
  </conditionalFormatting>
  <conditionalFormatting sqref="B1467:B1048576 B1104:B1463 B1:B12 B14">
    <cfRule type="duplicateValues" dxfId="9" priority="21"/>
  </conditionalFormatting>
  <conditionalFormatting sqref="C13">
    <cfRule type="colorScale" priority="14">
      <colorScale>
        <cfvo type="min"/>
        <cfvo type="percentile" val="50"/>
        <cfvo type="max"/>
        <color rgb="FFF8696B"/>
        <color rgb="FFFFEB84"/>
        <color rgb="FF63BE7B"/>
      </colorScale>
    </cfRule>
    <cfRule type="dataBar" priority="15">
      <dataBar>
        <cfvo type="min"/>
        <cfvo type="max"/>
        <color rgb="FF638EC6"/>
      </dataBar>
      <extLst>
        <ext xmlns:x14="http://schemas.microsoft.com/office/spreadsheetml/2009/9/main" uri="{B025F937-C7B1-47D3-B67F-A62EFF666E3E}">
          <x14:id>{47183F0D-8175-42F3-BFF2-18E7934ED892}</x14:id>
        </ext>
      </extLst>
    </cfRule>
  </conditionalFormatting>
  <conditionalFormatting sqref="C14">
    <cfRule type="duplicateValues" dxfId="8" priority="18"/>
  </conditionalFormatting>
  <conditionalFormatting sqref="C1464">
    <cfRule type="colorScale" priority="6">
      <colorScale>
        <cfvo type="min"/>
        <cfvo type="percentile" val="50"/>
        <cfvo type="max"/>
        <color rgb="FFF8696B"/>
        <color rgb="FFFFEB84"/>
        <color rgb="FF63BE7B"/>
      </colorScale>
    </cfRule>
    <cfRule type="dataBar" priority="7">
      <dataBar>
        <cfvo type="min"/>
        <cfvo type="max"/>
        <color rgb="FF638EC6"/>
      </dataBar>
      <extLst>
        <ext xmlns:x14="http://schemas.microsoft.com/office/spreadsheetml/2009/9/main" uri="{B025F937-C7B1-47D3-B67F-A62EFF666E3E}">
          <x14:id>{0C15BA42-F590-44DA-8941-4A568E03128C}</x14:id>
        </ext>
      </extLst>
    </cfRule>
  </conditionalFormatting>
  <conditionalFormatting sqref="C1465">
    <cfRule type="colorScale" priority="2">
      <colorScale>
        <cfvo type="min"/>
        <cfvo type="percentile" val="50"/>
        <cfvo type="max"/>
        <color rgb="FFF8696B"/>
        <color rgb="FFFFEB84"/>
        <color rgb="FF63BE7B"/>
      </colorScale>
    </cfRule>
    <cfRule type="dataBar" priority="3">
      <dataBar>
        <cfvo type="min"/>
        <cfvo type="max"/>
        <color rgb="FF638EC6"/>
      </dataBar>
      <extLst>
        <ext xmlns:x14="http://schemas.microsoft.com/office/spreadsheetml/2009/9/main" uri="{B025F937-C7B1-47D3-B67F-A62EFF666E3E}">
          <x14:id>{29C11A06-B015-495A-AF12-277C3C9A2864}</x14:id>
        </ext>
      </extLst>
    </cfRule>
  </conditionalFormatting>
  <conditionalFormatting sqref="C1466">
    <cfRule type="colorScale" priority="10">
      <colorScale>
        <cfvo type="min"/>
        <cfvo type="percentile" val="50"/>
        <cfvo type="max"/>
        <color rgb="FFF8696B"/>
        <color rgb="FFFFEB84"/>
        <color rgb="FF63BE7B"/>
      </colorScale>
    </cfRule>
    <cfRule type="dataBar" priority="11">
      <dataBar>
        <cfvo type="min"/>
        <cfvo type="max"/>
        <color rgb="FF638EC6"/>
      </dataBar>
      <extLst>
        <ext xmlns:x14="http://schemas.microsoft.com/office/spreadsheetml/2009/9/main" uri="{B025F937-C7B1-47D3-B67F-A62EFF666E3E}">
          <x14:id>{268A70FE-8C57-4FC1-93A2-820F9CADDD19}</x14:id>
        </ext>
      </extLst>
    </cfRule>
  </conditionalFormatting>
  <conditionalFormatting sqref="C1467:C1048576 C1104:C1463 C1:C12 C14">
    <cfRule type="colorScale" priority="19">
      <colorScale>
        <cfvo type="min"/>
        <cfvo type="percentile" val="50"/>
        <cfvo type="max"/>
        <color rgb="FFF8696B"/>
        <color rgb="FFFFEB84"/>
        <color rgb="FF63BE7B"/>
      </colorScale>
    </cfRule>
    <cfRule type="dataBar" priority="20">
      <dataBar>
        <cfvo type="min"/>
        <cfvo type="max"/>
        <color rgb="FF638EC6"/>
      </dataBar>
      <extLst>
        <ext xmlns:x14="http://schemas.microsoft.com/office/spreadsheetml/2009/9/main" uri="{B025F937-C7B1-47D3-B67F-A62EFF666E3E}">
          <x14:id>{6796B59D-E003-4939-B8E9-D6B9CF8CBBD1}</x14:id>
        </ext>
      </extLst>
    </cfRule>
  </conditionalFormatting>
  <dataValidations count="1">
    <dataValidation errorStyle="warning" allowBlank="1" showInputMessage="1" showErrorMessage="1" errorTitle="Cảnh báo" error="Công tính lương &gt; Công chế độ" sqref="L1034" xr:uid="{00000000-0002-0000-0700-000000000000}"/>
  </dataValidations>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47183F0D-8175-42F3-BFF2-18E7934ED892}">
            <x14:dataBar minLength="0" maxLength="100" border="1" negativeBarBorderColorSameAsPositive="0">
              <x14:cfvo type="autoMin"/>
              <x14:cfvo type="autoMax"/>
              <x14:borderColor rgb="FF638EC6"/>
              <x14:negativeFillColor rgb="FFFF0000"/>
              <x14:negativeBorderColor rgb="FFFF0000"/>
              <x14:axisColor rgb="FF000000"/>
            </x14:dataBar>
          </x14:cfRule>
          <xm:sqref>C13</xm:sqref>
        </x14:conditionalFormatting>
        <x14:conditionalFormatting xmlns:xm="http://schemas.microsoft.com/office/excel/2006/main">
          <x14:cfRule type="dataBar" id="{0C15BA42-F590-44DA-8941-4A568E03128C}">
            <x14:dataBar minLength="0" maxLength="100" border="1" negativeBarBorderColorSameAsPositive="0">
              <x14:cfvo type="autoMin"/>
              <x14:cfvo type="autoMax"/>
              <x14:borderColor rgb="FF638EC6"/>
              <x14:negativeFillColor rgb="FFFF0000"/>
              <x14:negativeBorderColor rgb="FFFF0000"/>
              <x14:axisColor rgb="FF000000"/>
            </x14:dataBar>
          </x14:cfRule>
          <xm:sqref>C1464</xm:sqref>
        </x14:conditionalFormatting>
        <x14:conditionalFormatting xmlns:xm="http://schemas.microsoft.com/office/excel/2006/main">
          <x14:cfRule type="dataBar" id="{29C11A06-B015-495A-AF12-277C3C9A2864}">
            <x14:dataBar minLength="0" maxLength="100" border="1" negativeBarBorderColorSameAsPositive="0">
              <x14:cfvo type="autoMin"/>
              <x14:cfvo type="autoMax"/>
              <x14:borderColor rgb="FF638EC6"/>
              <x14:negativeFillColor rgb="FFFF0000"/>
              <x14:negativeBorderColor rgb="FFFF0000"/>
              <x14:axisColor rgb="FF000000"/>
            </x14:dataBar>
          </x14:cfRule>
          <xm:sqref>C1465</xm:sqref>
        </x14:conditionalFormatting>
        <x14:conditionalFormatting xmlns:xm="http://schemas.microsoft.com/office/excel/2006/main">
          <x14:cfRule type="dataBar" id="{268A70FE-8C57-4FC1-93A2-820F9CADDD19}">
            <x14:dataBar minLength="0" maxLength="100" border="1" negativeBarBorderColorSameAsPositive="0">
              <x14:cfvo type="autoMin"/>
              <x14:cfvo type="autoMax"/>
              <x14:borderColor rgb="FF638EC6"/>
              <x14:negativeFillColor rgb="FFFF0000"/>
              <x14:negativeBorderColor rgb="FFFF0000"/>
              <x14:axisColor rgb="FF000000"/>
            </x14:dataBar>
          </x14:cfRule>
          <xm:sqref>C1466</xm:sqref>
        </x14:conditionalFormatting>
        <x14:conditionalFormatting xmlns:xm="http://schemas.microsoft.com/office/excel/2006/main">
          <x14:cfRule type="dataBar" id="{6796B59D-E003-4939-B8E9-D6B9CF8CBBD1}">
            <x14:dataBar minLength="0" maxLength="100" border="1" negativeBarBorderColorSameAsPositive="0">
              <x14:cfvo type="autoMin"/>
              <x14:cfvo type="autoMax"/>
              <x14:borderColor rgb="FF638EC6"/>
              <x14:negativeFillColor rgb="FFFF0000"/>
              <x14:negativeBorderColor rgb="FFFF0000"/>
              <x14:axisColor rgb="FF000000"/>
            </x14:dataBar>
          </x14:cfRule>
          <xm:sqref>C1467:C1048576 C1104:C1463 C1:C12 C14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499984740745262"/>
  </sheetPr>
  <dimension ref="A1:AN1179"/>
  <sheetViews>
    <sheetView topLeftCell="C1" workbookViewId="0">
      <selection activeCell="D1" sqref="D1"/>
    </sheetView>
  </sheetViews>
  <sheetFormatPr defaultRowHeight="12.75"/>
  <cols>
    <col min="1" max="1" width="29.5703125" style="97" customWidth="1"/>
    <col min="2" max="2" width="31.28515625" style="97" customWidth="1"/>
    <col min="3" max="3" width="11.42578125" style="97" customWidth="1"/>
    <col min="4" max="4" width="22.140625" style="97" customWidth="1"/>
    <col min="5" max="35" width="6.5703125" style="97" customWidth="1"/>
    <col min="36" max="36" width="10" style="97" customWidth="1"/>
    <col min="37" max="39" width="10" style="97" hidden="1" customWidth="1"/>
    <col min="40" max="40" width="10" style="97" customWidth="1"/>
    <col min="41" max="16384" width="9.140625" style="97"/>
  </cols>
  <sheetData>
    <row r="1" spans="1:40">
      <c r="D1" s="640" t="s">
        <v>3435</v>
      </c>
    </row>
    <row r="2" spans="1:40">
      <c r="D2" s="639"/>
    </row>
    <row r="3" spans="1:40" ht="51">
      <c r="A3" s="596" t="s">
        <v>3268</v>
      </c>
      <c r="B3" s="596" t="s">
        <v>3269</v>
      </c>
      <c r="C3" s="596" t="s">
        <v>3270</v>
      </c>
      <c r="D3" s="596" t="s">
        <v>3271</v>
      </c>
      <c r="E3" s="597" t="s">
        <v>3272</v>
      </c>
      <c r="F3" s="597" t="s">
        <v>3273</v>
      </c>
      <c r="G3" s="597" t="s">
        <v>3274</v>
      </c>
      <c r="H3" s="597" t="s">
        <v>3275</v>
      </c>
      <c r="I3" s="597" t="s">
        <v>3276</v>
      </c>
      <c r="J3" s="597" t="s">
        <v>3277</v>
      </c>
      <c r="K3" s="597" t="s">
        <v>3278</v>
      </c>
      <c r="L3" s="597" t="s">
        <v>3279</v>
      </c>
      <c r="M3" s="597" t="s">
        <v>3280</v>
      </c>
      <c r="N3" s="597" t="s">
        <v>3281</v>
      </c>
      <c r="O3" s="597" t="s">
        <v>3282</v>
      </c>
      <c r="P3" s="597" t="s">
        <v>3283</v>
      </c>
      <c r="Q3" s="597" t="s">
        <v>3284</v>
      </c>
      <c r="R3" s="597" t="s">
        <v>3285</v>
      </c>
      <c r="S3" s="597" t="s">
        <v>3286</v>
      </c>
      <c r="T3" s="597" t="s">
        <v>3287</v>
      </c>
      <c r="U3" s="597" t="s">
        <v>3288</v>
      </c>
      <c r="V3" s="597" t="s">
        <v>3289</v>
      </c>
      <c r="W3" s="597" t="s">
        <v>3290</v>
      </c>
      <c r="X3" s="597" t="s">
        <v>3291</v>
      </c>
      <c r="Y3" s="597" t="s">
        <v>3292</v>
      </c>
      <c r="Z3" s="597" t="s">
        <v>3293</v>
      </c>
      <c r="AA3" s="597" t="s">
        <v>3294</v>
      </c>
      <c r="AB3" s="597" t="s">
        <v>3295</v>
      </c>
      <c r="AC3" s="597" t="s">
        <v>3296</v>
      </c>
      <c r="AD3" s="597" t="s">
        <v>3297</v>
      </c>
      <c r="AE3" s="597" t="s">
        <v>3298</v>
      </c>
      <c r="AF3" s="597" t="s">
        <v>3299</v>
      </c>
      <c r="AG3" s="597" t="s">
        <v>3300</v>
      </c>
      <c r="AH3" s="597" t="s">
        <v>3301</v>
      </c>
      <c r="AI3" s="597" t="s">
        <v>3302</v>
      </c>
      <c r="AJ3" s="596" t="s">
        <v>3303</v>
      </c>
      <c r="AK3" s="596" t="s">
        <v>3304</v>
      </c>
      <c r="AL3" s="596" t="s">
        <v>3305</v>
      </c>
      <c r="AM3" s="596" t="s">
        <v>3306</v>
      </c>
      <c r="AN3" s="596" t="s">
        <v>303</v>
      </c>
    </row>
    <row r="4" spans="1:40" ht="16.5" customHeight="1">
      <c r="A4" s="598" t="s">
        <v>3307</v>
      </c>
      <c r="B4" s="598" t="s">
        <v>3308</v>
      </c>
      <c r="C4" s="598" t="s">
        <v>723</v>
      </c>
      <c r="D4" s="598" t="s">
        <v>724</v>
      </c>
      <c r="E4" s="598" t="s">
        <v>321</v>
      </c>
      <c r="F4" s="598" t="s">
        <v>3309</v>
      </c>
      <c r="G4" s="598" t="s">
        <v>3309</v>
      </c>
      <c r="H4" s="598" t="s">
        <v>3309</v>
      </c>
      <c r="I4" s="598" t="s">
        <v>3309</v>
      </c>
      <c r="J4" s="598" t="s">
        <v>3309</v>
      </c>
      <c r="K4" s="598" t="s">
        <v>321</v>
      </c>
      <c r="L4" s="598" t="s">
        <v>321</v>
      </c>
      <c r="M4" s="598" t="s">
        <v>3309</v>
      </c>
      <c r="N4" s="598" t="s">
        <v>3309</v>
      </c>
      <c r="O4" s="598" t="s">
        <v>3309</v>
      </c>
      <c r="P4" s="598" t="s">
        <v>3309</v>
      </c>
      <c r="Q4" s="598" t="s">
        <v>3309</v>
      </c>
      <c r="R4" s="598" t="s">
        <v>321</v>
      </c>
      <c r="S4" s="598" t="s">
        <v>321</v>
      </c>
      <c r="T4" s="598" t="s">
        <v>3309</v>
      </c>
      <c r="U4" s="598" t="s">
        <v>3309</v>
      </c>
      <c r="V4" s="598" t="s">
        <v>3309</v>
      </c>
      <c r="W4" s="598" t="s">
        <v>3309</v>
      </c>
      <c r="X4" s="598" t="s">
        <v>3309</v>
      </c>
      <c r="Y4" s="598" t="s">
        <v>321</v>
      </c>
      <c r="Z4" s="598" t="s">
        <v>321</v>
      </c>
      <c r="AA4" s="598" t="s">
        <v>3309</v>
      </c>
      <c r="AB4" s="598" t="s">
        <v>3309</v>
      </c>
      <c r="AC4" s="598" t="s">
        <v>3309</v>
      </c>
      <c r="AD4" s="598" t="s">
        <v>3309</v>
      </c>
      <c r="AE4" s="598" t="s">
        <v>3309</v>
      </c>
      <c r="AF4" s="598" t="s">
        <v>321</v>
      </c>
      <c r="AG4" s="598" t="s">
        <v>321</v>
      </c>
      <c r="AH4" s="598" t="s">
        <v>3309</v>
      </c>
      <c r="AI4" s="598" t="s">
        <v>321</v>
      </c>
      <c r="AJ4" s="599">
        <v>21</v>
      </c>
      <c r="AK4" s="600">
        <v>21</v>
      </c>
      <c r="AL4" s="601">
        <v>0</v>
      </c>
      <c r="AM4" s="601">
        <v>0</v>
      </c>
      <c r="AN4" s="599">
        <v>21</v>
      </c>
    </row>
    <row r="5" spans="1:40" ht="16.5" customHeight="1">
      <c r="A5" s="598" t="s">
        <v>3307</v>
      </c>
      <c r="B5" s="598" t="s">
        <v>3308</v>
      </c>
      <c r="C5" s="598" t="s">
        <v>593</v>
      </c>
      <c r="D5" s="598" t="s">
        <v>594</v>
      </c>
      <c r="E5" s="598" t="s">
        <v>321</v>
      </c>
      <c r="F5" s="598" t="s">
        <v>3309</v>
      </c>
      <c r="G5" s="598" t="s">
        <v>3309</v>
      </c>
      <c r="H5" s="598" t="s">
        <v>3309</v>
      </c>
      <c r="I5" s="598" t="s">
        <v>3309</v>
      </c>
      <c r="J5" s="598" t="s">
        <v>3309</v>
      </c>
      <c r="K5" s="598" t="s">
        <v>321</v>
      </c>
      <c r="L5" s="598" t="s">
        <v>321</v>
      </c>
      <c r="M5" s="598" t="s">
        <v>3309</v>
      </c>
      <c r="N5" s="598" t="s">
        <v>3309</v>
      </c>
      <c r="O5" s="598" t="s">
        <v>3309</v>
      </c>
      <c r="P5" s="598" t="s">
        <v>3309</v>
      </c>
      <c r="Q5" s="598" t="s">
        <v>3309</v>
      </c>
      <c r="R5" s="598" t="s">
        <v>321</v>
      </c>
      <c r="S5" s="598" t="s">
        <v>321</v>
      </c>
      <c r="T5" s="598" t="s">
        <v>3309</v>
      </c>
      <c r="U5" s="598" t="s">
        <v>3309</v>
      </c>
      <c r="V5" s="598" t="s">
        <v>3309</v>
      </c>
      <c r="W5" s="598" t="s">
        <v>3309</v>
      </c>
      <c r="X5" s="598" t="s">
        <v>3309</v>
      </c>
      <c r="Y5" s="598" t="s">
        <v>321</v>
      </c>
      <c r="Z5" s="598" t="s">
        <v>321</v>
      </c>
      <c r="AA5" s="598" t="s">
        <v>3309</v>
      </c>
      <c r="AB5" s="598" t="s">
        <v>3309</v>
      </c>
      <c r="AC5" s="598" t="s">
        <v>3309</v>
      </c>
      <c r="AD5" s="598" t="s">
        <v>3309</v>
      </c>
      <c r="AE5" s="598" t="s">
        <v>3309</v>
      </c>
      <c r="AF5" s="598" t="s">
        <v>321</v>
      </c>
      <c r="AG5" s="598" t="s">
        <v>321</v>
      </c>
      <c r="AH5" s="598" t="s">
        <v>3309</v>
      </c>
      <c r="AI5" s="598" t="s">
        <v>321</v>
      </c>
      <c r="AJ5" s="599">
        <v>21</v>
      </c>
      <c r="AK5" s="600">
        <v>21</v>
      </c>
      <c r="AL5" s="601">
        <v>0</v>
      </c>
      <c r="AM5" s="601">
        <v>0</v>
      </c>
      <c r="AN5" s="599">
        <v>21</v>
      </c>
    </row>
    <row r="6" spans="1:40" ht="16.5" customHeight="1">
      <c r="A6" s="598" t="s">
        <v>3307</v>
      </c>
      <c r="B6" s="598" t="s">
        <v>3310</v>
      </c>
      <c r="C6" s="598" t="s">
        <v>1399</v>
      </c>
      <c r="D6" s="598" t="s">
        <v>1400</v>
      </c>
      <c r="E6" s="598" t="s">
        <v>321</v>
      </c>
      <c r="F6" s="598" t="s">
        <v>3309</v>
      </c>
      <c r="G6" s="598" t="s">
        <v>3309</v>
      </c>
      <c r="H6" s="598" t="s">
        <v>3309</v>
      </c>
      <c r="I6" s="598" t="s">
        <v>3309</v>
      </c>
      <c r="J6" s="598" t="s">
        <v>3309</v>
      </c>
      <c r="K6" s="598" t="s">
        <v>321</v>
      </c>
      <c r="L6" s="598" t="s">
        <v>321</v>
      </c>
      <c r="M6" s="598" t="s">
        <v>3309</v>
      </c>
      <c r="N6" s="598" t="s">
        <v>3309</v>
      </c>
      <c r="O6" s="598" t="s">
        <v>3309</v>
      </c>
      <c r="P6" s="598" t="s">
        <v>3309</v>
      </c>
      <c r="Q6" s="598" t="s">
        <v>3309</v>
      </c>
      <c r="R6" s="598" t="s">
        <v>321</v>
      </c>
      <c r="S6" s="598" t="s">
        <v>321</v>
      </c>
      <c r="T6" s="598" t="s">
        <v>3309</v>
      </c>
      <c r="U6" s="598" t="s">
        <v>3309</v>
      </c>
      <c r="V6" s="598" t="s">
        <v>3309</v>
      </c>
      <c r="W6" s="598" t="s">
        <v>3309</v>
      </c>
      <c r="X6" s="598" t="s">
        <v>3309</v>
      </c>
      <c r="Y6" s="598" t="s">
        <v>321</v>
      </c>
      <c r="Z6" s="598" t="s">
        <v>321</v>
      </c>
      <c r="AA6" s="598" t="s">
        <v>3309</v>
      </c>
      <c r="AB6" s="598" t="s">
        <v>3309</v>
      </c>
      <c r="AC6" s="598" t="s">
        <v>3309</v>
      </c>
      <c r="AD6" s="598" t="s">
        <v>3309</v>
      </c>
      <c r="AE6" s="598" t="s">
        <v>3309</v>
      </c>
      <c r="AF6" s="598" t="s">
        <v>321</v>
      </c>
      <c r="AG6" s="598" t="s">
        <v>321</v>
      </c>
      <c r="AH6" s="598" t="s">
        <v>3309</v>
      </c>
      <c r="AI6" s="598" t="s">
        <v>321</v>
      </c>
      <c r="AJ6" s="599">
        <v>21</v>
      </c>
      <c r="AK6" s="600">
        <v>21</v>
      </c>
      <c r="AL6" s="601">
        <v>0</v>
      </c>
      <c r="AM6" s="601">
        <v>0</v>
      </c>
      <c r="AN6" s="599">
        <v>21</v>
      </c>
    </row>
    <row r="7" spans="1:40" ht="16.5" customHeight="1">
      <c r="A7" s="598" t="s">
        <v>3307</v>
      </c>
      <c r="B7" s="598" t="s">
        <v>3310</v>
      </c>
      <c r="C7" s="598" t="s">
        <v>665</v>
      </c>
      <c r="D7" s="598" t="s">
        <v>666</v>
      </c>
      <c r="E7" s="598" t="s">
        <v>321</v>
      </c>
      <c r="F7" s="598" t="s">
        <v>3309</v>
      </c>
      <c r="G7" s="598" t="s">
        <v>3309</v>
      </c>
      <c r="H7" s="598" t="s">
        <v>3309</v>
      </c>
      <c r="I7" s="598" t="s">
        <v>3309</v>
      </c>
      <c r="J7" s="598" t="s">
        <v>3309</v>
      </c>
      <c r="K7" s="598" t="s">
        <v>321</v>
      </c>
      <c r="L7" s="598" t="s">
        <v>321</v>
      </c>
      <c r="M7" s="598" t="s">
        <v>3309</v>
      </c>
      <c r="N7" s="598" t="s">
        <v>3309</v>
      </c>
      <c r="O7" s="598" t="s">
        <v>3309</v>
      </c>
      <c r="P7" s="598" t="s">
        <v>3309</v>
      </c>
      <c r="Q7" s="598" t="s">
        <v>3309</v>
      </c>
      <c r="R7" s="598" t="s">
        <v>321</v>
      </c>
      <c r="S7" s="598" t="s">
        <v>321</v>
      </c>
      <c r="T7" s="598" t="s">
        <v>3309</v>
      </c>
      <c r="U7" s="598" t="s">
        <v>3309</v>
      </c>
      <c r="V7" s="598" t="s">
        <v>3309</v>
      </c>
      <c r="W7" s="598" t="s">
        <v>3309</v>
      </c>
      <c r="X7" s="598" t="s">
        <v>3309</v>
      </c>
      <c r="Y7" s="598" t="s">
        <v>321</v>
      </c>
      <c r="Z7" s="598" t="s">
        <v>321</v>
      </c>
      <c r="AA7" s="598" t="s">
        <v>3309</v>
      </c>
      <c r="AB7" s="598" t="s">
        <v>3309</v>
      </c>
      <c r="AC7" s="598" t="s">
        <v>3309</v>
      </c>
      <c r="AD7" s="598" t="s">
        <v>3309</v>
      </c>
      <c r="AE7" s="598" t="s">
        <v>3309</v>
      </c>
      <c r="AF7" s="598" t="s">
        <v>321</v>
      </c>
      <c r="AG7" s="598" t="s">
        <v>321</v>
      </c>
      <c r="AH7" s="598" t="s">
        <v>3309</v>
      </c>
      <c r="AI7" s="598" t="s">
        <v>321</v>
      </c>
      <c r="AJ7" s="599">
        <v>21</v>
      </c>
      <c r="AK7" s="600">
        <v>21</v>
      </c>
      <c r="AL7" s="601">
        <v>0</v>
      </c>
      <c r="AM7" s="601">
        <v>0</v>
      </c>
      <c r="AN7" s="599">
        <v>21</v>
      </c>
    </row>
    <row r="8" spans="1:40" ht="16.5" customHeight="1">
      <c r="A8" s="598" t="s">
        <v>3307</v>
      </c>
      <c r="B8" s="598" t="s">
        <v>3310</v>
      </c>
      <c r="C8" s="598" t="s">
        <v>398</v>
      </c>
      <c r="D8" s="598" t="s">
        <v>399</v>
      </c>
      <c r="E8" s="598" t="s">
        <v>321</v>
      </c>
      <c r="F8" s="598" t="s">
        <v>3309</v>
      </c>
      <c r="G8" s="598" t="s">
        <v>3309</v>
      </c>
      <c r="H8" s="598" t="s">
        <v>3309</v>
      </c>
      <c r="I8" s="598" t="s">
        <v>3309</v>
      </c>
      <c r="J8" s="598" t="s">
        <v>3309</v>
      </c>
      <c r="K8" s="598" t="s">
        <v>321</v>
      </c>
      <c r="L8" s="598" t="s">
        <v>321</v>
      </c>
      <c r="M8" s="598" t="s">
        <v>3309</v>
      </c>
      <c r="N8" s="598" t="s">
        <v>3309</v>
      </c>
      <c r="O8" s="598" t="s">
        <v>3309</v>
      </c>
      <c r="P8" s="598" t="s">
        <v>3309</v>
      </c>
      <c r="Q8" s="598" t="s">
        <v>3309</v>
      </c>
      <c r="R8" s="598" t="s">
        <v>321</v>
      </c>
      <c r="S8" s="598" t="s">
        <v>321</v>
      </c>
      <c r="T8" s="598" t="s">
        <v>3309</v>
      </c>
      <c r="U8" s="598" t="s">
        <v>3309</v>
      </c>
      <c r="V8" s="598" t="s">
        <v>3309</v>
      </c>
      <c r="W8" s="598" t="s">
        <v>3309</v>
      </c>
      <c r="X8" s="598" t="s">
        <v>3309</v>
      </c>
      <c r="Y8" s="598" t="s">
        <v>321</v>
      </c>
      <c r="Z8" s="598" t="s">
        <v>321</v>
      </c>
      <c r="AA8" s="598" t="s">
        <v>3309</v>
      </c>
      <c r="AB8" s="598" t="s">
        <v>3309</v>
      </c>
      <c r="AC8" s="598" t="s">
        <v>3309</v>
      </c>
      <c r="AD8" s="598" t="s">
        <v>3309</v>
      </c>
      <c r="AE8" s="598" t="s">
        <v>3309</v>
      </c>
      <c r="AF8" s="598" t="s">
        <v>321</v>
      </c>
      <c r="AG8" s="598" t="s">
        <v>321</v>
      </c>
      <c r="AH8" s="598" t="s">
        <v>3309</v>
      </c>
      <c r="AI8" s="598" t="s">
        <v>321</v>
      </c>
      <c r="AJ8" s="599">
        <v>21</v>
      </c>
      <c r="AK8" s="600">
        <v>21</v>
      </c>
      <c r="AL8" s="601">
        <v>0</v>
      </c>
      <c r="AM8" s="601">
        <v>0</v>
      </c>
      <c r="AN8" s="599">
        <v>21</v>
      </c>
    </row>
    <row r="9" spans="1:40" ht="16.5" customHeight="1">
      <c r="A9" s="598" t="s">
        <v>3307</v>
      </c>
      <c r="B9" s="598" t="s">
        <v>3311</v>
      </c>
      <c r="C9" s="598" t="s">
        <v>2022</v>
      </c>
      <c r="D9" s="598" t="s">
        <v>2023</v>
      </c>
      <c r="E9" s="598" t="s">
        <v>321</v>
      </c>
      <c r="F9" s="598" t="s">
        <v>3309</v>
      </c>
      <c r="G9" s="598" t="s">
        <v>3312</v>
      </c>
      <c r="H9" s="598" t="s">
        <v>3309</v>
      </c>
      <c r="I9" s="598" t="s">
        <v>3309</v>
      </c>
      <c r="J9" s="598" t="s">
        <v>3309</v>
      </c>
      <c r="K9" s="598" t="s">
        <v>321</v>
      </c>
      <c r="L9" s="598" t="s">
        <v>321</v>
      </c>
      <c r="M9" s="598" t="s">
        <v>3309</v>
      </c>
      <c r="N9" s="598" t="s">
        <v>3309</v>
      </c>
      <c r="O9" s="598" t="s">
        <v>3309</v>
      </c>
      <c r="P9" s="598" t="s">
        <v>3309</v>
      </c>
      <c r="Q9" s="598" t="s">
        <v>3309</v>
      </c>
      <c r="R9" s="598" t="s">
        <v>321</v>
      </c>
      <c r="S9" s="598" t="s">
        <v>321</v>
      </c>
      <c r="T9" s="598" t="s">
        <v>3309</v>
      </c>
      <c r="U9" s="598" t="s">
        <v>3309</v>
      </c>
      <c r="V9" s="598" t="s">
        <v>3309</v>
      </c>
      <c r="W9" s="598" t="s">
        <v>3309</v>
      </c>
      <c r="X9" s="598" t="s">
        <v>3309</v>
      </c>
      <c r="Y9" s="598" t="s">
        <v>321</v>
      </c>
      <c r="Z9" s="598" t="s">
        <v>321</v>
      </c>
      <c r="AA9" s="598" t="s">
        <v>3309</v>
      </c>
      <c r="AB9" s="598" t="s">
        <v>3309</v>
      </c>
      <c r="AC9" s="598" t="s">
        <v>3309</v>
      </c>
      <c r="AD9" s="598" t="s">
        <v>3309</v>
      </c>
      <c r="AE9" s="598" t="s">
        <v>3309</v>
      </c>
      <c r="AF9" s="598" t="s">
        <v>321</v>
      </c>
      <c r="AG9" s="598" t="s">
        <v>321</v>
      </c>
      <c r="AH9" s="598" t="s">
        <v>3309</v>
      </c>
      <c r="AI9" s="598" t="s">
        <v>321</v>
      </c>
      <c r="AJ9" s="599">
        <v>21</v>
      </c>
      <c r="AK9" s="600">
        <v>20</v>
      </c>
      <c r="AL9" s="602">
        <v>1</v>
      </c>
      <c r="AM9" s="601">
        <v>0</v>
      </c>
      <c r="AN9" s="599">
        <v>21</v>
      </c>
    </row>
    <row r="10" spans="1:40" ht="16.5" customHeight="1">
      <c r="A10" s="598" t="s">
        <v>3307</v>
      </c>
      <c r="B10" s="598" t="s">
        <v>3311</v>
      </c>
      <c r="C10" s="598" t="s">
        <v>1500</v>
      </c>
      <c r="D10" s="598" t="s">
        <v>1501</v>
      </c>
      <c r="E10" s="598" t="s">
        <v>321</v>
      </c>
      <c r="F10" s="598" t="s">
        <v>3309</v>
      </c>
      <c r="G10" s="598" t="s">
        <v>3309</v>
      </c>
      <c r="H10" s="598" t="s">
        <v>3309</v>
      </c>
      <c r="I10" s="598" t="s">
        <v>3309</v>
      </c>
      <c r="J10" s="598" t="s">
        <v>3309</v>
      </c>
      <c r="K10" s="598" t="s">
        <v>321</v>
      </c>
      <c r="L10" s="598" t="s">
        <v>321</v>
      </c>
      <c r="M10" s="598" t="s">
        <v>3309</v>
      </c>
      <c r="N10" s="598" t="s">
        <v>3309</v>
      </c>
      <c r="O10" s="598" t="s">
        <v>3313</v>
      </c>
      <c r="P10" s="598" t="s">
        <v>3313</v>
      </c>
      <c r="Q10" s="598" t="s">
        <v>3313</v>
      </c>
      <c r="R10" s="598" t="s">
        <v>321</v>
      </c>
      <c r="S10" s="598" t="s">
        <v>321</v>
      </c>
      <c r="T10" s="598" t="s">
        <v>3309</v>
      </c>
      <c r="U10" s="598" t="s">
        <v>3309</v>
      </c>
      <c r="V10" s="598" t="s">
        <v>3309</v>
      </c>
      <c r="W10" s="598" t="s">
        <v>3309</v>
      </c>
      <c r="X10" s="598" t="s">
        <v>3309</v>
      </c>
      <c r="Y10" s="598" t="s">
        <v>321</v>
      </c>
      <c r="Z10" s="598" t="s">
        <v>321</v>
      </c>
      <c r="AA10" s="598" t="s">
        <v>3309</v>
      </c>
      <c r="AB10" s="598" t="s">
        <v>3309</v>
      </c>
      <c r="AC10" s="598" t="s">
        <v>3309</v>
      </c>
      <c r="AD10" s="598" t="s">
        <v>3309</v>
      </c>
      <c r="AE10" s="598" t="s">
        <v>3309</v>
      </c>
      <c r="AF10" s="598" t="s">
        <v>321</v>
      </c>
      <c r="AG10" s="598" t="s">
        <v>321</v>
      </c>
      <c r="AH10" s="598" t="s">
        <v>3309</v>
      </c>
      <c r="AI10" s="598" t="s">
        <v>321</v>
      </c>
      <c r="AJ10" s="599">
        <v>21</v>
      </c>
      <c r="AK10" s="600">
        <v>21</v>
      </c>
      <c r="AL10" s="601">
        <v>0</v>
      </c>
      <c r="AM10" s="601">
        <v>0</v>
      </c>
      <c r="AN10" s="599">
        <v>21</v>
      </c>
    </row>
    <row r="11" spans="1:40" ht="16.5" customHeight="1">
      <c r="A11" s="598" t="s">
        <v>3307</v>
      </c>
      <c r="B11" s="598" t="s">
        <v>3311</v>
      </c>
      <c r="C11" s="598" t="s">
        <v>1117</v>
      </c>
      <c r="D11" s="598" t="s">
        <v>1118</v>
      </c>
      <c r="E11" s="598" t="s">
        <v>321</v>
      </c>
      <c r="F11" s="598" t="s">
        <v>3309</v>
      </c>
      <c r="G11" s="598" t="s">
        <v>3309</v>
      </c>
      <c r="H11" s="598" t="s">
        <v>3309</v>
      </c>
      <c r="I11" s="598" t="s">
        <v>3309</v>
      </c>
      <c r="J11" s="598" t="s">
        <v>3309</v>
      </c>
      <c r="K11" s="598" t="s">
        <v>321</v>
      </c>
      <c r="L11" s="598" t="s">
        <v>321</v>
      </c>
      <c r="M11" s="598" t="s">
        <v>3309</v>
      </c>
      <c r="N11" s="598" t="s">
        <v>3309</v>
      </c>
      <c r="O11" s="598" t="s">
        <v>3309</v>
      </c>
      <c r="P11" s="598" t="s">
        <v>3309</v>
      </c>
      <c r="Q11" s="598" t="s">
        <v>3309</v>
      </c>
      <c r="R11" s="598" t="s">
        <v>321</v>
      </c>
      <c r="S11" s="598" t="s">
        <v>321</v>
      </c>
      <c r="T11" s="598" t="s">
        <v>3309</v>
      </c>
      <c r="U11" s="598" t="s">
        <v>3309</v>
      </c>
      <c r="V11" s="598" t="s">
        <v>3309</v>
      </c>
      <c r="W11" s="598" t="s">
        <v>3309</v>
      </c>
      <c r="X11" s="598" t="s">
        <v>3309</v>
      </c>
      <c r="Y11" s="598" t="s">
        <v>321</v>
      </c>
      <c r="Z11" s="598" t="s">
        <v>321</v>
      </c>
      <c r="AA11" s="598" t="s">
        <v>3309</v>
      </c>
      <c r="AB11" s="598" t="s">
        <v>3309</v>
      </c>
      <c r="AC11" s="598" t="s">
        <v>3309</v>
      </c>
      <c r="AD11" s="598" t="s">
        <v>3309</v>
      </c>
      <c r="AE11" s="598" t="s">
        <v>3309</v>
      </c>
      <c r="AF11" s="598" t="s">
        <v>321</v>
      </c>
      <c r="AG11" s="598" t="s">
        <v>321</v>
      </c>
      <c r="AH11" s="598" t="s">
        <v>3309</v>
      </c>
      <c r="AI11" s="598" t="s">
        <v>321</v>
      </c>
      <c r="AJ11" s="599">
        <v>21</v>
      </c>
      <c r="AK11" s="600">
        <v>21</v>
      </c>
      <c r="AL11" s="601">
        <v>0</v>
      </c>
      <c r="AM11" s="601">
        <v>0</v>
      </c>
      <c r="AN11" s="599">
        <v>21</v>
      </c>
    </row>
    <row r="12" spans="1:40" ht="16.5" customHeight="1">
      <c r="A12" s="598" t="s">
        <v>3307</v>
      </c>
      <c r="B12" s="598" t="s">
        <v>3311</v>
      </c>
      <c r="C12" s="598" t="s">
        <v>2249</v>
      </c>
      <c r="D12" s="598" t="s">
        <v>2250</v>
      </c>
      <c r="E12" s="598" t="s">
        <v>321</v>
      </c>
      <c r="F12" s="598" t="s">
        <v>3309</v>
      </c>
      <c r="G12" s="598" t="s">
        <v>3309</v>
      </c>
      <c r="H12" s="598" t="s">
        <v>3309</v>
      </c>
      <c r="I12" s="598" t="s">
        <v>3309</v>
      </c>
      <c r="J12" s="598" t="s">
        <v>3309</v>
      </c>
      <c r="K12" s="598" t="s">
        <v>321</v>
      </c>
      <c r="L12" s="598" t="s">
        <v>321</v>
      </c>
      <c r="M12" s="598" t="s">
        <v>3309</v>
      </c>
      <c r="N12" s="598" t="s">
        <v>3309</v>
      </c>
      <c r="O12" s="598" t="s">
        <v>3309</v>
      </c>
      <c r="P12" s="598" t="s">
        <v>3309</v>
      </c>
      <c r="Q12" s="598" t="s">
        <v>3309</v>
      </c>
      <c r="R12" s="598" t="s">
        <v>321</v>
      </c>
      <c r="S12" s="598" t="s">
        <v>321</v>
      </c>
      <c r="T12" s="598" t="s">
        <v>3309</v>
      </c>
      <c r="U12" s="598" t="s">
        <v>3309</v>
      </c>
      <c r="V12" s="598" t="s">
        <v>3309</v>
      </c>
      <c r="W12" s="598" t="s">
        <v>3309</v>
      </c>
      <c r="X12" s="598" t="s">
        <v>3309</v>
      </c>
      <c r="Y12" s="598" t="s">
        <v>321</v>
      </c>
      <c r="Z12" s="598" t="s">
        <v>321</v>
      </c>
      <c r="AA12" s="598" t="s">
        <v>3309</v>
      </c>
      <c r="AB12" s="598" t="s">
        <v>3309</v>
      </c>
      <c r="AC12" s="598" t="s">
        <v>3309</v>
      </c>
      <c r="AD12" s="598" t="s">
        <v>3309</v>
      </c>
      <c r="AE12" s="598" t="s">
        <v>3309</v>
      </c>
      <c r="AF12" s="598" t="s">
        <v>321</v>
      </c>
      <c r="AG12" s="598" t="s">
        <v>321</v>
      </c>
      <c r="AH12" s="598" t="s">
        <v>3309</v>
      </c>
      <c r="AI12" s="598" t="s">
        <v>321</v>
      </c>
      <c r="AJ12" s="599">
        <v>21</v>
      </c>
      <c r="AK12" s="600">
        <v>21</v>
      </c>
      <c r="AL12" s="601">
        <v>0</v>
      </c>
      <c r="AM12" s="601">
        <v>0</v>
      </c>
      <c r="AN12" s="599">
        <v>21</v>
      </c>
    </row>
    <row r="13" spans="1:40" ht="16.5" customHeight="1">
      <c r="A13" s="598" t="s">
        <v>3307</v>
      </c>
      <c r="B13" s="598" t="s">
        <v>3311</v>
      </c>
      <c r="C13" s="598" t="s">
        <v>1366</v>
      </c>
      <c r="D13" s="598" t="s">
        <v>1367</v>
      </c>
      <c r="E13" s="598" t="s">
        <v>321</v>
      </c>
      <c r="F13" s="598" t="s">
        <v>3309</v>
      </c>
      <c r="G13" s="598" t="s">
        <v>3309</v>
      </c>
      <c r="H13" s="598" t="s">
        <v>3309</v>
      </c>
      <c r="I13" s="598" t="s">
        <v>3309</v>
      </c>
      <c r="J13" s="598" t="s">
        <v>3309</v>
      </c>
      <c r="K13" s="598" t="s">
        <v>321</v>
      </c>
      <c r="L13" s="598" t="s">
        <v>321</v>
      </c>
      <c r="M13" s="598" t="s">
        <v>3309</v>
      </c>
      <c r="N13" s="598" t="s">
        <v>3309</v>
      </c>
      <c r="O13" s="598" t="s">
        <v>3309</v>
      </c>
      <c r="P13" s="598" t="s">
        <v>3309</v>
      </c>
      <c r="Q13" s="598" t="s">
        <v>3309</v>
      </c>
      <c r="R13" s="598" t="s">
        <v>321</v>
      </c>
      <c r="S13" s="598" t="s">
        <v>321</v>
      </c>
      <c r="T13" s="598" t="s">
        <v>3309</v>
      </c>
      <c r="U13" s="598" t="s">
        <v>3309</v>
      </c>
      <c r="V13" s="598" t="s">
        <v>3309</v>
      </c>
      <c r="W13" s="598" t="s">
        <v>3309</v>
      </c>
      <c r="X13" s="598" t="s">
        <v>3309</v>
      </c>
      <c r="Y13" s="598" t="s">
        <v>321</v>
      </c>
      <c r="Z13" s="598" t="s">
        <v>321</v>
      </c>
      <c r="AA13" s="598" t="s">
        <v>3309</v>
      </c>
      <c r="AB13" s="598" t="s">
        <v>3309</v>
      </c>
      <c r="AC13" s="598" t="s">
        <v>3309</v>
      </c>
      <c r="AD13" s="598" t="s">
        <v>3309</v>
      </c>
      <c r="AE13" s="598" t="s">
        <v>3309</v>
      </c>
      <c r="AF13" s="598" t="s">
        <v>321</v>
      </c>
      <c r="AG13" s="598" t="s">
        <v>321</v>
      </c>
      <c r="AH13" s="598" t="s">
        <v>3312</v>
      </c>
      <c r="AI13" s="598" t="s">
        <v>321</v>
      </c>
      <c r="AJ13" s="599">
        <v>21</v>
      </c>
      <c r="AK13" s="600">
        <v>20</v>
      </c>
      <c r="AL13" s="602">
        <v>1</v>
      </c>
      <c r="AM13" s="601">
        <v>0</v>
      </c>
      <c r="AN13" s="599">
        <v>21</v>
      </c>
    </row>
    <row r="14" spans="1:40" ht="16.5" customHeight="1">
      <c r="A14" s="598" t="s">
        <v>3307</v>
      </c>
      <c r="B14" s="598" t="s">
        <v>3311</v>
      </c>
      <c r="C14" s="598" t="s">
        <v>1820</v>
      </c>
      <c r="D14" s="598" t="s">
        <v>1821</v>
      </c>
      <c r="E14" s="598" t="s">
        <v>321</v>
      </c>
      <c r="F14" s="598" t="s">
        <v>3309</v>
      </c>
      <c r="G14" s="598" t="s">
        <v>3309</v>
      </c>
      <c r="H14" s="598" t="s">
        <v>3309</v>
      </c>
      <c r="I14" s="598" t="s">
        <v>3309</v>
      </c>
      <c r="J14" s="598" t="s">
        <v>3309</v>
      </c>
      <c r="K14" s="598" t="s">
        <v>321</v>
      </c>
      <c r="L14" s="598" t="s">
        <v>321</v>
      </c>
      <c r="M14" s="598" t="s">
        <v>3309</v>
      </c>
      <c r="N14" s="598" t="s">
        <v>3309</v>
      </c>
      <c r="O14" s="598" t="s">
        <v>3313</v>
      </c>
      <c r="P14" s="598" t="s">
        <v>3313</v>
      </c>
      <c r="Q14" s="598" t="s">
        <v>3313</v>
      </c>
      <c r="R14" s="598" t="s">
        <v>321</v>
      </c>
      <c r="S14" s="598" t="s">
        <v>321</v>
      </c>
      <c r="T14" s="598" t="s">
        <v>3309</v>
      </c>
      <c r="U14" s="598" t="s">
        <v>3309</v>
      </c>
      <c r="V14" s="598" t="s">
        <v>3309</v>
      </c>
      <c r="W14" s="598" t="s">
        <v>3309</v>
      </c>
      <c r="X14" s="598" t="s">
        <v>3309</v>
      </c>
      <c r="Y14" s="598" t="s">
        <v>321</v>
      </c>
      <c r="Z14" s="598" t="s">
        <v>321</v>
      </c>
      <c r="AA14" s="598" t="s">
        <v>3309</v>
      </c>
      <c r="AB14" s="598" t="s">
        <v>3309</v>
      </c>
      <c r="AC14" s="598" t="s">
        <v>3309</v>
      </c>
      <c r="AD14" s="598" t="s">
        <v>3309</v>
      </c>
      <c r="AE14" s="598" t="s">
        <v>3309</v>
      </c>
      <c r="AF14" s="598" t="s">
        <v>321</v>
      </c>
      <c r="AG14" s="598" t="s">
        <v>321</v>
      </c>
      <c r="AH14" s="598" t="s">
        <v>3309</v>
      </c>
      <c r="AI14" s="598" t="s">
        <v>321</v>
      </c>
      <c r="AJ14" s="599">
        <v>21</v>
      </c>
      <c r="AK14" s="600">
        <v>21</v>
      </c>
      <c r="AL14" s="601">
        <v>0</v>
      </c>
      <c r="AM14" s="601">
        <v>0</v>
      </c>
      <c r="AN14" s="599">
        <v>21</v>
      </c>
    </row>
    <row r="15" spans="1:40" ht="16.5" customHeight="1">
      <c r="A15" s="598" t="s">
        <v>3307</v>
      </c>
      <c r="B15" s="598" t="s">
        <v>3311</v>
      </c>
      <c r="C15" s="598" t="s">
        <v>1948</v>
      </c>
      <c r="D15" s="598" t="s">
        <v>1949</v>
      </c>
      <c r="E15" s="598" t="s">
        <v>321</v>
      </c>
      <c r="F15" s="598" t="s">
        <v>3309</v>
      </c>
      <c r="G15" s="598" t="s">
        <v>3309</v>
      </c>
      <c r="H15" s="598" t="s">
        <v>3309</v>
      </c>
      <c r="I15" s="598" t="s">
        <v>3309</v>
      </c>
      <c r="J15" s="598" t="s">
        <v>3309</v>
      </c>
      <c r="K15" s="598" t="s">
        <v>321</v>
      </c>
      <c r="L15" s="598" t="s">
        <v>321</v>
      </c>
      <c r="M15" s="598" t="s">
        <v>3309</v>
      </c>
      <c r="N15" s="598" t="s">
        <v>3309</v>
      </c>
      <c r="O15" s="598" t="s">
        <v>3309</v>
      </c>
      <c r="P15" s="598" t="s">
        <v>3309</v>
      </c>
      <c r="Q15" s="598" t="s">
        <v>3309</v>
      </c>
      <c r="R15" s="598" t="s">
        <v>321</v>
      </c>
      <c r="S15" s="598" t="s">
        <v>321</v>
      </c>
      <c r="T15" s="598" t="s">
        <v>3309</v>
      </c>
      <c r="U15" s="598" t="s">
        <v>3309</v>
      </c>
      <c r="V15" s="598" t="s">
        <v>3309</v>
      </c>
      <c r="W15" s="598" t="s">
        <v>3309</v>
      </c>
      <c r="X15" s="598" t="s">
        <v>3309</v>
      </c>
      <c r="Y15" s="598" t="s">
        <v>321</v>
      </c>
      <c r="Z15" s="598" t="s">
        <v>321</v>
      </c>
      <c r="AA15" s="598" t="s">
        <v>3309</v>
      </c>
      <c r="AB15" s="598" t="s">
        <v>3309</v>
      </c>
      <c r="AC15" s="598" t="s">
        <v>3309</v>
      </c>
      <c r="AD15" s="598" t="s">
        <v>3309</v>
      </c>
      <c r="AE15" s="598" t="s">
        <v>3309</v>
      </c>
      <c r="AF15" s="598" t="s">
        <v>321</v>
      </c>
      <c r="AG15" s="598" t="s">
        <v>321</v>
      </c>
      <c r="AH15" s="598" t="s">
        <v>3309</v>
      </c>
      <c r="AI15" s="598" t="s">
        <v>321</v>
      </c>
      <c r="AJ15" s="599">
        <v>21</v>
      </c>
      <c r="AK15" s="600">
        <v>21</v>
      </c>
      <c r="AL15" s="601">
        <v>0</v>
      </c>
      <c r="AM15" s="601">
        <v>0</v>
      </c>
      <c r="AN15" s="599">
        <v>21</v>
      </c>
    </row>
    <row r="16" spans="1:40" ht="16.5" customHeight="1">
      <c r="A16" s="598" t="s">
        <v>3307</v>
      </c>
      <c r="B16" s="598" t="s">
        <v>3311</v>
      </c>
      <c r="C16" s="598" t="s">
        <v>911</v>
      </c>
      <c r="D16" s="598" t="s">
        <v>912</v>
      </c>
      <c r="E16" s="598" t="s">
        <v>321</v>
      </c>
      <c r="F16" s="598" t="s">
        <v>3309</v>
      </c>
      <c r="G16" s="598" t="s">
        <v>3309</v>
      </c>
      <c r="H16" s="598" t="s">
        <v>3309</v>
      </c>
      <c r="I16" s="598" t="s">
        <v>3309</v>
      </c>
      <c r="J16" s="598" t="s">
        <v>3309</v>
      </c>
      <c r="K16" s="598" t="s">
        <v>321</v>
      </c>
      <c r="L16" s="598" t="s">
        <v>321</v>
      </c>
      <c r="M16" s="598" t="s">
        <v>3309</v>
      </c>
      <c r="N16" s="598" t="s">
        <v>3309</v>
      </c>
      <c r="O16" s="598" t="s">
        <v>3309</v>
      </c>
      <c r="P16" s="598" t="s">
        <v>3309</v>
      </c>
      <c r="Q16" s="598" t="s">
        <v>3309</v>
      </c>
      <c r="R16" s="598" t="s">
        <v>321</v>
      </c>
      <c r="S16" s="598" t="s">
        <v>321</v>
      </c>
      <c r="T16" s="598" t="s">
        <v>3309</v>
      </c>
      <c r="U16" s="598" t="s">
        <v>3309</v>
      </c>
      <c r="V16" s="598" t="s">
        <v>3309</v>
      </c>
      <c r="W16" s="598" t="s">
        <v>3309</v>
      </c>
      <c r="X16" s="598" t="s">
        <v>3309</v>
      </c>
      <c r="Y16" s="598" t="s">
        <v>321</v>
      </c>
      <c r="Z16" s="598" t="s">
        <v>321</v>
      </c>
      <c r="AA16" s="598" t="s">
        <v>3309</v>
      </c>
      <c r="AB16" s="598" t="s">
        <v>3309</v>
      </c>
      <c r="AC16" s="598" t="s">
        <v>3309</v>
      </c>
      <c r="AD16" s="598" t="s">
        <v>3309</v>
      </c>
      <c r="AE16" s="598" t="s">
        <v>3309</v>
      </c>
      <c r="AF16" s="598" t="s">
        <v>321</v>
      </c>
      <c r="AG16" s="598" t="s">
        <v>321</v>
      </c>
      <c r="AH16" s="598" t="s">
        <v>3309</v>
      </c>
      <c r="AI16" s="598" t="s">
        <v>321</v>
      </c>
      <c r="AJ16" s="599">
        <v>21</v>
      </c>
      <c r="AK16" s="600">
        <v>21</v>
      </c>
      <c r="AL16" s="601">
        <v>0</v>
      </c>
      <c r="AM16" s="601">
        <v>0</v>
      </c>
      <c r="AN16" s="599">
        <v>21</v>
      </c>
    </row>
    <row r="17" spans="1:40" ht="16.5" customHeight="1">
      <c r="A17" s="598" t="s">
        <v>3307</v>
      </c>
      <c r="B17" s="598" t="s">
        <v>3311</v>
      </c>
      <c r="C17" s="598" t="s">
        <v>1818</v>
      </c>
      <c r="D17" s="598" t="s">
        <v>1819</v>
      </c>
      <c r="E17" s="598" t="s">
        <v>321</v>
      </c>
      <c r="F17" s="598" t="s">
        <v>3309</v>
      </c>
      <c r="G17" s="598" t="s">
        <v>3309</v>
      </c>
      <c r="H17" s="598" t="s">
        <v>3309</v>
      </c>
      <c r="I17" s="598" t="s">
        <v>3309</v>
      </c>
      <c r="J17" s="598" t="s">
        <v>3309</v>
      </c>
      <c r="K17" s="598" t="s">
        <v>321</v>
      </c>
      <c r="L17" s="598" t="s">
        <v>321</v>
      </c>
      <c r="M17" s="598" t="s">
        <v>3312</v>
      </c>
      <c r="N17" s="598" t="s">
        <v>3309</v>
      </c>
      <c r="O17" s="598" t="s">
        <v>3309</v>
      </c>
      <c r="P17" s="598" t="s">
        <v>3309</v>
      </c>
      <c r="Q17" s="598" t="s">
        <v>3309</v>
      </c>
      <c r="R17" s="598" t="s">
        <v>321</v>
      </c>
      <c r="S17" s="598" t="s">
        <v>321</v>
      </c>
      <c r="T17" s="598" t="s">
        <v>3309</v>
      </c>
      <c r="U17" s="598" t="s">
        <v>3309</v>
      </c>
      <c r="V17" s="598" t="s">
        <v>3309</v>
      </c>
      <c r="W17" s="598" t="s">
        <v>3309</v>
      </c>
      <c r="X17" s="598" t="s">
        <v>3309</v>
      </c>
      <c r="Y17" s="598" t="s">
        <v>321</v>
      </c>
      <c r="Z17" s="598" t="s">
        <v>321</v>
      </c>
      <c r="AA17" s="598" t="s">
        <v>3309</v>
      </c>
      <c r="AB17" s="598" t="s">
        <v>3309</v>
      </c>
      <c r="AC17" s="598" t="s">
        <v>3309</v>
      </c>
      <c r="AD17" s="598" t="s">
        <v>3309</v>
      </c>
      <c r="AE17" s="598" t="s">
        <v>3309</v>
      </c>
      <c r="AF17" s="598" t="s">
        <v>321</v>
      </c>
      <c r="AG17" s="598" t="s">
        <v>321</v>
      </c>
      <c r="AH17" s="598" t="s">
        <v>3309</v>
      </c>
      <c r="AI17" s="598" t="s">
        <v>321</v>
      </c>
      <c r="AJ17" s="599">
        <v>21</v>
      </c>
      <c r="AK17" s="600">
        <v>20</v>
      </c>
      <c r="AL17" s="602">
        <v>1</v>
      </c>
      <c r="AM17" s="601">
        <v>0</v>
      </c>
      <c r="AN17" s="599">
        <v>21</v>
      </c>
    </row>
    <row r="18" spans="1:40" ht="16.5" customHeight="1">
      <c r="A18" s="598" t="s">
        <v>3307</v>
      </c>
      <c r="B18" s="598" t="s">
        <v>3311</v>
      </c>
      <c r="C18" s="598" t="s">
        <v>2253</v>
      </c>
      <c r="D18" s="598" t="s">
        <v>2254</v>
      </c>
      <c r="E18" s="598" t="s">
        <v>321</v>
      </c>
      <c r="F18" s="598" t="s">
        <v>3309</v>
      </c>
      <c r="G18" s="598" t="s">
        <v>3309</v>
      </c>
      <c r="H18" s="598" t="s">
        <v>3309</v>
      </c>
      <c r="I18" s="598" t="s">
        <v>3309</v>
      </c>
      <c r="J18" s="598" t="s">
        <v>3309</v>
      </c>
      <c r="K18" s="598" t="s">
        <v>321</v>
      </c>
      <c r="L18" s="598" t="s">
        <v>321</v>
      </c>
      <c r="M18" s="598" t="s">
        <v>3309</v>
      </c>
      <c r="N18" s="598" t="s">
        <v>3309</v>
      </c>
      <c r="O18" s="598" t="s">
        <v>3309</v>
      </c>
      <c r="P18" s="598" t="s">
        <v>3309</v>
      </c>
      <c r="Q18" s="598" t="s">
        <v>3309</v>
      </c>
      <c r="R18" s="598" t="s">
        <v>321</v>
      </c>
      <c r="S18" s="598" t="s">
        <v>321</v>
      </c>
      <c r="T18" s="598" t="s">
        <v>3309</v>
      </c>
      <c r="U18" s="598" t="s">
        <v>3309</v>
      </c>
      <c r="V18" s="598" t="s">
        <v>3309</v>
      </c>
      <c r="W18" s="598" t="s">
        <v>3309</v>
      </c>
      <c r="X18" s="598" t="s">
        <v>3309</v>
      </c>
      <c r="Y18" s="598" t="s">
        <v>321</v>
      </c>
      <c r="Z18" s="598" t="s">
        <v>321</v>
      </c>
      <c r="AA18" s="598" t="s">
        <v>3309</v>
      </c>
      <c r="AB18" s="598" t="s">
        <v>3309</v>
      </c>
      <c r="AC18" s="598" t="s">
        <v>3309</v>
      </c>
      <c r="AD18" s="598" t="s">
        <v>3309</v>
      </c>
      <c r="AE18" s="598" t="s">
        <v>3309</v>
      </c>
      <c r="AF18" s="598" t="s">
        <v>321</v>
      </c>
      <c r="AG18" s="598" t="s">
        <v>321</v>
      </c>
      <c r="AH18" s="598" t="s">
        <v>3309</v>
      </c>
      <c r="AI18" s="598" t="s">
        <v>321</v>
      </c>
      <c r="AJ18" s="599">
        <v>21</v>
      </c>
      <c r="AK18" s="600">
        <v>21</v>
      </c>
      <c r="AL18" s="601">
        <v>0</v>
      </c>
      <c r="AM18" s="601">
        <v>0</v>
      </c>
      <c r="AN18" s="599">
        <v>21</v>
      </c>
    </row>
    <row r="19" spans="1:40" ht="16.5" customHeight="1">
      <c r="A19" s="598" t="s">
        <v>3307</v>
      </c>
      <c r="B19" s="598" t="s">
        <v>3311</v>
      </c>
      <c r="C19" s="598" t="s">
        <v>1086</v>
      </c>
      <c r="D19" s="598" t="s">
        <v>1087</v>
      </c>
      <c r="E19" s="598" t="s">
        <v>321</v>
      </c>
      <c r="F19" s="598" t="s">
        <v>3309</v>
      </c>
      <c r="G19" s="598" t="s">
        <v>3309</v>
      </c>
      <c r="H19" s="598" t="s">
        <v>3309</v>
      </c>
      <c r="I19" s="598" t="s">
        <v>3309</v>
      </c>
      <c r="J19" s="598" t="s">
        <v>3309</v>
      </c>
      <c r="K19" s="598" t="s">
        <v>321</v>
      </c>
      <c r="L19" s="598" t="s">
        <v>321</v>
      </c>
      <c r="M19" s="598" t="s">
        <v>3309</v>
      </c>
      <c r="N19" s="598" t="s">
        <v>3309</v>
      </c>
      <c r="O19" s="598" t="s">
        <v>3309</v>
      </c>
      <c r="P19" s="598" t="s">
        <v>3309</v>
      </c>
      <c r="Q19" s="598" t="s">
        <v>3309</v>
      </c>
      <c r="R19" s="598" t="s">
        <v>321</v>
      </c>
      <c r="S19" s="598" t="s">
        <v>321</v>
      </c>
      <c r="T19" s="598" t="s">
        <v>3309</v>
      </c>
      <c r="U19" s="598" t="s">
        <v>3309</v>
      </c>
      <c r="V19" s="598" t="s">
        <v>3309</v>
      </c>
      <c r="W19" s="598" t="s">
        <v>3309</v>
      </c>
      <c r="X19" s="598" t="s">
        <v>3309</v>
      </c>
      <c r="Y19" s="598" t="s">
        <v>321</v>
      </c>
      <c r="Z19" s="598" t="s">
        <v>321</v>
      </c>
      <c r="AA19" s="598" t="s">
        <v>3309</v>
      </c>
      <c r="AB19" s="598" t="s">
        <v>3309</v>
      </c>
      <c r="AC19" s="598" t="s">
        <v>3309</v>
      </c>
      <c r="AD19" s="598" t="s">
        <v>3309</v>
      </c>
      <c r="AE19" s="598" t="s">
        <v>3309</v>
      </c>
      <c r="AF19" s="598" t="s">
        <v>321</v>
      </c>
      <c r="AG19" s="598" t="s">
        <v>321</v>
      </c>
      <c r="AH19" s="598" t="s">
        <v>3309</v>
      </c>
      <c r="AI19" s="598" t="s">
        <v>321</v>
      </c>
      <c r="AJ19" s="599">
        <v>21</v>
      </c>
      <c r="AK19" s="600">
        <v>21</v>
      </c>
      <c r="AL19" s="601">
        <v>0</v>
      </c>
      <c r="AM19" s="601">
        <v>0</v>
      </c>
      <c r="AN19" s="599">
        <v>21</v>
      </c>
    </row>
    <row r="20" spans="1:40" ht="16.5" customHeight="1">
      <c r="A20" s="598" t="s">
        <v>3307</v>
      </c>
      <c r="B20" s="598" t="s">
        <v>3311</v>
      </c>
      <c r="C20" s="598" t="s">
        <v>1088</v>
      </c>
      <c r="D20" s="598" t="s">
        <v>1089</v>
      </c>
      <c r="E20" s="598" t="s">
        <v>321</v>
      </c>
      <c r="F20" s="598" t="s">
        <v>3309</v>
      </c>
      <c r="G20" s="598" t="s">
        <v>3309</v>
      </c>
      <c r="H20" s="598" t="s">
        <v>3309</v>
      </c>
      <c r="I20" s="598" t="s">
        <v>3309</v>
      </c>
      <c r="J20" s="598" t="s">
        <v>3309</v>
      </c>
      <c r="K20" s="598" t="s">
        <v>321</v>
      </c>
      <c r="L20" s="598" t="s">
        <v>321</v>
      </c>
      <c r="M20" s="598" t="s">
        <v>3309</v>
      </c>
      <c r="N20" s="598" t="s">
        <v>3309</v>
      </c>
      <c r="O20" s="598" t="s">
        <v>3309</v>
      </c>
      <c r="P20" s="598" t="s">
        <v>3309</v>
      </c>
      <c r="Q20" s="598" t="s">
        <v>3309</v>
      </c>
      <c r="R20" s="598" t="s">
        <v>321</v>
      </c>
      <c r="S20" s="598" t="s">
        <v>321</v>
      </c>
      <c r="T20" s="598" t="s">
        <v>3309</v>
      </c>
      <c r="U20" s="598" t="s">
        <v>3309</v>
      </c>
      <c r="V20" s="598" t="s">
        <v>3309</v>
      </c>
      <c r="W20" s="598" t="s">
        <v>3309</v>
      </c>
      <c r="X20" s="598" t="s">
        <v>3309</v>
      </c>
      <c r="Y20" s="598" t="s">
        <v>321</v>
      </c>
      <c r="Z20" s="598" t="s">
        <v>321</v>
      </c>
      <c r="AA20" s="598" t="s">
        <v>3309</v>
      </c>
      <c r="AB20" s="598" t="s">
        <v>3309</v>
      </c>
      <c r="AC20" s="598" t="s">
        <v>3309</v>
      </c>
      <c r="AD20" s="598" t="s">
        <v>3309</v>
      </c>
      <c r="AE20" s="598" t="s">
        <v>3309</v>
      </c>
      <c r="AF20" s="598" t="s">
        <v>321</v>
      </c>
      <c r="AG20" s="598" t="s">
        <v>321</v>
      </c>
      <c r="AH20" s="598" t="s">
        <v>3309</v>
      </c>
      <c r="AI20" s="598" t="s">
        <v>321</v>
      </c>
      <c r="AJ20" s="599">
        <v>21</v>
      </c>
      <c r="AK20" s="600">
        <v>21</v>
      </c>
      <c r="AL20" s="601">
        <v>0</v>
      </c>
      <c r="AM20" s="601">
        <v>0</v>
      </c>
      <c r="AN20" s="599">
        <v>21</v>
      </c>
    </row>
    <row r="21" spans="1:40" ht="16.5" customHeight="1">
      <c r="A21" s="598" t="s">
        <v>3307</v>
      </c>
      <c r="B21" s="598" t="s">
        <v>3311</v>
      </c>
      <c r="C21" s="598" t="s">
        <v>977</v>
      </c>
      <c r="D21" s="598" t="s">
        <v>978</v>
      </c>
      <c r="E21" s="598" t="s">
        <v>321</v>
      </c>
      <c r="F21" s="598" t="s">
        <v>3309</v>
      </c>
      <c r="G21" s="598" t="s">
        <v>3309</v>
      </c>
      <c r="H21" s="598" t="s">
        <v>3309</v>
      </c>
      <c r="I21" s="598" t="s">
        <v>3309</v>
      </c>
      <c r="J21" s="598" t="s">
        <v>3309</v>
      </c>
      <c r="K21" s="598" t="s">
        <v>321</v>
      </c>
      <c r="L21" s="598" t="s">
        <v>321</v>
      </c>
      <c r="M21" s="598" t="s">
        <v>3309</v>
      </c>
      <c r="N21" s="598" t="s">
        <v>3309</v>
      </c>
      <c r="O21" s="598" t="s">
        <v>3309</v>
      </c>
      <c r="P21" s="598" t="s">
        <v>3309</v>
      </c>
      <c r="Q21" s="598" t="s">
        <v>3309</v>
      </c>
      <c r="R21" s="598" t="s">
        <v>321</v>
      </c>
      <c r="S21" s="598" t="s">
        <v>321</v>
      </c>
      <c r="T21" s="598" t="s">
        <v>3309</v>
      </c>
      <c r="U21" s="598" t="s">
        <v>3309</v>
      </c>
      <c r="V21" s="598" t="s">
        <v>3309</v>
      </c>
      <c r="W21" s="598" t="s">
        <v>3309</v>
      </c>
      <c r="X21" s="598" t="s">
        <v>3309</v>
      </c>
      <c r="Y21" s="598" t="s">
        <v>321</v>
      </c>
      <c r="Z21" s="598" t="s">
        <v>321</v>
      </c>
      <c r="AA21" s="598" t="s">
        <v>3309</v>
      </c>
      <c r="AB21" s="598" t="s">
        <v>3309</v>
      </c>
      <c r="AC21" s="598" t="s">
        <v>3309</v>
      </c>
      <c r="AD21" s="598" t="s">
        <v>3309</v>
      </c>
      <c r="AE21" s="598" t="s">
        <v>3309</v>
      </c>
      <c r="AF21" s="598" t="s">
        <v>321</v>
      </c>
      <c r="AG21" s="598" t="s">
        <v>321</v>
      </c>
      <c r="AH21" s="598" t="s">
        <v>3309</v>
      </c>
      <c r="AI21" s="598" t="s">
        <v>321</v>
      </c>
      <c r="AJ21" s="599">
        <v>21</v>
      </c>
      <c r="AK21" s="600">
        <v>21</v>
      </c>
      <c r="AL21" s="601">
        <v>0</v>
      </c>
      <c r="AM21" s="601">
        <v>0</v>
      </c>
      <c r="AN21" s="599">
        <v>21</v>
      </c>
    </row>
    <row r="22" spans="1:40" ht="16.5" customHeight="1">
      <c r="A22" s="598" t="s">
        <v>3307</v>
      </c>
      <c r="B22" s="598" t="s">
        <v>3311</v>
      </c>
      <c r="C22" s="598" t="s">
        <v>1620</v>
      </c>
      <c r="D22" s="598" t="s">
        <v>1621</v>
      </c>
      <c r="E22" s="598" t="s">
        <v>321</v>
      </c>
      <c r="F22" s="598" t="s">
        <v>3309</v>
      </c>
      <c r="G22" s="598" t="s">
        <v>3309</v>
      </c>
      <c r="H22" s="598" t="s">
        <v>3309</v>
      </c>
      <c r="I22" s="598" t="s">
        <v>3309</v>
      </c>
      <c r="J22" s="598" t="s">
        <v>3309</v>
      </c>
      <c r="K22" s="598" t="s">
        <v>321</v>
      </c>
      <c r="L22" s="598" t="s">
        <v>321</v>
      </c>
      <c r="M22" s="598" t="s">
        <v>3309</v>
      </c>
      <c r="N22" s="598" t="s">
        <v>3309</v>
      </c>
      <c r="O22" s="598" t="s">
        <v>3309</v>
      </c>
      <c r="P22" s="598" t="s">
        <v>3309</v>
      </c>
      <c r="Q22" s="598" t="s">
        <v>3309</v>
      </c>
      <c r="R22" s="598" t="s">
        <v>321</v>
      </c>
      <c r="S22" s="598" t="s">
        <v>321</v>
      </c>
      <c r="T22" s="598" t="s">
        <v>3309</v>
      </c>
      <c r="U22" s="598" t="s">
        <v>3309</v>
      </c>
      <c r="V22" s="598" t="s">
        <v>3309</v>
      </c>
      <c r="W22" s="598" t="s">
        <v>3309</v>
      </c>
      <c r="X22" s="598" t="s">
        <v>3309</v>
      </c>
      <c r="Y22" s="598" t="s">
        <v>321</v>
      </c>
      <c r="Z22" s="598" t="s">
        <v>321</v>
      </c>
      <c r="AA22" s="598" t="s">
        <v>3309</v>
      </c>
      <c r="AB22" s="598" t="s">
        <v>3309</v>
      </c>
      <c r="AC22" s="598" t="s">
        <v>3309</v>
      </c>
      <c r="AD22" s="598" t="s">
        <v>3309</v>
      </c>
      <c r="AE22" s="598" t="s">
        <v>3309</v>
      </c>
      <c r="AF22" s="598" t="s">
        <v>321</v>
      </c>
      <c r="AG22" s="598" t="s">
        <v>321</v>
      </c>
      <c r="AH22" s="598" t="s">
        <v>3309</v>
      </c>
      <c r="AI22" s="598" t="s">
        <v>321</v>
      </c>
      <c r="AJ22" s="599">
        <v>21</v>
      </c>
      <c r="AK22" s="600">
        <v>21</v>
      </c>
      <c r="AL22" s="601">
        <v>0</v>
      </c>
      <c r="AM22" s="601">
        <v>0</v>
      </c>
      <c r="AN22" s="599">
        <v>21</v>
      </c>
    </row>
    <row r="23" spans="1:40" ht="16.5" customHeight="1">
      <c r="A23" s="598" t="s">
        <v>3307</v>
      </c>
      <c r="B23" s="598" t="s">
        <v>3311</v>
      </c>
      <c r="C23" s="598" t="s">
        <v>858</v>
      </c>
      <c r="D23" s="598" t="s">
        <v>859</v>
      </c>
      <c r="E23" s="598" t="s">
        <v>321</v>
      </c>
      <c r="F23" s="598" t="s">
        <v>3309</v>
      </c>
      <c r="G23" s="598" t="s">
        <v>3309</v>
      </c>
      <c r="H23" s="598" t="s">
        <v>3309</v>
      </c>
      <c r="I23" s="598" t="s">
        <v>3309</v>
      </c>
      <c r="J23" s="598" t="s">
        <v>3312</v>
      </c>
      <c r="K23" s="598" t="s">
        <v>321</v>
      </c>
      <c r="L23" s="598" t="s">
        <v>321</v>
      </c>
      <c r="M23" s="598" t="s">
        <v>3309</v>
      </c>
      <c r="N23" s="598" t="s">
        <v>3309</v>
      </c>
      <c r="O23" s="598" t="s">
        <v>3309</v>
      </c>
      <c r="P23" s="598" t="s">
        <v>3309</v>
      </c>
      <c r="Q23" s="598" t="s">
        <v>3309</v>
      </c>
      <c r="R23" s="598" t="s">
        <v>321</v>
      </c>
      <c r="S23" s="598" t="s">
        <v>321</v>
      </c>
      <c r="T23" s="598" t="s">
        <v>3309</v>
      </c>
      <c r="U23" s="598" t="s">
        <v>3309</v>
      </c>
      <c r="V23" s="598" t="s">
        <v>3309</v>
      </c>
      <c r="W23" s="598" t="s">
        <v>3309</v>
      </c>
      <c r="X23" s="598" t="s">
        <v>3309</v>
      </c>
      <c r="Y23" s="598" t="s">
        <v>321</v>
      </c>
      <c r="Z23" s="598" t="s">
        <v>321</v>
      </c>
      <c r="AA23" s="598" t="s">
        <v>3309</v>
      </c>
      <c r="AB23" s="598" t="s">
        <v>3309</v>
      </c>
      <c r="AC23" s="598" t="s">
        <v>3309</v>
      </c>
      <c r="AD23" s="598" t="s">
        <v>3309</v>
      </c>
      <c r="AE23" s="598" t="s">
        <v>3309</v>
      </c>
      <c r="AF23" s="598" t="s">
        <v>321</v>
      </c>
      <c r="AG23" s="598" t="s">
        <v>321</v>
      </c>
      <c r="AH23" s="598" t="s">
        <v>3309</v>
      </c>
      <c r="AI23" s="598" t="s">
        <v>321</v>
      </c>
      <c r="AJ23" s="599">
        <v>21</v>
      </c>
      <c r="AK23" s="600">
        <v>20</v>
      </c>
      <c r="AL23" s="602">
        <v>1</v>
      </c>
      <c r="AM23" s="601">
        <v>0</v>
      </c>
      <c r="AN23" s="599">
        <v>21</v>
      </c>
    </row>
    <row r="24" spans="1:40" ht="16.5" customHeight="1">
      <c r="A24" s="598" t="s">
        <v>3307</v>
      </c>
      <c r="B24" s="598" t="s">
        <v>3311</v>
      </c>
      <c r="C24" s="598" t="s">
        <v>856</v>
      </c>
      <c r="D24" s="598" t="s">
        <v>857</v>
      </c>
      <c r="E24" s="598" t="s">
        <v>321</v>
      </c>
      <c r="F24" s="598" t="s">
        <v>3309</v>
      </c>
      <c r="G24" s="598" t="s">
        <v>3309</v>
      </c>
      <c r="H24" s="598" t="s">
        <v>3309</v>
      </c>
      <c r="I24" s="598" t="s">
        <v>3309</v>
      </c>
      <c r="J24" s="598" t="s">
        <v>3309</v>
      </c>
      <c r="K24" s="598" t="s">
        <v>321</v>
      </c>
      <c r="L24" s="598" t="s">
        <v>321</v>
      </c>
      <c r="M24" s="598" t="s">
        <v>3309</v>
      </c>
      <c r="N24" s="598" t="s">
        <v>3309</v>
      </c>
      <c r="O24" s="598" t="s">
        <v>3309</v>
      </c>
      <c r="P24" s="598" t="s">
        <v>3309</v>
      </c>
      <c r="Q24" s="598" t="s">
        <v>3309</v>
      </c>
      <c r="R24" s="598" t="s">
        <v>321</v>
      </c>
      <c r="S24" s="598" t="s">
        <v>321</v>
      </c>
      <c r="T24" s="598" t="s">
        <v>3309</v>
      </c>
      <c r="U24" s="598" t="s">
        <v>3309</v>
      </c>
      <c r="V24" s="598" t="s">
        <v>3309</v>
      </c>
      <c r="W24" s="598" t="s">
        <v>3312</v>
      </c>
      <c r="X24" s="598" t="s">
        <v>3309</v>
      </c>
      <c r="Y24" s="598" t="s">
        <v>321</v>
      </c>
      <c r="Z24" s="598" t="s">
        <v>321</v>
      </c>
      <c r="AA24" s="598" t="s">
        <v>3309</v>
      </c>
      <c r="AB24" s="598" t="s">
        <v>3309</v>
      </c>
      <c r="AC24" s="598" t="s">
        <v>3309</v>
      </c>
      <c r="AD24" s="598" t="s">
        <v>3309</v>
      </c>
      <c r="AE24" s="598" t="s">
        <v>3309</v>
      </c>
      <c r="AF24" s="598" t="s">
        <v>321</v>
      </c>
      <c r="AG24" s="598" t="s">
        <v>321</v>
      </c>
      <c r="AH24" s="598" t="s">
        <v>3309</v>
      </c>
      <c r="AI24" s="598" t="s">
        <v>321</v>
      </c>
      <c r="AJ24" s="599">
        <v>21</v>
      </c>
      <c r="AK24" s="600">
        <v>20</v>
      </c>
      <c r="AL24" s="602">
        <v>1</v>
      </c>
      <c r="AM24" s="601">
        <v>0</v>
      </c>
      <c r="AN24" s="599">
        <v>21</v>
      </c>
    </row>
    <row r="25" spans="1:40" ht="16.5" customHeight="1">
      <c r="A25" s="598" t="s">
        <v>3307</v>
      </c>
      <c r="B25" s="598" t="s">
        <v>3311</v>
      </c>
      <c r="C25" s="598" t="s">
        <v>760</v>
      </c>
      <c r="D25" s="598" t="s">
        <v>761</v>
      </c>
      <c r="E25" s="598" t="s">
        <v>321</v>
      </c>
      <c r="F25" s="598" t="s">
        <v>3309</v>
      </c>
      <c r="G25" s="598" t="s">
        <v>3309</v>
      </c>
      <c r="H25" s="598" t="s">
        <v>3309</v>
      </c>
      <c r="I25" s="598" t="s">
        <v>3309</v>
      </c>
      <c r="J25" s="598" t="s">
        <v>3309</v>
      </c>
      <c r="K25" s="598" t="s">
        <v>321</v>
      </c>
      <c r="L25" s="598" t="s">
        <v>321</v>
      </c>
      <c r="M25" s="598" t="s">
        <v>3309</v>
      </c>
      <c r="N25" s="598" t="s">
        <v>3309</v>
      </c>
      <c r="O25" s="598" t="s">
        <v>3309</v>
      </c>
      <c r="P25" s="598" t="s">
        <v>3309</v>
      </c>
      <c r="Q25" s="598" t="s">
        <v>3312</v>
      </c>
      <c r="R25" s="598" t="s">
        <v>321</v>
      </c>
      <c r="S25" s="598" t="s">
        <v>321</v>
      </c>
      <c r="T25" s="598" t="s">
        <v>3309</v>
      </c>
      <c r="U25" s="598" t="s">
        <v>3309</v>
      </c>
      <c r="V25" s="598" t="s">
        <v>3309</v>
      </c>
      <c r="W25" s="598" t="s">
        <v>3309</v>
      </c>
      <c r="X25" s="598" t="s">
        <v>3309</v>
      </c>
      <c r="Y25" s="598" t="s">
        <v>321</v>
      </c>
      <c r="Z25" s="598" t="s">
        <v>321</v>
      </c>
      <c r="AA25" s="598" t="s">
        <v>3309</v>
      </c>
      <c r="AB25" s="598" t="s">
        <v>3309</v>
      </c>
      <c r="AC25" s="598" t="s">
        <v>3309</v>
      </c>
      <c r="AD25" s="598" t="s">
        <v>3309</v>
      </c>
      <c r="AE25" s="598" t="s">
        <v>3309</v>
      </c>
      <c r="AF25" s="598" t="s">
        <v>321</v>
      </c>
      <c r="AG25" s="598" t="s">
        <v>321</v>
      </c>
      <c r="AH25" s="598" t="s">
        <v>3309</v>
      </c>
      <c r="AI25" s="598" t="s">
        <v>321</v>
      </c>
      <c r="AJ25" s="599">
        <v>21</v>
      </c>
      <c r="AK25" s="600">
        <v>20</v>
      </c>
      <c r="AL25" s="602">
        <v>1</v>
      </c>
      <c r="AM25" s="601">
        <v>0</v>
      </c>
      <c r="AN25" s="599">
        <v>21</v>
      </c>
    </row>
    <row r="26" spans="1:40" ht="16.5" customHeight="1">
      <c r="A26" s="598" t="s">
        <v>3307</v>
      </c>
      <c r="B26" s="598" t="s">
        <v>3311</v>
      </c>
      <c r="C26" s="598" t="s">
        <v>2417</v>
      </c>
      <c r="D26" s="598" t="s">
        <v>2418</v>
      </c>
      <c r="E26" s="598" t="s">
        <v>321</v>
      </c>
      <c r="F26" s="598" t="s">
        <v>3309</v>
      </c>
      <c r="G26" s="598" t="s">
        <v>3309</v>
      </c>
      <c r="H26" s="598" t="s">
        <v>3309</v>
      </c>
      <c r="I26" s="598" t="s">
        <v>3309</v>
      </c>
      <c r="J26" s="598" t="s">
        <v>3309</v>
      </c>
      <c r="K26" s="598" t="s">
        <v>321</v>
      </c>
      <c r="L26" s="598" t="s">
        <v>321</v>
      </c>
      <c r="M26" s="598" t="s">
        <v>3309</v>
      </c>
      <c r="N26" s="598" t="s">
        <v>3309</v>
      </c>
      <c r="O26" s="598" t="s">
        <v>3309</v>
      </c>
      <c r="P26" s="598" t="s">
        <v>3309</v>
      </c>
      <c r="Q26" s="598" t="s">
        <v>3309</v>
      </c>
      <c r="R26" s="598" t="s">
        <v>321</v>
      </c>
      <c r="S26" s="598" t="s">
        <v>321</v>
      </c>
      <c r="T26" s="598" t="s">
        <v>321</v>
      </c>
      <c r="U26" s="598" t="s">
        <v>321</v>
      </c>
      <c r="V26" s="598" t="s">
        <v>321</v>
      </c>
      <c r="W26" s="598" t="s">
        <v>321</v>
      </c>
      <c r="X26" s="598" t="s">
        <v>321</v>
      </c>
      <c r="Y26" s="598" t="s">
        <v>321</v>
      </c>
      <c r="Z26" s="598" t="s">
        <v>321</v>
      </c>
      <c r="AA26" s="598" t="s">
        <v>321</v>
      </c>
      <c r="AB26" s="598" t="s">
        <v>321</v>
      </c>
      <c r="AC26" s="598" t="s">
        <v>321</v>
      </c>
      <c r="AD26" s="598" t="s">
        <v>321</v>
      </c>
      <c r="AE26" s="598" t="s">
        <v>321</v>
      </c>
      <c r="AF26" s="598" t="s">
        <v>321</v>
      </c>
      <c r="AG26" s="598" t="s">
        <v>321</v>
      </c>
      <c r="AH26" s="598" t="s">
        <v>321</v>
      </c>
      <c r="AI26" s="598" t="s">
        <v>321</v>
      </c>
      <c r="AJ26" s="599">
        <v>21</v>
      </c>
      <c r="AK26" s="600">
        <v>10</v>
      </c>
      <c r="AL26" s="601">
        <v>0</v>
      </c>
      <c r="AM26" s="601">
        <v>0</v>
      </c>
      <c r="AN26" s="599">
        <v>10</v>
      </c>
    </row>
    <row r="27" spans="1:40" ht="16.5" customHeight="1">
      <c r="A27" s="598" t="s">
        <v>3307</v>
      </c>
      <c r="B27" s="598" t="s">
        <v>3311</v>
      </c>
      <c r="C27" s="598" t="s">
        <v>2212</v>
      </c>
      <c r="D27" s="598" t="s">
        <v>2213</v>
      </c>
      <c r="E27" s="598" t="s">
        <v>321</v>
      </c>
      <c r="F27" s="598" t="s">
        <v>3309</v>
      </c>
      <c r="G27" s="598" t="s">
        <v>3309</v>
      </c>
      <c r="H27" s="598" t="s">
        <v>3309</v>
      </c>
      <c r="I27" s="598" t="s">
        <v>3309</v>
      </c>
      <c r="J27" s="598" t="s">
        <v>3309</v>
      </c>
      <c r="K27" s="598" t="s">
        <v>321</v>
      </c>
      <c r="L27" s="598" t="s">
        <v>321</v>
      </c>
      <c r="M27" s="598" t="s">
        <v>3309</v>
      </c>
      <c r="N27" s="598" t="s">
        <v>3309</v>
      </c>
      <c r="O27" s="598" t="s">
        <v>3309</v>
      </c>
      <c r="P27" s="598" t="s">
        <v>3309</v>
      </c>
      <c r="Q27" s="598" t="s">
        <v>3309</v>
      </c>
      <c r="R27" s="598" t="s">
        <v>321</v>
      </c>
      <c r="S27" s="598" t="s">
        <v>321</v>
      </c>
      <c r="T27" s="598" t="s">
        <v>3309</v>
      </c>
      <c r="U27" s="598" t="s">
        <v>3309</v>
      </c>
      <c r="V27" s="598" t="s">
        <v>3309</v>
      </c>
      <c r="W27" s="598" t="s">
        <v>3309</v>
      </c>
      <c r="X27" s="598" t="s">
        <v>3309</v>
      </c>
      <c r="Y27" s="598" t="s">
        <v>321</v>
      </c>
      <c r="Z27" s="598" t="s">
        <v>321</v>
      </c>
      <c r="AA27" s="598" t="s">
        <v>3309</v>
      </c>
      <c r="AB27" s="598" t="s">
        <v>3309</v>
      </c>
      <c r="AC27" s="598" t="s">
        <v>3309</v>
      </c>
      <c r="AD27" s="598" t="s">
        <v>3309</v>
      </c>
      <c r="AE27" s="598" t="s">
        <v>3314</v>
      </c>
      <c r="AF27" s="598" t="s">
        <v>321</v>
      </c>
      <c r="AG27" s="598" t="s">
        <v>321</v>
      </c>
      <c r="AH27" s="598" t="s">
        <v>3309</v>
      </c>
      <c r="AI27" s="598" t="s">
        <v>321</v>
      </c>
      <c r="AJ27" s="599">
        <v>21</v>
      </c>
      <c r="AK27" s="603">
        <v>20.5</v>
      </c>
      <c r="AL27" s="604">
        <v>0.5</v>
      </c>
      <c r="AM27" s="601">
        <v>0</v>
      </c>
      <c r="AN27" s="599">
        <v>21</v>
      </c>
    </row>
    <row r="28" spans="1:40" ht="16.5" customHeight="1">
      <c r="A28" s="598" t="s">
        <v>3307</v>
      </c>
      <c r="B28" s="598" t="s">
        <v>3315</v>
      </c>
      <c r="C28" s="598" t="s">
        <v>573</v>
      </c>
      <c r="D28" s="598" t="s">
        <v>574</v>
      </c>
      <c r="E28" s="598" t="s">
        <v>321</v>
      </c>
      <c r="F28" s="598" t="s">
        <v>3309</v>
      </c>
      <c r="G28" s="598" t="s">
        <v>3309</v>
      </c>
      <c r="H28" s="598" t="s">
        <v>3309</v>
      </c>
      <c r="I28" s="598" t="s">
        <v>3309</v>
      </c>
      <c r="J28" s="598" t="s">
        <v>3309</v>
      </c>
      <c r="K28" s="598" t="s">
        <v>321</v>
      </c>
      <c r="L28" s="598" t="s">
        <v>321</v>
      </c>
      <c r="M28" s="598" t="s">
        <v>3309</v>
      </c>
      <c r="N28" s="598" t="s">
        <v>3309</v>
      </c>
      <c r="O28" s="598" t="s">
        <v>3309</v>
      </c>
      <c r="P28" s="598" t="s">
        <v>3309</v>
      </c>
      <c r="Q28" s="598" t="s">
        <v>3309</v>
      </c>
      <c r="R28" s="598" t="s">
        <v>321</v>
      </c>
      <c r="S28" s="598" t="s">
        <v>321</v>
      </c>
      <c r="T28" s="598" t="s">
        <v>3312</v>
      </c>
      <c r="U28" s="598" t="s">
        <v>3312</v>
      </c>
      <c r="V28" s="598" t="s">
        <v>3309</v>
      </c>
      <c r="W28" s="598" t="s">
        <v>3309</v>
      </c>
      <c r="X28" s="598" t="s">
        <v>3309</v>
      </c>
      <c r="Y28" s="598" t="s">
        <v>321</v>
      </c>
      <c r="Z28" s="598" t="s">
        <v>321</v>
      </c>
      <c r="AA28" s="598" t="s">
        <v>3309</v>
      </c>
      <c r="AB28" s="598" t="s">
        <v>3309</v>
      </c>
      <c r="AC28" s="598" t="s">
        <v>3309</v>
      </c>
      <c r="AD28" s="598" t="s">
        <v>3309</v>
      </c>
      <c r="AE28" s="598" t="s">
        <v>3309</v>
      </c>
      <c r="AF28" s="598" t="s">
        <v>321</v>
      </c>
      <c r="AG28" s="598" t="s">
        <v>321</v>
      </c>
      <c r="AH28" s="598" t="s">
        <v>3309</v>
      </c>
      <c r="AI28" s="598" t="s">
        <v>321</v>
      </c>
      <c r="AJ28" s="599">
        <v>21</v>
      </c>
      <c r="AK28" s="600">
        <v>19</v>
      </c>
      <c r="AL28" s="602">
        <v>2</v>
      </c>
      <c r="AM28" s="601">
        <v>0</v>
      </c>
      <c r="AN28" s="599">
        <v>21</v>
      </c>
    </row>
    <row r="29" spans="1:40" ht="16.5" customHeight="1">
      <c r="A29" s="598" t="s">
        <v>3307</v>
      </c>
      <c r="B29" s="598" t="s">
        <v>3315</v>
      </c>
      <c r="C29" s="598" t="s">
        <v>523</v>
      </c>
      <c r="D29" s="598" t="s">
        <v>524</v>
      </c>
      <c r="E29" s="598" t="s">
        <v>321</v>
      </c>
      <c r="F29" s="598" t="s">
        <v>3312</v>
      </c>
      <c r="G29" s="598" t="s">
        <v>3312</v>
      </c>
      <c r="H29" s="598" t="s">
        <v>3312</v>
      </c>
      <c r="I29" s="598" t="s">
        <v>3309</v>
      </c>
      <c r="J29" s="598" t="s">
        <v>3309</v>
      </c>
      <c r="K29" s="598" t="s">
        <v>321</v>
      </c>
      <c r="L29" s="598" t="s">
        <v>321</v>
      </c>
      <c r="M29" s="598" t="s">
        <v>3309</v>
      </c>
      <c r="N29" s="598" t="s">
        <v>3309</v>
      </c>
      <c r="O29" s="598" t="s">
        <v>3309</v>
      </c>
      <c r="P29" s="598" t="s">
        <v>3309</v>
      </c>
      <c r="Q29" s="598" t="s">
        <v>3309</v>
      </c>
      <c r="R29" s="598" t="s">
        <v>321</v>
      </c>
      <c r="S29" s="598" t="s">
        <v>321</v>
      </c>
      <c r="T29" s="598" t="s">
        <v>3309</v>
      </c>
      <c r="U29" s="598" t="s">
        <v>3309</v>
      </c>
      <c r="V29" s="598" t="s">
        <v>3309</v>
      </c>
      <c r="W29" s="598" t="s">
        <v>3309</v>
      </c>
      <c r="X29" s="598" t="s">
        <v>3309</v>
      </c>
      <c r="Y29" s="598" t="s">
        <v>321</v>
      </c>
      <c r="Z29" s="598" t="s">
        <v>321</v>
      </c>
      <c r="AA29" s="598" t="s">
        <v>3309</v>
      </c>
      <c r="AB29" s="598" t="s">
        <v>3309</v>
      </c>
      <c r="AC29" s="598" t="s">
        <v>3309</v>
      </c>
      <c r="AD29" s="598" t="s">
        <v>3309</v>
      </c>
      <c r="AE29" s="598" t="s">
        <v>3309</v>
      </c>
      <c r="AF29" s="598" t="s">
        <v>321</v>
      </c>
      <c r="AG29" s="598" t="s">
        <v>321</v>
      </c>
      <c r="AH29" s="598" t="s">
        <v>3309</v>
      </c>
      <c r="AI29" s="598" t="s">
        <v>321</v>
      </c>
      <c r="AJ29" s="599">
        <v>21</v>
      </c>
      <c r="AK29" s="600">
        <v>18</v>
      </c>
      <c r="AL29" s="602">
        <v>3</v>
      </c>
      <c r="AM29" s="601">
        <v>0</v>
      </c>
      <c r="AN29" s="599">
        <v>21</v>
      </c>
    </row>
    <row r="30" spans="1:40" ht="16.5" customHeight="1">
      <c r="A30" s="598" t="s">
        <v>3307</v>
      </c>
      <c r="B30" s="598" t="s">
        <v>3315</v>
      </c>
      <c r="C30" s="598" t="s">
        <v>491</v>
      </c>
      <c r="D30" s="598" t="s">
        <v>492</v>
      </c>
      <c r="E30" s="598" t="s">
        <v>321</v>
      </c>
      <c r="F30" s="598" t="s">
        <v>3312</v>
      </c>
      <c r="G30" s="598" t="s">
        <v>3309</v>
      </c>
      <c r="H30" s="598" t="s">
        <v>3309</v>
      </c>
      <c r="I30" s="598" t="s">
        <v>3309</v>
      </c>
      <c r="J30" s="598" t="s">
        <v>3309</v>
      </c>
      <c r="K30" s="598" t="s">
        <v>321</v>
      </c>
      <c r="L30" s="598" t="s">
        <v>321</v>
      </c>
      <c r="M30" s="598" t="s">
        <v>3309</v>
      </c>
      <c r="N30" s="598" t="s">
        <v>3309</v>
      </c>
      <c r="O30" s="598" t="s">
        <v>3309</v>
      </c>
      <c r="P30" s="598" t="s">
        <v>3309</v>
      </c>
      <c r="Q30" s="598" t="s">
        <v>3309</v>
      </c>
      <c r="R30" s="598" t="s">
        <v>321</v>
      </c>
      <c r="S30" s="598" t="s">
        <v>321</v>
      </c>
      <c r="T30" s="598" t="s">
        <v>3309</v>
      </c>
      <c r="U30" s="598" t="s">
        <v>3309</v>
      </c>
      <c r="V30" s="598" t="s">
        <v>3309</v>
      </c>
      <c r="W30" s="598" t="s">
        <v>3309</v>
      </c>
      <c r="X30" s="598" t="s">
        <v>3309</v>
      </c>
      <c r="Y30" s="598" t="s">
        <v>321</v>
      </c>
      <c r="Z30" s="598" t="s">
        <v>321</v>
      </c>
      <c r="AA30" s="598" t="s">
        <v>3309</v>
      </c>
      <c r="AB30" s="598" t="s">
        <v>3309</v>
      </c>
      <c r="AC30" s="598" t="s">
        <v>3309</v>
      </c>
      <c r="AD30" s="598" t="s">
        <v>3309</v>
      </c>
      <c r="AE30" s="598" t="s">
        <v>3309</v>
      </c>
      <c r="AF30" s="598" t="s">
        <v>321</v>
      </c>
      <c r="AG30" s="598" t="s">
        <v>321</v>
      </c>
      <c r="AH30" s="598" t="s">
        <v>3309</v>
      </c>
      <c r="AI30" s="598" t="s">
        <v>321</v>
      </c>
      <c r="AJ30" s="599">
        <v>21</v>
      </c>
      <c r="AK30" s="600">
        <v>20</v>
      </c>
      <c r="AL30" s="602">
        <v>1</v>
      </c>
      <c r="AM30" s="601">
        <v>0</v>
      </c>
      <c r="AN30" s="599">
        <v>21</v>
      </c>
    </row>
    <row r="31" spans="1:40" ht="16.5" customHeight="1">
      <c r="A31" s="598" t="s">
        <v>3307</v>
      </c>
      <c r="B31" s="598" t="s">
        <v>3315</v>
      </c>
      <c r="C31" s="598" t="s">
        <v>1372</v>
      </c>
      <c r="D31" s="598" t="s">
        <v>1373</v>
      </c>
      <c r="E31" s="598" t="s">
        <v>321</v>
      </c>
      <c r="F31" s="598" t="s">
        <v>3316</v>
      </c>
      <c r="G31" s="598" t="s">
        <v>3316</v>
      </c>
      <c r="H31" s="598" t="s">
        <v>3316</v>
      </c>
      <c r="I31" s="598" t="s">
        <v>3316</v>
      </c>
      <c r="J31" s="598" t="s">
        <v>3316</v>
      </c>
      <c r="K31" s="598" t="s">
        <v>321</v>
      </c>
      <c r="L31" s="598" t="s">
        <v>321</v>
      </c>
      <c r="M31" s="598" t="s">
        <v>3309</v>
      </c>
      <c r="N31" s="598" t="s">
        <v>3309</v>
      </c>
      <c r="O31" s="598" t="s">
        <v>3309</v>
      </c>
      <c r="P31" s="598" t="s">
        <v>3309</v>
      </c>
      <c r="Q31" s="598" t="s">
        <v>3309</v>
      </c>
      <c r="R31" s="598" t="s">
        <v>321</v>
      </c>
      <c r="S31" s="598" t="s">
        <v>321</v>
      </c>
      <c r="T31" s="598" t="s">
        <v>3309</v>
      </c>
      <c r="U31" s="598" t="s">
        <v>3309</v>
      </c>
      <c r="V31" s="598" t="s">
        <v>3309</v>
      </c>
      <c r="W31" s="598" t="s">
        <v>3312</v>
      </c>
      <c r="X31" s="598" t="s">
        <v>3309</v>
      </c>
      <c r="Y31" s="598" t="s">
        <v>321</v>
      </c>
      <c r="Z31" s="598" t="s">
        <v>321</v>
      </c>
      <c r="AA31" s="598" t="s">
        <v>3309</v>
      </c>
      <c r="AB31" s="598" t="s">
        <v>3309</v>
      </c>
      <c r="AC31" s="598" t="s">
        <v>3309</v>
      </c>
      <c r="AD31" s="598" t="s">
        <v>3309</v>
      </c>
      <c r="AE31" s="598" t="s">
        <v>3309</v>
      </c>
      <c r="AF31" s="598" t="s">
        <v>321</v>
      </c>
      <c r="AG31" s="598" t="s">
        <v>321</v>
      </c>
      <c r="AH31" s="598" t="s">
        <v>3309</v>
      </c>
      <c r="AI31" s="598" t="s">
        <v>321</v>
      </c>
      <c r="AJ31" s="599">
        <v>21</v>
      </c>
      <c r="AK31" s="600">
        <v>15</v>
      </c>
      <c r="AL31" s="602">
        <v>1</v>
      </c>
      <c r="AM31" s="601">
        <v>0</v>
      </c>
      <c r="AN31" s="599">
        <v>16</v>
      </c>
    </row>
    <row r="32" spans="1:40" ht="16.5" customHeight="1">
      <c r="A32" s="598" t="s">
        <v>3307</v>
      </c>
      <c r="B32" s="598" t="s">
        <v>3315</v>
      </c>
      <c r="C32" s="598" t="s">
        <v>2185</v>
      </c>
      <c r="D32" s="598" t="s">
        <v>2186</v>
      </c>
      <c r="E32" s="598" t="s">
        <v>321</v>
      </c>
      <c r="F32" s="598" t="s">
        <v>3316</v>
      </c>
      <c r="G32" s="598" t="s">
        <v>3316</v>
      </c>
      <c r="H32" s="598" t="s">
        <v>3316</v>
      </c>
      <c r="I32" s="598" t="s">
        <v>3316</v>
      </c>
      <c r="J32" s="598" t="s">
        <v>3316</v>
      </c>
      <c r="K32" s="598" t="s">
        <v>321</v>
      </c>
      <c r="L32" s="598" t="s">
        <v>321</v>
      </c>
      <c r="M32" s="598" t="s">
        <v>3309</v>
      </c>
      <c r="N32" s="598" t="s">
        <v>3309</v>
      </c>
      <c r="O32" s="598" t="s">
        <v>3309</v>
      </c>
      <c r="P32" s="598" t="s">
        <v>3309</v>
      </c>
      <c r="Q32" s="598" t="s">
        <v>3312</v>
      </c>
      <c r="R32" s="598" t="s">
        <v>321</v>
      </c>
      <c r="S32" s="598" t="s">
        <v>321</v>
      </c>
      <c r="T32" s="598" t="s">
        <v>3309</v>
      </c>
      <c r="U32" s="598" t="s">
        <v>3309</v>
      </c>
      <c r="V32" s="598" t="s">
        <v>3309</v>
      </c>
      <c r="W32" s="598" t="s">
        <v>3309</v>
      </c>
      <c r="X32" s="598" t="s">
        <v>3309</v>
      </c>
      <c r="Y32" s="598" t="s">
        <v>321</v>
      </c>
      <c r="Z32" s="598" t="s">
        <v>321</v>
      </c>
      <c r="AA32" s="598" t="s">
        <v>3309</v>
      </c>
      <c r="AB32" s="598" t="s">
        <v>3309</v>
      </c>
      <c r="AC32" s="598" t="s">
        <v>3309</v>
      </c>
      <c r="AD32" s="598" t="s">
        <v>3309</v>
      </c>
      <c r="AE32" s="598" t="s">
        <v>3309</v>
      </c>
      <c r="AF32" s="598" t="s">
        <v>321</v>
      </c>
      <c r="AG32" s="598" t="s">
        <v>321</v>
      </c>
      <c r="AH32" s="598" t="s">
        <v>3309</v>
      </c>
      <c r="AI32" s="598" t="s">
        <v>321</v>
      </c>
      <c r="AJ32" s="599">
        <v>21</v>
      </c>
      <c r="AK32" s="600">
        <v>15</v>
      </c>
      <c r="AL32" s="602">
        <v>1</v>
      </c>
      <c r="AM32" s="601">
        <v>0</v>
      </c>
      <c r="AN32" s="599">
        <v>16</v>
      </c>
    </row>
    <row r="33" spans="1:40" ht="16.5" customHeight="1">
      <c r="A33" s="598" t="s">
        <v>3307</v>
      </c>
      <c r="B33" s="598" t="s">
        <v>3315</v>
      </c>
      <c r="C33" s="598" t="s">
        <v>957</v>
      </c>
      <c r="D33" s="598" t="s">
        <v>958</v>
      </c>
      <c r="E33" s="598" t="s">
        <v>321</v>
      </c>
      <c r="F33" s="598" t="s">
        <v>3309</v>
      </c>
      <c r="G33" s="598" t="s">
        <v>3309</v>
      </c>
      <c r="H33" s="598" t="s">
        <v>3309</v>
      </c>
      <c r="I33" s="598" t="s">
        <v>3309</v>
      </c>
      <c r="J33" s="598" t="s">
        <v>3309</v>
      </c>
      <c r="K33" s="598" t="s">
        <v>321</v>
      </c>
      <c r="L33" s="598" t="s">
        <v>321</v>
      </c>
      <c r="M33" s="598" t="s">
        <v>3309</v>
      </c>
      <c r="N33" s="598" t="s">
        <v>3309</v>
      </c>
      <c r="O33" s="598" t="s">
        <v>3309</v>
      </c>
      <c r="P33" s="598" t="s">
        <v>3309</v>
      </c>
      <c r="Q33" s="598" t="s">
        <v>3309</v>
      </c>
      <c r="R33" s="598" t="s">
        <v>321</v>
      </c>
      <c r="S33" s="598" t="s">
        <v>321</v>
      </c>
      <c r="T33" s="598" t="s">
        <v>3309</v>
      </c>
      <c r="U33" s="598" t="s">
        <v>3309</v>
      </c>
      <c r="V33" s="598" t="s">
        <v>3309</v>
      </c>
      <c r="W33" s="598" t="s">
        <v>3309</v>
      </c>
      <c r="X33" s="598" t="s">
        <v>3309</v>
      </c>
      <c r="Y33" s="598" t="s">
        <v>321</v>
      </c>
      <c r="Z33" s="598" t="s">
        <v>321</v>
      </c>
      <c r="AA33" s="598" t="s">
        <v>3309</v>
      </c>
      <c r="AB33" s="598" t="s">
        <v>3309</v>
      </c>
      <c r="AC33" s="598" t="s">
        <v>3309</v>
      </c>
      <c r="AD33" s="598" t="s">
        <v>3309</v>
      </c>
      <c r="AE33" s="598" t="s">
        <v>3309</v>
      </c>
      <c r="AF33" s="598" t="s">
        <v>321</v>
      </c>
      <c r="AG33" s="598" t="s">
        <v>321</v>
      </c>
      <c r="AH33" s="598" t="s">
        <v>3309</v>
      </c>
      <c r="AI33" s="598" t="s">
        <v>321</v>
      </c>
      <c r="AJ33" s="599">
        <v>21</v>
      </c>
      <c r="AK33" s="600">
        <v>21</v>
      </c>
      <c r="AL33" s="601">
        <v>0</v>
      </c>
      <c r="AM33" s="601">
        <v>0</v>
      </c>
      <c r="AN33" s="599">
        <v>21</v>
      </c>
    </row>
    <row r="34" spans="1:40" ht="16.5" customHeight="1">
      <c r="A34" s="598" t="s">
        <v>3307</v>
      </c>
      <c r="B34" s="598" t="s">
        <v>3315</v>
      </c>
      <c r="C34" s="598" t="s">
        <v>832</v>
      </c>
      <c r="D34" s="598" t="s">
        <v>833</v>
      </c>
      <c r="E34" s="598" t="s">
        <v>321</v>
      </c>
      <c r="F34" s="598" t="s">
        <v>3309</v>
      </c>
      <c r="G34" s="598" t="s">
        <v>3309</v>
      </c>
      <c r="H34" s="598" t="s">
        <v>3309</v>
      </c>
      <c r="I34" s="598" t="s">
        <v>3309</v>
      </c>
      <c r="J34" s="598" t="s">
        <v>3309</v>
      </c>
      <c r="K34" s="598" t="s">
        <v>321</v>
      </c>
      <c r="L34" s="598" t="s">
        <v>321</v>
      </c>
      <c r="M34" s="598" t="s">
        <v>3309</v>
      </c>
      <c r="N34" s="598" t="s">
        <v>3313</v>
      </c>
      <c r="O34" s="598" t="s">
        <v>3313</v>
      </c>
      <c r="P34" s="598" t="s">
        <v>3313</v>
      </c>
      <c r="Q34" s="598" t="s">
        <v>3312</v>
      </c>
      <c r="R34" s="598" t="s">
        <v>321</v>
      </c>
      <c r="S34" s="598" t="s">
        <v>321</v>
      </c>
      <c r="T34" s="598" t="s">
        <v>3309</v>
      </c>
      <c r="U34" s="598" t="s">
        <v>3309</v>
      </c>
      <c r="V34" s="598" t="s">
        <v>3309</v>
      </c>
      <c r="W34" s="598" t="s">
        <v>3309</v>
      </c>
      <c r="X34" s="598" t="s">
        <v>3309</v>
      </c>
      <c r="Y34" s="598" t="s">
        <v>321</v>
      </c>
      <c r="Z34" s="598" t="s">
        <v>321</v>
      </c>
      <c r="AA34" s="598" t="s">
        <v>3309</v>
      </c>
      <c r="AB34" s="598" t="s">
        <v>3309</v>
      </c>
      <c r="AC34" s="598" t="s">
        <v>3309</v>
      </c>
      <c r="AD34" s="598" t="s">
        <v>3309</v>
      </c>
      <c r="AE34" s="598" t="s">
        <v>3309</v>
      </c>
      <c r="AF34" s="598" t="s">
        <v>321</v>
      </c>
      <c r="AG34" s="598" t="s">
        <v>321</v>
      </c>
      <c r="AH34" s="598" t="s">
        <v>3309</v>
      </c>
      <c r="AI34" s="598" t="s">
        <v>321</v>
      </c>
      <c r="AJ34" s="599">
        <v>21</v>
      </c>
      <c r="AK34" s="600">
        <v>20</v>
      </c>
      <c r="AL34" s="602">
        <v>1</v>
      </c>
      <c r="AM34" s="601">
        <v>0</v>
      </c>
      <c r="AN34" s="599">
        <v>21</v>
      </c>
    </row>
    <row r="35" spans="1:40" ht="16.5" customHeight="1">
      <c r="A35" s="598" t="s">
        <v>3307</v>
      </c>
      <c r="B35" s="598" t="s">
        <v>3315</v>
      </c>
      <c r="C35" s="598" t="s">
        <v>322</v>
      </c>
      <c r="D35" s="598" t="s">
        <v>323</v>
      </c>
      <c r="E35" s="598" t="s">
        <v>321</v>
      </c>
      <c r="F35" s="598" t="s">
        <v>3309</v>
      </c>
      <c r="G35" s="598" t="s">
        <v>3309</v>
      </c>
      <c r="H35" s="598" t="s">
        <v>3309</v>
      </c>
      <c r="I35" s="598" t="s">
        <v>3309</v>
      </c>
      <c r="J35" s="598" t="s">
        <v>3309</v>
      </c>
      <c r="K35" s="598" t="s">
        <v>321</v>
      </c>
      <c r="L35" s="598" t="s">
        <v>321</v>
      </c>
      <c r="M35" s="598" t="s">
        <v>3309</v>
      </c>
      <c r="N35" s="598" t="s">
        <v>3309</v>
      </c>
      <c r="O35" s="598" t="s">
        <v>3312</v>
      </c>
      <c r="P35" s="598" t="s">
        <v>3312</v>
      </c>
      <c r="Q35" s="598" t="s">
        <v>3312</v>
      </c>
      <c r="R35" s="598" t="s">
        <v>321</v>
      </c>
      <c r="S35" s="598" t="s">
        <v>321</v>
      </c>
      <c r="T35" s="598" t="s">
        <v>3309</v>
      </c>
      <c r="U35" s="598" t="s">
        <v>3309</v>
      </c>
      <c r="V35" s="598" t="s">
        <v>3309</v>
      </c>
      <c r="W35" s="598" t="s">
        <v>3309</v>
      </c>
      <c r="X35" s="598" t="s">
        <v>3309</v>
      </c>
      <c r="Y35" s="598" t="s">
        <v>321</v>
      </c>
      <c r="Z35" s="598" t="s">
        <v>321</v>
      </c>
      <c r="AA35" s="598" t="s">
        <v>3309</v>
      </c>
      <c r="AB35" s="598" t="s">
        <v>3309</v>
      </c>
      <c r="AC35" s="598" t="s">
        <v>3309</v>
      </c>
      <c r="AD35" s="598" t="s">
        <v>3309</v>
      </c>
      <c r="AE35" s="598" t="s">
        <v>3309</v>
      </c>
      <c r="AF35" s="598" t="s">
        <v>321</v>
      </c>
      <c r="AG35" s="598" t="s">
        <v>321</v>
      </c>
      <c r="AH35" s="598" t="s">
        <v>3309</v>
      </c>
      <c r="AI35" s="598" t="s">
        <v>321</v>
      </c>
      <c r="AJ35" s="599">
        <v>21</v>
      </c>
      <c r="AK35" s="600">
        <v>18</v>
      </c>
      <c r="AL35" s="602">
        <v>3</v>
      </c>
      <c r="AM35" s="601">
        <v>0</v>
      </c>
      <c r="AN35" s="599">
        <v>21</v>
      </c>
    </row>
    <row r="36" spans="1:40" ht="16.5" customHeight="1">
      <c r="A36" s="598" t="s">
        <v>3307</v>
      </c>
      <c r="B36" s="598" t="s">
        <v>3315</v>
      </c>
      <c r="C36" s="598" t="s">
        <v>613</v>
      </c>
      <c r="D36" s="598" t="s">
        <v>614</v>
      </c>
      <c r="E36" s="598" t="s">
        <v>321</v>
      </c>
      <c r="F36" s="598" t="s">
        <v>3317</v>
      </c>
      <c r="G36" s="598" t="s">
        <v>3317</v>
      </c>
      <c r="H36" s="598" t="s">
        <v>3317</v>
      </c>
      <c r="I36" s="598" t="s">
        <v>3317</v>
      </c>
      <c r="J36" s="598" t="s">
        <v>3317</v>
      </c>
      <c r="K36" s="598" t="s">
        <v>321</v>
      </c>
      <c r="L36" s="598" t="s">
        <v>321</v>
      </c>
      <c r="M36" s="598" t="s">
        <v>3317</v>
      </c>
      <c r="N36" s="598" t="s">
        <v>3317</v>
      </c>
      <c r="O36" s="598" t="s">
        <v>3317</v>
      </c>
      <c r="P36" s="598" t="s">
        <v>3317</v>
      </c>
      <c r="Q36" s="598" t="s">
        <v>3317</v>
      </c>
      <c r="R36" s="598" t="s">
        <v>321</v>
      </c>
      <c r="S36" s="598" t="s">
        <v>321</v>
      </c>
      <c r="T36" s="598" t="s">
        <v>3317</v>
      </c>
      <c r="U36" s="598" t="s">
        <v>3317</v>
      </c>
      <c r="V36" s="598" t="s">
        <v>3317</v>
      </c>
      <c r="W36" s="598" t="s">
        <v>3317</v>
      </c>
      <c r="X36" s="598" t="s">
        <v>3317</v>
      </c>
      <c r="Y36" s="598" t="s">
        <v>321</v>
      </c>
      <c r="Z36" s="598" t="s">
        <v>321</v>
      </c>
      <c r="AA36" s="598" t="s">
        <v>3317</v>
      </c>
      <c r="AB36" s="598" t="s">
        <v>3317</v>
      </c>
      <c r="AC36" s="598" t="s">
        <v>3317</v>
      </c>
      <c r="AD36" s="598" t="s">
        <v>3316</v>
      </c>
      <c r="AE36" s="598" t="s">
        <v>3316</v>
      </c>
      <c r="AF36" s="598" t="s">
        <v>321</v>
      </c>
      <c r="AG36" s="598" t="s">
        <v>321</v>
      </c>
      <c r="AH36" s="598" t="s">
        <v>3316</v>
      </c>
      <c r="AI36" s="598" t="s">
        <v>321</v>
      </c>
      <c r="AJ36" s="599">
        <v>21</v>
      </c>
      <c r="AK36" s="601">
        <v>0</v>
      </c>
      <c r="AL36" s="601">
        <v>0</v>
      </c>
      <c r="AM36" s="601">
        <v>0</v>
      </c>
      <c r="AN36" s="605">
        <v>0</v>
      </c>
    </row>
    <row r="37" spans="1:40" ht="16.5" customHeight="1">
      <c r="A37" s="598" t="s">
        <v>3307</v>
      </c>
      <c r="B37" s="598" t="s">
        <v>3315</v>
      </c>
      <c r="C37" s="598" t="s">
        <v>797</v>
      </c>
      <c r="D37" s="598" t="s">
        <v>798</v>
      </c>
      <c r="E37" s="598" t="s">
        <v>321</v>
      </c>
      <c r="F37" s="598" t="s">
        <v>3309</v>
      </c>
      <c r="G37" s="598" t="s">
        <v>3309</v>
      </c>
      <c r="H37" s="598" t="s">
        <v>3309</v>
      </c>
      <c r="I37" s="598" t="s">
        <v>3309</v>
      </c>
      <c r="J37" s="598" t="s">
        <v>3309</v>
      </c>
      <c r="K37" s="598" t="s">
        <v>321</v>
      </c>
      <c r="L37" s="598" t="s">
        <v>321</v>
      </c>
      <c r="M37" s="598" t="s">
        <v>3309</v>
      </c>
      <c r="N37" s="598" t="s">
        <v>3309</v>
      </c>
      <c r="O37" s="598" t="s">
        <v>3309</v>
      </c>
      <c r="P37" s="598" t="s">
        <v>3309</v>
      </c>
      <c r="Q37" s="598" t="s">
        <v>3309</v>
      </c>
      <c r="R37" s="598" t="s">
        <v>321</v>
      </c>
      <c r="S37" s="598" t="s">
        <v>321</v>
      </c>
      <c r="T37" s="598" t="s">
        <v>3309</v>
      </c>
      <c r="U37" s="598" t="s">
        <v>3309</v>
      </c>
      <c r="V37" s="598" t="s">
        <v>3309</v>
      </c>
      <c r="W37" s="598" t="s">
        <v>3309</v>
      </c>
      <c r="X37" s="598" t="s">
        <v>3309</v>
      </c>
      <c r="Y37" s="598" t="s">
        <v>321</v>
      </c>
      <c r="Z37" s="598" t="s">
        <v>321</v>
      </c>
      <c r="AA37" s="598" t="s">
        <v>3309</v>
      </c>
      <c r="AB37" s="598" t="s">
        <v>3309</v>
      </c>
      <c r="AC37" s="598" t="s">
        <v>3309</v>
      </c>
      <c r="AD37" s="598" t="s">
        <v>3309</v>
      </c>
      <c r="AE37" s="598" t="s">
        <v>3309</v>
      </c>
      <c r="AF37" s="598" t="s">
        <v>321</v>
      </c>
      <c r="AG37" s="598" t="s">
        <v>321</v>
      </c>
      <c r="AH37" s="598" t="s">
        <v>3309</v>
      </c>
      <c r="AI37" s="598" t="s">
        <v>321</v>
      </c>
      <c r="AJ37" s="599">
        <v>21</v>
      </c>
      <c r="AK37" s="600">
        <v>21</v>
      </c>
      <c r="AL37" s="601">
        <v>0</v>
      </c>
      <c r="AM37" s="601">
        <v>0</v>
      </c>
      <c r="AN37" s="599">
        <v>21</v>
      </c>
    </row>
    <row r="38" spans="1:40" ht="16.5" customHeight="1">
      <c r="A38" s="598" t="s">
        <v>3307</v>
      </c>
      <c r="B38" s="598" t="s">
        <v>3315</v>
      </c>
      <c r="C38" s="598" t="s">
        <v>423</v>
      </c>
      <c r="D38" s="598" t="s">
        <v>424</v>
      </c>
      <c r="E38" s="598" t="s">
        <v>321</v>
      </c>
      <c r="F38" s="598" t="s">
        <v>3309</v>
      </c>
      <c r="G38" s="598" t="s">
        <v>3309</v>
      </c>
      <c r="H38" s="598" t="s">
        <v>3309</v>
      </c>
      <c r="I38" s="598" t="s">
        <v>3309</v>
      </c>
      <c r="J38" s="598" t="s">
        <v>3309</v>
      </c>
      <c r="K38" s="598" t="s">
        <v>321</v>
      </c>
      <c r="L38" s="598" t="s">
        <v>321</v>
      </c>
      <c r="M38" s="598" t="s">
        <v>3309</v>
      </c>
      <c r="N38" s="598" t="s">
        <v>3309</v>
      </c>
      <c r="O38" s="598" t="s">
        <v>3309</v>
      </c>
      <c r="P38" s="598" t="s">
        <v>3309</v>
      </c>
      <c r="Q38" s="598" t="s">
        <v>3309</v>
      </c>
      <c r="R38" s="598" t="s">
        <v>321</v>
      </c>
      <c r="S38" s="598" t="s">
        <v>321</v>
      </c>
      <c r="T38" s="598" t="s">
        <v>3309</v>
      </c>
      <c r="U38" s="598" t="s">
        <v>3309</v>
      </c>
      <c r="V38" s="598" t="s">
        <v>3309</v>
      </c>
      <c r="W38" s="598" t="s">
        <v>3309</v>
      </c>
      <c r="X38" s="598" t="s">
        <v>3309</v>
      </c>
      <c r="Y38" s="598" t="s">
        <v>321</v>
      </c>
      <c r="Z38" s="598" t="s">
        <v>321</v>
      </c>
      <c r="AA38" s="598" t="s">
        <v>3309</v>
      </c>
      <c r="AB38" s="598" t="s">
        <v>3309</v>
      </c>
      <c r="AC38" s="598" t="s">
        <v>3309</v>
      </c>
      <c r="AD38" s="598" t="s">
        <v>3309</v>
      </c>
      <c r="AE38" s="598" t="s">
        <v>3309</v>
      </c>
      <c r="AF38" s="598" t="s">
        <v>321</v>
      </c>
      <c r="AG38" s="598" t="s">
        <v>321</v>
      </c>
      <c r="AH38" s="598" t="s">
        <v>3309</v>
      </c>
      <c r="AI38" s="598" t="s">
        <v>321</v>
      </c>
      <c r="AJ38" s="599">
        <v>21</v>
      </c>
      <c r="AK38" s="600">
        <v>21</v>
      </c>
      <c r="AL38" s="601">
        <v>0</v>
      </c>
      <c r="AM38" s="601">
        <v>0</v>
      </c>
      <c r="AN38" s="599">
        <v>21</v>
      </c>
    </row>
    <row r="39" spans="1:40" ht="16.5" customHeight="1">
      <c r="A39" s="598" t="s">
        <v>3307</v>
      </c>
      <c r="B39" s="598" t="s">
        <v>3315</v>
      </c>
      <c r="C39" s="598" t="s">
        <v>928</v>
      </c>
      <c r="D39" s="598" t="s">
        <v>929</v>
      </c>
      <c r="E39" s="598" t="s">
        <v>321</v>
      </c>
      <c r="F39" s="598" t="s">
        <v>3309</v>
      </c>
      <c r="G39" s="598" t="s">
        <v>3309</v>
      </c>
      <c r="H39" s="598" t="s">
        <v>3309</v>
      </c>
      <c r="I39" s="598" t="s">
        <v>3309</v>
      </c>
      <c r="J39" s="598" t="s">
        <v>3309</v>
      </c>
      <c r="K39" s="598" t="s">
        <v>321</v>
      </c>
      <c r="L39" s="598" t="s">
        <v>321</v>
      </c>
      <c r="M39" s="598" t="s">
        <v>3309</v>
      </c>
      <c r="N39" s="598" t="s">
        <v>3309</v>
      </c>
      <c r="O39" s="598" t="s">
        <v>3309</v>
      </c>
      <c r="P39" s="598" t="s">
        <v>3309</v>
      </c>
      <c r="Q39" s="598" t="s">
        <v>3309</v>
      </c>
      <c r="R39" s="598" t="s">
        <v>321</v>
      </c>
      <c r="S39" s="598" t="s">
        <v>321</v>
      </c>
      <c r="T39" s="598" t="s">
        <v>3309</v>
      </c>
      <c r="U39" s="598" t="s">
        <v>3313</v>
      </c>
      <c r="V39" s="598" t="s">
        <v>3309</v>
      </c>
      <c r="W39" s="598" t="s">
        <v>3309</v>
      </c>
      <c r="X39" s="598" t="s">
        <v>3309</v>
      </c>
      <c r="Y39" s="598" t="s">
        <v>321</v>
      </c>
      <c r="Z39" s="598" t="s">
        <v>321</v>
      </c>
      <c r="AA39" s="598" t="s">
        <v>3309</v>
      </c>
      <c r="AB39" s="598" t="s">
        <v>3309</v>
      </c>
      <c r="AC39" s="598" t="s">
        <v>3309</v>
      </c>
      <c r="AD39" s="598" t="s">
        <v>3313</v>
      </c>
      <c r="AE39" s="598" t="s">
        <v>3313</v>
      </c>
      <c r="AF39" s="598" t="s">
        <v>321</v>
      </c>
      <c r="AG39" s="598" t="s">
        <v>321</v>
      </c>
      <c r="AH39" s="598" t="s">
        <v>3309</v>
      </c>
      <c r="AI39" s="598" t="s">
        <v>321</v>
      </c>
      <c r="AJ39" s="599">
        <v>21</v>
      </c>
      <c r="AK39" s="600">
        <v>21</v>
      </c>
      <c r="AL39" s="601">
        <v>0</v>
      </c>
      <c r="AM39" s="601">
        <v>0</v>
      </c>
      <c r="AN39" s="599">
        <v>21</v>
      </c>
    </row>
    <row r="40" spans="1:40" ht="16.5" customHeight="1">
      <c r="A40" s="598" t="s">
        <v>3307</v>
      </c>
      <c r="B40" s="598" t="s">
        <v>3315</v>
      </c>
      <c r="C40" s="598" t="s">
        <v>874</v>
      </c>
      <c r="D40" s="598" t="s">
        <v>875</v>
      </c>
      <c r="E40" s="598" t="s">
        <v>321</v>
      </c>
      <c r="F40" s="598" t="s">
        <v>3309</v>
      </c>
      <c r="G40" s="598" t="s">
        <v>3309</v>
      </c>
      <c r="H40" s="598" t="s">
        <v>3309</v>
      </c>
      <c r="I40" s="598" t="s">
        <v>3309</v>
      </c>
      <c r="J40" s="598" t="s">
        <v>3309</v>
      </c>
      <c r="K40" s="598" t="s">
        <v>321</v>
      </c>
      <c r="L40" s="598" t="s">
        <v>321</v>
      </c>
      <c r="M40" s="598" t="s">
        <v>3309</v>
      </c>
      <c r="N40" s="598" t="s">
        <v>3309</v>
      </c>
      <c r="O40" s="598" t="s">
        <v>3309</v>
      </c>
      <c r="P40" s="598" t="s">
        <v>3309</v>
      </c>
      <c r="Q40" s="598" t="s">
        <v>3309</v>
      </c>
      <c r="R40" s="598" t="s">
        <v>321</v>
      </c>
      <c r="S40" s="598" t="s">
        <v>321</v>
      </c>
      <c r="T40" s="598" t="s">
        <v>3309</v>
      </c>
      <c r="U40" s="598" t="s">
        <v>3309</v>
      </c>
      <c r="V40" s="598" t="s">
        <v>3309</v>
      </c>
      <c r="W40" s="598" t="s">
        <v>3309</v>
      </c>
      <c r="X40" s="598" t="s">
        <v>3309</v>
      </c>
      <c r="Y40" s="598" t="s">
        <v>321</v>
      </c>
      <c r="Z40" s="598" t="s">
        <v>321</v>
      </c>
      <c r="AA40" s="598" t="s">
        <v>3309</v>
      </c>
      <c r="AB40" s="598" t="s">
        <v>3309</v>
      </c>
      <c r="AC40" s="598" t="s">
        <v>3309</v>
      </c>
      <c r="AD40" s="598" t="s">
        <v>3309</v>
      </c>
      <c r="AE40" s="598" t="s">
        <v>3309</v>
      </c>
      <c r="AF40" s="598" t="s">
        <v>321</v>
      </c>
      <c r="AG40" s="598" t="s">
        <v>321</v>
      </c>
      <c r="AH40" s="598" t="s">
        <v>3309</v>
      </c>
      <c r="AI40" s="598" t="s">
        <v>321</v>
      </c>
      <c r="AJ40" s="599">
        <v>21</v>
      </c>
      <c r="AK40" s="600">
        <v>21</v>
      </c>
      <c r="AL40" s="601">
        <v>0</v>
      </c>
      <c r="AM40" s="601">
        <v>0</v>
      </c>
      <c r="AN40" s="599">
        <v>21</v>
      </c>
    </row>
    <row r="41" spans="1:40" ht="16.5" customHeight="1">
      <c r="A41" s="598" t="s">
        <v>3307</v>
      </c>
      <c r="B41" s="598" t="s">
        <v>3318</v>
      </c>
      <c r="C41" s="598" t="s">
        <v>854</v>
      </c>
      <c r="D41" s="598" t="s">
        <v>855</v>
      </c>
      <c r="E41" s="598" t="s">
        <v>321</v>
      </c>
      <c r="F41" s="598" t="s">
        <v>3309</v>
      </c>
      <c r="G41" s="598" t="s">
        <v>3309</v>
      </c>
      <c r="H41" s="598" t="s">
        <v>3313</v>
      </c>
      <c r="I41" s="598" t="s">
        <v>3313</v>
      </c>
      <c r="J41" s="598" t="s">
        <v>3313</v>
      </c>
      <c r="K41" s="598" t="s">
        <v>321</v>
      </c>
      <c r="L41" s="598" t="s">
        <v>321</v>
      </c>
      <c r="M41" s="598" t="s">
        <v>3309</v>
      </c>
      <c r="N41" s="598" t="s">
        <v>3309</v>
      </c>
      <c r="O41" s="598" t="s">
        <v>3309</v>
      </c>
      <c r="P41" s="598" t="s">
        <v>3309</v>
      </c>
      <c r="Q41" s="598" t="s">
        <v>3309</v>
      </c>
      <c r="R41" s="598" t="s">
        <v>321</v>
      </c>
      <c r="S41" s="598" t="s">
        <v>321</v>
      </c>
      <c r="T41" s="598" t="s">
        <v>3309</v>
      </c>
      <c r="U41" s="598" t="s">
        <v>3309</v>
      </c>
      <c r="V41" s="598" t="s">
        <v>3309</v>
      </c>
      <c r="W41" s="598" t="s">
        <v>3309</v>
      </c>
      <c r="X41" s="598" t="s">
        <v>3309</v>
      </c>
      <c r="Y41" s="598" t="s">
        <v>321</v>
      </c>
      <c r="Z41" s="598" t="s">
        <v>321</v>
      </c>
      <c r="AA41" s="598" t="s">
        <v>3309</v>
      </c>
      <c r="AB41" s="598" t="s">
        <v>3309</v>
      </c>
      <c r="AC41" s="598" t="s">
        <v>3309</v>
      </c>
      <c r="AD41" s="598" t="s">
        <v>3309</v>
      </c>
      <c r="AE41" s="598" t="s">
        <v>3309</v>
      </c>
      <c r="AF41" s="598" t="s">
        <v>321</v>
      </c>
      <c r="AG41" s="598" t="s">
        <v>321</v>
      </c>
      <c r="AH41" s="598" t="s">
        <v>3309</v>
      </c>
      <c r="AI41" s="598" t="s">
        <v>321</v>
      </c>
      <c r="AJ41" s="599">
        <v>21</v>
      </c>
      <c r="AK41" s="600">
        <v>21</v>
      </c>
      <c r="AL41" s="601">
        <v>0</v>
      </c>
      <c r="AM41" s="601">
        <v>0</v>
      </c>
      <c r="AN41" s="599">
        <v>21</v>
      </c>
    </row>
    <row r="42" spans="1:40" ht="16.5" customHeight="1">
      <c r="A42" s="598" t="s">
        <v>3307</v>
      </c>
      <c r="B42" s="598" t="s">
        <v>3318</v>
      </c>
      <c r="C42" s="598" t="s">
        <v>2811</v>
      </c>
      <c r="D42" s="598" t="s">
        <v>2812</v>
      </c>
      <c r="E42" s="598" t="s">
        <v>321</v>
      </c>
      <c r="F42" s="598" t="s">
        <v>3309</v>
      </c>
      <c r="G42" s="598" t="s">
        <v>3309</v>
      </c>
      <c r="H42" s="598" t="s">
        <v>3309</v>
      </c>
      <c r="I42" s="598" t="s">
        <v>3309</v>
      </c>
      <c r="J42" s="598" t="s">
        <v>3309</v>
      </c>
      <c r="K42" s="598" t="s">
        <v>321</v>
      </c>
      <c r="L42" s="598" t="s">
        <v>321</v>
      </c>
      <c r="M42" s="598" t="s">
        <v>3309</v>
      </c>
      <c r="N42" s="598" t="s">
        <v>3309</v>
      </c>
      <c r="O42" s="598" t="s">
        <v>3309</v>
      </c>
      <c r="P42" s="598" t="s">
        <v>3309</v>
      </c>
      <c r="Q42" s="598" t="s">
        <v>3309</v>
      </c>
      <c r="R42" s="598" t="s">
        <v>321</v>
      </c>
      <c r="S42" s="598" t="s">
        <v>321</v>
      </c>
      <c r="T42" s="598" t="s">
        <v>3309</v>
      </c>
      <c r="U42" s="598" t="s">
        <v>3309</v>
      </c>
      <c r="V42" s="598" t="s">
        <v>3309</v>
      </c>
      <c r="W42" s="598" t="s">
        <v>3309</v>
      </c>
      <c r="X42" s="598" t="s">
        <v>3309</v>
      </c>
      <c r="Y42" s="598" t="s">
        <v>321</v>
      </c>
      <c r="Z42" s="598" t="s">
        <v>321</v>
      </c>
      <c r="AA42" s="598" t="s">
        <v>3309</v>
      </c>
      <c r="AB42" s="598" t="s">
        <v>3309</v>
      </c>
      <c r="AC42" s="598" t="s">
        <v>3309</v>
      </c>
      <c r="AD42" s="598" t="s">
        <v>3309</v>
      </c>
      <c r="AE42" s="598" t="s">
        <v>3309</v>
      </c>
      <c r="AF42" s="598" t="s">
        <v>321</v>
      </c>
      <c r="AG42" s="598" t="s">
        <v>321</v>
      </c>
      <c r="AH42" s="598" t="s">
        <v>3309</v>
      </c>
      <c r="AI42" s="598" t="s">
        <v>321</v>
      </c>
      <c r="AJ42" s="599">
        <v>21</v>
      </c>
      <c r="AK42" s="600">
        <v>21</v>
      </c>
      <c r="AL42" s="601">
        <v>0</v>
      </c>
      <c r="AM42" s="601">
        <v>0</v>
      </c>
      <c r="AN42" s="599">
        <v>21</v>
      </c>
    </row>
    <row r="43" spans="1:40" ht="16.5" customHeight="1">
      <c r="A43" s="598" t="s">
        <v>3307</v>
      </c>
      <c r="B43" s="598" t="s">
        <v>3318</v>
      </c>
      <c r="C43" s="598" t="s">
        <v>979</v>
      </c>
      <c r="D43" s="598" t="s">
        <v>980</v>
      </c>
      <c r="E43" s="598" t="s">
        <v>321</v>
      </c>
      <c r="F43" s="598" t="s">
        <v>3309</v>
      </c>
      <c r="G43" s="598" t="s">
        <v>3309</v>
      </c>
      <c r="H43" s="598" t="s">
        <v>3313</v>
      </c>
      <c r="I43" s="598" t="s">
        <v>3313</v>
      </c>
      <c r="J43" s="598" t="s">
        <v>3313</v>
      </c>
      <c r="K43" s="598" t="s">
        <v>321</v>
      </c>
      <c r="L43" s="598" t="s">
        <v>321</v>
      </c>
      <c r="M43" s="598" t="s">
        <v>3309</v>
      </c>
      <c r="N43" s="598" t="s">
        <v>3309</v>
      </c>
      <c r="O43" s="598" t="s">
        <v>3309</v>
      </c>
      <c r="P43" s="598" t="s">
        <v>3309</v>
      </c>
      <c r="Q43" s="598" t="s">
        <v>3309</v>
      </c>
      <c r="R43" s="598" t="s">
        <v>321</v>
      </c>
      <c r="S43" s="598" t="s">
        <v>321</v>
      </c>
      <c r="T43" s="598" t="s">
        <v>3309</v>
      </c>
      <c r="U43" s="598" t="s">
        <v>3309</v>
      </c>
      <c r="V43" s="598" t="s">
        <v>3309</v>
      </c>
      <c r="W43" s="598" t="s">
        <v>3309</v>
      </c>
      <c r="X43" s="598" t="s">
        <v>3309</v>
      </c>
      <c r="Y43" s="598" t="s">
        <v>321</v>
      </c>
      <c r="Z43" s="598" t="s">
        <v>321</v>
      </c>
      <c r="AA43" s="598" t="s">
        <v>3309</v>
      </c>
      <c r="AB43" s="598" t="s">
        <v>3309</v>
      </c>
      <c r="AC43" s="598" t="s">
        <v>3309</v>
      </c>
      <c r="AD43" s="598" t="s">
        <v>3309</v>
      </c>
      <c r="AE43" s="598" t="s">
        <v>3309</v>
      </c>
      <c r="AF43" s="598" t="s">
        <v>321</v>
      </c>
      <c r="AG43" s="598" t="s">
        <v>321</v>
      </c>
      <c r="AH43" s="598" t="s">
        <v>3309</v>
      </c>
      <c r="AI43" s="598" t="s">
        <v>321</v>
      </c>
      <c r="AJ43" s="599">
        <v>21</v>
      </c>
      <c r="AK43" s="600">
        <v>21</v>
      </c>
      <c r="AL43" s="601">
        <v>0</v>
      </c>
      <c r="AM43" s="601">
        <v>0</v>
      </c>
      <c r="AN43" s="599">
        <v>21</v>
      </c>
    </row>
    <row r="44" spans="1:40" ht="16.5" customHeight="1">
      <c r="A44" s="598" t="s">
        <v>3307</v>
      </c>
      <c r="B44" s="598" t="s">
        <v>3318</v>
      </c>
      <c r="C44" s="598" t="s">
        <v>2340</v>
      </c>
      <c r="D44" s="598" t="s">
        <v>2341</v>
      </c>
      <c r="E44" s="598" t="s">
        <v>321</v>
      </c>
      <c r="F44" s="598" t="s">
        <v>3309</v>
      </c>
      <c r="G44" s="598" t="s">
        <v>3309</v>
      </c>
      <c r="H44" s="598" t="s">
        <v>3309</v>
      </c>
      <c r="I44" s="598" t="s">
        <v>3309</v>
      </c>
      <c r="J44" s="598" t="s">
        <v>3309</v>
      </c>
      <c r="K44" s="598" t="s">
        <v>321</v>
      </c>
      <c r="L44" s="598" t="s">
        <v>321</v>
      </c>
      <c r="M44" s="598" t="s">
        <v>3309</v>
      </c>
      <c r="N44" s="598" t="s">
        <v>3309</v>
      </c>
      <c r="O44" s="598" t="s">
        <v>3309</v>
      </c>
      <c r="P44" s="598" t="s">
        <v>3309</v>
      </c>
      <c r="Q44" s="598" t="s">
        <v>3309</v>
      </c>
      <c r="R44" s="598" t="s">
        <v>321</v>
      </c>
      <c r="S44" s="598" t="s">
        <v>321</v>
      </c>
      <c r="T44" s="598" t="s">
        <v>3309</v>
      </c>
      <c r="U44" s="598" t="s">
        <v>3309</v>
      </c>
      <c r="V44" s="598" t="s">
        <v>3309</v>
      </c>
      <c r="W44" s="598" t="s">
        <v>3309</v>
      </c>
      <c r="X44" s="598" t="s">
        <v>3309</v>
      </c>
      <c r="Y44" s="598" t="s">
        <v>321</v>
      </c>
      <c r="Z44" s="598" t="s">
        <v>321</v>
      </c>
      <c r="AA44" s="598" t="s">
        <v>3309</v>
      </c>
      <c r="AB44" s="598" t="s">
        <v>3309</v>
      </c>
      <c r="AC44" s="598" t="s">
        <v>3309</v>
      </c>
      <c r="AD44" s="598" t="s">
        <v>3309</v>
      </c>
      <c r="AE44" s="598" t="s">
        <v>3309</v>
      </c>
      <c r="AF44" s="598" t="s">
        <v>321</v>
      </c>
      <c r="AG44" s="598" t="s">
        <v>321</v>
      </c>
      <c r="AH44" s="598" t="s">
        <v>3309</v>
      </c>
      <c r="AI44" s="598" t="s">
        <v>321</v>
      </c>
      <c r="AJ44" s="599">
        <v>21</v>
      </c>
      <c r="AK44" s="600">
        <v>21</v>
      </c>
      <c r="AL44" s="601">
        <v>0</v>
      </c>
      <c r="AM44" s="601">
        <v>0</v>
      </c>
      <c r="AN44" s="599">
        <v>21</v>
      </c>
    </row>
    <row r="45" spans="1:40" ht="16.5" customHeight="1">
      <c r="A45" s="598" t="s">
        <v>3307</v>
      </c>
      <c r="B45" s="598" t="s">
        <v>3318</v>
      </c>
      <c r="C45" s="598" t="s">
        <v>2559</v>
      </c>
      <c r="D45" s="598" t="s">
        <v>2560</v>
      </c>
      <c r="E45" s="598" t="s">
        <v>321</v>
      </c>
      <c r="F45" s="598" t="s">
        <v>3309</v>
      </c>
      <c r="G45" s="598" t="s">
        <v>3309</v>
      </c>
      <c r="H45" s="598" t="s">
        <v>3313</v>
      </c>
      <c r="I45" s="598" t="s">
        <v>3313</v>
      </c>
      <c r="J45" s="598" t="s">
        <v>3313</v>
      </c>
      <c r="K45" s="598" t="s">
        <v>321</v>
      </c>
      <c r="L45" s="598" t="s">
        <v>321</v>
      </c>
      <c r="M45" s="598" t="s">
        <v>3309</v>
      </c>
      <c r="N45" s="598" t="s">
        <v>3309</v>
      </c>
      <c r="O45" s="598" t="s">
        <v>3309</v>
      </c>
      <c r="P45" s="598" t="s">
        <v>3309</v>
      </c>
      <c r="Q45" s="598" t="s">
        <v>3309</v>
      </c>
      <c r="R45" s="598" t="s">
        <v>321</v>
      </c>
      <c r="S45" s="598" t="s">
        <v>321</v>
      </c>
      <c r="T45" s="598" t="s">
        <v>3309</v>
      </c>
      <c r="U45" s="598" t="s">
        <v>3309</v>
      </c>
      <c r="V45" s="598" t="s">
        <v>3309</v>
      </c>
      <c r="W45" s="598" t="s">
        <v>3309</v>
      </c>
      <c r="X45" s="598" t="s">
        <v>3309</v>
      </c>
      <c r="Y45" s="598" t="s">
        <v>321</v>
      </c>
      <c r="Z45" s="598" t="s">
        <v>321</v>
      </c>
      <c r="AA45" s="598" t="s">
        <v>3309</v>
      </c>
      <c r="AB45" s="598" t="s">
        <v>3309</v>
      </c>
      <c r="AC45" s="598" t="s">
        <v>3309</v>
      </c>
      <c r="AD45" s="598" t="s">
        <v>3309</v>
      </c>
      <c r="AE45" s="598" t="s">
        <v>3309</v>
      </c>
      <c r="AF45" s="598" t="s">
        <v>321</v>
      </c>
      <c r="AG45" s="598" t="s">
        <v>321</v>
      </c>
      <c r="AH45" s="598" t="s">
        <v>3309</v>
      </c>
      <c r="AI45" s="598" t="s">
        <v>321</v>
      </c>
      <c r="AJ45" s="599">
        <v>21</v>
      </c>
      <c r="AK45" s="600">
        <v>21</v>
      </c>
      <c r="AL45" s="601">
        <v>0</v>
      </c>
      <c r="AM45" s="601">
        <v>0</v>
      </c>
      <c r="AN45" s="599">
        <v>21</v>
      </c>
    </row>
    <row r="46" spans="1:40" ht="16.5" customHeight="1">
      <c r="A46" s="598" t="s">
        <v>3307</v>
      </c>
      <c r="B46" s="598" t="s">
        <v>3318</v>
      </c>
      <c r="C46" s="598" t="s">
        <v>2955</v>
      </c>
      <c r="D46" s="598" t="s">
        <v>2956</v>
      </c>
      <c r="E46" s="598" t="s">
        <v>321</v>
      </c>
      <c r="F46" s="598" t="s">
        <v>3309</v>
      </c>
      <c r="G46" s="598" t="s">
        <v>3309</v>
      </c>
      <c r="H46" s="598" t="s">
        <v>3313</v>
      </c>
      <c r="I46" s="598" t="s">
        <v>3313</v>
      </c>
      <c r="J46" s="598" t="s">
        <v>3313</v>
      </c>
      <c r="K46" s="598" t="s">
        <v>321</v>
      </c>
      <c r="L46" s="598" t="s">
        <v>321</v>
      </c>
      <c r="M46" s="598" t="s">
        <v>3309</v>
      </c>
      <c r="N46" s="598" t="s">
        <v>3309</v>
      </c>
      <c r="O46" s="598" t="s">
        <v>3309</v>
      </c>
      <c r="P46" s="598" t="s">
        <v>3309</v>
      </c>
      <c r="Q46" s="598" t="s">
        <v>3309</v>
      </c>
      <c r="R46" s="598" t="s">
        <v>321</v>
      </c>
      <c r="S46" s="598" t="s">
        <v>321</v>
      </c>
      <c r="T46" s="598" t="s">
        <v>3309</v>
      </c>
      <c r="U46" s="598" t="s">
        <v>3309</v>
      </c>
      <c r="V46" s="598" t="s">
        <v>3309</v>
      </c>
      <c r="W46" s="598" t="s">
        <v>3309</v>
      </c>
      <c r="X46" s="598" t="s">
        <v>3309</v>
      </c>
      <c r="Y46" s="598" t="s">
        <v>321</v>
      </c>
      <c r="Z46" s="598" t="s">
        <v>321</v>
      </c>
      <c r="AA46" s="598" t="s">
        <v>3309</v>
      </c>
      <c r="AB46" s="598" t="s">
        <v>3309</v>
      </c>
      <c r="AC46" s="598" t="s">
        <v>3309</v>
      </c>
      <c r="AD46" s="598" t="s">
        <v>3309</v>
      </c>
      <c r="AE46" s="598" t="s">
        <v>3309</v>
      </c>
      <c r="AF46" s="598" t="s">
        <v>321</v>
      </c>
      <c r="AG46" s="598" t="s">
        <v>321</v>
      </c>
      <c r="AH46" s="598" t="s">
        <v>3309</v>
      </c>
      <c r="AI46" s="598" t="s">
        <v>321</v>
      </c>
      <c r="AJ46" s="599">
        <v>21</v>
      </c>
      <c r="AK46" s="600">
        <v>21</v>
      </c>
      <c r="AL46" s="601">
        <v>0</v>
      </c>
      <c r="AM46" s="601">
        <v>0</v>
      </c>
      <c r="AN46" s="599">
        <v>21</v>
      </c>
    </row>
    <row r="47" spans="1:40" ht="16.5" customHeight="1">
      <c r="A47" s="598" t="s">
        <v>3307</v>
      </c>
      <c r="B47" s="598" t="s">
        <v>3318</v>
      </c>
      <c r="C47" s="598" t="s">
        <v>2568</v>
      </c>
      <c r="D47" s="598" t="s">
        <v>2569</v>
      </c>
      <c r="E47" s="598" t="s">
        <v>321</v>
      </c>
      <c r="F47" s="598" t="s">
        <v>3309</v>
      </c>
      <c r="G47" s="598" t="s">
        <v>3309</v>
      </c>
      <c r="H47" s="598" t="s">
        <v>3313</v>
      </c>
      <c r="I47" s="598" t="s">
        <v>3313</v>
      </c>
      <c r="J47" s="598" t="s">
        <v>3313</v>
      </c>
      <c r="K47" s="598" t="s">
        <v>321</v>
      </c>
      <c r="L47" s="598" t="s">
        <v>321</v>
      </c>
      <c r="M47" s="598" t="s">
        <v>3309</v>
      </c>
      <c r="N47" s="598" t="s">
        <v>3309</v>
      </c>
      <c r="O47" s="598" t="s">
        <v>3309</v>
      </c>
      <c r="P47" s="598" t="s">
        <v>3309</v>
      </c>
      <c r="Q47" s="598" t="s">
        <v>3309</v>
      </c>
      <c r="R47" s="598" t="s">
        <v>321</v>
      </c>
      <c r="S47" s="598" t="s">
        <v>321</v>
      </c>
      <c r="T47" s="598" t="s">
        <v>3309</v>
      </c>
      <c r="U47" s="598" t="s">
        <v>3309</v>
      </c>
      <c r="V47" s="598" t="s">
        <v>3309</v>
      </c>
      <c r="W47" s="598" t="s">
        <v>3309</v>
      </c>
      <c r="X47" s="598" t="s">
        <v>3309</v>
      </c>
      <c r="Y47" s="598" t="s">
        <v>321</v>
      </c>
      <c r="Z47" s="598" t="s">
        <v>321</v>
      </c>
      <c r="AA47" s="598" t="s">
        <v>3309</v>
      </c>
      <c r="AB47" s="598" t="s">
        <v>3309</v>
      </c>
      <c r="AC47" s="598" t="s">
        <v>3309</v>
      </c>
      <c r="AD47" s="598" t="s">
        <v>3309</v>
      </c>
      <c r="AE47" s="598" t="s">
        <v>3309</v>
      </c>
      <c r="AF47" s="598" t="s">
        <v>321</v>
      </c>
      <c r="AG47" s="598" t="s">
        <v>321</v>
      </c>
      <c r="AH47" s="598" t="s">
        <v>3309</v>
      </c>
      <c r="AI47" s="598" t="s">
        <v>321</v>
      </c>
      <c r="AJ47" s="599">
        <v>21</v>
      </c>
      <c r="AK47" s="600">
        <v>21</v>
      </c>
      <c r="AL47" s="601">
        <v>0</v>
      </c>
      <c r="AM47" s="601">
        <v>0</v>
      </c>
      <c r="AN47" s="599">
        <v>21</v>
      </c>
    </row>
    <row r="48" spans="1:40" ht="16.5" customHeight="1">
      <c r="A48" s="598" t="s">
        <v>3307</v>
      </c>
      <c r="B48" s="598" t="s">
        <v>3318</v>
      </c>
      <c r="C48" s="598" t="s">
        <v>2627</v>
      </c>
      <c r="D48" s="598" t="s">
        <v>2628</v>
      </c>
      <c r="E48" s="598" t="s">
        <v>321</v>
      </c>
      <c r="F48" s="598" t="s">
        <v>3309</v>
      </c>
      <c r="G48" s="598" t="s">
        <v>3309</v>
      </c>
      <c r="H48" s="598" t="s">
        <v>3309</v>
      </c>
      <c r="I48" s="598" t="s">
        <v>3309</v>
      </c>
      <c r="J48" s="598" t="s">
        <v>3312</v>
      </c>
      <c r="K48" s="598" t="s">
        <v>321</v>
      </c>
      <c r="L48" s="598" t="s">
        <v>321</v>
      </c>
      <c r="M48" s="598" t="s">
        <v>3309</v>
      </c>
      <c r="N48" s="598" t="s">
        <v>3309</v>
      </c>
      <c r="O48" s="598" t="s">
        <v>3309</v>
      </c>
      <c r="P48" s="598" t="s">
        <v>3309</v>
      </c>
      <c r="Q48" s="598" t="s">
        <v>3309</v>
      </c>
      <c r="R48" s="598" t="s">
        <v>321</v>
      </c>
      <c r="S48" s="598" t="s">
        <v>321</v>
      </c>
      <c r="T48" s="598" t="s">
        <v>3309</v>
      </c>
      <c r="U48" s="598" t="s">
        <v>3309</v>
      </c>
      <c r="V48" s="598" t="s">
        <v>3309</v>
      </c>
      <c r="W48" s="598" t="s">
        <v>3309</v>
      </c>
      <c r="X48" s="598" t="s">
        <v>3309</v>
      </c>
      <c r="Y48" s="598" t="s">
        <v>321</v>
      </c>
      <c r="Z48" s="598" t="s">
        <v>321</v>
      </c>
      <c r="AA48" s="598" t="s">
        <v>3309</v>
      </c>
      <c r="AB48" s="598" t="s">
        <v>3309</v>
      </c>
      <c r="AC48" s="598" t="s">
        <v>3309</v>
      </c>
      <c r="AD48" s="598" t="s">
        <v>3309</v>
      </c>
      <c r="AE48" s="598" t="s">
        <v>3309</v>
      </c>
      <c r="AF48" s="598" t="s">
        <v>321</v>
      </c>
      <c r="AG48" s="598" t="s">
        <v>321</v>
      </c>
      <c r="AH48" s="598" t="s">
        <v>3309</v>
      </c>
      <c r="AI48" s="598" t="s">
        <v>321</v>
      </c>
      <c r="AJ48" s="599">
        <v>21</v>
      </c>
      <c r="AK48" s="600">
        <v>20</v>
      </c>
      <c r="AL48" s="602">
        <v>1</v>
      </c>
      <c r="AM48" s="601">
        <v>0</v>
      </c>
      <c r="AN48" s="599">
        <v>21</v>
      </c>
    </row>
    <row r="49" spans="1:40" ht="16.5" customHeight="1">
      <c r="A49" s="598" t="s">
        <v>3307</v>
      </c>
      <c r="B49" s="598" t="s">
        <v>3318</v>
      </c>
      <c r="C49" s="598" t="s">
        <v>2059</v>
      </c>
      <c r="D49" s="598" t="s">
        <v>2060</v>
      </c>
      <c r="E49" s="598" t="s">
        <v>321</v>
      </c>
      <c r="F49" s="598" t="s">
        <v>3309</v>
      </c>
      <c r="G49" s="598" t="s">
        <v>3309</v>
      </c>
      <c r="H49" s="598" t="s">
        <v>3313</v>
      </c>
      <c r="I49" s="598" t="s">
        <v>3313</v>
      </c>
      <c r="J49" s="598" t="s">
        <v>3313</v>
      </c>
      <c r="K49" s="598" t="s">
        <v>321</v>
      </c>
      <c r="L49" s="598" t="s">
        <v>321</v>
      </c>
      <c r="M49" s="598" t="s">
        <v>3309</v>
      </c>
      <c r="N49" s="598" t="s">
        <v>3309</v>
      </c>
      <c r="O49" s="598" t="s">
        <v>3309</v>
      </c>
      <c r="P49" s="598" t="s">
        <v>3309</v>
      </c>
      <c r="Q49" s="598" t="s">
        <v>3309</v>
      </c>
      <c r="R49" s="598" t="s">
        <v>321</v>
      </c>
      <c r="S49" s="598" t="s">
        <v>321</v>
      </c>
      <c r="T49" s="598" t="s">
        <v>3314</v>
      </c>
      <c r="U49" s="598" t="s">
        <v>3309</v>
      </c>
      <c r="V49" s="598" t="s">
        <v>3309</v>
      </c>
      <c r="W49" s="598" t="s">
        <v>3309</v>
      </c>
      <c r="X49" s="598" t="s">
        <v>3309</v>
      </c>
      <c r="Y49" s="598" t="s">
        <v>321</v>
      </c>
      <c r="Z49" s="598" t="s">
        <v>321</v>
      </c>
      <c r="AA49" s="598" t="s">
        <v>3309</v>
      </c>
      <c r="AB49" s="598" t="s">
        <v>3309</v>
      </c>
      <c r="AC49" s="598" t="s">
        <v>3309</v>
      </c>
      <c r="AD49" s="598" t="s">
        <v>3309</v>
      </c>
      <c r="AE49" s="598" t="s">
        <v>3309</v>
      </c>
      <c r="AF49" s="598" t="s">
        <v>321</v>
      </c>
      <c r="AG49" s="598" t="s">
        <v>321</v>
      </c>
      <c r="AH49" s="598" t="s">
        <v>3309</v>
      </c>
      <c r="AI49" s="598" t="s">
        <v>321</v>
      </c>
      <c r="AJ49" s="599">
        <v>21</v>
      </c>
      <c r="AK49" s="603">
        <v>20.5</v>
      </c>
      <c r="AL49" s="604">
        <v>0.5</v>
      </c>
      <c r="AM49" s="601">
        <v>0</v>
      </c>
      <c r="AN49" s="599">
        <v>21</v>
      </c>
    </row>
    <row r="50" spans="1:40" ht="16.5" customHeight="1">
      <c r="A50" s="598" t="s">
        <v>3307</v>
      </c>
      <c r="B50" s="598" t="s">
        <v>3318</v>
      </c>
      <c r="C50" s="598" t="s">
        <v>860</v>
      </c>
      <c r="D50" s="598" t="s">
        <v>861</v>
      </c>
      <c r="E50" s="598" t="s">
        <v>321</v>
      </c>
      <c r="F50" s="598" t="s">
        <v>3309</v>
      </c>
      <c r="G50" s="598" t="s">
        <v>3309</v>
      </c>
      <c r="H50" s="598" t="s">
        <v>3313</v>
      </c>
      <c r="I50" s="598" t="s">
        <v>3313</v>
      </c>
      <c r="J50" s="598" t="s">
        <v>3313</v>
      </c>
      <c r="K50" s="598" t="s">
        <v>321</v>
      </c>
      <c r="L50" s="598" t="s">
        <v>321</v>
      </c>
      <c r="M50" s="598" t="s">
        <v>3309</v>
      </c>
      <c r="N50" s="598" t="s">
        <v>3309</v>
      </c>
      <c r="O50" s="598" t="s">
        <v>3309</v>
      </c>
      <c r="P50" s="598" t="s">
        <v>3309</v>
      </c>
      <c r="Q50" s="598" t="s">
        <v>3309</v>
      </c>
      <c r="R50" s="598" t="s">
        <v>321</v>
      </c>
      <c r="S50" s="598" t="s">
        <v>321</v>
      </c>
      <c r="T50" s="598" t="s">
        <v>3309</v>
      </c>
      <c r="U50" s="598" t="s">
        <v>3309</v>
      </c>
      <c r="V50" s="598" t="s">
        <v>3309</v>
      </c>
      <c r="W50" s="598" t="s">
        <v>3309</v>
      </c>
      <c r="X50" s="598" t="s">
        <v>3309</v>
      </c>
      <c r="Y50" s="598" t="s">
        <v>321</v>
      </c>
      <c r="Z50" s="598" t="s">
        <v>321</v>
      </c>
      <c r="AA50" s="598" t="s">
        <v>3309</v>
      </c>
      <c r="AB50" s="598" t="s">
        <v>3309</v>
      </c>
      <c r="AC50" s="598" t="s">
        <v>3309</v>
      </c>
      <c r="AD50" s="598" t="s">
        <v>3309</v>
      </c>
      <c r="AE50" s="598" t="s">
        <v>3309</v>
      </c>
      <c r="AF50" s="598" t="s">
        <v>321</v>
      </c>
      <c r="AG50" s="598" t="s">
        <v>321</v>
      </c>
      <c r="AH50" s="598" t="s">
        <v>3309</v>
      </c>
      <c r="AI50" s="598" t="s">
        <v>321</v>
      </c>
      <c r="AJ50" s="599">
        <v>21</v>
      </c>
      <c r="AK50" s="600">
        <v>21</v>
      </c>
      <c r="AL50" s="601">
        <v>0</v>
      </c>
      <c r="AM50" s="601">
        <v>0</v>
      </c>
      <c r="AN50" s="599">
        <v>21</v>
      </c>
    </row>
    <row r="51" spans="1:40" ht="16.5" customHeight="1">
      <c r="A51" s="598" t="s">
        <v>3307</v>
      </c>
      <c r="B51" s="598" t="s">
        <v>3318</v>
      </c>
      <c r="C51" s="598" t="s">
        <v>2464</v>
      </c>
      <c r="D51" s="598" t="s">
        <v>2465</v>
      </c>
      <c r="E51" s="598" t="s">
        <v>321</v>
      </c>
      <c r="F51" s="598" t="s">
        <v>3319</v>
      </c>
      <c r="G51" s="598" t="s">
        <v>3319</v>
      </c>
      <c r="H51" s="598" t="s">
        <v>3319</v>
      </c>
      <c r="I51" s="598" t="s">
        <v>3319</v>
      </c>
      <c r="J51" s="598" t="s">
        <v>3319</v>
      </c>
      <c r="K51" s="598" t="s">
        <v>321</v>
      </c>
      <c r="L51" s="598" t="s">
        <v>321</v>
      </c>
      <c r="M51" s="598" t="s">
        <v>3319</v>
      </c>
      <c r="N51" s="598" t="s">
        <v>3319</v>
      </c>
      <c r="O51" s="598" t="s">
        <v>3319</v>
      </c>
      <c r="P51" s="598" t="s">
        <v>3319</v>
      </c>
      <c r="Q51" s="598" t="s">
        <v>3319</v>
      </c>
      <c r="R51" s="598" t="s">
        <v>321</v>
      </c>
      <c r="S51" s="598" t="s">
        <v>321</v>
      </c>
      <c r="T51" s="598" t="s">
        <v>3319</v>
      </c>
      <c r="U51" s="598" t="s">
        <v>3319</v>
      </c>
      <c r="V51" s="598" t="s">
        <v>3319</v>
      </c>
      <c r="W51" s="598" t="s">
        <v>3319</v>
      </c>
      <c r="X51" s="598" t="s">
        <v>3319</v>
      </c>
      <c r="Y51" s="598" t="s">
        <v>321</v>
      </c>
      <c r="Z51" s="598" t="s">
        <v>321</v>
      </c>
      <c r="AA51" s="598" t="s">
        <v>3319</v>
      </c>
      <c r="AB51" s="598" t="s">
        <v>3319</v>
      </c>
      <c r="AC51" s="598" t="s">
        <v>3319</v>
      </c>
      <c r="AD51" s="598" t="s">
        <v>3319</v>
      </c>
      <c r="AE51" s="598" t="s">
        <v>3319</v>
      </c>
      <c r="AF51" s="598" t="s">
        <v>321</v>
      </c>
      <c r="AG51" s="598" t="s">
        <v>321</v>
      </c>
      <c r="AH51" s="598" t="s">
        <v>3319</v>
      </c>
      <c r="AI51" s="598" t="s">
        <v>321</v>
      </c>
      <c r="AJ51" s="599">
        <v>21</v>
      </c>
      <c r="AK51" s="601">
        <v>0</v>
      </c>
      <c r="AL51" s="601">
        <v>0</v>
      </c>
      <c r="AM51" s="601">
        <v>0</v>
      </c>
      <c r="AN51" s="605">
        <v>0</v>
      </c>
    </row>
    <row r="52" spans="1:40" ht="16.5" customHeight="1">
      <c r="A52" s="598" t="s">
        <v>3307</v>
      </c>
      <c r="B52" s="598" t="s">
        <v>3318</v>
      </c>
      <c r="C52" s="598" t="s">
        <v>2889</v>
      </c>
      <c r="D52" s="598" t="s">
        <v>2890</v>
      </c>
      <c r="E52" s="598" t="s">
        <v>321</v>
      </c>
      <c r="F52" s="598" t="s">
        <v>3312</v>
      </c>
      <c r="G52" s="598" t="s">
        <v>3312</v>
      </c>
      <c r="H52" s="598" t="s">
        <v>3309</v>
      </c>
      <c r="I52" s="598" t="s">
        <v>3309</v>
      </c>
      <c r="J52" s="598" t="s">
        <v>3309</v>
      </c>
      <c r="K52" s="598" t="s">
        <v>321</v>
      </c>
      <c r="L52" s="598" t="s">
        <v>321</v>
      </c>
      <c r="M52" s="598" t="s">
        <v>3309</v>
      </c>
      <c r="N52" s="598" t="s">
        <v>3309</v>
      </c>
      <c r="O52" s="598" t="s">
        <v>3309</v>
      </c>
      <c r="P52" s="598" t="s">
        <v>3309</v>
      </c>
      <c r="Q52" s="598" t="s">
        <v>3309</v>
      </c>
      <c r="R52" s="598" t="s">
        <v>321</v>
      </c>
      <c r="S52" s="598" t="s">
        <v>321</v>
      </c>
      <c r="T52" s="598" t="s">
        <v>3309</v>
      </c>
      <c r="U52" s="598" t="s">
        <v>3309</v>
      </c>
      <c r="V52" s="598" t="s">
        <v>3309</v>
      </c>
      <c r="W52" s="598" t="s">
        <v>3309</v>
      </c>
      <c r="X52" s="598" t="s">
        <v>3309</v>
      </c>
      <c r="Y52" s="598" t="s">
        <v>321</v>
      </c>
      <c r="Z52" s="598" t="s">
        <v>321</v>
      </c>
      <c r="AA52" s="598" t="s">
        <v>3309</v>
      </c>
      <c r="AB52" s="598" t="s">
        <v>3309</v>
      </c>
      <c r="AC52" s="598" t="s">
        <v>3309</v>
      </c>
      <c r="AD52" s="598" t="s">
        <v>3309</v>
      </c>
      <c r="AE52" s="598" t="s">
        <v>3309</v>
      </c>
      <c r="AF52" s="598" t="s">
        <v>321</v>
      </c>
      <c r="AG52" s="598" t="s">
        <v>321</v>
      </c>
      <c r="AH52" s="598" t="s">
        <v>3309</v>
      </c>
      <c r="AI52" s="598" t="s">
        <v>321</v>
      </c>
      <c r="AJ52" s="599">
        <v>21</v>
      </c>
      <c r="AK52" s="600">
        <v>19</v>
      </c>
      <c r="AL52" s="602">
        <v>2</v>
      </c>
      <c r="AM52" s="601">
        <v>0</v>
      </c>
      <c r="AN52" s="599">
        <v>21</v>
      </c>
    </row>
    <row r="53" spans="1:40" ht="16.5" customHeight="1">
      <c r="A53" s="598" t="s">
        <v>3307</v>
      </c>
      <c r="B53" s="598" t="s">
        <v>3318</v>
      </c>
      <c r="C53" s="598" t="s">
        <v>2809</v>
      </c>
      <c r="D53" s="598" t="s">
        <v>2810</v>
      </c>
      <c r="E53" s="598" t="s">
        <v>321</v>
      </c>
      <c r="F53" s="598" t="s">
        <v>3309</v>
      </c>
      <c r="G53" s="598" t="s">
        <v>3309</v>
      </c>
      <c r="H53" s="598" t="s">
        <v>3309</v>
      </c>
      <c r="I53" s="598" t="s">
        <v>3309</v>
      </c>
      <c r="J53" s="598" t="s">
        <v>3309</v>
      </c>
      <c r="K53" s="598" t="s">
        <v>321</v>
      </c>
      <c r="L53" s="598" t="s">
        <v>321</v>
      </c>
      <c r="M53" s="598" t="s">
        <v>3309</v>
      </c>
      <c r="N53" s="598" t="s">
        <v>3309</v>
      </c>
      <c r="O53" s="598" t="s">
        <v>3309</v>
      </c>
      <c r="P53" s="598" t="s">
        <v>3309</v>
      </c>
      <c r="Q53" s="598" t="s">
        <v>3309</v>
      </c>
      <c r="R53" s="598" t="s">
        <v>321</v>
      </c>
      <c r="S53" s="598" t="s">
        <v>321</v>
      </c>
      <c r="T53" s="598" t="s">
        <v>3309</v>
      </c>
      <c r="U53" s="598" t="s">
        <v>3309</v>
      </c>
      <c r="V53" s="598" t="s">
        <v>3309</v>
      </c>
      <c r="W53" s="598" t="s">
        <v>3309</v>
      </c>
      <c r="X53" s="598" t="s">
        <v>3309</v>
      </c>
      <c r="Y53" s="598" t="s">
        <v>321</v>
      </c>
      <c r="Z53" s="598" t="s">
        <v>321</v>
      </c>
      <c r="AA53" s="598" t="s">
        <v>3309</v>
      </c>
      <c r="AB53" s="598" t="s">
        <v>3309</v>
      </c>
      <c r="AC53" s="598" t="s">
        <v>3309</v>
      </c>
      <c r="AD53" s="598" t="s">
        <v>3309</v>
      </c>
      <c r="AE53" s="598" t="s">
        <v>3309</v>
      </c>
      <c r="AF53" s="598" t="s">
        <v>321</v>
      </c>
      <c r="AG53" s="598" t="s">
        <v>321</v>
      </c>
      <c r="AH53" s="598" t="s">
        <v>3309</v>
      </c>
      <c r="AI53" s="598" t="s">
        <v>321</v>
      </c>
      <c r="AJ53" s="599">
        <v>21</v>
      </c>
      <c r="AK53" s="600">
        <v>21</v>
      </c>
      <c r="AL53" s="601">
        <v>0</v>
      </c>
      <c r="AM53" s="601">
        <v>0</v>
      </c>
      <c r="AN53" s="599">
        <v>21</v>
      </c>
    </row>
    <row r="54" spans="1:40" ht="16.5" customHeight="1">
      <c r="A54" s="598" t="s">
        <v>3307</v>
      </c>
      <c r="B54" s="598" t="s">
        <v>3318</v>
      </c>
      <c r="C54" s="598" t="s">
        <v>1618</v>
      </c>
      <c r="D54" s="598" t="s">
        <v>1619</v>
      </c>
      <c r="E54" s="598" t="s">
        <v>321</v>
      </c>
      <c r="F54" s="598" t="s">
        <v>3309</v>
      </c>
      <c r="G54" s="598" t="s">
        <v>3309</v>
      </c>
      <c r="H54" s="598" t="s">
        <v>3313</v>
      </c>
      <c r="I54" s="598" t="s">
        <v>3313</v>
      </c>
      <c r="J54" s="598" t="s">
        <v>3313</v>
      </c>
      <c r="K54" s="598" t="s">
        <v>321</v>
      </c>
      <c r="L54" s="598" t="s">
        <v>321</v>
      </c>
      <c r="M54" s="598" t="s">
        <v>3309</v>
      </c>
      <c r="N54" s="598" t="s">
        <v>3309</v>
      </c>
      <c r="O54" s="598" t="s">
        <v>3309</v>
      </c>
      <c r="P54" s="598" t="s">
        <v>3309</v>
      </c>
      <c r="Q54" s="598" t="s">
        <v>3309</v>
      </c>
      <c r="R54" s="598" t="s">
        <v>321</v>
      </c>
      <c r="S54" s="598" t="s">
        <v>321</v>
      </c>
      <c r="T54" s="598" t="s">
        <v>3309</v>
      </c>
      <c r="U54" s="598" t="s">
        <v>3309</v>
      </c>
      <c r="V54" s="598" t="s">
        <v>3309</v>
      </c>
      <c r="W54" s="598" t="s">
        <v>3309</v>
      </c>
      <c r="X54" s="598" t="s">
        <v>3309</v>
      </c>
      <c r="Y54" s="598" t="s">
        <v>321</v>
      </c>
      <c r="Z54" s="598" t="s">
        <v>321</v>
      </c>
      <c r="AA54" s="598" t="s">
        <v>3309</v>
      </c>
      <c r="AB54" s="598" t="s">
        <v>3309</v>
      </c>
      <c r="AC54" s="598" t="s">
        <v>3309</v>
      </c>
      <c r="AD54" s="598" t="s">
        <v>3309</v>
      </c>
      <c r="AE54" s="598" t="s">
        <v>3309</v>
      </c>
      <c r="AF54" s="598" t="s">
        <v>321</v>
      </c>
      <c r="AG54" s="598" t="s">
        <v>321</v>
      </c>
      <c r="AH54" s="598" t="s">
        <v>3309</v>
      </c>
      <c r="AI54" s="598" t="s">
        <v>321</v>
      </c>
      <c r="AJ54" s="599">
        <v>21</v>
      </c>
      <c r="AK54" s="600">
        <v>21</v>
      </c>
      <c r="AL54" s="601">
        <v>0</v>
      </c>
      <c r="AM54" s="601">
        <v>0</v>
      </c>
      <c r="AN54" s="599">
        <v>21</v>
      </c>
    </row>
    <row r="55" spans="1:40" ht="16.5" customHeight="1">
      <c r="A55" s="598" t="s">
        <v>3307</v>
      </c>
      <c r="B55" s="598" t="s">
        <v>3318</v>
      </c>
      <c r="C55" s="598" t="s">
        <v>923</v>
      </c>
      <c r="D55" s="598" t="s">
        <v>656</v>
      </c>
      <c r="E55" s="598" t="s">
        <v>321</v>
      </c>
      <c r="F55" s="598" t="s">
        <v>3309</v>
      </c>
      <c r="G55" s="598" t="s">
        <v>3312</v>
      </c>
      <c r="H55" s="598" t="s">
        <v>3313</v>
      </c>
      <c r="I55" s="598" t="s">
        <v>3313</v>
      </c>
      <c r="J55" s="598" t="s">
        <v>3313</v>
      </c>
      <c r="K55" s="598" t="s">
        <v>321</v>
      </c>
      <c r="L55" s="598" t="s">
        <v>321</v>
      </c>
      <c r="M55" s="598" t="s">
        <v>3309</v>
      </c>
      <c r="N55" s="598" t="s">
        <v>3312</v>
      </c>
      <c r="O55" s="598" t="s">
        <v>3312</v>
      </c>
      <c r="P55" s="598" t="s">
        <v>3309</v>
      </c>
      <c r="Q55" s="598" t="s">
        <v>3309</v>
      </c>
      <c r="R55" s="598" t="s">
        <v>321</v>
      </c>
      <c r="S55" s="598" t="s">
        <v>321</v>
      </c>
      <c r="T55" s="598" t="s">
        <v>3309</v>
      </c>
      <c r="U55" s="598" t="s">
        <v>3309</v>
      </c>
      <c r="V55" s="598" t="s">
        <v>3309</v>
      </c>
      <c r="W55" s="598" t="s">
        <v>3309</v>
      </c>
      <c r="X55" s="598" t="s">
        <v>3309</v>
      </c>
      <c r="Y55" s="598" t="s">
        <v>321</v>
      </c>
      <c r="Z55" s="598" t="s">
        <v>321</v>
      </c>
      <c r="AA55" s="598" t="s">
        <v>3309</v>
      </c>
      <c r="AB55" s="598" t="s">
        <v>3309</v>
      </c>
      <c r="AC55" s="598" t="s">
        <v>3309</v>
      </c>
      <c r="AD55" s="598" t="s">
        <v>3309</v>
      </c>
      <c r="AE55" s="598" t="s">
        <v>3309</v>
      </c>
      <c r="AF55" s="598" t="s">
        <v>321</v>
      </c>
      <c r="AG55" s="598" t="s">
        <v>321</v>
      </c>
      <c r="AH55" s="598" t="s">
        <v>3309</v>
      </c>
      <c r="AI55" s="598" t="s">
        <v>321</v>
      </c>
      <c r="AJ55" s="599">
        <v>21</v>
      </c>
      <c r="AK55" s="600">
        <v>18</v>
      </c>
      <c r="AL55" s="602">
        <v>3</v>
      </c>
      <c r="AM55" s="601">
        <v>0</v>
      </c>
      <c r="AN55" s="599">
        <v>21</v>
      </c>
    </row>
    <row r="56" spans="1:40" ht="16.5" customHeight="1">
      <c r="A56" s="598" t="s">
        <v>3307</v>
      </c>
      <c r="B56" s="598" t="s">
        <v>3318</v>
      </c>
      <c r="C56" s="598" t="s">
        <v>2370</v>
      </c>
      <c r="D56" s="598" t="s">
        <v>2371</v>
      </c>
      <c r="E56" s="598" t="s">
        <v>321</v>
      </c>
      <c r="F56" s="598" t="s">
        <v>3314</v>
      </c>
      <c r="G56" s="598" t="s">
        <v>3309</v>
      </c>
      <c r="H56" s="598" t="s">
        <v>3313</v>
      </c>
      <c r="I56" s="598" t="s">
        <v>3313</v>
      </c>
      <c r="J56" s="598" t="s">
        <v>3313</v>
      </c>
      <c r="K56" s="598" t="s">
        <v>321</v>
      </c>
      <c r="L56" s="598" t="s">
        <v>321</v>
      </c>
      <c r="M56" s="598" t="s">
        <v>3309</v>
      </c>
      <c r="N56" s="598" t="s">
        <v>3309</v>
      </c>
      <c r="O56" s="598" t="s">
        <v>3309</v>
      </c>
      <c r="P56" s="598" t="s">
        <v>3309</v>
      </c>
      <c r="Q56" s="598" t="s">
        <v>3309</v>
      </c>
      <c r="R56" s="598" t="s">
        <v>321</v>
      </c>
      <c r="S56" s="598" t="s">
        <v>321</v>
      </c>
      <c r="T56" s="598" t="s">
        <v>3312</v>
      </c>
      <c r="U56" s="598" t="s">
        <v>3309</v>
      </c>
      <c r="V56" s="598" t="s">
        <v>3309</v>
      </c>
      <c r="W56" s="598" t="s">
        <v>3309</v>
      </c>
      <c r="X56" s="598" t="s">
        <v>3309</v>
      </c>
      <c r="Y56" s="598" t="s">
        <v>321</v>
      </c>
      <c r="Z56" s="598" t="s">
        <v>321</v>
      </c>
      <c r="AA56" s="598" t="s">
        <v>3309</v>
      </c>
      <c r="AB56" s="598" t="s">
        <v>3309</v>
      </c>
      <c r="AC56" s="598" t="s">
        <v>3309</v>
      </c>
      <c r="AD56" s="598" t="s">
        <v>3309</v>
      </c>
      <c r="AE56" s="598" t="s">
        <v>3309</v>
      </c>
      <c r="AF56" s="598" t="s">
        <v>321</v>
      </c>
      <c r="AG56" s="598" t="s">
        <v>321</v>
      </c>
      <c r="AH56" s="598" t="s">
        <v>3309</v>
      </c>
      <c r="AI56" s="598" t="s">
        <v>321</v>
      </c>
      <c r="AJ56" s="599">
        <v>21</v>
      </c>
      <c r="AK56" s="603">
        <v>19.5</v>
      </c>
      <c r="AL56" s="603">
        <v>1.5</v>
      </c>
      <c r="AM56" s="601">
        <v>0</v>
      </c>
      <c r="AN56" s="599">
        <v>21</v>
      </c>
    </row>
    <row r="57" spans="1:40" ht="16.5" customHeight="1">
      <c r="A57" s="598" t="s">
        <v>3307</v>
      </c>
      <c r="B57" s="598" t="s">
        <v>3318</v>
      </c>
      <c r="C57" s="598" t="s">
        <v>2281</v>
      </c>
      <c r="D57" s="598" t="s">
        <v>2282</v>
      </c>
      <c r="E57" s="598" t="s">
        <v>321</v>
      </c>
      <c r="F57" s="598" t="s">
        <v>3312</v>
      </c>
      <c r="G57" s="598" t="s">
        <v>3312</v>
      </c>
      <c r="H57" s="598" t="s">
        <v>3313</v>
      </c>
      <c r="I57" s="598" t="s">
        <v>3313</v>
      </c>
      <c r="J57" s="598" t="s">
        <v>3313</v>
      </c>
      <c r="K57" s="598" t="s">
        <v>321</v>
      </c>
      <c r="L57" s="598" t="s">
        <v>321</v>
      </c>
      <c r="M57" s="598" t="s">
        <v>3309</v>
      </c>
      <c r="N57" s="598" t="s">
        <v>3309</v>
      </c>
      <c r="O57" s="598" t="s">
        <v>3309</v>
      </c>
      <c r="P57" s="598" t="s">
        <v>3309</v>
      </c>
      <c r="Q57" s="598" t="s">
        <v>3309</v>
      </c>
      <c r="R57" s="598" t="s">
        <v>321</v>
      </c>
      <c r="S57" s="598" t="s">
        <v>321</v>
      </c>
      <c r="T57" s="598" t="s">
        <v>3309</v>
      </c>
      <c r="U57" s="598" t="s">
        <v>3309</v>
      </c>
      <c r="V57" s="598" t="s">
        <v>3309</v>
      </c>
      <c r="W57" s="598" t="s">
        <v>3309</v>
      </c>
      <c r="X57" s="598" t="s">
        <v>3309</v>
      </c>
      <c r="Y57" s="598" t="s">
        <v>321</v>
      </c>
      <c r="Z57" s="598" t="s">
        <v>321</v>
      </c>
      <c r="AA57" s="598" t="s">
        <v>3309</v>
      </c>
      <c r="AB57" s="598" t="s">
        <v>3309</v>
      </c>
      <c r="AC57" s="598" t="s">
        <v>3309</v>
      </c>
      <c r="AD57" s="598" t="s">
        <v>3309</v>
      </c>
      <c r="AE57" s="598" t="s">
        <v>3309</v>
      </c>
      <c r="AF57" s="598" t="s">
        <v>321</v>
      </c>
      <c r="AG57" s="598" t="s">
        <v>321</v>
      </c>
      <c r="AH57" s="598" t="s">
        <v>3309</v>
      </c>
      <c r="AI57" s="598" t="s">
        <v>321</v>
      </c>
      <c r="AJ57" s="599">
        <v>21</v>
      </c>
      <c r="AK57" s="600">
        <v>19</v>
      </c>
      <c r="AL57" s="602">
        <v>2</v>
      </c>
      <c r="AM57" s="601">
        <v>0</v>
      </c>
      <c r="AN57" s="599">
        <v>21</v>
      </c>
    </row>
    <row r="58" spans="1:40" ht="16.5" customHeight="1">
      <c r="A58" s="598" t="s">
        <v>3307</v>
      </c>
      <c r="B58" s="598" t="s">
        <v>3318</v>
      </c>
      <c r="C58" s="598" t="s">
        <v>2487</v>
      </c>
      <c r="D58" s="598" t="s">
        <v>2488</v>
      </c>
      <c r="E58" s="598" t="s">
        <v>321</v>
      </c>
      <c r="F58" s="598" t="s">
        <v>3309</v>
      </c>
      <c r="G58" s="598" t="s">
        <v>3309</v>
      </c>
      <c r="H58" s="598" t="s">
        <v>3309</v>
      </c>
      <c r="I58" s="598" t="s">
        <v>3309</v>
      </c>
      <c r="J58" s="598" t="s">
        <v>3313</v>
      </c>
      <c r="K58" s="598" t="s">
        <v>321</v>
      </c>
      <c r="L58" s="598" t="s">
        <v>321</v>
      </c>
      <c r="M58" s="598" t="s">
        <v>3309</v>
      </c>
      <c r="N58" s="598" t="s">
        <v>3309</v>
      </c>
      <c r="O58" s="598" t="s">
        <v>3309</v>
      </c>
      <c r="P58" s="598" t="s">
        <v>3309</v>
      </c>
      <c r="Q58" s="598" t="s">
        <v>3309</v>
      </c>
      <c r="R58" s="598" t="s">
        <v>321</v>
      </c>
      <c r="S58" s="598" t="s">
        <v>321</v>
      </c>
      <c r="T58" s="598" t="s">
        <v>3309</v>
      </c>
      <c r="U58" s="598" t="s">
        <v>3309</v>
      </c>
      <c r="V58" s="598" t="s">
        <v>3309</v>
      </c>
      <c r="W58" s="598" t="s">
        <v>3309</v>
      </c>
      <c r="X58" s="598" t="s">
        <v>3309</v>
      </c>
      <c r="Y58" s="598" t="s">
        <v>321</v>
      </c>
      <c r="Z58" s="598" t="s">
        <v>321</v>
      </c>
      <c r="AA58" s="598" t="s">
        <v>3309</v>
      </c>
      <c r="AB58" s="598" t="s">
        <v>3309</v>
      </c>
      <c r="AC58" s="598" t="s">
        <v>3309</v>
      </c>
      <c r="AD58" s="598" t="s">
        <v>3309</v>
      </c>
      <c r="AE58" s="598" t="s">
        <v>3309</v>
      </c>
      <c r="AF58" s="598" t="s">
        <v>321</v>
      </c>
      <c r="AG58" s="598" t="s">
        <v>321</v>
      </c>
      <c r="AH58" s="598" t="s">
        <v>3309</v>
      </c>
      <c r="AI58" s="598" t="s">
        <v>321</v>
      </c>
      <c r="AJ58" s="599">
        <v>21</v>
      </c>
      <c r="AK58" s="600">
        <v>21</v>
      </c>
      <c r="AL58" s="601">
        <v>0</v>
      </c>
      <c r="AM58" s="601">
        <v>0</v>
      </c>
      <c r="AN58" s="599">
        <v>21</v>
      </c>
    </row>
    <row r="59" spans="1:40" ht="16.5" customHeight="1">
      <c r="A59" s="598" t="s">
        <v>3307</v>
      </c>
      <c r="B59" s="598" t="s">
        <v>3318</v>
      </c>
      <c r="C59" s="598" t="s">
        <v>1719</v>
      </c>
      <c r="D59" s="598" t="s">
        <v>1720</v>
      </c>
      <c r="E59" s="598" t="s">
        <v>321</v>
      </c>
      <c r="F59" s="598" t="s">
        <v>3309</v>
      </c>
      <c r="G59" s="598" t="s">
        <v>3309</v>
      </c>
      <c r="H59" s="598" t="s">
        <v>3313</v>
      </c>
      <c r="I59" s="598" t="s">
        <v>3313</v>
      </c>
      <c r="J59" s="598" t="s">
        <v>3313</v>
      </c>
      <c r="K59" s="598" t="s">
        <v>321</v>
      </c>
      <c r="L59" s="598" t="s">
        <v>321</v>
      </c>
      <c r="M59" s="598" t="s">
        <v>3309</v>
      </c>
      <c r="N59" s="598" t="s">
        <v>3309</v>
      </c>
      <c r="O59" s="598" t="s">
        <v>3309</v>
      </c>
      <c r="P59" s="598" t="s">
        <v>3309</v>
      </c>
      <c r="Q59" s="598" t="s">
        <v>3309</v>
      </c>
      <c r="R59" s="598" t="s">
        <v>321</v>
      </c>
      <c r="S59" s="598" t="s">
        <v>321</v>
      </c>
      <c r="T59" s="598" t="s">
        <v>3309</v>
      </c>
      <c r="U59" s="598" t="s">
        <v>3309</v>
      </c>
      <c r="V59" s="598" t="s">
        <v>3309</v>
      </c>
      <c r="W59" s="598" t="s">
        <v>3309</v>
      </c>
      <c r="X59" s="598" t="s">
        <v>3309</v>
      </c>
      <c r="Y59" s="598" t="s">
        <v>321</v>
      </c>
      <c r="Z59" s="598" t="s">
        <v>321</v>
      </c>
      <c r="AA59" s="598" t="s">
        <v>3309</v>
      </c>
      <c r="AB59" s="598" t="s">
        <v>3309</v>
      </c>
      <c r="AC59" s="598" t="s">
        <v>3309</v>
      </c>
      <c r="AD59" s="598" t="s">
        <v>3309</v>
      </c>
      <c r="AE59" s="598" t="s">
        <v>3309</v>
      </c>
      <c r="AF59" s="598" t="s">
        <v>321</v>
      </c>
      <c r="AG59" s="598" t="s">
        <v>321</v>
      </c>
      <c r="AH59" s="598" t="s">
        <v>3309</v>
      </c>
      <c r="AI59" s="598" t="s">
        <v>321</v>
      </c>
      <c r="AJ59" s="599">
        <v>21</v>
      </c>
      <c r="AK59" s="600">
        <v>21</v>
      </c>
      <c r="AL59" s="601">
        <v>0</v>
      </c>
      <c r="AM59" s="601">
        <v>0</v>
      </c>
      <c r="AN59" s="599">
        <v>21</v>
      </c>
    </row>
    <row r="60" spans="1:40" ht="16.5" customHeight="1">
      <c r="A60" s="598" t="s">
        <v>3307</v>
      </c>
      <c r="B60" s="598" t="s">
        <v>3318</v>
      </c>
      <c r="C60" s="598" t="s">
        <v>1068</v>
      </c>
      <c r="D60" s="598" t="s">
        <v>1069</v>
      </c>
      <c r="E60" s="598" t="s">
        <v>321</v>
      </c>
      <c r="F60" s="598" t="s">
        <v>3309</v>
      </c>
      <c r="G60" s="598" t="s">
        <v>3309</v>
      </c>
      <c r="H60" s="598" t="s">
        <v>3309</v>
      </c>
      <c r="I60" s="598" t="s">
        <v>3309</v>
      </c>
      <c r="J60" s="598" t="s">
        <v>3309</v>
      </c>
      <c r="K60" s="598" t="s">
        <v>321</v>
      </c>
      <c r="L60" s="598" t="s">
        <v>321</v>
      </c>
      <c r="M60" s="598" t="s">
        <v>3309</v>
      </c>
      <c r="N60" s="598" t="s">
        <v>3309</v>
      </c>
      <c r="O60" s="598" t="s">
        <v>3309</v>
      </c>
      <c r="P60" s="598" t="s">
        <v>3309</v>
      </c>
      <c r="Q60" s="598" t="s">
        <v>3309</v>
      </c>
      <c r="R60" s="598" t="s">
        <v>321</v>
      </c>
      <c r="S60" s="598" t="s">
        <v>321</v>
      </c>
      <c r="T60" s="598" t="s">
        <v>3309</v>
      </c>
      <c r="U60" s="598" t="s">
        <v>3309</v>
      </c>
      <c r="V60" s="598" t="s">
        <v>3309</v>
      </c>
      <c r="W60" s="598" t="s">
        <v>3309</v>
      </c>
      <c r="X60" s="598" t="s">
        <v>3309</v>
      </c>
      <c r="Y60" s="598" t="s">
        <v>321</v>
      </c>
      <c r="Z60" s="598" t="s">
        <v>321</v>
      </c>
      <c r="AA60" s="598" t="s">
        <v>3309</v>
      </c>
      <c r="AB60" s="598" t="s">
        <v>3309</v>
      </c>
      <c r="AC60" s="598" t="s">
        <v>3309</v>
      </c>
      <c r="AD60" s="598" t="s">
        <v>3309</v>
      </c>
      <c r="AE60" s="598" t="s">
        <v>3309</v>
      </c>
      <c r="AF60" s="598" t="s">
        <v>321</v>
      </c>
      <c r="AG60" s="598" t="s">
        <v>321</v>
      </c>
      <c r="AH60" s="598" t="s">
        <v>3309</v>
      </c>
      <c r="AI60" s="598" t="s">
        <v>321</v>
      </c>
      <c r="AJ60" s="599">
        <v>21</v>
      </c>
      <c r="AK60" s="600">
        <v>21</v>
      </c>
      <c r="AL60" s="601">
        <v>0</v>
      </c>
      <c r="AM60" s="601">
        <v>0</v>
      </c>
      <c r="AN60" s="599">
        <v>21</v>
      </c>
    </row>
    <row r="61" spans="1:40" ht="16.5" customHeight="1">
      <c r="A61" s="598" t="s">
        <v>3307</v>
      </c>
      <c r="B61" s="598" t="s">
        <v>3318</v>
      </c>
      <c r="C61" s="598" t="s">
        <v>915</v>
      </c>
      <c r="D61" s="598" t="s">
        <v>916</v>
      </c>
      <c r="E61" s="598" t="s">
        <v>321</v>
      </c>
      <c r="F61" s="598" t="s">
        <v>3309</v>
      </c>
      <c r="G61" s="598" t="s">
        <v>3309</v>
      </c>
      <c r="H61" s="598" t="s">
        <v>3313</v>
      </c>
      <c r="I61" s="598" t="s">
        <v>3313</v>
      </c>
      <c r="J61" s="598" t="s">
        <v>3313</v>
      </c>
      <c r="K61" s="598" t="s">
        <v>321</v>
      </c>
      <c r="L61" s="598" t="s">
        <v>321</v>
      </c>
      <c r="M61" s="598" t="s">
        <v>3309</v>
      </c>
      <c r="N61" s="598" t="s">
        <v>3309</v>
      </c>
      <c r="O61" s="598" t="s">
        <v>3309</v>
      </c>
      <c r="P61" s="598" t="s">
        <v>3309</v>
      </c>
      <c r="Q61" s="598" t="s">
        <v>3309</v>
      </c>
      <c r="R61" s="598" t="s">
        <v>321</v>
      </c>
      <c r="S61" s="598" t="s">
        <v>321</v>
      </c>
      <c r="T61" s="598" t="s">
        <v>3309</v>
      </c>
      <c r="U61" s="598" t="s">
        <v>3309</v>
      </c>
      <c r="V61" s="598" t="s">
        <v>3309</v>
      </c>
      <c r="W61" s="598" t="s">
        <v>3309</v>
      </c>
      <c r="X61" s="598" t="s">
        <v>3309</v>
      </c>
      <c r="Y61" s="598" t="s">
        <v>321</v>
      </c>
      <c r="Z61" s="598" t="s">
        <v>321</v>
      </c>
      <c r="AA61" s="598" t="s">
        <v>3309</v>
      </c>
      <c r="AB61" s="598" t="s">
        <v>3309</v>
      </c>
      <c r="AC61" s="598" t="s">
        <v>3309</v>
      </c>
      <c r="AD61" s="598" t="s">
        <v>3309</v>
      </c>
      <c r="AE61" s="598" t="s">
        <v>3309</v>
      </c>
      <c r="AF61" s="598" t="s">
        <v>321</v>
      </c>
      <c r="AG61" s="598" t="s">
        <v>321</v>
      </c>
      <c r="AH61" s="598" t="s">
        <v>3309</v>
      </c>
      <c r="AI61" s="598" t="s">
        <v>321</v>
      </c>
      <c r="AJ61" s="599">
        <v>21</v>
      </c>
      <c r="AK61" s="600">
        <v>21</v>
      </c>
      <c r="AL61" s="601">
        <v>0</v>
      </c>
      <c r="AM61" s="601">
        <v>0</v>
      </c>
      <c r="AN61" s="599">
        <v>21</v>
      </c>
    </row>
    <row r="62" spans="1:40" ht="16.5" customHeight="1">
      <c r="A62" s="598" t="s">
        <v>3307</v>
      </c>
      <c r="B62" s="598" t="s">
        <v>3318</v>
      </c>
      <c r="C62" s="598" t="s">
        <v>2806</v>
      </c>
      <c r="D62" s="598" t="s">
        <v>1505</v>
      </c>
      <c r="E62" s="598" t="s">
        <v>321</v>
      </c>
      <c r="F62" s="598" t="s">
        <v>3309</v>
      </c>
      <c r="G62" s="598" t="s">
        <v>3309</v>
      </c>
      <c r="H62" s="598" t="s">
        <v>3309</v>
      </c>
      <c r="I62" s="598" t="s">
        <v>3309</v>
      </c>
      <c r="J62" s="598" t="s">
        <v>3309</v>
      </c>
      <c r="K62" s="598" t="s">
        <v>321</v>
      </c>
      <c r="L62" s="598" t="s">
        <v>321</v>
      </c>
      <c r="M62" s="598" t="s">
        <v>3309</v>
      </c>
      <c r="N62" s="598" t="s">
        <v>3309</v>
      </c>
      <c r="O62" s="598" t="s">
        <v>3309</v>
      </c>
      <c r="P62" s="598" t="s">
        <v>3309</v>
      </c>
      <c r="Q62" s="598" t="s">
        <v>3309</v>
      </c>
      <c r="R62" s="598" t="s">
        <v>321</v>
      </c>
      <c r="S62" s="598" t="s">
        <v>321</v>
      </c>
      <c r="T62" s="598" t="s">
        <v>3309</v>
      </c>
      <c r="U62" s="598" t="s">
        <v>3309</v>
      </c>
      <c r="V62" s="598" t="s">
        <v>3309</v>
      </c>
      <c r="W62" s="598" t="s">
        <v>3309</v>
      </c>
      <c r="X62" s="598" t="s">
        <v>3309</v>
      </c>
      <c r="Y62" s="598" t="s">
        <v>321</v>
      </c>
      <c r="Z62" s="598" t="s">
        <v>321</v>
      </c>
      <c r="AA62" s="598" t="s">
        <v>3309</v>
      </c>
      <c r="AB62" s="598" t="s">
        <v>3309</v>
      </c>
      <c r="AC62" s="598" t="s">
        <v>3309</v>
      </c>
      <c r="AD62" s="598" t="s">
        <v>3309</v>
      </c>
      <c r="AE62" s="598" t="s">
        <v>3309</v>
      </c>
      <c r="AF62" s="598" t="s">
        <v>321</v>
      </c>
      <c r="AG62" s="598" t="s">
        <v>321</v>
      </c>
      <c r="AH62" s="598" t="s">
        <v>3309</v>
      </c>
      <c r="AI62" s="598" t="s">
        <v>321</v>
      </c>
      <c r="AJ62" s="599">
        <v>21</v>
      </c>
      <c r="AK62" s="600">
        <v>21</v>
      </c>
      <c r="AL62" s="601">
        <v>0</v>
      </c>
      <c r="AM62" s="601">
        <v>0</v>
      </c>
      <c r="AN62" s="599">
        <v>21</v>
      </c>
    </row>
    <row r="63" spans="1:40" ht="16.5" customHeight="1">
      <c r="A63" s="598" t="s">
        <v>3307</v>
      </c>
      <c r="B63" s="598" t="s">
        <v>3318</v>
      </c>
      <c r="C63" s="598" t="s">
        <v>3320</v>
      </c>
      <c r="D63" s="598" t="s">
        <v>3321</v>
      </c>
      <c r="E63" s="598" t="s">
        <v>321</v>
      </c>
      <c r="F63" s="598" t="s">
        <v>321</v>
      </c>
      <c r="G63" s="598" t="s">
        <v>321</v>
      </c>
      <c r="H63" s="598" t="s">
        <v>321</v>
      </c>
      <c r="I63" s="598" t="s">
        <v>321</v>
      </c>
      <c r="J63" s="598" t="s">
        <v>321</v>
      </c>
      <c r="K63" s="598" t="s">
        <v>321</v>
      </c>
      <c r="L63" s="598" t="s">
        <v>321</v>
      </c>
      <c r="M63" s="598" t="s">
        <v>321</v>
      </c>
      <c r="N63" s="598" t="s">
        <v>321</v>
      </c>
      <c r="O63" s="598" t="s">
        <v>321</v>
      </c>
      <c r="P63" s="598" t="s">
        <v>321</v>
      </c>
      <c r="Q63" s="598" t="s">
        <v>321</v>
      </c>
      <c r="R63" s="598" t="s">
        <v>321</v>
      </c>
      <c r="S63" s="598" t="s">
        <v>321</v>
      </c>
      <c r="T63" s="598" t="s">
        <v>321</v>
      </c>
      <c r="U63" s="598" t="s">
        <v>321</v>
      </c>
      <c r="V63" s="598" t="s">
        <v>321</v>
      </c>
      <c r="W63" s="598" t="s">
        <v>321</v>
      </c>
      <c r="X63" s="598" t="s">
        <v>321</v>
      </c>
      <c r="Y63" s="598" t="s">
        <v>321</v>
      </c>
      <c r="Z63" s="598" t="s">
        <v>321</v>
      </c>
      <c r="AA63" s="598" t="s">
        <v>321</v>
      </c>
      <c r="AB63" s="598" t="s">
        <v>321</v>
      </c>
      <c r="AC63" s="598" t="s">
        <v>321</v>
      </c>
      <c r="AD63" s="598" t="s">
        <v>321</v>
      </c>
      <c r="AE63" s="598" t="s">
        <v>321</v>
      </c>
      <c r="AF63" s="598" t="s">
        <v>321</v>
      </c>
      <c r="AG63" s="598" t="s">
        <v>321</v>
      </c>
      <c r="AH63" s="598" t="s">
        <v>321</v>
      </c>
      <c r="AI63" s="598" t="s">
        <v>321</v>
      </c>
      <c r="AJ63" s="599">
        <v>21</v>
      </c>
      <c r="AK63" s="602">
        <v>2</v>
      </c>
      <c r="AL63" s="601">
        <v>0</v>
      </c>
      <c r="AM63" s="601">
        <v>0</v>
      </c>
      <c r="AN63" s="606">
        <v>2</v>
      </c>
    </row>
    <row r="64" spans="1:40" ht="16.5" customHeight="1">
      <c r="A64" s="598" t="s">
        <v>3307</v>
      </c>
      <c r="B64" s="598" t="s">
        <v>3318</v>
      </c>
      <c r="C64" s="598" t="s">
        <v>1901</v>
      </c>
      <c r="D64" s="598" t="s">
        <v>1902</v>
      </c>
      <c r="E64" s="598" t="s">
        <v>321</v>
      </c>
      <c r="F64" s="598" t="s">
        <v>3309</v>
      </c>
      <c r="G64" s="598" t="s">
        <v>3309</v>
      </c>
      <c r="H64" s="598" t="s">
        <v>3313</v>
      </c>
      <c r="I64" s="598" t="s">
        <v>3313</v>
      </c>
      <c r="J64" s="598" t="s">
        <v>3313</v>
      </c>
      <c r="K64" s="598" t="s">
        <v>321</v>
      </c>
      <c r="L64" s="598" t="s">
        <v>321</v>
      </c>
      <c r="M64" s="598" t="s">
        <v>3309</v>
      </c>
      <c r="N64" s="598" t="s">
        <v>3309</v>
      </c>
      <c r="O64" s="598" t="s">
        <v>3309</v>
      </c>
      <c r="P64" s="598" t="s">
        <v>3309</v>
      </c>
      <c r="Q64" s="598" t="s">
        <v>3309</v>
      </c>
      <c r="R64" s="598" t="s">
        <v>321</v>
      </c>
      <c r="S64" s="598" t="s">
        <v>321</v>
      </c>
      <c r="T64" s="598" t="s">
        <v>3309</v>
      </c>
      <c r="U64" s="598" t="s">
        <v>3309</v>
      </c>
      <c r="V64" s="598" t="s">
        <v>3309</v>
      </c>
      <c r="W64" s="598" t="s">
        <v>3309</v>
      </c>
      <c r="X64" s="598" t="s">
        <v>3309</v>
      </c>
      <c r="Y64" s="598" t="s">
        <v>321</v>
      </c>
      <c r="Z64" s="598" t="s">
        <v>321</v>
      </c>
      <c r="AA64" s="598" t="s">
        <v>3309</v>
      </c>
      <c r="AB64" s="598" t="s">
        <v>3309</v>
      </c>
      <c r="AC64" s="598" t="s">
        <v>3309</v>
      </c>
      <c r="AD64" s="598" t="s">
        <v>3309</v>
      </c>
      <c r="AE64" s="598" t="s">
        <v>3309</v>
      </c>
      <c r="AF64" s="598" t="s">
        <v>321</v>
      </c>
      <c r="AG64" s="598" t="s">
        <v>321</v>
      </c>
      <c r="AH64" s="598" t="s">
        <v>3309</v>
      </c>
      <c r="AI64" s="598" t="s">
        <v>321</v>
      </c>
      <c r="AJ64" s="599">
        <v>21</v>
      </c>
      <c r="AK64" s="600">
        <v>21</v>
      </c>
      <c r="AL64" s="601">
        <v>0</v>
      </c>
      <c r="AM64" s="601">
        <v>0</v>
      </c>
      <c r="AN64" s="599">
        <v>21</v>
      </c>
    </row>
    <row r="65" spans="1:40" ht="16.5" customHeight="1">
      <c r="A65" s="598" t="s">
        <v>3307</v>
      </c>
      <c r="B65" s="598" t="s">
        <v>3318</v>
      </c>
      <c r="C65" s="598" t="s">
        <v>725</v>
      </c>
      <c r="D65" s="598" t="s">
        <v>726</v>
      </c>
      <c r="E65" s="598" t="s">
        <v>321</v>
      </c>
      <c r="F65" s="598" t="s">
        <v>3309</v>
      </c>
      <c r="G65" s="598" t="s">
        <v>3309</v>
      </c>
      <c r="H65" s="598" t="s">
        <v>3313</v>
      </c>
      <c r="I65" s="598" t="s">
        <v>3313</v>
      </c>
      <c r="J65" s="598" t="s">
        <v>3313</v>
      </c>
      <c r="K65" s="598" t="s">
        <v>321</v>
      </c>
      <c r="L65" s="598" t="s">
        <v>321</v>
      </c>
      <c r="M65" s="598" t="s">
        <v>3309</v>
      </c>
      <c r="N65" s="598" t="s">
        <v>3309</v>
      </c>
      <c r="O65" s="598" t="s">
        <v>3309</v>
      </c>
      <c r="P65" s="598" t="s">
        <v>3309</v>
      </c>
      <c r="Q65" s="598" t="s">
        <v>3309</v>
      </c>
      <c r="R65" s="598" t="s">
        <v>321</v>
      </c>
      <c r="S65" s="598" t="s">
        <v>321</v>
      </c>
      <c r="T65" s="598" t="s">
        <v>3309</v>
      </c>
      <c r="U65" s="598" t="s">
        <v>3309</v>
      </c>
      <c r="V65" s="598" t="s">
        <v>3309</v>
      </c>
      <c r="W65" s="598" t="s">
        <v>3309</v>
      </c>
      <c r="X65" s="598" t="s">
        <v>3309</v>
      </c>
      <c r="Y65" s="598" t="s">
        <v>321</v>
      </c>
      <c r="Z65" s="598" t="s">
        <v>321</v>
      </c>
      <c r="AA65" s="598" t="s">
        <v>3309</v>
      </c>
      <c r="AB65" s="598" t="s">
        <v>3309</v>
      </c>
      <c r="AC65" s="598" t="s">
        <v>3309</v>
      </c>
      <c r="AD65" s="598" t="s">
        <v>3309</v>
      </c>
      <c r="AE65" s="598" t="s">
        <v>3309</v>
      </c>
      <c r="AF65" s="598" t="s">
        <v>321</v>
      </c>
      <c r="AG65" s="598" t="s">
        <v>321</v>
      </c>
      <c r="AH65" s="598" t="s">
        <v>3309</v>
      </c>
      <c r="AI65" s="598" t="s">
        <v>321</v>
      </c>
      <c r="AJ65" s="599">
        <v>21</v>
      </c>
      <c r="AK65" s="600">
        <v>21</v>
      </c>
      <c r="AL65" s="601">
        <v>0</v>
      </c>
      <c r="AM65" s="601">
        <v>0</v>
      </c>
      <c r="AN65" s="599">
        <v>21</v>
      </c>
    </row>
    <row r="66" spans="1:40" ht="16.5" customHeight="1">
      <c r="A66" s="598" t="s">
        <v>3307</v>
      </c>
      <c r="B66" s="598" t="s">
        <v>3318</v>
      </c>
      <c r="C66" s="598" t="s">
        <v>2639</v>
      </c>
      <c r="D66" s="598" t="s">
        <v>2640</v>
      </c>
      <c r="E66" s="598" t="s">
        <v>321</v>
      </c>
      <c r="F66" s="598" t="s">
        <v>3309</v>
      </c>
      <c r="G66" s="598" t="s">
        <v>3309</v>
      </c>
      <c r="H66" s="598" t="s">
        <v>3313</v>
      </c>
      <c r="I66" s="598" t="s">
        <v>3313</v>
      </c>
      <c r="J66" s="598" t="s">
        <v>3313</v>
      </c>
      <c r="K66" s="598" t="s">
        <v>321</v>
      </c>
      <c r="L66" s="598" t="s">
        <v>321</v>
      </c>
      <c r="M66" s="598" t="s">
        <v>3309</v>
      </c>
      <c r="N66" s="598" t="s">
        <v>3309</v>
      </c>
      <c r="O66" s="598" t="s">
        <v>3309</v>
      </c>
      <c r="P66" s="598" t="s">
        <v>3309</v>
      </c>
      <c r="Q66" s="598" t="s">
        <v>3309</v>
      </c>
      <c r="R66" s="598" t="s">
        <v>321</v>
      </c>
      <c r="S66" s="598" t="s">
        <v>321</v>
      </c>
      <c r="T66" s="598" t="s">
        <v>3309</v>
      </c>
      <c r="U66" s="598" t="s">
        <v>3309</v>
      </c>
      <c r="V66" s="598" t="s">
        <v>3309</v>
      </c>
      <c r="W66" s="598" t="s">
        <v>3309</v>
      </c>
      <c r="X66" s="598" t="s">
        <v>3309</v>
      </c>
      <c r="Y66" s="598" t="s">
        <v>321</v>
      </c>
      <c r="Z66" s="598" t="s">
        <v>321</v>
      </c>
      <c r="AA66" s="598" t="s">
        <v>3309</v>
      </c>
      <c r="AB66" s="598" t="s">
        <v>3309</v>
      </c>
      <c r="AC66" s="598" t="s">
        <v>3309</v>
      </c>
      <c r="AD66" s="598" t="s">
        <v>3309</v>
      </c>
      <c r="AE66" s="598" t="s">
        <v>3309</v>
      </c>
      <c r="AF66" s="598" t="s">
        <v>321</v>
      </c>
      <c r="AG66" s="598" t="s">
        <v>321</v>
      </c>
      <c r="AH66" s="598" t="s">
        <v>3309</v>
      </c>
      <c r="AI66" s="598" t="s">
        <v>321</v>
      </c>
      <c r="AJ66" s="599">
        <v>21</v>
      </c>
      <c r="AK66" s="600">
        <v>21</v>
      </c>
      <c r="AL66" s="601">
        <v>0</v>
      </c>
      <c r="AM66" s="601">
        <v>0</v>
      </c>
      <c r="AN66" s="599">
        <v>21</v>
      </c>
    </row>
    <row r="67" spans="1:40" ht="16.5" customHeight="1">
      <c r="A67" s="598" t="s">
        <v>3307</v>
      </c>
      <c r="B67" s="598" t="s">
        <v>3318</v>
      </c>
      <c r="C67" s="598" t="s">
        <v>1212</v>
      </c>
      <c r="D67" s="598" t="s">
        <v>1213</v>
      </c>
      <c r="E67" s="598" t="s">
        <v>321</v>
      </c>
      <c r="F67" s="598" t="s">
        <v>3309</v>
      </c>
      <c r="G67" s="598" t="s">
        <v>3309</v>
      </c>
      <c r="H67" s="598" t="s">
        <v>3313</v>
      </c>
      <c r="I67" s="598" t="s">
        <v>3313</v>
      </c>
      <c r="J67" s="598" t="s">
        <v>3313</v>
      </c>
      <c r="K67" s="598" t="s">
        <v>321</v>
      </c>
      <c r="L67" s="598" t="s">
        <v>321</v>
      </c>
      <c r="M67" s="598" t="s">
        <v>3309</v>
      </c>
      <c r="N67" s="598" t="s">
        <v>3309</v>
      </c>
      <c r="O67" s="598" t="s">
        <v>3309</v>
      </c>
      <c r="P67" s="598" t="s">
        <v>3309</v>
      </c>
      <c r="Q67" s="598" t="s">
        <v>3309</v>
      </c>
      <c r="R67" s="598" t="s">
        <v>321</v>
      </c>
      <c r="S67" s="598" t="s">
        <v>321</v>
      </c>
      <c r="T67" s="598" t="s">
        <v>3309</v>
      </c>
      <c r="U67" s="598" t="s">
        <v>3309</v>
      </c>
      <c r="V67" s="598" t="s">
        <v>3309</v>
      </c>
      <c r="W67" s="598" t="s">
        <v>3309</v>
      </c>
      <c r="X67" s="598" t="s">
        <v>3309</v>
      </c>
      <c r="Y67" s="598" t="s">
        <v>321</v>
      </c>
      <c r="Z67" s="598" t="s">
        <v>321</v>
      </c>
      <c r="AA67" s="598" t="s">
        <v>3309</v>
      </c>
      <c r="AB67" s="598" t="s">
        <v>3309</v>
      </c>
      <c r="AC67" s="598" t="s">
        <v>3309</v>
      </c>
      <c r="AD67" s="598" t="s">
        <v>3309</v>
      </c>
      <c r="AE67" s="598" t="s">
        <v>3309</v>
      </c>
      <c r="AF67" s="598" t="s">
        <v>321</v>
      </c>
      <c r="AG67" s="598" t="s">
        <v>321</v>
      </c>
      <c r="AH67" s="598" t="s">
        <v>3309</v>
      </c>
      <c r="AI67" s="598" t="s">
        <v>321</v>
      </c>
      <c r="AJ67" s="599">
        <v>21</v>
      </c>
      <c r="AK67" s="600">
        <v>21</v>
      </c>
      <c r="AL67" s="601">
        <v>0</v>
      </c>
      <c r="AM67" s="601">
        <v>0</v>
      </c>
      <c r="AN67" s="599">
        <v>21</v>
      </c>
    </row>
    <row r="68" spans="1:40" ht="16.5" customHeight="1">
      <c r="A68" s="598" t="s">
        <v>3307</v>
      </c>
      <c r="B68" s="598" t="s">
        <v>3318</v>
      </c>
      <c r="C68" s="598" t="s">
        <v>1624</v>
      </c>
      <c r="D68" s="598" t="s">
        <v>1625</v>
      </c>
      <c r="E68" s="598" t="s">
        <v>321</v>
      </c>
      <c r="F68" s="598" t="s">
        <v>3312</v>
      </c>
      <c r="G68" s="598" t="s">
        <v>3309</v>
      </c>
      <c r="H68" s="598" t="s">
        <v>3313</v>
      </c>
      <c r="I68" s="598" t="s">
        <v>3313</v>
      </c>
      <c r="J68" s="598" t="s">
        <v>3313</v>
      </c>
      <c r="K68" s="598" t="s">
        <v>321</v>
      </c>
      <c r="L68" s="598" t="s">
        <v>321</v>
      </c>
      <c r="M68" s="598" t="s">
        <v>3309</v>
      </c>
      <c r="N68" s="598" t="s">
        <v>3309</v>
      </c>
      <c r="O68" s="598" t="s">
        <v>3309</v>
      </c>
      <c r="P68" s="598" t="s">
        <v>3309</v>
      </c>
      <c r="Q68" s="598" t="s">
        <v>3309</v>
      </c>
      <c r="R68" s="598" t="s">
        <v>321</v>
      </c>
      <c r="S68" s="598" t="s">
        <v>321</v>
      </c>
      <c r="T68" s="598" t="s">
        <v>3309</v>
      </c>
      <c r="U68" s="598" t="s">
        <v>3312</v>
      </c>
      <c r="V68" s="598" t="s">
        <v>3309</v>
      </c>
      <c r="W68" s="598" t="s">
        <v>3309</v>
      </c>
      <c r="X68" s="598" t="s">
        <v>3309</v>
      </c>
      <c r="Y68" s="598" t="s">
        <v>321</v>
      </c>
      <c r="Z68" s="598" t="s">
        <v>321</v>
      </c>
      <c r="AA68" s="598" t="s">
        <v>3309</v>
      </c>
      <c r="AB68" s="598" t="s">
        <v>3309</v>
      </c>
      <c r="AC68" s="598" t="s">
        <v>3309</v>
      </c>
      <c r="AD68" s="598" t="s">
        <v>3309</v>
      </c>
      <c r="AE68" s="598" t="s">
        <v>3309</v>
      </c>
      <c r="AF68" s="598" t="s">
        <v>321</v>
      </c>
      <c r="AG68" s="598" t="s">
        <v>321</v>
      </c>
      <c r="AH68" s="598" t="s">
        <v>3309</v>
      </c>
      <c r="AI68" s="598" t="s">
        <v>321</v>
      </c>
      <c r="AJ68" s="599">
        <v>21</v>
      </c>
      <c r="AK68" s="600">
        <v>19</v>
      </c>
      <c r="AL68" s="602">
        <v>2</v>
      </c>
      <c r="AM68" s="601">
        <v>0</v>
      </c>
      <c r="AN68" s="599">
        <v>21</v>
      </c>
    </row>
    <row r="69" spans="1:40" ht="16.5" customHeight="1">
      <c r="A69" s="598" t="s">
        <v>3307</v>
      </c>
      <c r="B69" s="598" t="s">
        <v>3318</v>
      </c>
      <c r="C69" s="598" t="s">
        <v>1443</v>
      </c>
      <c r="D69" s="598" t="s">
        <v>845</v>
      </c>
      <c r="E69" s="598" t="s">
        <v>321</v>
      </c>
      <c r="F69" s="598" t="s">
        <v>3309</v>
      </c>
      <c r="G69" s="598" t="s">
        <v>3309</v>
      </c>
      <c r="H69" s="598" t="s">
        <v>3313</v>
      </c>
      <c r="I69" s="598" t="s">
        <v>3313</v>
      </c>
      <c r="J69" s="598" t="s">
        <v>3313</v>
      </c>
      <c r="K69" s="598" t="s">
        <v>321</v>
      </c>
      <c r="L69" s="598" t="s">
        <v>321</v>
      </c>
      <c r="M69" s="598" t="s">
        <v>3309</v>
      </c>
      <c r="N69" s="598" t="s">
        <v>3309</v>
      </c>
      <c r="O69" s="598" t="s">
        <v>3309</v>
      </c>
      <c r="P69" s="598" t="s">
        <v>3309</v>
      </c>
      <c r="Q69" s="598" t="s">
        <v>3309</v>
      </c>
      <c r="R69" s="598" t="s">
        <v>321</v>
      </c>
      <c r="S69" s="598" t="s">
        <v>321</v>
      </c>
      <c r="T69" s="598" t="s">
        <v>3309</v>
      </c>
      <c r="U69" s="598" t="s">
        <v>3309</v>
      </c>
      <c r="V69" s="598" t="s">
        <v>3309</v>
      </c>
      <c r="W69" s="598" t="s">
        <v>3309</v>
      </c>
      <c r="X69" s="598" t="s">
        <v>3309</v>
      </c>
      <c r="Y69" s="598" t="s">
        <v>321</v>
      </c>
      <c r="Z69" s="598" t="s">
        <v>321</v>
      </c>
      <c r="AA69" s="598" t="s">
        <v>3309</v>
      </c>
      <c r="AB69" s="598" t="s">
        <v>3309</v>
      </c>
      <c r="AC69" s="598" t="s">
        <v>3309</v>
      </c>
      <c r="AD69" s="598" t="s">
        <v>3309</v>
      </c>
      <c r="AE69" s="598" t="s">
        <v>3309</v>
      </c>
      <c r="AF69" s="598" t="s">
        <v>321</v>
      </c>
      <c r="AG69" s="598" t="s">
        <v>321</v>
      </c>
      <c r="AH69" s="598" t="s">
        <v>3309</v>
      </c>
      <c r="AI69" s="598" t="s">
        <v>321</v>
      </c>
      <c r="AJ69" s="599">
        <v>21</v>
      </c>
      <c r="AK69" s="600">
        <v>21</v>
      </c>
      <c r="AL69" s="601">
        <v>0</v>
      </c>
      <c r="AM69" s="601">
        <v>0</v>
      </c>
      <c r="AN69" s="599">
        <v>21</v>
      </c>
    </row>
    <row r="70" spans="1:40" ht="16.5" customHeight="1">
      <c r="A70" s="598" t="s">
        <v>3307</v>
      </c>
      <c r="B70" s="598" t="s">
        <v>3318</v>
      </c>
      <c r="C70" s="598" t="s">
        <v>862</v>
      </c>
      <c r="D70" s="598" t="s">
        <v>863</v>
      </c>
      <c r="E70" s="598" t="s">
        <v>321</v>
      </c>
      <c r="F70" s="598" t="s">
        <v>3309</v>
      </c>
      <c r="G70" s="598" t="s">
        <v>3309</v>
      </c>
      <c r="H70" s="598" t="s">
        <v>3313</v>
      </c>
      <c r="I70" s="598" t="s">
        <v>3313</v>
      </c>
      <c r="J70" s="598" t="s">
        <v>3313</v>
      </c>
      <c r="K70" s="598" t="s">
        <v>321</v>
      </c>
      <c r="L70" s="598" t="s">
        <v>321</v>
      </c>
      <c r="M70" s="598" t="s">
        <v>3309</v>
      </c>
      <c r="N70" s="598" t="s">
        <v>3309</v>
      </c>
      <c r="O70" s="598" t="s">
        <v>3309</v>
      </c>
      <c r="P70" s="598" t="s">
        <v>3309</v>
      </c>
      <c r="Q70" s="598" t="s">
        <v>3309</v>
      </c>
      <c r="R70" s="598" t="s">
        <v>321</v>
      </c>
      <c r="S70" s="598" t="s">
        <v>321</v>
      </c>
      <c r="T70" s="598" t="s">
        <v>3309</v>
      </c>
      <c r="U70" s="598" t="s">
        <v>3309</v>
      </c>
      <c r="V70" s="598" t="s">
        <v>3309</v>
      </c>
      <c r="W70" s="598" t="s">
        <v>3309</v>
      </c>
      <c r="X70" s="598" t="s">
        <v>3309</v>
      </c>
      <c r="Y70" s="598" t="s">
        <v>321</v>
      </c>
      <c r="Z70" s="598" t="s">
        <v>321</v>
      </c>
      <c r="AA70" s="598" t="s">
        <v>3309</v>
      </c>
      <c r="AB70" s="598" t="s">
        <v>3309</v>
      </c>
      <c r="AC70" s="598" t="s">
        <v>3309</v>
      </c>
      <c r="AD70" s="598" t="s">
        <v>3309</v>
      </c>
      <c r="AE70" s="598" t="s">
        <v>3309</v>
      </c>
      <c r="AF70" s="598" t="s">
        <v>321</v>
      </c>
      <c r="AG70" s="598" t="s">
        <v>321</v>
      </c>
      <c r="AH70" s="598" t="s">
        <v>3309</v>
      </c>
      <c r="AI70" s="598" t="s">
        <v>321</v>
      </c>
      <c r="AJ70" s="599">
        <v>21</v>
      </c>
      <c r="AK70" s="600">
        <v>21</v>
      </c>
      <c r="AL70" s="601">
        <v>0</v>
      </c>
      <c r="AM70" s="601">
        <v>0</v>
      </c>
      <c r="AN70" s="599">
        <v>21</v>
      </c>
    </row>
    <row r="71" spans="1:40" ht="16.5" customHeight="1">
      <c r="A71" s="598" t="s">
        <v>3307</v>
      </c>
      <c r="B71" s="598" t="s">
        <v>3318</v>
      </c>
      <c r="C71" s="598" t="s">
        <v>2524</v>
      </c>
      <c r="D71" s="598" t="s">
        <v>2525</v>
      </c>
      <c r="E71" s="598" t="s">
        <v>321</v>
      </c>
      <c r="F71" s="598" t="s">
        <v>3309</v>
      </c>
      <c r="G71" s="598" t="s">
        <v>3309</v>
      </c>
      <c r="H71" s="598" t="s">
        <v>3313</v>
      </c>
      <c r="I71" s="598" t="s">
        <v>3313</v>
      </c>
      <c r="J71" s="598" t="s">
        <v>3313</v>
      </c>
      <c r="K71" s="598" t="s">
        <v>321</v>
      </c>
      <c r="L71" s="598" t="s">
        <v>321</v>
      </c>
      <c r="M71" s="598" t="s">
        <v>3309</v>
      </c>
      <c r="N71" s="598" t="s">
        <v>3309</v>
      </c>
      <c r="O71" s="598" t="s">
        <v>3309</v>
      </c>
      <c r="P71" s="598" t="s">
        <v>3309</v>
      </c>
      <c r="Q71" s="598" t="s">
        <v>3309</v>
      </c>
      <c r="R71" s="598" t="s">
        <v>321</v>
      </c>
      <c r="S71" s="598" t="s">
        <v>321</v>
      </c>
      <c r="T71" s="598" t="s">
        <v>3309</v>
      </c>
      <c r="U71" s="598" t="s">
        <v>3309</v>
      </c>
      <c r="V71" s="598" t="s">
        <v>3309</v>
      </c>
      <c r="W71" s="598" t="s">
        <v>3309</v>
      </c>
      <c r="X71" s="598" t="s">
        <v>3309</v>
      </c>
      <c r="Y71" s="598" t="s">
        <v>321</v>
      </c>
      <c r="Z71" s="598" t="s">
        <v>321</v>
      </c>
      <c r="AA71" s="598" t="s">
        <v>3309</v>
      </c>
      <c r="AB71" s="598" t="s">
        <v>3309</v>
      </c>
      <c r="AC71" s="598" t="s">
        <v>3309</v>
      </c>
      <c r="AD71" s="598" t="s">
        <v>3309</v>
      </c>
      <c r="AE71" s="598" t="s">
        <v>3309</v>
      </c>
      <c r="AF71" s="598" t="s">
        <v>321</v>
      </c>
      <c r="AG71" s="598" t="s">
        <v>321</v>
      </c>
      <c r="AH71" s="598" t="s">
        <v>3309</v>
      </c>
      <c r="AI71" s="598" t="s">
        <v>321</v>
      </c>
      <c r="AJ71" s="599">
        <v>21</v>
      </c>
      <c r="AK71" s="600">
        <v>21</v>
      </c>
      <c r="AL71" s="601">
        <v>0</v>
      </c>
      <c r="AM71" s="601">
        <v>0</v>
      </c>
      <c r="AN71" s="599">
        <v>21</v>
      </c>
    </row>
    <row r="72" spans="1:40" ht="16.5" customHeight="1">
      <c r="A72" s="598" t="s">
        <v>3307</v>
      </c>
      <c r="B72" s="598" t="s">
        <v>3318</v>
      </c>
      <c r="C72" s="598" t="s">
        <v>2726</v>
      </c>
      <c r="D72" s="598" t="s">
        <v>2727</v>
      </c>
      <c r="E72" s="598" t="s">
        <v>321</v>
      </c>
      <c r="F72" s="598" t="s">
        <v>3309</v>
      </c>
      <c r="G72" s="598" t="s">
        <v>3309</v>
      </c>
      <c r="H72" s="598" t="s">
        <v>3313</v>
      </c>
      <c r="I72" s="598" t="s">
        <v>3313</v>
      </c>
      <c r="J72" s="598" t="s">
        <v>3313</v>
      </c>
      <c r="K72" s="598" t="s">
        <v>321</v>
      </c>
      <c r="L72" s="598" t="s">
        <v>321</v>
      </c>
      <c r="M72" s="598" t="s">
        <v>3309</v>
      </c>
      <c r="N72" s="598" t="s">
        <v>3309</v>
      </c>
      <c r="O72" s="598" t="s">
        <v>3309</v>
      </c>
      <c r="P72" s="598" t="s">
        <v>3309</v>
      </c>
      <c r="Q72" s="598" t="s">
        <v>3309</v>
      </c>
      <c r="R72" s="598" t="s">
        <v>321</v>
      </c>
      <c r="S72" s="598" t="s">
        <v>321</v>
      </c>
      <c r="T72" s="598" t="s">
        <v>3309</v>
      </c>
      <c r="U72" s="598" t="s">
        <v>3309</v>
      </c>
      <c r="V72" s="598" t="s">
        <v>3312</v>
      </c>
      <c r="W72" s="598" t="s">
        <v>3309</v>
      </c>
      <c r="X72" s="598" t="s">
        <v>3309</v>
      </c>
      <c r="Y72" s="598" t="s">
        <v>321</v>
      </c>
      <c r="Z72" s="598" t="s">
        <v>321</v>
      </c>
      <c r="AA72" s="598" t="s">
        <v>3309</v>
      </c>
      <c r="AB72" s="598" t="s">
        <v>3309</v>
      </c>
      <c r="AC72" s="598" t="s">
        <v>3309</v>
      </c>
      <c r="AD72" s="598" t="s">
        <v>3309</v>
      </c>
      <c r="AE72" s="598" t="s">
        <v>3309</v>
      </c>
      <c r="AF72" s="598" t="s">
        <v>321</v>
      </c>
      <c r="AG72" s="598" t="s">
        <v>321</v>
      </c>
      <c r="AH72" s="598" t="s">
        <v>3309</v>
      </c>
      <c r="AI72" s="598" t="s">
        <v>321</v>
      </c>
      <c r="AJ72" s="599">
        <v>21</v>
      </c>
      <c r="AK72" s="600">
        <v>20</v>
      </c>
      <c r="AL72" s="602">
        <v>1</v>
      </c>
      <c r="AM72" s="601">
        <v>0</v>
      </c>
      <c r="AN72" s="599">
        <v>21</v>
      </c>
    </row>
    <row r="73" spans="1:40" ht="16.5" customHeight="1">
      <c r="A73" s="598" t="s">
        <v>3307</v>
      </c>
      <c r="B73" s="598" t="s">
        <v>3318</v>
      </c>
      <c r="C73" s="598" t="s">
        <v>2272</v>
      </c>
      <c r="D73" s="598" t="s">
        <v>2273</v>
      </c>
      <c r="E73" s="598" t="s">
        <v>321</v>
      </c>
      <c r="F73" s="598" t="s">
        <v>3309</v>
      </c>
      <c r="G73" s="598" t="s">
        <v>3309</v>
      </c>
      <c r="H73" s="598" t="s">
        <v>3313</v>
      </c>
      <c r="I73" s="598" t="s">
        <v>3313</v>
      </c>
      <c r="J73" s="598" t="s">
        <v>3313</v>
      </c>
      <c r="K73" s="598" t="s">
        <v>321</v>
      </c>
      <c r="L73" s="598" t="s">
        <v>321</v>
      </c>
      <c r="M73" s="598" t="s">
        <v>3309</v>
      </c>
      <c r="N73" s="598" t="s">
        <v>3309</v>
      </c>
      <c r="O73" s="598" t="s">
        <v>3309</v>
      </c>
      <c r="P73" s="598" t="s">
        <v>3309</v>
      </c>
      <c r="Q73" s="598" t="s">
        <v>3309</v>
      </c>
      <c r="R73" s="598" t="s">
        <v>321</v>
      </c>
      <c r="S73" s="598" t="s">
        <v>321</v>
      </c>
      <c r="T73" s="598" t="s">
        <v>3309</v>
      </c>
      <c r="U73" s="598" t="s">
        <v>3309</v>
      </c>
      <c r="V73" s="598" t="s">
        <v>3309</v>
      </c>
      <c r="W73" s="598" t="s">
        <v>3309</v>
      </c>
      <c r="X73" s="598" t="s">
        <v>3309</v>
      </c>
      <c r="Y73" s="598" t="s">
        <v>321</v>
      </c>
      <c r="Z73" s="598" t="s">
        <v>321</v>
      </c>
      <c r="AA73" s="598" t="s">
        <v>3309</v>
      </c>
      <c r="AB73" s="598" t="s">
        <v>3309</v>
      </c>
      <c r="AC73" s="598" t="s">
        <v>3309</v>
      </c>
      <c r="AD73" s="598" t="s">
        <v>3309</v>
      </c>
      <c r="AE73" s="598" t="s">
        <v>3309</v>
      </c>
      <c r="AF73" s="598" t="s">
        <v>321</v>
      </c>
      <c r="AG73" s="598" t="s">
        <v>321</v>
      </c>
      <c r="AH73" s="598" t="s">
        <v>3309</v>
      </c>
      <c r="AI73" s="598" t="s">
        <v>321</v>
      </c>
      <c r="AJ73" s="599">
        <v>21</v>
      </c>
      <c r="AK73" s="600">
        <v>21</v>
      </c>
      <c r="AL73" s="601">
        <v>0</v>
      </c>
      <c r="AM73" s="601">
        <v>0</v>
      </c>
      <c r="AN73" s="599">
        <v>21</v>
      </c>
    </row>
    <row r="74" spans="1:40" ht="16.5" customHeight="1">
      <c r="A74" s="598" t="s">
        <v>3307</v>
      </c>
      <c r="B74" s="598" t="s">
        <v>3318</v>
      </c>
      <c r="C74" s="598" t="s">
        <v>2794</v>
      </c>
      <c r="D74" s="598" t="s">
        <v>2795</v>
      </c>
      <c r="E74" s="598" t="s">
        <v>321</v>
      </c>
      <c r="F74" s="598" t="s">
        <v>3309</v>
      </c>
      <c r="G74" s="598" t="s">
        <v>3309</v>
      </c>
      <c r="H74" s="598" t="s">
        <v>3313</v>
      </c>
      <c r="I74" s="598" t="s">
        <v>3313</v>
      </c>
      <c r="J74" s="598" t="s">
        <v>3313</v>
      </c>
      <c r="K74" s="598" t="s">
        <v>321</v>
      </c>
      <c r="L74" s="598" t="s">
        <v>321</v>
      </c>
      <c r="M74" s="598" t="s">
        <v>3309</v>
      </c>
      <c r="N74" s="598" t="s">
        <v>3309</v>
      </c>
      <c r="O74" s="598" t="s">
        <v>3309</v>
      </c>
      <c r="P74" s="598" t="s">
        <v>3309</v>
      </c>
      <c r="Q74" s="598" t="s">
        <v>3309</v>
      </c>
      <c r="R74" s="598" t="s">
        <v>321</v>
      </c>
      <c r="S74" s="598" t="s">
        <v>321</v>
      </c>
      <c r="T74" s="598" t="s">
        <v>3309</v>
      </c>
      <c r="U74" s="598" t="s">
        <v>3309</v>
      </c>
      <c r="V74" s="598" t="s">
        <v>3309</v>
      </c>
      <c r="W74" s="598" t="s">
        <v>3309</v>
      </c>
      <c r="X74" s="598" t="s">
        <v>3309</v>
      </c>
      <c r="Y74" s="598" t="s">
        <v>321</v>
      </c>
      <c r="Z74" s="598" t="s">
        <v>321</v>
      </c>
      <c r="AA74" s="598" t="s">
        <v>3309</v>
      </c>
      <c r="AB74" s="598" t="s">
        <v>3309</v>
      </c>
      <c r="AC74" s="598" t="s">
        <v>3309</v>
      </c>
      <c r="AD74" s="598" t="s">
        <v>3309</v>
      </c>
      <c r="AE74" s="598" t="s">
        <v>3309</v>
      </c>
      <c r="AF74" s="598" t="s">
        <v>321</v>
      </c>
      <c r="AG74" s="598" t="s">
        <v>321</v>
      </c>
      <c r="AH74" s="598" t="s">
        <v>3309</v>
      </c>
      <c r="AI74" s="598" t="s">
        <v>321</v>
      </c>
      <c r="AJ74" s="599">
        <v>21</v>
      </c>
      <c r="AK74" s="600">
        <v>21</v>
      </c>
      <c r="AL74" s="601">
        <v>0</v>
      </c>
      <c r="AM74" s="601">
        <v>0</v>
      </c>
      <c r="AN74" s="599">
        <v>21</v>
      </c>
    </row>
    <row r="75" spans="1:40" ht="16.5" customHeight="1">
      <c r="A75" s="598" t="s">
        <v>3307</v>
      </c>
      <c r="B75" s="598" t="s">
        <v>3318</v>
      </c>
      <c r="C75" s="598" t="s">
        <v>1383</v>
      </c>
      <c r="D75" s="598" t="s">
        <v>1384</v>
      </c>
      <c r="E75" s="598" t="s">
        <v>321</v>
      </c>
      <c r="F75" s="598" t="s">
        <v>3309</v>
      </c>
      <c r="G75" s="598" t="s">
        <v>3309</v>
      </c>
      <c r="H75" s="598" t="s">
        <v>3309</v>
      </c>
      <c r="I75" s="598" t="s">
        <v>3313</v>
      </c>
      <c r="J75" s="598" t="s">
        <v>3313</v>
      </c>
      <c r="K75" s="598" t="s">
        <v>321</v>
      </c>
      <c r="L75" s="598" t="s">
        <v>321</v>
      </c>
      <c r="M75" s="598" t="s">
        <v>3309</v>
      </c>
      <c r="N75" s="598" t="s">
        <v>3309</v>
      </c>
      <c r="O75" s="598" t="s">
        <v>3309</v>
      </c>
      <c r="P75" s="598" t="s">
        <v>3309</v>
      </c>
      <c r="Q75" s="598" t="s">
        <v>3309</v>
      </c>
      <c r="R75" s="598" t="s">
        <v>321</v>
      </c>
      <c r="S75" s="598" t="s">
        <v>321</v>
      </c>
      <c r="T75" s="598" t="s">
        <v>3309</v>
      </c>
      <c r="U75" s="598" t="s">
        <v>3309</v>
      </c>
      <c r="V75" s="598" t="s">
        <v>3309</v>
      </c>
      <c r="W75" s="598" t="s">
        <v>3309</v>
      </c>
      <c r="X75" s="598" t="s">
        <v>3309</v>
      </c>
      <c r="Y75" s="598" t="s">
        <v>321</v>
      </c>
      <c r="Z75" s="598" t="s">
        <v>321</v>
      </c>
      <c r="AA75" s="598" t="s">
        <v>3309</v>
      </c>
      <c r="AB75" s="598" t="s">
        <v>3309</v>
      </c>
      <c r="AC75" s="598" t="s">
        <v>3309</v>
      </c>
      <c r="AD75" s="598" t="s">
        <v>3309</v>
      </c>
      <c r="AE75" s="598" t="s">
        <v>3309</v>
      </c>
      <c r="AF75" s="598" t="s">
        <v>321</v>
      </c>
      <c r="AG75" s="598" t="s">
        <v>321</v>
      </c>
      <c r="AH75" s="598" t="s">
        <v>3309</v>
      </c>
      <c r="AI75" s="598" t="s">
        <v>321</v>
      </c>
      <c r="AJ75" s="599">
        <v>21</v>
      </c>
      <c r="AK75" s="600">
        <v>21</v>
      </c>
      <c r="AL75" s="601">
        <v>0</v>
      </c>
      <c r="AM75" s="601">
        <v>0</v>
      </c>
      <c r="AN75" s="599">
        <v>21</v>
      </c>
    </row>
    <row r="76" spans="1:40" ht="16.5" customHeight="1">
      <c r="A76" s="598" t="s">
        <v>3307</v>
      </c>
      <c r="B76" s="598" t="s">
        <v>3318</v>
      </c>
      <c r="C76" s="598" t="s">
        <v>1324</v>
      </c>
      <c r="D76" s="598" t="s">
        <v>1325</v>
      </c>
      <c r="E76" s="598" t="s">
        <v>321</v>
      </c>
      <c r="F76" s="598" t="s">
        <v>3309</v>
      </c>
      <c r="G76" s="598" t="s">
        <v>3309</v>
      </c>
      <c r="H76" s="598" t="s">
        <v>3313</v>
      </c>
      <c r="I76" s="598" t="s">
        <v>3313</v>
      </c>
      <c r="J76" s="598" t="s">
        <v>3313</v>
      </c>
      <c r="K76" s="598" t="s">
        <v>321</v>
      </c>
      <c r="L76" s="598" t="s">
        <v>321</v>
      </c>
      <c r="M76" s="598" t="s">
        <v>3309</v>
      </c>
      <c r="N76" s="598" t="s">
        <v>3309</v>
      </c>
      <c r="O76" s="598" t="s">
        <v>3309</v>
      </c>
      <c r="P76" s="598" t="s">
        <v>3309</v>
      </c>
      <c r="Q76" s="598" t="s">
        <v>3309</v>
      </c>
      <c r="R76" s="598" t="s">
        <v>321</v>
      </c>
      <c r="S76" s="598" t="s">
        <v>321</v>
      </c>
      <c r="T76" s="598" t="s">
        <v>3309</v>
      </c>
      <c r="U76" s="598" t="s">
        <v>3309</v>
      </c>
      <c r="V76" s="598" t="s">
        <v>3309</v>
      </c>
      <c r="W76" s="598" t="s">
        <v>3309</v>
      </c>
      <c r="X76" s="598" t="s">
        <v>3309</v>
      </c>
      <c r="Y76" s="598" t="s">
        <v>321</v>
      </c>
      <c r="Z76" s="598" t="s">
        <v>321</v>
      </c>
      <c r="AA76" s="598" t="s">
        <v>3309</v>
      </c>
      <c r="AB76" s="598" t="s">
        <v>3309</v>
      </c>
      <c r="AC76" s="598" t="s">
        <v>3309</v>
      </c>
      <c r="AD76" s="598" t="s">
        <v>3309</v>
      </c>
      <c r="AE76" s="598" t="s">
        <v>3309</v>
      </c>
      <c r="AF76" s="598" t="s">
        <v>321</v>
      </c>
      <c r="AG76" s="598" t="s">
        <v>321</v>
      </c>
      <c r="AH76" s="598" t="s">
        <v>3309</v>
      </c>
      <c r="AI76" s="598" t="s">
        <v>321</v>
      </c>
      <c r="AJ76" s="599">
        <v>21</v>
      </c>
      <c r="AK76" s="600">
        <v>21</v>
      </c>
      <c r="AL76" s="601">
        <v>0</v>
      </c>
      <c r="AM76" s="601">
        <v>0</v>
      </c>
      <c r="AN76" s="599">
        <v>21</v>
      </c>
    </row>
    <row r="77" spans="1:40" ht="16.5" customHeight="1">
      <c r="A77" s="598" t="s">
        <v>3307</v>
      </c>
      <c r="B77" s="598" t="s">
        <v>3318</v>
      </c>
      <c r="C77" s="598" t="s">
        <v>2807</v>
      </c>
      <c r="D77" s="598" t="s">
        <v>2808</v>
      </c>
      <c r="E77" s="598" t="s">
        <v>321</v>
      </c>
      <c r="F77" s="598" t="s">
        <v>3309</v>
      </c>
      <c r="G77" s="598" t="s">
        <v>3309</v>
      </c>
      <c r="H77" s="598" t="s">
        <v>3313</v>
      </c>
      <c r="I77" s="598" t="s">
        <v>3313</v>
      </c>
      <c r="J77" s="598" t="s">
        <v>3313</v>
      </c>
      <c r="K77" s="598" t="s">
        <v>321</v>
      </c>
      <c r="L77" s="598" t="s">
        <v>321</v>
      </c>
      <c r="M77" s="598" t="s">
        <v>3309</v>
      </c>
      <c r="N77" s="598" t="s">
        <v>3309</v>
      </c>
      <c r="O77" s="598" t="s">
        <v>3309</v>
      </c>
      <c r="P77" s="598" t="s">
        <v>3309</v>
      </c>
      <c r="Q77" s="598" t="s">
        <v>3309</v>
      </c>
      <c r="R77" s="598" t="s">
        <v>321</v>
      </c>
      <c r="S77" s="598" t="s">
        <v>321</v>
      </c>
      <c r="T77" s="598" t="s">
        <v>3309</v>
      </c>
      <c r="U77" s="598" t="s">
        <v>3309</v>
      </c>
      <c r="V77" s="598" t="s">
        <v>3309</v>
      </c>
      <c r="W77" s="598" t="s">
        <v>3309</v>
      </c>
      <c r="X77" s="598" t="s">
        <v>3309</v>
      </c>
      <c r="Y77" s="598" t="s">
        <v>321</v>
      </c>
      <c r="Z77" s="598" t="s">
        <v>321</v>
      </c>
      <c r="AA77" s="598" t="s">
        <v>3309</v>
      </c>
      <c r="AB77" s="598" t="s">
        <v>3309</v>
      </c>
      <c r="AC77" s="598" t="s">
        <v>3309</v>
      </c>
      <c r="AD77" s="598" t="s">
        <v>3309</v>
      </c>
      <c r="AE77" s="598" t="s">
        <v>3309</v>
      </c>
      <c r="AF77" s="598" t="s">
        <v>321</v>
      </c>
      <c r="AG77" s="598" t="s">
        <v>321</v>
      </c>
      <c r="AH77" s="598" t="s">
        <v>3309</v>
      </c>
      <c r="AI77" s="598" t="s">
        <v>321</v>
      </c>
      <c r="AJ77" s="599">
        <v>21</v>
      </c>
      <c r="AK77" s="600">
        <v>21</v>
      </c>
      <c r="AL77" s="601">
        <v>0</v>
      </c>
      <c r="AM77" s="601">
        <v>0</v>
      </c>
      <c r="AN77" s="599">
        <v>21</v>
      </c>
    </row>
    <row r="78" spans="1:40" ht="16.5" customHeight="1">
      <c r="A78" s="598" t="s">
        <v>3307</v>
      </c>
      <c r="B78" s="598" t="s">
        <v>3318</v>
      </c>
      <c r="C78" s="598" t="s">
        <v>2596</v>
      </c>
      <c r="D78" s="598" t="s">
        <v>2597</v>
      </c>
      <c r="E78" s="598" t="s">
        <v>321</v>
      </c>
      <c r="F78" s="598" t="s">
        <v>3309</v>
      </c>
      <c r="G78" s="598" t="s">
        <v>3309</v>
      </c>
      <c r="H78" s="598" t="s">
        <v>3313</v>
      </c>
      <c r="I78" s="598" t="s">
        <v>3313</v>
      </c>
      <c r="J78" s="598" t="s">
        <v>3313</v>
      </c>
      <c r="K78" s="598" t="s">
        <v>321</v>
      </c>
      <c r="L78" s="598" t="s">
        <v>321</v>
      </c>
      <c r="M78" s="598" t="s">
        <v>3309</v>
      </c>
      <c r="N78" s="598" t="s">
        <v>3309</v>
      </c>
      <c r="O78" s="598" t="s">
        <v>3309</v>
      </c>
      <c r="P78" s="598" t="s">
        <v>3312</v>
      </c>
      <c r="Q78" s="598" t="s">
        <v>3312</v>
      </c>
      <c r="R78" s="598" t="s">
        <v>321</v>
      </c>
      <c r="S78" s="598" t="s">
        <v>321</v>
      </c>
      <c r="T78" s="598" t="s">
        <v>3309</v>
      </c>
      <c r="U78" s="598" t="s">
        <v>3309</v>
      </c>
      <c r="V78" s="598" t="s">
        <v>3309</v>
      </c>
      <c r="W78" s="598" t="s">
        <v>3309</v>
      </c>
      <c r="X78" s="598" t="s">
        <v>3309</v>
      </c>
      <c r="Y78" s="598" t="s">
        <v>321</v>
      </c>
      <c r="Z78" s="598" t="s">
        <v>321</v>
      </c>
      <c r="AA78" s="598" t="s">
        <v>3309</v>
      </c>
      <c r="AB78" s="598" t="s">
        <v>3309</v>
      </c>
      <c r="AC78" s="598" t="s">
        <v>3309</v>
      </c>
      <c r="AD78" s="598" t="s">
        <v>3309</v>
      </c>
      <c r="AE78" s="598" t="s">
        <v>3309</v>
      </c>
      <c r="AF78" s="598" t="s">
        <v>321</v>
      </c>
      <c r="AG78" s="598" t="s">
        <v>321</v>
      </c>
      <c r="AH78" s="598" t="s">
        <v>3309</v>
      </c>
      <c r="AI78" s="598" t="s">
        <v>321</v>
      </c>
      <c r="AJ78" s="599">
        <v>21</v>
      </c>
      <c r="AK78" s="600">
        <v>19</v>
      </c>
      <c r="AL78" s="602">
        <v>2</v>
      </c>
      <c r="AM78" s="601">
        <v>0</v>
      </c>
      <c r="AN78" s="599">
        <v>21</v>
      </c>
    </row>
    <row r="79" spans="1:40" ht="16.5" customHeight="1">
      <c r="A79" s="598" t="s">
        <v>3307</v>
      </c>
      <c r="B79" s="598" t="s">
        <v>3318</v>
      </c>
      <c r="C79" s="598" t="s">
        <v>1054</v>
      </c>
      <c r="D79" s="598" t="s">
        <v>1055</v>
      </c>
      <c r="E79" s="598" t="s">
        <v>321</v>
      </c>
      <c r="F79" s="598" t="s">
        <v>3309</v>
      </c>
      <c r="G79" s="598" t="s">
        <v>3309</v>
      </c>
      <c r="H79" s="598" t="s">
        <v>3313</v>
      </c>
      <c r="I79" s="598" t="s">
        <v>3313</v>
      </c>
      <c r="J79" s="598" t="s">
        <v>3313</v>
      </c>
      <c r="K79" s="598" t="s">
        <v>321</v>
      </c>
      <c r="L79" s="598" t="s">
        <v>321</v>
      </c>
      <c r="M79" s="598" t="s">
        <v>3309</v>
      </c>
      <c r="N79" s="598" t="s">
        <v>3309</v>
      </c>
      <c r="O79" s="598" t="s">
        <v>3309</v>
      </c>
      <c r="P79" s="598" t="s">
        <v>3309</v>
      </c>
      <c r="Q79" s="598" t="s">
        <v>3309</v>
      </c>
      <c r="R79" s="598" t="s">
        <v>321</v>
      </c>
      <c r="S79" s="598" t="s">
        <v>321</v>
      </c>
      <c r="T79" s="598" t="s">
        <v>3309</v>
      </c>
      <c r="U79" s="598" t="s">
        <v>3309</v>
      </c>
      <c r="V79" s="598" t="s">
        <v>3309</v>
      </c>
      <c r="W79" s="598" t="s">
        <v>3314</v>
      </c>
      <c r="X79" s="598" t="s">
        <v>3309</v>
      </c>
      <c r="Y79" s="598" t="s">
        <v>321</v>
      </c>
      <c r="Z79" s="598" t="s">
        <v>321</v>
      </c>
      <c r="AA79" s="598" t="s">
        <v>3309</v>
      </c>
      <c r="AB79" s="598" t="s">
        <v>3309</v>
      </c>
      <c r="AC79" s="598" t="s">
        <v>3309</v>
      </c>
      <c r="AD79" s="598" t="s">
        <v>3309</v>
      </c>
      <c r="AE79" s="598" t="s">
        <v>3312</v>
      </c>
      <c r="AF79" s="598" t="s">
        <v>321</v>
      </c>
      <c r="AG79" s="598" t="s">
        <v>321</v>
      </c>
      <c r="AH79" s="598" t="s">
        <v>3309</v>
      </c>
      <c r="AI79" s="598" t="s">
        <v>321</v>
      </c>
      <c r="AJ79" s="599">
        <v>21</v>
      </c>
      <c r="AK79" s="603">
        <v>19.5</v>
      </c>
      <c r="AL79" s="603">
        <v>1.5</v>
      </c>
      <c r="AM79" s="601">
        <v>0</v>
      </c>
      <c r="AN79" s="599">
        <v>21</v>
      </c>
    </row>
    <row r="80" spans="1:40" ht="16.5" customHeight="1">
      <c r="A80" s="598" t="s">
        <v>3307</v>
      </c>
      <c r="B80" s="598" t="s">
        <v>3318</v>
      </c>
      <c r="C80" s="598" t="s">
        <v>2251</v>
      </c>
      <c r="D80" s="598" t="s">
        <v>2252</v>
      </c>
      <c r="E80" s="598" t="s">
        <v>321</v>
      </c>
      <c r="F80" s="598" t="s">
        <v>3309</v>
      </c>
      <c r="G80" s="598" t="s">
        <v>3309</v>
      </c>
      <c r="H80" s="598" t="s">
        <v>3313</v>
      </c>
      <c r="I80" s="598" t="s">
        <v>3313</v>
      </c>
      <c r="J80" s="598" t="s">
        <v>3313</v>
      </c>
      <c r="K80" s="598" t="s">
        <v>321</v>
      </c>
      <c r="L80" s="598" t="s">
        <v>321</v>
      </c>
      <c r="M80" s="598" t="s">
        <v>3309</v>
      </c>
      <c r="N80" s="598" t="s">
        <v>3309</v>
      </c>
      <c r="O80" s="598" t="s">
        <v>3309</v>
      </c>
      <c r="P80" s="598" t="s">
        <v>3309</v>
      </c>
      <c r="Q80" s="598" t="s">
        <v>3309</v>
      </c>
      <c r="R80" s="598" t="s">
        <v>321</v>
      </c>
      <c r="S80" s="598" t="s">
        <v>321</v>
      </c>
      <c r="T80" s="598" t="s">
        <v>3309</v>
      </c>
      <c r="U80" s="598" t="s">
        <v>3309</v>
      </c>
      <c r="V80" s="598" t="s">
        <v>3309</v>
      </c>
      <c r="W80" s="598" t="s">
        <v>3309</v>
      </c>
      <c r="X80" s="598" t="s">
        <v>3309</v>
      </c>
      <c r="Y80" s="598" t="s">
        <v>321</v>
      </c>
      <c r="Z80" s="598" t="s">
        <v>321</v>
      </c>
      <c r="AA80" s="598" t="s">
        <v>3309</v>
      </c>
      <c r="AB80" s="598" t="s">
        <v>3309</v>
      </c>
      <c r="AC80" s="598" t="s">
        <v>3309</v>
      </c>
      <c r="AD80" s="598" t="s">
        <v>3309</v>
      </c>
      <c r="AE80" s="598" t="s">
        <v>3309</v>
      </c>
      <c r="AF80" s="598" t="s">
        <v>321</v>
      </c>
      <c r="AG80" s="598" t="s">
        <v>321</v>
      </c>
      <c r="AH80" s="598" t="s">
        <v>3309</v>
      </c>
      <c r="AI80" s="598" t="s">
        <v>321</v>
      </c>
      <c r="AJ80" s="599">
        <v>21</v>
      </c>
      <c r="AK80" s="600">
        <v>21</v>
      </c>
      <c r="AL80" s="601">
        <v>0</v>
      </c>
      <c r="AM80" s="601">
        <v>0</v>
      </c>
      <c r="AN80" s="599">
        <v>21</v>
      </c>
    </row>
    <row r="81" spans="1:40" ht="16.5" customHeight="1">
      <c r="A81" s="598" t="s">
        <v>3307</v>
      </c>
      <c r="B81" s="598" t="s">
        <v>3318</v>
      </c>
      <c r="C81" s="598" t="s">
        <v>2711</v>
      </c>
      <c r="D81" s="598" t="s">
        <v>2712</v>
      </c>
      <c r="E81" s="598" t="s">
        <v>321</v>
      </c>
      <c r="F81" s="598" t="s">
        <v>3309</v>
      </c>
      <c r="G81" s="598" t="s">
        <v>3309</v>
      </c>
      <c r="H81" s="598" t="s">
        <v>3313</v>
      </c>
      <c r="I81" s="598" t="s">
        <v>3313</v>
      </c>
      <c r="J81" s="598" t="s">
        <v>3313</v>
      </c>
      <c r="K81" s="598" t="s">
        <v>321</v>
      </c>
      <c r="L81" s="598" t="s">
        <v>321</v>
      </c>
      <c r="M81" s="598" t="s">
        <v>3309</v>
      </c>
      <c r="N81" s="598" t="s">
        <v>3309</v>
      </c>
      <c r="O81" s="598" t="s">
        <v>3309</v>
      </c>
      <c r="P81" s="598" t="s">
        <v>3309</v>
      </c>
      <c r="Q81" s="598" t="s">
        <v>3309</v>
      </c>
      <c r="R81" s="598" t="s">
        <v>321</v>
      </c>
      <c r="S81" s="598" t="s">
        <v>321</v>
      </c>
      <c r="T81" s="598" t="s">
        <v>3309</v>
      </c>
      <c r="U81" s="598" t="s">
        <v>3309</v>
      </c>
      <c r="V81" s="598" t="s">
        <v>3309</v>
      </c>
      <c r="W81" s="598" t="s">
        <v>3309</v>
      </c>
      <c r="X81" s="598" t="s">
        <v>3309</v>
      </c>
      <c r="Y81" s="598" t="s">
        <v>321</v>
      </c>
      <c r="Z81" s="598" t="s">
        <v>321</v>
      </c>
      <c r="AA81" s="598" t="s">
        <v>3309</v>
      </c>
      <c r="AB81" s="598" t="s">
        <v>3309</v>
      </c>
      <c r="AC81" s="598" t="s">
        <v>3314</v>
      </c>
      <c r="AD81" s="598" t="s">
        <v>3309</v>
      </c>
      <c r="AE81" s="598" t="s">
        <v>3309</v>
      </c>
      <c r="AF81" s="598" t="s">
        <v>321</v>
      </c>
      <c r="AG81" s="598" t="s">
        <v>321</v>
      </c>
      <c r="AH81" s="598" t="s">
        <v>3309</v>
      </c>
      <c r="AI81" s="598" t="s">
        <v>321</v>
      </c>
      <c r="AJ81" s="599">
        <v>21</v>
      </c>
      <c r="AK81" s="603">
        <v>20.5</v>
      </c>
      <c r="AL81" s="604">
        <v>0.5</v>
      </c>
      <c r="AM81" s="601">
        <v>0</v>
      </c>
      <c r="AN81" s="599">
        <v>21</v>
      </c>
    </row>
    <row r="82" spans="1:40" ht="16.5" customHeight="1">
      <c r="A82" s="598" t="s">
        <v>3307</v>
      </c>
      <c r="B82" s="598" t="s">
        <v>3318</v>
      </c>
      <c r="C82" s="598" t="s">
        <v>2957</v>
      </c>
      <c r="D82" s="598" t="s">
        <v>2958</v>
      </c>
      <c r="E82" s="598" t="s">
        <v>321</v>
      </c>
      <c r="F82" s="598" t="s">
        <v>3309</v>
      </c>
      <c r="G82" s="598" t="s">
        <v>3309</v>
      </c>
      <c r="H82" s="598" t="s">
        <v>3309</v>
      </c>
      <c r="I82" s="598" t="s">
        <v>3309</v>
      </c>
      <c r="J82" s="598" t="s">
        <v>3309</v>
      </c>
      <c r="K82" s="598" t="s">
        <v>321</v>
      </c>
      <c r="L82" s="598" t="s">
        <v>321</v>
      </c>
      <c r="M82" s="598" t="s">
        <v>3309</v>
      </c>
      <c r="N82" s="598" t="s">
        <v>3309</v>
      </c>
      <c r="O82" s="598" t="s">
        <v>3309</v>
      </c>
      <c r="P82" s="598" t="s">
        <v>3309</v>
      </c>
      <c r="Q82" s="598" t="s">
        <v>3309</v>
      </c>
      <c r="R82" s="598" t="s">
        <v>321</v>
      </c>
      <c r="S82" s="598" t="s">
        <v>321</v>
      </c>
      <c r="T82" s="598" t="s">
        <v>3309</v>
      </c>
      <c r="U82" s="598" t="s">
        <v>3309</v>
      </c>
      <c r="V82" s="598" t="s">
        <v>3309</v>
      </c>
      <c r="W82" s="598" t="s">
        <v>3309</v>
      </c>
      <c r="X82" s="598" t="s">
        <v>3309</v>
      </c>
      <c r="Y82" s="598" t="s">
        <v>321</v>
      </c>
      <c r="Z82" s="598" t="s">
        <v>321</v>
      </c>
      <c r="AA82" s="598" t="s">
        <v>3309</v>
      </c>
      <c r="AB82" s="598" t="s">
        <v>3309</v>
      </c>
      <c r="AC82" s="598" t="s">
        <v>3309</v>
      </c>
      <c r="AD82" s="598" t="s">
        <v>3309</v>
      </c>
      <c r="AE82" s="598" t="s">
        <v>3309</v>
      </c>
      <c r="AF82" s="598" t="s">
        <v>321</v>
      </c>
      <c r="AG82" s="598" t="s">
        <v>321</v>
      </c>
      <c r="AH82" s="598" t="s">
        <v>3309</v>
      </c>
      <c r="AI82" s="598" t="s">
        <v>321</v>
      </c>
      <c r="AJ82" s="599">
        <v>21</v>
      </c>
      <c r="AK82" s="600">
        <v>21</v>
      </c>
      <c r="AL82" s="601">
        <v>0</v>
      </c>
      <c r="AM82" s="601">
        <v>0</v>
      </c>
      <c r="AN82" s="599">
        <v>21</v>
      </c>
    </row>
    <row r="83" spans="1:40" ht="16.5" customHeight="1">
      <c r="A83" s="598" t="s">
        <v>3307</v>
      </c>
      <c r="B83" s="598" t="s">
        <v>3318</v>
      </c>
      <c r="C83" s="598" t="s">
        <v>2785</v>
      </c>
      <c r="D83" s="598" t="s">
        <v>2786</v>
      </c>
      <c r="E83" s="598" t="s">
        <v>321</v>
      </c>
      <c r="F83" s="598" t="s">
        <v>3309</v>
      </c>
      <c r="G83" s="598" t="s">
        <v>3309</v>
      </c>
      <c r="H83" s="598" t="s">
        <v>3313</v>
      </c>
      <c r="I83" s="598" t="s">
        <v>3313</v>
      </c>
      <c r="J83" s="598" t="s">
        <v>3313</v>
      </c>
      <c r="K83" s="598" t="s">
        <v>321</v>
      </c>
      <c r="L83" s="598" t="s">
        <v>321</v>
      </c>
      <c r="M83" s="598" t="s">
        <v>3309</v>
      </c>
      <c r="N83" s="598" t="s">
        <v>3309</v>
      </c>
      <c r="O83" s="598" t="s">
        <v>3309</v>
      </c>
      <c r="P83" s="598" t="s">
        <v>3309</v>
      </c>
      <c r="Q83" s="598" t="s">
        <v>3312</v>
      </c>
      <c r="R83" s="598" t="s">
        <v>321</v>
      </c>
      <c r="S83" s="598" t="s">
        <v>321</v>
      </c>
      <c r="T83" s="598" t="s">
        <v>3309</v>
      </c>
      <c r="U83" s="598" t="s">
        <v>3309</v>
      </c>
      <c r="V83" s="598" t="s">
        <v>3309</v>
      </c>
      <c r="W83" s="598" t="s">
        <v>3314</v>
      </c>
      <c r="X83" s="598" t="s">
        <v>3309</v>
      </c>
      <c r="Y83" s="598" t="s">
        <v>321</v>
      </c>
      <c r="Z83" s="598" t="s">
        <v>321</v>
      </c>
      <c r="AA83" s="598" t="s">
        <v>3309</v>
      </c>
      <c r="AB83" s="598" t="s">
        <v>3309</v>
      </c>
      <c r="AC83" s="598" t="s">
        <v>3309</v>
      </c>
      <c r="AD83" s="598" t="s">
        <v>3309</v>
      </c>
      <c r="AE83" s="598" t="s">
        <v>3309</v>
      </c>
      <c r="AF83" s="598" t="s">
        <v>321</v>
      </c>
      <c r="AG83" s="598" t="s">
        <v>321</v>
      </c>
      <c r="AH83" s="598" t="s">
        <v>3309</v>
      </c>
      <c r="AI83" s="598" t="s">
        <v>321</v>
      </c>
      <c r="AJ83" s="599">
        <v>21</v>
      </c>
      <c r="AK83" s="603">
        <v>19.5</v>
      </c>
      <c r="AL83" s="603">
        <v>1.5</v>
      </c>
      <c r="AM83" s="601">
        <v>0</v>
      </c>
      <c r="AN83" s="599">
        <v>21</v>
      </c>
    </row>
    <row r="84" spans="1:40" ht="16.5" customHeight="1">
      <c r="A84" s="598" t="s">
        <v>3307</v>
      </c>
      <c r="B84" s="598" t="s">
        <v>3318</v>
      </c>
      <c r="C84" s="598" t="s">
        <v>2976</v>
      </c>
      <c r="D84" s="598" t="s">
        <v>2977</v>
      </c>
      <c r="E84" s="598" t="s">
        <v>321</v>
      </c>
      <c r="F84" s="598" t="s">
        <v>3309</v>
      </c>
      <c r="G84" s="598" t="s">
        <v>3314</v>
      </c>
      <c r="H84" s="598" t="s">
        <v>3313</v>
      </c>
      <c r="I84" s="598" t="s">
        <v>3313</v>
      </c>
      <c r="J84" s="598" t="s">
        <v>3313</v>
      </c>
      <c r="K84" s="598" t="s">
        <v>321</v>
      </c>
      <c r="L84" s="598" t="s">
        <v>321</v>
      </c>
      <c r="M84" s="598" t="s">
        <v>3309</v>
      </c>
      <c r="N84" s="598" t="s">
        <v>3309</v>
      </c>
      <c r="O84" s="598" t="s">
        <v>3309</v>
      </c>
      <c r="P84" s="598" t="s">
        <v>3309</v>
      </c>
      <c r="Q84" s="598" t="s">
        <v>3309</v>
      </c>
      <c r="R84" s="598" t="s">
        <v>321</v>
      </c>
      <c r="S84" s="598" t="s">
        <v>321</v>
      </c>
      <c r="T84" s="598" t="s">
        <v>3309</v>
      </c>
      <c r="U84" s="598" t="s">
        <v>3309</v>
      </c>
      <c r="V84" s="598" t="s">
        <v>3309</v>
      </c>
      <c r="W84" s="598" t="s">
        <v>3309</v>
      </c>
      <c r="X84" s="598" t="s">
        <v>3309</v>
      </c>
      <c r="Y84" s="598" t="s">
        <v>321</v>
      </c>
      <c r="Z84" s="598" t="s">
        <v>321</v>
      </c>
      <c r="AA84" s="598" t="s">
        <v>3309</v>
      </c>
      <c r="AB84" s="598" t="s">
        <v>3309</v>
      </c>
      <c r="AC84" s="598" t="s">
        <v>3309</v>
      </c>
      <c r="AD84" s="598" t="s">
        <v>3309</v>
      </c>
      <c r="AE84" s="598" t="s">
        <v>3309</v>
      </c>
      <c r="AF84" s="598" t="s">
        <v>321</v>
      </c>
      <c r="AG84" s="598" t="s">
        <v>321</v>
      </c>
      <c r="AH84" s="598" t="s">
        <v>3309</v>
      </c>
      <c r="AI84" s="598" t="s">
        <v>321</v>
      </c>
      <c r="AJ84" s="599">
        <v>21</v>
      </c>
      <c r="AK84" s="603">
        <v>20.5</v>
      </c>
      <c r="AL84" s="604">
        <v>0.5</v>
      </c>
      <c r="AM84" s="601">
        <v>0</v>
      </c>
      <c r="AN84" s="599">
        <v>21</v>
      </c>
    </row>
    <row r="85" spans="1:40" ht="16.5" customHeight="1">
      <c r="A85" s="598" t="s">
        <v>3307</v>
      </c>
      <c r="B85" s="598" t="s">
        <v>3318</v>
      </c>
      <c r="C85" s="598" t="s">
        <v>866</v>
      </c>
      <c r="D85" s="598" t="s">
        <v>867</v>
      </c>
      <c r="E85" s="598" t="s">
        <v>321</v>
      </c>
      <c r="F85" s="598" t="s">
        <v>3309</v>
      </c>
      <c r="G85" s="598" t="s">
        <v>3309</v>
      </c>
      <c r="H85" s="598" t="s">
        <v>3313</v>
      </c>
      <c r="I85" s="598" t="s">
        <v>3313</v>
      </c>
      <c r="J85" s="598" t="s">
        <v>3313</v>
      </c>
      <c r="K85" s="598" t="s">
        <v>321</v>
      </c>
      <c r="L85" s="598" t="s">
        <v>321</v>
      </c>
      <c r="M85" s="598" t="s">
        <v>3309</v>
      </c>
      <c r="N85" s="598" t="s">
        <v>3309</v>
      </c>
      <c r="O85" s="598" t="s">
        <v>3309</v>
      </c>
      <c r="P85" s="598" t="s">
        <v>3309</v>
      </c>
      <c r="Q85" s="598" t="s">
        <v>3309</v>
      </c>
      <c r="R85" s="598" t="s">
        <v>321</v>
      </c>
      <c r="S85" s="598" t="s">
        <v>321</v>
      </c>
      <c r="T85" s="598" t="s">
        <v>3309</v>
      </c>
      <c r="U85" s="598" t="s">
        <v>3309</v>
      </c>
      <c r="V85" s="598" t="s">
        <v>3309</v>
      </c>
      <c r="W85" s="598" t="s">
        <v>3309</v>
      </c>
      <c r="X85" s="598" t="s">
        <v>3309</v>
      </c>
      <c r="Y85" s="598" t="s">
        <v>321</v>
      </c>
      <c r="Z85" s="598" t="s">
        <v>321</v>
      </c>
      <c r="AA85" s="598" t="s">
        <v>3309</v>
      </c>
      <c r="AB85" s="598" t="s">
        <v>3309</v>
      </c>
      <c r="AC85" s="598" t="s">
        <v>3309</v>
      </c>
      <c r="AD85" s="598" t="s">
        <v>3309</v>
      </c>
      <c r="AE85" s="598" t="s">
        <v>3309</v>
      </c>
      <c r="AF85" s="598" t="s">
        <v>321</v>
      </c>
      <c r="AG85" s="598" t="s">
        <v>321</v>
      </c>
      <c r="AH85" s="598" t="s">
        <v>3309</v>
      </c>
      <c r="AI85" s="598" t="s">
        <v>321</v>
      </c>
      <c r="AJ85" s="599">
        <v>21</v>
      </c>
      <c r="AK85" s="600">
        <v>21</v>
      </c>
      <c r="AL85" s="601">
        <v>0</v>
      </c>
      <c r="AM85" s="601">
        <v>0</v>
      </c>
      <c r="AN85" s="599">
        <v>21</v>
      </c>
    </row>
    <row r="86" spans="1:40" ht="16.5" customHeight="1">
      <c r="A86" s="598" t="s">
        <v>3307</v>
      </c>
      <c r="B86" s="598" t="s">
        <v>3318</v>
      </c>
      <c r="C86" s="598" t="s">
        <v>2119</v>
      </c>
      <c r="D86" s="598" t="s">
        <v>2120</v>
      </c>
      <c r="E86" s="598" t="s">
        <v>321</v>
      </c>
      <c r="F86" s="598" t="s">
        <v>3309</v>
      </c>
      <c r="G86" s="598" t="s">
        <v>3309</v>
      </c>
      <c r="H86" s="598" t="s">
        <v>3313</v>
      </c>
      <c r="I86" s="598" t="s">
        <v>3313</v>
      </c>
      <c r="J86" s="598" t="s">
        <v>3313</v>
      </c>
      <c r="K86" s="598" t="s">
        <v>321</v>
      </c>
      <c r="L86" s="598" t="s">
        <v>321</v>
      </c>
      <c r="M86" s="598" t="s">
        <v>3309</v>
      </c>
      <c r="N86" s="598" t="s">
        <v>3309</v>
      </c>
      <c r="O86" s="598" t="s">
        <v>3309</v>
      </c>
      <c r="P86" s="598" t="s">
        <v>3309</v>
      </c>
      <c r="Q86" s="598" t="s">
        <v>3309</v>
      </c>
      <c r="R86" s="598" t="s">
        <v>321</v>
      </c>
      <c r="S86" s="598" t="s">
        <v>321</v>
      </c>
      <c r="T86" s="598" t="s">
        <v>3309</v>
      </c>
      <c r="U86" s="598" t="s">
        <v>3309</v>
      </c>
      <c r="V86" s="598" t="s">
        <v>3309</v>
      </c>
      <c r="W86" s="598" t="s">
        <v>3309</v>
      </c>
      <c r="X86" s="598" t="s">
        <v>3309</v>
      </c>
      <c r="Y86" s="598" t="s">
        <v>321</v>
      </c>
      <c r="Z86" s="598" t="s">
        <v>321</v>
      </c>
      <c r="AA86" s="598" t="s">
        <v>3309</v>
      </c>
      <c r="AB86" s="598" t="s">
        <v>3309</v>
      </c>
      <c r="AC86" s="598" t="s">
        <v>3309</v>
      </c>
      <c r="AD86" s="598" t="s">
        <v>3309</v>
      </c>
      <c r="AE86" s="598" t="s">
        <v>3309</v>
      </c>
      <c r="AF86" s="598" t="s">
        <v>321</v>
      </c>
      <c r="AG86" s="598" t="s">
        <v>321</v>
      </c>
      <c r="AH86" s="598" t="s">
        <v>3309</v>
      </c>
      <c r="AI86" s="598" t="s">
        <v>321</v>
      </c>
      <c r="AJ86" s="599">
        <v>21</v>
      </c>
      <c r="AK86" s="600">
        <v>21</v>
      </c>
      <c r="AL86" s="601">
        <v>0</v>
      </c>
      <c r="AM86" s="601">
        <v>0</v>
      </c>
      <c r="AN86" s="599">
        <v>21</v>
      </c>
    </row>
    <row r="87" spans="1:40" ht="16.5" customHeight="1">
      <c r="A87" s="598" t="s">
        <v>3307</v>
      </c>
      <c r="B87" s="598" t="s">
        <v>3318</v>
      </c>
      <c r="C87" s="598" t="s">
        <v>2330</v>
      </c>
      <c r="D87" s="598" t="s">
        <v>2331</v>
      </c>
      <c r="E87" s="598" t="s">
        <v>321</v>
      </c>
      <c r="F87" s="598" t="s">
        <v>3309</v>
      </c>
      <c r="G87" s="598" t="s">
        <v>3309</v>
      </c>
      <c r="H87" s="598" t="s">
        <v>3313</v>
      </c>
      <c r="I87" s="598" t="s">
        <v>3313</v>
      </c>
      <c r="J87" s="598" t="s">
        <v>3313</v>
      </c>
      <c r="K87" s="598" t="s">
        <v>321</v>
      </c>
      <c r="L87" s="598" t="s">
        <v>321</v>
      </c>
      <c r="M87" s="598" t="s">
        <v>3309</v>
      </c>
      <c r="N87" s="598" t="s">
        <v>3309</v>
      </c>
      <c r="O87" s="598" t="s">
        <v>3309</v>
      </c>
      <c r="P87" s="598" t="s">
        <v>3312</v>
      </c>
      <c r="Q87" s="598" t="s">
        <v>3309</v>
      </c>
      <c r="R87" s="598" t="s">
        <v>321</v>
      </c>
      <c r="S87" s="598" t="s">
        <v>321</v>
      </c>
      <c r="T87" s="598" t="s">
        <v>3309</v>
      </c>
      <c r="U87" s="598" t="s">
        <v>3309</v>
      </c>
      <c r="V87" s="598" t="s">
        <v>3309</v>
      </c>
      <c r="W87" s="598" t="s">
        <v>3309</v>
      </c>
      <c r="X87" s="598" t="s">
        <v>3309</v>
      </c>
      <c r="Y87" s="598" t="s">
        <v>321</v>
      </c>
      <c r="Z87" s="598" t="s">
        <v>321</v>
      </c>
      <c r="AA87" s="598" t="s">
        <v>3314</v>
      </c>
      <c r="AB87" s="598" t="s">
        <v>3309</v>
      </c>
      <c r="AC87" s="598" t="s">
        <v>3309</v>
      </c>
      <c r="AD87" s="598" t="s">
        <v>3309</v>
      </c>
      <c r="AE87" s="598" t="s">
        <v>3309</v>
      </c>
      <c r="AF87" s="598" t="s">
        <v>321</v>
      </c>
      <c r="AG87" s="598" t="s">
        <v>321</v>
      </c>
      <c r="AH87" s="598" t="s">
        <v>3309</v>
      </c>
      <c r="AI87" s="598" t="s">
        <v>321</v>
      </c>
      <c r="AJ87" s="599">
        <v>21</v>
      </c>
      <c r="AK87" s="603">
        <v>19.5</v>
      </c>
      <c r="AL87" s="603">
        <v>1.5</v>
      </c>
      <c r="AM87" s="601">
        <v>0</v>
      </c>
      <c r="AN87" s="599">
        <v>21</v>
      </c>
    </row>
    <row r="88" spans="1:40" ht="16.5" customHeight="1">
      <c r="A88" s="598" t="s">
        <v>3307</v>
      </c>
      <c r="B88" s="598" t="s">
        <v>3318</v>
      </c>
      <c r="C88" s="598" t="s">
        <v>515</v>
      </c>
      <c r="D88" s="598" t="s">
        <v>516</v>
      </c>
      <c r="E88" s="598" t="s">
        <v>321</v>
      </c>
      <c r="F88" s="598" t="s">
        <v>3309</v>
      </c>
      <c r="G88" s="598" t="s">
        <v>3309</v>
      </c>
      <c r="H88" s="598" t="s">
        <v>3313</v>
      </c>
      <c r="I88" s="598" t="s">
        <v>3313</v>
      </c>
      <c r="J88" s="598" t="s">
        <v>3313</v>
      </c>
      <c r="K88" s="598" t="s">
        <v>321</v>
      </c>
      <c r="L88" s="598" t="s">
        <v>321</v>
      </c>
      <c r="M88" s="598" t="s">
        <v>3309</v>
      </c>
      <c r="N88" s="598" t="s">
        <v>3309</v>
      </c>
      <c r="O88" s="598" t="s">
        <v>3309</v>
      </c>
      <c r="P88" s="598" t="s">
        <v>3309</v>
      </c>
      <c r="Q88" s="598" t="s">
        <v>3309</v>
      </c>
      <c r="R88" s="598" t="s">
        <v>321</v>
      </c>
      <c r="S88" s="598" t="s">
        <v>321</v>
      </c>
      <c r="T88" s="598" t="s">
        <v>3309</v>
      </c>
      <c r="U88" s="598" t="s">
        <v>3309</v>
      </c>
      <c r="V88" s="598" t="s">
        <v>3309</v>
      </c>
      <c r="W88" s="598" t="s">
        <v>3309</v>
      </c>
      <c r="X88" s="598" t="s">
        <v>3309</v>
      </c>
      <c r="Y88" s="598" t="s">
        <v>321</v>
      </c>
      <c r="Z88" s="598" t="s">
        <v>321</v>
      </c>
      <c r="AA88" s="598" t="s">
        <v>3309</v>
      </c>
      <c r="AB88" s="598" t="s">
        <v>3309</v>
      </c>
      <c r="AC88" s="598" t="s">
        <v>3309</v>
      </c>
      <c r="AD88" s="598" t="s">
        <v>3309</v>
      </c>
      <c r="AE88" s="598" t="s">
        <v>3309</v>
      </c>
      <c r="AF88" s="598" t="s">
        <v>321</v>
      </c>
      <c r="AG88" s="598" t="s">
        <v>321</v>
      </c>
      <c r="AH88" s="598" t="s">
        <v>3309</v>
      </c>
      <c r="AI88" s="598" t="s">
        <v>321</v>
      </c>
      <c r="AJ88" s="599">
        <v>21</v>
      </c>
      <c r="AK88" s="600">
        <v>21</v>
      </c>
      <c r="AL88" s="601">
        <v>0</v>
      </c>
      <c r="AM88" s="601">
        <v>0</v>
      </c>
      <c r="AN88" s="599">
        <v>21</v>
      </c>
    </row>
    <row r="89" spans="1:40" ht="16.5" customHeight="1">
      <c r="A89" s="598" t="s">
        <v>3307</v>
      </c>
      <c r="B89" s="598" t="s">
        <v>3318</v>
      </c>
      <c r="C89" s="598" t="s">
        <v>2451</v>
      </c>
      <c r="D89" s="598" t="s">
        <v>2452</v>
      </c>
      <c r="E89" s="598" t="s">
        <v>321</v>
      </c>
      <c r="F89" s="598" t="s">
        <v>3309</v>
      </c>
      <c r="G89" s="598" t="s">
        <v>3309</v>
      </c>
      <c r="H89" s="598" t="s">
        <v>3313</v>
      </c>
      <c r="I89" s="598" t="s">
        <v>3313</v>
      </c>
      <c r="J89" s="598" t="s">
        <v>3313</v>
      </c>
      <c r="K89" s="598" t="s">
        <v>321</v>
      </c>
      <c r="L89" s="598" t="s">
        <v>321</v>
      </c>
      <c r="M89" s="598" t="s">
        <v>3309</v>
      </c>
      <c r="N89" s="598" t="s">
        <v>3309</v>
      </c>
      <c r="O89" s="598" t="s">
        <v>3309</v>
      </c>
      <c r="P89" s="598" t="s">
        <v>3309</v>
      </c>
      <c r="Q89" s="598" t="s">
        <v>3309</v>
      </c>
      <c r="R89" s="598" t="s">
        <v>321</v>
      </c>
      <c r="S89" s="598" t="s">
        <v>321</v>
      </c>
      <c r="T89" s="598" t="s">
        <v>3309</v>
      </c>
      <c r="U89" s="598" t="s">
        <v>3309</v>
      </c>
      <c r="V89" s="598" t="s">
        <v>3309</v>
      </c>
      <c r="W89" s="598" t="s">
        <v>3309</v>
      </c>
      <c r="X89" s="598" t="s">
        <v>3309</v>
      </c>
      <c r="Y89" s="598" t="s">
        <v>321</v>
      </c>
      <c r="Z89" s="598" t="s">
        <v>321</v>
      </c>
      <c r="AA89" s="598" t="s">
        <v>3309</v>
      </c>
      <c r="AB89" s="598" t="s">
        <v>3309</v>
      </c>
      <c r="AC89" s="598" t="s">
        <v>3309</v>
      </c>
      <c r="AD89" s="598" t="s">
        <v>3314</v>
      </c>
      <c r="AE89" s="598" t="s">
        <v>3309</v>
      </c>
      <c r="AF89" s="598" t="s">
        <v>321</v>
      </c>
      <c r="AG89" s="598" t="s">
        <v>321</v>
      </c>
      <c r="AH89" s="598" t="s">
        <v>3309</v>
      </c>
      <c r="AI89" s="598" t="s">
        <v>321</v>
      </c>
      <c r="AJ89" s="599">
        <v>21</v>
      </c>
      <c r="AK89" s="603">
        <v>20.5</v>
      </c>
      <c r="AL89" s="604">
        <v>0.5</v>
      </c>
      <c r="AM89" s="601">
        <v>0</v>
      </c>
      <c r="AN89" s="599">
        <v>21</v>
      </c>
    </row>
    <row r="90" spans="1:40" ht="16.5" customHeight="1">
      <c r="A90" s="598" t="s">
        <v>3307</v>
      </c>
      <c r="B90" s="598" t="s">
        <v>3318</v>
      </c>
      <c r="C90" s="598" t="s">
        <v>2832</v>
      </c>
      <c r="D90" s="598" t="s">
        <v>2833</v>
      </c>
      <c r="E90" s="598" t="s">
        <v>321</v>
      </c>
      <c r="F90" s="598" t="s">
        <v>3309</v>
      </c>
      <c r="G90" s="598" t="s">
        <v>3309</v>
      </c>
      <c r="H90" s="598" t="s">
        <v>3313</v>
      </c>
      <c r="I90" s="598" t="s">
        <v>3313</v>
      </c>
      <c r="J90" s="598" t="s">
        <v>3313</v>
      </c>
      <c r="K90" s="598" t="s">
        <v>321</v>
      </c>
      <c r="L90" s="598" t="s">
        <v>321</v>
      </c>
      <c r="M90" s="598" t="s">
        <v>3309</v>
      </c>
      <c r="N90" s="598" t="s">
        <v>3309</v>
      </c>
      <c r="O90" s="598" t="s">
        <v>3309</v>
      </c>
      <c r="P90" s="598" t="s">
        <v>3309</v>
      </c>
      <c r="Q90" s="598" t="s">
        <v>3309</v>
      </c>
      <c r="R90" s="598" t="s">
        <v>321</v>
      </c>
      <c r="S90" s="598" t="s">
        <v>321</v>
      </c>
      <c r="T90" s="598" t="s">
        <v>3309</v>
      </c>
      <c r="U90" s="598" t="s">
        <v>3309</v>
      </c>
      <c r="V90" s="598" t="s">
        <v>3309</v>
      </c>
      <c r="W90" s="598" t="s">
        <v>3309</v>
      </c>
      <c r="X90" s="598" t="s">
        <v>3312</v>
      </c>
      <c r="Y90" s="598" t="s">
        <v>321</v>
      </c>
      <c r="Z90" s="598" t="s">
        <v>321</v>
      </c>
      <c r="AA90" s="598" t="s">
        <v>3309</v>
      </c>
      <c r="AB90" s="598" t="s">
        <v>3309</v>
      </c>
      <c r="AC90" s="598" t="s">
        <v>3309</v>
      </c>
      <c r="AD90" s="598" t="s">
        <v>3309</v>
      </c>
      <c r="AE90" s="598" t="s">
        <v>3309</v>
      </c>
      <c r="AF90" s="598" t="s">
        <v>321</v>
      </c>
      <c r="AG90" s="598" t="s">
        <v>321</v>
      </c>
      <c r="AH90" s="598" t="s">
        <v>3309</v>
      </c>
      <c r="AI90" s="598" t="s">
        <v>321</v>
      </c>
      <c r="AJ90" s="599">
        <v>21</v>
      </c>
      <c r="AK90" s="600">
        <v>20</v>
      </c>
      <c r="AL90" s="602">
        <v>1</v>
      </c>
      <c r="AM90" s="601">
        <v>0</v>
      </c>
      <c r="AN90" s="599">
        <v>21</v>
      </c>
    </row>
    <row r="91" spans="1:40" ht="16.5" customHeight="1">
      <c r="A91" s="598" t="s">
        <v>3307</v>
      </c>
      <c r="B91" s="598" t="s">
        <v>3318</v>
      </c>
      <c r="C91" s="598" t="s">
        <v>2660</v>
      </c>
      <c r="D91" s="598" t="s">
        <v>2661</v>
      </c>
      <c r="E91" s="598" t="s">
        <v>321</v>
      </c>
      <c r="F91" s="598" t="s">
        <v>3309</v>
      </c>
      <c r="G91" s="598" t="s">
        <v>3309</v>
      </c>
      <c r="H91" s="598" t="s">
        <v>3313</v>
      </c>
      <c r="I91" s="598" t="s">
        <v>3313</v>
      </c>
      <c r="J91" s="598" t="s">
        <v>3313</v>
      </c>
      <c r="K91" s="598" t="s">
        <v>321</v>
      </c>
      <c r="L91" s="598" t="s">
        <v>321</v>
      </c>
      <c r="M91" s="598" t="s">
        <v>3309</v>
      </c>
      <c r="N91" s="598" t="s">
        <v>3309</v>
      </c>
      <c r="O91" s="598" t="s">
        <v>3309</v>
      </c>
      <c r="P91" s="598" t="s">
        <v>3309</v>
      </c>
      <c r="Q91" s="598" t="s">
        <v>3309</v>
      </c>
      <c r="R91" s="598" t="s">
        <v>321</v>
      </c>
      <c r="S91" s="598" t="s">
        <v>321</v>
      </c>
      <c r="T91" s="598" t="s">
        <v>3309</v>
      </c>
      <c r="U91" s="598" t="s">
        <v>3309</v>
      </c>
      <c r="V91" s="598" t="s">
        <v>3309</v>
      </c>
      <c r="W91" s="598" t="s">
        <v>3309</v>
      </c>
      <c r="X91" s="598" t="s">
        <v>3309</v>
      </c>
      <c r="Y91" s="598" t="s">
        <v>321</v>
      </c>
      <c r="Z91" s="598" t="s">
        <v>321</v>
      </c>
      <c r="AA91" s="598" t="s">
        <v>3309</v>
      </c>
      <c r="AB91" s="598" t="s">
        <v>3309</v>
      </c>
      <c r="AC91" s="598" t="s">
        <v>3309</v>
      </c>
      <c r="AD91" s="598" t="s">
        <v>3309</v>
      </c>
      <c r="AE91" s="598" t="s">
        <v>3309</v>
      </c>
      <c r="AF91" s="598" t="s">
        <v>321</v>
      </c>
      <c r="AG91" s="598" t="s">
        <v>321</v>
      </c>
      <c r="AH91" s="598" t="s">
        <v>3309</v>
      </c>
      <c r="AI91" s="598" t="s">
        <v>321</v>
      </c>
      <c r="AJ91" s="599">
        <v>21</v>
      </c>
      <c r="AK91" s="600">
        <v>21</v>
      </c>
      <c r="AL91" s="601">
        <v>0</v>
      </c>
      <c r="AM91" s="601">
        <v>0</v>
      </c>
      <c r="AN91" s="599">
        <v>21</v>
      </c>
    </row>
    <row r="92" spans="1:40" ht="16.5" customHeight="1">
      <c r="A92" s="598" t="s">
        <v>3307</v>
      </c>
      <c r="B92" s="598" t="s">
        <v>3318</v>
      </c>
      <c r="C92" s="598" t="s">
        <v>959</v>
      </c>
      <c r="D92" s="598" t="s">
        <v>960</v>
      </c>
      <c r="E92" s="598" t="s">
        <v>321</v>
      </c>
      <c r="F92" s="598" t="s">
        <v>3309</v>
      </c>
      <c r="G92" s="598" t="s">
        <v>3309</v>
      </c>
      <c r="H92" s="598" t="s">
        <v>3313</v>
      </c>
      <c r="I92" s="598" t="s">
        <v>3313</v>
      </c>
      <c r="J92" s="598" t="s">
        <v>3313</v>
      </c>
      <c r="K92" s="598" t="s">
        <v>321</v>
      </c>
      <c r="L92" s="598" t="s">
        <v>321</v>
      </c>
      <c r="M92" s="598" t="s">
        <v>3309</v>
      </c>
      <c r="N92" s="598" t="s">
        <v>3309</v>
      </c>
      <c r="O92" s="598" t="s">
        <v>3309</v>
      </c>
      <c r="P92" s="598" t="s">
        <v>3312</v>
      </c>
      <c r="Q92" s="598" t="s">
        <v>3309</v>
      </c>
      <c r="R92" s="598" t="s">
        <v>321</v>
      </c>
      <c r="S92" s="598" t="s">
        <v>321</v>
      </c>
      <c r="T92" s="598" t="s">
        <v>3309</v>
      </c>
      <c r="U92" s="598" t="s">
        <v>3309</v>
      </c>
      <c r="V92" s="598" t="s">
        <v>3309</v>
      </c>
      <c r="W92" s="598" t="s">
        <v>3309</v>
      </c>
      <c r="X92" s="598" t="s">
        <v>3309</v>
      </c>
      <c r="Y92" s="598" t="s">
        <v>321</v>
      </c>
      <c r="Z92" s="598" t="s">
        <v>321</v>
      </c>
      <c r="AA92" s="598" t="s">
        <v>3309</v>
      </c>
      <c r="AB92" s="598" t="s">
        <v>3309</v>
      </c>
      <c r="AC92" s="598" t="s">
        <v>3309</v>
      </c>
      <c r="AD92" s="598" t="s">
        <v>3309</v>
      </c>
      <c r="AE92" s="598" t="s">
        <v>3309</v>
      </c>
      <c r="AF92" s="598" t="s">
        <v>321</v>
      </c>
      <c r="AG92" s="598" t="s">
        <v>321</v>
      </c>
      <c r="AH92" s="598" t="s">
        <v>3309</v>
      </c>
      <c r="AI92" s="598" t="s">
        <v>321</v>
      </c>
      <c r="AJ92" s="599">
        <v>21</v>
      </c>
      <c r="AK92" s="600">
        <v>20</v>
      </c>
      <c r="AL92" s="602">
        <v>1</v>
      </c>
      <c r="AM92" s="601">
        <v>0</v>
      </c>
      <c r="AN92" s="599">
        <v>21</v>
      </c>
    </row>
    <row r="93" spans="1:40" ht="16.5" customHeight="1">
      <c r="A93" s="598" t="s">
        <v>3307</v>
      </c>
      <c r="B93" s="598" t="s">
        <v>3318</v>
      </c>
      <c r="C93" s="598" t="s">
        <v>2598</v>
      </c>
      <c r="D93" s="598" t="s">
        <v>2599</v>
      </c>
      <c r="E93" s="598" t="s">
        <v>321</v>
      </c>
      <c r="F93" s="598" t="s">
        <v>3309</v>
      </c>
      <c r="G93" s="598" t="s">
        <v>3309</v>
      </c>
      <c r="H93" s="598" t="s">
        <v>3313</v>
      </c>
      <c r="I93" s="598" t="s">
        <v>3313</v>
      </c>
      <c r="J93" s="598" t="s">
        <v>3313</v>
      </c>
      <c r="K93" s="598" t="s">
        <v>321</v>
      </c>
      <c r="L93" s="598" t="s">
        <v>321</v>
      </c>
      <c r="M93" s="598" t="s">
        <v>3309</v>
      </c>
      <c r="N93" s="598" t="s">
        <v>3309</v>
      </c>
      <c r="O93" s="598" t="s">
        <v>3309</v>
      </c>
      <c r="P93" s="598" t="s">
        <v>3309</v>
      </c>
      <c r="Q93" s="598" t="s">
        <v>3309</v>
      </c>
      <c r="R93" s="598" t="s">
        <v>321</v>
      </c>
      <c r="S93" s="598" t="s">
        <v>321</v>
      </c>
      <c r="T93" s="598" t="s">
        <v>3309</v>
      </c>
      <c r="U93" s="598" t="s">
        <v>3309</v>
      </c>
      <c r="V93" s="598" t="s">
        <v>3309</v>
      </c>
      <c r="W93" s="598" t="s">
        <v>3309</v>
      </c>
      <c r="X93" s="598" t="s">
        <v>3309</v>
      </c>
      <c r="Y93" s="598" t="s">
        <v>321</v>
      </c>
      <c r="Z93" s="598" t="s">
        <v>321</v>
      </c>
      <c r="AA93" s="598" t="s">
        <v>3309</v>
      </c>
      <c r="AB93" s="598" t="s">
        <v>3309</v>
      </c>
      <c r="AC93" s="598" t="s">
        <v>3309</v>
      </c>
      <c r="AD93" s="598" t="s">
        <v>3309</v>
      </c>
      <c r="AE93" s="598" t="s">
        <v>3309</v>
      </c>
      <c r="AF93" s="598" t="s">
        <v>321</v>
      </c>
      <c r="AG93" s="598" t="s">
        <v>321</v>
      </c>
      <c r="AH93" s="598" t="s">
        <v>3312</v>
      </c>
      <c r="AI93" s="598" t="s">
        <v>321</v>
      </c>
      <c r="AJ93" s="599">
        <v>21</v>
      </c>
      <c r="AK93" s="600">
        <v>20</v>
      </c>
      <c r="AL93" s="602">
        <v>1</v>
      </c>
      <c r="AM93" s="601">
        <v>0</v>
      </c>
      <c r="AN93" s="599">
        <v>21</v>
      </c>
    </row>
    <row r="94" spans="1:40" ht="16.5" customHeight="1">
      <c r="A94" s="598" t="s">
        <v>3307</v>
      </c>
      <c r="B94" s="598" t="s">
        <v>3318</v>
      </c>
      <c r="C94" s="598" t="s">
        <v>756</v>
      </c>
      <c r="D94" s="598" t="s">
        <v>757</v>
      </c>
      <c r="E94" s="598" t="s">
        <v>321</v>
      </c>
      <c r="F94" s="598" t="s">
        <v>3309</v>
      </c>
      <c r="G94" s="598" t="s">
        <v>3309</v>
      </c>
      <c r="H94" s="598" t="s">
        <v>3313</v>
      </c>
      <c r="I94" s="598" t="s">
        <v>3313</v>
      </c>
      <c r="J94" s="598" t="s">
        <v>3313</v>
      </c>
      <c r="K94" s="598" t="s">
        <v>321</v>
      </c>
      <c r="L94" s="598" t="s">
        <v>321</v>
      </c>
      <c r="M94" s="598" t="s">
        <v>3309</v>
      </c>
      <c r="N94" s="598" t="s">
        <v>3309</v>
      </c>
      <c r="O94" s="598" t="s">
        <v>3309</v>
      </c>
      <c r="P94" s="598" t="s">
        <v>3309</v>
      </c>
      <c r="Q94" s="598" t="s">
        <v>3309</v>
      </c>
      <c r="R94" s="598" t="s">
        <v>321</v>
      </c>
      <c r="S94" s="598" t="s">
        <v>321</v>
      </c>
      <c r="T94" s="598" t="s">
        <v>3309</v>
      </c>
      <c r="U94" s="598" t="s">
        <v>3309</v>
      </c>
      <c r="V94" s="598" t="s">
        <v>3309</v>
      </c>
      <c r="W94" s="598" t="s">
        <v>3309</v>
      </c>
      <c r="X94" s="598" t="s">
        <v>3309</v>
      </c>
      <c r="Y94" s="598" t="s">
        <v>321</v>
      </c>
      <c r="Z94" s="598" t="s">
        <v>321</v>
      </c>
      <c r="AA94" s="598" t="s">
        <v>3309</v>
      </c>
      <c r="AB94" s="598" t="s">
        <v>3309</v>
      </c>
      <c r="AC94" s="598" t="s">
        <v>3309</v>
      </c>
      <c r="AD94" s="598" t="s">
        <v>3309</v>
      </c>
      <c r="AE94" s="598" t="s">
        <v>3309</v>
      </c>
      <c r="AF94" s="598" t="s">
        <v>321</v>
      </c>
      <c r="AG94" s="598" t="s">
        <v>321</v>
      </c>
      <c r="AH94" s="598" t="s">
        <v>3309</v>
      </c>
      <c r="AI94" s="598" t="s">
        <v>321</v>
      </c>
      <c r="AJ94" s="599">
        <v>21</v>
      </c>
      <c r="AK94" s="600">
        <v>21</v>
      </c>
      <c r="AL94" s="601">
        <v>0</v>
      </c>
      <c r="AM94" s="601">
        <v>0</v>
      </c>
      <c r="AN94" s="599">
        <v>21</v>
      </c>
    </row>
    <row r="95" spans="1:40" ht="16.5" customHeight="1">
      <c r="A95" s="598" t="s">
        <v>3307</v>
      </c>
      <c r="B95" s="598" t="s">
        <v>3318</v>
      </c>
      <c r="C95" s="598" t="s">
        <v>2838</v>
      </c>
      <c r="D95" s="598" t="s">
        <v>2839</v>
      </c>
      <c r="E95" s="598" t="s">
        <v>321</v>
      </c>
      <c r="F95" s="598" t="s">
        <v>3309</v>
      </c>
      <c r="G95" s="598" t="s">
        <v>3309</v>
      </c>
      <c r="H95" s="598" t="s">
        <v>3313</v>
      </c>
      <c r="I95" s="598" t="s">
        <v>3313</v>
      </c>
      <c r="J95" s="598" t="s">
        <v>3313</v>
      </c>
      <c r="K95" s="598" t="s">
        <v>321</v>
      </c>
      <c r="L95" s="598" t="s">
        <v>321</v>
      </c>
      <c r="M95" s="598" t="s">
        <v>3309</v>
      </c>
      <c r="N95" s="598" t="s">
        <v>3309</v>
      </c>
      <c r="O95" s="598" t="s">
        <v>3309</v>
      </c>
      <c r="P95" s="598" t="s">
        <v>3309</v>
      </c>
      <c r="Q95" s="598" t="s">
        <v>3309</v>
      </c>
      <c r="R95" s="598" t="s">
        <v>321</v>
      </c>
      <c r="S95" s="598" t="s">
        <v>321</v>
      </c>
      <c r="T95" s="598" t="s">
        <v>3314</v>
      </c>
      <c r="U95" s="598" t="s">
        <v>3309</v>
      </c>
      <c r="V95" s="598" t="s">
        <v>3309</v>
      </c>
      <c r="W95" s="598" t="s">
        <v>3309</v>
      </c>
      <c r="X95" s="598" t="s">
        <v>3309</v>
      </c>
      <c r="Y95" s="598" t="s">
        <v>321</v>
      </c>
      <c r="Z95" s="598" t="s">
        <v>321</v>
      </c>
      <c r="AA95" s="598" t="s">
        <v>3309</v>
      </c>
      <c r="AB95" s="598" t="s">
        <v>3309</v>
      </c>
      <c r="AC95" s="598" t="s">
        <v>3309</v>
      </c>
      <c r="AD95" s="598" t="s">
        <v>3309</v>
      </c>
      <c r="AE95" s="598" t="s">
        <v>3309</v>
      </c>
      <c r="AF95" s="598" t="s">
        <v>321</v>
      </c>
      <c r="AG95" s="598" t="s">
        <v>321</v>
      </c>
      <c r="AH95" s="598" t="s">
        <v>3309</v>
      </c>
      <c r="AI95" s="598" t="s">
        <v>321</v>
      </c>
      <c r="AJ95" s="599">
        <v>21</v>
      </c>
      <c r="AK95" s="603">
        <v>20.5</v>
      </c>
      <c r="AL95" s="604">
        <v>0.5</v>
      </c>
      <c r="AM95" s="601">
        <v>0</v>
      </c>
      <c r="AN95" s="599">
        <v>21</v>
      </c>
    </row>
    <row r="96" spans="1:40" ht="16.5" customHeight="1">
      <c r="A96" s="598" t="s">
        <v>3307</v>
      </c>
      <c r="B96" s="598" t="s">
        <v>3318</v>
      </c>
      <c r="C96" s="598" t="s">
        <v>413</v>
      </c>
      <c r="D96" s="598" t="s">
        <v>414</v>
      </c>
      <c r="E96" s="598" t="s">
        <v>321</v>
      </c>
      <c r="F96" s="598" t="s">
        <v>3309</v>
      </c>
      <c r="G96" s="598" t="s">
        <v>3309</v>
      </c>
      <c r="H96" s="598" t="s">
        <v>3313</v>
      </c>
      <c r="I96" s="598" t="s">
        <v>3313</v>
      </c>
      <c r="J96" s="598" t="s">
        <v>3313</v>
      </c>
      <c r="K96" s="598" t="s">
        <v>321</v>
      </c>
      <c r="L96" s="598" t="s">
        <v>321</v>
      </c>
      <c r="M96" s="598" t="s">
        <v>3309</v>
      </c>
      <c r="N96" s="598" t="s">
        <v>3309</v>
      </c>
      <c r="O96" s="598" t="s">
        <v>3309</v>
      </c>
      <c r="P96" s="598" t="s">
        <v>3309</v>
      </c>
      <c r="Q96" s="598" t="s">
        <v>3309</v>
      </c>
      <c r="R96" s="598" t="s">
        <v>321</v>
      </c>
      <c r="S96" s="598" t="s">
        <v>321</v>
      </c>
      <c r="T96" s="598" t="s">
        <v>3309</v>
      </c>
      <c r="U96" s="598" t="s">
        <v>3309</v>
      </c>
      <c r="V96" s="598" t="s">
        <v>3309</v>
      </c>
      <c r="W96" s="598" t="s">
        <v>3309</v>
      </c>
      <c r="X96" s="598" t="s">
        <v>3309</v>
      </c>
      <c r="Y96" s="598" t="s">
        <v>321</v>
      </c>
      <c r="Z96" s="598" t="s">
        <v>321</v>
      </c>
      <c r="AA96" s="598" t="s">
        <v>3309</v>
      </c>
      <c r="AB96" s="598" t="s">
        <v>3309</v>
      </c>
      <c r="AC96" s="598" t="s">
        <v>3309</v>
      </c>
      <c r="AD96" s="598" t="s">
        <v>3309</v>
      </c>
      <c r="AE96" s="598" t="s">
        <v>3309</v>
      </c>
      <c r="AF96" s="598" t="s">
        <v>321</v>
      </c>
      <c r="AG96" s="598" t="s">
        <v>321</v>
      </c>
      <c r="AH96" s="598" t="s">
        <v>3309</v>
      </c>
      <c r="AI96" s="598" t="s">
        <v>321</v>
      </c>
      <c r="AJ96" s="599">
        <v>21</v>
      </c>
      <c r="AK96" s="600">
        <v>21</v>
      </c>
      <c r="AL96" s="601">
        <v>0</v>
      </c>
      <c r="AM96" s="601">
        <v>0</v>
      </c>
      <c r="AN96" s="599">
        <v>21</v>
      </c>
    </row>
    <row r="97" spans="1:40" ht="16.5" customHeight="1">
      <c r="A97" s="598" t="s">
        <v>3307</v>
      </c>
      <c r="B97" s="598" t="s">
        <v>3318</v>
      </c>
      <c r="C97" s="598" t="s">
        <v>1598</v>
      </c>
      <c r="D97" s="598" t="s">
        <v>1599</v>
      </c>
      <c r="E97" s="598" t="s">
        <v>321</v>
      </c>
      <c r="F97" s="598" t="s">
        <v>3309</v>
      </c>
      <c r="G97" s="598" t="s">
        <v>3309</v>
      </c>
      <c r="H97" s="598" t="s">
        <v>3309</v>
      </c>
      <c r="I97" s="598" t="s">
        <v>3309</v>
      </c>
      <c r="J97" s="598" t="s">
        <v>3309</v>
      </c>
      <c r="K97" s="598" t="s">
        <v>321</v>
      </c>
      <c r="L97" s="598" t="s">
        <v>321</v>
      </c>
      <c r="M97" s="598" t="s">
        <v>3309</v>
      </c>
      <c r="N97" s="598" t="s">
        <v>3309</v>
      </c>
      <c r="O97" s="598" t="s">
        <v>3309</v>
      </c>
      <c r="P97" s="598" t="s">
        <v>3309</v>
      </c>
      <c r="Q97" s="598" t="s">
        <v>3309</v>
      </c>
      <c r="R97" s="598" t="s">
        <v>321</v>
      </c>
      <c r="S97" s="598" t="s">
        <v>321</v>
      </c>
      <c r="T97" s="598" t="s">
        <v>3309</v>
      </c>
      <c r="U97" s="598" t="s">
        <v>3309</v>
      </c>
      <c r="V97" s="598" t="s">
        <v>3309</v>
      </c>
      <c r="W97" s="598" t="s">
        <v>3309</v>
      </c>
      <c r="X97" s="598" t="s">
        <v>3309</v>
      </c>
      <c r="Y97" s="598" t="s">
        <v>321</v>
      </c>
      <c r="Z97" s="598" t="s">
        <v>321</v>
      </c>
      <c r="AA97" s="598" t="s">
        <v>3309</v>
      </c>
      <c r="AB97" s="598" t="s">
        <v>3309</v>
      </c>
      <c r="AC97" s="598" t="s">
        <v>3309</v>
      </c>
      <c r="AD97" s="598" t="s">
        <v>3309</v>
      </c>
      <c r="AE97" s="598" t="s">
        <v>3309</v>
      </c>
      <c r="AF97" s="598" t="s">
        <v>321</v>
      </c>
      <c r="AG97" s="598" t="s">
        <v>321</v>
      </c>
      <c r="AH97" s="598" t="s">
        <v>3309</v>
      </c>
      <c r="AI97" s="598" t="s">
        <v>321</v>
      </c>
      <c r="AJ97" s="599">
        <v>21</v>
      </c>
      <c r="AK97" s="600">
        <v>21</v>
      </c>
      <c r="AL97" s="601">
        <v>0</v>
      </c>
      <c r="AM97" s="601">
        <v>0</v>
      </c>
      <c r="AN97" s="599">
        <v>21</v>
      </c>
    </row>
    <row r="98" spans="1:40" ht="16.5" customHeight="1">
      <c r="A98" s="598" t="s">
        <v>3307</v>
      </c>
      <c r="B98" s="598" t="s">
        <v>3318</v>
      </c>
      <c r="C98" s="598" t="s">
        <v>1869</v>
      </c>
      <c r="D98" s="598" t="s">
        <v>1870</v>
      </c>
      <c r="E98" s="598" t="s">
        <v>321</v>
      </c>
      <c r="F98" s="598" t="s">
        <v>3309</v>
      </c>
      <c r="G98" s="598" t="s">
        <v>3309</v>
      </c>
      <c r="H98" s="598" t="s">
        <v>3309</v>
      </c>
      <c r="I98" s="598" t="s">
        <v>3309</v>
      </c>
      <c r="J98" s="598" t="s">
        <v>3309</v>
      </c>
      <c r="K98" s="598" t="s">
        <v>321</v>
      </c>
      <c r="L98" s="598" t="s">
        <v>321</v>
      </c>
      <c r="M98" s="598" t="s">
        <v>3309</v>
      </c>
      <c r="N98" s="598" t="s">
        <v>3309</v>
      </c>
      <c r="O98" s="598" t="s">
        <v>3309</v>
      </c>
      <c r="P98" s="598" t="s">
        <v>3309</v>
      </c>
      <c r="Q98" s="598" t="s">
        <v>3312</v>
      </c>
      <c r="R98" s="598" t="s">
        <v>321</v>
      </c>
      <c r="S98" s="598" t="s">
        <v>321</v>
      </c>
      <c r="T98" s="598" t="s">
        <v>3312</v>
      </c>
      <c r="U98" s="598" t="s">
        <v>3309</v>
      </c>
      <c r="V98" s="598" t="s">
        <v>3309</v>
      </c>
      <c r="W98" s="598" t="s">
        <v>3309</v>
      </c>
      <c r="X98" s="598" t="s">
        <v>3309</v>
      </c>
      <c r="Y98" s="598" t="s">
        <v>321</v>
      </c>
      <c r="Z98" s="598" t="s">
        <v>321</v>
      </c>
      <c r="AA98" s="598" t="s">
        <v>3309</v>
      </c>
      <c r="AB98" s="598" t="s">
        <v>3309</v>
      </c>
      <c r="AC98" s="598" t="s">
        <v>3309</v>
      </c>
      <c r="AD98" s="598" t="s">
        <v>3309</v>
      </c>
      <c r="AE98" s="598" t="s">
        <v>3309</v>
      </c>
      <c r="AF98" s="598" t="s">
        <v>321</v>
      </c>
      <c r="AG98" s="598" t="s">
        <v>321</v>
      </c>
      <c r="AH98" s="598" t="s">
        <v>3309</v>
      </c>
      <c r="AI98" s="598" t="s">
        <v>321</v>
      </c>
      <c r="AJ98" s="599">
        <v>21</v>
      </c>
      <c r="AK98" s="600">
        <v>19</v>
      </c>
      <c r="AL98" s="602">
        <v>2</v>
      </c>
      <c r="AM98" s="601">
        <v>0</v>
      </c>
      <c r="AN98" s="599">
        <v>21</v>
      </c>
    </row>
    <row r="99" spans="1:40" ht="16.5" customHeight="1">
      <c r="A99" s="598" t="s">
        <v>3307</v>
      </c>
      <c r="B99" s="598" t="s">
        <v>3318</v>
      </c>
      <c r="C99" s="598" t="s">
        <v>1066</v>
      </c>
      <c r="D99" s="598" t="s">
        <v>1067</v>
      </c>
      <c r="E99" s="598" t="s">
        <v>321</v>
      </c>
      <c r="F99" s="598" t="s">
        <v>3309</v>
      </c>
      <c r="G99" s="598" t="s">
        <v>3309</v>
      </c>
      <c r="H99" s="598" t="s">
        <v>3309</v>
      </c>
      <c r="I99" s="598" t="s">
        <v>3309</v>
      </c>
      <c r="J99" s="598" t="s">
        <v>3309</v>
      </c>
      <c r="K99" s="598" t="s">
        <v>321</v>
      </c>
      <c r="L99" s="598" t="s">
        <v>321</v>
      </c>
      <c r="M99" s="598" t="s">
        <v>3309</v>
      </c>
      <c r="N99" s="598" t="s">
        <v>3309</v>
      </c>
      <c r="O99" s="598" t="s">
        <v>3309</v>
      </c>
      <c r="P99" s="598" t="s">
        <v>3309</v>
      </c>
      <c r="Q99" s="598" t="s">
        <v>3309</v>
      </c>
      <c r="R99" s="598" t="s">
        <v>321</v>
      </c>
      <c r="S99" s="598" t="s">
        <v>321</v>
      </c>
      <c r="T99" s="598" t="s">
        <v>3309</v>
      </c>
      <c r="U99" s="598" t="s">
        <v>3312</v>
      </c>
      <c r="V99" s="598" t="s">
        <v>3312</v>
      </c>
      <c r="W99" s="598" t="s">
        <v>3312</v>
      </c>
      <c r="X99" s="598" t="s">
        <v>3312</v>
      </c>
      <c r="Y99" s="598" t="s">
        <v>321</v>
      </c>
      <c r="Z99" s="598" t="s">
        <v>321</v>
      </c>
      <c r="AA99" s="598" t="s">
        <v>3309</v>
      </c>
      <c r="AB99" s="598" t="s">
        <v>3309</v>
      </c>
      <c r="AC99" s="598" t="s">
        <v>3309</v>
      </c>
      <c r="AD99" s="598" t="s">
        <v>3309</v>
      </c>
      <c r="AE99" s="598" t="s">
        <v>3309</v>
      </c>
      <c r="AF99" s="598" t="s">
        <v>321</v>
      </c>
      <c r="AG99" s="598" t="s">
        <v>321</v>
      </c>
      <c r="AH99" s="598" t="s">
        <v>3309</v>
      </c>
      <c r="AI99" s="598" t="s">
        <v>321</v>
      </c>
      <c r="AJ99" s="599">
        <v>21</v>
      </c>
      <c r="AK99" s="600">
        <v>17</v>
      </c>
      <c r="AL99" s="602">
        <v>4</v>
      </c>
      <c r="AM99" s="601">
        <v>0</v>
      </c>
      <c r="AN99" s="599">
        <v>21</v>
      </c>
    </row>
    <row r="100" spans="1:40" ht="16.5" customHeight="1">
      <c r="A100" s="598" t="s">
        <v>3307</v>
      </c>
      <c r="B100" s="598" t="s">
        <v>3318</v>
      </c>
      <c r="C100" s="598" t="s">
        <v>1652</v>
      </c>
      <c r="D100" s="598" t="s">
        <v>1653</v>
      </c>
      <c r="E100" s="598" t="s">
        <v>321</v>
      </c>
      <c r="F100" s="598" t="s">
        <v>3309</v>
      </c>
      <c r="G100" s="598" t="s">
        <v>3309</v>
      </c>
      <c r="H100" s="598" t="s">
        <v>3313</v>
      </c>
      <c r="I100" s="598" t="s">
        <v>3313</v>
      </c>
      <c r="J100" s="598" t="s">
        <v>3313</v>
      </c>
      <c r="K100" s="598" t="s">
        <v>321</v>
      </c>
      <c r="L100" s="598" t="s">
        <v>321</v>
      </c>
      <c r="M100" s="598" t="s">
        <v>3314</v>
      </c>
      <c r="N100" s="598" t="s">
        <v>3312</v>
      </c>
      <c r="O100" s="598" t="s">
        <v>3309</v>
      </c>
      <c r="P100" s="598" t="s">
        <v>3309</v>
      </c>
      <c r="Q100" s="598" t="s">
        <v>3309</v>
      </c>
      <c r="R100" s="598" t="s">
        <v>321</v>
      </c>
      <c r="S100" s="598" t="s">
        <v>321</v>
      </c>
      <c r="T100" s="598" t="s">
        <v>3309</v>
      </c>
      <c r="U100" s="598" t="s">
        <v>3309</v>
      </c>
      <c r="V100" s="598" t="s">
        <v>3309</v>
      </c>
      <c r="W100" s="598" t="s">
        <v>3309</v>
      </c>
      <c r="X100" s="598" t="s">
        <v>3309</v>
      </c>
      <c r="Y100" s="598" t="s">
        <v>321</v>
      </c>
      <c r="Z100" s="598" t="s">
        <v>321</v>
      </c>
      <c r="AA100" s="598" t="s">
        <v>3309</v>
      </c>
      <c r="AB100" s="598" t="s">
        <v>3309</v>
      </c>
      <c r="AC100" s="598" t="s">
        <v>3309</v>
      </c>
      <c r="AD100" s="598" t="s">
        <v>3309</v>
      </c>
      <c r="AE100" s="598" t="s">
        <v>3309</v>
      </c>
      <c r="AF100" s="598" t="s">
        <v>321</v>
      </c>
      <c r="AG100" s="598" t="s">
        <v>321</v>
      </c>
      <c r="AH100" s="598" t="s">
        <v>3309</v>
      </c>
      <c r="AI100" s="598" t="s">
        <v>321</v>
      </c>
      <c r="AJ100" s="599">
        <v>21</v>
      </c>
      <c r="AK100" s="603">
        <v>19.5</v>
      </c>
      <c r="AL100" s="603">
        <v>1.5</v>
      </c>
      <c r="AM100" s="601">
        <v>0</v>
      </c>
      <c r="AN100" s="599">
        <v>21</v>
      </c>
    </row>
    <row r="101" spans="1:40" ht="16.5" customHeight="1">
      <c r="A101" s="598" t="s">
        <v>3307</v>
      </c>
      <c r="B101" s="598" t="s">
        <v>3318</v>
      </c>
      <c r="C101" s="598" t="s">
        <v>784</v>
      </c>
      <c r="D101" s="598" t="s">
        <v>785</v>
      </c>
      <c r="E101" s="598" t="s">
        <v>321</v>
      </c>
      <c r="F101" s="598" t="s">
        <v>3309</v>
      </c>
      <c r="G101" s="598" t="s">
        <v>3309</v>
      </c>
      <c r="H101" s="598" t="s">
        <v>3313</v>
      </c>
      <c r="I101" s="598" t="s">
        <v>3313</v>
      </c>
      <c r="J101" s="598" t="s">
        <v>3313</v>
      </c>
      <c r="K101" s="598" t="s">
        <v>321</v>
      </c>
      <c r="L101" s="598" t="s">
        <v>321</v>
      </c>
      <c r="M101" s="598" t="s">
        <v>3309</v>
      </c>
      <c r="N101" s="598" t="s">
        <v>3309</v>
      </c>
      <c r="O101" s="598" t="s">
        <v>3309</v>
      </c>
      <c r="P101" s="598" t="s">
        <v>3309</v>
      </c>
      <c r="Q101" s="598" t="s">
        <v>3309</v>
      </c>
      <c r="R101" s="598" t="s">
        <v>321</v>
      </c>
      <c r="S101" s="598" t="s">
        <v>321</v>
      </c>
      <c r="T101" s="598" t="s">
        <v>3309</v>
      </c>
      <c r="U101" s="598" t="s">
        <v>3309</v>
      </c>
      <c r="V101" s="598" t="s">
        <v>3309</v>
      </c>
      <c r="W101" s="598" t="s">
        <v>3309</v>
      </c>
      <c r="X101" s="598" t="s">
        <v>3309</v>
      </c>
      <c r="Y101" s="598" t="s">
        <v>321</v>
      </c>
      <c r="Z101" s="598" t="s">
        <v>321</v>
      </c>
      <c r="AA101" s="598" t="s">
        <v>3309</v>
      </c>
      <c r="AB101" s="598" t="s">
        <v>3309</v>
      </c>
      <c r="AC101" s="598" t="s">
        <v>3309</v>
      </c>
      <c r="AD101" s="598" t="s">
        <v>3309</v>
      </c>
      <c r="AE101" s="598" t="s">
        <v>3309</v>
      </c>
      <c r="AF101" s="598" t="s">
        <v>321</v>
      </c>
      <c r="AG101" s="598" t="s">
        <v>321</v>
      </c>
      <c r="AH101" s="598" t="s">
        <v>3309</v>
      </c>
      <c r="AI101" s="598" t="s">
        <v>321</v>
      </c>
      <c r="AJ101" s="599">
        <v>21</v>
      </c>
      <c r="AK101" s="600">
        <v>21</v>
      </c>
      <c r="AL101" s="601">
        <v>0</v>
      </c>
      <c r="AM101" s="601">
        <v>0</v>
      </c>
      <c r="AN101" s="599">
        <v>21</v>
      </c>
    </row>
    <row r="102" spans="1:40" ht="16.5" customHeight="1">
      <c r="A102" s="598" t="s">
        <v>3307</v>
      </c>
      <c r="B102" s="598" t="s">
        <v>3318</v>
      </c>
      <c r="C102" s="598" t="s">
        <v>1680</v>
      </c>
      <c r="D102" s="598" t="s">
        <v>1681</v>
      </c>
      <c r="E102" s="598" t="s">
        <v>321</v>
      </c>
      <c r="F102" s="598" t="s">
        <v>3309</v>
      </c>
      <c r="G102" s="598" t="s">
        <v>3309</v>
      </c>
      <c r="H102" s="598" t="s">
        <v>3313</v>
      </c>
      <c r="I102" s="598" t="s">
        <v>3313</v>
      </c>
      <c r="J102" s="598" t="s">
        <v>3313</v>
      </c>
      <c r="K102" s="598" t="s">
        <v>321</v>
      </c>
      <c r="L102" s="598" t="s">
        <v>321</v>
      </c>
      <c r="M102" s="598" t="s">
        <v>3309</v>
      </c>
      <c r="N102" s="598" t="s">
        <v>3309</v>
      </c>
      <c r="O102" s="598" t="s">
        <v>3309</v>
      </c>
      <c r="P102" s="598" t="s">
        <v>3309</v>
      </c>
      <c r="Q102" s="598" t="s">
        <v>3309</v>
      </c>
      <c r="R102" s="598" t="s">
        <v>321</v>
      </c>
      <c r="S102" s="598" t="s">
        <v>321</v>
      </c>
      <c r="T102" s="598" t="s">
        <v>3309</v>
      </c>
      <c r="U102" s="598" t="s">
        <v>3309</v>
      </c>
      <c r="V102" s="598" t="s">
        <v>3309</v>
      </c>
      <c r="W102" s="598" t="s">
        <v>3309</v>
      </c>
      <c r="X102" s="598" t="s">
        <v>3309</v>
      </c>
      <c r="Y102" s="598" t="s">
        <v>321</v>
      </c>
      <c r="Z102" s="598" t="s">
        <v>321</v>
      </c>
      <c r="AA102" s="598" t="s">
        <v>3309</v>
      </c>
      <c r="AB102" s="598" t="s">
        <v>3309</v>
      </c>
      <c r="AC102" s="598" t="s">
        <v>3309</v>
      </c>
      <c r="AD102" s="598" t="s">
        <v>3309</v>
      </c>
      <c r="AE102" s="598" t="s">
        <v>3309</v>
      </c>
      <c r="AF102" s="598" t="s">
        <v>321</v>
      </c>
      <c r="AG102" s="598" t="s">
        <v>321</v>
      </c>
      <c r="AH102" s="598" t="s">
        <v>3309</v>
      </c>
      <c r="AI102" s="598" t="s">
        <v>321</v>
      </c>
      <c r="AJ102" s="599">
        <v>21</v>
      </c>
      <c r="AK102" s="600">
        <v>21</v>
      </c>
      <c r="AL102" s="601">
        <v>0</v>
      </c>
      <c r="AM102" s="601">
        <v>0</v>
      </c>
      <c r="AN102" s="599">
        <v>21</v>
      </c>
    </row>
    <row r="103" spans="1:40" ht="16.5" customHeight="1">
      <c r="A103" s="598" t="s">
        <v>3307</v>
      </c>
      <c r="B103" s="598" t="s">
        <v>3318</v>
      </c>
      <c r="C103" s="598" t="s">
        <v>2796</v>
      </c>
      <c r="D103" s="598" t="s">
        <v>2797</v>
      </c>
      <c r="E103" s="598" t="s">
        <v>321</v>
      </c>
      <c r="F103" s="598" t="s">
        <v>3309</v>
      </c>
      <c r="G103" s="598" t="s">
        <v>3309</v>
      </c>
      <c r="H103" s="598" t="s">
        <v>3313</v>
      </c>
      <c r="I103" s="598" t="s">
        <v>3313</v>
      </c>
      <c r="J103" s="598" t="s">
        <v>3313</v>
      </c>
      <c r="K103" s="598" t="s">
        <v>321</v>
      </c>
      <c r="L103" s="598" t="s">
        <v>321</v>
      </c>
      <c r="M103" s="598" t="s">
        <v>3309</v>
      </c>
      <c r="N103" s="598" t="s">
        <v>3309</v>
      </c>
      <c r="O103" s="598" t="s">
        <v>3309</v>
      </c>
      <c r="P103" s="598" t="s">
        <v>3309</v>
      </c>
      <c r="Q103" s="598" t="s">
        <v>3309</v>
      </c>
      <c r="R103" s="598" t="s">
        <v>321</v>
      </c>
      <c r="S103" s="598" t="s">
        <v>321</v>
      </c>
      <c r="T103" s="598" t="s">
        <v>3309</v>
      </c>
      <c r="U103" s="598" t="s">
        <v>3309</v>
      </c>
      <c r="V103" s="598" t="s">
        <v>3309</v>
      </c>
      <c r="W103" s="598" t="s">
        <v>3309</v>
      </c>
      <c r="X103" s="598" t="s">
        <v>3309</v>
      </c>
      <c r="Y103" s="598" t="s">
        <v>321</v>
      </c>
      <c r="Z103" s="598" t="s">
        <v>321</v>
      </c>
      <c r="AA103" s="598" t="s">
        <v>3309</v>
      </c>
      <c r="AB103" s="598" t="s">
        <v>3309</v>
      </c>
      <c r="AC103" s="598" t="s">
        <v>3309</v>
      </c>
      <c r="AD103" s="598" t="s">
        <v>3309</v>
      </c>
      <c r="AE103" s="598" t="s">
        <v>3309</v>
      </c>
      <c r="AF103" s="598" t="s">
        <v>321</v>
      </c>
      <c r="AG103" s="598" t="s">
        <v>321</v>
      </c>
      <c r="AH103" s="598" t="s">
        <v>3309</v>
      </c>
      <c r="AI103" s="598" t="s">
        <v>321</v>
      </c>
      <c r="AJ103" s="599">
        <v>21</v>
      </c>
      <c r="AK103" s="600">
        <v>21</v>
      </c>
      <c r="AL103" s="601">
        <v>0</v>
      </c>
      <c r="AM103" s="601">
        <v>0</v>
      </c>
      <c r="AN103" s="599">
        <v>21</v>
      </c>
    </row>
    <row r="104" spans="1:40" ht="16.5" customHeight="1">
      <c r="A104" s="598" t="s">
        <v>3307</v>
      </c>
      <c r="B104" s="598" t="s">
        <v>3318</v>
      </c>
      <c r="C104" s="598" t="s">
        <v>2098</v>
      </c>
      <c r="D104" s="598" t="s">
        <v>2099</v>
      </c>
      <c r="E104" s="598" t="s">
        <v>321</v>
      </c>
      <c r="F104" s="598" t="s">
        <v>3309</v>
      </c>
      <c r="G104" s="598" t="s">
        <v>3309</v>
      </c>
      <c r="H104" s="598" t="s">
        <v>3313</v>
      </c>
      <c r="I104" s="598" t="s">
        <v>3313</v>
      </c>
      <c r="J104" s="598" t="s">
        <v>3313</v>
      </c>
      <c r="K104" s="598" t="s">
        <v>321</v>
      </c>
      <c r="L104" s="598" t="s">
        <v>321</v>
      </c>
      <c r="M104" s="598" t="s">
        <v>3309</v>
      </c>
      <c r="N104" s="598" t="s">
        <v>3309</v>
      </c>
      <c r="O104" s="598" t="s">
        <v>3309</v>
      </c>
      <c r="P104" s="598" t="s">
        <v>3309</v>
      </c>
      <c r="Q104" s="598" t="s">
        <v>3309</v>
      </c>
      <c r="R104" s="598" t="s">
        <v>321</v>
      </c>
      <c r="S104" s="598" t="s">
        <v>321</v>
      </c>
      <c r="T104" s="598" t="s">
        <v>3309</v>
      </c>
      <c r="U104" s="598" t="s">
        <v>3309</v>
      </c>
      <c r="V104" s="598" t="s">
        <v>3309</v>
      </c>
      <c r="W104" s="598" t="s">
        <v>3309</v>
      </c>
      <c r="X104" s="598" t="s">
        <v>3309</v>
      </c>
      <c r="Y104" s="598" t="s">
        <v>321</v>
      </c>
      <c r="Z104" s="598" t="s">
        <v>321</v>
      </c>
      <c r="AA104" s="598" t="s">
        <v>3309</v>
      </c>
      <c r="AB104" s="598" t="s">
        <v>3309</v>
      </c>
      <c r="AC104" s="598" t="s">
        <v>3309</v>
      </c>
      <c r="AD104" s="598" t="s">
        <v>3309</v>
      </c>
      <c r="AE104" s="598" t="s">
        <v>3309</v>
      </c>
      <c r="AF104" s="598" t="s">
        <v>321</v>
      </c>
      <c r="AG104" s="598" t="s">
        <v>321</v>
      </c>
      <c r="AH104" s="598" t="s">
        <v>3309</v>
      </c>
      <c r="AI104" s="598" t="s">
        <v>321</v>
      </c>
      <c r="AJ104" s="599">
        <v>21</v>
      </c>
      <c r="AK104" s="600">
        <v>21</v>
      </c>
      <c r="AL104" s="601">
        <v>0</v>
      </c>
      <c r="AM104" s="601">
        <v>0</v>
      </c>
      <c r="AN104" s="599">
        <v>21</v>
      </c>
    </row>
    <row r="105" spans="1:40" ht="16.5" customHeight="1">
      <c r="A105" s="598" t="s">
        <v>3307</v>
      </c>
      <c r="B105" s="598" t="s">
        <v>3318</v>
      </c>
      <c r="C105" s="598" t="s">
        <v>2085</v>
      </c>
      <c r="D105" s="598" t="s">
        <v>2086</v>
      </c>
      <c r="E105" s="598" t="s">
        <v>321</v>
      </c>
      <c r="F105" s="598" t="s">
        <v>3309</v>
      </c>
      <c r="G105" s="598" t="s">
        <v>3309</v>
      </c>
      <c r="H105" s="598" t="s">
        <v>3309</v>
      </c>
      <c r="I105" s="598" t="s">
        <v>3309</v>
      </c>
      <c r="J105" s="598" t="s">
        <v>3309</v>
      </c>
      <c r="K105" s="598" t="s">
        <v>321</v>
      </c>
      <c r="L105" s="598" t="s">
        <v>321</v>
      </c>
      <c r="M105" s="598" t="s">
        <v>3309</v>
      </c>
      <c r="N105" s="598" t="s">
        <v>3309</v>
      </c>
      <c r="O105" s="598" t="s">
        <v>3309</v>
      </c>
      <c r="P105" s="598" t="s">
        <v>3314</v>
      </c>
      <c r="Q105" s="598" t="s">
        <v>3309</v>
      </c>
      <c r="R105" s="598" t="s">
        <v>321</v>
      </c>
      <c r="S105" s="598" t="s">
        <v>321</v>
      </c>
      <c r="T105" s="598" t="s">
        <v>3309</v>
      </c>
      <c r="U105" s="598" t="s">
        <v>3309</v>
      </c>
      <c r="V105" s="598" t="s">
        <v>3309</v>
      </c>
      <c r="W105" s="598" t="s">
        <v>3309</v>
      </c>
      <c r="X105" s="598" t="s">
        <v>3309</v>
      </c>
      <c r="Y105" s="598" t="s">
        <v>321</v>
      </c>
      <c r="Z105" s="598" t="s">
        <v>321</v>
      </c>
      <c r="AA105" s="598" t="s">
        <v>3309</v>
      </c>
      <c r="AB105" s="598" t="s">
        <v>3309</v>
      </c>
      <c r="AC105" s="598" t="s">
        <v>3309</v>
      </c>
      <c r="AD105" s="598" t="s">
        <v>3309</v>
      </c>
      <c r="AE105" s="598" t="s">
        <v>3314</v>
      </c>
      <c r="AF105" s="598" t="s">
        <v>321</v>
      </c>
      <c r="AG105" s="598" t="s">
        <v>321</v>
      </c>
      <c r="AH105" s="598" t="s">
        <v>3309</v>
      </c>
      <c r="AI105" s="598" t="s">
        <v>321</v>
      </c>
      <c r="AJ105" s="599">
        <v>21</v>
      </c>
      <c r="AK105" s="600">
        <v>20</v>
      </c>
      <c r="AL105" s="602">
        <v>1</v>
      </c>
      <c r="AM105" s="601">
        <v>0</v>
      </c>
      <c r="AN105" s="599">
        <v>21</v>
      </c>
    </row>
    <row r="106" spans="1:40" ht="16.5" customHeight="1">
      <c r="A106" s="598" t="s">
        <v>3307</v>
      </c>
      <c r="B106" s="598" t="s">
        <v>3318</v>
      </c>
      <c r="C106" s="598" t="s">
        <v>2953</v>
      </c>
      <c r="D106" s="598" t="s">
        <v>2954</v>
      </c>
      <c r="E106" s="598" t="s">
        <v>321</v>
      </c>
      <c r="F106" s="598" t="s">
        <v>3309</v>
      </c>
      <c r="G106" s="598" t="s">
        <v>3309</v>
      </c>
      <c r="H106" s="598" t="s">
        <v>3313</v>
      </c>
      <c r="I106" s="598" t="s">
        <v>3313</v>
      </c>
      <c r="J106" s="598" t="s">
        <v>3313</v>
      </c>
      <c r="K106" s="598" t="s">
        <v>321</v>
      </c>
      <c r="L106" s="598" t="s">
        <v>321</v>
      </c>
      <c r="M106" s="598" t="s">
        <v>3309</v>
      </c>
      <c r="N106" s="598" t="s">
        <v>3309</v>
      </c>
      <c r="O106" s="598" t="s">
        <v>3309</v>
      </c>
      <c r="P106" s="598" t="s">
        <v>3309</v>
      </c>
      <c r="Q106" s="598" t="s">
        <v>3309</v>
      </c>
      <c r="R106" s="598" t="s">
        <v>321</v>
      </c>
      <c r="S106" s="598" t="s">
        <v>321</v>
      </c>
      <c r="T106" s="598" t="s">
        <v>3309</v>
      </c>
      <c r="U106" s="598" t="s">
        <v>3309</v>
      </c>
      <c r="V106" s="598" t="s">
        <v>3309</v>
      </c>
      <c r="W106" s="598" t="s">
        <v>3309</v>
      </c>
      <c r="X106" s="598" t="s">
        <v>3309</v>
      </c>
      <c r="Y106" s="598" t="s">
        <v>321</v>
      </c>
      <c r="Z106" s="598" t="s">
        <v>321</v>
      </c>
      <c r="AA106" s="598" t="s">
        <v>3309</v>
      </c>
      <c r="AB106" s="598" t="s">
        <v>3309</v>
      </c>
      <c r="AC106" s="598" t="s">
        <v>3309</v>
      </c>
      <c r="AD106" s="598" t="s">
        <v>3309</v>
      </c>
      <c r="AE106" s="598" t="s">
        <v>3309</v>
      </c>
      <c r="AF106" s="598" t="s">
        <v>321</v>
      </c>
      <c r="AG106" s="598" t="s">
        <v>321</v>
      </c>
      <c r="AH106" s="598" t="s">
        <v>3309</v>
      </c>
      <c r="AI106" s="598" t="s">
        <v>321</v>
      </c>
      <c r="AJ106" s="599">
        <v>21</v>
      </c>
      <c r="AK106" s="600">
        <v>21</v>
      </c>
      <c r="AL106" s="601">
        <v>0</v>
      </c>
      <c r="AM106" s="601">
        <v>0</v>
      </c>
      <c r="AN106" s="599">
        <v>21</v>
      </c>
    </row>
    <row r="107" spans="1:40" ht="16.5" customHeight="1">
      <c r="A107" s="598" t="s">
        <v>3307</v>
      </c>
      <c r="B107" s="598" t="s">
        <v>3322</v>
      </c>
      <c r="C107" s="598" t="s">
        <v>1646</v>
      </c>
      <c r="D107" s="598" t="s">
        <v>1647</v>
      </c>
      <c r="E107" s="598" t="s">
        <v>321</v>
      </c>
      <c r="F107" s="598" t="s">
        <v>3309</v>
      </c>
      <c r="G107" s="598" t="s">
        <v>3309</v>
      </c>
      <c r="H107" s="598" t="s">
        <v>3309</v>
      </c>
      <c r="I107" s="598" t="s">
        <v>3309</v>
      </c>
      <c r="J107" s="598" t="s">
        <v>3309</v>
      </c>
      <c r="K107" s="598" t="s">
        <v>321</v>
      </c>
      <c r="L107" s="598" t="s">
        <v>321</v>
      </c>
      <c r="M107" s="598" t="s">
        <v>3314</v>
      </c>
      <c r="N107" s="598" t="s">
        <v>3309</v>
      </c>
      <c r="O107" s="598" t="s">
        <v>3309</v>
      </c>
      <c r="P107" s="598" t="s">
        <v>3309</v>
      </c>
      <c r="Q107" s="598" t="s">
        <v>3309</v>
      </c>
      <c r="R107" s="598" t="s">
        <v>321</v>
      </c>
      <c r="S107" s="598" t="s">
        <v>321</v>
      </c>
      <c r="T107" s="598" t="s">
        <v>3309</v>
      </c>
      <c r="U107" s="598" t="s">
        <v>3309</v>
      </c>
      <c r="V107" s="598" t="s">
        <v>3309</v>
      </c>
      <c r="W107" s="598" t="s">
        <v>3309</v>
      </c>
      <c r="X107" s="598" t="s">
        <v>3309</v>
      </c>
      <c r="Y107" s="598" t="s">
        <v>321</v>
      </c>
      <c r="Z107" s="598" t="s">
        <v>321</v>
      </c>
      <c r="AA107" s="598" t="s">
        <v>3312</v>
      </c>
      <c r="AB107" s="598" t="s">
        <v>3309</v>
      </c>
      <c r="AC107" s="598" t="s">
        <v>3309</v>
      </c>
      <c r="AD107" s="598" t="s">
        <v>3309</v>
      </c>
      <c r="AE107" s="598" t="s">
        <v>3309</v>
      </c>
      <c r="AF107" s="598" t="s">
        <v>321</v>
      </c>
      <c r="AG107" s="598" t="s">
        <v>321</v>
      </c>
      <c r="AH107" s="598" t="s">
        <v>3312</v>
      </c>
      <c r="AI107" s="598" t="s">
        <v>321</v>
      </c>
      <c r="AJ107" s="599">
        <v>21</v>
      </c>
      <c r="AK107" s="603">
        <v>18.5</v>
      </c>
      <c r="AL107" s="603">
        <v>2.5</v>
      </c>
      <c r="AM107" s="601">
        <v>0</v>
      </c>
      <c r="AN107" s="599">
        <v>21</v>
      </c>
    </row>
    <row r="108" spans="1:40" ht="16.5" customHeight="1">
      <c r="A108" s="598" t="s">
        <v>3307</v>
      </c>
      <c r="B108" s="598" t="s">
        <v>3322</v>
      </c>
      <c r="C108" s="598" t="s">
        <v>2350</v>
      </c>
      <c r="D108" s="598" t="s">
        <v>2351</v>
      </c>
      <c r="E108" s="598" t="s">
        <v>321</v>
      </c>
      <c r="F108" s="598" t="s">
        <v>3309</v>
      </c>
      <c r="G108" s="598" t="s">
        <v>3309</v>
      </c>
      <c r="H108" s="598" t="s">
        <v>3309</v>
      </c>
      <c r="I108" s="598" t="s">
        <v>3309</v>
      </c>
      <c r="J108" s="598" t="s">
        <v>3309</v>
      </c>
      <c r="K108" s="598" t="s">
        <v>321</v>
      </c>
      <c r="L108" s="598" t="s">
        <v>321</v>
      </c>
      <c r="M108" s="598" t="s">
        <v>3309</v>
      </c>
      <c r="N108" s="598" t="s">
        <v>3309</v>
      </c>
      <c r="O108" s="598" t="s">
        <v>3309</v>
      </c>
      <c r="P108" s="598" t="s">
        <v>3309</v>
      </c>
      <c r="Q108" s="598" t="s">
        <v>3309</v>
      </c>
      <c r="R108" s="598" t="s">
        <v>321</v>
      </c>
      <c r="S108" s="598" t="s">
        <v>321</v>
      </c>
      <c r="T108" s="598" t="s">
        <v>3309</v>
      </c>
      <c r="U108" s="598" t="s">
        <v>3309</v>
      </c>
      <c r="V108" s="598" t="s">
        <v>3309</v>
      </c>
      <c r="W108" s="598" t="s">
        <v>3309</v>
      </c>
      <c r="X108" s="598" t="s">
        <v>3309</v>
      </c>
      <c r="Y108" s="598" t="s">
        <v>321</v>
      </c>
      <c r="Z108" s="598" t="s">
        <v>321</v>
      </c>
      <c r="AA108" s="598" t="s">
        <v>3309</v>
      </c>
      <c r="AB108" s="598" t="s">
        <v>3309</v>
      </c>
      <c r="AC108" s="598" t="s">
        <v>3309</v>
      </c>
      <c r="AD108" s="598" t="s">
        <v>3309</v>
      </c>
      <c r="AE108" s="598" t="s">
        <v>3309</v>
      </c>
      <c r="AF108" s="598" t="s">
        <v>321</v>
      </c>
      <c r="AG108" s="598" t="s">
        <v>321</v>
      </c>
      <c r="AH108" s="598" t="s">
        <v>3309</v>
      </c>
      <c r="AI108" s="598" t="s">
        <v>321</v>
      </c>
      <c r="AJ108" s="599">
        <v>21</v>
      </c>
      <c r="AK108" s="600">
        <v>21</v>
      </c>
      <c r="AL108" s="601">
        <v>0</v>
      </c>
      <c r="AM108" s="601">
        <v>0</v>
      </c>
      <c r="AN108" s="599">
        <v>21</v>
      </c>
    </row>
    <row r="109" spans="1:40" ht="16.5" customHeight="1">
      <c r="A109" s="598" t="s">
        <v>3307</v>
      </c>
      <c r="B109" s="598" t="s">
        <v>3322</v>
      </c>
      <c r="C109" s="598" t="s">
        <v>2278</v>
      </c>
      <c r="D109" s="598" t="s">
        <v>2279</v>
      </c>
      <c r="E109" s="598" t="s">
        <v>321</v>
      </c>
      <c r="F109" s="598" t="s">
        <v>3309</v>
      </c>
      <c r="G109" s="598" t="s">
        <v>3309</v>
      </c>
      <c r="H109" s="598" t="s">
        <v>3309</v>
      </c>
      <c r="I109" s="598" t="s">
        <v>3309</v>
      </c>
      <c r="J109" s="598" t="s">
        <v>3309</v>
      </c>
      <c r="K109" s="598" t="s">
        <v>321</v>
      </c>
      <c r="L109" s="598" t="s">
        <v>321</v>
      </c>
      <c r="M109" s="598" t="s">
        <v>3309</v>
      </c>
      <c r="N109" s="598" t="s">
        <v>3309</v>
      </c>
      <c r="O109" s="598" t="s">
        <v>3309</v>
      </c>
      <c r="P109" s="598" t="s">
        <v>3309</v>
      </c>
      <c r="Q109" s="598" t="s">
        <v>3309</v>
      </c>
      <c r="R109" s="598" t="s">
        <v>321</v>
      </c>
      <c r="S109" s="598" t="s">
        <v>321</v>
      </c>
      <c r="T109" s="598" t="s">
        <v>3309</v>
      </c>
      <c r="U109" s="598" t="s">
        <v>3309</v>
      </c>
      <c r="V109" s="598" t="s">
        <v>3309</v>
      </c>
      <c r="W109" s="598" t="s">
        <v>3309</v>
      </c>
      <c r="X109" s="598" t="s">
        <v>3309</v>
      </c>
      <c r="Y109" s="598" t="s">
        <v>321</v>
      </c>
      <c r="Z109" s="598" t="s">
        <v>321</v>
      </c>
      <c r="AA109" s="598" t="s">
        <v>3309</v>
      </c>
      <c r="AB109" s="598" t="s">
        <v>3309</v>
      </c>
      <c r="AC109" s="598" t="s">
        <v>3309</v>
      </c>
      <c r="AD109" s="598" t="s">
        <v>3309</v>
      </c>
      <c r="AE109" s="598" t="s">
        <v>3309</v>
      </c>
      <c r="AF109" s="598" t="s">
        <v>321</v>
      </c>
      <c r="AG109" s="598" t="s">
        <v>321</v>
      </c>
      <c r="AH109" s="598" t="s">
        <v>3309</v>
      </c>
      <c r="AI109" s="598" t="s">
        <v>321</v>
      </c>
      <c r="AJ109" s="599">
        <v>21</v>
      </c>
      <c r="AK109" s="600">
        <v>21</v>
      </c>
      <c r="AL109" s="601">
        <v>0</v>
      </c>
      <c r="AM109" s="601">
        <v>0</v>
      </c>
      <c r="AN109" s="599">
        <v>21</v>
      </c>
    </row>
    <row r="110" spans="1:40" ht="16.5" customHeight="1">
      <c r="A110" s="598" t="s">
        <v>3307</v>
      </c>
      <c r="B110" s="598" t="s">
        <v>3322</v>
      </c>
      <c r="C110" s="598" t="s">
        <v>2255</v>
      </c>
      <c r="D110" s="598" t="s">
        <v>2082</v>
      </c>
      <c r="E110" s="598" t="s">
        <v>321</v>
      </c>
      <c r="F110" s="598" t="s">
        <v>3309</v>
      </c>
      <c r="G110" s="598" t="s">
        <v>3309</v>
      </c>
      <c r="H110" s="598" t="s">
        <v>3309</v>
      </c>
      <c r="I110" s="598" t="s">
        <v>3309</v>
      </c>
      <c r="J110" s="598" t="s">
        <v>3309</v>
      </c>
      <c r="K110" s="598" t="s">
        <v>321</v>
      </c>
      <c r="L110" s="598" t="s">
        <v>321</v>
      </c>
      <c r="M110" s="598" t="s">
        <v>3309</v>
      </c>
      <c r="N110" s="598" t="s">
        <v>3309</v>
      </c>
      <c r="O110" s="598" t="s">
        <v>3309</v>
      </c>
      <c r="P110" s="598" t="s">
        <v>3309</v>
      </c>
      <c r="Q110" s="598" t="s">
        <v>3309</v>
      </c>
      <c r="R110" s="598" t="s">
        <v>321</v>
      </c>
      <c r="S110" s="598" t="s">
        <v>321</v>
      </c>
      <c r="T110" s="598" t="s">
        <v>3312</v>
      </c>
      <c r="U110" s="598" t="s">
        <v>3312</v>
      </c>
      <c r="V110" s="598" t="s">
        <v>3312</v>
      </c>
      <c r="W110" s="598" t="s">
        <v>321</v>
      </c>
      <c r="X110" s="598" t="s">
        <v>321</v>
      </c>
      <c r="Y110" s="598" t="s">
        <v>321</v>
      </c>
      <c r="Z110" s="598" t="s">
        <v>321</v>
      </c>
      <c r="AA110" s="598" t="s">
        <v>321</v>
      </c>
      <c r="AB110" s="598" t="s">
        <v>321</v>
      </c>
      <c r="AC110" s="598" t="s">
        <v>321</v>
      </c>
      <c r="AD110" s="598" t="s">
        <v>321</v>
      </c>
      <c r="AE110" s="598" t="s">
        <v>321</v>
      </c>
      <c r="AF110" s="598" t="s">
        <v>321</v>
      </c>
      <c r="AG110" s="598" t="s">
        <v>321</v>
      </c>
      <c r="AH110" s="598" t="s">
        <v>321</v>
      </c>
      <c r="AI110" s="598" t="s">
        <v>321</v>
      </c>
      <c r="AJ110" s="599">
        <v>21</v>
      </c>
      <c r="AK110" s="600">
        <v>10</v>
      </c>
      <c r="AL110" s="602">
        <v>3</v>
      </c>
      <c r="AM110" s="601">
        <v>0</v>
      </c>
      <c r="AN110" s="599">
        <v>13</v>
      </c>
    </row>
    <row r="111" spans="1:40" ht="16.5" customHeight="1">
      <c r="A111" s="598" t="s">
        <v>3307</v>
      </c>
      <c r="B111" s="598" t="s">
        <v>3322</v>
      </c>
      <c r="C111" s="598" t="s">
        <v>1846</v>
      </c>
      <c r="D111" s="598" t="s">
        <v>1847</v>
      </c>
      <c r="E111" s="598" t="s">
        <v>321</v>
      </c>
      <c r="F111" s="598" t="s">
        <v>3309</v>
      </c>
      <c r="G111" s="598" t="s">
        <v>3309</v>
      </c>
      <c r="H111" s="598" t="s">
        <v>3309</v>
      </c>
      <c r="I111" s="598" t="s">
        <v>3309</v>
      </c>
      <c r="J111" s="598" t="s">
        <v>3309</v>
      </c>
      <c r="K111" s="598" t="s">
        <v>321</v>
      </c>
      <c r="L111" s="598" t="s">
        <v>321</v>
      </c>
      <c r="M111" s="598" t="s">
        <v>3309</v>
      </c>
      <c r="N111" s="598" t="s">
        <v>3309</v>
      </c>
      <c r="O111" s="598" t="s">
        <v>3309</v>
      </c>
      <c r="P111" s="598" t="s">
        <v>3309</v>
      </c>
      <c r="Q111" s="598" t="s">
        <v>3309</v>
      </c>
      <c r="R111" s="598" t="s">
        <v>321</v>
      </c>
      <c r="S111" s="598" t="s">
        <v>321</v>
      </c>
      <c r="T111" s="598" t="s">
        <v>3309</v>
      </c>
      <c r="U111" s="598" t="s">
        <v>3309</v>
      </c>
      <c r="V111" s="598" t="s">
        <v>3309</v>
      </c>
      <c r="W111" s="598" t="s">
        <v>3309</v>
      </c>
      <c r="X111" s="598" t="s">
        <v>3309</v>
      </c>
      <c r="Y111" s="598" t="s">
        <v>321</v>
      </c>
      <c r="Z111" s="598" t="s">
        <v>321</v>
      </c>
      <c r="AA111" s="598" t="s">
        <v>3309</v>
      </c>
      <c r="AB111" s="598" t="s">
        <v>3309</v>
      </c>
      <c r="AC111" s="598" t="s">
        <v>3309</v>
      </c>
      <c r="AD111" s="598" t="s">
        <v>3309</v>
      </c>
      <c r="AE111" s="598" t="s">
        <v>3309</v>
      </c>
      <c r="AF111" s="598" t="s">
        <v>321</v>
      </c>
      <c r="AG111" s="598" t="s">
        <v>321</v>
      </c>
      <c r="AH111" s="598" t="s">
        <v>3309</v>
      </c>
      <c r="AI111" s="598" t="s">
        <v>321</v>
      </c>
      <c r="AJ111" s="599">
        <v>21</v>
      </c>
      <c r="AK111" s="600">
        <v>21</v>
      </c>
      <c r="AL111" s="601">
        <v>0</v>
      </c>
      <c r="AM111" s="601">
        <v>0</v>
      </c>
      <c r="AN111" s="599">
        <v>21</v>
      </c>
    </row>
    <row r="112" spans="1:40" ht="16.5" customHeight="1">
      <c r="A112" s="598" t="s">
        <v>3307</v>
      </c>
      <c r="B112" s="598" t="s">
        <v>3322</v>
      </c>
      <c r="C112" s="598" t="s">
        <v>2222</v>
      </c>
      <c r="D112" s="598" t="s">
        <v>2223</v>
      </c>
      <c r="E112" s="598" t="s">
        <v>321</v>
      </c>
      <c r="F112" s="598" t="s">
        <v>3309</v>
      </c>
      <c r="G112" s="598" t="s">
        <v>3309</v>
      </c>
      <c r="H112" s="598" t="s">
        <v>3309</v>
      </c>
      <c r="I112" s="598" t="s">
        <v>3309</v>
      </c>
      <c r="J112" s="598" t="s">
        <v>3309</v>
      </c>
      <c r="K112" s="598" t="s">
        <v>321</v>
      </c>
      <c r="L112" s="598" t="s">
        <v>321</v>
      </c>
      <c r="M112" s="598" t="s">
        <v>3309</v>
      </c>
      <c r="N112" s="598" t="s">
        <v>3309</v>
      </c>
      <c r="O112" s="598" t="s">
        <v>3309</v>
      </c>
      <c r="P112" s="598" t="s">
        <v>3309</v>
      </c>
      <c r="Q112" s="598" t="s">
        <v>3309</v>
      </c>
      <c r="R112" s="598" t="s">
        <v>321</v>
      </c>
      <c r="S112" s="598" t="s">
        <v>321</v>
      </c>
      <c r="T112" s="598" t="s">
        <v>3309</v>
      </c>
      <c r="U112" s="598" t="s">
        <v>3309</v>
      </c>
      <c r="V112" s="598" t="s">
        <v>3309</v>
      </c>
      <c r="W112" s="598" t="s">
        <v>3309</v>
      </c>
      <c r="X112" s="598" t="s">
        <v>3309</v>
      </c>
      <c r="Y112" s="598" t="s">
        <v>321</v>
      </c>
      <c r="Z112" s="598" t="s">
        <v>321</v>
      </c>
      <c r="AA112" s="598" t="s">
        <v>3309</v>
      </c>
      <c r="AB112" s="598" t="s">
        <v>3309</v>
      </c>
      <c r="AC112" s="598" t="s">
        <v>3309</v>
      </c>
      <c r="AD112" s="598" t="s">
        <v>3309</v>
      </c>
      <c r="AE112" s="598" t="s">
        <v>3309</v>
      </c>
      <c r="AF112" s="598" t="s">
        <v>321</v>
      </c>
      <c r="AG112" s="598" t="s">
        <v>321</v>
      </c>
      <c r="AH112" s="598" t="s">
        <v>3309</v>
      </c>
      <c r="AI112" s="598" t="s">
        <v>321</v>
      </c>
      <c r="AJ112" s="599">
        <v>21</v>
      </c>
      <c r="AK112" s="600">
        <v>21</v>
      </c>
      <c r="AL112" s="601">
        <v>0</v>
      </c>
      <c r="AM112" s="601">
        <v>0</v>
      </c>
      <c r="AN112" s="599">
        <v>21</v>
      </c>
    </row>
    <row r="113" spans="1:40" ht="16.5" customHeight="1">
      <c r="A113" s="598" t="s">
        <v>3307</v>
      </c>
      <c r="B113" s="598" t="s">
        <v>3322</v>
      </c>
      <c r="C113" s="598" t="s">
        <v>1756</v>
      </c>
      <c r="D113" s="598" t="s">
        <v>1757</v>
      </c>
      <c r="E113" s="598" t="s">
        <v>321</v>
      </c>
      <c r="F113" s="598" t="s">
        <v>3309</v>
      </c>
      <c r="G113" s="598" t="s">
        <v>3309</v>
      </c>
      <c r="H113" s="598" t="s">
        <v>3309</v>
      </c>
      <c r="I113" s="598" t="s">
        <v>3309</v>
      </c>
      <c r="J113" s="598" t="s">
        <v>3309</v>
      </c>
      <c r="K113" s="598" t="s">
        <v>321</v>
      </c>
      <c r="L113" s="598" t="s">
        <v>321</v>
      </c>
      <c r="M113" s="598" t="s">
        <v>3309</v>
      </c>
      <c r="N113" s="598" t="s">
        <v>3309</v>
      </c>
      <c r="O113" s="598" t="s">
        <v>3309</v>
      </c>
      <c r="P113" s="598" t="s">
        <v>3309</v>
      </c>
      <c r="Q113" s="598" t="s">
        <v>3309</v>
      </c>
      <c r="R113" s="598" t="s">
        <v>321</v>
      </c>
      <c r="S113" s="598" t="s">
        <v>321</v>
      </c>
      <c r="T113" s="598" t="s">
        <v>3309</v>
      </c>
      <c r="U113" s="598" t="s">
        <v>3309</v>
      </c>
      <c r="V113" s="598" t="s">
        <v>3309</v>
      </c>
      <c r="W113" s="598" t="s">
        <v>3309</v>
      </c>
      <c r="X113" s="598" t="s">
        <v>3309</v>
      </c>
      <c r="Y113" s="598" t="s">
        <v>321</v>
      </c>
      <c r="Z113" s="598" t="s">
        <v>321</v>
      </c>
      <c r="AA113" s="598" t="s">
        <v>3309</v>
      </c>
      <c r="AB113" s="598" t="s">
        <v>3309</v>
      </c>
      <c r="AC113" s="598" t="s">
        <v>3309</v>
      </c>
      <c r="AD113" s="598" t="s">
        <v>3309</v>
      </c>
      <c r="AE113" s="598" t="s">
        <v>3309</v>
      </c>
      <c r="AF113" s="598" t="s">
        <v>321</v>
      </c>
      <c r="AG113" s="598" t="s">
        <v>321</v>
      </c>
      <c r="AH113" s="598" t="s">
        <v>3309</v>
      </c>
      <c r="AI113" s="598" t="s">
        <v>321</v>
      </c>
      <c r="AJ113" s="599">
        <v>21</v>
      </c>
      <c r="AK113" s="600">
        <v>21</v>
      </c>
      <c r="AL113" s="601">
        <v>0</v>
      </c>
      <c r="AM113" s="601">
        <v>0</v>
      </c>
      <c r="AN113" s="599">
        <v>21</v>
      </c>
    </row>
    <row r="114" spans="1:40" ht="16.5" customHeight="1">
      <c r="A114" s="598" t="s">
        <v>3307</v>
      </c>
      <c r="B114" s="598" t="s">
        <v>3322</v>
      </c>
      <c r="C114" s="598" t="s">
        <v>1218</v>
      </c>
      <c r="D114" s="598" t="s">
        <v>1219</v>
      </c>
      <c r="E114" s="598" t="s">
        <v>321</v>
      </c>
      <c r="F114" s="598" t="s">
        <v>3309</v>
      </c>
      <c r="G114" s="598" t="s">
        <v>3309</v>
      </c>
      <c r="H114" s="598" t="s">
        <v>3309</v>
      </c>
      <c r="I114" s="598" t="s">
        <v>3309</v>
      </c>
      <c r="J114" s="598" t="s">
        <v>3309</v>
      </c>
      <c r="K114" s="598" t="s">
        <v>321</v>
      </c>
      <c r="L114" s="598" t="s">
        <v>321</v>
      </c>
      <c r="M114" s="598" t="s">
        <v>3309</v>
      </c>
      <c r="N114" s="598" t="s">
        <v>3309</v>
      </c>
      <c r="O114" s="598" t="s">
        <v>3309</v>
      </c>
      <c r="P114" s="598" t="s">
        <v>3309</v>
      </c>
      <c r="Q114" s="598" t="s">
        <v>3309</v>
      </c>
      <c r="R114" s="598" t="s">
        <v>321</v>
      </c>
      <c r="S114" s="598" t="s">
        <v>321</v>
      </c>
      <c r="T114" s="598" t="s">
        <v>3309</v>
      </c>
      <c r="U114" s="598" t="s">
        <v>3309</v>
      </c>
      <c r="V114" s="598" t="s">
        <v>3309</v>
      </c>
      <c r="W114" s="598" t="s">
        <v>3309</v>
      </c>
      <c r="X114" s="598" t="s">
        <v>3309</v>
      </c>
      <c r="Y114" s="598" t="s">
        <v>321</v>
      </c>
      <c r="Z114" s="598" t="s">
        <v>321</v>
      </c>
      <c r="AA114" s="598" t="s">
        <v>3309</v>
      </c>
      <c r="AB114" s="598" t="s">
        <v>3309</v>
      </c>
      <c r="AC114" s="598" t="s">
        <v>3313</v>
      </c>
      <c r="AD114" s="598" t="s">
        <v>3313</v>
      </c>
      <c r="AE114" s="598" t="s">
        <v>3313</v>
      </c>
      <c r="AF114" s="598" t="s">
        <v>321</v>
      </c>
      <c r="AG114" s="598" t="s">
        <v>321</v>
      </c>
      <c r="AH114" s="598" t="s">
        <v>3309</v>
      </c>
      <c r="AI114" s="598" t="s">
        <v>321</v>
      </c>
      <c r="AJ114" s="599">
        <v>21</v>
      </c>
      <c r="AK114" s="600">
        <v>21</v>
      </c>
      <c r="AL114" s="601">
        <v>0</v>
      </c>
      <c r="AM114" s="601">
        <v>0</v>
      </c>
      <c r="AN114" s="599">
        <v>21</v>
      </c>
    </row>
    <row r="115" spans="1:40" ht="16.5" customHeight="1">
      <c r="A115" s="598" t="s">
        <v>3307</v>
      </c>
      <c r="B115" s="598" t="s">
        <v>3322</v>
      </c>
      <c r="C115" s="598" t="s">
        <v>2310</v>
      </c>
      <c r="D115" s="598" t="s">
        <v>2311</v>
      </c>
      <c r="E115" s="598" t="s">
        <v>321</v>
      </c>
      <c r="F115" s="598" t="s">
        <v>3309</v>
      </c>
      <c r="G115" s="598" t="s">
        <v>3309</v>
      </c>
      <c r="H115" s="598" t="s">
        <v>3309</v>
      </c>
      <c r="I115" s="598" t="s">
        <v>3309</v>
      </c>
      <c r="J115" s="598" t="s">
        <v>3309</v>
      </c>
      <c r="K115" s="598" t="s">
        <v>321</v>
      </c>
      <c r="L115" s="598" t="s">
        <v>321</v>
      </c>
      <c r="M115" s="598" t="s">
        <v>3309</v>
      </c>
      <c r="N115" s="598" t="s">
        <v>3309</v>
      </c>
      <c r="O115" s="598" t="s">
        <v>3309</v>
      </c>
      <c r="P115" s="598" t="s">
        <v>3309</v>
      </c>
      <c r="Q115" s="598" t="s">
        <v>3309</v>
      </c>
      <c r="R115" s="598" t="s">
        <v>321</v>
      </c>
      <c r="S115" s="598" t="s">
        <v>321</v>
      </c>
      <c r="T115" s="598" t="s">
        <v>3309</v>
      </c>
      <c r="U115" s="598" t="s">
        <v>3314</v>
      </c>
      <c r="V115" s="598" t="s">
        <v>3309</v>
      </c>
      <c r="W115" s="598" t="s">
        <v>3309</v>
      </c>
      <c r="X115" s="598" t="s">
        <v>3309</v>
      </c>
      <c r="Y115" s="598" t="s">
        <v>321</v>
      </c>
      <c r="Z115" s="598" t="s">
        <v>321</v>
      </c>
      <c r="AA115" s="598" t="s">
        <v>3309</v>
      </c>
      <c r="AB115" s="598" t="s">
        <v>3309</v>
      </c>
      <c r="AC115" s="598" t="s">
        <v>3309</v>
      </c>
      <c r="AD115" s="598" t="s">
        <v>3309</v>
      </c>
      <c r="AE115" s="598" t="s">
        <v>3309</v>
      </c>
      <c r="AF115" s="598" t="s">
        <v>321</v>
      </c>
      <c r="AG115" s="598" t="s">
        <v>321</v>
      </c>
      <c r="AH115" s="598" t="s">
        <v>3309</v>
      </c>
      <c r="AI115" s="598" t="s">
        <v>321</v>
      </c>
      <c r="AJ115" s="599">
        <v>21</v>
      </c>
      <c r="AK115" s="603">
        <v>20.5</v>
      </c>
      <c r="AL115" s="604">
        <v>0.5</v>
      </c>
      <c r="AM115" s="601">
        <v>0</v>
      </c>
      <c r="AN115" s="599">
        <v>21</v>
      </c>
    </row>
    <row r="116" spans="1:40" ht="16.5" customHeight="1">
      <c r="A116" s="598" t="s">
        <v>3307</v>
      </c>
      <c r="B116" s="598" t="s">
        <v>3322</v>
      </c>
      <c r="C116" s="598" t="s">
        <v>2611</v>
      </c>
      <c r="D116" s="598" t="s">
        <v>2612</v>
      </c>
      <c r="E116" s="598" t="s">
        <v>321</v>
      </c>
      <c r="F116" s="598" t="s">
        <v>3309</v>
      </c>
      <c r="G116" s="598" t="s">
        <v>3309</v>
      </c>
      <c r="H116" s="598" t="s">
        <v>3309</v>
      </c>
      <c r="I116" s="598" t="s">
        <v>3309</v>
      </c>
      <c r="J116" s="598" t="s">
        <v>3309</v>
      </c>
      <c r="K116" s="598" t="s">
        <v>321</v>
      </c>
      <c r="L116" s="598" t="s">
        <v>321</v>
      </c>
      <c r="M116" s="598" t="s">
        <v>3309</v>
      </c>
      <c r="N116" s="598" t="s">
        <v>3309</v>
      </c>
      <c r="O116" s="598" t="s">
        <v>3309</v>
      </c>
      <c r="P116" s="598" t="s">
        <v>3309</v>
      </c>
      <c r="Q116" s="598" t="s">
        <v>3309</v>
      </c>
      <c r="R116" s="598" t="s">
        <v>321</v>
      </c>
      <c r="S116" s="598" t="s">
        <v>321</v>
      </c>
      <c r="T116" s="598" t="s">
        <v>3309</v>
      </c>
      <c r="U116" s="598" t="s">
        <v>3309</v>
      </c>
      <c r="V116" s="598" t="s">
        <v>3309</v>
      </c>
      <c r="W116" s="598" t="s">
        <v>3309</v>
      </c>
      <c r="X116" s="598" t="s">
        <v>3312</v>
      </c>
      <c r="Y116" s="598" t="s">
        <v>321</v>
      </c>
      <c r="Z116" s="598" t="s">
        <v>321</v>
      </c>
      <c r="AA116" s="598" t="s">
        <v>3309</v>
      </c>
      <c r="AB116" s="598" t="s">
        <v>3309</v>
      </c>
      <c r="AC116" s="598" t="s">
        <v>3309</v>
      </c>
      <c r="AD116" s="598" t="s">
        <v>3309</v>
      </c>
      <c r="AE116" s="598" t="s">
        <v>3309</v>
      </c>
      <c r="AF116" s="598" t="s">
        <v>321</v>
      </c>
      <c r="AG116" s="598" t="s">
        <v>321</v>
      </c>
      <c r="AH116" s="598" t="s">
        <v>3309</v>
      </c>
      <c r="AI116" s="598" t="s">
        <v>321</v>
      </c>
      <c r="AJ116" s="599">
        <v>21</v>
      </c>
      <c r="AK116" s="600">
        <v>20</v>
      </c>
      <c r="AL116" s="602">
        <v>1</v>
      </c>
      <c r="AM116" s="601">
        <v>0</v>
      </c>
      <c r="AN116" s="599">
        <v>21</v>
      </c>
    </row>
    <row r="117" spans="1:40" ht="16.5" customHeight="1">
      <c r="A117" s="598" t="s">
        <v>3307</v>
      </c>
      <c r="B117" s="598" t="s">
        <v>3322</v>
      </c>
      <c r="C117" s="598" t="s">
        <v>2380</v>
      </c>
      <c r="D117" s="598" t="s">
        <v>2381</v>
      </c>
      <c r="E117" s="598" t="s">
        <v>321</v>
      </c>
      <c r="F117" s="598" t="s">
        <v>3309</v>
      </c>
      <c r="G117" s="598" t="s">
        <v>3309</v>
      </c>
      <c r="H117" s="598" t="s">
        <v>3309</v>
      </c>
      <c r="I117" s="598" t="s">
        <v>3309</v>
      </c>
      <c r="J117" s="598" t="s">
        <v>3309</v>
      </c>
      <c r="K117" s="598" t="s">
        <v>321</v>
      </c>
      <c r="L117" s="598" t="s">
        <v>321</v>
      </c>
      <c r="M117" s="598" t="s">
        <v>3309</v>
      </c>
      <c r="N117" s="598" t="s">
        <v>3309</v>
      </c>
      <c r="O117" s="598" t="s">
        <v>3309</v>
      </c>
      <c r="P117" s="598" t="s">
        <v>3309</v>
      </c>
      <c r="Q117" s="598" t="s">
        <v>3309</v>
      </c>
      <c r="R117" s="598" t="s">
        <v>321</v>
      </c>
      <c r="S117" s="598" t="s">
        <v>321</v>
      </c>
      <c r="T117" s="598" t="s">
        <v>3309</v>
      </c>
      <c r="U117" s="598" t="s">
        <v>3309</v>
      </c>
      <c r="V117" s="598" t="s">
        <v>3309</v>
      </c>
      <c r="W117" s="598" t="s">
        <v>3309</v>
      </c>
      <c r="X117" s="598" t="s">
        <v>3309</v>
      </c>
      <c r="Y117" s="598" t="s">
        <v>321</v>
      </c>
      <c r="Z117" s="598" t="s">
        <v>321</v>
      </c>
      <c r="AA117" s="598" t="s">
        <v>3309</v>
      </c>
      <c r="AB117" s="598" t="s">
        <v>3309</v>
      </c>
      <c r="AC117" s="598" t="s">
        <v>3309</v>
      </c>
      <c r="AD117" s="598" t="s">
        <v>3309</v>
      </c>
      <c r="AE117" s="598" t="s">
        <v>3309</v>
      </c>
      <c r="AF117" s="598" t="s">
        <v>321</v>
      </c>
      <c r="AG117" s="598" t="s">
        <v>321</v>
      </c>
      <c r="AH117" s="598" t="s">
        <v>3309</v>
      </c>
      <c r="AI117" s="598" t="s">
        <v>321</v>
      </c>
      <c r="AJ117" s="599">
        <v>21</v>
      </c>
      <c r="AK117" s="600">
        <v>21</v>
      </c>
      <c r="AL117" s="601">
        <v>0</v>
      </c>
      <c r="AM117" s="601">
        <v>0</v>
      </c>
      <c r="AN117" s="599">
        <v>21</v>
      </c>
    </row>
    <row r="118" spans="1:40" ht="16.5" customHeight="1">
      <c r="A118" s="598" t="s">
        <v>3307</v>
      </c>
      <c r="B118" s="598" t="s">
        <v>3322</v>
      </c>
      <c r="C118" s="598" t="s">
        <v>2904</v>
      </c>
      <c r="D118" s="598" t="s">
        <v>2905</v>
      </c>
      <c r="E118" s="598" t="s">
        <v>321</v>
      </c>
      <c r="F118" s="598" t="s">
        <v>3309</v>
      </c>
      <c r="G118" s="598" t="s">
        <v>3309</v>
      </c>
      <c r="H118" s="598" t="s">
        <v>3309</v>
      </c>
      <c r="I118" s="598" t="s">
        <v>3309</v>
      </c>
      <c r="J118" s="598" t="s">
        <v>3309</v>
      </c>
      <c r="K118" s="598" t="s">
        <v>321</v>
      </c>
      <c r="L118" s="598" t="s">
        <v>321</v>
      </c>
      <c r="M118" s="598" t="s">
        <v>3309</v>
      </c>
      <c r="N118" s="598" t="s">
        <v>3309</v>
      </c>
      <c r="O118" s="598" t="s">
        <v>3309</v>
      </c>
      <c r="P118" s="598" t="s">
        <v>3309</v>
      </c>
      <c r="Q118" s="598" t="s">
        <v>3309</v>
      </c>
      <c r="R118" s="598" t="s">
        <v>321</v>
      </c>
      <c r="S118" s="598" t="s">
        <v>321</v>
      </c>
      <c r="T118" s="598" t="s">
        <v>3309</v>
      </c>
      <c r="U118" s="598" t="s">
        <v>3309</v>
      </c>
      <c r="V118" s="598" t="s">
        <v>3309</v>
      </c>
      <c r="W118" s="598" t="s">
        <v>3309</v>
      </c>
      <c r="X118" s="598" t="s">
        <v>3309</v>
      </c>
      <c r="Y118" s="598" t="s">
        <v>321</v>
      </c>
      <c r="Z118" s="598" t="s">
        <v>321</v>
      </c>
      <c r="AA118" s="598" t="s">
        <v>3309</v>
      </c>
      <c r="AB118" s="598" t="s">
        <v>3309</v>
      </c>
      <c r="AC118" s="598" t="s">
        <v>3309</v>
      </c>
      <c r="AD118" s="598" t="s">
        <v>3309</v>
      </c>
      <c r="AE118" s="598" t="s">
        <v>3309</v>
      </c>
      <c r="AF118" s="598" t="s">
        <v>321</v>
      </c>
      <c r="AG118" s="598" t="s">
        <v>321</v>
      </c>
      <c r="AH118" s="598" t="s">
        <v>3309</v>
      </c>
      <c r="AI118" s="598" t="s">
        <v>321</v>
      </c>
      <c r="AJ118" s="599">
        <v>21</v>
      </c>
      <c r="AK118" s="600">
        <v>21</v>
      </c>
      <c r="AL118" s="601">
        <v>0</v>
      </c>
      <c r="AM118" s="601">
        <v>0</v>
      </c>
      <c r="AN118" s="599">
        <v>21</v>
      </c>
    </row>
    <row r="119" spans="1:40" ht="16.5" customHeight="1">
      <c r="A119" s="598" t="s">
        <v>3307</v>
      </c>
      <c r="B119" s="598" t="s">
        <v>3322</v>
      </c>
      <c r="C119" s="598" t="s">
        <v>943</v>
      </c>
      <c r="D119" s="598" t="s">
        <v>944</v>
      </c>
      <c r="E119" s="598" t="s">
        <v>321</v>
      </c>
      <c r="F119" s="598" t="s">
        <v>3309</v>
      </c>
      <c r="G119" s="598" t="s">
        <v>3309</v>
      </c>
      <c r="H119" s="598" t="s">
        <v>3309</v>
      </c>
      <c r="I119" s="598" t="s">
        <v>3309</v>
      </c>
      <c r="J119" s="598" t="s">
        <v>3309</v>
      </c>
      <c r="K119" s="598" t="s">
        <v>321</v>
      </c>
      <c r="L119" s="598" t="s">
        <v>321</v>
      </c>
      <c r="M119" s="598" t="s">
        <v>3309</v>
      </c>
      <c r="N119" s="598" t="s">
        <v>3309</v>
      </c>
      <c r="O119" s="598" t="s">
        <v>3309</v>
      </c>
      <c r="P119" s="598" t="s">
        <v>3309</v>
      </c>
      <c r="Q119" s="598" t="s">
        <v>3309</v>
      </c>
      <c r="R119" s="598" t="s">
        <v>321</v>
      </c>
      <c r="S119" s="598" t="s">
        <v>321</v>
      </c>
      <c r="T119" s="598" t="s">
        <v>3309</v>
      </c>
      <c r="U119" s="598" t="s">
        <v>3309</v>
      </c>
      <c r="V119" s="598" t="s">
        <v>3309</v>
      </c>
      <c r="W119" s="598" t="s">
        <v>3309</v>
      </c>
      <c r="X119" s="598" t="s">
        <v>3309</v>
      </c>
      <c r="Y119" s="598" t="s">
        <v>321</v>
      </c>
      <c r="Z119" s="598" t="s">
        <v>321</v>
      </c>
      <c r="AA119" s="598" t="s">
        <v>3309</v>
      </c>
      <c r="AB119" s="598" t="s">
        <v>3309</v>
      </c>
      <c r="AC119" s="598" t="s">
        <v>3309</v>
      </c>
      <c r="AD119" s="598" t="s">
        <v>3309</v>
      </c>
      <c r="AE119" s="598" t="s">
        <v>3309</v>
      </c>
      <c r="AF119" s="598" t="s">
        <v>321</v>
      </c>
      <c r="AG119" s="598" t="s">
        <v>321</v>
      </c>
      <c r="AH119" s="598" t="s">
        <v>3309</v>
      </c>
      <c r="AI119" s="598" t="s">
        <v>321</v>
      </c>
      <c r="AJ119" s="599">
        <v>21</v>
      </c>
      <c r="AK119" s="600">
        <v>21</v>
      </c>
      <c r="AL119" s="601">
        <v>0</v>
      </c>
      <c r="AM119" s="601">
        <v>0</v>
      </c>
      <c r="AN119" s="599">
        <v>21</v>
      </c>
    </row>
    <row r="120" spans="1:40" ht="16.5" customHeight="1">
      <c r="A120" s="598" t="s">
        <v>3307</v>
      </c>
      <c r="B120" s="598" t="s">
        <v>3322</v>
      </c>
      <c r="C120" s="598" t="s">
        <v>2412</v>
      </c>
      <c r="D120" s="598" t="s">
        <v>2413</v>
      </c>
      <c r="E120" s="598" t="s">
        <v>321</v>
      </c>
      <c r="F120" s="598" t="s">
        <v>3309</v>
      </c>
      <c r="G120" s="598" t="s">
        <v>3309</v>
      </c>
      <c r="H120" s="598" t="s">
        <v>3309</v>
      </c>
      <c r="I120" s="598" t="s">
        <v>3309</v>
      </c>
      <c r="J120" s="598" t="s">
        <v>3309</v>
      </c>
      <c r="K120" s="598" t="s">
        <v>321</v>
      </c>
      <c r="L120" s="598" t="s">
        <v>321</v>
      </c>
      <c r="M120" s="598" t="s">
        <v>3309</v>
      </c>
      <c r="N120" s="598" t="s">
        <v>3309</v>
      </c>
      <c r="O120" s="598" t="s">
        <v>3309</v>
      </c>
      <c r="P120" s="598" t="s">
        <v>3309</v>
      </c>
      <c r="Q120" s="598" t="s">
        <v>3309</v>
      </c>
      <c r="R120" s="598" t="s">
        <v>321</v>
      </c>
      <c r="S120" s="598" t="s">
        <v>321</v>
      </c>
      <c r="T120" s="598" t="s">
        <v>3309</v>
      </c>
      <c r="U120" s="598" t="s">
        <v>3309</v>
      </c>
      <c r="V120" s="598" t="s">
        <v>3309</v>
      </c>
      <c r="W120" s="598" t="s">
        <v>3309</v>
      </c>
      <c r="X120" s="598" t="s">
        <v>3309</v>
      </c>
      <c r="Y120" s="598" t="s">
        <v>321</v>
      </c>
      <c r="Z120" s="598" t="s">
        <v>321</v>
      </c>
      <c r="AA120" s="598" t="s">
        <v>3309</v>
      </c>
      <c r="AB120" s="598" t="s">
        <v>3309</v>
      </c>
      <c r="AC120" s="598" t="s">
        <v>3309</v>
      </c>
      <c r="AD120" s="598" t="s">
        <v>3309</v>
      </c>
      <c r="AE120" s="598" t="s">
        <v>3309</v>
      </c>
      <c r="AF120" s="598" t="s">
        <v>321</v>
      </c>
      <c r="AG120" s="598" t="s">
        <v>321</v>
      </c>
      <c r="AH120" s="598" t="s">
        <v>3309</v>
      </c>
      <c r="AI120" s="598" t="s">
        <v>321</v>
      </c>
      <c r="AJ120" s="599">
        <v>21</v>
      </c>
      <c r="AK120" s="600">
        <v>21</v>
      </c>
      <c r="AL120" s="601">
        <v>0</v>
      </c>
      <c r="AM120" s="601">
        <v>0</v>
      </c>
      <c r="AN120" s="599">
        <v>21</v>
      </c>
    </row>
    <row r="121" spans="1:40" ht="16.5" customHeight="1">
      <c r="A121" s="598" t="s">
        <v>3307</v>
      </c>
      <c r="B121" s="598" t="s">
        <v>3322</v>
      </c>
      <c r="C121" s="598" t="s">
        <v>2305</v>
      </c>
      <c r="D121" s="598" t="s">
        <v>853</v>
      </c>
      <c r="E121" s="598" t="s">
        <v>321</v>
      </c>
      <c r="F121" s="598" t="s">
        <v>3309</v>
      </c>
      <c r="G121" s="598" t="s">
        <v>3309</v>
      </c>
      <c r="H121" s="598" t="s">
        <v>3309</v>
      </c>
      <c r="I121" s="598" t="s">
        <v>3309</v>
      </c>
      <c r="J121" s="598" t="s">
        <v>3309</v>
      </c>
      <c r="K121" s="598" t="s">
        <v>321</v>
      </c>
      <c r="L121" s="598" t="s">
        <v>321</v>
      </c>
      <c r="M121" s="598" t="s">
        <v>3309</v>
      </c>
      <c r="N121" s="598" t="s">
        <v>3309</v>
      </c>
      <c r="O121" s="598" t="s">
        <v>3309</v>
      </c>
      <c r="P121" s="598" t="s">
        <v>3309</v>
      </c>
      <c r="Q121" s="598" t="s">
        <v>3309</v>
      </c>
      <c r="R121" s="598" t="s">
        <v>321</v>
      </c>
      <c r="S121" s="598" t="s">
        <v>321</v>
      </c>
      <c r="T121" s="598" t="s">
        <v>3309</v>
      </c>
      <c r="U121" s="598" t="s">
        <v>3309</v>
      </c>
      <c r="V121" s="598" t="s">
        <v>3309</v>
      </c>
      <c r="W121" s="598" t="s">
        <v>3309</v>
      </c>
      <c r="X121" s="598" t="s">
        <v>3309</v>
      </c>
      <c r="Y121" s="598" t="s">
        <v>321</v>
      </c>
      <c r="Z121" s="598" t="s">
        <v>321</v>
      </c>
      <c r="AA121" s="598" t="s">
        <v>3309</v>
      </c>
      <c r="AB121" s="598" t="s">
        <v>3309</v>
      </c>
      <c r="AC121" s="598" t="s">
        <v>3309</v>
      </c>
      <c r="AD121" s="598" t="s">
        <v>3309</v>
      </c>
      <c r="AE121" s="598" t="s">
        <v>3309</v>
      </c>
      <c r="AF121" s="598" t="s">
        <v>321</v>
      </c>
      <c r="AG121" s="598" t="s">
        <v>321</v>
      </c>
      <c r="AH121" s="598" t="s">
        <v>3309</v>
      </c>
      <c r="AI121" s="598" t="s">
        <v>321</v>
      </c>
      <c r="AJ121" s="599">
        <v>21</v>
      </c>
      <c r="AK121" s="600">
        <v>21</v>
      </c>
      <c r="AL121" s="601">
        <v>0</v>
      </c>
      <c r="AM121" s="601">
        <v>0</v>
      </c>
      <c r="AN121" s="599">
        <v>21</v>
      </c>
    </row>
    <row r="122" spans="1:40" ht="16.5" customHeight="1">
      <c r="A122" s="598" t="s">
        <v>3307</v>
      </c>
      <c r="B122" s="598" t="s">
        <v>3322</v>
      </c>
      <c r="C122" s="598" t="s">
        <v>2362</v>
      </c>
      <c r="D122" s="598" t="s">
        <v>2363</v>
      </c>
      <c r="E122" s="598" t="s">
        <v>321</v>
      </c>
      <c r="F122" s="598" t="s">
        <v>3309</v>
      </c>
      <c r="G122" s="598" t="s">
        <v>3309</v>
      </c>
      <c r="H122" s="598" t="s">
        <v>3309</v>
      </c>
      <c r="I122" s="598" t="s">
        <v>3309</v>
      </c>
      <c r="J122" s="598" t="s">
        <v>3309</v>
      </c>
      <c r="K122" s="598" t="s">
        <v>321</v>
      </c>
      <c r="L122" s="598" t="s">
        <v>321</v>
      </c>
      <c r="M122" s="598" t="s">
        <v>3309</v>
      </c>
      <c r="N122" s="598" t="s">
        <v>3309</v>
      </c>
      <c r="O122" s="598" t="s">
        <v>3309</v>
      </c>
      <c r="P122" s="598" t="s">
        <v>3309</v>
      </c>
      <c r="Q122" s="598" t="s">
        <v>3309</v>
      </c>
      <c r="R122" s="598" t="s">
        <v>321</v>
      </c>
      <c r="S122" s="598" t="s">
        <v>321</v>
      </c>
      <c r="T122" s="598" t="s">
        <v>3309</v>
      </c>
      <c r="U122" s="598" t="s">
        <v>3309</v>
      </c>
      <c r="V122" s="598" t="s">
        <v>3309</v>
      </c>
      <c r="W122" s="598" t="s">
        <v>3309</v>
      </c>
      <c r="X122" s="598" t="s">
        <v>3309</v>
      </c>
      <c r="Y122" s="598" t="s">
        <v>321</v>
      </c>
      <c r="Z122" s="598" t="s">
        <v>321</v>
      </c>
      <c r="AA122" s="598" t="s">
        <v>3309</v>
      </c>
      <c r="AB122" s="598" t="s">
        <v>3309</v>
      </c>
      <c r="AC122" s="598" t="s">
        <v>3309</v>
      </c>
      <c r="AD122" s="598" t="s">
        <v>3309</v>
      </c>
      <c r="AE122" s="598" t="s">
        <v>3309</v>
      </c>
      <c r="AF122" s="598" t="s">
        <v>321</v>
      </c>
      <c r="AG122" s="598" t="s">
        <v>321</v>
      </c>
      <c r="AH122" s="598" t="s">
        <v>3309</v>
      </c>
      <c r="AI122" s="598" t="s">
        <v>321</v>
      </c>
      <c r="AJ122" s="599">
        <v>21</v>
      </c>
      <c r="AK122" s="600">
        <v>21</v>
      </c>
      <c r="AL122" s="601">
        <v>0</v>
      </c>
      <c r="AM122" s="601">
        <v>0</v>
      </c>
      <c r="AN122" s="599">
        <v>21</v>
      </c>
    </row>
    <row r="123" spans="1:40" ht="16.5" customHeight="1">
      <c r="A123" s="598" t="s">
        <v>3307</v>
      </c>
      <c r="B123" s="598" t="s">
        <v>3322</v>
      </c>
      <c r="C123" s="598" t="s">
        <v>2749</v>
      </c>
      <c r="D123" s="598" t="s">
        <v>2750</v>
      </c>
      <c r="E123" s="598" t="s">
        <v>321</v>
      </c>
      <c r="F123" s="598" t="s">
        <v>3309</v>
      </c>
      <c r="G123" s="598" t="s">
        <v>3309</v>
      </c>
      <c r="H123" s="598" t="s">
        <v>3309</v>
      </c>
      <c r="I123" s="598" t="s">
        <v>3312</v>
      </c>
      <c r="J123" s="598" t="s">
        <v>3312</v>
      </c>
      <c r="K123" s="598" t="s">
        <v>321</v>
      </c>
      <c r="L123" s="598" t="s">
        <v>321</v>
      </c>
      <c r="M123" s="598" t="s">
        <v>3309</v>
      </c>
      <c r="N123" s="598" t="s">
        <v>3309</v>
      </c>
      <c r="O123" s="598" t="s">
        <v>3309</v>
      </c>
      <c r="P123" s="598" t="s">
        <v>3309</v>
      </c>
      <c r="Q123" s="598" t="s">
        <v>3309</v>
      </c>
      <c r="R123" s="598" t="s">
        <v>321</v>
      </c>
      <c r="S123" s="598" t="s">
        <v>321</v>
      </c>
      <c r="T123" s="598" t="s">
        <v>3309</v>
      </c>
      <c r="U123" s="598" t="s">
        <v>3309</v>
      </c>
      <c r="V123" s="598" t="s">
        <v>3309</v>
      </c>
      <c r="W123" s="598" t="s">
        <v>3309</v>
      </c>
      <c r="X123" s="598" t="s">
        <v>3309</v>
      </c>
      <c r="Y123" s="598" t="s">
        <v>321</v>
      </c>
      <c r="Z123" s="598" t="s">
        <v>321</v>
      </c>
      <c r="AA123" s="598" t="s">
        <v>3309</v>
      </c>
      <c r="AB123" s="598" t="s">
        <v>3309</v>
      </c>
      <c r="AC123" s="598" t="s">
        <v>3309</v>
      </c>
      <c r="AD123" s="598" t="s">
        <v>3309</v>
      </c>
      <c r="AE123" s="598" t="s">
        <v>3309</v>
      </c>
      <c r="AF123" s="598" t="s">
        <v>321</v>
      </c>
      <c r="AG123" s="598" t="s">
        <v>321</v>
      </c>
      <c r="AH123" s="598" t="s">
        <v>3309</v>
      </c>
      <c r="AI123" s="598" t="s">
        <v>321</v>
      </c>
      <c r="AJ123" s="599">
        <v>21</v>
      </c>
      <c r="AK123" s="600">
        <v>19</v>
      </c>
      <c r="AL123" s="602">
        <v>2</v>
      </c>
      <c r="AM123" s="601">
        <v>0</v>
      </c>
      <c r="AN123" s="599">
        <v>21</v>
      </c>
    </row>
    <row r="124" spans="1:40" ht="16.5" customHeight="1">
      <c r="A124" s="598" t="s">
        <v>3307</v>
      </c>
      <c r="B124" s="598" t="s">
        <v>3322</v>
      </c>
      <c r="C124" s="598" t="s">
        <v>1758</v>
      </c>
      <c r="D124" s="598" t="s">
        <v>1358</v>
      </c>
      <c r="E124" s="598" t="s">
        <v>321</v>
      </c>
      <c r="F124" s="598" t="s">
        <v>3309</v>
      </c>
      <c r="G124" s="598" t="s">
        <v>3309</v>
      </c>
      <c r="H124" s="598" t="s">
        <v>3309</v>
      </c>
      <c r="I124" s="598" t="s">
        <v>3309</v>
      </c>
      <c r="J124" s="598" t="s">
        <v>3309</v>
      </c>
      <c r="K124" s="598" t="s">
        <v>321</v>
      </c>
      <c r="L124" s="598" t="s">
        <v>321</v>
      </c>
      <c r="M124" s="598" t="s">
        <v>3309</v>
      </c>
      <c r="N124" s="598" t="s">
        <v>3309</v>
      </c>
      <c r="O124" s="598" t="s">
        <v>3309</v>
      </c>
      <c r="P124" s="598" t="s">
        <v>3309</v>
      </c>
      <c r="Q124" s="598" t="s">
        <v>3309</v>
      </c>
      <c r="R124" s="598" t="s">
        <v>321</v>
      </c>
      <c r="S124" s="598" t="s">
        <v>321</v>
      </c>
      <c r="T124" s="598" t="s">
        <v>3309</v>
      </c>
      <c r="U124" s="598" t="s">
        <v>3309</v>
      </c>
      <c r="V124" s="598" t="s">
        <v>3309</v>
      </c>
      <c r="W124" s="598" t="s">
        <v>3309</v>
      </c>
      <c r="X124" s="598" t="s">
        <v>3309</v>
      </c>
      <c r="Y124" s="598" t="s">
        <v>321</v>
      </c>
      <c r="Z124" s="598" t="s">
        <v>321</v>
      </c>
      <c r="AA124" s="598" t="s">
        <v>3309</v>
      </c>
      <c r="AB124" s="598" t="s">
        <v>3309</v>
      </c>
      <c r="AC124" s="598" t="s">
        <v>3309</v>
      </c>
      <c r="AD124" s="598" t="s">
        <v>3309</v>
      </c>
      <c r="AE124" s="598" t="s">
        <v>3309</v>
      </c>
      <c r="AF124" s="598" t="s">
        <v>321</v>
      </c>
      <c r="AG124" s="598" t="s">
        <v>321</v>
      </c>
      <c r="AH124" s="598" t="s">
        <v>3309</v>
      </c>
      <c r="AI124" s="598" t="s">
        <v>321</v>
      </c>
      <c r="AJ124" s="599">
        <v>21</v>
      </c>
      <c r="AK124" s="600">
        <v>21</v>
      </c>
      <c r="AL124" s="601">
        <v>0</v>
      </c>
      <c r="AM124" s="601">
        <v>0</v>
      </c>
      <c r="AN124" s="599">
        <v>21</v>
      </c>
    </row>
    <row r="125" spans="1:40" ht="16.5" customHeight="1">
      <c r="A125" s="598" t="s">
        <v>3307</v>
      </c>
      <c r="B125" s="598" t="s">
        <v>3322</v>
      </c>
      <c r="C125" s="598" t="s">
        <v>2292</v>
      </c>
      <c r="D125" s="598" t="s">
        <v>1708</v>
      </c>
      <c r="E125" s="598" t="s">
        <v>321</v>
      </c>
      <c r="F125" s="598" t="s">
        <v>3309</v>
      </c>
      <c r="G125" s="598" t="s">
        <v>3309</v>
      </c>
      <c r="H125" s="598" t="s">
        <v>3309</v>
      </c>
      <c r="I125" s="598" t="s">
        <v>3309</v>
      </c>
      <c r="J125" s="598" t="s">
        <v>3309</v>
      </c>
      <c r="K125" s="598" t="s">
        <v>321</v>
      </c>
      <c r="L125" s="598" t="s">
        <v>321</v>
      </c>
      <c r="M125" s="598" t="s">
        <v>3309</v>
      </c>
      <c r="N125" s="598" t="s">
        <v>3309</v>
      </c>
      <c r="O125" s="598" t="s">
        <v>3309</v>
      </c>
      <c r="P125" s="598" t="s">
        <v>3309</v>
      </c>
      <c r="Q125" s="598" t="s">
        <v>3309</v>
      </c>
      <c r="R125" s="598" t="s">
        <v>321</v>
      </c>
      <c r="S125" s="598" t="s">
        <v>321</v>
      </c>
      <c r="T125" s="598" t="s">
        <v>3309</v>
      </c>
      <c r="U125" s="598" t="s">
        <v>3309</v>
      </c>
      <c r="V125" s="598" t="s">
        <v>3309</v>
      </c>
      <c r="W125" s="598" t="s">
        <v>3309</v>
      </c>
      <c r="X125" s="598" t="s">
        <v>3309</v>
      </c>
      <c r="Y125" s="598" t="s">
        <v>321</v>
      </c>
      <c r="Z125" s="598" t="s">
        <v>321</v>
      </c>
      <c r="AA125" s="598" t="s">
        <v>3309</v>
      </c>
      <c r="AB125" s="598" t="s">
        <v>3309</v>
      </c>
      <c r="AC125" s="598" t="s">
        <v>3309</v>
      </c>
      <c r="AD125" s="598" t="s">
        <v>3309</v>
      </c>
      <c r="AE125" s="598" t="s">
        <v>3309</v>
      </c>
      <c r="AF125" s="598" t="s">
        <v>321</v>
      </c>
      <c r="AG125" s="598" t="s">
        <v>321</v>
      </c>
      <c r="AH125" s="598" t="s">
        <v>3309</v>
      </c>
      <c r="AI125" s="598" t="s">
        <v>321</v>
      </c>
      <c r="AJ125" s="599">
        <v>21</v>
      </c>
      <c r="AK125" s="600">
        <v>21</v>
      </c>
      <c r="AL125" s="601">
        <v>0</v>
      </c>
      <c r="AM125" s="601">
        <v>0</v>
      </c>
      <c r="AN125" s="599">
        <v>21</v>
      </c>
    </row>
    <row r="126" spans="1:40" ht="16.5" customHeight="1">
      <c r="A126" s="598" t="s">
        <v>3307</v>
      </c>
      <c r="B126" s="598" t="s">
        <v>3322</v>
      </c>
      <c r="C126" s="598" t="s">
        <v>1836</v>
      </c>
      <c r="D126" s="598" t="s">
        <v>1837</v>
      </c>
      <c r="E126" s="598" t="s">
        <v>321</v>
      </c>
      <c r="F126" s="598" t="s">
        <v>3309</v>
      </c>
      <c r="G126" s="598" t="s">
        <v>3309</v>
      </c>
      <c r="H126" s="598" t="s">
        <v>3309</v>
      </c>
      <c r="I126" s="598" t="s">
        <v>3309</v>
      </c>
      <c r="J126" s="598" t="s">
        <v>3309</v>
      </c>
      <c r="K126" s="598" t="s">
        <v>321</v>
      </c>
      <c r="L126" s="598" t="s">
        <v>321</v>
      </c>
      <c r="M126" s="598" t="s">
        <v>3309</v>
      </c>
      <c r="N126" s="598" t="s">
        <v>3309</v>
      </c>
      <c r="O126" s="598" t="s">
        <v>3309</v>
      </c>
      <c r="P126" s="598" t="s">
        <v>3309</v>
      </c>
      <c r="Q126" s="598" t="s">
        <v>3309</v>
      </c>
      <c r="R126" s="598" t="s">
        <v>321</v>
      </c>
      <c r="S126" s="598" t="s">
        <v>321</v>
      </c>
      <c r="T126" s="598" t="s">
        <v>3309</v>
      </c>
      <c r="U126" s="598" t="s">
        <v>3309</v>
      </c>
      <c r="V126" s="598" t="s">
        <v>3309</v>
      </c>
      <c r="W126" s="598" t="s">
        <v>3309</v>
      </c>
      <c r="X126" s="598" t="s">
        <v>3309</v>
      </c>
      <c r="Y126" s="598" t="s">
        <v>321</v>
      </c>
      <c r="Z126" s="598" t="s">
        <v>321</v>
      </c>
      <c r="AA126" s="598" t="s">
        <v>3309</v>
      </c>
      <c r="AB126" s="598" t="s">
        <v>3309</v>
      </c>
      <c r="AC126" s="598" t="s">
        <v>3309</v>
      </c>
      <c r="AD126" s="598" t="s">
        <v>3309</v>
      </c>
      <c r="AE126" s="598" t="s">
        <v>3309</v>
      </c>
      <c r="AF126" s="598" t="s">
        <v>321</v>
      </c>
      <c r="AG126" s="598" t="s">
        <v>321</v>
      </c>
      <c r="AH126" s="598" t="s">
        <v>3309</v>
      </c>
      <c r="AI126" s="598" t="s">
        <v>321</v>
      </c>
      <c r="AJ126" s="599">
        <v>21</v>
      </c>
      <c r="AK126" s="600">
        <v>21</v>
      </c>
      <c r="AL126" s="601">
        <v>0</v>
      </c>
      <c r="AM126" s="601">
        <v>0</v>
      </c>
      <c r="AN126" s="599">
        <v>21</v>
      </c>
    </row>
    <row r="127" spans="1:40" ht="16.5" customHeight="1">
      <c r="A127" s="598" t="s">
        <v>3307</v>
      </c>
      <c r="B127" s="598" t="s">
        <v>3322</v>
      </c>
      <c r="C127" s="598" t="s">
        <v>2195</v>
      </c>
      <c r="D127" s="598" t="s">
        <v>2196</v>
      </c>
      <c r="E127" s="598" t="s">
        <v>321</v>
      </c>
      <c r="F127" s="598" t="s">
        <v>3309</v>
      </c>
      <c r="G127" s="598" t="s">
        <v>3309</v>
      </c>
      <c r="H127" s="598" t="s">
        <v>3309</v>
      </c>
      <c r="I127" s="598" t="s">
        <v>3309</v>
      </c>
      <c r="J127" s="598" t="s">
        <v>3309</v>
      </c>
      <c r="K127" s="598" t="s">
        <v>321</v>
      </c>
      <c r="L127" s="598" t="s">
        <v>321</v>
      </c>
      <c r="M127" s="598" t="s">
        <v>3309</v>
      </c>
      <c r="N127" s="598" t="s">
        <v>3309</v>
      </c>
      <c r="O127" s="598" t="s">
        <v>3309</v>
      </c>
      <c r="P127" s="598" t="s">
        <v>3309</v>
      </c>
      <c r="Q127" s="598" t="s">
        <v>3309</v>
      </c>
      <c r="R127" s="598" t="s">
        <v>321</v>
      </c>
      <c r="S127" s="598" t="s">
        <v>321</v>
      </c>
      <c r="T127" s="598" t="s">
        <v>3309</v>
      </c>
      <c r="U127" s="598" t="s">
        <v>3309</v>
      </c>
      <c r="V127" s="598" t="s">
        <v>3309</v>
      </c>
      <c r="W127" s="598" t="s">
        <v>3309</v>
      </c>
      <c r="X127" s="598" t="s">
        <v>3309</v>
      </c>
      <c r="Y127" s="598" t="s">
        <v>321</v>
      </c>
      <c r="Z127" s="598" t="s">
        <v>321</v>
      </c>
      <c r="AA127" s="598" t="s">
        <v>3309</v>
      </c>
      <c r="AB127" s="598" t="s">
        <v>3309</v>
      </c>
      <c r="AC127" s="598" t="s">
        <v>3309</v>
      </c>
      <c r="AD127" s="598" t="s">
        <v>3309</v>
      </c>
      <c r="AE127" s="598" t="s">
        <v>3309</v>
      </c>
      <c r="AF127" s="598" t="s">
        <v>321</v>
      </c>
      <c r="AG127" s="598" t="s">
        <v>321</v>
      </c>
      <c r="AH127" s="598" t="s">
        <v>3309</v>
      </c>
      <c r="AI127" s="598" t="s">
        <v>321</v>
      </c>
      <c r="AJ127" s="599">
        <v>21</v>
      </c>
      <c r="AK127" s="600">
        <v>21</v>
      </c>
      <c r="AL127" s="601">
        <v>0</v>
      </c>
      <c r="AM127" s="601">
        <v>0</v>
      </c>
      <c r="AN127" s="599">
        <v>21</v>
      </c>
    </row>
    <row r="128" spans="1:40" ht="16.5" customHeight="1">
      <c r="A128" s="598" t="s">
        <v>3307</v>
      </c>
      <c r="B128" s="598" t="s">
        <v>3322</v>
      </c>
      <c r="C128" s="598" t="s">
        <v>2723</v>
      </c>
      <c r="D128" s="598" t="s">
        <v>2553</v>
      </c>
      <c r="E128" s="598" t="s">
        <v>321</v>
      </c>
      <c r="F128" s="598" t="s">
        <v>3309</v>
      </c>
      <c r="G128" s="598" t="s">
        <v>3309</v>
      </c>
      <c r="H128" s="598" t="s">
        <v>3309</v>
      </c>
      <c r="I128" s="598" t="s">
        <v>3309</v>
      </c>
      <c r="J128" s="598" t="s">
        <v>3309</v>
      </c>
      <c r="K128" s="598" t="s">
        <v>321</v>
      </c>
      <c r="L128" s="598" t="s">
        <v>321</v>
      </c>
      <c r="M128" s="598" t="s">
        <v>3309</v>
      </c>
      <c r="N128" s="598" t="s">
        <v>3309</v>
      </c>
      <c r="O128" s="598" t="s">
        <v>3309</v>
      </c>
      <c r="P128" s="598" t="s">
        <v>3309</v>
      </c>
      <c r="Q128" s="598" t="s">
        <v>3309</v>
      </c>
      <c r="R128" s="598" t="s">
        <v>321</v>
      </c>
      <c r="S128" s="598" t="s">
        <v>321</v>
      </c>
      <c r="T128" s="598" t="s">
        <v>3309</v>
      </c>
      <c r="U128" s="598" t="s">
        <v>3309</v>
      </c>
      <c r="V128" s="598" t="s">
        <v>3309</v>
      </c>
      <c r="W128" s="598" t="s">
        <v>3309</v>
      </c>
      <c r="X128" s="598" t="s">
        <v>3309</v>
      </c>
      <c r="Y128" s="598" t="s">
        <v>321</v>
      </c>
      <c r="Z128" s="598" t="s">
        <v>321</v>
      </c>
      <c r="AA128" s="598" t="s">
        <v>3309</v>
      </c>
      <c r="AB128" s="598" t="s">
        <v>3309</v>
      </c>
      <c r="AC128" s="598" t="s">
        <v>3309</v>
      </c>
      <c r="AD128" s="598" t="s">
        <v>3309</v>
      </c>
      <c r="AE128" s="598" t="s">
        <v>3309</v>
      </c>
      <c r="AF128" s="598" t="s">
        <v>321</v>
      </c>
      <c r="AG128" s="598" t="s">
        <v>321</v>
      </c>
      <c r="AH128" s="598" t="s">
        <v>3309</v>
      </c>
      <c r="AI128" s="598" t="s">
        <v>321</v>
      </c>
      <c r="AJ128" s="599">
        <v>21</v>
      </c>
      <c r="AK128" s="600">
        <v>21</v>
      </c>
      <c r="AL128" s="601">
        <v>0</v>
      </c>
      <c r="AM128" s="601">
        <v>0</v>
      </c>
      <c r="AN128" s="599">
        <v>21</v>
      </c>
    </row>
    <row r="129" spans="1:40" ht="16.5" customHeight="1">
      <c r="A129" s="598" t="s">
        <v>3307</v>
      </c>
      <c r="B129" s="598" t="s">
        <v>3322</v>
      </c>
      <c r="C129" s="598" t="s">
        <v>2262</v>
      </c>
      <c r="D129" s="598" t="s">
        <v>2263</v>
      </c>
      <c r="E129" s="598" t="s">
        <v>321</v>
      </c>
      <c r="F129" s="598" t="s">
        <v>3309</v>
      </c>
      <c r="G129" s="598" t="s">
        <v>3309</v>
      </c>
      <c r="H129" s="598" t="s">
        <v>3309</v>
      </c>
      <c r="I129" s="598" t="s">
        <v>3309</v>
      </c>
      <c r="J129" s="598" t="s">
        <v>3309</v>
      </c>
      <c r="K129" s="598" t="s">
        <v>321</v>
      </c>
      <c r="L129" s="598" t="s">
        <v>321</v>
      </c>
      <c r="M129" s="598" t="s">
        <v>3309</v>
      </c>
      <c r="N129" s="598" t="s">
        <v>3309</v>
      </c>
      <c r="O129" s="598" t="s">
        <v>3309</v>
      </c>
      <c r="P129" s="598" t="s">
        <v>3309</v>
      </c>
      <c r="Q129" s="598" t="s">
        <v>3309</v>
      </c>
      <c r="R129" s="598" t="s">
        <v>321</v>
      </c>
      <c r="S129" s="598" t="s">
        <v>321</v>
      </c>
      <c r="T129" s="598" t="s">
        <v>3309</v>
      </c>
      <c r="U129" s="598" t="s">
        <v>3309</v>
      </c>
      <c r="V129" s="598" t="s">
        <v>3309</v>
      </c>
      <c r="W129" s="598" t="s">
        <v>3309</v>
      </c>
      <c r="X129" s="598" t="s">
        <v>3309</v>
      </c>
      <c r="Y129" s="598" t="s">
        <v>321</v>
      </c>
      <c r="Z129" s="598" t="s">
        <v>321</v>
      </c>
      <c r="AA129" s="598" t="s">
        <v>3309</v>
      </c>
      <c r="AB129" s="598" t="s">
        <v>3309</v>
      </c>
      <c r="AC129" s="598" t="s">
        <v>3309</v>
      </c>
      <c r="AD129" s="598" t="s">
        <v>3309</v>
      </c>
      <c r="AE129" s="598" t="s">
        <v>3309</v>
      </c>
      <c r="AF129" s="598" t="s">
        <v>321</v>
      </c>
      <c r="AG129" s="598" t="s">
        <v>321</v>
      </c>
      <c r="AH129" s="598" t="s">
        <v>3309</v>
      </c>
      <c r="AI129" s="598" t="s">
        <v>321</v>
      </c>
      <c r="AJ129" s="599">
        <v>21</v>
      </c>
      <c r="AK129" s="600">
        <v>21</v>
      </c>
      <c r="AL129" s="601">
        <v>0</v>
      </c>
      <c r="AM129" s="601">
        <v>0</v>
      </c>
      <c r="AN129" s="599">
        <v>21</v>
      </c>
    </row>
    <row r="130" spans="1:40" ht="16.5" customHeight="1">
      <c r="A130" s="598" t="s">
        <v>3307</v>
      </c>
      <c r="B130" s="598" t="s">
        <v>3322</v>
      </c>
      <c r="C130" s="598" t="s">
        <v>2124</v>
      </c>
      <c r="D130" s="598" t="s">
        <v>2125</v>
      </c>
      <c r="E130" s="598" t="s">
        <v>321</v>
      </c>
      <c r="F130" s="598" t="s">
        <v>3309</v>
      </c>
      <c r="G130" s="598" t="s">
        <v>3309</v>
      </c>
      <c r="H130" s="598" t="s">
        <v>3309</v>
      </c>
      <c r="I130" s="598" t="s">
        <v>3309</v>
      </c>
      <c r="J130" s="598" t="s">
        <v>3309</v>
      </c>
      <c r="K130" s="598" t="s">
        <v>321</v>
      </c>
      <c r="L130" s="598" t="s">
        <v>321</v>
      </c>
      <c r="M130" s="598" t="s">
        <v>3309</v>
      </c>
      <c r="N130" s="598" t="s">
        <v>3309</v>
      </c>
      <c r="O130" s="598" t="s">
        <v>3309</v>
      </c>
      <c r="P130" s="598" t="s">
        <v>3309</v>
      </c>
      <c r="Q130" s="598" t="s">
        <v>3309</v>
      </c>
      <c r="R130" s="598" t="s">
        <v>321</v>
      </c>
      <c r="S130" s="598" t="s">
        <v>321</v>
      </c>
      <c r="T130" s="598" t="s">
        <v>3309</v>
      </c>
      <c r="U130" s="598" t="s">
        <v>3309</v>
      </c>
      <c r="V130" s="598" t="s">
        <v>3309</v>
      </c>
      <c r="W130" s="598" t="s">
        <v>3309</v>
      </c>
      <c r="X130" s="598" t="s">
        <v>3309</v>
      </c>
      <c r="Y130" s="598" t="s">
        <v>321</v>
      </c>
      <c r="Z130" s="598" t="s">
        <v>321</v>
      </c>
      <c r="AA130" s="598" t="s">
        <v>3309</v>
      </c>
      <c r="AB130" s="598" t="s">
        <v>3309</v>
      </c>
      <c r="AC130" s="598" t="s">
        <v>3309</v>
      </c>
      <c r="AD130" s="598" t="s">
        <v>3309</v>
      </c>
      <c r="AE130" s="598" t="s">
        <v>3309</v>
      </c>
      <c r="AF130" s="598" t="s">
        <v>321</v>
      </c>
      <c r="AG130" s="598" t="s">
        <v>321</v>
      </c>
      <c r="AH130" s="598" t="s">
        <v>3309</v>
      </c>
      <c r="AI130" s="598" t="s">
        <v>321</v>
      </c>
      <c r="AJ130" s="599">
        <v>21</v>
      </c>
      <c r="AK130" s="600">
        <v>21</v>
      </c>
      <c r="AL130" s="601">
        <v>0</v>
      </c>
      <c r="AM130" s="601">
        <v>0</v>
      </c>
      <c r="AN130" s="599">
        <v>21</v>
      </c>
    </row>
    <row r="131" spans="1:40" ht="16.5" customHeight="1">
      <c r="A131" s="598" t="s">
        <v>3307</v>
      </c>
      <c r="B131" s="598" t="s">
        <v>3322</v>
      </c>
      <c r="C131" s="598" t="s">
        <v>2358</v>
      </c>
      <c r="D131" s="598" t="s">
        <v>2359</v>
      </c>
      <c r="E131" s="598" t="s">
        <v>321</v>
      </c>
      <c r="F131" s="598" t="s">
        <v>3309</v>
      </c>
      <c r="G131" s="598" t="s">
        <v>3309</v>
      </c>
      <c r="H131" s="598" t="s">
        <v>3309</v>
      </c>
      <c r="I131" s="598" t="s">
        <v>3309</v>
      </c>
      <c r="J131" s="598" t="s">
        <v>3309</v>
      </c>
      <c r="K131" s="598" t="s">
        <v>321</v>
      </c>
      <c r="L131" s="598" t="s">
        <v>321</v>
      </c>
      <c r="M131" s="598" t="s">
        <v>3309</v>
      </c>
      <c r="N131" s="598" t="s">
        <v>3309</v>
      </c>
      <c r="O131" s="598" t="s">
        <v>3309</v>
      </c>
      <c r="P131" s="598" t="s">
        <v>3309</v>
      </c>
      <c r="Q131" s="598" t="s">
        <v>3309</v>
      </c>
      <c r="R131" s="598" t="s">
        <v>321</v>
      </c>
      <c r="S131" s="598" t="s">
        <v>321</v>
      </c>
      <c r="T131" s="598" t="s">
        <v>3309</v>
      </c>
      <c r="U131" s="598" t="s">
        <v>3309</v>
      </c>
      <c r="V131" s="598" t="s">
        <v>3309</v>
      </c>
      <c r="W131" s="598" t="s">
        <v>3309</v>
      </c>
      <c r="X131" s="598" t="s">
        <v>3309</v>
      </c>
      <c r="Y131" s="598" t="s">
        <v>321</v>
      </c>
      <c r="Z131" s="598" t="s">
        <v>321</v>
      </c>
      <c r="AA131" s="598" t="s">
        <v>3309</v>
      </c>
      <c r="AB131" s="598" t="s">
        <v>3309</v>
      </c>
      <c r="AC131" s="598" t="s">
        <v>3309</v>
      </c>
      <c r="AD131" s="598" t="s">
        <v>3309</v>
      </c>
      <c r="AE131" s="598" t="s">
        <v>3309</v>
      </c>
      <c r="AF131" s="598" t="s">
        <v>321</v>
      </c>
      <c r="AG131" s="598" t="s">
        <v>321</v>
      </c>
      <c r="AH131" s="598" t="s">
        <v>3309</v>
      </c>
      <c r="AI131" s="598" t="s">
        <v>321</v>
      </c>
      <c r="AJ131" s="599">
        <v>21</v>
      </c>
      <c r="AK131" s="600">
        <v>21</v>
      </c>
      <c r="AL131" s="601">
        <v>0</v>
      </c>
      <c r="AM131" s="601">
        <v>0</v>
      </c>
      <c r="AN131" s="599">
        <v>21</v>
      </c>
    </row>
    <row r="132" spans="1:40" ht="16.5" customHeight="1">
      <c r="A132" s="598" t="s">
        <v>3307</v>
      </c>
      <c r="B132" s="598" t="s">
        <v>3322</v>
      </c>
      <c r="C132" s="598" t="s">
        <v>2283</v>
      </c>
      <c r="D132" s="598" t="s">
        <v>2284</v>
      </c>
      <c r="E132" s="598" t="s">
        <v>321</v>
      </c>
      <c r="F132" s="598" t="s">
        <v>3314</v>
      </c>
      <c r="G132" s="598" t="s">
        <v>3309</v>
      </c>
      <c r="H132" s="598" t="s">
        <v>3309</v>
      </c>
      <c r="I132" s="598" t="s">
        <v>3309</v>
      </c>
      <c r="J132" s="598" t="s">
        <v>3309</v>
      </c>
      <c r="K132" s="598" t="s">
        <v>321</v>
      </c>
      <c r="L132" s="598" t="s">
        <v>321</v>
      </c>
      <c r="M132" s="598" t="s">
        <v>3309</v>
      </c>
      <c r="N132" s="598" t="s">
        <v>3309</v>
      </c>
      <c r="O132" s="598" t="s">
        <v>3309</v>
      </c>
      <c r="P132" s="598" t="s">
        <v>3309</v>
      </c>
      <c r="Q132" s="598" t="s">
        <v>3309</v>
      </c>
      <c r="R132" s="598" t="s">
        <v>321</v>
      </c>
      <c r="S132" s="598" t="s">
        <v>321</v>
      </c>
      <c r="T132" s="598" t="s">
        <v>3309</v>
      </c>
      <c r="U132" s="598" t="s">
        <v>3309</v>
      </c>
      <c r="V132" s="598" t="s">
        <v>3309</v>
      </c>
      <c r="W132" s="598" t="s">
        <v>3309</v>
      </c>
      <c r="X132" s="598" t="s">
        <v>3309</v>
      </c>
      <c r="Y132" s="598" t="s">
        <v>321</v>
      </c>
      <c r="Z132" s="598" t="s">
        <v>321</v>
      </c>
      <c r="AA132" s="598" t="s">
        <v>3309</v>
      </c>
      <c r="AB132" s="598" t="s">
        <v>3309</v>
      </c>
      <c r="AC132" s="598" t="s">
        <v>3309</v>
      </c>
      <c r="AD132" s="598" t="s">
        <v>3309</v>
      </c>
      <c r="AE132" s="598" t="s">
        <v>3309</v>
      </c>
      <c r="AF132" s="598" t="s">
        <v>321</v>
      </c>
      <c r="AG132" s="598" t="s">
        <v>321</v>
      </c>
      <c r="AH132" s="598" t="s">
        <v>3309</v>
      </c>
      <c r="AI132" s="598" t="s">
        <v>321</v>
      </c>
      <c r="AJ132" s="599">
        <v>21</v>
      </c>
      <c r="AK132" s="603">
        <v>20.5</v>
      </c>
      <c r="AL132" s="604">
        <v>0.5</v>
      </c>
      <c r="AM132" s="601">
        <v>0</v>
      </c>
      <c r="AN132" s="599">
        <v>21</v>
      </c>
    </row>
    <row r="133" spans="1:40" ht="16.5" customHeight="1">
      <c r="A133" s="598" t="s">
        <v>3307</v>
      </c>
      <c r="B133" s="598" t="s">
        <v>3322</v>
      </c>
      <c r="C133" s="598" t="s">
        <v>2715</v>
      </c>
      <c r="D133" s="598" t="s">
        <v>2716</v>
      </c>
      <c r="E133" s="598" t="s">
        <v>321</v>
      </c>
      <c r="F133" s="598" t="s">
        <v>3309</v>
      </c>
      <c r="G133" s="598" t="s">
        <v>3309</v>
      </c>
      <c r="H133" s="598" t="s">
        <v>3309</v>
      </c>
      <c r="I133" s="598" t="s">
        <v>3309</v>
      </c>
      <c r="J133" s="598" t="s">
        <v>3309</v>
      </c>
      <c r="K133" s="598" t="s">
        <v>321</v>
      </c>
      <c r="L133" s="598" t="s">
        <v>321</v>
      </c>
      <c r="M133" s="598" t="s">
        <v>3309</v>
      </c>
      <c r="N133" s="598" t="s">
        <v>3309</v>
      </c>
      <c r="O133" s="598" t="s">
        <v>3309</v>
      </c>
      <c r="P133" s="598" t="s">
        <v>3309</v>
      </c>
      <c r="Q133" s="598" t="s">
        <v>3309</v>
      </c>
      <c r="R133" s="598" t="s">
        <v>321</v>
      </c>
      <c r="S133" s="598" t="s">
        <v>321</v>
      </c>
      <c r="T133" s="598" t="s">
        <v>3309</v>
      </c>
      <c r="U133" s="598" t="s">
        <v>3309</v>
      </c>
      <c r="V133" s="598" t="s">
        <v>3309</v>
      </c>
      <c r="W133" s="598" t="s">
        <v>3309</v>
      </c>
      <c r="X133" s="598" t="s">
        <v>3309</v>
      </c>
      <c r="Y133" s="598" t="s">
        <v>321</v>
      </c>
      <c r="Z133" s="598" t="s">
        <v>321</v>
      </c>
      <c r="AA133" s="598" t="s">
        <v>3309</v>
      </c>
      <c r="AB133" s="598" t="s">
        <v>3309</v>
      </c>
      <c r="AC133" s="598" t="s">
        <v>3309</v>
      </c>
      <c r="AD133" s="598" t="s">
        <v>3309</v>
      </c>
      <c r="AE133" s="598" t="s">
        <v>3309</v>
      </c>
      <c r="AF133" s="598" t="s">
        <v>321</v>
      </c>
      <c r="AG133" s="598" t="s">
        <v>321</v>
      </c>
      <c r="AH133" s="598" t="s">
        <v>3309</v>
      </c>
      <c r="AI133" s="598" t="s">
        <v>321</v>
      </c>
      <c r="AJ133" s="599">
        <v>21</v>
      </c>
      <c r="AK133" s="600">
        <v>21</v>
      </c>
      <c r="AL133" s="601">
        <v>0</v>
      </c>
      <c r="AM133" s="601">
        <v>0</v>
      </c>
      <c r="AN133" s="599">
        <v>21</v>
      </c>
    </row>
    <row r="134" spans="1:40" ht="16.5" customHeight="1">
      <c r="A134" s="598" t="s">
        <v>3307</v>
      </c>
      <c r="B134" s="598" t="s">
        <v>3322</v>
      </c>
      <c r="C134" s="598" t="s">
        <v>1151</v>
      </c>
      <c r="D134" s="598" t="s">
        <v>1152</v>
      </c>
      <c r="E134" s="598" t="s">
        <v>321</v>
      </c>
      <c r="F134" s="598" t="s">
        <v>3309</v>
      </c>
      <c r="G134" s="598" t="s">
        <v>3309</v>
      </c>
      <c r="H134" s="598" t="s">
        <v>3309</v>
      </c>
      <c r="I134" s="598" t="s">
        <v>3309</v>
      </c>
      <c r="J134" s="598" t="s">
        <v>3309</v>
      </c>
      <c r="K134" s="598" t="s">
        <v>321</v>
      </c>
      <c r="L134" s="598" t="s">
        <v>321</v>
      </c>
      <c r="M134" s="598" t="s">
        <v>3309</v>
      </c>
      <c r="N134" s="598" t="s">
        <v>3309</v>
      </c>
      <c r="O134" s="598" t="s">
        <v>3309</v>
      </c>
      <c r="P134" s="598" t="s">
        <v>3309</v>
      </c>
      <c r="Q134" s="598" t="s">
        <v>3309</v>
      </c>
      <c r="R134" s="598" t="s">
        <v>321</v>
      </c>
      <c r="S134" s="598" t="s">
        <v>321</v>
      </c>
      <c r="T134" s="598" t="s">
        <v>3309</v>
      </c>
      <c r="U134" s="598" t="s">
        <v>3309</v>
      </c>
      <c r="V134" s="598" t="s">
        <v>3309</v>
      </c>
      <c r="W134" s="598" t="s">
        <v>3309</v>
      </c>
      <c r="X134" s="598" t="s">
        <v>3309</v>
      </c>
      <c r="Y134" s="598" t="s">
        <v>321</v>
      </c>
      <c r="Z134" s="598" t="s">
        <v>321</v>
      </c>
      <c r="AA134" s="598" t="s">
        <v>3309</v>
      </c>
      <c r="AB134" s="598" t="s">
        <v>3309</v>
      </c>
      <c r="AC134" s="598" t="s">
        <v>3309</v>
      </c>
      <c r="AD134" s="598" t="s">
        <v>3309</v>
      </c>
      <c r="AE134" s="598" t="s">
        <v>3309</v>
      </c>
      <c r="AF134" s="598" t="s">
        <v>321</v>
      </c>
      <c r="AG134" s="598" t="s">
        <v>321</v>
      </c>
      <c r="AH134" s="598" t="s">
        <v>3309</v>
      </c>
      <c r="AI134" s="598" t="s">
        <v>321</v>
      </c>
      <c r="AJ134" s="599">
        <v>21</v>
      </c>
      <c r="AK134" s="600">
        <v>21</v>
      </c>
      <c r="AL134" s="601">
        <v>0</v>
      </c>
      <c r="AM134" s="601">
        <v>0</v>
      </c>
      <c r="AN134" s="599">
        <v>21</v>
      </c>
    </row>
    <row r="135" spans="1:40" ht="16.5" customHeight="1">
      <c r="A135" s="598" t="s">
        <v>3307</v>
      </c>
      <c r="B135" s="598" t="s">
        <v>3322</v>
      </c>
      <c r="C135" s="598" t="s">
        <v>3015</v>
      </c>
      <c r="D135" s="598" t="s">
        <v>3016</v>
      </c>
      <c r="E135" s="598" t="s">
        <v>321</v>
      </c>
      <c r="F135" s="598" t="s">
        <v>3309</v>
      </c>
      <c r="G135" s="598" t="s">
        <v>3309</v>
      </c>
      <c r="H135" s="598" t="s">
        <v>3309</v>
      </c>
      <c r="I135" s="598" t="s">
        <v>3309</v>
      </c>
      <c r="J135" s="598" t="s">
        <v>3309</v>
      </c>
      <c r="K135" s="598" t="s">
        <v>321</v>
      </c>
      <c r="L135" s="598" t="s">
        <v>321</v>
      </c>
      <c r="M135" s="598" t="s">
        <v>3309</v>
      </c>
      <c r="N135" s="598" t="s">
        <v>3309</v>
      </c>
      <c r="O135" s="598" t="s">
        <v>3309</v>
      </c>
      <c r="P135" s="598" t="s">
        <v>3309</v>
      </c>
      <c r="Q135" s="598" t="s">
        <v>3309</v>
      </c>
      <c r="R135" s="598" t="s">
        <v>321</v>
      </c>
      <c r="S135" s="598" t="s">
        <v>321</v>
      </c>
      <c r="T135" s="598" t="s">
        <v>3309</v>
      </c>
      <c r="U135" s="598" t="s">
        <v>3309</v>
      </c>
      <c r="V135" s="598" t="s">
        <v>3309</v>
      </c>
      <c r="W135" s="598" t="s">
        <v>3309</v>
      </c>
      <c r="X135" s="598" t="s">
        <v>3309</v>
      </c>
      <c r="Y135" s="598" t="s">
        <v>321</v>
      </c>
      <c r="Z135" s="598" t="s">
        <v>321</v>
      </c>
      <c r="AA135" s="598" t="s">
        <v>3309</v>
      </c>
      <c r="AB135" s="598" t="s">
        <v>3309</v>
      </c>
      <c r="AC135" s="598" t="s">
        <v>3309</v>
      </c>
      <c r="AD135" s="598" t="s">
        <v>3309</v>
      </c>
      <c r="AE135" s="598" t="s">
        <v>3309</v>
      </c>
      <c r="AF135" s="598" t="s">
        <v>321</v>
      </c>
      <c r="AG135" s="598" t="s">
        <v>321</v>
      </c>
      <c r="AH135" s="598" t="s">
        <v>3309</v>
      </c>
      <c r="AI135" s="598" t="s">
        <v>321</v>
      </c>
      <c r="AJ135" s="599">
        <v>21</v>
      </c>
      <c r="AK135" s="600">
        <v>21</v>
      </c>
      <c r="AL135" s="601">
        <v>0</v>
      </c>
      <c r="AM135" s="601">
        <v>0</v>
      </c>
      <c r="AN135" s="599">
        <v>21</v>
      </c>
    </row>
    <row r="136" spans="1:40" ht="16.5" customHeight="1">
      <c r="A136" s="598" t="s">
        <v>3307</v>
      </c>
      <c r="B136" s="598" t="s">
        <v>3322</v>
      </c>
      <c r="C136" s="598" t="s">
        <v>2181</v>
      </c>
      <c r="D136" s="598" t="s">
        <v>2182</v>
      </c>
      <c r="E136" s="598" t="s">
        <v>321</v>
      </c>
      <c r="F136" s="598" t="s">
        <v>3309</v>
      </c>
      <c r="G136" s="598" t="s">
        <v>3309</v>
      </c>
      <c r="H136" s="598" t="s">
        <v>3309</v>
      </c>
      <c r="I136" s="598" t="s">
        <v>3309</v>
      </c>
      <c r="J136" s="598" t="s">
        <v>3309</v>
      </c>
      <c r="K136" s="598" t="s">
        <v>321</v>
      </c>
      <c r="L136" s="598" t="s">
        <v>321</v>
      </c>
      <c r="M136" s="598" t="s">
        <v>3309</v>
      </c>
      <c r="N136" s="598" t="s">
        <v>3309</v>
      </c>
      <c r="O136" s="598" t="s">
        <v>3309</v>
      </c>
      <c r="P136" s="598" t="s">
        <v>3309</v>
      </c>
      <c r="Q136" s="598" t="s">
        <v>3309</v>
      </c>
      <c r="R136" s="598" t="s">
        <v>321</v>
      </c>
      <c r="S136" s="598" t="s">
        <v>321</v>
      </c>
      <c r="T136" s="598" t="s">
        <v>3309</v>
      </c>
      <c r="U136" s="598" t="s">
        <v>3309</v>
      </c>
      <c r="V136" s="598" t="s">
        <v>3309</v>
      </c>
      <c r="W136" s="598" t="s">
        <v>3309</v>
      </c>
      <c r="X136" s="598" t="s">
        <v>3309</v>
      </c>
      <c r="Y136" s="598" t="s">
        <v>321</v>
      </c>
      <c r="Z136" s="598" t="s">
        <v>321</v>
      </c>
      <c r="AA136" s="598" t="s">
        <v>3309</v>
      </c>
      <c r="AB136" s="598" t="s">
        <v>3309</v>
      </c>
      <c r="AC136" s="598" t="s">
        <v>3309</v>
      </c>
      <c r="AD136" s="598" t="s">
        <v>3309</v>
      </c>
      <c r="AE136" s="598" t="s">
        <v>3309</v>
      </c>
      <c r="AF136" s="598" t="s">
        <v>321</v>
      </c>
      <c r="AG136" s="598" t="s">
        <v>321</v>
      </c>
      <c r="AH136" s="598" t="s">
        <v>3309</v>
      </c>
      <c r="AI136" s="598" t="s">
        <v>321</v>
      </c>
      <c r="AJ136" s="599">
        <v>21</v>
      </c>
      <c r="AK136" s="600">
        <v>21</v>
      </c>
      <c r="AL136" s="601">
        <v>0</v>
      </c>
      <c r="AM136" s="601">
        <v>0</v>
      </c>
      <c r="AN136" s="599">
        <v>21</v>
      </c>
    </row>
    <row r="137" spans="1:40" ht="16.5" customHeight="1">
      <c r="A137" s="598" t="s">
        <v>3307</v>
      </c>
      <c r="B137" s="598" t="s">
        <v>3322</v>
      </c>
      <c r="C137" s="598" t="s">
        <v>1421</v>
      </c>
      <c r="D137" s="598" t="s">
        <v>1422</v>
      </c>
      <c r="E137" s="598" t="s">
        <v>321</v>
      </c>
      <c r="F137" s="598" t="s">
        <v>3309</v>
      </c>
      <c r="G137" s="598" t="s">
        <v>3309</v>
      </c>
      <c r="H137" s="598" t="s">
        <v>3309</v>
      </c>
      <c r="I137" s="598" t="s">
        <v>3309</v>
      </c>
      <c r="J137" s="598" t="s">
        <v>3309</v>
      </c>
      <c r="K137" s="598" t="s">
        <v>321</v>
      </c>
      <c r="L137" s="598" t="s">
        <v>321</v>
      </c>
      <c r="M137" s="598" t="s">
        <v>3309</v>
      </c>
      <c r="N137" s="598" t="s">
        <v>3309</v>
      </c>
      <c r="O137" s="598" t="s">
        <v>3309</v>
      </c>
      <c r="P137" s="598" t="s">
        <v>3309</v>
      </c>
      <c r="Q137" s="598" t="s">
        <v>3309</v>
      </c>
      <c r="R137" s="598" t="s">
        <v>321</v>
      </c>
      <c r="S137" s="598" t="s">
        <v>321</v>
      </c>
      <c r="T137" s="598" t="s">
        <v>3309</v>
      </c>
      <c r="U137" s="598" t="s">
        <v>3309</v>
      </c>
      <c r="V137" s="598" t="s">
        <v>3309</v>
      </c>
      <c r="W137" s="598" t="s">
        <v>3309</v>
      </c>
      <c r="X137" s="598" t="s">
        <v>3309</v>
      </c>
      <c r="Y137" s="598" t="s">
        <v>321</v>
      </c>
      <c r="Z137" s="598" t="s">
        <v>321</v>
      </c>
      <c r="AA137" s="598" t="s">
        <v>3309</v>
      </c>
      <c r="AB137" s="598" t="s">
        <v>3309</v>
      </c>
      <c r="AC137" s="598" t="s">
        <v>3309</v>
      </c>
      <c r="AD137" s="598" t="s">
        <v>3309</v>
      </c>
      <c r="AE137" s="598" t="s">
        <v>3309</v>
      </c>
      <c r="AF137" s="598" t="s">
        <v>321</v>
      </c>
      <c r="AG137" s="598" t="s">
        <v>321</v>
      </c>
      <c r="AH137" s="598" t="s">
        <v>3309</v>
      </c>
      <c r="AI137" s="598" t="s">
        <v>321</v>
      </c>
      <c r="AJ137" s="599">
        <v>21</v>
      </c>
      <c r="AK137" s="600">
        <v>21</v>
      </c>
      <c r="AL137" s="601">
        <v>0</v>
      </c>
      <c r="AM137" s="601">
        <v>0</v>
      </c>
      <c r="AN137" s="599">
        <v>21</v>
      </c>
    </row>
    <row r="138" spans="1:40" ht="16.5" customHeight="1">
      <c r="A138" s="598" t="s">
        <v>3307</v>
      </c>
      <c r="B138" s="598" t="s">
        <v>3322</v>
      </c>
      <c r="C138" s="598" t="s">
        <v>1192</v>
      </c>
      <c r="D138" s="598" t="s">
        <v>1193</v>
      </c>
      <c r="E138" s="598" t="s">
        <v>321</v>
      </c>
      <c r="F138" s="598" t="s">
        <v>3309</v>
      </c>
      <c r="G138" s="598" t="s">
        <v>3309</v>
      </c>
      <c r="H138" s="598" t="s">
        <v>3309</v>
      </c>
      <c r="I138" s="598" t="s">
        <v>3309</v>
      </c>
      <c r="J138" s="598" t="s">
        <v>3309</v>
      </c>
      <c r="K138" s="598" t="s">
        <v>321</v>
      </c>
      <c r="L138" s="598" t="s">
        <v>321</v>
      </c>
      <c r="M138" s="598" t="s">
        <v>3309</v>
      </c>
      <c r="N138" s="598" t="s">
        <v>3309</v>
      </c>
      <c r="O138" s="598" t="s">
        <v>3309</v>
      </c>
      <c r="P138" s="598" t="s">
        <v>3309</v>
      </c>
      <c r="Q138" s="598" t="s">
        <v>3309</v>
      </c>
      <c r="R138" s="598" t="s">
        <v>321</v>
      </c>
      <c r="S138" s="598" t="s">
        <v>321</v>
      </c>
      <c r="T138" s="598" t="s">
        <v>3309</v>
      </c>
      <c r="U138" s="598" t="s">
        <v>3309</v>
      </c>
      <c r="V138" s="598" t="s">
        <v>3309</v>
      </c>
      <c r="W138" s="598" t="s">
        <v>3309</v>
      </c>
      <c r="X138" s="598" t="s">
        <v>3309</v>
      </c>
      <c r="Y138" s="598" t="s">
        <v>321</v>
      </c>
      <c r="Z138" s="598" t="s">
        <v>321</v>
      </c>
      <c r="AA138" s="598" t="s">
        <v>3309</v>
      </c>
      <c r="AB138" s="598" t="s">
        <v>3309</v>
      </c>
      <c r="AC138" s="598" t="s">
        <v>3309</v>
      </c>
      <c r="AD138" s="598" t="s">
        <v>3309</v>
      </c>
      <c r="AE138" s="598" t="s">
        <v>3309</v>
      </c>
      <c r="AF138" s="598" t="s">
        <v>321</v>
      </c>
      <c r="AG138" s="598" t="s">
        <v>321</v>
      </c>
      <c r="AH138" s="598" t="s">
        <v>3309</v>
      </c>
      <c r="AI138" s="598" t="s">
        <v>321</v>
      </c>
      <c r="AJ138" s="599">
        <v>21</v>
      </c>
      <c r="AK138" s="600">
        <v>21</v>
      </c>
      <c r="AL138" s="601">
        <v>0</v>
      </c>
      <c r="AM138" s="601">
        <v>0</v>
      </c>
      <c r="AN138" s="599">
        <v>21</v>
      </c>
    </row>
    <row r="139" spans="1:40" ht="16.5" customHeight="1">
      <c r="A139" s="598" t="s">
        <v>3307</v>
      </c>
      <c r="B139" s="598" t="s">
        <v>3322</v>
      </c>
      <c r="C139" s="598" t="s">
        <v>2529</v>
      </c>
      <c r="D139" s="598" t="s">
        <v>2530</v>
      </c>
      <c r="E139" s="598" t="s">
        <v>321</v>
      </c>
      <c r="F139" s="598" t="s">
        <v>3309</v>
      </c>
      <c r="G139" s="598" t="s">
        <v>3309</v>
      </c>
      <c r="H139" s="598" t="s">
        <v>3309</v>
      </c>
      <c r="I139" s="598" t="s">
        <v>3314</v>
      </c>
      <c r="J139" s="598" t="s">
        <v>3309</v>
      </c>
      <c r="K139" s="598" t="s">
        <v>321</v>
      </c>
      <c r="L139" s="598" t="s">
        <v>321</v>
      </c>
      <c r="M139" s="598" t="s">
        <v>3309</v>
      </c>
      <c r="N139" s="598" t="s">
        <v>3309</v>
      </c>
      <c r="O139" s="598" t="s">
        <v>3309</v>
      </c>
      <c r="P139" s="598" t="s">
        <v>3309</v>
      </c>
      <c r="Q139" s="598" t="s">
        <v>3309</v>
      </c>
      <c r="R139" s="598" t="s">
        <v>321</v>
      </c>
      <c r="S139" s="598" t="s">
        <v>321</v>
      </c>
      <c r="T139" s="598" t="s">
        <v>3309</v>
      </c>
      <c r="U139" s="598" t="s">
        <v>3309</v>
      </c>
      <c r="V139" s="598" t="s">
        <v>3309</v>
      </c>
      <c r="W139" s="598" t="s">
        <v>3309</v>
      </c>
      <c r="X139" s="598" t="s">
        <v>3309</v>
      </c>
      <c r="Y139" s="598" t="s">
        <v>321</v>
      </c>
      <c r="Z139" s="598" t="s">
        <v>321</v>
      </c>
      <c r="AA139" s="598" t="s">
        <v>3309</v>
      </c>
      <c r="AB139" s="598" t="s">
        <v>3309</v>
      </c>
      <c r="AC139" s="598" t="s">
        <v>3309</v>
      </c>
      <c r="AD139" s="598" t="s">
        <v>3309</v>
      </c>
      <c r="AE139" s="598" t="s">
        <v>3309</v>
      </c>
      <c r="AF139" s="598" t="s">
        <v>321</v>
      </c>
      <c r="AG139" s="598" t="s">
        <v>321</v>
      </c>
      <c r="AH139" s="598" t="s">
        <v>3309</v>
      </c>
      <c r="AI139" s="598" t="s">
        <v>321</v>
      </c>
      <c r="AJ139" s="599">
        <v>21</v>
      </c>
      <c r="AK139" s="603">
        <v>20.5</v>
      </c>
      <c r="AL139" s="604">
        <v>0.5</v>
      </c>
      <c r="AM139" s="601">
        <v>0</v>
      </c>
      <c r="AN139" s="599">
        <v>21</v>
      </c>
    </row>
    <row r="140" spans="1:40" ht="16.5" customHeight="1">
      <c r="A140" s="598" t="s">
        <v>3307</v>
      </c>
      <c r="B140" s="598" t="s">
        <v>3323</v>
      </c>
      <c r="C140" s="598" t="s">
        <v>2769</v>
      </c>
      <c r="D140" s="598" t="s">
        <v>2770</v>
      </c>
      <c r="E140" s="598" t="s">
        <v>321</v>
      </c>
      <c r="F140" s="598" t="s">
        <v>3309</v>
      </c>
      <c r="G140" s="598" t="s">
        <v>3309</v>
      </c>
      <c r="H140" s="598" t="s">
        <v>3309</v>
      </c>
      <c r="I140" s="598" t="s">
        <v>3309</v>
      </c>
      <c r="J140" s="598" t="s">
        <v>3309</v>
      </c>
      <c r="K140" s="598" t="s">
        <v>321</v>
      </c>
      <c r="L140" s="598" t="s">
        <v>321</v>
      </c>
      <c r="M140" s="598" t="s">
        <v>3309</v>
      </c>
      <c r="N140" s="598" t="s">
        <v>3309</v>
      </c>
      <c r="O140" s="598" t="s">
        <v>3309</v>
      </c>
      <c r="P140" s="598" t="s">
        <v>3309</v>
      </c>
      <c r="Q140" s="598" t="s">
        <v>3309</v>
      </c>
      <c r="R140" s="598" t="s">
        <v>321</v>
      </c>
      <c r="S140" s="598" t="s">
        <v>321</v>
      </c>
      <c r="T140" s="598" t="s">
        <v>3309</v>
      </c>
      <c r="U140" s="598" t="s">
        <v>3309</v>
      </c>
      <c r="V140" s="598" t="s">
        <v>3309</v>
      </c>
      <c r="W140" s="598" t="s">
        <v>3309</v>
      </c>
      <c r="X140" s="598" t="s">
        <v>3309</v>
      </c>
      <c r="Y140" s="598" t="s">
        <v>321</v>
      </c>
      <c r="Z140" s="598" t="s">
        <v>321</v>
      </c>
      <c r="AA140" s="598" t="s">
        <v>3309</v>
      </c>
      <c r="AB140" s="598" t="s">
        <v>3309</v>
      </c>
      <c r="AC140" s="598" t="s">
        <v>3309</v>
      </c>
      <c r="AD140" s="598" t="s">
        <v>3309</v>
      </c>
      <c r="AE140" s="598" t="s">
        <v>3309</v>
      </c>
      <c r="AF140" s="598" t="s">
        <v>321</v>
      </c>
      <c r="AG140" s="598" t="s">
        <v>321</v>
      </c>
      <c r="AH140" s="598" t="s">
        <v>3309</v>
      </c>
      <c r="AI140" s="598" t="s">
        <v>321</v>
      </c>
      <c r="AJ140" s="599">
        <v>21</v>
      </c>
      <c r="AK140" s="600">
        <v>21</v>
      </c>
      <c r="AL140" s="601">
        <v>0</v>
      </c>
      <c r="AM140" s="601">
        <v>0</v>
      </c>
      <c r="AN140" s="599">
        <v>21</v>
      </c>
    </row>
    <row r="141" spans="1:40" ht="16.5" customHeight="1">
      <c r="A141" s="598" t="s">
        <v>3307</v>
      </c>
      <c r="B141" s="598" t="s">
        <v>3323</v>
      </c>
      <c r="C141" s="598" t="s">
        <v>2030</v>
      </c>
      <c r="D141" s="598" t="s">
        <v>2031</v>
      </c>
      <c r="E141" s="598" t="s">
        <v>321</v>
      </c>
      <c r="F141" s="598" t="s">
        <v>3309</v>
      </c>
      <c r="G141" s="598" t="s">
        <v>3309</v>
      </c>
      <c r="H141" s="598" t="s">
        <v>3309</v>
      </c>
      <c r="I141" s="598" t="s">
        <v>3309</v>
      </c>
      <c r="J141" s="598" t="s">
        <v>3312</v>
      </c>
      <c r="K141" s="598" t="s">
        <v>321</v>
      </c>
      <c r="L141" s="598" t="s">
        <v>321</v>
      </c>
      <c r="M141" s="598" t="s">
        <v>3309</v>
      </c>
      <c r="N141" s="598" t="s">
        <v>3309</v>
      </c>
      <c r="O141" s="598" t="s">
        <v>3309</v>
      </c>
      <c r="P141" s="598" t="s">
        <v>3309</v>
      </c>
      <c r="Q141" s="598" t="s">
        <v>3309</v>
      </c>
      <c r="R141" s="598" t="s">
        <v>321</v>
      </c>
      <c r="S141" s="598" t="s">
        <v>321</v>
      </c>
      <c r="T141" s="598" t="s">
        <v>3309</v>
      </c>
      <c r="U141" s="598" t="s">
        <v>3312</v>
      </c>
      <c r="V141" s="598" t="s">
        <v>3309</v>
      </c>
      <c r="W141" s="598" t="s">
        <v>3309</v>
      </c>
      <c r="X141" s="598" t="s">
        <v>3309</v>
      </c>
      <c r="Y141" s="598" t="s">
        <v>321</v>
      </c>
      <c r="Z141" s="598" t="s">
        <v>321</v>
      </c>
      <c r="AA141" s="598" t="s">
        <v>3309</v>
      </c>
      <c r="AB141" s="598" t="s">
        <v>3309</v>
      </c>
      <c r="AC141" s="598" t="s">
        <v>3309</v>
      </c>
      <c r="AD141" s="598" t="s">
        <v>3309</v>
      </c>
      <c r="AE141" s="598" t="s">
        <v>3309</v>
      </c>
      <c r="AF141" s="598" t="s">
        <v>321</v>
      </c>
      <c r="AG141" s="598" t="s">
        <v>321</v>
      </c>
      <c r="AH141" s="598" t="s">
        <v>3309</v>
      </c>
      <c r="AI141" s="598" t="s">
        <v>321</v>
      </c>
      <c r="AJ141" s="599">
        <v>21</v>
      </c>
      <c r="AK141" s="600">
        <v>19</v>
      </c>
      <c r="AL141" s="602">
        <v>2</v>
      </c>
      <c r="AM141" s="601">
        <v>0</v>
      </c>
      <c r="AN141" s="599">
        <v>21</v>
      </c>
    </row>
    <row r="142" spans="1:40" ht="16.5" customHeight="1">
      <c r="A142" s="598" t="s">
        <v>3307</v>
      </c>
      <c r="B142" s="598" t="s">
        <v>3323</v>
      </c>
      <c r="C142" s="598" t="s">
        <v>1956</v>
      </c>
      <c r="D142" s="598" t="s">
        <v>1957</v>
      </c>
      <c r="E142" s="598" t="s">
        <v>321</v>
      </c>
      <c r="F142" s="598" t="s">
        <v>3309</v>
      </c>
      <c r="G142" s="598" t="s">
        <v>3309</v>
      </c>
      <c r="H142" s="598" t="s">
        <v>3309</v>
      </c>
      <c r="I142" s="598" t="s">
        <v>3309</v>
      </c>
      <c r="J142" s="598" t="s">
        <v>3309</v>
      </c>
      <c r="K142" s="598" t="s">
        <v>321</v>
      </c>
      <c r="L142" s="598" t="s">
        <v>321</v>
      </c>
      <c r="M142" s="598" t="s">
        <v>3309</v>
      </c>
      <c r="N142" s="598" t="s">
        <v>3309</v>
      </c>
      <c r="O142" s="598" t="s">
        <v>3309</v>
      </c>
      <c r="P142" s="598" t="s">
        <v>3309</v>
      </c>
      <c r="Q142" s="598" t="s">
        <v>3309</v>
      </c>
      <c r="R142" s="598" t="s">
        <v>321</v>
      </c>
      <c r="S142" s="598" t="s">
        <v>321</v>
      </c>
      <c r="T142" s="598" t="s">
        <v>3309</v>
      </c>
      <c r="U142" s="598" t="s">
        <v>3309</v>
      </c>
      <c r="V142" s="598" t="s">
        <v>3309</v>
      </c>
      <c r="W142" s="598" t="s">
        <v>3309</v>
      </c>
      <c r="X142" s="598" t="s">
        <v>3309</v>
      </c>
      <c r="Y142" s="598" t="s">
        <v>321</v>
      </c>
      <c r="Z142" s="598" t="s">
        <v>321</v>
      </c>
      <c r="AA142" s="598" t="s">
        <v>3309</v>
      </c>
      <c r="AB142" s="598" t="s">
        <v>3309</v>
      </c>
      <c r="AC142" s="598" t="s">
        <v>3309</v>
      </c>
      <c r="AD142" s="598" t="s">
        <v>3309</v>
      </c>
      <c r="AE142" s="598" t="s">
        <v>3309</v>
      </c>
      <c r="AF142" s="598" t="s">
        <v>321</v>
      </c>
      <c r="AG142" s="598" t="s">
        <v>321</v>
      </c>
      <c r="AH142" s="598" t="s">
        <v>3309</v>
      </c>
      <c r="AI142" s="598" t="s">
        <v>321</v>
      </c>
      <c r="AJ142" s="599">
        <v>21</v>
      </c>
      <c r="AK142" s="600">
        <v>21</v>
      </c>
      <c r="AL142" s="601">
        <v>0</v>
      </c>
      <c r="AM142" s="601">
        <v>0</v>
      </c>
      <c r="AN142" s="599">
        <v>21</v>
      </c>
    </row>
    <row r="143" spans="1:40" ht="16.5" customHeight="1">
      <c r="A143" s="598" t="s">
        <v>3307</v>
      </c>
      <c r="B143" s="598" t="s">
        <v>3323</v>
      </c>
      <c r="C143" s="598" t="s">
        <v>955</v>
      </c>
      <c r="D143" s="598" t="s">
        <v>956</v>
      </c>
      <c r="E143" s="598" t="s">
        <v>321</v>
      </c>
      <c r="F143" s="598" t="s">
        <v>3309</v>
      </c>
      <c r="G143" s="598" t="s">
        <v>3309</v>
      </c>
      <c r="H143" s="598" t="s">
        <v>3309</v>
      </c>
      <c r="I143" s="598" t="s">
        <v>3309</v>
      </c>
      <c r="J143" s="598" t="s">
        <v>3309</v>
      </c>
      <c r="K143" s="598" t="s">
        <v>321</v>
      </c>
      <c r="L143" s="598" t="s">
        <v>321</v>
      </c>
      <c r="M143" s="598" t="s">
        <v>3309</v>
      </c>
      <c r="N143" s="598" t="s">
        <v>3309</v>
      </c>
      <c r="O143" s="598" t="s">
        <v>3309</v>
      </c>
      <c r="P143" s="598" t="s">
        <v>3309</v>
      </c>
      <c r="Q143" s="598" t="s">
        <v>3312</v>
      </c>
      <c r="R143" s="598" t="s">
        <v>321</v>
      </c>
      <c r="S143" s="598" t="s">
        <v>321</v>
      </c>
      <c r="T143" s="598" t="s">
        <v>3312</v>
      </c>
      <c r="U143" s="598" t="s">
        <v>3309</v>
      </c>
      <c r="V143" s="598" t="s">
        <v>3309</v>
      </c>
      <c r="W143" s="598" t="s">
        <v>3309</v>
      </c>
      <c r="X143" s="598" t="s">
        <v>3309</v>
      </c>
      <c r="Y143" s="598" t="s">
        <v>321</v>
      </c>
      <c r="Z143" s="598" t="s">
        <v>321</v>
      </c>
      <c r="AA143" s="598" t="s">
        <v>3309</v>
      </c>
      <c r="AB143" s="598" t="s">
        <v>3309</v>
      </c>
      <c r="AC143" s="598" t="s">
        <v>3309</v>
      </c>
      <c r="AD143" s="598" t="s">
        <v>3309</v>
      </c>
      <c r="AE143" s="598" t="s">
        <v>3309</v>
      </c>
      <c r="AF143" s="598" t="s">
        <v>321</v>
      </c>
      <c r="AG143" s="598" t="s">
        <v>321</v>
      </c>
      <c r="AH143" s="598" t="s">
        <v>3309</v>
      </c>
      <c r="AI143" s="598" t="s">
        <v>321</v>
      </c>
      <c r="AJ143" s="599">
        <v>21</v>
      </c>
      <c r="AK143" s="600">
        <v>19</v>
      </c>
      <c r="AL143" s="602">
        <v>2</v>
      </c>
      <c r="AM143" s="601">
        <v>0</v>
      </c>
      <c r="AN143" s="599">
        <v>21</v>
      </c>
    </row>
    <row r="144" spans="1:40" ht="16.5" customHeight="1">
      <c r="A144" s="598" t="s">
        <v>3307</v>
      </c>
      <c r="B144" s="598" t="s">
        <v>3323</v>
      </c>
      <c r="C144" s="598" t="s">
        <v>2921</v>
      </c>
      <c r="D144" s="598" t="s">
        <v>2922</v>
      </c>
      <c r="E144" s="598" t="s">
        <v>321</v>
      </c>
      <c r="F144" s="598" t="s">
        <v>3309</v>
      </c>
      <c r="G144" s="598" t="s">
        <v>3309</v>
      </c>
      <c r="H144" s="598" t="s">
        <v>3309</v>
      </c>
      <c r="I144" s="598" t="s">
        <v>3309</v>
      </c>
      <c r="J144" s="598" t="s">
        <v>3312</v>
      </c>
      <c r="K144" s="598" t="s">
        <v>321</v>
      </c>
      <c r="L144" s="598" t="s">
        <v>321</v>
      </c>
      <c r="M144" s="598" t="s">
        <v>3309</v>
      </c>
      <c r="N144" s="598" t="s">
        <v>3309</v>
      </c>
      <c r="O144" s="598" t="s">
        <v>3309</v>
      </c>
      <c r="P144" s="598" t="s">
        <v>3309</v>
      </c>
      <c r="Q144" s="598" t="s">
        <v>3309</v>
      </c>
      <c r="R144" s="598" t="s">
        <v>321</v>
      </c>
      <c r="S144" s="598" t="s">
        <v>321</v>
      </c>
      <c r="T144" s="598" t="s">
        <v>3309</v>
      </c>
      <c r="U144" s="598" t="s">
        <v>3309</v>
      </c>
      <c r="V144" s="598" t="s">
        <v>3309</v>
      </c>
      <c r="W144" s="598" t="s">
        <v>3309</v>
      </c>
      <c r="X144" s="598" t="s">
        <v>3309</v>
      </c>
      <c r="Y144" s="598" t="s">
        <v>321</v>
      </c>
      <c r="Z144" s="598" t="s">
        <v>321</v>
      </c>
      <c r="AA144" s="598" t="s">
        <v>3309</v>
      </c>
      <c r="AB144" s="598" t="s">
        <v>3309</v>
      </c>
      <c r="AC144" s="598" t="s">
        <v>3309</v>
      </c>
      <c r="AD144" s="598" t="s">
        <v>3309</v>
      </c>
      <c r="AE144" s="598" t="s">
        <v>3309</v>
      </c>
      <c r="AF144" s="598" t="s">
        <v>321</v>
      </c>
      <c r="AG144" s="598" t="s">
        <v>321</v>
      </c>
      <c r="AH144" s="598" t="s">
        <v>3309</v>
      </c>
      <c r="AI144" s="598" t="s">
        <v>321</v>
      </c>
      <c r="AJ144" s="599">
        <v>21</v>
      </c>
      <c r="AK144" s="600">
        <v>20</v>
      </c>
      <c r="AL144" s="602">
        <v>1</v>
      </c>
      <c r="AM144" s="601">
        <v>0</v>
      </c>
      <c r="AN144" s="599">
        <v>21</v>
      </c>
    </row>
    <row r="145" spans="1:40" ht="16.5" customHeight="1">
      <c r="A145" s="598" t="s">
        <v>3307</v>
      </c>
      <c r="B145" s="598" t="s">
        <v>3323</v>
      </c>
      <c r="C145" s="598" t="s">
        <v>2602</v>
      </c>
      <c r="D145" s="598" t="s">
        <v>2603</v>
      </c>
      <c r="E145" s="598" t="s">
        <v>321</v>
      </c>
      <c r="F145" s="598" t="s">
        <v>3309</v>
      </c>
      <c r="G145" s="598" t="s">
        <v>3309</v>
      </c>
      <c r="H145" s="598" t="s">
        <v>3309</v>
      </c>
      <c r="I145" s="598" t="s">
        <v>3309</v>
      </c>
      <c r="J145" s="598" t="s">
        <v>3309</v>
      </c>
      <c r="K145" s="598" t="s">
        <v>321</v>
      </c>
      <c r="L145" s="598" t="s">
        <v>321</v>
      </c>
      <c r="M145" s="598" t="s">
        <v>3309</v>
      </c>
      <c r="N145" s="598" t="s">
        <v>3309</v>
      </c>
      <c r="O145" s="598" t="s">
        <v>3309</v>
      </c>
      <c r="P145" s="598" t="s">
        <v>3309</v>
      </c>
      <c r="Q145" s="598" t="s">
        <v>3309</v>
      </c>
      <c r="R145" s="598" t="s">
        <v>321</v>
      </c>
      <c r="S145" s="598" t="s">
        <v>321</v>
      </c>
      <c r="T145" s="598" t="s">
        <v>3309</v>
      </c>
      <c r="U145" s="598" t="s">
        <v>3309</v>
      </c>
      <c r="V145" s="598" t="s">
        <v>3309</v>
      </c>
      <c r="W145" s="598" t="s">
        <v>3309</v>
      </c>
      <c r="X145" s="598" t="s">
        <v>3309</v>
      </c>
      <c r="Y145" s="598" t="s">
        <v>321</v>
      </c>
      <c r="Z145" s="598" t="s">
        <v>321</v>
      </c>
      <c r="AA145" s="598" t="s">
        <v>3309</v>
      </c>
      <c r="AB145" s="598" t="s">
        <v>3309</v>
      </c>
      <c r="AC145" s="598" t="s">
        <v>3309</v>
      </c>
      <c r="AD145" s="598" t="s">
        <v>3309</v>
      </c>
      <c r="AE145" s="598" t="s">
        <v>3309</v>
      </c>
      <c r="AF145" s="598" t="s">
        <v>321</v>
      </c>
      <c r="AG145" s="598" t="s">
        <v>321</v>
      </c>
      <c r="AH145" s="598" t="s">
        <v>3309</v>
      </c>
      <c r="AI145" s="598" t="s">
        <v>321</v>
      </c>
      <c r="AJ145" s="599">
        <v>21</v>
      </c>
      <c r="AK145" s="600">
        <v>21</v>
      </c>
      <c r="AL145" s="601">
        <v>0</v>
      </c>
      <c r="AM145" s="601">
        <v>0</v>
      </c>
      <c r="AN145" s="599">
        <v>21</v>
      </c>
    </row>
    <row r="146" spans="1:40" ht="16.5" customHeight="1">
      <c r="A146" s="598" t="s">
        <v>3307</v>
      </c>
      <c r="B146" s="598" t="s">
        <v>3323</v>
      </c>
      <c r="C146" s="598" t="s">
        <v>2513</v>
      </c>
      <c r="D146" s="598" t="s">
        <v>2514</v>
      </c>
      <c r="E146" s="598" t="s">
        <v>321</v>
      </c>
      <c r="F146" s="598" t="s">
        <v>3309</v>
      </c>
      <c r="G146" s="598" t="s">
        <v>3309</v>
      </c>
      <c r="H146" s="598" t="s">
        <v>3309</v>
      </c>
      <c r="I146" s="598" t="s">
        <v>3309</v>
      </c>
      <c r="J146" s="598" t="s">
        <v>3309</v>
      </c>
      <c r="K146" s="598" t="s">
        <v>321</v>
      </c>
      <c r="L146" s="598" t="s">
        <v>321</v>
      </c>
      <c r="M146" s="598" t="s">
        <v>3309</v>
      </c>
      <c r="N146" s="598" t="s">
        <v>3309</v>
      </c>
      <c r="O146" s="598" t="s">
        <v>3309</v>
      </c>
      <c r="P146" s="598" t="s">
        <v>3309</v>
      </c>
      <c r="Q146" s="598" t="s">
        <v>3309</v>
      </c>
      <c r="R146" s="598" t="s">
        <v>321</v>
      </c>
      <c r="S146" s="598" t="s">
        <v>321</v>
      </c>
      <c r="T146" s="598" t="s">
        <v>3309</v>
      </c>
      <c r="U146" s="598" t="s">
        <v>3309</v>
      </c>
      <c r="V146" s="598" t="s">
        <v>3309</v>
      </c>
      <c r="W146" s="598" t="s">
        <v>3309</v>
      </c>
      <c r="X146" s="598" t="s">
        <v>3309</v>
      </c>
      <c r="Y146" s="598" t="s">
        <v>321</v>
      </c>
      <c r="Z146" s="598" t="s">
        <v>321</v>
      </c>
      <c r="AA146" s="598" t="s">
        <v>3309</v>
      </c>
      <c r="AB146" s="598" t="s">
        <v>3309</v>
      </c>
      <c r="AC146" s="598" t="s">
        <v>3309</v>
      </c>
      <c r="AD146" s="598" t="s">
        <v>3309</v>
      </c>
      <c r="AE146" s="598" t="s">
        <v>3309</v>
      </c>
      <c r="AF146" s="598" t="s">
        <v>321</v>
      </c>
      <c r="AG146" s="598" t="s">
        <v>321</v>
      </c>
      <c r="AH146" s="598" t="s">
        <v>3309</v>
      </c>
      <c r="AI146" s="598" t="s">
        <v>321</v>
      </c>
      <c r="AJ146" s="599">
        <v>21</v>
      </c>
      <c r="AK146" s="600">
        <v>21</v>
      </c>
      <c r="AL146" s="601">
        <v>0</v>
      </c>
      <c r="AM146" s="601">
        <v>0</v>
      </c>
      <c r="AN146" s="599">
        <v>21</v>
      </c>
    </row>
    <row r="147" spans="1:40" ht="16.5" customHeight="1">
      <c r="A147" s="598" t="s">
        <v>3307</v>
      </c>
      <c r="B147" s="598" t="s">
        <v>3323</v>
      </c>
      <c r="C147" s="598" t="s">
        <v>2546</v>
      </c>
      <c r="D147" s="598" t="s">
        <v>2547</v>
      </c>
      <c r="E147" s="598" t="s">
        <v>321</v>
      </c>
      <c r="F147" s="598" t="s">
        <v>3309</v>
      </c>
      <c r="G147" s="598" t="s">
        <v>3309</v>
      </c>
      <c r="H147" s="598" t="s">
        <v>3309</v>
      </c>
      <c r="I147" s="598" t="s">
        <v>3309</v>
      </c>
      <c r="J147" s="598" t="s">
        <v>3309</v>
      </c>
      <c r="K147" s="598" t="s">
        <v>321</v>
      </c>
      <c r="L147" s="598" t="s">
        <v>321</v>
      </c>
      <c r="M147" s="598" t="s">
        <v>3309</v>
      </c>
      <c r="N147" s="598" t="s">
        <v>3309</v>
      </c>
      <c r="O147" s="598" t="s">
        <v>3309</v>
      </c>
      <c r="P147" s="598" t="s">
        <v>3309</v>
      </c>
      <c r="Q147" s="598" t="s">
        <v>3309</v>
      </c>
      <c r="R147" s="598" t="s">
        <v>321</v>
      </c>
      <c r="S147" s="598" t="s">
        <v>321</v>
      </c>
      <c r="T147" s="598" t="s">
        <v>3309</v>
      </c>
      <c r="U147" s="598" t="s">
        <v>3309</v>
      </c>
      <c r="V147" s="598" t="s">
        <v>3309</v>
      </c>
      <c r="W147" s="598" t="s">
        <v>3309</v>
      </c>
      <c r="X147" s="598" t="s">
        <v>3312</v>
      </c>
      <c r="Y147" s="598" t="s">
        <v>321</v>
      </c>
      <c r="Z147" s="598" t="s">
        <v>321</v>
      </c>
      <c r="AA147" s="598" t="s">
        <v>3309</v>
      </c>
      <c r="AB147" s="598" t="s">
        <v>3309</v>
      </c>
      <c r="AC147" s="598" t="s">
        <v>3309</v>
      </c>
      <c r="AD147" s="598" t="s">
        <v>3309</v>
      </c>
      <c r="AE147" s="598" t="s">
        <v>3309</v>
      </c>
      <c r="AF147" s="598" t="s">
        <v>321</v>
      </c>
      <c r="AG147" s="598" t="s">
        <v>321</v>
      </c>
      <c r="AH147" s="598" t="s">
        <v>3309</v>
      </c>
      <c r="AI147" s="598" t="s">
        <v>321</v>
      </c>
      <c r="AJ147" s="599">
        <v>21</v>
      </c>
      <c r="AK147" s="600">
        <v>20</v>
      </c>
      <c r="AL147" s="602">
        <v>1</v>
      </c>
      <c r="AM147" s="601">
        <v>0</v>
      </c>
      <c r="AN147" s="599">
        <v>21</v>
      </c>
    </row>
    <row r="148" spans="1:40" ht="16.5" customHeight="1">
      <c r="A148" s="598" t="s">
        <v>3307</v>
      </c>
      <c r="B148" s="598" t="s">
        <v>3323</v>
      </c>
      <c r="C148" s="598" t="s">
        <v>2162</v>
      </c>
      <c r="D148" s="598" t="s">
        <v>2163</v>
      </c>
      <c r="E148" s="598" t="s">
        <v>321</v>
      </c>
      <c r="F148" s="598" t="s">
        <v>3309</v>
      </c>
      <c r="G148" s="598" t="s">
        <v>3309</v>
      </c>
      <c r="H148" s="598" t="s">
        <v>3309</v>
      </c>
      <c r="I148" s="598" t="s">
        <v>3309</v>
      </c>
      <c r="J148" s="598" t="s">
        <v>3309</v>
      </c>
      <c r="K148" s="598" t="s">
        <v>321</v>
      </c>
      <c r="L148" s="598" t="s">
        <v>321</v>
      </c>
      <c r="M148" s="598" t="s">
        <v>3312</v>
      </c>
      <c r="N148" s="598" t="s">
        <v>3309</v>
      </c>
      <c r="O148" s="598" t="s">
        <v>3309</v>
      </c>
      <c r="P148" s="598" t="s">
        <v>3309</v>
      </c>
      <c r="Q148" s="598" t="s">
        <v>3309</v>
      </c>
      <c r="R148" s="598" t="s">
        <v>321</v>
      </c>
      <c r="S148" s="598" t="s">
        <v>321</v>
      </c>
      <c r="T148" s="598" t="s">
        <v>3309</v>
      </c>
      <c r="U148" s="598" t="s">
        <v>3309</v>
      </c>
      <c r="V148" s="598" t="s">
        <v>3309</v>
      </c>
      <c r="W148" s="598" t="s">
        <v>3309</v>
      </c>
      <c r="X148" s="598" t="s">
        <v>3309</v>
      </c>
      <c r="Y148" s="598" t="s">
        <v>321</v>
      </c>
      <c r="Z148" s="598" t="s">
        <v>321</v>
      </c>
      <c r="AA148" s="598" t="s">
        <v>3309</v>
      </c>
      <c r="AB148" s="598" t="s">
        <v>3309</v>
      </c>
      <c r="AC148" s="598" t="s">
        <v>3309</v>
      </c>
      <c r="AD148" s="598" t="s">
        <v>3309</v>
      </c>
      <c r="AE148" s="598" t="s">
        <v>3309</v>
      </c>
      <c r="AF148" s="598" t="s">
        <v>321</v>
      </c>
      <c r="AG148" s="598" t="s">
        <v>321</v>
      </c>
      <c r="AH148" s="598" t="s">
        <v>3309</v>
      </c>
      <c r="AI148" s="598" t="s">
        <v>321</v>
      </c>
      <c r="AJ148" s="599">
        <v>21</v>
      </c>
      <c r="AK148" s="600">
        <v>20</v>
      </c>
      <c r="AL148" s="602">
        <v>1</v>
      </c>
      <c r="AM148" s="601">
        <v>0</v>
      </c>
      <c r="AN148" s="599">
        <v>21</v>
      </c>
    </row>
    <row r="149" spans="1:40" ht="16.5" customHeight="1">
      <c r="A149" s="598" t="s">
        <v>3307</v>
      </c>
      <c r="B149" s="598" t="s">
        <v>3323</v>
      </c>
      <c r="C149" s="598" t="s">
        <v>1907</v>
      </c>
      <c r="D149" s="598" t="s">
        <v>1908</v>
      </c>
      <c r="E149" s="598" t="s">
        <v>321</v>
      </c>
      <c r="F149" s="598" t="s">
        <v>3309</v>
      </c>
      <c r="G149" s="598" t="s">
        <v>3309</v>
      </c>
      <c r="H149" s="598" t="s">
        <v>3309</v>
      </c>
      <c r="I149" s="598" t="s">
        <v>3309</v>
      </c>
      <c r="J149" s="598" t="s">
        <v>3309</v>
      </c>
      <c r="K149" s="598" t="s">
        <v>321</v>
      </c>
      <c r="L149" s="598" t="s">
        <v>321</v>
      </c>
      <c r="M149" s="598" t="s">
        <v>3309</v>
      </c>
      <c r="N149" s="598" t="s">
        <v>3309</v>
      </c>
      <c r="O149" s="598" t="s">
        <v>3309</v>
      </c>
      <c r="P149" s="598" t="s">
        <v>3309</v>
      </c>
      <c r="Q149" s="598" t="s">
        <v>3309</v>
      </c>
      <c r="R149" s="598" t="s">
        <v>321</v>
      </c>
      <c r="S149" s="598" t="s">
        <v>321</v>
      </c>
      <c r="T149" s="598" t="s">
        <v>3309</v>
      </c>
      <c r="U149" s="598" t="s">
        <v>3309</v>
      </c>
      <c r="V149" s="598" t="s">
        <v>3309</v>
      </c>
      <c r="W149" s="598" t="s">
        <v>3309</v>
      </c>
      <c r="X149" s="598" t="s">
        <v>3309</v>
      </c>
      <c r="Y149" s="598" t="s">
        <v>321</v>
      </c>
      <c r="Z149" s="598" t="s">
        <v>321</v>
      </c>
      <c r="AA149" s="598" t="s">
        <v>3309</v>
      </c>
      <c r="AB149" s="598" t="s">
        <v>3309</v>
      </c>
      <c r="AC149" s="598" t="s">
        <v>3309</v>
      </c>
      <c r="AD149" s="598" t="s">
        <v>3309</v>
      </c>
      <c r="AE149" s="598" t="s">
        <v>3309</v>
      </c>
      <c r="AF149" s="598" t="s">
        <v>321</v>
      </c>
      <c r="AG149" s="598" t="s">
        <v>321</v>
      </c>
      <c r="AH149" s="598" t="s">
        <v>3309</v>
      </c>
      <c r="AI149" s="598" t="s">
        <v>321</v>
      </c>
      <c r="AJ149" s="599">
        <v>21</v>
      </c>
      <c r="AK149" s="600">
        <v>21</v>
      </c>
      <c r="AL149" s="601">
        <v>0</v>
      </c>
      <c r="AM149" s="601">
        <v>0</v>
      </c>
      <c r="AN149" s="599">
        <v>21</v>
      </c>
    </row>
    <row r="150" spans="1:40" ht="16.5" customHeight="1">
      <c r="A150" s="598" t="s">
        <v>3307</v>
      </c>
      <c r="B150" s="598" t="s">
        <v>3323</v>
      </c>
      <c r="C150" s="598" t="s">
        <v>1822</v>
      </c>
      <c r="D150" s="598" t="s">
        <v>1823</v>
      </c>
      <c r="E150" s="598" t="s">
        <v>321</v>
      </c>
      <c r="F150" s="598" t="s">
        <v>3309</v>
      </c>
      <c r="G150" s="598" t="s">
        <v>3309</v>
      </c>
      <c r="H150" s="598" t="s">
        <v>3309</v>
      </c>
      <c r="I150" s="598" t="s">
        <v>3309</v>
      </c>
      <c r="J150" s="598" t="s">
        <v>3309</v>
      </c>
      <c r="K150" s="598" t="s">
        <v>321</v>
      </c>
      <c r="L150" s="598" t="s">
        <v>321</v>
      </c>
      <c r="M150" s="598" t="s">
        <v>3309</v>
      </c>
      <c r="N150" s="598" t="s">
        <v>3309</v>
      </c>
      <c r="O150" s="598" t="s">
        <v>3309</v>
      </c>
      <c r="P150" s="598" t="s">
        <v>3309</v>
      </c>
      <c r="Q150" s="598" t="s">
        <v>3309</v>
      </c>
      <c r="R150" s="598" t="s">
        <v>321</v>
      </c>
      <c r="S150" s="598" t="s">
        <v>321</v>
      </c>
      <c r="T150" s="598" t="s">
        <v>3309</v>
      </c>
      <c r="U150" s="598" t="s">
        <v>3309</v>
      </c>
      <c r="V150" s="598" t="s">
        <v>3309</v>
      </c>
      <c r="W150" s="598" t="s">
        <v>3309</v>
      </c>
      <c r="X150" s="598" t="s">
        <v>3309</v>
      </c>
      <c r="Y150" s="598" t="s">
        <v>321</v>
      </c>
      <c r="Z150" s="598" t="s">
        <v>321</v>
      </c>
      <c r="AA150" s="598" t="s">
        <v>3309</v>
      </c>
      <c r="AB150" s="598" t="s">
        <v>3309</v>
      </c>
      <c r="AC150" s="598" t="s">
        <v>3309</v>
      </c>
      <c r="AD150" s="598" t="s">
        <v>3309</v>
      </c>
      <c r="AE150" s="598" t="s">
        <v>3309</v>
      </c>
      <c r="AF150" s="598" t="s">
        <v>321</v>
      </c>
      <c r="AG150" s="598" t="s">
        <v>321</v>
      </c>
      <c r="AH150" s="598" t="s">
        <v>3309</v>
      </c>
      <c r="AI150" s="598" t="s">
        <v>321</v>
      </c>
      <c r="AJ150" s="599">
        <v>21</v>
      </c>
      <c r="AK150" s="600">
        <v>21</v>
      </c>
      <c r="AL150" s="601">
        <v>0</v>
      </c>
      <c r="AM150" s="601">
        <v>0</v>
      </c>
      <c r="AN150" s="599">
        <v>21</v>
      </c>
    </row>
    <row r="151" spans="1:40" ht="16.5" customHeight="1">
      <c r="A151" s="598" t="s">
        <v>3307</v>
      </c>
      <c r="B151" s="598" t="s">
        <v>3323</v>
      </c>
      <c r="C151" s="598" t="s">
        <v>2207</v>
      </c>
      <c r="D151" s="598" t="s">
        <v>2208</v>
      </c>
      <c r="E151" s="598" t="s">
        <v>321</v>
      </c>
      <c r="F151" s="598" t="s">
        <v>3309</v>
      </c>
      <c r="G151" s="598" t="s">
        <v>3309</v>
      </c>
      <c r="H151" s="598" t="s">
        <v>3309</v>
      </c>
      <c r="I151" s="598" t="s">
        <v>3309</v>
      </c>
      <c r="J151" s="598" t="s">
        <v>3309</v>
      </c>
      <c r="K151" s="598" t="s">
        <v>321</v>
      </c>
      <c r="L151" s="598" t="s">
        <v>321</v>
      </c>
      <c r="M151" s="598" t="s">
        <v>3309</v>
      </c>
      <c r="N151" s="598" t="s">
        <v>3309</v>
      </c>
      <c r="O151" s="598" t="s">
        <v>3309</v>
      </c>
      <c r="P151" s="598" t="s">
        <v>3309</v>
      </c>
      <c r="Q151" s="598" t="s">
        <v>3309</v>
      </c>
      <c r="R151" s="598" t="s">
        <v>321</v>
      </c>
      <c r="S151" s="598" t="s">
        <v>321</v>
      </c>
      <c r="T151" s="598" t="s">
        <v>3309</v>
      </c>
      <c r="U151" s="598" t="s">
        <v>3309</v>
      </c>
      <c r="V151" s="598" t="s">
        <v>3309</v>
      </c>
      <c r="W151" s="598" t="s">
        <v>3309</v>
      </c>
      <c r="X151" s="598" t="s">
        <v>3309</v>
      </c>
      <c r="Y151" s="598" t="s">
        <v>321</v>
      </c>
      <c r="Z151" s="598" t="s">
        <v>321</v>
      </c>
      <c r="AA151" s="598" t="s">
        <v>3309</v>
      </c>
      <c r="AB151" s="598" t="s">
        <v>3309</v>
      </c>
      <c r="AC151" s="598" t="s">
        <v>3309</v>
      </c>
      <c r="AD151" s="598" t="s">
        <v>3309</v>
      </c>
      <c r="AE151" s="598" t="s">
        <v>3309</v>
      </c>
      <c r="AF151" s="598" t="s">
        <v>321</v>
      </c>
      <c r="AG151" s="598" t="s">
        <v>321</v>
      </c>
      <c r="AH151" s="598" t="s">
        <v>3309</v>
      </c>
      <c r="AI151" s="598" t="s">
        <v>321</v>
      </c>
      <c r="AJ151" s="599">
        <v>21</v>
      </c>
      <c r="AK151" s="600">
        <v>21</v>
      </c>
      <c r="AL151" s="601">
        <v>0</v>
      </c>
      <c r="AM151" s="601">
        <v>0</v>
      </c>
      <c r="AN151" s="599">
        <v>21</v>
      </c>
    </row>
    <row r="152" spans="1:40" ht="16.5" customHeight="1">
      <c r="A152" s="598" t="s">
        <v>3307</v>
      </c>
      <c r="B152" s="598" t="s">
        <v>3323</v>
      </c>
      <c r="C152" s="598" t="s">
        <v>2767</v>
      </c>
      <c r="D152" s="598" t="s">
        <v>2768</v>
      </c>
      <c r="E152" s="598" t="s">
        <v>321</v>
      </c>
      <c r="F152" s="598" t="s">
        <v>3309</v>
      </c>
      <c r="G152" s="598" t="s">
        <v>3309</v>
      </c>
      <c r="H152" s="598" t="s">
        <v>3309</v>
      </c>
      <c r="I152" s="598" t="s">
        <v>3313</v>
      </c>
      <c r="J152" s="598" t="s">
        <v>3313</v>
      </c>
      <c r="K152" s="598" t="s">
        <v>321</v>
      </c>
      <c r="L152" s="598" t="s">
        <v>321</v>
      </c>
      <c r="M152" s="598" t="s">
        <v>3309</v>
      </c>
      <c r="N152" s="598" t="s">
        <v>3309</v>
      </c>
      <c r="O152" s="598" t="s">
        <v>3309</v>
      </c>
      <c r="P152" s="598" t="s">
        <v>3309</v>
      </c>
      <c r="Q152" s="598" t="s">
        <v>3309</v>
      </c>
      <c r="R152" s="598" t="s">
        <v>321</v>
      </c>
      <c r="S152" s="598" t="s">
        <v>321</v>
      </c>
      <c r="T152" s="598" t="s">
        <v>3309</v>
      </c>
      <c r="U152" s="598" t="s">
        <v>3309</v>
      </c>
      <c r="V152" s="598" t="s">
        <v>3309</v>
      </c>
      <c r="W152" s="598" t="s">
        <v>3309</v>
      </c>
      <c r="X152" s="598" t="s">
        <v>3309</v>
      </c>
      <c r="Y152" s="598" t="s">
        <v>321</v>
      </c>
      <c r="Z152" s="598" t="s">
        <v>321</v>
      </c>
      <c r="AA152" s="598" t="s">
        <v>3309</v>
      </c>
      <c r="AB152" s="598" t="s">
        <v>3309</v>
      </c>
      <c r="AC152" s="598" t="s">
        <v>3309</v>
      </c>
      <c r="AD152" s="598" t="s">
        <v>3309</v>
      </c>
      <c r="AE152" s="598" t="s">
        <v>3309</v>
      </c>
      <c r="AF152" s="598" t="s">
        <v>321</v>
      </c>
      <c r="AG152" s="598" t="s">
        <v>321</v>
      </c>
      <c r="AH152" s="598" t="s">
        <v>3309</v>
      </c>
      <c r="AI152" s="598" t="s">
        <v>321</v>
      </c>
      <c r="AJ152" s="599">
        <v>21</v>
      </c>
      <c r="AK152" s="600">
        <v>21</v>
      </c>
      <c r="AL152" s="601">
        <v>0</v>
      </c>
      <c r="AM152" s="601">
        <v>0</v>
      </c>
      <c r="AN152" s="599">
        <v>21</v>
      </c>
    </row>
    <row r="153" spans="1:40" ht="16.5" customHeight="1">
      <c r="A153" s="598" t="s">
        <v>3307</v>
      </c>
      <c r="B153" s="598" t="s">
        <v>3323</v>
      </c>
      <c r="C153" s="598" t="s">
        <v>1446</v>
      </c>
      <c r="D153" s="598" t="s">
        <v>1447</v>
      </c>
      <c r="E153" s="598" t="s">
        <v>321</v>
      </c>
      <c r="F153" s="598" t="s">
        <v>3309</v>
      </c>
      <c r="G153" s="598" t="s">
        <v>3309</v>
      </c>
      <c r="H153" s="598" t="s">
        <v>3309</v>
      </c>
      <c r="I153" s="598" t="s">
        <v>3309</v>
      </c>
      <c r="J153" s="598" t="s">
        <v>3309</v>
      </c>
      <c r="K153" s="598" t="s">
        <v>321</v>
      </c>
      <c r="L153" s="598" t="s">
        <v>321</v>
      </c>
      <c r="M153" s="598" t="s">
        <v>3309</v>
      </c>
      <c r="N153" s="598" t="s">
        <v>3309</v>
      </c>
      <c r="O153" s="598" t="s">
        <v>3309</v>
      </c>
      <c r="P153" s="598" t="s">
        <v>3309</v>
      </c>
      <c r="Q153" s="598" t="s">
        <v>3309</v>
      </c>
      <c r="R153" s="598" t="s">
        <v>321</v>
      </c>
      <c r="S153" s="598" t="s">
        <v>321</v>
      </c>
      <c r="T153" s="598" t="s">
        <v>3309</v>
      </c>
      <c r="U153" s="598" t="s">
        <v>3309</v>
      </c>
      <c r="V153" s="598" t="s">
        <v>3309</v>
      </c>
      <c r="W153" s="598" t="s">
        <v>3309</v>
      </c>
      <c r="X153" s="598" t="s">
        <v>3309</v>
      </c>
      <c r="Y153" s="598" t="s">
        <v>321</v>
      </c>
      <c r="Z153" s="598" t="s">
        <v>321</v>
      </c>
      <c r="AA153" s="598" t="s">
        <v>3309</v>
      </c>
      <c r="AB153" s="598" t="s">
        <v>3309</v>
      </c>
      <c r="AC153" s="598" t="s">
        <v>3309</v>
      </c>
      <c r="AD153" s="598" t="s">
        <v>3309</v>
      </c>
      <c r="AE153" s="598" t="s">
        <v>3309</v>
      </c>
      <c r="AF153" s="598" t="s">
        <v>321</v>
      </c>
      <c r="AG153" s="598" t="s">
        <v>321</v>
      </c>
      <c r="AH153" s="598" t="s">
        <v>3309</v>
      </c>
      <c r="AI153" s="598" t="s">
        <v>321</v>
      </c>
      <c r="AJ153" s="599">
        <v>21</v>
      </c>
      <c r="AK153" s="600">
        <v>21</v>
      </c>
      <c r="AL153" s="601">
        <v>0</v>
      </c>
      <c r="AM153" s="601">
        <v>0</v>
      </c>
      <c r="AN153" s="599">
        <v>21</v>
      </c>
    </row>
    <row r="154" spans="1:40" ht="16.5" customHeight="1">
      <c r="A154" s="598" t="s">
        <v>3307</v>
      </c>
      <c r="B154" s="598" t="s">
        <v>3323</v>
      </c>
      <c r="C154" s="598" t="s">
        <v>657</v>
      </c>
      <c r="D154" s="598" t="s">
        <v>658</v>
      </c>
      <c r="E154" s="598" t="s">
        <v>321</v>
      </c>
      <c r="F154" s="598" t="s">
        <v>3309</v>
      </c>
      <c r="G154" s="598" t="s">
        <v>3309</v>
      </c>
      <c r="H154" s="598" t="s">
        <v>3309</v>
      </c>
      <c r="I154" s="598" t="s">
        <v>3309</v>
      </c>
      <c r="J154" s="598" t="s">
        <v>3309</v>
      </c>
      <c r="K154" s="598" t="s">
        <v>321</v>
      </c>
      <c r="L154" s="598" t="s">
        <v>321</v>
      </c>
      <c r="M154" s="598" t="s">
        <v>3309</v>
      </c>
      <c r="N154" s="598" t="s">
        <v>3309</v>
      </c>
      <c r="O154" s="598" t="s">
        <v>3309</v>
      </c>
      <c r="P154" s="598" t="s">
        <v>3309</v>
      </c>
      <c r="Q154" s="598" t="s">
        <v>3309</v>
      </c>
      <c r="R154" s="598" t="s">
        <v>321</v>
      </c>
      <c r="S154" s="598" t="s">
        <v>321</v>
      </c>
      <c r="T154" s="598" t="s">
        <v>3309</v>
      </c>
      <c r="U154" s="598" t="s">
        <v>3309</v>
      </c>
      <c r="V154" s="598" t="s">
        <v>3309</v>
      </c>
      <c r="W154" s="598" t="s">
        <v>3309</v>
      </c>
      <c r="X154" s="598" t="s">
        <v>3309</v>
      </c>
      <c r="Y154" s="598" t="s">
        <v>321</v>
      </c>
      <c r="Z154" s="598" t="s">
        <v>321</v>
      </c>
      <c r="AA154" s="598" t="s">
        <v>3309</v>
      </c>
      <c r="AB154" s="598" t="s">
        <v>3309</v>
      </c>
      <c r="AC154" s="598" t="s">
        <v>3314</v>
      </c>
      <c r="AD154" s="598" t="s">
        <v>3309</v>
      </c>
      <c r="AE154" s="598" t="s">
        <v>3309</v>
      </c>
      <c r="AF154" s="598" t="s">
        <v>321</v>
      </c>
      <c r="AG154" s="598" t="s">
        <v>321</v>
      </c>
      <c r="AH154" s="598" t="s">
        <v>3309</v>
      </c>
      <c r="AI154" s="598" t="s">
        <v>321</v>
      </c>
      <c r="AJ154" s="599">
        <v>21</v>
      </c>
      <c r="AK154" s="603">
        <v>20.5</v>
      </c>
      <c r="AL154" s="604">
        <v>0.5</v>
      </c>
      <c r="AM154" s="601">
        <v>0</v>
      </c>
      <c r="AN154" s="599">
        <v>21</v>
      </c>
    </row>
    <row r="155" spans="1:40" ht="16.5" customHeight="1">
      <c r="A155" s="598" t="s">
        <v>3307</v>
      </c>
      <c r="B155" s="598" t="s">
        <v>3323</v>
      </c>
      <c r="C155" s="598" t="s">
        <v>898</v>
      </c>
      <c r="D155" s="598" t="s">
        <v>899</v>
      </c>
      <c r="E155" s="598" t="s">
        <v>321</v>
      </c>
      <c r="F155" s="598" t="s">
        <v>3309</v>
      </c>
      <c r="G155" s="598" t="s">
        <v>3309</v>
      </c>
      <c r="H155" s="598" t="s">
        <v>3309</v>
      </c>
      <c r="I155" s="598" t="s">
        <v>3309</v>
      </c>
      <c r="J155" s="598" t="s">
        <v>3309</v>
      </c>
      <c r="K155" s="598" t="s">
        <v>321</v>
      </c>
      <c r="L155" s="598" t="s">
        <v>321</v>
      </c>
      <c r="M155" s="598" t="s">
        <v>3309</v>
      </c>
      <c r="N155" s="598" t="s">
        <v>3309</v>
      </c>
      <c r="O155" s="598" t="s">
        <v>3309</v>
      </c>
      <c r="P155" s="598" t="s">
        <v>3309</v>
      </c>
      <c r="Q155" s="598" t="s">
        <v>3309</v>
      </c>
      <c r="R155" s="598" t="s">
        <v>321</v>
      </c>
      <c r="S155" s="598" t="s">
        <v>321</v>
      </c>
      <c r="T155" s="598" t="s">
        <v>3309</v>
      </c>
      <c r="U155" s="598" t="s">
        <v>3309</v>
      </c>
      <c r="V155" s="598" t="s">
        <v>3309</v>
      </c>
      <c r="W155" s="598" t="s">
        <v>3309</v>
      </c>
      <c r="X155" s="598" t="s">
        <v>3309</v>
      </c>
      <c r="Y155" s="598" t="s">
        <v>321</v>
      </c>
      <c r="Z155" s="598" t="s">
        <v>321</v>
      </c>
      <c r="AA155" s="598" t="s">
        <v>3309</v>
      </c>
      <c r="AB155" s="598" t="s">
        <v>3309</v>
      </c>
      <c r="AC155" s="598" t="s">
        <v>3309</v>
      </c>
      <c r="AD155" s="598" t="s">
        <v>3309</v>
      </c>
      <c r="AE155" s="598" t="s">
        <v>3309</v>
      </c>
      <c r="AF155" s="598" t="s">
        <v>321</v>
      </c>
      <c r="AG155" s="598" t="s">
        <v>321</v>
      </c>
      <c r="AH155" s="598" t="s">
        <v>3309</v>
      </c>
      <c r="AI155" s="598" t="s">
        <v>321</v>
      </c>
      <c r="AJ155" s="599">
        <v>21</v>
      </c>
      <c r="AK155" s="600">
        <v>21</v>
      </c>
      <c r="AL155" s="601">
        <v>0</v>
      </c>
      <c r="AM155" s="601">
        <v>0</v>
      </c>
      <c r="AN155" s="599">
        <v>21</v>
      </c>
    </row>
    <row r="156" spans="1:40" ht="16.5" customHeight="1">
      <c r="A156" s="598" t="s">
        <v>3307</v>
      </c>
      <c r="B156" s="598" t="s">
        <v>3323</v>
      </c>
      <c r="C156" s="598" t="s">
        <v>1458</v>
      </c>
      <c r="D156" s="598" t="s">
        <v>570</v>
      </c>
      <c r="E156" s="598" t="s">
        <v>321</v>
      </c>
      <c r="F156" s="598" t="s">
        <v>3309</v>
      </c>
      <c r="G156" s="598" t="s">
        <v>3309</v>
      </c>
      <c r="H156" s="598" t="s">
        <v>3309</v>
      </c>
      <c r="I156" s="598" t="s">
        <v>3309</v>
      </c>
      <c r="J156" s="598" t="s">
        <v>3309</v>
      </c>
      <c r="K156" s="598" t="s">
        <v>321</v>
      </c>
      <c r="L156" s="598" t="s">
        <v>321</v>
      </c>
      <c r="M156" s="598" t="s">
        <v>3309</v>
      </c>
      <c r="N156" s="598" t="s">
        <v>3309</v>
      </c>
      <c r="O156" s="598" t="s">
        <v>3309</v>
      </c>
      <c r="P156" s="598" t="s">
        <v>3309</v>
      </c>
      <c r="Q156" s="598" t="s">
        <v>3309</v>
      </c>
      <c r="R156" s="598" t="s">
        <v>321</v>
      </c>
      <c r="S156" s="598" t="s">
        <v>321</v>
      </c>
      <c r="T156" s="598" t="s">
        <v>3309</v>
      </c>
      <c r="U156" s="598" t="s">
        <v>3309</v>
      </c>
      <c r="V156" s="598" t="s">
        <v>3309</v>
      </c>
      <c r="W156" s="598" t="s">
        <v>3309</v>
      </c>
      <c r="X156" s="598" t="s">
        <v>3309</v>
      </c>
      <c r="Y156" s="598" t="s">
        <v>321</v>
      </c>
      <c r="Z156" s="598" t="s">
        <v>321</v>
      </c>
      <c r="AA156" s="598" t="s">
        <v>3309</v>
      </c>
      <c r="AB156" s="598" t="s">
        <v>3309</v>
      </c>
      <c r="AC156" s="598" t="s">
        <v>3309</v>
      </c>
      <c r="AD156" s="598" t="s">
        <v>3309</v>
      </c>
      <c r="AE156" s="598" t="s">
        <v>3309</v>
      </c>
      <c r="AF156" s="598" t="s">
        <v>321</v>
      </c>
      <c r="AG156" s="598" t="s">
        <v>321</v>
      </c>
      <c r="AH156" s="598" t="s">
        <v>3309</v>
      </c>
      <c r="AI156" s="598" t="s">
        <v>321</v>
      </c>
      <c r="AJ156" s="599">
        <v>21</v>
      </c>
      <c r="AK156" s="600">
        <v>21</v>
      </c>
      <c r="AL156" s="601">
        <v>0</v>
      </c>
      <c r="AM156" s="601">
        <v>0</v>
      </c>
      <c r="AN156" s="599">
        <v>21</v>
      </c>
    </row>
    <row r="157" spans="1:40" ht="16.5" customHeight="1">
      <c r="A157" s="598" t="s">
        <v>3307</v>
      </c>
      <c r="B157" s="598" t="s">
        <v>3323</v>
      </c>
      <c r="C157" s="598" t="s">
        <v>2256</v>
      </c>
      <c r="D157" s="598" t="s">
        <v>2257</v>
      </c>
      <c r="E157" s="598" t="s">
        <v>321</v>
      </c>
      <c r="F157" s="598" t="s">
        <v>3312</v>
      </c>
      <c r="G157" s="598" t="s">
        <v>3309</v>
      </c>
      <c r="H157" s="598" t="s">
        <v>3309</v>
      </c>
      <c r="I157" s="598" t="s">
        <v>3309</v>
      </c>
      <c r="J157" s="598" t="s">
        <v>3309</v>
      </c>
      <c r="K157" s="598" t="s">
        <v>321</v>
      </c>
      <c r="L157" s="598" t="s">
        <v>321</v>
      </c>
      <c r="M157" s="598" t="s">
        <v>3309</v>
      </c>
      <c r="N157" s="598" t="s">
        <v>3309</v>
      </c>
      <c r="O157" s="598" t="s">
        <v>3309</v>
      </c>
      <c r="P157" s="598" t="s">
        <v>3309</v>
      </c>
      <c r="Q157" s="598" t="s">
        <v>3309</v>
      </c>
      <c r="R157" s="598" t="s">
        <v>321</v>
      </c>
      <c r="S157" s="598" t="s">
        <v>321</v>
      </c>
      <c r="T157" s="598" t="s">
        <v>3309</v>
      </c>
      <c r="U157" s="598" t="s">
        <v>3309</v>
      </c>
      <c r="V157" s="598" t="s">
        <v>3309</v>
      </c>
      <c r="W157" s="598" t="s">
        <v>3309</v>
      </c>
      <c r="X157" s="598" t="s">
        <v>3309</v>
      </c>
      <c r="Y157" s="598" t="s">
        <v>321</v>
      </c>
      <c r="Z157" s="598" t="s">
        <v>321</v>
      </c>
      <c r="AA157" s="598" t="s">
        <v>3309</v>
      </c>
      <c r="AB157" s="598" t="s">
        <v>3309</v>
      </c>
      <c r="AC157" s="598" t="s">
        <v>3309</v>
      </c>
      <c r="AD157" s="598" t="s">
        <v>3309</v>
      </c>
      <c r="AE157" s="598" t="s">
        <v>3309</v>
      </c>
      <c r="AF157" s="598" t="s">
        <v>321</v>
      </c>
      <c r="AG157" s="598" t="s">
        <v>321</v>
      </c>
      <c r="AH157" s="598" t="s">
        <v>3309</v>
      </c>
      <c r="AI157" s="598" t="s">
        <v>321</v>
      </c>
      <c r="AJ157" s="599">
        <v>21</v>
      </c>
      <c r="AK157" s="600">
        <v>20</v>
      </c>
      <c r="AL157" s="602">
        <v>1</v>
      </c>
      <c r="AM157" s="601">
        <v>0</v>
      </c>
      <c r="AN157" s="599">
        <v>21</v>
      </c>
    </row>
    <row r="158" spans="1:40" ht="16.5" customHeight="1">
      <c r="A158" s="598" t="s">
        <v>3307</v>
      </c>
      <c r="B158" s="598" t="s">
        <v>3323</v>
      </c>
      <c r="C158" s="598" t="s">
        <v>2102</v>
      </c>
      <c r="D158" s="598" t="s">
        <v>2103</v>
      </c>
      <c r="E158" s="598" t="s">
        <v>321</v>
      </c>
      <c r="F158" s="598" t="s">
        <v>3309</v>
      </c>
      <c r="G158" s="598" t="s">
        <v>3309</v>
      </c>
      <c r="H158" s="598" t="s">
        <v>3309</v>
      </c>
      <c r="I158" s="598" t="s">
        <v>3312</v>
      </c>
      <c r="J158" s="598" t="s">
        <v>3309</v>
      </c>
      <c r="K158" s="598" t="s">
        <v>321</v>
      </c>
      <c r="L158" s="598" t="s">
        <v>321</v>
      </c>
      <c r="M158" s="598" t="s">
        <v>3309</v>
      </c>
      <c r="N158" s="598" t="s">
        <v>3309</v>
      </c>
      <c r="O158" s="598" t="s">
        <v>3309</v>
      </c>
      <c r="P158" s="598" t="s">
        <v>3309</v>
      </c>
      <c r="Q158" s="598" t="s">
        <v>3309</v>
      </c>
      <c r="R158" s="598" t="s">
        <v>321</v>
      </c>
      <c r="S158" s="598" t="s">
        <v>321</v>
      </c>
      <c r="T158" s="598" t="s">
        <v>3309</v>
      </c>
      <c r="U158" s="598" t="s">
        <v>3309</v>
      </c>
      <c r="V158" s="598" t="s">
        <v>3309</v>
      </c>
      <c r="W158" s="598" t="s">
        <v>3309</v>
      </c>
      <c r="X158" s="598" t="s">
        <v>3309</v>
      </c>
      <c r="Y158" s="598" t="s">
        <v>321</v>
      </c>
      <c r="Z158" s="598" t="s">
        <v>321</v>
      </c>
      <c r="AA158" s="598" t="s">
        <v>3309</v>
      </c>
      <c r="AB158" s="598" t="s">
        <v>3309</v>
      </c>
      <c r="AC158" s="598" t="s">
        <v>3309</v>
      </c>
      <c r="AD158" s="598" t="s">
        <v>3309</v>
      </c>
      <c r="AE158" s="598" t="s">
        <v>3309</v>
      </c>
      <c r="AF158" s="598" t="s">
        <v>321</v>
      </c>
      <c r="AG158" s="598" t="s">
        <v>321</v>
      </c>
      <c r="AH158" s="598" t="s">
        <v>3309</v>
      </c>
      <c r="AI158" s="598" t="s">
        <v>321</v>
      </c>
      <c r="AJ158" s="599">
        <v>21</v>
      </c>
      <c r="AK158" s="600">
        <v>20</v>
      </c>
      <c r="AL158" s="602">
        <v>1</v>
      </c>
      <c r="AM158" s="601">
        <v>0</v>
      </c>
      <c r="AN158" s="599">
        <v>21</v>
      </c>
    </row>
    <row r="159" spans="1:40" ht="16.5" customHeight="1">
      <c r="A159" s="598" t="s">
        <v>3307</v>
      </c>
      <c r="B159" s="598" t="s">
        <v>3323</v>
      </c>
      <c r="C159" s="598" t="s">
        <v>2582</v>
      </c>
      <c r="D159" s="598" t="s">
        <v>2583</v>
      </c>
      <c r="E159" s="598" t="s">
        <v>321</v>
      </c>
      <c r="F159" s="598" t="s">
        <v>3309</v>
      </c>
      <c r="G159" s="598" t="s">
        <v>3309</v>
      </c>
      <c r="H159" s="598" t="s">
        <v>3309</v>
      </c>
      <c r="I159" s="598" t="s">
        <v>3309</v>
      </c>
      <c r="J159" s="598" t="s">
        <v>3309</v>
      </c>
      <c r="K159" s="598" t="s">
        <v>321</v>
      </c>
      <c r="L159" s="598" t="s">
        <v>321</v>
      </c>
      <c r="M159" s="598" t="s">
        <v>3309</v>
      </c>
      <c r="N159" s="598" t="s">
        <v>3309</v>
      </c>
      <c r="O159" s="598" t="s">
        <v>3309</v>
      </c>
      <c r="P159" s="598" t="s">
        <v>3309</v>
      </c>
      <c r="Q159" s="598" t="s">
        <v>3309</v>
      </c>
      <c r="R159" s="598" t="s">
        <v>321</v>
      </c>
      <c r="S159" s="598" t="s">
        <v>321</v>
      </c>
      <c r="T159" s="598" t="s">
        <v>3309</v>
      </c>
      <c r="U159" s="598" t="s">
        <v>3309</v>
      </c>
      <c r="V159" s="598" t="s">
        <v>3309</v>
      </c>
      <c r="W159" s="598" t="s">
        <v>3309</v>
      </c>
      <c r="X159" s="598" t="s">
        <v>3309</v>
      </c>
      <c r="Y159" s="598" t="s">
        <v>321</v>
      </c>
      <c r="Z159" s="598" t="s">
        <v>321</v>
      </c>
      <c r="AA159" s="598" t="s">
        <v>3309</v>
      </c>
      <c r="AB159" s="598" t="s">
        <v>3309</v>
      </c>
      <c r="AC159" s="598" t="s">
        <v>3309</v>
      </c>
      <c r="AD159" s="598" t="s">
        <v>3309</v>
      </c>
      <c r="AE159" s="598" t="s">
        <v>3309</v>
      </c>
      <c r="AF159" s="598" t="s">
        <v>321</v>
      </c>
      <c r="AG159" s="598" t="s">
        <v>321</v>
      </c>
      <c r="AH159" s="598" t="s">
        <v>3309</v>
      </c>
      <c r="AI159" s="598" t="s">
        <v>321</v>
      </c>
      <c r="AJ159" s="599">
        <v>21</v>
      </c>
      <c r="AK159" s="600">
        <v>21</v>
      </c>
      <c r="AL159" s="601">
        <v>0</v>
      </c>
      <c r="AM159" s="601">
        <v>0</v>
      </c>
      <c r="AN159" s="599">
        <v>21</v>
      </c>
    </row>
    <row r="160" spans="1:40" ht="16.5" customHeight="1">
      <c r="A160" s="598" t="s">
        <v>3307</v>
      </c>
      <c r="B160" s="598" t="s">
        <v>3323</v>
      </c>
      <c r="C160" s="598" t="s">
        <v>1504</v>
      </c>
      <c r="D160" s="598" t="s">
        <v>1505</v>
      </c>
      <c r="E160" s="598" t="s">
        <v>321</v>
      </c>
      <c r="F160" s="598" t="s">
        <v>3309</v>
      </c>
      <c r="G160" s="598" t="s">
        <v>3309</v>
      </c>
      <c r="H160" s="598" t="s">
        <v>3309</v>
      </c>
      <c r="I160" s="598" t="s">
        <v>3309</v>
      </c>
      <c r="J160" s="598" t="s">
        <v>3309</v>
      </c>
      <c r="K160" s="598" t="s">
        <v>321</v>
      </c>
      <c r="L160" s="598" t="s">
        <v>321</v>
      </c>
      <c r="M160" s="598" t="s">
        <v>3309</v>
      </c>
      <c r="N160" s="598" t="s">
        <v>3309</v>
      </c>
      <c r="O160" s="598" t="s">
        <v>3309</v>
      </c>
      <c r="P160" s="598" t="s">
        <v>3309</v>
      </c>
      <c r="Q160" s="598" t="s">
        <v>3309</v>
      </c>
      <c r="R160" s="598" t="s">
        <v>321</v>
      </c>
      <c r="S160" s="598" t="s">
        <v>321</v>
      </c>
      <c r="T160" s="598" t="s">
        <v>3309</v>
      </c>
      <c r="U160" s="598" t="s">
        <v>3309</v>
      </c>
      <c r="V160" s="598" t="s">
        <v>3309</v>
      </c>
      <c r="W160" s="598" t="s">
        <v>3309</v>
      </c>
      <c r="X160" s="598" t="s">
        <v>3309</v>
      </c>
      <c r="Y160" s="598" t="s">
        <v>321</v>
      </c>
      <c r="Z160" s="598" t="s">
        <v>321</v>
      </c>
      <c r="AA160" s="598" t="s">
        <v>3309</v>
      </c>
      <c r="AB160" s="598" t="s">
        <v>3309</v>
      </c>
      <c r="AC160" s="598" t="s">
        <v>3309</v>
      </c>
      <c r="AD160" s="598" t="s">
        <v>3309</v>
      </c>
      <c r="AE160" s="598" t="s">
        <v>3309</v>
      </c>
      <c r="AF160" s="598" t="s">
        <v>321</v>
      </c>
      <c r="AG160" s="598" t="s">
        <v>321</v>
      </c>
      <c r="AH160" s="598" t="s">
        <v>3309</v>
      </c>
      <c r="AI160" s="598" t="s">
        <v>321</v>
      </c>
      <c r="AJ160" s="599">
        <v>21</v>
      </c>
      <c r="AK160" s="600">
        <v>21</v>
      </c>
      <c r="AL160" s="601">
        <v>0</v>
      </c>
      <c r="AM160" s="601">
        <v>0</v>
      </c>
      <c r="AN160" s="599">
        <v>21</v>
      </c>
    </row>
    <row r="161" spans="1:40" ht="16.5" customHeight="1">
      <c r="A161" s="598" t="s">
        <v>3307</v>
      </c>
      <c r="B161" s="598" t="s">
        <v>3323</v>
      </c>
      <c r="C161" s="598" t="s">
        <v>1052</v>
      </c>
      <c r="D161" s="598" t="s">
        <v>1053</v>
      </c>
      <c r="E161" s="598" t="s">
        <v>321</v>
      </c>
      <c r="F161" s="598" t="s">
        <v>3309</v>
      </c>
      <c r="G161" s="598" t="s">
        <v>3309</v>
      </c>
      <c r="H161" s="598" t="s">
        <v>3309</v>
      </c>
      <c r="I161" s="598" t="s">
        <v>3309</v>
      </c>
      <c r="J161" s="598" t="s">
        <v>3309</v>
      </c>
      <c r="K161" s="598" t="s">
        <v>321</v>
      </c>
      <c r="L161" s="598" t="s">
        <v>321</v>
      </c>
      <c r="M161" s="598" t="s">
        <v>3309</v>
      </c>
      <c r="N161" s="598" t="s">
        <v>3309</v>
      </c>
      <c r="O161" s="598" t="s">
        <v>3309</v>
      </c>
      <c r="P161" s="598" t="s">
        <v>3309</v>
      </c>
      <c r="Q161" s="598" t="s">
        <v>3309</v>
      </c>
      <c r="R161" s="598" t="s">
        <v>321</v>
      </c>
      <c r="S161" s="598" t="s">
        <v>321</v>
      </c>
      <c r="T161" s="598" t="s">
        <v>3312</v>
      </c>
      <c r="U161" s="598" t="s">
        <v>3309</v>
      </c>
      <c r="V161" s="598" t="s">
        <v>3309</v>
      </c>
      <c r="W161" s="598" t="s">
        <v>3309</v>
      </c>
      <c r="X161" s="598" t="s">
        <v>3309</v>
      </c>
      <c r="Y161" s="598" t="s">
        <v>321</v>
      </c>
      <c r="Z161" s="598" t="s">
        <v>321</v>
      </c>
      <c r="AA161" s="598" t="s">
        <v>3309</v>
      </c>
      <c r="AB161" s="598" t="s">
        <v>3309</v>
      </c>
      <c r="AC161" s="598" t="s">
        <v>3309</v>
      </c>
      <c r="AD161" s="598" t="s">
        <v>3309</v>
      </c>
      <c r="AE161" s="598" t="s">
        <v>3309</v>
      </c>
      <c r="AF161" s="598" t="s">
        <v>321</v>
      </c>
      <c r="AG161" s="598" t="s">
        <v>321</v>
      </c>
      <c r="AH161" s="598" t="s">
        <v>3309</v>
      </c>
      <c r="AI161" s="598" t="s">
        <v>321</v>
      </c>
      <c r="AJ161" s="599">
        <v>21</v>
      </c>
      <c r="AK161" s="600">
        <v>20</v>
      </c>
      <c r="AL161" s="602">
        <v>1</v>
      </c>
      <c r="AM161" s="601">
        <v>0</v>
      </c>
      <c r="AN161" s="599">
        <v>21</v>
      </c>
    </row>
    <row r="162" spans="1:40" ht="16.5" customHeight="1">
      <c r="A162" s="598" t="s">
        <v>3307</v>
      </c>
      <c r="B162" s="598" t="s">
        <v>3323</v>
      </c>
      <c r="C162" s="598" t="s">
        <v>965</v>
      </c>
      <c r="D162" s="598" t="s">
        <v>966</v>
      </c>
      <c r="E162" s="598" t="s">
        <v>321</v>
      </c>
      <c r="F162" s="598" t="s">
        <v>3309</v>
      </c>
      <c r="G162" s="598" t="s">
        <v>3309</v>
      </c>
      <c r="H162" s="598" t="s">
        <v>3309</v>
      </c>
      <c r="I162" s="598" t="s">
        <v>3309</v>
      </c>
      <c r="J162" s="598" t="s">
        <v>3309</v>
      </c>
      <c r="K162" s="598" t="s">
        <v>321</v>
      </c>
      <c r="L162" s="598" t="s">
        <v>321</v>
      </c>
      <c r="M162" s="598" t="s">
        <v>3309</v>
      </c>
      <c r="N162" s="598" t="s">
        <v>3309</v>
      </c>
      <c r="O162" s="598" t="s">
        <v>3309</v>
      </c>
      <c r="P162" s="598" t="s">
        <v>3309</v>
      </c>
      <c r="Q162" s="598" t="s">
        <v>3309</v>
      </c>
      <c r="R162" s="598" t="s">
        <v>321</v>
      </c>
      <c r="S162" s="598" t="s">
        <v>321</v>
      </c>
      <c r="T162" s="598" t="s">
        <v>3309</v>
      </c>
      <c r="U162" s="598" t="s">
        <v>3309</v>
      </c>
      <c r="V162" s="598" t="s">
        <v>3309</v>
      </c>
      <c r="W162" s="598" t="s">
        <v>3309</v>
      </c>
      <c r="X162" s="598" t="s">
        <v>3309</v>
      </c>
      <c r="Y162" s="598" t="s">
        <v>321</v>
      </c>
      <c r="Z162" s="598" t="s">
        <v>321</v>
      </c>
      <c r="AA162" s="598" t="s">
        <v>3309</v>
      </c>
      <c r="AB162" s="598" t="s">
        <v>3309</v>
      </c>
      <c r="AC162" s="598" t="s">
        <v>3309</v>
      </c>
      <c r="AD162" s="598" t="s">
        <v>3309</v>
      </c>
      <c r="AE162" s="598" t="s">
        <v>3309</v>
      </c>
      <c r="AF162" s="598" t="s">
        <v>321</v>
      </c>
      <c r="AG162" s="598" t="s">
        <v>321</v>
      </c>
      <c r="AH162" s="598" t="s">
        <v>3309</v>
      </c>
      <c r="AI162" s="598" t="s">
        <v>321</v>
      </c>
      <c r="AJ162" s="599">
        <v>21</v>
      </c>
      <c r="AK162" s="600">
        <v>21</v>
      </c>
      <c r="AL162" s="601">
        <v>0</v>
      </c>
      <c r="AM162" s="601">
        <v>0</v>
      </c>
      <c r="AN162" s="599">
        <v>21</v>
      </c>
    </row>
    <row r="163" spans="1:40" ht="16.5" customHeight="1">
      <c r="A163" s="598" t="s">
        <v>3307</v>
      </c>
      <c r="B163" s="598" t="s">
        <v>3323</v>
      </c>
      <c r="C163" s="598" t="s">
        <v>2744</v>
      </c>
      <c r="D163" s="598" t="s">
        <v>2745</v>
      </c>
      <c r="E163" s="598" t="s">
        <v>321</v>
      </c>
      <c r="F163" s="598" t="s">
        <v>3309</v>
      </c>
      <c r="G163" s="598" t="s">
        <v>3309</v>
      </c>
      <c r="H163" s="598" t="s">
        <v>3309</v>
      </c>
      <c r="I163" s="598" t="s">
        <v>3309</v>
      </c>
      <c r="J163" s="598" t="s">
        <v>3309</v>
      </c>
      <c r="K163" s="598" t="s">
        <v>321</v>
      </c>
      <c r="L163" s="598" t="s">
        <v>321</v>
      </c>
      <c r="M163" s="598" t="s">
        <v>3309</v>
      </c>
      <c r="N163" s="598" t="s">
        <v>3309</v>
      </c>
      <c r="O163" s="598" t="s">
        <v>3309</v>
      </c>
      <c r="P163" s="598" t="s">
        <v>3309</v>
      </c>
      <c r="Q163" s="598" t="s">
        <v>3309</v>
      </c>
      <c r="R163" s="598" t="s">
        <v>321</v>
      </c>
      <c r="S163" s="598" t="s">
        <v>321</v>
      </c>
      <c r="T163" s="598" t="s">
        <v>3309</v>
      </c>
      <c r="U163" s="598" t="s">
        <v>3309</v>
      </c>
      <c r="V163" s="598" t="s">
        <v>3309</v>
      </c>
      <c r="W163" s="598" t="s">
        <v>3309</v>
      </c>
      <c r="X163" s="598" t="s">
        <v>3309</v>
      </c>
      <c r="Y163" s="598" t="s">
        <v>321</v>
      </c>
      <c r="Z163" s="598" t="s">
        <v>321</v>
      </c>
      <c r="AA163" s="598" t="s">
        <v>3309</v>
      </c>
      <c r="AB163" s="598" t="s">
        <v>3309</v>
      </c>
      <c r="AC163" s="598" t="s">
        <v>3309</v>
      </c>
      <c r="AD163" s="598" t="s">
        <v>3309</v>
      </c>
      <c r="AE163" s="598" t="s">
        <v>3309</v>
      </c>
      <c r="AF163" s="598" t="s">
        <v>321</v>
      </c>
      <c r="AG163" s="598" t="s">
        <v>321</v>
      </c>
      <c r="AH163" s="598" t="s">
        <v>3309</v>
      </c>
      <c r="AI163" s="598" t="s">
        <v>321</v>
      </c>
      <c r="AJ163" s="599">
        <v>21</v>
      </c>
      <c r="AK163" s="600">
        <v>21</v>
      </c>
      <c r="AL163" s="601">
        <v>0</v>
      </c>
      <c r="AM163" s="601">
        <v>0</v>
      </c>
      <c r="AN163" s="599">
        <v>21</v>
      </c>
    </row>
    <row r="164" spans="1:40" ht="16.5" customHeight="1">
      <c r="A164" s="598" t="s">
        <v>3307</v>
      </c>
      <c r="B164" s="598" t="s">
        <v>3323</v>
      </c>
      <c r="C164" s="598" t="s">
        <v>2621</v>
      </c>
      <c r="D164" s="598" t="s">
        <v>2622</v>
      </c>
      <c r="E164" s="598" t="s">
        <v>321</v>
      </c>
      <c r="F164" s="598" t="s">
        <v>3309</v>
      </c>
      <c r="G164" s="598" t="s">
        <v>3309</v>
      </c>
      <c r="H164" s="598" t="s">
        <v>3309</v>
      </c>
      <c r="I164" s="598" t="s">
        <v>3309</v>
      </c>
      <c r="J164" s="598" t="s">
        <v>3309</v>
      </c>
      <c r="K164" s="598" t="s">
        <v>321</v>
      </c>
      <c r="L164" s="598" t="s">
        <v>321</v>
      </c>
      <c r="M164" s="598" t="s">
        <v>3309</v>
      </c>
      <c r="N164" s="598" t="s">
        <v>3309</v>
      </c>
      <c r="O164" s="598" t="s">
        <v>3309</v>
      </c>
      <c r="P164" s="598" t="s">
        <v>3309</v>
      </c>
      <c r="Q164" s="598" t="s">
        <v>3309</v>
      </c>
      <c r="R164" s="598" t="s">
        <v>321</v>
      </c>
      <c r="S164" s="598" t="s">
        <v>321</v>
      </c>
      <c r="T164" s="598" t="s">
        <v>3309</v>
      </c>
      <c r="U164" s="598" t="s">
        <v>3309</v>
      </c>
      <c r="V164" s="598" t="s">
        <v>3309</v>
      </c>
      <c r="W164" s="598" t="s">
        <v>3309</v>
      </c>
      <c r="X164" s="598" t="s">
        <v>3309</v>
      </c>
      <c r="Y164" s="598" t="s">
        <v>321</v>
      </c>
      <c r="Z164" s="598" t="s">
        <v>321</v>
      </c>
      <c r="AA164" s="598" t="s">
        <v>3309</v>
      </c>
      <c r="AB164" s="598" t="s">
        <v>3309</v>
      </c>
      <c r="AC164" s="598" t="s">
        <v>3309</v>
      </c>
      <c r="AD164" s="598" t="s">
        <v>3309</v>
      </c>
      <c r="AE164" s="598" t="s">
        <v>3309</v>
      </c>
      <c r="AF164" s="598" t="s">
        <v>321</v>
      </c>
      <c r="AG164" s="598" t="s">
        <v>321</v>
      </c>
      <c r="AH164" s="598" t="s">
        <v>3309</v>
      </c>
      <c r="AI164" s="598" t="s">
        <v>321</v>
      </c>
      <c r="AJ164" s="599">
        <v>21</v>
      </c>
      <c r="AK164" s="600">
        <v>21</v>
      </c>
      <c r="AL164" s="601">
        <v>0</v>
      </c>
      <c r="AM164" s="601">
        <v>0</v>
      </c>
      <c r="AN164" s="599">
        <v>21</v>
      </c>
    </row>
    <row r="165" spans="1:40" ht="16.5" customHeight="1">
      <c r="A165" s="598" t="s">
        <v>3307</v>
      </c>
      <c r="B165" s="598" t="s">
        <v>3323</v>
      </c>
      <c r="C165" s="598" t="s">
        <v>884</v>
      </c>
      <c r="D165" s="598" t="s">
        <v>885</v>
      </c>
      <c r="E165" s="598" t="s">
        <v>321</v>
      </c>
      <c r="F165" s="598" t="s">
        <v>3309</v>
      </c>
      <c r="G165" s="598" t="s">
        <v>3309</v>
      </c>
      <c r="H165" s="598" t="s">
        <v>3309</v>
      </c>
      <c r="I165" s="598" t="s">
        <v>3309</v>
      </c>
      <c r="J165" s="598" t="s">
        <v>3309</v>
      </c>
      <c r="K165" s="598" t="s">
        <v>321</v>
      </c>
      <c r="L165" s="598" t="s">
        <v>321</v>
      </c>
      <c r="M165" s="598" t="s">
        <v>3309</v>
      </c>
      <c r="N165" s="598" t="s">
        <v>3309</v>
      </c>
      <c r="O165" s="598" t="s">
        <v>3309</v>
      </c>
      <c r="P165" s="598" t="s">
        <v>3309</v>
      </c>
      <c r="Q165" s="598" t="s">
        <v>3309</v>
      </c>
      <c r="R165" s="598" t="s">
        <v>321</v>
      </c>
      <c r="S165" s="598" t="s">
        <v>321</v>
      </c>
      <c r="T165" s="598" t="s">
        <v>3309</v>
      </c>
      <c r="U165" s="598" t="s">
        <v>3309</v>
      </c>
      <c r="V165" s="598" t="s">
        <v>3309</v>
      </c>
      <c r="W165" s="598" t="s">
        <v>3309</v>
      </c>
      <c r="X165" s="598" t="s">
        <v>3309</v>
      </c>
      <c r="Y165" s="598" t="s">
        <v>321</v>
      </c>
      <c r="Z165" s="598" t="s">
        <v>321</v>
      </c>
      <c r="AA165" s="598" t="s">
        <v>3309</v>
      </c>
      <c r="AB165" s="598" t="s">
        <v>3309</v>
      </c>
      <c r="AC165" s="598" t="s">
        <v>3309</v>
      </c>
      <c r="AD165" s="598" t="s">
        <v>3309</v>
      </c>
      <c r="AE165" s="598" t="s">
        <v>3309</v>
      </c>
      <c r="AF165" s="598" t="s">
        <v>321</v>
      </c>
      <c r="AG165" s="598" t="s">
        <v>321</v>
      </c>
      <c r="AH165" s="598" t="s">
        <v>3309</v>
      </c>
      <c r="AI165" s="598" t="s">
        <v>321</v>
      </c>
      <c r="AJ165" s="599">
        <v>21</v>
      </c>
      <c r="AK165" s="600">
        <v>21</v>
      </c>
      <c r="AL165" s="601">
        <v>0</v>
      </c>
      <c r="AM165" s="601">
        <v>0</v>
      </c>
      <c r="AN165" s="599">
        <v>21</v>
      </c>
    </row>
    <row r="166" spans="1:40" ht="16.5" customHeight="1">
      <c r="A166" s="598" t="s">
        <v>3307</v>
      </c>
      <c r="B166" s="598" t="s">
        <v>3323</v>
      </c>
      <c r="C166" s="598" t="s">
        <v>2544</v>
      </c>
      <c r="D166" s="598" t="s">
        <v>2545</v>
      </c>
      <c r="E166" s="598" t="s">
        <v>321</v>
      </c>
      <c r="F166" s="598" t="s">
        <v>3309</v>
      </c>
      <c r="G166" s="598" t="s">
        <v>3309</v>
      </c>
      <c r="H166" s="598" t="s">
        <v>3309</v>
      </c>
      <c r="I166" s="598" t="s">
        <v>3309</v>
      </c>
      <c r="J166" s="598" t="s">
        <v>3309</v>
      </c>
      <c r="K166" s="598" t="s">
        <v>321</v>
      </c>
      <c r="L166" s="598" t="s">
        <v>321</v>
      </c>
      <c r="M166" s="598" t="s">
        <v>3309</v>
      </c>
      <c r="N166" s="598" t="s">
        <v>3309</v>
      </c>
      <c r="O166" s="598" t="s">
        <v>3309</v>
      </c>
      <c r="P166" s="598" t="s">
        <v>3309</v>
      </c>
      <c r="Q166" s="598" t="s">
        <v>3309</v>
      </c>
      <c r="R166" s="598" t="s">
        <v>321</v>
      </c>
      <c r="S166" s="598" t="s">
        <v>321</v>
      </c>
      <c r="T166" s="598" t="s">
        <v>3309</v>
      </c>
      <c r="U166" s="598" t="s">
        <v>3309</v>
      </c>
      <c r="V166" s="598" t="s">
        <v>3309</v>
      </c>
      <c r="W166" s="598" t="s">
        <v>3309</v>
      </c>
      <c r="X166" s="598" t="s">
        <v>3309</v>
      </c>
      <c r="Y166" s="598" t="s">
        <v>321</v>
      </c>
      <c r="Z166" s="598" t="s">
        <v>321</v>
      </c>
      <c r="AA166" s="598" t="s">
        <v>3309</v>
      </c>
      <c r="AB166" s="598" t="s">
        <v>3309</v>
      </c>
      <c r="AC166" s="598" t="s">
        <v>3309</v>
      </c>
      <c r="AD166" s="598" t="s">
        <v>3309</v>
      </c>
      <c r="AE166" s="598" t="s">
        <v>3309</v>
      </c>
      <c r="AF166" s="598" t="s">
        <v>321</v>
      </c>
      <c r="AG166" s="598" t="s">
        <v>321</v>
      </c>
      <c r="AH166" s="598" t="s">
        <v>3309</v>
      </c>
      <c r="AI166" s="598" t="s">
        <v>321</v>
      </c>
      <c r="AJ166" s="599">
        <v>21</v>
      </c>
      <c r="AK166" s="600">
        <v>21</v>
      </c>
      <c r="AL166" s="601">
        <v>0</v>
      </c>
      <c r="AM166" s="601">
        <v>0</v>
      </c>
      <c r="AN166" s="599">
        <v>21</v>
      </c>
    </row>
    <row r="167" spans="1:40" ht="16.5" customHeight="1">
      <c r="A167" s="598" t="s">
        <v>3307</v>
      </c>
      <c r="B167" s="598" t="s">
        <v>3323</v>
      </c>
      <c r="C167" s="598" t="s">
        <v>2787</v>
      </c>
      <c r="D167" s="598" t="s">
        <v>2788</v>
      </c>
      <c r="E167" s="598" t="s">
        <v>321</v>
      </c>
      <c r="F167" s="598" t="s">
        <v>3309</v>
      </c>
      <c r="G167" s="598" t="s">
        <v>3309</v>
      </c>
      <c r="H167" s="598" t="s">
        <v>3309</v>
      </c>
      <c r="I167" s="598" t="s">
        <v>3309</v>
      </c>
      <c r="J167" s="598" t="s">
        <v>3309</v>
      </c>
      <c r="K167" s="598" t="s">
        <v>321</v>
      </c>
      <c r="L167" s="598" t="s">
        <v>321</v>
      </c>
      <c r="M167" s="598" t="s">
        <v>3309</v>
      </c>
      <c r="N167" s="598" t="s">
        <v>3309</v>
      </c>
      <c r="O167" s="598" t="s">
        <v>3309</v>
      </c>
      <c r="P167" s="598" t="s">
        <v>3309</v>
      </c>
      <c r="Q167" s="598" t="s">
        <v>3309</v>
      </c>
      <c r="R167" s="598" t="s">
        <v>321</v>
      </c>
      <c r="S167" s="598" t="s">
        <v>321</v>
      </c>
      <c r="T167" s="598" t="s">
        <v>3309</v>
      </c>
      <c r="U167" s="598" t="s">
        <v>3309</v>
      </c>
      <c r="V167" s="598" t="s">
        <v>3309</v>
      </c>
      <c r="W167" s="598" t="s">
        <v>3309</v>
      </c>
      <c r="X167" s="598" t="s">
        <v>3309</v>
      </c>
      <c r="Y167" s="598" t="s">
        <v>321</v>
      </c>
      <c r="Z167" s="598" t="s">
        <v>321</v>
      </c>
      <c r="AA167" s="598" t="s">
        <v>3309</v>
      </c>
      <c r="AB167" s="598" t="s">
        <v>3309</v>
      </c>
      <c r="AC167" s="598" t="s">
        <v>3309</v>
      </c>
      <c r="AD167" s="598" t="s">
        <v>3309</v>
      </c>
      <c r="AE167" s="598" t="s">
        <v>3309</v>
      </c>
      <c r="AF167" s="598" t="s">
        <v>321</v>
      </c>
      <c r="AG167" s="598" t="s">
        <v>321</v>
      </c>
      <c r="AH167" s="598" t="s">
        <v>3309</v>
      </c>
      <c r="AI167" s="598" t="s">
        <v>321</v>
      </c>
      <c r="AJ167" s="599">
        <v>21</v>
      </c>
      <c r="AK167" s="600">
        <v>21</v>
      </c>
      <c r="AL167" s="601">
        <v>0</v>
      </c>
      <c r="AM167" s="601">
        <v>0</v>
      </c>
      <c r="AN167" s="599">
        <v>21</v>
      </c>
    </row>
    <row r="168" spans="1:40" ht="16.5" customHeight="1">
      <c r="A168" s="598" t="s">
        <v>3307</v>
      </c>
      <c r="B168" s="598" t="s">
        <v>3323</v>
      </c>
      <c r="C168" s="598" t="s">
        <v>868</v>
      </c>
      <c r="D168" s="598" t="s">
        <v>869</v>
      </c>
      <c r="E168" s="598" t="s">
        <v>321</v>
      </c>
      <c r="F168" s="598" t="s">
        <v>3309</v>
      </c>
      <c r="G168" s="598" t="s">
        <v>3309</v>
      </c>
      <c r="H168" s="598" t="s">
        <v>3309</v>
      </c>
      <c r="I168" s="598" t="s">
        <v>3309</v>
      </c>
      <c r="J168" s="598" t="s">
        <v>3309</v>
      </c>
      <c r="K168" s="598" t="s">
        <v>321</v>
      </c>
      <c r="L168" s="598" t="s">
        <v>321</v>
      </c>
      <c r="M168" s="598" t="s">
        <v>3309</v>
      </c>
      <c r="N168" s="598" t="s">
        <v>3309</v>
      </c>
      <c r="O168" s="598" t="s">
        <v>3309</v>
      </c>
      <c r="P168" s="598" t="s">
        <v>3309</v>
      </c>
      <c r="Q168" s="598" t="s">
        <v>3309</v>
      </c>
      <c r="R168" s="598" t="s">
        <v>321</v>
      </c>
      <c r="S168" s="598" t="s">
        <v>321</v>
      </c>
      <c r="T168" s="598" t="s">
        <v>3309</v>
      </c>
      <c r="U168" s="598" t="s">
        <v>3309</v>
      </c>
      <c r="V168" s="598" t="s">
        <v>3309</v>
      </c>
      <c r="W168" s="598" t="s">
        <v>3309</v>
      </c>
      <c r="X168" s="598" t="s">
        <v>3309</v>
      </c>
      <c r="Y168" s="598" t="s">
        <v>321</v>
      </c>
      <c r="Z168" s="598" t="s">
        <v>321</v>
      </c>
      <c r="AA168" s="598" t="s">
        <v>3309</v>
      </c>
      <c r="AB168" s="598" t="s">
        <v>3309</v>
      </c>
      <c r="AC168" s="598" t="s">
        <v>3309</v>
      </c>
      <c r="AD168" s="598" t="s">
        <v>3309</v>
      </c>
      <c r="AE168" s="598" t="s">
        <v>3309</v>
      </c>
      <c r="AF168" s="598" t="s">
        <v>321</v>
      </c>
      <c r="AG168" s="598" t="s">
        <v>321</v>
      </c>
      <c r="AH168" s="598" t="s">
        <v>3309</v>
      </c>
      <c r="AI168" s="598" t="s">
        <v>321</v>
      </c>
      <c r="AJ168" s="599">
        <v>21</v>
      </c>
      <c r="AK168" s="600">
        <v>21</v>
      </c>
      <c r="AL168" s="601">
        <v>0</v>
      </c>
      <c r="AM168" s="601">
        <v>0</v>
      </c>
      <c r="AN168" s="599">
        <v>21</v>
      </c>
    </row>
    <row r="169" spans="1:40" ht="16.5" customHeight="1">
      <c r="A169" s="598" t="s">
        <v>3307</v>
      </c>
      <c r="B169" s="598" t="s">
        <v>3323</v>
      </c>
      <c r="C169" s="598" t="s">
        <v>736</v>
      </c>
      <c r="D169" s="598" t="s">
        <v>737</v>
      </c>
      <c r="E169" s="598" t="s">
        <v>321</v>
      </c>
      <c r="F169" s="598" t="s">
        <v>3309</v>
      </c>
      <c r="G169" s="598" t="s">
        <v>3309</v>
      </c>
      <c r="H169" s="598" t="s">
        <v>3309</v>
      </c>
      <c r="I169" s="598" t="s">
        <v>3309</v>
      </c>
      <c r="J169" s="598" t="s">
        <v>3309</v>
      </c>
      <c r="K169" s="598" t="s">
        <v>321</v>
      </c>
      <c r="L169" s="598" t="s">
        <v>321</v>
      </c>
      <c r="M169" s="598" t="s">
        <v>3309</v>
      </c>
      <c r="N169" s="598" t="s">
        <v>3309</v>
      </c>
      <c r="O169" s="598" t="s">
        <v>3309</v>
      </c>
      <c r="P169" s="598" t="s">
        <v>3309</v>
      </c>
      <c r="Q169" s="598" t="s">
        <v>3309</v>
      </c>
      <c r="R169" s="598" t="s">
        <v>321</v>
      </c>
      <c r="S169" s="598" t="s">
        <v>321</v>
      </c>
      <c r="T169" s="598" t="s">
        <v>3309</v>
      </c>
      <c r="U169" s="598" t="s">
        <v>3309</v>
      </c>
      <c r="V169" s="598" t="s">
        <v>3309</v>
      </c>
      <c r="W169" s="598" t="s">
        <v>3309</v>
      </c>
      <c r="X169" s="598" t="s">
        <v>3309</v>
      </c>
      <c r="Y169" s="598" t="s">
        <v>321</v>
      </c>
      <c r="Z169" s="598" t="s">
        <v>321</v>
      </c>
      <c r="AA169" s="598" t="s">
        <v>3309</v>
      </c>
      <c r="AB169" s="598" t="s">
        <v>3309</v>
      </c>
      <c r="AC169" s="598" t="s">
        <v>3309</v>
      </c>
      <c r="AD169" s="598" t="s">
        <v>3309</v>
      </c>
      <c r="AE169" s="598" t="s">
        <v>3309</v>
      </c>
      <c r="AF169" s="598" t="s">
        <v>321</v>
      </c>
      <c r="AG169" s="598" t="s">
        <v>321</v>
      </c>
      <c r="AH169" s="598" t="s">
        <v>3309</v>
      </c>
      <c r="AI169" s="598" t="s">
        <v>321</v>
      </c>
      <c r="AJ169" s="599">
        <v>21</v>
      </c>
      <c r="AK169" s="600">
        <v>21</v>
      </c>
      <c r="AL169" s="601">
        <v>0</v>
      </c>
      <c r="AM169" s="601">
        <v>0</v>
      </c>
      <c r="AN169" s="599">
        <v>21</v>
      </c>
    </row>
    <row r="170" spans="1:40" ht="16.5" customHeight="1">
      <c r="A170" s="598" t="s">
        <v>3307</v>
      </c>
      <c r="B170" s="598" t="s">
        <v>3323</v>
      </c>
      <c r="C170" s="598" t="s">
        <v>2538</v>
      </c>
      <c r="D170" s="598" t="s">
        <v>2539</v>
      </c>
      <c r="E170" s="598" t="s">
        <v>321</v>
      </c>
      <c r="F170" s="598" t="s">
        <v>3309</v>
      </c>
      <c r="G170" s="598" t="s">
        <v>3309</v>
      </c>
      <c r="H170" s="598" t="s">
        <v>3309</v>
      </c>
      <c r="I170" s="598" t="s">
        <v>3309</v>
      </c>
      <c r="J170" s="598" t="s">
        <v>3309</v>
      </c>
      <c r="K170" s="598" t="s">
        <v>321</v>
      </c>
      <c r="L170" s="598" t="s">
        <v>321</v>
      </c>
      <c r="M170" s="598" t="s">
        <v>3309</v>
      </c>
      <c r="N170" s="598" t="s">
        <v>3309</v>
      </c>
      <c r="O170" s="598" t="s">
        <v>3309</v>
      </c>
      <c r="P170" s="598" t="s">
        <v>3309</v>
      </c>
      <c r="Q170" s="598" t="s">
        <v>3309</v>
      </c>
      <c r="R170" s="598" t="s">
        <v>321</v>
      </c>
      <c r="S170" s="598" t="s">
        <v>321</v>
      </c>
      <c r="T170" s="598" t="s">
        <v>3309</v>
      </c>
      <c r="U170" s="598" t="s">
        <v>3309</v>
      </c>
      <c r="V170" s="598" t="s">
        <v>3309</v>
      </c>
      <c r="W170" s="598" t="s">
        <v>3309</v>
      </c>
      <c r="X170" s="598" t="s">
        <v>3309</v>
      </c>
      <c r="Y170" s="598" t="s">
        <v>321</v>
      </c>
      <c r="Z170" s="598" t="s">
        <v>321</v>
      </c>
      <c r="AA170" s="598" t="s">
        <v>3309</v>
      </c>
      <c r="AB170" s="598" t="s">
        <v>3309</v>
      </c>
      <c r="AC170" s="598" t="s">
        <v>3309</v>
      </c>
      <c r="AD170" s="598" t="s">
        <v>3309</v>
      </c>
      <c r="AE170" s="598" t="s">
        <v>3309</v>
      </c>
      <c r="AF170" s="598" t="s">
        <v>321</v>
      </c>
      <c r="AG170" s="598" t="s">
        <v>321</v>
      </c>
      <c r="AH170" s="598" t="s">
        <v>3309</v>
      </c>
      <c r="AI170" s="598" t="s">
        <v>321</v>
      </c>
      <c r="AJ170" s="599">
        <v>21</v>
      </c>
      <c r="AK170" s="600">
        <v>21</v>
      </c>
      <c r="AL170" s="601">
        <v>0</v>
      </c>
      <c r="AM170" s="601">
        <v>0</v>
      </c>
      <c r="AN170" s="599">
        <v>21</v>
      </c>
    </row>
    <row r="171" spans="1:40" ht="16.5" customHeight="1">
      <c r="A171" s="598" t="s">
        <v>3307</v>
      </c>
      <c r="B171" s="598" t="s">
        <v>3323</v>
      </c>
      <c r="C171" s="598" t="s">
        <v>555</v>
      </c>
      <c r="D171" s="598" t="s">
        <v>556</v>
      </c>
      <c r="E171" s="598" t="s">
        <v>321</v>
      </c>
      <c r="F171" s="598" t="s">
        <v>3309</v>
      </c>
      <c r="G171" s="598" t="s">
        <v>3309</v>
      </c>
      <c r="H171" s="598" t="s">
        <v>3309</v>
      </c>
      <c r="I171" s="598" t="s">
        <v>3309</v>
      </c>
      <c r="J171" s="598" t="s">
        <v>3309</v>
      </c>
      <c r="K171" s="598" t="s">
        <v>321</v>
      </c>
      <c r="L171" s="598" t="s">
        <v>321</v>
      </c>
      <c r="M171" s="598" t="s">
        <v>3309</v>
      </c>
      <c r="N171" s="598" t="s">
        <v>3309</v>
      </c>
      <c r="O171" s="598" t="s">
        <v>3309</v>
      </c>
      <c r="P171" s="598" t="s">
        <v>3309</v>
      </c>
      <c r="Q171" s="598" t="s">
        <v>3309</v>
      </c>
      <c r="R171" s="598" t="s">
        <v>321</v>
      </c>
      <c r="S171" s="598" t="s">
        <v>321</v>
      </c>
      <c r="T171" s="598" t="s">
        <v>3309</v>
      </c>
      <c r="U171" s="598" t="s">
        <v>3309</v>
      </c>
      <c r="V171" s="598" t="s">
        <v>3313</v>
      </c>
      <c r="W171" s="598" t="s">
        <v>3313</v>
      </c>
      <c r="X171" s="598" t="s">
        <v>3313</v>
      </c>
      <c r="Y171" s="598" t="s">
        <v>321</v>
      </c>
      <c r="Z171" s="598" t="s">
        <v>321</v>
      </c>
      <c r="AA171" s="598" t="s">
        <v>3309</v>
      </c>
      <c r="AB171" s="598" t="s">
        <v>3309</v>
      </c>
      <c r="AC171" s="598" t="s">
        <v>3309</v>
      </c>
      <c r="AD171" s="598" t="s">
        <v>3309</v>
      </c>
      <c r="AE171" s="598" t="s">
        <v>3309</v>
      </c>
      <c r="AF171" s="598" t="s">
        <v>321</v>
      </c>
      <c r="AG171" s="598" t="s">
        <v>321</v>
      </c>
      <c r="AH171" s="598" t="s">
        <v>3309</v>
      </c>
      <c r="AI171" s="598" t="s">
        <v>321</v>
      </c>
      <c r="AJ171" s="599">
        <v>21</v>
      </c>
      <c r="AK171" s="600">
        <v>21</v>
      </c>
      <c r="AL171" s="601">
        <v>0</v>
      </c>
      <c r="AM171" s="601">
        <v>0</v>
      </c>
      <c r="AN171" s="599">
        <v>21</v>
      </c>
    </row>
    <row r="172" spans="1:40" ht="16.5" customHeight="1">
      <c r="A172" s="598" t="s">
        <v>3307</v>
      </c>
      <c r="B172" s="598" t="s">
        <v>3323</v>
      </c>
      <c r="C172" s="598" t="s">
        <v>2468</v>
      </c>
      <c r="D172" s="598" t="s">
        <v>2469</v>
      </c>
      <c r="E172" s="598" t="s">
        <v>321</v>
      </c>
      <c r="F172" s="598" t="s">
        <v>3309</v>
      </c>
      <c r="G172" s="598" t="s">
        <v>3309</v>
      </c>
      <c r="H172" s="598" t="s">
        <v>3309</v>
      </c>
      <c r="I172" s="598" t="s">
        <v>3309</v>
      </c>
      <c r="J172" s="598" t="s">
        <v>3309</v>
      </c>
      <c r="K172" s="598" t="s">
        <v>321</v>
      </c>
      <c r="L172" s="598" t="s">
        <v>321</v>
      </c>
      <c r="M172" s="598" t="s">
        <v>3309</v>
      </c>
      <c r="N172" s="598" t="s">
        <v>3309</v>
      </c>
      <c r="O172" s="598" t="s">
        <v>3309</v>
      </c>
      <c r="P172" s="598" t="s">
        <v>3309</v>
      </c>
      <c r="Q172" s="598" t="s">
        <v>3309</v>
      </c>
      <c r="R172" s="598" t="s">
        <v>321</v>
      </c>
      <c r="S172" s="598" t="s">
        <v>321</v>
      </c>
      <c r="T172" s="598" t="s">
        <v>3309</v>
      </c>
      <c r="U172" s="598" t="s">
        <v>3309</v>
      </c>
      <c r="V172" s="598" t="s">
        <v>3309</v>
      </c>
      <c r="W172" s="598" t="s">
        <v>3309</v>
      </c>
      <c r="X172" s="598" t="s">
        <v>3309</v>
      </c>
      <c r="Y172" s="598" t="s">
        <v>321</v>
      </c>
      <c r="Z172" s="598" t="s">
        <v>321</v>
      </c>
      <c r="AA172" s="598" t="s">
        <v>3309</v>
      </c>
      <c r="AB172" s="598" t="s">
        <v>3309</v>
      </c>
      <c r="AC172" s="598" t="s">
        <v>3309</v>
      </c>
      <c r="AD172" s="598" t="s">
        <v>3309</v>
      </c>
      <c r="AE172" s="598" t="s">
        <v>3309</v>
      </c>
      <c r="AF172" s="598" t="s">
        <v>321</v>
      </c>
      <c r="AG172" s="598" t="s">
        <v>321</v>
      </c>
      <c r="AH172" s="598" t="s">
        <v>3309</v>
      </c>
      <c r="AI172" s="598" t="s">
        <v>321</v>
      </c>
      <c r="AJ172" s="599">
        <v>21</v>
      </c>
      <c r="AK172" s="600">
        <v>21</v>
      </c>
      <c r="AL172" s="601">
        <v>0</v>
      </c>
      <c r="AM172" s="601">
        <v>0</v>
      </c>
      <c r="AN172" s="599">
        <v>21</v>
      </c>
    </row>
    <row r="173" spans="1:40" ht="16.5" customHeight="1">
      <c r="A173" s="598" t="s">
        <v>3307</v>
      </c>
      <c r="B173" s="598" t="s">
        <v>3323</v>
      </c>
      <c r="C173" s="598" t="s">
        <v>1488</v>
      </c>
      <c r="D173" s="598" t="s">
        <v>1489</v>
      </c>
      <c r="E173" s="598" t="s">
        <v>321</v>
      </c>
      <c r="F173" s="598" t="s">
        <v>3309</v>
      </c>
      <c r="G173" s="598" t="s">
        <v>3309</v>
      </c>
      <c r="H173" s="598" t="s">
        <v>3309</v>
      </c>
      <c r="I173" s="598" t="s">
        <v>3309</v>
      </c>
      <c r="J173" s="598" t="s">
        <v>3309</v>
      </c>
      <c r="K173" s="598" t="s">
        <v>321</v>
      </c>
      <c r="L173" s="598" t="s">
        <v>321</v>
      </c>
      <c r="M173" s="598" t="s">
        <v>3309</v>
      </c>
      <c r="N173" s="598" t="s">
        <v>3309</v>
      </c>
      <c r="O173" s="598" t="s">
        <v>3309</v>
      </c>
      <c r="P173" s="598" t="s">
        <v>3309</v>
      </c>
      <c r="Q173" s="598" t="s">
        <v>3309</v>
      </c>
      <c r="R173" s="598" t="s">
        <v>321</v>
      </c>
      <c r="S173" s="598" t="s">
        <v>321</v>
      </c>
      <c r="T173" s="598" t="s">
        <v>3309</v>
      </c>
      <c r="U173" s="598" t="s">
        <v>3309</v>
      </c>
      <c r="V173" s="598" t="s">
        <v>3309</v>
      </c>
      <c r="W173" s="598" t="s">
        <v>3309</v>
      </c>
      <c r="X173" s="598" t="s">
        <v>3309</v>
      </c>
      <c r="Y173" s="598" t="s">
        <v>321</v>
      </c>
      <c r="Z173" s="598" t="s">
        <v>321</v>
      </c>
      <c r="AA173" s="598" t="s">
        <v>3309</v>
      </c>
      <c r="AB173" s="598" t="s">
        <v>3309</v>
      </c>
      <c r="AC173" s="598" t="s">
        <v>3309</v>
      </c>
      <c r="AD173" s="598" t="s">
        <v>3309</v>
      </c>
      <c r="AE173" s="598" t="s">
        <v>3309</v>
      </c>
      <c r="AF173" s="598" t="s">
        <v>321</v>
      </c>
      <c r="AG173" s="598" t="s">
        <v>321</v>
      </c>
      <c r="AH173" s="598" t="s">
        <v>3309</v>
      </c>
      <c r="AI173" s="598" t="s">
        <v>321</v>
      </c>
      <c r="AJ173" s="599">
        <v>21</v>
      </c>
      <c r="AK173" s="600">
        <v>21</v>
      </c>
      <c r="AL173" s="601">
        <v>0</v>
      </c>
      <c r="AM173" s="601">
        <v>0</v>
      </c>
      <c r="AN173" s="599">
        <v>21</v>
      </c>
    </row>
    <row r="174" spans="1:40" ht="16.5" customHeight="1">
      <c r="A174" s="598" t="s">
        <v>3307</v>
      </c>
      <c r="B174" s="598" t="s">
        <v>3323</v>
      </c>
      <c r="C174" s="598" t="s">
        <v>2686</v>
      </c>
      <c r="D174" s="598" t="s">
        <v>1532</v>
      </c>
      <c r="E174" s="598" t="s">
        <v>321</v>
      </c>
      <c r="F174" s="598" t="s">
        <v>3309</v>
      </c>
      <c r="G174" s="598" t="s">
        <v>3309</v>
      </c>
      <c r="H174" s="598" t="s">
        <v>3309</v>
      </c>
      <c r="I174" s="598" t="s">
        <v>3309</v>
      </c>
      <c r="J174" s="598" t="s">
        <v>3309</v>
      </c>
      <c r="K174" s="598" t="s">
        <v>321</v>
      </c>
      <c r="L174" s="598" t="s">
        <v>321</v>
      </c>
      <c r="M174" s="598" t="s">
        <v>3309</v>
      </c>
      <c r="N174" s="598" t="s">
        <v>3309</v>
      </c>
      <c r="O174" s="598" t="s">
        <v>3309</v>
      </c>
      <c r="P174" s="598" t="s">
        <v>3309</v>
      </c>
      <c r="Q174" s="598" t="s">
        <v>3309</v>
      </c>
      <c r="R174" s="598" t="s">
        <v>321</v>
      </c>
      <c r="S174" s="598" t="s">
        <v>321</v>
      </c>
      <c r="T174" s="598" t="s">
        <v>3309</v>
      </c>
      <c r="U174" s="598" t="s">
        <v>3309</v>
      </c>
      <c r="V174" s="598" t="s">
        <v>3309</v>
      </c>
      <c r="W174" s="598" t="s">
        <v>3309</v>
      </c>
      <c r="X174" s="598" t="s">
        <v>3309</v>
      </c>
      <c r="Y174" s="598" t="s">
        <v>321</v>
      </c>
      <c r="Z174" s="598" t="s">
        <v>321</v>
      </c>
      <c r="AA174" s="598" t="s">
        <v>3309</v>
      </c>
      <c r="AB174" s="598" t="s">
        <v>3309</v>
      </c>
      <c r="AC174" s="598" t="s">
        <v>3309</v>
      </c>
      <c r="AD174" s="598" t="s">
        <v>3309</v>
      </c>
      <c r="AE174" s="598" t="s">
        <v>3309</v>
      </c>
      <c r="AF174" s="598" t="s">
        <v>321</v>
      </c>
      <c r="AG174" s="598" t="s">
        <v>321</v>
      </c>
      <c r="AH174" s="598" t="s">
        <v>3309</v>
      </c>
      <c r="AI174" s="598" t="s">
        <v>321</v>
      </c>
      <c r="AJ174" s="599">
        <v>21</v>
      </c>
      <c r="AK174" s="600">
        <v>21</v>
      </c>
      <c r="AL174" s="601">
        <v>0</v>
      </c>
      <c r="AM174" s="601">
        <v>0</v>
      </c>
      <c r="AN174" s="599">
        <v>21</v>
      </c>
    </row>
    <row r="175" spans="1:40" ht="16.5" customHeight="1">
      <c r="A175" s="598" t="s">
        <v>3307</v>
      </c>
      <c r="B175" s="598" t="s">
        <v>3323</v>
      </c>
      <c r="C175" s="598" t="s">
        <v>2567</v>
      </c>
      <c r="D175" s="598" t="s">
        <v>638</v>
      </c>
      <c r="E175" s="598" t="s">
        <v>321</v>
      </c>
      <c r="F175" s="598" t="s">
        <v>3309</v>
      </c>
      <c r="G175" s="598" t="s">
        <v>3309</v>
      </c>
      <c r="H175" s="598" t="s">
        <v>3309</v>
      </c>
      <c r="I175" s="598" t="s">
        <v>3309</v>
      </c>
      <c r="J175" s="598" t="s">
        <v>3309</v>
      </c>
      <c r="K175" s="598" t="s">
        <v>321</v>
      </c>
      <c r="L175" s="598" t="s">
        <v>321</v>
      </c>
      <c r="M175" s="598" t="s">
        <v>3309</v>
      </c>
      <c r="N175" s="598" t="s">
        <v>3309</v>
      </c>
      <c r="O175" s="598" t="s">
        <v>3309</v>
      </c>
      <c r="P175" s="598" t="s">
        <v>3309</v>
      </c>
      <c r="Q175" s="598" t="s">
        <v>3309</v>
      </c>
      <c r="R175" s="598" t="s">
        <v>321</v>
      </c>
      <c r="S175" s="598" t="s">
        <v>321</v>
      </c>
      <c r="T175" s="598" t="s">
        <v>3309</v>
      </c>
      <c r="U175" s="598" t="s">
        <v>3309</v>
      </c>
      <c r="V175" s="598" t="s">
        <v>3309</v>
      </c>
      <c r="W175" s="598" t="s">
        <v>3309</v>
      </c>
      <c r="X175" s="598" t="s">
        <v>3309</v>
      </c>
      <c r="Y175" s="598" t="s">
        <v>321</v>
      </c>
      <c r="Z175" s="598" t="s">
        <v>321</v>
      </c>
      <c r="AA175" s="598" t="s">
        <v>3309</v>
      </c>
      <c r="AB175" s="598" t="s">
        <v>3309</v>
      </c>
      <c r="AC175" s="598" t="s">
        <v>3309</v>
      </c>
      <c r="AD175" s="598" t="s">
        <v>3309</v>
      </c>
      <c r="AE175" s="598" t="s">
        <v>3309</v>
      </c>
      <c r="AF175" s="598" t="s">
        <v>321</v>
      </c>
      <c r="AG175" s="598" t="s">
        <v>321</v>
      </c>
      <c r="AH175" s="598" t="s">
        <v>3309</v>
      </c>
      <c r="AI175" s="598" t="s">
        <v>321</v>
      </c>
      <c r="AJ175" s="599">
        <v>21</v>
      </c>
      <c r="AK175" s="600">
        <v>21</v>
      </c>
      <c r="AL175" s="601">
        <v>0</v>
      </c>
      <c r="AM175" s="601">
        <v>0</v>
      </c>
      <c r="AN175" s="599">
        <v>21</v>
      </c>
    </row>
    <row r="176" spans="1:40" ht="16.5" customHeight="1">
      <c r="A176" s="598" t="s">
        <v>3307</v>
      </c>
      <c r="B176" s="598" t="s">
        <v>3323</v>
      </c>
      <c r="C176" s="598" t="s">
        <v>1564</v>
      </c>
      <c r="D176" s="598" t="s">
        <v>1565</v>
      </c>
      <c r="E176" s="598" t="s">
        <v>321</v>
      </c>
      <c r="F176" s="598" t="s">
        <v>3309</v>
      </c>
      <c r="G176" s="598" t="s">
        <v>3309</v>
      </c>
      <c r="H176" s="598" t="s">
        <v>3309</v>
      </c>
      <c r="I176" s="598" t="s">
        <v>3309</v>
      </c>
      <c r="J176" s="598" t="s">
        <v>3309</v>
      </c>
      <c r="K176" s="598" t="s">
        <v>321</v>
      </c>
      <c r="L176" s="598" t="s">
        <v>321</v>
      </c>
      <c r="M176" s="598" t="s">
        <v>3309</v>
      </c>
      <c r="N176" s="598" t="s">
        <v>3309</v>
      </c>
      <c r="O176" s="598" t="s">
        <v>3309</v>
      </c>
      <c r="P176" s="598" t="s">
        <v>3309</v>
      </c>
      <c r="Q176" s="598" t="s">
        <v>3309</v>
      </c>
      <c r="R176" s="598" t="s">
        <v>321</v>
      </c>
      <c r="S176" s="598" t="s">
        <v>321</v>
      </c>
      <c r="T176" s="598" t="s">
        <v>3309</v>
      </c>
      <c r="U176" s="598" t="s">
        <v>3309</v>
      </c>
      <c r="V176" s="598" t="s">
        <v>3309</v>
      </c>
      <c r="W176" s="598" t="s">
        <v>3309</v>
      </c>
      <c r="X176" s="598" t="s">
        <v>3309</v>
      </c>
      <c r="Y176" s="598" t="s">
        <v>321</v>
      </c>
      <c r="Z176" s="598" t="s">
        <v>321</v>
      </c>
      <c r="AA176" s="598" t="s">
        <v>3309</v>
      </c>
      <c r="AB176" s="598" t="s">
        <v>3309</v>
      </c>
      <c r="AC176" s="598" t="s">
        <v>3309</v>
      </c>
      <c r="AD176" s="598" t="s">
        <v>3309</v>
      </c>
      <c r="AE176" s="598" t="s">
        <v>3309</v>
      </c>
      <c r="AF176" s="598" t="s">
        <v>321</v>
      </c>
      <c r="AG176" s="598" t="s">
        <v>321</v>
      </c>
      <c r="AH176" s="598" t="s">
        <v>3309</v>
      </c>
      <c r="AI176" s="598" t="s">
        <v>321</v>
      </c>
      <c r="AJ176" s="599">
        <v>21</v>
      </c>
      <c r="AK176" s="600">
        <v>21</v>
      </c>
      <c r="AL176" s="601">
        <v>0</v>
      </c>
      <c r="AM176" s="601">
        <v>0</v>
      </c>
      <c r="AN176" s="599">
        <v>21</v>
      </c>
    </row>
    <row r="177" spans="1:40" ht="16.5" customHeight="1">
      <c r="A177" s="598" t="s">
        <v>3307</v>
      </c>
      <c r="B177" s="598" t="s">
        <v>3323</v>
      </c>
      <c r="C177" s="598" t="s">
        <v>2537</v>
      </c>
      <c r="D177" s="598" t="s">
        <v>1565</v>
      </c>
      <c r="E177" s="598" t="s">
        <v>321</v>
      </c>
      <c r="F177" s="598" t="s">
        <v>3309</v>
      </c>
      <c r="G177" s="598" t="s">
        <v>3309</v>
      </c>
      <c r="H177" s="598" t="s">
        <v>3309</v>
      </c>
      <c r="I177" s="598" t="s">
        <v>3309</v>
      </c>
      <c r="J177" s="598" t="s">
        <v>3309</v>
      </c>
      <c r="K177" s="598" t="s">
        <v>321</v>
      </c>
      <c r="L177" s="598" t="s">
        <v>321</v>
      </c>
      <c r="M177" s="598" t="s">
        <v>3309</v>
      </c>
      <c r="N177" s="598" t="s">
        <v>3309</v>
      </c>
      <c r="O177" s="598" t="s">
        <v>3309</v>
      </c>
      <c r="P177" s="598" t="s">
        <v>3309</v>
      </c>
      <c r="Q177" s="598" t="s">
        <v>3309</v>
      </c>
      <c r="R177" s="598" t="s">
        <v>321</v>
      </c>
      <c r="S177" s="598" t="s">
        <v>321</v>
      </c>
      <c r="T177" s="598" t="s">
        <v>3309</v>
      </c>
      <c r="U177" s="598" t="s">
        <v>3309</v>
      </c>
      <c r="V177" s="598" t="s">
        <v>3309</v>
      </c>
      <c r="W177" s="598" t="s">
        <v>3309</v>
      </c>
      <c r="X177" s="598" t="s">
        <v>3309</v>
      </c>
      <c r="Y177" s="598" t="s">
        <v>321</v>
      </c>
      <c r="Z177" s="598" t="s">
        <v>321</v>
      </c>
      <c r="AA177" s="598" t="s">
        <v>3309</v>
      </c>
      <c r="AB177" s="598" t="s">
        <v>3309</v>
      </c>
      <c r="AC177" s="598" t="s">
        <v>3309</v>
      </c>
      <c r="AD177" s="598" t="s">
        <v>3309</v>
      </c>
      <c r="AE177" s="598" t="s">
        <v>3309</v>
      </c>
      <c r="AF177" s="598" t="s">
        <v>321</v>
      </c>
      <c r="AG177" s="598" t="s">
        <v>321</v>
      </c>
      <c r="AH177" s="598" t="s">
        <v>3309</v>
      </c>
      <c r="AI177" s="598" t="s">
        <v>321</v>
      </c>
      <c r="AJ177" s="599">
        <v>21</v>
      </c>
      <c r="AK177" s="600">
        <v>21</v>
      </c>
      <c r="AL177" s="601">
        <v>0</v>
      </c>
      <c r="AM177" s="601">
        <v>0</v>
      </c>
      <c r="AN177" s="599">
        <v>21</v>
      </c>
    </row>
    <row r="178" spans="1:40" ht="16.5" customHeight="1">
      <c r="A178" s="598" t="s">
        <v>3307</v>
      </c>
      <c r="B178" s="598" t="s">
        <v>3323</v>
      </c>
      <c r="C178" s="598" t="s">
        <v>1454</v>
      </c>
      <c r="D178" s="598" t="s">
        <v>1455</v>
      </c>
      <c r="E178" s="598" t="s">
        <v>321</v>
      </c>
      <c r="F178" s="598" t="s">
        <v>3309</v>
      </c>
      <c r="G178" s="598" t="s">
        <v>3309</v>
      </c>
      <c r="H178" s="598" t="s">
        <v>3309</v>
      </c>
      <c r="I178" s="598" t="s">
        <v>3309</v>
      </c>
      <c r="J178" s="598" t="s">
        <v>3309</v>
      </c>
      <c r="K178" s="598" t="s">
        <v>321</v>
      </c>
      <c r="L178" s="598" t="s">
        <v>321</v>
      </c>
      <c r="M178" s="598" t="s">
        <v>3309</v>
      </c>
      <c r="N178" s="598" t="s">
        <v>3309</v>
      </c>
      <c r="O178" s="598" t="s">
        <v>3309</v>
      </c>
      <c r="P178" s="598" t="s">
        <v>3309</v>
      </c>
      <c r="Q178" s="598" t="s">
        <v>3309</v>
      </c>
      <c r="R178" s="598" t="s">
        <v>321</v>
      </c>
      <c r="S178" s="598" t="s">
        <v>321</v>
      </c>
      <c r="T178" s="598" t="s">
        <v>3309</v>
      </c>
      <c r="U178" s="598" t="s">
        <v>3309</v>
      </c>
      <c r="V178" s="598" t="s">
        <v>3309</v>
      </c>
      <c r="W178" s="598" t="s">
        <v>3309</v>
      </c>
      <c r="X178" s="598" t="s">
        <v>3309</v>
      </c>
      <c r="Y178" s="598" t="s">
        <v>321</v>
      </c>
      <c r="Z178" s="598" t="s">
        <v>321</v>
      </c>
      <c r="AA178" s="598" t="s">
        <v>3309</v>
      </c>
      <c r="AB178" s="598" t="s">
        <v>3312</v>
      </c>
      <c r="AC178" s="598" t="s">
        <v>3309</v>
      </c>
      <c r="AD178" s="598" t="s">
        <v>3309</v>
      </c>
      <c r="AE178" s="598" t="s">
        <v>3309</v>
      </c>
      <c r="AF178" s="598" t="s">
        <v>321</v>
      </c>
      <c r="AG178" s="598" t="s">
        <v>321</v>
      </c>
      <c r="AH178" s="598" t="s">
        <v>3309</v>
      </c>
      <c r="AI178" s="598" t="s">
        <v>321</v>
      </c>
      <c r="AJ178" s="599">
        <v>21</v>
      </c>
      <c r="AK178" s="600">
        <v>20</v>
      </c>
      <c r="AL178" s="602">
        <v>1</v>
      </c>
      <c r="AM178" s="601">
        <v>0</v>
      </c>
      <c r="AN178" s="599">
        <v>21</v>
      </c>
    </row>
    <row r="179" spans="1:40" ht="16.5" customHeight="1">
      <c r="A179" s="598" t="s">
        <v>3307</v>
      </c>
      <c r="B179" s="598" t="s">
        <v>3323</v>
      </c>
      <c r="C179" s="598" t="s">
        <v>2931</v>
      </c>
      <c r="D179" s="598" t="s">
        <v>2932</v>
      </c>
      <c r="E179" s="598" t="s">
        <v>321</v>
      </c>
      <c r="F179" s="598" t="s">
        <v>3309</v>
      </c>
      <c r="G179" s="598" t="s">
        <v>3309</v>
      </c>
      <c r="H179" s="598" t="s">
        <v>3309</v>
      </c>
      <c r="I179" s="598" t="s">
        <v>3312</v>
      </c>
      <c r="J179" s="598" t="s">
        <v>3309</v>
      </c>
      <c r="K179" s="598" t="s">
        <v>321</v>
      </c>
      <c r="L179" s="598" t="s">
        <v>321</v>
      </c>
      <c r="M179" s="598" t="s">
        <v>3309</v>
      </c>
      <c r="N179" s="598" t="s">
        <v>3309</v>
      </c>
      <c r="O179" s="598" t="s">
        <v>3309</v>
      </c>
      <c r="P179" s="598" t="s">
        <v>3309</v>
      </c>
      <c r="Q179" s="598" t="s">
        <v>3309</v>
      </c>
      <c r="R179" s="598" t="s">
        <v>321</v>
      </c>
      <c r="S179" s="598" t="s">
        <v>321</v>
      </c>
      <c r="T179" s="598" t="s">
        <v>3309</v>
      </c>
      <c r="U179" s="598" t="s">
        <v>3309</v>
      </c>
      <c r="V179" s="598" t="s">
        <v>3309</v>
      </c>
      <c r="W179" s="598" t="s">
        <v>3309</v>
      </c>
      <c r="X179" s="598" t="s">
        <v>3309</v>
      </c>
      <c r="Y179" s="598" t="s">
        <v>321</v>
      </c>
      <c r="Z179" s="598" t="s">
        <v>321</v>
      </c>
      <c r="AA179" s="598" t="s">
        <v>3309</v>
      </c>
      <c r="AB179" s="598" t="s">
        <v>3309</v>
      </c>
      <c r="AC179" s="598" t="s">
        <v>3309</v>
      </c>
      <c r="AD179" s="598" t="s">
        <v>3309</v>
      </c>
      <c r="AE179" s="598" t="s">
        <v>3309</v>
      </c>
      <c r="AF179" s="598" t="s">
        <v>321</v>
      </c>
      <c r="AG179" s="598" t="s">
        <v>321</v>
      </c>
      <c r="AH179" s="598" t="s">
        <v>3309</v>
      </c>
      <c r="AI179" s="598" t="s">
        <v>321</v>
      </c>
      <c r="AJ179" s="599">
        <v>21</v>
      </c>
      <c r="AK179" s="600">
        <v>20</v>
      </c>
      <c r="AL179" s="602">
        <v>1</v>
      </c>
      <c r="AM179" s="601">
        <v>0</v>
      </c>
      <c r="AN179" s="599">
        <v>21</v>
      </c>
    </row>
    <row r="180" spans="1:40" ht="16.5" customHeight="1">
      <c r="A180" s="598" t="s">
        <v>3307</v>
      </c>
      <c r="B180" s="598" t="s">
        <v>3323</v>
      </c>
      <c r="C180" s="598" t="s">
        <v>2024</v>
      </c>
      <c r="D180" s="598" t="s">
        <v>2025</v>
      </c>
      <c r="E180" s="598" t="s">
        <v>321</v>
      </c>
      <c r="F180" s="598" t="s">
        <v>3309</v>
      </c>
      <c r="G180" s="598" t="s">
        <v>3309</v>
      </c>
      <c r="H180" s="598" t="s">
        <v>3309</v>
      </c>
      <c r="I180" s="598" t="s">
        <v>3309</v>
      </c>
      <c r="J180" s="598" t="s">
        <v>3309</v>
      </c>
      <c r="K180" s="598" t="s">
        <v>321</v>
      </c>
      <c r="L180" s="598" t="s">
        <v>321</v>
      </c>
      <c r="M180" s="598" t="s">
        <v>3309</v>
      </c>
      <c r="N180" s="598" t="s">
        <v>3309</v>
      </c>
      <c r="O180" s="598" t="s">
        <v>3309</v>
      </c>
      <c r="P180" s="598" t="s">
        <v>3309</v>
      </c>
      <c r="Q180" s="598" t="s">
        <v>3309</v>
      </c>
      <c r="R180" s="598" t="s">
        <v>321</v>
      </c>
      <c r="S180" s="598" t="s">
        <v>321</v>
      </c>
      <c r="T180" s="598" t="s">
        <v>3309</v>
      </c>
      <c r="U180" s="598" t="s">
        <v>3309</v>
      </c>
      <c r="V180" s="598" t="s">
        <v>3309</v>
      </c>
      <c r="W180" s="598" t="s">
        <v>3309</v>
      </c>
      <c r="X180" s="598" t="s">
        <v>3309</v>
      </c>
      <c r="Y180" s="598" t="s">
        <v>321</v>
      </c>
      <c r="Z180" s="598" t="s">
        <v>321</v>
      </c>
      <c r="AA180" s="598" t="s">
        <v>3309</v>
      </c>
      <c r="AB180" s="598" t="s">
        <v>3309</v>
      </c>
      <c r="AC180" s="598" t="s">
        <v>3309</v>
      </c>
      <c r="AD180" s="598" t="s">
        <v>3309</v>
      </c>
      <c r="AE180" s="598" t="s">
        <v>3309</v>
      </c>
      <c r="AF180" s="598" t="s">
        <v>321</v>
      </c>
      <c r="AG180" s="598" t="s">
        <v>321</v>
      </c>
      <c r="AH180" s="598" t="s">
        <v>3309</v>
      </c>
      <c r="AI180" s="598" t="s">
        <v>321</v>
      </c>
      <c r="AJ180" s="599">
        <v>21</v>
      </c>
      <c r="AK180" s="600">
        <v>21</v>
      </c>
      <c r="AL180" s="601">
        <v>0</v>
      </c>
      <c r="AM180" s="601">
        <v>0</v>
      </c>
      <c r="AN180" s="599">
        <v>21</v>
      </c>
    </row>
    <row r="181" spans="1:40" ht="16.5" customHeight="1">
      <c r="A181" s="598" t="s">
        <v>3307</v>
      </c>
      <c r="B181" s="598" t="s">
        <v>3323</v>
      </c>
      <c r="C181" s="598" t="s">
        <v>2804</v>
      </c>
      <c r="D181" s="598" t="s">
        <v>2805</v>
      </c>
      <c r="E181" s="598" t="s">
        <v>321</v>
      </c>
      <c r="F181" s="598" t="s">
        <v>3309</v>
      </c>
      <c r="G181" s="598" t="s">
        <v>3309</v>
      </c>
      <c r="H181" s="598" t="s">
        <v>3309</v>
      </c>
      <c r="I181" s="598" t="s">
        <v>3309</v>
      </c>
      <c r="J181" s="598" t="s">
        <v>3309</v>
      </c>
      <c r="K181" s="598" t="s">
        <v>321</v>
      </c>
      <c r="L181" s="598" t="s">
        <v>321</v>
      </c>
      <c r="M181" s="598" t="s">
        <v>3309</v>
      </c>
      <c r="N181" s="598" t="s">
        <v>3309</v>
      </c>
      <c r="O181" s="598" t="s">
        <v>3309</v>
      </c>
      <c r="P181" s="598" t="s">
        <v>3309</v>
      </c>
      <c r="Q181" s="598" t="s">
        <v>3309</v>
      </c>
      <c r="R181" s="598" t="s">
        <v>321</v>
      </c>
      <c r="S181" s="598" t="s">
        <v>321</v>
      </c>
      <c r="T181" s="598" t="s">
        <v>3309</v>
      </c>
      <c r="U181" s="598" t="s">
        <v>3309</v>
      </c>
      <c r="V181" s="598" t="s">
        <v>3309</v>
      </c>
      <c r="W181" s="598" t="s">
        <v>3309</v>
      </c>
      <c r="X181" s="598" t="s">
        <v>3309</v>
      </c>
      <c r="Y181" s="598" t="s">
        <v>321</v>
      </c>
      <c r="Z181" s="598" t="s">
        <v>321</v>
      </c>
      <c r="AA181" s="598" t="s">
        <v>3309</v>
      </c>
      <c r="AB181" s="598" t="s">
        <v>3309</v>
      </c>
      <c r="AC181" s="598" t="s">
        <v>3309</v>
      </c>
      <c r="AD181" s="598" t="s">
        <v>3309</v>
      </c>
      <c r="AE181" s="598" t="s">
        <v>3309</v>
      </c>
      <c r="AF181" s="598" t="s">
        <v>321</v>
      </c>
      <c r="AG181" s="598" t="s">
        <v>321</v>
      </c>
      <c r="AH181" s="598" t="s">
        <v>3309</v>
      </c>
      <c r="AI181" s="598" t="s">
        <v>321</v>
      </c>
      <c r="AJ181" s="599">
        <v>21</v>
      </c>
      <c r="AK181" s="600">
        <v>21</v>
      </c>
      <c r="AL181" s="601">
        <v>0</v>
      </c>
      <c r="AM181" s="601">
        <v>0</v>
      </c>
      <c r="AN181" s="599">
        <v>21</v>
      </c>
    </row>
    <row r="182" spans="1:40" ht="16.5" customHeight="1">
      <c r="A182" s="598" t="s">
        <v>3307</v>
      </c>
      <c r="B182" s="598" t="s">
        <v>3323</v>
      </c>
      <c r="C182" s="598" t="s">
        <v>2320</v>
      </c>
      <c r="D182" s="598" t="s">
        <v>2321</v>
      </c>
      <c r="E182" s="598" t="s">
        <v>321</v>
      </c>
      <c r="F182" s="598" t="s">
        <v>3309</v>
      </c>
      <c r="G182" s="598" t="s">
        <v>3309</v>
      </c>
      <c r="H182" s="598" t="s">
        <v>3309</v>
      </c>
      <c r="I182" s="598" t="s">
        <v>3309</v>
      </c>
      <c r="J182" s="598" t="s">
        <v>3309</v>
      </c>
      <c r="K182" s="598" t="s">
        <v>321</v>
      </c>
      <c r="L182" s="598" t="s">
        <v>321</v>
      </c>
      <c r="M182" s="598" t="s">
        <v>3309</v>
      </c>
      <c r="N182" s="598" t="s">
        <v>3309</v>
      </c>
      <c r="O182" s="598" t="s">
        <v>3309</v>
      </c>
      <c r="P182" s="598" t="s">
        <v>3309</v>
      </c>
      <c r="Q182" s="598" t="s">
        <v>3309</v>
      </c>
      <c r="R182" s="598" t="s">
        <v>321</v>
      </c>
      <c r="S182" s="598" t="s">
        <v>321</v>
      </c>
      <c r="T182" s="598" t="s">
        <v>3309</v>
      </c>
      <c r="U182" s="598" t="s">
        <v>3309</v>
      </c>
      <c r="V182" s="598" t="s">
        <v>3309</v>
      </c>
      <c r="W182" s="598" t="s">
        <v>3309</v>
      </c>
      <c r="X182" s="598" t="s">
        <v>3309</v>
      </c>
      <c r="Y182" s="598" t="s">
        <v>321</v>
      </c>
      <c r="Z182" s="598" t="s">
        <v>321</v>
      </c>
      <c r="AA182" s="598" t="s">
        <v>3309</v>
      </c>
      <c r="AB182" s="598" t="s">
        <v>3309</v>
      </c>
      <c r="AC182" s="598" t="s">
        <v>3309</v>
      </c>
      <c r="AD182" s="598" t="s">
        <v>3309</v>
      </c>
      <c r="AE182" s="598" t="s">
        <v>3309</v>
      </c>
      <c r="AF182" s="598" t="s">
        <v>321</v>
      </c>
      <c r="AG182" s="598" t="s">
        <v>321</v>
      </c>
      <c r="AH182" s="598" t="s">
        <v>3309</v>
      </c>
      <c r="AI182" s="598" t="s">
        <v>321</v>
      </c>
      <c r="AJ182" s="599">
        <v>21</v>
      </c>
      <c r="AK182" s="600">
        <v>21</v>
      </c>
      <c r="AL182" s="601">
        <v>0</v>
      </c>
      <c r="AM182" s="601">
        <v>0</v>
      </c>
      <c r="AN182" s="599">
        <v>21</v>
      </c>
    </row>
    <row r="183" spans="1:40" ht="16.5" customHeight="1">
      <c r="A183" s="598" t="s">
        <v>3307</v>
      </c>
      <c r="B183" s="598" t="s">
        <v>3323</v>
      </c>
      <c r="C183" s="598" t="s">
        <v>2497</v>
      </c>
      <c r="D183" s="598" t="s">
        <v>2321</v>
      </c>
      <c r="E183" s="598" t="s">
        <v>321</v>
      </c>
      <c r="F183" s="598" t="s">
        <v>3309</v>
      </c>
      <c r="G183" s="598" t="s">
        <v>3309</v>
      </c>
      <c r="H183" s="598" t="s">
        <v>3309</v>
      </c>
      <c r="I183" s="598" t="s">
        <v>3309</v>
      </c>
      <c r="J183" s="598" t="s">
        <v>3309</v>
      </c>
      <c r="K183" s="598" t="s">
        <v>321</v>
      </c>
      <c r="L183" s="598" t="s">
        <v>321</v>
      </c>
      <c r="M183" s="598" t="s">
        <v>3309</v>
      </c>
      <c r="N183" s="598" t="s">
        <v>3309</v>
      </c>
      <c r="O183" s="598" t="s">
        <v>3309</v>
      </c>
      <c r="P183" s="598" t="s">
        <v>3309</v>
      </c>
      <c r="Q183" s="598" t="s">
        <v>3309</v>
      </c>
      <c r="R183" s="598" t="s">
        <v>321</v>
      </c>
      <c r="S183" s="598" t="s">
        <v>321</v>
      </c>
      <c r="T183" s="598" t="s">
        <v>3309</v>
      </c>
      <c r="U183" s="598" t="s">
        <v>3309</v>
      </c>
      <c r="V183" s="598" t="s">
        <v>3309</v>
      </c>
      <c r="W183" s="598" t="s">
        <v>3309</v>
      </c>
      <c r="X183" s="598" t="s">
        <v>3309</v>
      </c>
      <c r="Y183" s="598" t="s">
        <v>321</v>
      </c>
      <c r="Z183" s="598" t="s">
        <v>321</v>
      </c>
      <c r="AA183" s="598" t="s">
        <v>3309</v>
      </c>
      <c r="AB183" s="598" t="s">
        <v>3309</v>
      </c>
      <c r="AC183" s="598" t="s">
        <v>3309</v>
      </c>
      <c r="AD183" s="598" t="s">
        <v>3309</v>
      </c>
      <c r="AE183" s="598" t="s">
        <v>3309</v>
      </c>
      <c r="AF183" s="598" t="s">
        <v>321</v>
      </c>
      <c r="AG183" s="598" t="s">
        <v>321</v>
      </c>
      <c r="AH183" s="598" t="s">
        <v>3309</v>
      </c>
      <c r="AI183" s="598" t="s">
        <v>321</v>
      </c>
      <c r="AJ183" s="599">
        <v>21</v>
      </c>
      <c r="AK183" s="600">
        <v>21</v>
      </c>
      <c r="AL183" s="601">
        <v>0</v>
      </c>
      <c r="AM183" s="601">
        <v>0</v>
      </c>
      <c r="AN183" s="599">
        <v>21</v>
      </c>
    </row>
    <row r="184" spans="1:40" ht="16.5" customHeight="1">
      <c r="A184" s="598" t="s">
        <v>3307</v>
      </c>
      <c r="B184" s="598" t="s">
        <v>3323</v>
      </c>
      <c r="C184" s="598" t="s">
        <v>2719</v>
      </c>
      <c r="D184" s="598" t="s">
        <v>2720</v>
      </c>
      <c r="E184" s="598" t="s">
        <v>321</v>
      </c>
      <c r="F184" s="598" t="s">
        <v>3309</v>
      </c>
      <c r="G184" s="598" t="s">
        <v>3309</v>
      </c>
      <c r="H184" s="598" t="s">
        <v>3312</v>
      </c>
      <c r="I184" s="598" t="s">
        <v>3309</v>
      </c>
      <c r="J184" s="598" t="s">
        <v>3309</v>
      </c>
      <c r="K184" s="598" t="s">
        <v>321</v>
      </c>
      <c r="L184" s="598" t="s">
        <v>321</v>
      </c>
      <c r="M184" s="598" t="s">
        <v>3309</v>
      </c>
      <c r="N184" s="598" t="s">
        <v>3309</v>
      </c>
      <c r="O184" s="598" t="s">
        <v>3309</v>
      </c>
      <c r="P184" s="598" t="s">
        <v>3309</v>
      </c>
      <c r="Q184" s="598" t="s">
        <v>3309</v>
      </c>
      <c r="R184" s="598" t="s">
        <v>321</v>
      </c>
      <c r="S184" s="598" t="s">
        <v>321</v>
      </c>
      <c r="T184" s="598" t="s">
        <v>3309</v>
      </c>
      <c r="U184" s="598" t="s">
        <v>3309</v>
      </c>
      <c r="V184" s="598" t="s">
        <v>3309</v>
      </c>
      <c r="W184" s="598" t="s">
        <v>3309</v>
      </c>
      <c r="X184" s="598" t="s">
        <v>3309</v>
      </c>
      <c r="Y184" s="598" t="s">
        <v>321</v>
      </c>
      <c r="Z184" s="598" t="s">
        <v>321</v>
      </c>
      <c r="AA184" s="598" t="s">
        <v>3309</v>
      </c>
      <c r="AB184" s="598" t="s">
        <v>3309</v>
      </c>
      <c r="AC184" s="598" t="s">
        <v>3309</v>
      </c>
      <c r="AD184" s="598" t="s">
        <v>3309</v>
      </c>
      <c r="AE184" s="598" t="s">
        <v>3309</v>
      </c>
      <c r="AF184" s="598" t="s">
        <v>321</v>
      </c>
      <c r="AG184" s="598" t="s">
        <v>321</v>
      </c>
      <c r="AH184" s="598" t="s">
        <v>3309</v>
      </c>
      <c r="AI184" s="598" t="s">
        <v>321</v>
      </c>
      <c r="AJ184" s="599">
        <v>21</v>
      </c>
      <c r="AK184" s="600">
        <v>20</v>
      </c>
      <c r="AL184" s="602">
        <v>1</v>
      </c>
      <c r="AM184" s="601">
        <v>0</v>
      </c>
      <c r="AN184" s="599">
        <v>21</v>
      </c>
    </row>
    <row r="185" spans="1:40" ht="16.5" customHeight="1">
      <c r="A185" s="598" t="s">
        <v>3307</v>
      </c>
      <c r="B185" s="598" t="s">
        <v>3323</v>
      </c>
      <c r="C185" s="598" t="s">
        <v>1188</v>
      </c>
      <c r="D185" s="598" t="s">
        <v>1189</v>
      </c>
      <c r="E185" s="598" t="s">
        <v>321</v>
      </c>
      <c r="F185" s="598" t="s">
        <v>3309</v>
      </c>
      <c r="G185" s="598" t="s">
        <v>3309</v>
      </c>
      <c r="H185" s="598" t="s">
        <v>3309</v>
      </c>
      <c r="I185" s="598" t="s">
        <v>3309</v>
      </c>
      <c r="J185" s="598" t="s">
        <v>3309</v>
      </c>
      <c r="K185" s="598" t="s">
        <v>321</v>
      </c>
      <c r="L185" s="598" t="s">
        <v>321</v>
      </c>
      <c r="M185" s="598" t="s">
        <v>3309</v>
      </c>
      <c r="N185" s="598" t="s">
        <v>3309</v>
      </c>
      <c r="O185" s="598" t="s">
        <v>3309</v>
      </c>
      <c r="P185" s="598" t="s">
        <v>3309</v>
      </c>
      <c r="Q185" s="598" t="s">
        <v>3309</v>
      </c>
      <c r="R185" s="598" t="s">
        <v>321</v>
      </c>
      <c r="S185" s="598" t="s">
        <v>321</v>
      </c>
      <c r="T185" s="598" t="s">
        <v>3309</v>
      </c>
      <c r="U185" s="598" t="s">
        <v>3309</v>
      </c>
      <c r="V185" s="598" t="s">
        <v>3309</v>
      </c>
      <c r="W185" s="598" t="s">
        <v>3314</v>
      </c>
      <c r="X185" s="598" t="s">
        <v>3309</v>
      </c>
      <c r="Y185" s="598" t="s">
        <v>321</v>
      </c>
      <c r="Z185" s="598" t="s">
        <v>321</v>
      </c>
      <c r="AA185" s="598" t="s">
        <v>3309</v>
      </c>
      <c r="AB185" s="598" t="s">
        <v>3309</v>
      </c>
      <c r="AC185" s="598" t="s">
        <v>3309</v>
      </c>
      <c r="AD185" s="598" t="s">
        <v>3309</v>
      </c>
      <c r="AE185" s="598" t="s">
        <v>3309</v>
      </c>
      <c r="AF185" s="598" t="s">
        <v>321</v>
      </c>
      <c r="AG185" s="598" t="s">
        <v>321</v>
      </c>
      <c r="AH185" s="598" t="s">
        <v>3309</v>
      </c>
      <c r="AI185" s="598" t="s">
        <v>321</v>
      </c>
      <c r="AJ185" s="599">
        <v>21</v>
      </c>
      <c r="AK185" s="603">
        <v>20.5</v>
      </c>
      <c r="AL185" s="604">
        <v>0.5</v>
      </c>
      <c r="AM185" s="601">
        <v>0</v>
      </c>
      <c r="AN185" s="599">
        <v>21</v>
      </c>
    </row>
    <row r="186" spans="1:40" ht="16.5" customHeight="1">
      <c r="A186" s="598" t="s">
        <v>3307</v>
      </c>
      <c r="B186" s="598" t="s">
        <v>3323</v>
      </c>
      <c r="C186" s="598" t="s">
        <v>2342</v>
      </c>
      <c r="D186" s="598" t="s">
        <v>2343</v>
      </c>
      <c r="E186" s="598" t="s">
        <v>321</v>
      </c>
      <c r="F186" s="598" t="s">
        <v>3309</v>
      </c>
      <c r="G186" s="598" t="s">
        <v>3309</v>
      </c>
      <c r="H186" s="598" t="s">
        <v>3309</v>
      </c>
      <c r="I186" s="598" t="s">
        <v>3309</v>
      </c>
      <c r="J186" s="598" t="s">
        <v>3309</v>
      </c>
      <c r="K186" s="598" t="s">
        <v>321</v>
      </c>
      <c r="L186" s="598" t="s">
        <v>321</v>
      </c>
      <c r="M186" s="598" t="s">
        <v>3309</v>
      </c>
      <c r="N186" s="598" t="s">
        <v>3309</v>
      </c>
      <c r="O186" s="598" t="s">
        <v>3309</v>
      </c>
      <c r="P186" s="598" t="s">
        <v>3309</v>
      </c>
      <c r="Q186" s="598" t="s">
        <v>3309</v>
      </c>
      <c r="R186" s="598" t="s">
        <v>321</v>
      </c>
      <c r="S186" s="598" t="s">
        <v>321</v>
      </c>
      <c r="T186" s="598" t="s">
        <v>3309</v>
      </c>
      <c r="U186" s="598" t="s">
        <v>3309</v>
      </c>
      <c r="V186" s="598" t="s">
        <v>3309</v>
      </c>
      <c r="W186" s="598" t="s">
        <v>3309</v>
      </c>
      <c r="X186" s="598" t="s">
        <v>3309</v>
      </c>
      <c r="Y186" s="598" t="s">
        <v>321</v>
      </c>
      <c r="Z186" s="598" t="s">
        <v>321</v>
      </c>
      <c r="AA186" s="598" t="s">
        <v>3309</v>
      </c>
      <c r="AB186" s="598" t="s">
        <v>3309</v>
      </c>
      <c r="AC186" s="598" t="s">
        <v>3309</v>
      </c>
      <c r="AD186" s="598" t="s">
        <v>3309</v>
      </c>
      <c r="AE186" s="598" t="s">
        <v>3309</v>
      </c>
      <c r="AF186" s="598" t="s">
        <v>321</v>
      </c>
      <c r="AG186" s="598" t="s">
        <v>321</v>
      </c>
      <c r="AH186" s="598" t="s">
        <v>3309</v>
      </c>
      <c r="AI186" s="598" t="s">
        <v>321</v>
      </c>
      <c r="AJ186" s="599">
        <v>21</v>
      </c>
      <c r="AK186" s="600">
        <v>21</v>
      </c>
      <c r="AL186" s="601">
        <v>0</v>
      </c>
      <c r="AM186" s="601">
        <v>0</v>
      </c>
      <c r="AN186" s="599">
        <v>21</v>
      </c>
    </row>
    <row r="187" spans="1:40" ht="16.5" customHeight="1">
      <c r="A187" s="598" t="s">
        <v>3307</v>
      </c>
      <c r="B187" s="598" t="s">
        <v>3323</v>
      </c>
      <c r="C187" s="598" t="s">
        <v>2142</v>
      </c>
      <c r="D187" s="598" t="s">
        <v>2143</v>
      </c>
      <c r="E187" s="598" t="s">
        <v>321</v>
      </c>
      <c r="F187" s="598" t="s">
        <v>3309</v>
      </c>
      <c r="G187" s="598" t="s">
        <v>3309</v>
      </c>
      <c r="H187" s="598" t="s">
        <v>3309</v>
      </c>
      <c r="I187" s="598" t="s">
        <v>3309</v>
      </c>
      <c r="J187" s="598" t="s">
        <v>3309</v>
      </c>
      <c r="K187" s="598" t="s">
        <v>321</v>
      </c>
      <c r="L187" s="598" t="s">
        <v>321</v>
      </c>
      <c r="M187" s="598" t="s">
        <v>3309</v>
      </c>
      <c r="N187" s="598" t="s">
        <v>3309</v>
      </c>
      <c r="O187" s="598" t="s">
        <v>3309</v>
      </c>
      <c r="P187" s="598" t="s">
        <v>3309</v>
      </c>
      <c r="Q187" s="598" t="s">
        <v>3309</v>
      </c>
      <c r="R187" s="598" t="s">
        <v>321</v>
      </c>
      <c r="S187" s="598" t="s">
        <v>321</v>
      </c>
      <c r="T187" s="598" t="s">
        <v>3309</v>
      </c>
      <c r="U187" s="598" t="s">
        <v>3309</v>
      </c>
      <c r="V187" s="598" t="s">
        <v>3309</v>
      </c>
      <c r="W187" s="598" t="s">
        <v>3309</v>
      </c>
      <c r="X187" s="598" t="s">
        <v>3309</v>
      </c>
      <c r="Y187" s="598" t="s">
        <v>321</v>
      </c>
      <c r="Z187" s="598" t="s">
        <v>321</v>
      </c>
      <c r="AA187" s="598" t="s">
        <v>3309</v>
      </c>
      <c r="AB187" s="598" t="s">
        <v>3309</v>
      </c>
      <c r="AC187" s="598" t="s">
        <v>3309</v>
      </c>
      <c r="AD187" s="598" t="s">
        <v>3309</v>
      </c>
      <c r="AE187" s="598" t="s">
        <v>3309</v>
      </c>
      <c r="AF187" s="598" t="s">
        <v>321</v>
      </c>
      <c r="AG187" s="598" t="s">
        <v>321</v>
      </c>
      <c r="AH187" s="598" t="s">
        <v>3309</v>
      </c>
      <c r="AI187" s="598" t="s">
        <v>321</v>
      </c>
      <c r="AJ187" s="599">
        <v>21</v>
      </c>
      <c r="AK187" s="600">
        <v>21</v>
      </c>
      <c r="AL187" s="601">
        <v>0</v>
      </c>
      <c r="AM187" s="601">
        <v>0</v>
      </c>
      <c r="AN187" s="599">
        <v>21</v>
      </c>
    </row>
    <row r="188" spans="1:40" ht="16.5" customHeight="1">
      <c r="A188" s="598" t="s">
        <v>3307</v>
      </c>
      <c r="B188" s="598" t="s">
        <v>3323</v>
      </c>
      <c r="C188" s="598" t="s">
        <v>2177</v>
      </c>
      <c r="D188" s="598" t="s">
        <v>2178</v>
      </c>
      <c r="E188" s="598" t="s">
        <v>321</v>
      </c>
      <c r="F188" s="598" t="s">
        <v>3317</v>
      </c>
      <c r="G188" s="598" t="s">
        <v>3317</v>
      </c>
      <c r="H188" s="598" t="s">
        <v>3317</v>
      </c>
      <c r="I188" s="598" t="s">
        <v>3317</v>
      </c>
      <c r="J188" s="598" t="s">
        <v>3317</v>
      </c>
      <c r="K188" s="598" t="s">
        <v>321</v>
      </c>
      <c r="L188" s="598" t="s">
        <v>321</v>
      </c>
      <c r="M188" s="598" t="s">
        <v>3317</v>
      </c>
      <c r="N188" s="598" t="s">
        <v>3317</v>
      </c>
      <c r="O188" s="598" t="s">
        <v>3317</v>
      </c>
      <c r="P188" s="598" t="s">
        <v>3317</v>
      </c>
      <c r="Q188" s="598" t="s">
        <v>3317</v>
      </c>
      <c r="R188" s="598" t="s">
        <v>321</v>
      </c>
      <c r="S188" s="598" t="s">
        <v>321</v>
      </c>
      <c r="T188" s="598" t="s">
        <v>3317</v>
      </c>
      <c r="U188" s="598" t="s">
        <v>3317</v>
      </c>
      <c r="V188" s="598" t="s">
        <v>3317</v>
      </c>
      <c r="W188" s="598" t="s">
        <v>3317</v>
      </c>
      <c r="X188" s="598" t="s">
        <v>3317</v>
      </c>
      <c r="Y188" s="598" t="s">
        <v>321</v>
      </c>
      <c r="Z188" s="598" t="s">
        <v>321</v>
      </c>
      <c r="AA188" s="598" t="s">
        <v>3317</v>
      </c>
      <c r="AB188" s="598" t="s">
        <v>3317</v>
      </c>
      <c r="AC188" s="598" t="s">
        <v>3317</v>
      </c>
      <c r="AD188" s="598" t="s">
        <v>3317</v>
      </c>
      <c r="AE188" s="598" t="s">
        <v>3317</v>
      </c>
      <c r="AF188" s="598" t="s">
        <v>321</v>
      </c>
      <c r="AG188" s="598" t="s">
        <v>321</v>
      </c>
      <c r="AH188" s="598" t="s">
        <v>3317</v>
      </c>
      <c r="AI188" s="598" t="s">
        <v>321</v>
      </c>
      <c r="AJ188" s="599">
        <v>21</v>
      </c>
      <c r="AK188" s="601">
        <v>0</v>
      </c>
      <c r="AL188" s="601">
        <v>0</v>
      </c>
      <c r="AM188" s="601">
        <v>0</v>
      </c>
      <c r="AN188" s="605">
        <v>0</v>
      </c>
    </row>
    <row r="189" spans="1:40" ht="16.5" customHeight="1">
      <c r="A189" s="598" t="s">
        <v>3307</v>
      </c>
      <c r="B189" s="598" t="s">
        <v>3323</v>
      </c>
      <c r="C189" s="598" t="s">
        <v>1425</v>
      </c>
      <c r="D189" s="598" t="s">
        <v>1426</v>
      </c>
      <c r="E189" s="598" t="s">
        <v>321</v>
      </c>
      <c r="F189" s="598" t="s">
        <v>3309</v>
      </c>
      <c r="G189" s="598" t="s">
        <v>3309</v>
      </c>
      <c r="H189" s="598" t="s">
        <v>3309</v>
      </c>
      <c r="I189" s="598" t="s">
        <v>3309</v>
      </c>
      <c r="J189" s="598" t="s">
        <v>3309</v>
      </c>
      <c r="K189" s="598" t="s">
        <v>321</v>
      </c>
      <c r="L189" s="598" t="s">
        <v>321</v>
      </c>
      <c r="M189" s="598" t="s">
        <v>3309</v>
      </c>
      <c r="N189" s="598" t="s">
        <v>3309</v>
      </c>
      <c r="O189" s="598" t="s">
        <v>3309</v>
      </c>
      <c r="P189" s="598" t="s">
        <v>3309</v>
      </c>
      <c r="Q189" s="598" t="s">
        <v>3309</v>
      </c>
      <c r="R189" s="598" t="s">
        <v>321</v>
      </c>
      <c r="S189" s="598" t="s">
        <v>321</v>
      </c>
      <c r="T189" s="598" t="s">
        <v>3309</v>
      </c>
      <c r="U189" s="598" t="s">
        <v>3309</v>
      </c>
      <c r="V189" s="598" t="s">
        <v>3309</v>
      </c>
      <c r="W189" s="598" t="s">
        <v>3309</v>
      </c>
      <c r="X189" s="598" t="s">
        <v>3309</v>
      </c>
      <c r="Y189" s="598" t="s">
        <v>321</v>
      </c>
      <c r="Z189" s="598" t="s">
        <v>321</v>
      </c>
      <c r="AA189" s="598" t="s">
        <v>3309</v>
      </c>
      <c r="AB189" s="598" t="s">
        <v>3309</v>
      </c>
      <c r="AC189" s="598" t="s">
        <v>3309</v>
      </c>
      <c r="AD189" s="598" t="s">
        <v>3309</v>
      </c>
      <c r="AE189" s="598" t="s">
        <v>3309</v>
      </c>
      <c r="AF189" s="598" t="s">
        <v>321</v>
      </c>
      <c r="AG189" s="598" t="s">
        <v>321</v>
      </c>
      <c r="AH189" s="598" t="s">
        <v>3309</v>
      </c>
      <c r="AI189" s="598" t="s">
        <v>321</v>
      </c>
      <c r="AJ189" s="599">
        <v>21</v>
      </c>
      <c r="AK189" s="600">
        <v>21</v>
      </c>
      <c r="AL189" s="601">
        <v>0</v>
      </c>
      <c r="AM189" s="601">
        <v>0</v>
      </c>
      <c r="AN189" s="599">
        <v>21</v>
      </c>
    </row>
    <row r="190" spans="1:40" ht="16.5" customHeight="1">
      <c r="A190" s="598" t="s">
        <v>3307</v>
      </c>
      <c r="B190" s="598" t="s">
        <v>3323</v>
      </c>
      <c r="C190" s="598" t="s">
        <v>2548</v>
      </c>
      <c r="D190" s="598" t="s">
        <v>2549</v>
      </c>
      <c r="E190" s="598" t="s">
        <v>321</v>
      </c>
      <c r="F190" s="598" t="s">
        <v>3309</v>
      </c>
      <c r="G190" s="598" t="s">
        <v>3309</v>
      </c>
      <c r="H190" s="598" t="s">
        <v>3309</v>
      </c>
      <c r="I190" s="598" t="s">
        <v>3309</v>
      </c>
      <c r="J190" s="598" t="s">
        <v>3309</v>
      </c>
      <c r="K190" s="598" t="s">
        <v>321</v>
      </c>
      <c r="L190" s="598" t="s">
        <v>321</v>
      </c>
      <c r="M190" s="598" t="s">
        <v>3309</v>
      </c>
      <c r="N190" s="598" t="s">
        <v>3309</v>
      </c>
      <c r="O190" s="598" t="s">
        <v>3309</v>
      </c>
      <c r="P190" s="598" t="s">
        <v>3309</v>
      </c>
      <c r="Q190" s="598" t="s">
        <v>3309</v>
      </c>
      <c r="R190" s="598" t="s">
        <v>321</v>
      </c>
      <c r="S190" s="598" t="s">
        <v>321</v>
      </c>
      <c r="T190" s="598" t="s">
        <v>3309</v>
      </c>
      <c r="U190" s="598" t="s">
        <v>3309</v>
      </c>
      <c r="V190" s="598" t="s">
        <v>3309</v>
      </c>
      <c r="W190" s="598" t="s">
        <v>3309</v>
      </c>
      <c r="X190" s="598" t="s">
        <v>3309</v>
      </c>
      <c r="Y190" s="598" t="s">
        <v>321</v>
      </c>
      <c r="Z190" s="598" t="s">
        <v>321</v>
      </c>
      <c r="AA190" s="598" t="s">
        <v>3309</v>
      </c>
      <c r="AB190" s="598" t="s">
        <v>3309</v>
      </c>
      <c r="AC190" s="598" t="s">
        <v>3309</v>
      </c>
      <c r="AD190" s="598" t="s">
        <v>3309</v>
      </c>
      <c r="AE190" s="598" t="s">
        <v>3309</v>
      </c>
      <c r="AF190" s="598" t="s">
        <v>321</v>
      </c>
      <c r="AG190" s="598" t="s">
        <v>321</v>
      </c>
      <c r="AH190" s="598" t="s">
        <v>3313</v>
      </c>
      <c r="AI190" s="598" t="s">
        <v>321</v>
      </c>
      <c r="AJ190" s="599">
        <v>21</v>
      </c>
      <c r="AK190" s="600">
        <v>21</v>
      </c>
      <c r="AL190" s="601">
        <v>0</v>
      </c>
      <c r="AM190" s="601">
        <v>0</v>
      </c>
      <c r="AN190" s="599">
        <v>21</v>
      </c>
    </row>
    <row r="191" spans="1:40" ht="16.5" customHeight="1">
      <c r="A191" s="598" t="s">
        <v>3307</v>
      </c>
      <c r="B191" s="598" t="s">
        <v>3323</v>
      </c>
      <c r="C191" s="598" t="s">
        <v>975</v>
      </c>
      <c r="D191" s="598" t="s">
        <v>976</v>
      </c>
      <c r="E191" s="598" t="s">
        <v>321</v>
      </c>
      <c r="F191" s="598" t="s">
        <v>3309</v>
      </c>
      <c r="G191" s="598" t="s">
        <v>3309</v>
      </c>
      <c r="H191" s="598" t="s">
        <v>3309</v>
      </c>
      <c r="I191" s="598" t="s">
        <v>3309</v>
      </c>
      <c r="J191" s="598" t="s">
        <v>3309</v>
      </c>
      <c r="K191" s="598" t="s">
        <v>321</v>
      </c>
      <c r="L191" s="598" t="s">
        <v>321</v>
      </c>
      <c r="M191" s="598" t="s">
        <v>3309</v>
      </c>
      <c r="N191" s="598" t="s">
        <v>3309</v>
      </c>
      <c r="O191" s="598" t="s">
        <v>3309</v>
      </c>
      <c r="P191" s="598" t="s">
        <v>3309</v>
      </c>
      <c r="Q191" s="598" t="s">
        <v>3309</v>
      </c>
      <c r="R191" s="598" t="s">
        <v>321</v>
      </c>
      <c r="S191" s="598" t="s">
        <v>321</v>
      </c>
      <c r="T191" s="598" t="s">
        <v>3309</v>
      </c>
      <c r="U191" s="598" t="s">
        <v>3309</v>
      </c>
      <c r="V191" s="598" t="s">
        <v>3309</v>
      </c>
      <c r="W191" s="598" t="s">
        <v>3309</v>
      </c>
      <c r="X191" s="598" t="s">
        <v>3309</v>
      </c>
      <c r="Y191" s="598" t="s">
        <v>321</v>
      </c>
      <c r="Z191" s="598" t="s">
        <v>321</v>
      </c>
      <c r="AA191" s="598" t="s">
        <v>3309</v>
      </c>
      <c r="AB191" s="598" t="s">
        <v>3309</v>
      </c>
      <c r="AC191" s="598" t="s">
        <v>3309</v>
      </c>
      <c r="AD191" s="598" t="s">
        <v>3309</v>
      </c>
      <c r="AE191" s="598" t="s">
        <v>3309</v>
      </c>
      <c r="AF191" s="598" t="s">
        <v>321</v>
      </c>
      <c r="AG191" s="598" t="s">
        <v>321</v>
      </c>
      <c r="AH191" s="598" t="s">
        <v>3309</v>
      </c>
      <c r="AI191" s="598" t="s">
        <v>321</v>
      </c>
      <c r="AJ191" s="599">
        <v>21</v>
      </c>
      <c r="AK191" s="600">
        <v>21</v>
      </c>
      <c r="AL191" s="601">
        <v>0</v>
      </c>
      <c r="AM191" s="601">
        <v>0</v>
      </c>
      <c r="AN191" s="599">
        <v>21</v>
      </c>
    </row>
    <row r="192" spans="1:40" ht="16.5" customHeight="1">
      <c r="A192" s="598" t="s">
        <v>3307</v>
      </c>
      <c r="B192" s="598" t="s">
        <v>3323</v>
      </c>
      <c r="C192" s="598" t="s">
        <v>2813</v>
      </c>
      <c r="D192" s="598" t="s">
        <v>2814</v>
      </c>
      <c r="E192" s="598" t="s">
        <v>321</v>
      </c>
      <c r="F192" s="598" t="s">
        <v>3309</v>
      </c>
      <c r="G192" s="598" t="s">
        <v>3309</v>
      </c>
      <c r="H192" s="598" t="s">
        <v>3309</v>
      </c>
      <c r="I192" s="598" t="s">
        <v>3309</v>
      </c>
      <c r="J192" s="598" t="s">
        <v>3309</v>
      </c>
      <c r="K192" s="598" t="s">
        <v>321</v>
      </c>
      <c r="L192" s="598" t="s">
        <v>321</v>
      </c>
      <c r="M192" s="598" t="s">
        <v>3309</v>
      </c>
      <c r="N192" s="598" t="s">
        <v>3309</v>
      </c>
      <c r="O192" s="598" t="s">
        <v>3309</v>
      </c>
      <c r="P192" s="598" t="s">
        <v>3309</v>
      </c>
      <c r="Q192" s="598" t="s">
        <v>3309</v>
      </c>
      <c r="R192" s="598" t="s">
        <v>321</v>
      </c>
      <c r="S192" s="598" t="s">
        <v>321</v>
      </c>
      <c r="T192" s="598" t="s">
        <v>3309</v>
      </c>
      <c r="U192" s="598" t="s">
        <v>3309</v>
      </c>
      <c r="V192" s="598" t="s">
        <v>3309</v>
      </c>
      <c r="W192" s="598" t="s">
        <v>3312</v>
      </c>
      <c r="X192" s="598" t="s">
        <v>3309</v>
      </c>
      <c r="Y192" s="598" t="s">
        <v>321</v>
      </c>
      <c r="Z192" s="598" t="s">
        <v>321</v>
      </c>
      <c r="AA192" s="598" t="s">
        <v>3309</v>
      </c>
      <c r="AB192" s="598" t="s">
        <v>3309</v>
      </c>
      <c r="AC192" s="598" t="s">
        <v>3309</v>
      </c>
      <c r="AD192" s="598" t="s">
        <v>3309</v>
      </c>
      <c r="AE192" s="598" t="s">
        <v>3309</v>
      </c>
      <c r="AF192" s="598" t="s">
        <v>321</v>
      </c>
      <c r="AG192" s="598" t="s">
        <v>321</v>
      </c>
      <c r="AH192" s="598" t="s">
        <v>3309</v>
      </c>
      <c r="AI192" s="598" t="s">
        <v>321</v>
      </c>
      <c r="AJ192" s="599">
        <v>21</v>
      </c>
      <c r="AK192" s="600">
        <v>20</v>
      </c>
      <c r="AL192" s="602">
        <v>1</v>
      </c>
      <c r="AM192" s="601">
        <v>0</v>
      </c>
      <c r="AN192" s="599">
        <v>21</v>
      </c>
    </row>
    <row r="193" spans="1:40" ht="16.5" customHeight="1">
      <c r="A193" s="598" t="s">
        <v>3307</v>
      </c>
      <c r="B193" s="598" t="s">
        <v>3323</v>
      </c>
      <c r="C193" s="598" t="s">
        <v>1186</v>
      </c>
      <c r="D193" s="598" t="s">
        <v>1187</v>
      </c>
      <c r="E193" s="598" t="s">
        <v>321</v>
      </c>
      <c r="F193" s="598" t="s">
        <v>3309</v>
      </c>
      <c r="G193" s="598" t="s">
        <v>3309</v>
      </c>
      <c r="H193" s="598" t="s">
        <v>3309</v>
      </c>
      <c r="I193" s="598" t="s">
        <v>3309</v>
      </c>
      <c r="J193" s="598" t="s">
        <v>3309</v>
      </c>
      <c r="K193" s="598" t="s">
        <v>321</v>
      </c>
      <c r="L193" s="598" t="s">
        <v>321</v>
      </c>
      <c r="M193" s="598" t="s">
        <v>3309</v>
      </c>
      <c r="N193" s="598" t="s">
        <v>3309</v>
      </c>
      <c r="O193" s="598" t="s">
        <v>3309</v>
      </c>
      <c r="P193" s="598" t="s">
        <v>3309</v>
      </c>
      <c r="Q193" s="598" t="s">
        <v>3309</v>
      </c>
      <c r="R193" s="598" t="s">
        <v>321</v>
      </c>
      <c r="S193" s="598" t="s">
        <v>321</v>
      </c>
      <c r="T193" s="598" t="s">
        <v>3309</v>
      </c>
      <c r="U193" s="598" t="s">
        <v>3309</v>
      </c>
      <c r="V193" s="598" t="s">
        <v>3309</v>
      </c>
      <c r="W193" s="598" t="s">
        <v>3309</v>
      </c>
      <c r="X193" s="598" t="s">
        <v>3309</v>
      </c>
      <c r="Y193" s="598" t="s">
        <v>321</v>
      </c>
      <c r="Z193" s="598" t="s">
        <v>321</v>
      </c>
      <c r="AA193" s="598" t="s">
        <v>3309</v>
      </c>
      <c r="AB193" s="598" t="s">
        <v>3309</v>
      </c>
      <c r="AC193" s="598" t="s">
        <v>3309</v>
      </c>
      <c r="AD193" s="598" t="s">
        <v>3309</v>
      </c>
      <c r="AE193" s="598" t="s">
        <v>3309</v>
      </c>
      <c r="AF193" s="598" t="s">
        <v>321</v>
      </c>
      <c r="AG193" s="598" t="s">
        <v>321</v>
      </c>
      <c r="AH193" s="598" t="s">
        <v>3309</v>
      </c>
      <c r="AI193" s="598" t="s">
        <v>321</v>
      </c>
      <c r="AJ193" s="599">
        <v>21</v>
      </c>
      <c r="AK193" s="600">
        <v>21</v>
      </c>
      <c r="AL193" s="601">
        <v>0</v>
      </c>
      <c r="AM193" s="601">
        <v>0</v>
      </c>
      <c r="AN193" s="599">
        <v>21</v>
      </c>
    </row>
    <row r="194" spans="1:40" ht="16.5" customHeight="1">
      <c r="A194" s="598" t="s">
        <v>3307</v>
      </c>
      <c r="B194" s="598" t="s">
        <v>3323</v>
      </c>
      <c r="C194" s="598" t="s">
        <v>1265</v>
      </c>
      <c r="D194" s="598" t="s">
        <v>1266</v>
      </c>
      <c r="E194" s="598" t="s">
        <v>321</v>
      </c>
      <c r="F194" s="598" t="s">
        <v>3314</v>
      </c>
      <c r="G194" s="598" t="s">
        <v>3309</v>
      </c>
      <c r="H194" s="598" t="s">
        <v>3309</v>
      </c>
      <c r="I194" s="598" t="s">
        <v>3309</v>
      </c>
      <c r="J194" s="598" t="s">
        <v>3314</v>
      </c>
      <c r="K194" s="598" t="s">
        <v>321</v>
      </c>
      <c r="L194" s="598" t="s">
        <v>321</v>
      </c>
      <c r="M194" s="598" t="s">
        <v>3309</v>
      </c>
      <c r="N194" s="598" t="s">
        <v>3309</v>
      </c>
      <c r="O194" s="598" t="s">
        <v>3309</v>
      </c>
      <c r="P194" s="598" t="s">
        <v>3309</v>
      </c>
      <c r="Q194" s="598" t="s">
        <v>3309</v>
      </c>
      <c r="R194" s="598" t="s">
        <v>321</v>
      </c>
      <c r="S194" s="598" t="s">
        <v>321</v>
      </c>
      <c r="T194" s="598" t="s">
        <v>3309</v>
      </c>
      <c r="U194" s="598" t="s">
        <v>3309</v>
      </c>
      <c r="V194" s="598" t="s">
        <v>3309</v>
      </c>
      <c r="W194" s="598" t="s">
        <v>3309</v>
      </c>
      <c r="X194" s="598" t="s">
        <v>3309</v>
      </c>
      <c r="Y194" s="598" t="s">
        <v>321</v>
      </c>
      <c r="Z194" s="598" t="s">
        <v>321</v>
      </c>
      <c r="AA194" s="598" t="s">
        <v>3309</v>
      </c>
      <c r="AB194" s="598" t="s">
        <v>3309</v>
      </c>
      <c r="AC194" s="598" t="s">
        <v>3309</v>
      </c>
      <c r="AD194" s="598" t="s">
        <v>3309</v>
      </c>
      <c r="AE194" s="598" t="s">
        <v>3309</v>
      </c>
      <c r="AF194" s="598" t="s">
        <v>321</v>
      </c>
      <c r="AG194" s="598" t="s">
        <v>321</v>
      </c>
      <c r="AH194" s="598" t="s">
        <v>3309</v>
      </c>
      <c r="AI194" s="598" t="s">
        <v>321</v>
      </c>
      <c r="AJ194" s="599">
        <v>21</v>
      </c>
      <c r="AK194" s="600">
        <v>20</v>
      </c>
      <c r="AL194" s="602">
        <v>1</v>
      </c>
      <c r="AM194" s="601">
        <v>0</v>
      </c>
      <c r="AN194" s="599">
        <v>21</v>
      </c>
    </row>
    <row r="195" spans="1:40" ht="16.5" customHeight="1">
      <c r="A195" s="598" t="s">
        <v>3307</v>
      </c>
      <c r="B195" s="598" t="s">
        <v>3323</v>
      </c>
      <c r="C195" s="598" t="s">
        <v>2736</v>
      </c>
      <c r="D195" s="598" t="s">
        <v>2737</v>
      </c>
      <c r="E195" s="598" t="s">
        <v>321</v>
      </c>
      <c r="F195" s="598" t="s">
        <v>3309</v>
      </c>
      <c r="G195" s="598" t="s">
        <v>3309</v>
      </c>
      <c r="H195" s="598" t="s">
        <v>3309</v>
      </c>
      <c r="I195" s="598" t="s">
        <v>3309</v>
      </c>
      <c r="J195" s="598" t="s">
        <v>3309</v>
      </c>
      <c r="K195" s="598" t="s">
        <v>321</v>
      </c>
      <c r="L195" s="598" t="s">
        <v>321</v>
      </c>
      <c r="M195" s="598" t="s">
        <v>3309</v>
      </c>
      <c r="N195" s="598" t="s">
        <v>3309</v>
      </c>
      <c r="O195" s="598" t="s">
        <v>3309</v>
      </c>
      <c r="P195" s="598" t="s">
        <v>3309</v>
      </c>
      <c r="Q195" s="598" t="s">
        <v>3309</v>
      </c>
      <c r="R195" s="598" t="s">
        <v>321</v>
      </c>
      <c r="S195" s="598" t="s">
        <v>321</v>
      </c>
      <c r="T195" s="598" t="s">
        <v>3309</v>
      </c>
      <c r="U195" s="598" t="s">
        <v>3309</v>
      </c>
      <c r="V195" s="598" t="s">
        <v>3309</v>
      </c>
      <c r="W195" s="598" t="s">
        <v>3309</v>
      </c>
      <c r="X195" s="598" t="s">
        <v>3309</v>
      </c>
      <c r="Y195" s="598" t="s">
        <v>321</v>
      </c>
      <c r="Z195" s="598" t="s">
        <v>321</v>
      </c>
      <c r="AA195" s="598" t="s">
        <v>3309</v>
      </c>
      <c r="AB195" s="598" t="s">
        <v>3309</v>
      </c>
      <c r="AC195" s="598" t="s">
        <v>3309</v>
      </c>
      <c r="AD195" s="598" t="s">
        <v>3309</v>
      </c>
      <c r="AE195" s="598" t="s">
        <v>3309</v>
      </c>
      <c r="AF195" s="598" t="s">
        <v>321</v>
      </c>
      <c r="AG195" s="598" t="s">
        <v>321</v>
      </c>
      <c r="AH195" s="598" t="s">
        <v>3309</v>
      </c>
      <c r="AI195" s="598" t="s">
        <v>321</v>
      </c>
      <c r="AJ195" s="599">
        <v>21</v>
      </c>
      <c r="AK195" s="600">
        <v>21</v>
      </c>
      <c r="AL195" s="601">
        <v>0</v>
      </c>
      <c r="AM195" s="601">
        <v>0</v>
      </c>
      <c r="AN195" s="599">
        <v>21</v>
      </c>
    </row>
    <row r="196" spans="1:40" ht="16.5" customHeight="1">
      <c r="A196" s="598" t="s">
        <v>3307</v>
      </c>
      <c r="B196" s="598" t="s">
        <v>3323</v>
      </c>
      <c r="C196" s="598" t="s">
        <v>675</v>
      </c>
      <c r="D196" s="598" t="s">
        <v>676</v>
      </c>
      <c r="E196" s="598" t="s">
        <v>321</v>
      </c>
      <c r="F196" s="598" t="s">
        <v>3309</v>
      </c>
      <c r="G196" s="598" t="s">
        <v>3309</v>
      </c>
      <c r="H196" s="598" t="s">
        <v>3309</v>
      </c>
      <c r="I196" s="598" t="s">
        <v>3309</v>
      </c>
      <c r="J196" s="598" t="s">
        <v>3309</v>
      </c>
      <c r="K196" s="598" t="s">
        <v>321</v>
      </c>
      <c r="L196" s="598" t="s">
        <v>321</v>
      </c>
      <c r="M196" s="598" t="s">
        <v>3309</v>
      </c>
      <c r="N196" s="598" t="s">
        <v>3309</v>
      </c>
      <c r="O196" s="598" t="s">
        <v>3309</v>
      </c>
      <c r="P196" s="598" t="s">
        <v>3309</v>
      </c>
      <c r="Q196" s="598" t="s">
        <v>3309</v>
      </c>
      <c r="R196" s="598" t="s">
        <v>321</v>
      </c>
      <c r="S196" s="598" t="s">
        <v>321</v>
      </c>
      <c r="T196" s="598" t="s">
        <v>3309</v>
      </c>
      <c r="U196" s="598" t="s">
        <v>3309</v>
      </c>
      <c r="V196" s="598" t="s">
        <v>3309</v>
      </c>
      <c r="W196" s="598" t="s">
        <v>3309</v>
      </c>
      <c r="X196" s="598" t="s">
        <v>3309</v>
      </c>
      <c r="Y196" s="598" t="s">
        <v>321</v>
      </c>
      <c r="Z196" s="598" t="s">
        <v>321</v>
      </c>
      <c r="AA196" s="598" t="s">
        <v>3309</v>
      </c>
      <c r="AB196" s="598" t="s">
        <v>3309</v>
      </c>
      <c r="AC196" s="598" t="s">
        <v>3309</v>
      </c>
      <c r="AD196" s="598" t="s">
        <v>3309</v>
      </c>
      <c r="AE196" s="598" t="s">
        <v>3309</v>
      </c>
      <c r="AF196" s="598" t="s">
        <v>321</v>
      </c>
      <c r="AG196" s="598" t="s">
        <v>321</v>
      </c>
      <c r="AH196" s="598" t="s">
        <v>3309</v>
      </c>
      <c r="AI196" s="598" t="s">
        <v>321</v>
      </c>
      <c r="AJ196" s="599">
        <v>21</v>
      </c>
      <c r="AK196" s="600">
        <v>21</v>
      </c>
      <c r="AL196" s="601">
        <v>0</v>
      </c>
      <c r="AM196" s="601">
        <v>0</v>
      </c>
      <c r="AN196" s="599">
        <v>21</v>
      </c>
    </row>
    <row r="197" spans="1:40" ht="16.5" customHeight="1">
      <c r="A197" s="598" t="s">
        <v>3307</v>
      </c>
      <c r="B197" s="598" t="s">
        <v>3323</v>
      </c>
      <c r="C197" s="598" t="s">
        <v>2040</v>
      </c>
      <c r="D197" s="598" t="s">
        <v>2041</v>
      </c>
      <c r="E197" s="598" t="s">
        <v>321</v>
      </c>
      <c r="F197" s="598" t="s">
        <v>3309</v>
      </c>
      <c r="G197" s="598" t="s">
        <v>3309</v>
      </c>
      <c r="H197" s="598" t="s">
        <v>3309</v>
      </c>
      <c r="I197" s="598" t="s">
        <v>3309</v>
      </c>
      <c r="J197" s="598" t="s">
        <v>3309</v>
      </c>
      <c r="K197" s="598" t="s">
        <v>321</v>
      </c>
      <c r="L197" s="598" t="s">
        <v>321</v>
      </c>
      <c r="M197" s="598" t="s">
        <v>3309</v>
      </c>
      <c r="N197" s="598" t="s">
        <v>3309</v>
      </c>
      <c r="O197" s="598" t="s">
        <v>3309</v>
      </c>
      <c r="P197" s="598" t="s">
        <v>3309</v>
      </c>
      <c r="Q197" s="598" t="s">
        <v>3309</v>
      </c>
      <c r="R197" s="598" t="s">
        <v>321</v>
      </c>
      <c r="S197" s="598" t="s">
        <v>321</v>
      </c>
      <c r="T197" s="598" t="s">
        <v>3309</v>
      </c>
      <c r="U197" s="598" t="s">
        <v>3309</v>
      </c>
      <c r="V197" s="598" t="s">
        <v>3309</v>
      </c>
      <c r="W197" s="598" t="s">
        <v>3309</v>
      </c>
      <c r="X197" s="598" t="s">
        <v>3309</v>
      </c>
      <c r="Y197" s="598" t="s">
        <v>321</v>
      </c>
      <c r="Z197" s="598" t="s">
        <v>321</v>
      </c>
      <c r="AA197" s="598" t="s">
        <v>3309</v>
      </c>
      <c r="AB197" s="598" t="s">
        <v>3309</v>
      </c>
      <c r="AC197" s="598" t="s">
        <v>3309</v>
      </c>
      <c r="AD197" s="598" t="s">
        <v>3309</v>
      </c>
      <c r="AE197" s="598" t="s">
        <v>3309</v>
      </c>
      <c r="AF197" s="598" t="s">
        <v>321</v>
      </c>
      <c r="AG197" s="598" t="s">
        <v>321</v>
      </c>
      <c r="AH197" s="598" t="s">
        <v>3309</v>
      </c>
      <c r="AI197" s="598" t="s">
        <v>321</v>
      </c>
      <c r="AJ197" s="599">
        <v>21</v>
      </c>
      <c r="AK197" s="600">
        <v>21</v>
      </c>
      <c r="AL197" s="601">
        <v>0</v>
      </c>
      <c r="AM197" s="601">
        <v>0</v>
      </c>
      <c r="AN197" s="599">
        <v>21</v>
      </c>
    </row>
    <row r="198" spans="1:40" ht="16.5" customHeight="1">
      <c r="A198" s="598" t="s">
        <v>3307</v>
      </c>
      <c r="B198" s="598" t="s">
        <v>3323</v>
      </c>
      <c r="C198" s="598" t="s">
        <v>1976</v>
      </c>
      <c r="D198" s="598" t="s">
        <v>1977</v>
      </c>
      <c r="E198" s="598" t="s">
        <v>321</v>
      </c>
      <c r="F198" s="598" t="s">
        <v>3309</v>
      </c>
      <c r="G198" s="598" t="s">
        <v>3309</v>
      </c>
      <c r="H198" s="598" t="s">
        <v>3309</v>
      </c>
      <c r="I198" s="598" t="s">
        <v>3309</v>
      </c>
      <c r="J198" s="598" t="s">
        <v>3309</v>
      </c>
      <c r="K198" s="598" t="s">
        <v>321</v>
      </c>
      <c r="L198" s="598" t="s">
        <v>321</v>
      </c>
      <c r="M198" s="598" t="s">
        <v>3309</v>
      </c>
      <c r="N198" s="598" t="s">
        <v>3309</v>
      </c>
      <c r="O198" s="598" t="s">
        <v>3309</v>
      </c>
      <c r="P198" s="598" t="s">
        <v>3309</v>
      </c>
      <c r="Q198" s="598" t="s">
        <v>3309</v>
      </c>
      <c r="R198" s="598" t="s">
        <v>321</v>
      </c>
      <c r="S198" s="598" t="s">
        <v>321</v>
      </c>
      <c r="T198" s="598" t="s">
        <v>3312</v>
      </c>
      <c r="U198" s="598" t="s">
        <v>3309</v>
      </c>
      <c r="V198" s="598" t="s">
        <v>3309</v>
      </c>
      <c r="W198" s="598" t="s">
        <v>3309</v>
      </c>
      <c r="X198" s="598" t="s">
        <v>3309</v>
      </c>
      <c r="Y198" s="598" t="s">
        <v>321</v>
      </c>
      <c r="Z198" s="598" t="s">
        <v>321</v>
      </c>
      <c r="AA198" s="598" t="s">
        <v>3309</v>
      </c>
      <c r="AB198" s="598" t="s">
        <v>3309</v>
      </c>
      <c r="AC198" s="598" t="s">
        <v>3309</v>
      </c>
      <c r="AD198" s="598" t="s">
        <v>3309</v>
      </c>
      <c r="AE198" s="598" t="s">
        <v>3309</v>
      </c>
      <c r="AF198" s="598" t="s">
        <v>321</v>
      </c>
      <c r="AG198" s="598" t="s">
        <v>321</v>
      </c>
      <c r="AH198" s="598" t="s">
        <v>3309</v>
      </c>
      <c r="AI198" s="598" t="s">
        <v>321</v>
      </c>
      <c r="AJ198" s="599">
        <v>21</v>
      </c>
      <c r="AK198" s="600">
        <v>20</v>
      </c>
      <c r="AL198" s="602">
        <v>1</v>
      </c>
      <c r="AM198" s="601">
        <v>0</v>
      </c>
      <c r="AN198" s="599">
        <v>21</v>
      </c>
    </row>
    <row r="199" spans="1:40" ht="16.5" customHeight="1">
      <c r="A199" s="598" t="s">
        <v>3307</v>
      </c>
      <c r="B199" s="598" t="s">
        <v>3323</v>
      </c>
      <c r="C199" s="598" t="s">
        <v>2067</v>
      </c>
      <c r="D199" s="598" t="s">
        <v>2068</v>
      </c>
      <c r="E199" s="598" t="s">
        <v>321</v>
      </c>
      <c r="F199" s="598" t="s">
        <v>3309</v>
      </c>
      <c r="G199" s="598" t="s">
        <v>3309</v>
      </c>
      <c r="H199" s="598" t="s">
        <v>3309</v>
      </c>
      <c r="I199" s="598" t="s">
        <v>3309</v>
      </c>
      <c r="J199" s="598" t="s">
        <v>3309</v>
      </c>
      <c r="K199" s="598" t="s">
        <v>321</v>
      </c>
      <c r="L199" s="598" t="s">
        <v>321</v>
      </c>
      <c r="M199" s="598" t="s">
        <v>3309</v>
      </c>
      <c r="N199" s="598" t="s">
        <v>3309</v>
      </c>
      <c r="O199" s="598" t="s">
        <v>3309</v>
      </c>
      <c r="P199" s="598" t="s">
        <v>3309</v>
      </c>
      <c r="Q199" s="598" t="s">
        <v>3309</v>
      </c>
      <c r="R199" s="598" t="s">
        <v>321</v>
      </c>
      <c r="S199" s="598" t="s">
        <v>321</v>
      </c>
      <c r="T199" s="598" t="s">
        <v>3309</v>
      </c>
      <c r="U199" s="598" t="s">
        <v>3309</v>
      </c>
      <c r="V199" s="598" t="s">
        <v>3309</v>
      </c>
      <c r="W199" s="598" t="s">
        <v>3309</v>
      </c>
      <c r="X199" s="598" t="s">
        <v>3309</v>
      </c>
      <c r="Y199" s="598" t="s">
        <v>321</v>
      </c>
      <c r="Z199" s="598" t="s">
        <v>321</v>
      </c>
      <c r="AA199" s="598" t="s">
        <v>3309</v>
      </c>
      <c r="AB199" s="598" t="s">
        <v>3309</v>
      </c>
      <c r="AC199" s="598" t="s">
        <v>3309</v>
      </c>
      <c r="AD199" s="598" t="s">
        <v>3309</v>
      </c>
      <c r="AE199" s="598" t="s">
        <v>3309</v>
      </c>
      <c r="AF199" s="598" t="s">
        <v>321</v>
      </c>
      <c r="AG199" s="598" t="s">
        <v>321</v>
      </c>
      <c r="AH199" s="598" t="s">
        <v>3309</v>
      </c>
      <c r="AI199" s="598" t="s">
        <v>321</v>
      </c>
      <c r="AJ199" s="599">
        <v>21</v>
      </c>
      <c r="AK199" s="600">
        <v>21</v>
      </c>
      <c r="AL199" s="601">
        <v>0</v>
      </c>
      <c r="AM199" s="601">
        <v>0</v>
      </c>
      <c r="AN199" s="599">
        <v>21</v>
      </c>
    </row>
    <row r="200" spans="1:40" ht="16.5" customHeight="1">
      <c r="A200" s="598" t="s">
        <v>3307</v>
      </c>
      <c r="B200" s="598" t="s">
        <v>3323</v>
      </c>
      <c r="C200" s="598" t="s">
        <v>1519</v>
      </c>
      <c r="D200" s="598" t="s">
        <v>1520</v>
      </c>
      <c r="E200" s="598" t="s">
        <v>321</v>
      </c>
      <c r="F200" s="598" t="s">
        <v>3309</v>
      </c>
      <c r="G200" s="598" t="s">
        <v>3309</v>
      </c>
      <c r="H200" s="598" t="s">
        <v>3309</v>
      </c>
      <c r="I200" s="598" t="s">
        <v>3309</v>
      </c>
      <c r="J200" s="598" t="s">
        <v>3309</v>
      </c>
      <c r="K200" s="598" t="s">
        <v>321</v>
      </c>
      <c r="L200" s="598" t="s">
        <v>321</v>
      </c>
      <c r="M200" s="598" t="s">
        <v>3309</v>
      </c>
      <c r="N200" s="598" t="s">
        <v>3309</v>
      </c>
      <c r="O200" s="598" t="s">
        <v>3309</v>
      </c>
      <c r="P200" s="598" t="s">
        <v>3309</v>
      </c>
      <c r="Q200" s="598" t="s">
        <v>3312</v>
      </c>
      <c r="R200" s="598" t="s">
        <v>321</v>
      </c>
      <c r="S200" s="598" t="s">
        <v>321</v>
      </c>
      <c r="T200" s="598" t="s">
        <v>3309</v>
      </c>
      <c r="U200" s="598" t="s">
        <v>3309</v>
      </c>
      <c r="V200" s="598" t="s">
        <v>3309</v>
      </c>
      <c r="W200" s="598" t="s">
        <v>3309</v>
      </c>
      <c r="X200" s="598" t="s">
        <v>3309</v>
      </c>
      <c r="Y200" s="598" t="s">
        <v>321</v>
      </c>
      <c r="Z200" s="598" t="s">
        <v>321</v>
      </c>
      <c r="AA200" s="598" t="s">
        <v>3309</v>
      </c>
      <c r="AB200" s="598" t="s">
        <v>3309</v>
      </c>
      <c r="AC200" s="598" t="s">
        <v>3309</v>
      </c>
      <c r="AD200" s="598" t="s">
        <v>3309</v>
      </c>
      <c r="AE200" s="598" t="s">
        <v>3309</v>
      </c>
      <c r="AF200" s="598" t="s">
        <v>321</v>
      </c>
      <c r="AG200" s="598" t="s">
        <v>321</v>
      </c>
      <c r="AH200" s="598" t="s">
        <v>3309</v>
      </c>
      <c r="AI200" s="598" t="s">
        <v>321</v>
      </c>
      <c r="AJ200" s="599">
        <v>21</v>
      </c>
      <c r="AK200" s="600">
        <v>20</v>
      </c>
      <c r="AL200" s="602">
        <v>1</v>
      </c>
      <c r="AM200" s="601">
        <v>0</v>
      </c>
      <c r="AN200" s="599">
        <v>21</v>
      </c>
    </row>
    <row r="201" spans="1:40" ht="16.5" customHeight="1">
      <c r="A201" s="598" t="s">
        <v>3307</v>
      </c>
      <c r="B201" s="598" t="s">
        <v>3323</v>
      </c>
      <c r="C201" s="598" t="s">
        <v>2332</v>
      </c>
      <c r="D201" s="598" t="s">
        <v>2333</v>
      </c>
      <c r="E201" s="598" t="s">
        <v>321</v>
      </c>
      <c r="F201" s="598" t="s">
        <v>3309</v>
      </c>
      <c r="G201" s="598" t="s">
        <v>3309</v>
      </c>
      <c r="H201" s="598" t="s">
        <v>3309</v>
      </c>
      <c r="I201" s="598" t="s">
        <v>3309</v>
      </c>
      <c r="J201" s="598" t="s">
        <v>3309</v>
      </c>
      <c r="K201" s="598" t="s">
        <v>321</v>
      </c>
      <c r="L201" s="598" t="s">
        <v>321</v>
      </c>
      <c r="M201" s="598" t="s">
        <v>3309</v>
      </c>
      <c r="N201" s="598" t="s">
        <v>3309</v>
      </c>
      <c r="O201" s="598" t="s">
        <v>3309</v>
      </c>
      <c r="P201" s="598" t="s">
        <v>3309</v>
      </c>
      <c r="Q201" s="598" t="s">
        <v>3309</v>
      </c>
      <c r="R201" s="598" t="s">
        <v>321</v>
      </c>
      <c r="S201" s="598" t="s">
        <v>321</v>
      </c>
      <c r="T201" s="598" t="s">
        <v>3309</v>
      </c>
      <c r="U201" s="598" t="s">
        <v>3309</v>
      </c>
      <c r="V201" s="598" t="s">
        <v>3309</v>
      </c>
      <c r="W201" s="598" t="s">
        <v>3309</v>
      </c>
      <c r="X201" s="598" t="s">
        <v>3309</v>
      </c>
      <c r="Y201" s="598" t="s">
        <v>321</v>
      </c>
      <c r="Z201" s="598" t="s">
        <v>321</v>
      </c>
      <c r="AA201" s="598" t="s">
        <v>3309</v>
      </c>
      <c r="AB201" s="598" t="s">
        <v>3309</v>
      </c>
      <c r="AC201" s="598" t="s">
        <v>3309</v>
      </c>
      <c r="AD201" s="598" t="s">
        <v>3309</v>
      </c>
      <c r="AE201" s="598" t="s">
        <v>3309</v>
      </c>
      <c r="AF201" s="598" t="s">
        <v>321</v>
      </c>
      <c r="AG201" s="598" t="s">
        <v>321</v>
      </c>
      <c r="AH201" s="598" t="s">
        <v>3309</v>
      </c>
      <c r="AI201" s="598" t="s">
        <v>321</v>
      </c>
      <c r="AJ201" s="599">
        <v>21</v>
      </c>
      <c r="AK201" s="600">
        <v>21</v>
      </c>
      <c r="AL201" s="601">
        <v>0</v>
      </c>
      <c r="AM201" s="601">
        <v>0</v>
      </c>
      <c r="AN201" s="599">
        <v>21</v>
      </c>
    </row>
    <row r="202" spans="1:40" ht="16.5" customHeight="1">
      <c r="A202" s="598" t="s">
        <v>3307</v>
      </c>
      <c r="B202" s="598" t="s">
        <v>3323</v>
      </c>
      <c r="C202" s="598" t="s">
        <v>2728</v>
      </c>
      <c r="D202" s="598" t="s">
        <v>2729</v>
      </c>
      <c r="E202" s="598" t="s">
        <v>321</v>
      </c>
      <c r="F202" s="598" t="s">
        <v>3309</v>
      </c>
      <c r="G202" s="598" t="s">
        <v>3309</v>
      </c>
      <c r="H202" s="598" t="s">
        <v>3309</v>
      </c>
      <c r="I202" s="598" t="s">
        <v>3309</v>
      </c>
      <c r="J202" s="598" t="s">
        <v>3309</v>
      </c>
      <c r="K202" s="598" t="s">
        <v>321</v>
      </c>
      <c r="L202" s="598" t="s">
        <v>321</v>
      </c>
      <c r="M202" s="598" t="s">
        <v>3309</v>
      </c>
      <c r="N202" s="598" t="s">
        <v>3309</v>
      </c>
      <c r="O202" s="598" t="s">
        <v>3309</v>
      </c>
      <c r="P202" s="598" t="s">
        <v>3309</v>
      </c>
      <c r="Q202" s="598" t="s">
        <v>3309</v>
      </c>
      <c r="R202" s="598" t="s">
        <v>321</v>
      </c>
      <c r="S202" s="598" t="s">
        <v>321</v>
      </c>
      <c r="T202" s="598" t="s">
        <v>3309</v>
      </c>
      <c r="U202" s="598" t="s">
        <v>3309</v>
      </c>
      <c r="V202" s="598" t="s">
        <v>3309</v>
      </c>
      <c r="W202" s="598" t="s">
        <v>3309</v>
      </c>
      <c r="X202" s="598" t="s">
        <v>3309</v>
      </c>
      <c r="Y202" s="598" t="s">
        <v>321</v>
      </c>
      <c r="Z202" s="598" t="s">
        <v>321</v>
      </c>
      <c r="AA202" s="598" t="s">
        <v>3309</v>
      </c>
      <c r="AB202" s="598" t="s">
        <v>3309</v>
      </c>
      <c r="AC202" s="598" t="s">
        <v>3309</v>
      </c>
      <c r="AD202" s="598" t="s">
        <v>3309</v>
      </c>
      <c r="AE202" s="598" t="s">
        <v>3309</v>
      </c>
      <c r="AF202" s="598" t="s">
        <v>321</v>
      </c>
      <c r="AG202" s="598" t="s">
        <v>321</v>
      </c>
      <c r="AH202" s="598" t="s">
        <v>3309</v>
      </c>
      <c r="AI202" s="598" t="s">
        <v>321</v>
      </c>
      <c r="AJ202" s="599">
        <v>21</v>
      </c>
      <c r="AK202" s="600">
        <v>21</v>
      </c>
      <c r="AL202" s="601">
        <v>0</v>
      </c>
      <c r="AM202" s="601">
        <v>0</v>
      </c>
      <c r="AN202" s="599">
        <v>21</v>
      </c>
    </row>
    <row r="203" spans="1:40" ht="16.5" customHeight="1">
      <c r="A203" s="598" t="s">
        <v>3307</v>
      </c>
      <c r="B203" s="598" t="s">
        <v>3323</v>
      </c>
      <c r="C203" s="598" t="s">
        <v>2668</v>
      </c>
      <c r="D203" s="598" t="s">
        <v>2669</v>
      </c>
      <c r="E203" s="598" t="s">
        <v>321</v>
      </c>
      <c r="F203" s="598" t="s">
        <v>3309</v>
      </c>
      <c r="G203" s="598" t="s">
        <v>3309</v>
      </c>
      <c r="H203" s="598" t="s">
        <v>3309</v>
      </c>
      <c r="I203" s="598" t="s">
        <v>3309</v>
      </c>
      <c r="J203" s="598" t="s">
        <v>3309</v>
      </c>
      <c r="K203" s="598" t="s">
        <v>321</v>
      </c>
      <c r="L203" s="598" t="s">
        <v>321</v>
      </c>
      <c r="M203" s="598" t="s">
        <v>3309</v>
      </c>
      <c r="N203" s="598" t="s">
        <v>3309</v>
      </c>
      <c r="O203" s="598" t="s">
        <v>3309</v>
      </c>
      <c r="P203" s="598" t="s">
        <v>3309</v>
      </c>
      <c r="Q203" s="598" t="s">
        <v>3309</v>
      </c>
      <c r="R203" s="598" t="s">
        <v>321</v>
      </c>
      <c r="S203" s="598" t="s">
        <v>321</v>
      </c>
      <c r="T203" s="598" t="s">
        <v>3309</v>
      </c>
      <c r="U203" s="598" t="s">
        <v>3309</v>
      </c>
      <c r="V203" s="598" t="s">
        <v>3309</v>
      </c>
      <c r="W203" s="598" t="s">
        <v>3309</v>
      </c>
      <c r="X203" s="598" t="s">
        <v>3309</v>
      </c>
      <c r="Y203" s="598" t="s">
        <v>321</v>
      </c>
      <c r="Z203" s="598" t="s">
        <v>321</v>
      </c>
      <c r="AA203" s="598" t="s">
        <v>3309</v>
      </c>
      <c r="AB203" s="598" t="s">
        <v>3309</v>
      </c>
      <c r="AC203" s="598" t="s">
        <v>3309</v>
      </c>
      <c r="AD203" s="598" t="s">
        <v>3309</v>
      </c>
      <c r="AE203" s="598" t="s">
        <v>3309</v>
      </c>
      <c r="AF203" s="598" t="s">
        <v>321</v>
      </c>
      <c r="AG203" s="598" t="s">
        <v>321</v>
      </c>
      <c r="AH203" s="598" t="s">
        <v>3309</v>
      </c>
      <c r="AI203" s="598" t="s">
        <v>321</v>
      </c>
      <c r="AJ203" s="599">
        <v>21</v>
      </c>
      <c r="AK203" s="600">
        <v>21</v>
      </c>
      <c r="AL203" s="601">
        <v>0</v>
      </c>
      <c r="AM203" s="601">
        <v>0</v>
      </c>
      <c r="AN203" s="599">
        <v>21</v>
      </c>
    </row>
    <row r="204" spans="1:40" ht="16.5" customHeight="1">
      <c r="A204" s="598" t="s">
        <v>3307</v>
      </c>
      <c r="B204" s="598" t="s">
        <v>3323</v>
      </c>
      <c r="C204" s="598" t="s">
        <v>2740</v>
      </c>
      <c r="D204" s="598" t="s">
        <v>2741</v>
      </c>
      <c r="E204" s="598" t="s">
        <v>321</v>
      </c>
      <c r="F204" s="598" t="s">
        <v>3309</v>
      </c>
      <c r="G204" s="598" t="s">
        <v>3309</v>
      </c>
      <c r="H204" s="598" t="s">
        <v>3309</v>
      </c>
      <c r="I204" s="598" t="s">
        <v>3309</v>
      </c>
      <c r="J204" s="598" t="s">
        <v>3309</v>
      </c>
      <c r="K204" s="598" t="s">
        <v>321</v>
      </c>
      <c r="L204" s="598" t="s">
        <v>321</v>
      </c>
      <c r="M204" s="598" t="s">
        <v>3309</v>
      </c>
      <c r="N204" s="598" t="s">
        <v>3309</v>
      </c>
      <c r="O204" s="598" t="s">
        <v>3309</v>
      </c>
      <c r="P204" s="598" t="s">
        <v>3309</v>
      </c>
      <c r="Q204" s="598" t="s">
        <v>3312</v>
      </c>
      <c r="R204" s="598" t="s">
        <v>321</v>
      </c>
      <c r="S204" s="598" t="s">
        <v>321</v>
      </c>
      <c r="T204" s="598" t="s">
        <v>3309</v>
      </c>
      <c r="U204" s="598" t="s">
        <v>3309</v>
      </c>
      <c r="V204" s="598" t="s">
        <v>3309</v>
      </c>
      <c r="W204" s="598" t="s">
        <v>3309</v>
      </c>
      <c r="X204" s="598" t="s">
        <v>3309</v>
      </c>
      <c r="Y204" s="598" t="s">
        <v>321</v>
      </c>
      <c r="Z204" s="598" t="s">
        <v>321</v>
      </c>
      <c r="AA204" s="598" t="s">
        <v>3309</v>
      </c>
      <c r="AB204" s="598" t="s">
        <v>3309</v>
      </c>
      <c r="AC204" s="598" t="s">
        <v>3309</v>
      </c>
      <c r="AD204" s="598" t="s">
        <v>3309</v>
      </c>
      <c r="AE204" s="598" t="s">
        <v>3309</v>
      </c>
      <c r="AF204" s="598" t="s">
        <v>321</v>
      </c>
      <c r="AG204" s="598" t="s">
        <v>321</v>
      </c>
      <c r="AH204" s="598" t="s">
        <v>3309</v>
      </c>
      <c r="AI204" s="598" t="s">
        <v>321</v>
      </c>
      <c r="AJ204" s="599">
        <v>21</v>
      </c>
      <c r="AK204" s="600">
        <v>20</v>
      </c>
      <c r="AL204" s="602">
        <v>1</v>
      </c>
      <c r="AM204" s="601">
        <v>0</v>
      </c>
      <c r="AN204" s="599">
        <v>21</v>
      </c>
    </row>
    <row r="205" spans="1:40" ht="16.5" customHeight="1">
      <c r="A205" s="598" t="s">
        <v>3307</v>
      </c>
      <c r="B205" s="598" t="s">
        <v>3323</v>
      </c>
      <c r="C205" s="598" t="s">
        <v>2574</v>
      </c>
      <c r="D205" s="598" t="s">
        <v>2575</v>
      </c>
      <c r="E205" s="598" t="s">
        <v>321</v>
      </c>
      <c r="F205" s="598" t="s">
        <v>3309</v>
      </c>
      <c r="G205" s="598" t="s">
        <v>3309</v>
      </c>
      <c r="H205" s="598" t="s">
        <v>3309</v>
      </c>
      <c r="I205" s="598" t="s">
        <v>3309</v>
      </c>
      <c r="J205" s="598" t="s">
        <v>3309</v>
      </c>
      <c r="K205" s="598" t="s">
        <v>321</v>
      </c>
      <c r="L205" s="598" t="s">
        <v>321</v>
      </c>
      <c r="M205" s="598" t="s">
        <v>3309</v>
      </c>
      <c r="N205" s="598" t="s">
        <v>3309</v>
      </c>
      <c r="O205" s="598" t="s">
        <v>3309</v>
      </c>
      <c r="P205" s="598" t="s">
        <v>3309</v>
      </c>
      <c r="Q205" s="598" t="s">
        <v>3309</v>
      </c>
      <c r="R205" s="598" t="s">
        <v>321</v>
      </c>
      <c r="S205" s="598" t="s">
        <v>321</v>
      </c>
      <c r="T205" s="598" t="s">
        <v>3309</v>
      </c>
      <c r="U205" s="598" t="s">
        <v>3309</v>
      </c>
      <c r="V205" s="598" t="s">
        <v>3309</v>
      </c>
      <c r="W205" s="598" t="s">
        <v>3309</v>
      </c>
      <c r="X205" s="598" t="s">
        <v>3309</v>
      </c>
      <c r="Y205" s="598" t="s">
        <v>321</v>
      </c>
      <c r="Z205" s="598" t="s">
        <v>321</v>
      </c>
      <c r="AA205" s="598" t="s">
        <v>3309</v>
      </c>
      <c r="AB205" s="598" t="s">
        <v>3309</v>
      </c>
      <c r="AC205" s="598" t="s">
        <v>3309</v>
      </c>
      <c r="AD205" s="598" t="s">
        <v>3309</v>
      </c>
      <c r="AE205" s="598" t="s">
        <v>3309</v>
      </c>
      <c r="AF205" s="598" t="s">
        <v>321</v>
      </c>
      <c r="AG205" s="598" t="s">
        <v>321</v>
      </c>
      <c r="AH205" s="598" t="s">
        <v>3309</v>
      </c>
      <c r="AI205" s="598" t="s">
        <v>321</v>
      </c>
      <c r="AJ205" s="599">
        <v>21</v>
      </c>
      <c r="AK205" s="600">
        <v>21</v>
      </c>
      <c r="AL205" s="601">
        <v>0</v>
      </c>
      <c r="AM205" s="601">
        <v>0</v>
      </c>
      <c r="AN205" s="599">
        <v>21</v>
      </c>
    </row>
    <row r="206" spans="1:40" ht="16.5" customHeight="1">
      <c r="A206" s="598" t="s">
        <v>3307</v>
      </c>
      <c r="B206" s="598" t="s">
        <v>3323</v>
      </c>
      <c r="C206" s="598" t="s">
        <v>1730</v>
      </c>
      <c r="D206" s="598" t="s">
        <v>1731</v>
      </c>
      <c r="E206" s="598" t="s">
        <v>321</v>
      </c>
      <c r="F206" s="598" t="s">
        <v>3309</v>
      </c>
      <c r="G206" s="598" t="s">
        <v>3309</v>
      </c>
      <c r="H206" s="598" t="s">
        <v>3309</v>
      </c>
      <c r="I206" s="598" t="s">
        <v>3309</v>
      </c>
      <c r="J206" s="598" t="s">
        <v>3309</v>
      </c>
      <c r="K206" s="598" t="s">
        <v>321</v>
      </c>
      <c r="L206" s="598" t="s">
        <v>321</v>
      </c>
      <c r="M206" s="598" t="s">
        <v>3309</v>
      </c>
      <c r="N206" s="598" t="s">
        <v>3309</v>
      </c>
      <c r="O206" s="598" t="s">
        <v>3309</v>
      </c>
      <c r="P206" s="598" t="s">
        <v>3309</v>
      </c>
      <c r="Q206" s="598" t="s">
        <v>3309</v>
      </c>
      <c r="R206" s="598" t="s">
        <v>321</v>
      </c>
      <c r="S206" s="598" t="s">
        <v>321</v>
      </c>
      <c r="T206" s="598" t="s">
        <v>3309</v>
      </c>
      <c r="U206" s="598" t="s">
        <v>3309</v>
      </c>
      <c r="V206" s="598" t="s">
        <v>3309</v>
      </c>
      <c r="W206" s="598" t="s">
        <v>3309</v>
      </c>
      <c r="X206" s="598" t="s">
        <v>3309</v>
      </c>
      <c r="Y206" s="598" t="s">
        <v>321</v>
      </c>
      <c r="Z206" s="598" t="s">
        <v>321</v>
      </c>
      <c r="AA206" s="598" t="s">
        <v>3309</v>
      </c>
      <c r="AB206" s="598" t="s">
        <v>3309</v>
      </c>
      <c r="AC206" s="598" t="s">
        <v>3309</v>
      </c>
      <c r="AD206" s="598" t="s">
        <v>3312</v>
      </c>
      <c r="AE206" s="598" t="s">
        <v>3309</v>
      </c>
      <c r="AF206" s="598" t="s">
        <v>321</v>
      </c>
      <c r="AG206" s="598" t="s">
        <v>321</v>
      </c>
      <c r="AH206" s="598" t="s">
        <v>3309</v>
      </c>
      <c r="AI206" s="598" t="s">
        <v>321</v>
      </c>
      <c r="AJ206" s="599">
        <v>21</v>
      </c>
      <c r="AK206" s="600">
        <v>20</v>
      </c>
      <c r="AL206" s="602">
        <v>1</v>
      </c>
      <c r="AM206" s="601">
        <v>0</v>
      </c>
      <c r="AN206" s="599">
        <v>21</v>
      </c>
    </row>
    <row r="207" spans="1:40" ht="16.5" customHeight="1">
      <c r="A207" s="598" t="s">
        <v>3307</v>
      </c>
      <c r="B207" s="598" t="s">
        <v>3323</v>
      </c>
      <c r="C207" s="598" t="s">
        <v>553</v>
      </c>
      <c r="D207" s="598" t="s">
        <v>554</v>
      </c>
      <c r="E207" s="598" t="s">
        <v>321</v>
      </c>
      <c r="F207" s="598" t="s">
        <v>3309</v>
      </c>
      <c r="G207" s="598" t="s">
        <v>3309</v>
      </c>
      <c r="H207" s="598" t="s">
        <v>3309</v>
      </c>
      <c r="I207" s="598" t="s">
        <v>3309</v>
      </c>
      <c r="J207" s="598" t="s">
        <v>3312</v>
      </c>
      <c r="K207" s="598" t="s">
        <v>321</v>
      </c>
      <c r="L207" s="598" t="s">
        <v>321</v>
      </c>
      <c r="M207" s="598" t="s">
        <v>3309</v>
      </c>
      <c r="N207" s="598" t="s">
        <v>3309</v>
      </c>
      <c r="O207" s="598" t="s">
        <v>3309</v>
      </c>
      <c r="P207" s="598" t="s">
        <v>3309</v>
      </c>
      <c r="Q207" s="598" t="s">
        <v>3309</v>
      </c>
      <c r="R207" s="598" t="s">
        <v>321</v>
      </c>
      <c r="S207" s="598" t="s">
        <v>321</v>
      </c>
      <c r="T207" s="598" t="s">
        <v>3309</v>
      </c>
      <c r="U207" s="598" t="s">
        <v>3309</v>
      </c>
      <c r="V207" s="598" t="s">
        <v>3309</v>
      </c>
      <c r="W207" s="598" t="s">
        <v>3309</v>
      </c>
      <c r="X207" s="598" t="s">
        <v>3309</v>
      </c>
      <c r="Y207" s="598" t="s">
        <v>321</v>
      </c>
      <c r="Z207" s="598" t="s">
        <v>321</v>
      </c>
      <c r="AA207" s="598" t="s">
        <v>3309</v>
      </c>
      <c r="AB207" s="598" t="s">
        <v>3309</v>
      </c>
      <c r="AC207" s="598" t="s">
        <v>3309</v>
      </c>
      <c r="AD207" s="598" t="s">
        <v>3309</v>
      </c>
      <c r="AE207" s="598" t="s">
        <v>3309</v>
      </c>
      <c r="AF207" s="598" t="s">
        <v>321</v>
      </c>
      <c r="AG207" s="598" t="s">
        <v>321</v>
      </c>
      <c r="AH207" s="598" t="s">
        <v>3309</v>
      </c>
      <c r="AI207" s="598" t="s">
        <v>321</v>
      </c>
      <c r="AJ207" s="599">
        <v>21</v>
      </c>
      <c r="AK207" s="600">
        <v>20</v>
      </c>
      <c r="AL207" s="602">
        <v>1</v>
      </c>
      <c r="AM207" s="601">
        <v>0</v>
      </c>
      <c r="AN207" s="599">
        <v>21</v>
      </c>
    </row>
    <row r="208" spans="1:40" ht="16.5" customHeight="1">
      <c r="A208" s="598" t="s">
        <v>3307</v>
      </c>
      <c r="B208" s="598" t="s">
        <v>3323</v>
      </c>
      <c r="C208" s="598" t="s">
        <v>1139</v>
      </c>
      <c r="D208" s="598" t="s">
        <v>1140</v>
      </c>
      <c r="E208" s="598" t="s">
        <v>321</v>
      </c>
      <c r="F208" s="598" t="s">
        <v>3309</v>
      </c>
      <c r="G208" s="598" t="s">
        <v>3309</v>
      </c>
      <c r="H208" s="598" t="s">
        <v>3309</v>
      </c>
      <c r="I208" s="598" t="s">
        <v>3309</v>
      </c>
      <c r="J208" s="598" t="s">
        <v>3309</v>
      </c>
      <c r="K208" s="598" t="s">
        <v>321</v>
      </c>
      <c r="L208" s="598" t="s">
        <v>321</v>
      </c>
      <c r="M208" s="598" t="s">
        <v>3309</v>
      </c>
      <c r="N208" s="598" t="s">
        <v>3309</v>
      </c>
      <c r="O208" s="598" t="s">
        <v>3309</v>
      </c>
      <c r="P208" s="598" t="s">
        <v>3309</v>
      </c>
      <c r="Q208" s="598" t="s">
        <v>3309</v>
      </c>
      <c r="R208" s="598" t="s">
        <v>321</v>
      </c>
      <c r="S208" s="598" t="s">
        <v>321</v>
      </c>
      <c r="T208" s="598" t="s">
        <v>3309</v>
      </c>
      <c r="U208" s="598" t="s">
        <v>3309</v>
      </c>
      <c r="V208" s="598" t="s">
        <v>3309</v>
      </c>
      <c r="W208" s="598" t="s">
        <v>3309</v>
      </c>
      <c r="X208" s="598" t="s">
        <v>3309</v>
      </c>
      <c r="Y208" s="598" t="s">
        <v>321</v>
      </c>
      <c r="Z208" s="598" t="s">
        <v>321</v>
      </c>
      <c r="AA208" s="598" t="s">
        <v>3309</v>
      </c>
      <c r="AB208" s="598" t="s">
        <v>3309</v>
      </c>
      <c r="AC208" s="598" t="s">
        <v>3309</v>
      </c>
      <c r="AD208" s="598" t="s">
        <v>3309</v>
      </c>
      <c r="AE208" s="598" t="s">
        <v>3309</v>
      </c>
      <c r="AF208" s="598" t="s">
        <v>321</v>
      </c>
      <c r="AG208" s="598" t="s">
        <v>321</v>
      </c>
      <c r="AH208" s="598" t="s">
        <v>3309</v>
      </c>
      <c r="AI208" s="598" t="s">
        <v>321</v>
      </c>
      <c r="AJ208" s="599">
        <v>21</v>
      </c>
      <c r="AK208" s="600">
        <v>21</v>
      </c>
      <c r="AL208" s="601">
        <v>0</v>
      </c>
      <c r="AM208" s="601">
        <v>0</v>
      </c>
      <c r="AN208" s="599">
        <v>21</v>
      </c>
    </row>
    <row r="209" spans="1:40" ht="16.5" customHeight="1">
      <c r="A209" s="598" t="s">
        <v>3307</v>
      </c>
      <c r="B209" s="598" t="s">
        <v>3324</v>
      </c>
      <c r="C209" s="598" t="s">
        <v>1917</v>
      </c>
      <c r="D209" s="598" t="s">
        <v>1918</v>
      </c>
      <c r="E209" s="598" t="s">
        <v>321</v>
      </c>
      <c r="F209" s="598" t="s">
        <v>3309</v>
      </c>
      <c r="G209" s="598" t="s">
        <v>3309</v>
      </c>
      <c r="H209" s="598" t="s">
        <v>3309</v>
      </c>
      <c r="I209" s="598" t="s">
        <v>3309</v>
      </c>
      <c r="J209" s="598" t="s">
        <v>3309</v>
      </c>
      <c r="K209" s="598" t="s">
        <v>321</v>
      </c>
      <c r="L209" s="598" t="s">
        <v>321</v>
      </c>
      <c r="M209" s="598" t="s">
        <v>3309</v>
      </c>
      <c r="N209" s="598" t="s">
        <v>3309</v>
      </c>
      <c r="O209" s="598" t="s">
        <v>3309</v>
      </c>
      <c r="P209" s="598" t="s">
        <v>3309</v>
      </c>
      <c r="Q209" s="598" t="s">
        <v>3309</v>
      </c>
      <c r="R209" s="598" t="s">
        <v>321</v>
      </c>
      <c r="S209" s="598" t="s">
        <v>321</v>
      </c>
      <c r="T209" s="598" t="s">
        <v>3309</v>
      </c>
      <c r="U209" s="598" t="s">
        <v>3309</v>
      </c>
      <c r="V209" s="598" t="s">
        <v>3309</v>
      </c>
      <c r="W209" s="598" t="s">
        <v>3309</v>
      </c>
      <c r="X209" s="598" t="s">
        <v>3309</v>
      </c>
      <c r="Y209" s="598" t="s">
        <v>321</v>
      </c>
      <c r="Z209" s="598" t="s">
        <v>321</v>
      </c>
      <c r="AA209" s="598" t="s">
        <v>3309</v>
      </c>
      <c r="AB209" s="598" t="s">
        <v>3309</v>
      </c>
      <c r="AC209" s="598" t="s">
        <v>3309</v>
      </c>
      <c r="AD209" s="598" t="s">
        <v>3309</v>
      </c>
      <c r="AE209" s="598" t="s">
        <v>3309</v>
      </c>
      <c r="AF209" s="598" t="s">
        <v>321</v>
      </c>
      <c r="AG209" s="598" t="s">
        <v>321</v>
      </c>
      <c r="AH209" s="598" t="s">
        <v>3309</v>
      </c>
      <c r="AI209" s="598" t="s">
        <v>321</v>
      </c>
      <c r="AJ209" s="599">
        <v>21</v>
      </c>
      <c r="AK209" s="600">
        <v>21</v>
      </c>
      <c r="AL209" s="601">
        <v>0</v>
      </c>
      <c r="AM209" s="601">
        <v>0</v>
      </c>
      <c r="AN209" s="599">
        <v>21</v>
      </c>
    </row>
    <row r="210" spans="1:40" ht="16.5" customHeight="1">
      <c r="A210" s="598" t="s">
        <v>3307</v>
      </c>
      <c r="B210" s="598" t="s">
        <v>3324</v>
      </c>
      <c r="C210" s="598" t="s">
        <v>894</v>
      </c>
      <c r="D210" s="598" t="s">
        <v>895</v>
      </c>
      <c r="E210" s="598" t="s">
        <v>321</v>
      </c>
      <c r="F210" s="598" t="s">
        <v>3309</v>
      </c>
      <c r="G210" s="598" t="s">
        <v>3309</v>
      </c>
      <c r="H210" s="598" t="s">
        <v>3309</v>
      </c>
      <c r="I210" s="598" t="s">
        <v>3309</v>
      </c>
      <c r="J210" s="598" t="s">
        <v>3309</v>
      </c>
      <c r="K210" s="598" t="s">
        <v>321</v>
      </c>
      <c r="L210" s="598" t="s">
        <v>321</v>
      </c>
      <c r="M210" s="598" t="s">
        <v>3309</v>
      </c>
      <c r="N210" s="598" t="s">
        <v>3309</v>
      </c>
      <c r="O210" s="598" t="s">
        <v>3309</v>
      </c>
      <c r="P210" s="598" t="s">
        <v>3309</v>
      </c>
      <c r="Q210" s="598" t="s">
        <v>3309</v>
      </c>
      <c r="R210" s="598" t="s">
        <v>321</v>
      </c>
      <c r="S210" s="598" t="s">
        <v>321</v>
      </c>
      <c r="T210" s="598" t="s">
        <v>3309</v>
      </c>
      <c r="U210" s="598" t="s">
        <v>3309</v>
      </c>
      <c r="V210" s="598" t="s">
        <v>3309</v>
      </c>
      <c r="W210" s="598" t="s">
        <v>3309</v>
      </c>
      <c r="X210" s="598" t="s">
        <v>3309</v>
      </c>
      <c r="Y210" s="598" t="s">
        <v>321</v>
      </c>
      <c r="Z210" s="598" t="s">
        <v>321</v>
      </c>
      <c r="AA210" s="598" t="s">
        <v>3309</v>
      </c>
      <c r="AB210" s="598" t="s">
        <v>3309</v>
      </c>
      <c r="AC210" s="598" t="s">
        <v>3309</v>
      </c>
      <c r="AD210" s="598" t="s">
        <v>3309</v>
      </c>
      <c r="AE210" s="598" t="s">
        <v>3309</v>
      </c>
      <c r="AF210" s="598" t="s">
        <v>321</v>
      </c>
      <c r="AG210" s="598" t="s">
        <v>321</v>
      </c>
      <c r="AH210" s="598" t="s">
        <v>3309</v>
      </c>
      <c r="AI210" s="598" t="s">
        <v>321</v>
      </c>
      <c r="AJ210" s="599">
        <v>21</v>
      </c>
      <c r="AK210" s="600">
        <v>21</v>
      </c>
      <c r="AL210" s="601">
        <v>0</v>
      </c>
      <c r="AM210" s="601">
        <v>0</v>
      </c>
      <c r="AN210" s="599">
        <v>21</v>
      </c>
    </row>
    <row r="211" spans="1:40" ht="16.5" customHeight="1">
      <c r="A211" s="598" t="s">
        <v>3307</v>
      </c>
      <c r="B211" s="598" t="s">
        <v>3324</v>
      </c>
      <c r="C211" s="598" t="s">
        <v>2637</v>
      </c>
      <c r="D211" s="598" t="s">
        <v>2638</v>
      </c>
      <c r="E211" s="598" t="s">
        <v>321</v>
      </c>
      <c r="F211" s="598" t="s">
        <v>3309</v>
      </c>
      <c r="G211" s="598" t="s">
        <v>3309</v>
      </c>
      <c r="H211" s="598" t="s">
        <v>3309</v>
      </c>
      <c r="I211" s="598" t="s">
        <v>3309</v>
      </c>
      <c r="J211" s="598" t="s">
        <v>3309</v>
      </c>
      <c r="K211" s="598" t="s">
        <v>321</v>
      </c>
      <c r="L211" s="598" t="s">
        <v>321</v>
      </c>
      <c r="M211" s="598" t="s">
        <v>3309</v>
      </c>
      <c r="N211" s="598" t="s">
        <v>3309</v>
      </c>
      <c r="O211" s="598" t="s">
        <v>3309</v>
      </c>
      <c r="P211" s="598" t="s">
        <v>3309</v>
      </c>
      <c r="Q211" s="598" t="s">
        <v>3309</v>
      </c>
      <c r="R211" s="598" t="s">
        <v>321</v>
      </c>
      <c r="S211" s="598" t="s">
        <v>321</v>
      </c>
      <c r="T211" s="598" t="s">
        <v>3309</v>
      </c>
      <c r="U211" s="598" t="s">
        <v>3309</v>
      </c>
      <c r="V211" s="598" t="s">
        <v>3309</v>
      </c>
      <c r="W211" s="598" t="s">
        <v>3309</v>
      </c>
      <c r="X211" s="598" t="s">
        <v>3309</v>
      </c>
      <c r="Y211" s="598" t="s">
        <v>321</v>
      </c>
      <c r="Z211" s="598" t="s">
        <v>321</v>
      </c>
      <c r="AA211" s="598" t="s">
        <v>3309</v>
      </c>
      <c r="AB211" s="598" t="s">
        <v>3309</v>
      </c>
      <c r="AC211" s="598" t="s">
        <v>3309</v>
      </c>
      <c r="AD211" s="598" t="s">
        <v>3309</v>
      </c>
      <c r="AE211" s="598" t="s">
        <v>3309</v>
      </c>
      <c r="AF211" s="598" t="s">
        <v>321</v>
      </c>
      <c r="AG211" s="598" t="s">
        <v>321</v>
      </c>
      <c r="AH211" s="598" t="s">
        <v>3309</v>
      </c>
      <c r="AI211" s="598" t="s">
        <v>321</v>
      </c>
      <c r="AJ211" s="599">
        <v>21</v>
      </c>
      <c r="AK211" s="600">
        <v>21</v>
      </c>
      <c r="AL211" s="601">
        <v>0</v>
      </c>
      <c r="AM211" s="601">
        <v>0</v>
      </c>
      <c r="AN211" s="599">
        <v>21</v>
      </c>
    </row>
    <row r="212" spans="1:40" ht="16.5" customHeight="1">
      <c r="A212" s="598" t="s">
        <v>3307</v>
      </c>
      <c r="B212" s="598" t="s">
        <v>3324</v>
      </c>
      <c r="C212" s="598" t="s">
        <v>2106</v>
      </c>
      <c r="D212" s="598" t="s">
        <v>2107</v>
      </c>
      <c r="E212" s="598" t="s">
        <v>321</v>
      </c>
      <c r="F212" s="598" t="s">
        <v>3309</v>
      </c>
      <c r="G212" s="598" t="s">
        <v>3309</v>
      </c>
      <c r="H212" s="598" t="s">
        <v>3309</v>
      </c>
      <c r="I212" s="598" t="s">
        <v>3309</v>
      </c>
      <c r="J212" s="598" t="s">
        <v>3309</v>
      </c>
      <c r="K212" s="598" t="s">
        <v>321</v>
      </c>
      <c r="L212" s="598" t="s">
        <v>321</v>
      </c>
      <c r="M212" s="598" t="s">
        <v>3309</v>
      </c>
      <c r="N212" s="598" t="s">
        <v>3309</v>
      </c>
      <c r="O212" s="598" t="s">
        <v>3309</v>
      </c>
      <c r="P212" s="598" t="s">
        <v>3309</v>
      </c>
      <c r="Q212" s="598" t="s">
        <v>3309</v>
      </c>
      <c r="R212" s="598" t="s">
        <v>321</v>
      </c>
      <c r="S212" s="598" t="s">
        <v>321</v>
      </c>
      <c r="T212" s="598" t="s">
        <v>3309</v>
      </c>
      <c r="U212" s="598" t="s">
        <v>3309</v>
      </c>
      <c r="V212" s="598" t="s">
        <v>3309</v>
      </c>
      <c r="W212" s="598" t="s">
        <v>3309</v>
      </c>
      <c r="X212" s="598" t="s">
        <v>3309</v>
      </c>
      <c r="Y212" s="598" t="s">
        <v>321</v>
      </c>
      <c r="Z212" s="598" t="s">
        <v>321</v>
      </c>
      <c r="AA212" s="598" t="s">
        <v>3309</v>
      </c>
      <c r="AB212" s="598" t="s">
        <v>3309</v>
      </c>
      <c r="AC212" s="598" t="s">
        <v>3309</v>
      </c>
      <c r="AD212" s="598" t="s">
        <v>3309</v>
      </c>
      <c r="AE212" s="598" t="s">
        <v>3309</v>
      </c>
      <c r="AF212" s="598" t="s">
        <v>321</v>
      </c>
      <c r="AG212" s="598" t="s">
        <v>321</v>
      </c>
      <c r="AH212" s="598" t="s">
        <v>3309</v>
      </c>
      <c r="AI212" s="598" t="s">
        <v>321</v>
      </c>
      <c r="AJ212" s="599">
        <v>21</v>
      </c>
      <c r="AK212" s="600">
        <v>21</v>
      </c>
      <c r="AL212" s="601">
        <v>0</v>
      </c>
      <c r="AM212" s="601">
        <v>0</v>
      </c>
      <c r="AN212" s="599">
        <v>21</v>
      </c>
    </row>
    <row r="213" spans="1:40" ht="16.5" customHeight="1">
      <c r="A213" s="598" t="s">
        <v>3307</v>
      </c>
      <c r="B213" s="598" t="s">
        <v>3324</v>
      </c>
      <c r="C213" s="598" t="s">
        <v>336</v>
      </c>
      <c r="D213" s="598" t="s">
        <v>337</v>
      </c>
      <c r="E213" s="598" t="s">
        <v>321</v>
      </c>
      <c r="F213" s="598" t="s">
        <v>3309</v>
      </c>
      <c r="G213" s="598" t="s">
        <v>3312</v>
      </c>
      <c r="H213" s="598" t="s">
        <v>3309</v>
      </c>
      <c r="I213" s="598" t="s">
        <v>3309</v>
      </c>
      <c r="J213" s="598" t="s">
        <v>3309</v>
      </c>
      <c r="K213" s="598" t="s">
        <v>321</v>
      </c>
      <c r="L213" s="598" t="s">
        <v>321</v>
      </c>
      <c r="M213" s="598" t="s">
        <v>3309</v>
      </c>
      <c r="N213" s="598" t="s">
        <v>3309</v>
      </c>
      <c r="O213" s="598" t="s">
        <v>3309</v>
      </c>
      <c r="P213" s="598" t="s">
        <v>3309</v>
      </c>
      <c r="Q213" s="598" t="s">
        <v>3309</v>
      </c>
      <c r="R213" s="598" t="s">
        <v>321</v>
      </c>
      <c r="S213" s="598" t="s">
        <v>321</v>
      </c>
      <c r="T213" s="598" t="s">
        <v>3309</v>
      </c>
      <c r="U213" s="598" t="s">
        <v>3309</v>
      </c>
      <c r="V213" s="598" t="s">
        <v>3309</v>
      </c>
      <c r="W213" s="598" t="s">
        <v>3309</v>
      </c>
      <c r="X213" s="598" t="s">
        <v>3309</v>
      </c>
      <c r="Y213" s="598" t="s">
        <v>321</v>
      </c>
      <c r="Z213" s="598" t="s">
        <v>321</v>
      </c>
      <c r="AA213" s="598" t="s">
        <v>3309</v>
      </c>
      <c r="AB213" s="598" t="s">
        <v>3309</v>
      </c>
      <c r="AC213" s="598" t="s">
        <v>3309</v>
      </c>
      <c r="AD213" s="598" t="s">
        <v>3309</v>
      </c>
      <c r="AE213" s="598" t="s">
        <v>3309</v>
      </c>
      <c r="AF213" s="598" t="s">
        <v>321</v>
      </c>
      <c r="AG213" s="598" t="s">
        <v>321</v>
      </c>
      <c r="AH213" s="598" t="s">
        <v>3309</v>
      </c>
      <c r="AI213" s="598" t="s">
        <v>321</v>
      </c>
      <c r="AJ213" s="599">
        <v>21</v>
      </c>
      <c r="AK213" s="600">
        <v>20</v>
      </c>
      <c r="AL213" s="602">
        <v>1</v>
      </c>
      <c r="AM213" s="601">
        <v>0</v>
      </c>
      <c r="AN213" s="599">
        <v>21</v>
      </c>
    </row>
    <row r="214" spans="1:40" ht="16.5" customHeight="1">
      <c r="A214" s="598" t="s">
        <v>3307</v>
      </c>
      <c r="B214" s="598" t="s">
        <v>3324</v>
      </c>
      <c r="C214" s="598" t="s">
        <v>2657</v>
      </c>
      <c r="D214" s="598" t="s">
        <v>2097</v>
      </c>
      <c r="E214" s="598" t="s">
        <v>321</v>
      </c>
      <c r="F214" s="598" t="s">
        <v>3309</v>
      </c>
      <c r="G214" s="598" t="s">
        <v>3309</v>
      </c>
      <c r="H214" s="598" t="s">
        <v>3309</v>
      </c>
      <c r="I214" s="598" t="s">
        <v>3309</v>
      </c>
      <c r="J214" s="598" t="s">
        <v>3309</v>
      </c>
      <c r="K214" s="598" t="s">
        <v>321</v>
      </c>
      <c r="L214" s="598" t="s">
        <v>321</v>
      </c>
      <c r="M214" s="598" t="s">
        <v>3309</v>
      </c>
      <c r="N214" s="598" t="s">
        <v>3309</v>
      </c>
      <c r="O214" s="598" t="s">
        <v>3309</v>
      </c>
      <c r="P214" s="598" t="s">
        <v>3309</v>
      </c>
      <c r="Q214" s="598" t="s">
        <v>3309</v>
      </c>
      <c r="R214" s="598" t="s">
        <v>321</v>
      </c>
      <c r="S214" s="598" t="s">
        <v>321</v>
      </c>
      <c r="T214" s="598" t="s">
        <v>3309</v>
      </c>
      <c r="U214" s="598" t="s">
        <v>3309</v>
      </c>
      <c r="V214" s="598" t="s">
        <v>3309</v>
      </c>
      <c r="W214" s="598" t="s">
        <v>3309</v>
      </c>
      <c r="X214" s="598" t="s">
        <v>3309</v>
      </c>
      <c r="Y214" s="598" t="s">
        <v>321</v>
      </c>
      <c r="Z214" s="598" t="s">
        <v>321</v>
      </c>
      <c r="AA214" s="598" t="s">
        <v>3309</v>
      </c>
      <c r="AB214" s="598" t="s">
        <v>3309</v>
      </c>
      <c r="AC214" s="598" t="s">
        <v>3309</v>
      </c>
      <c r="AD214" s="598" t="s">
        <v>3309</v>
      </c>
      <c r="AE214" s="598" t="s">
        <v>3309</v>
      </c>
      <c r="AF214" s="598" t="s">
        <v>321</v>
      </c>
      <c r="AG214" s="598" t="s">
        <v>321</v>
      </c>
      <c r="AH214" s="598" t="s">
        <v>3309</v>
      </c>
      <c r="AI214" s="598" t="s">
        <v>321</v>
      </c>
      <c r="AJ214" s="599">
        <v>21</v>
      </c>
      <c r="AK214" s="600">
        <v>21</v>
      </c>
      <c r="AL214" s="601">
        <v>0</v>
      </c>
      <c r="AM214" s="601">
        <v>0</v>
      </c>
      <c r="AN214" s="599">
        <v>21</v>
      </c>
    </row>
    <row r="215" spans="1:40" ht="16.5" customHeight="1">
      <c r="A215" s="598" t="s">
        <v>3307</v>
      </c>
      <c r="B215" s="598" t="s">
        <v>3324</v>
      </c>
      <c r="C215" s="598" t="s">
        <v>2243</v>
      </c>
      <c r="D215" s="598" t="s">
        <v>2244</v>
      </c>
      <c r="E215" s="598" t="s">
        <v>321</v>
      </c>
      <c r="F215" s="598" t="s">
        <v>3309</v>
      </c>
      <c r="G215" s="598" t="s">
        <v>3309</v>
      </c>
      <c r="H215" s="598" t="s">
        <v>3309</v>
      </c>
      <c r="I215" s="598" t="s">
        <v>3309</v>
      </c>
      <c r="J215" s="598" t="s">
        <v>3309</v>
      </c>
      <c r="K215" s="598" t="s">
        <v>321</v>
      </c>
      <c r="L215" s="598" t="s">
        <v>321</v>
      </c>
      <c r="M215" s="598" t="s">
        <v>3309</v>
      </c>
      <c r="N215" s="598" t="s">
        <v>3309</v>
      </c>
      <c r="O215" s="598" t="s">
        <v>3309</v>
      </c>
      <c r="P215" s="598" t="s">
        <v>3309</v>
      </c>
      <c r="Q215" s="598" t="s">
        <v>3309</v>
      </c>
      <c r="R215" s="598" t="s">
        <v>321</v>
      </c>
      <c r="S215" s="598" t="s">
        <v>321</v>
      </c>
      <c r="T215" s="598" t="s">
        <v>3309</v>
      </c>
      <c r="U215" s="598" t="s">
        <v>3309</v>
      </c>
      <c r="V215" s="598" t="s">
        <v>3309</v>
      </c>
      <c r="W215" s="598" t="s">
        <v>3309</v>
      </c>
      <c r="X215" s="598" t="s">
        <v>3309</v>
      </c>
      <c r="Y215" s="598" t="s">
        <v>321</v>
      </c>
      <c r="Z215" s="598" t="s">
        <v>321</v>
      </c>
      <c r="AA215" s="598" t="s">
        <v>3309</v>
      </c>
      <c r="AB215" s="598" t="s">
        <v>3309</v>
      </c>
      <c r="AC215" s="598" t="s">
        <v>3309</v>
      </c>
      <c r="AD215" s="598" t="s">
        <v>3309</v>
      </c>
      <c r="AE215" s="598" t="s">
        <v>3309</v>
      </c>
      <c r="AF215" s="598" t="s">
        <v>321</v>
      </c>
      <c r="AG215" s="598" t="s">
        <v>321</v>
      </c>
      <c r="AH215" s="598" t="s">
        <v>3309</v>
      </c>
      <c r="AI215" s="598" t="s">
        <v>321</v>
      </c>
      <c r="AJ215" s="599">
        <v>21</v>
      </c>
      <c r="AK215" s="600">
        <v>21</v>
      </c>
      <c r="AL215" s="601">
        <v>0</v>
      </c>
      <c r="AM215" s="601">
        <v>0</v>
      </c>
      <c r="AN215" s="599">
        <v>21</v>
      </c>
    </row>
    <row r="216" spans="1:40" ht="16.5" customHeight="1">
      <c r="A216" s="598" t="s">
        <v>3307</v>
      </c>
      <c r="B216" s="598" t="s">
        <v>3324</v>
      </c>
      <c r="C216" s="598" t="s">
        <v>1574</v>
      </c>
      <c r="D216" s="598" t="s">
        <v>1575</v>
      </c>
      <c r="E216" s="598" t="s">
        <v>321</v>
      </c>
      <c r="F216" s="598" t="s">
        <v>3309</v>
      </c>
      <c r="G216" s="598" t="s">
        <v>3309</v>
      </c>
      <c r="H216" s="598" t="s">
        <v>3309</v>
      </c>
      <c r="I216" s="598" t="s">
        <v>3309</v>
      </c>
      <c r="J216" s="598" t="s">
        <v>3309</v>
      </c>
      <c r="K216" s="598" t="s">
        <v>321</v>
      </c>
      <c r="L216" s="598" t="s">
        <v>321</v>
      </c>
      <c r="M216" s="598" t="s">
        <v>3309</v>
      </c>
      <c r="N216" s="598" t="s">
        <v>3309</v>
      </c>
      <c r="O216" s="598" t="s">
        <v>3309</v>
      </c>
      <c r="P216" s="598" t="s">
        <v>3309</v>
      </c>
      <c r="Q216" s="598" t="s">
        <v>3309</v>
      </c>
      <c r="R216" s="598" t="s">
        <v>321</v>
      </c>
      <c r="S216" s="598" t="s">
        <v>321</v>
      </c>
      <c r="T216" s="598" t="s">
        <v>3309</v>
      </c>
      <c r="U216" s="598" t="s">
        <v>3309</v>
      </c>
      <c r="V216" s="598" t="s">
        <v>3309</v>
      </c>
      <c r="W216" s="598" t="s">
        <v>3309</v>
      </c>
      <c r="X216" s="598" t="s">
        <v>3309</v>
      </c>
      <c r="Y216" s="598" t="s">
        <v>321</v>
      </c>
      <c r="Z216" s="598" t="s">
        <v>321</v>
      </c>
      <c r="AA216" s="598" t="s">
        <v>3309</v>
      </c>
      <c r="AB216" s="598" t="s">
        <v>3309</v>
      </c>
      <c r="AC216" s="598" t="s">
        <v>3309</v>
      </c>
      <c r="AD216" s="598" t="s">
        <v>3309</v>
      </c>
      <c r="AE216" s="598" t="s">
        <v>3309</v>
      </c>
      <c r="AF216" s="598" t="s">
        <v>321</v>
      </c>
      <c r="AG216" s="598" t="s">
        <v>321</v>
      </c>
      <c r="AH216" s="598" t="s">
        <v>3309</v>
      </c>
      <c r="AI216" s="598" t="s">
        <v>321</v>
      </c>
      <c r="AJ216" s="599">
        <v>21</v>
      </c>
      <c r="AK216" s="600">
        <v>21</v>
      </c>
      <c r="AL216" s="601">
        <v>0</v>
      </c>
      <c r="AM216" s="601">
        <v>0</v>
      </c>
      <c r="AN216" s="599">
        <v>21</v>
      </c>
    </row>
    <row r="217" spans="1:40" ht="16.5" customHeight="1">
      <c r="A217" s="598" t="s">
        <v>3307</v>
      </c>
      <c r="B217" s="598" t="s">
        <v>3324</v>
      </c>
      <c r="C217" s="598" t="s">
        <v>340</v>
      </c>
      <c r="D217" s="598" t="s">
        <v>341</v>
      </c>
      <c r="E217" s="598" t="s">
        <v>321</v>
      </c>
      <c r="F217" s="598" t="s">
        <v>3309</v>
      </c>
      <c r="G217" s="598" t="s">
        <v>3309</v>
      </c>
      <c r="H217" s="598" t="s">
        <v>3309</v>
      </c>
      <c r="I217" s="598" t="s">
        <v>3309</v>
      </c>
      <c r="J217" s="598" t="s">
        <v>3309</v>
      </c>
      <c r="K217" s="598" t="s">
        <v>321</v>
      </c>
      <c r="L217" s="598" t="s">
        <v>321</v>
      </c>
      <c r="M217" s="598" t="s">
        <v>3309</v>
      </c>
      <c r="N217" s="598" t="s">
        <v>3309</v>
      </c>
      <c r="O217" s="598" t="s">
        <v>3309</v>
      </c>
      <c r="P217" s="598" t="s">
        <v>3309</v>
      </c>
      <c r="Q217" s="598" t="s">
        <v>3309</v>
      </c>
      <c r="R217" s="598" t="s">
        <v>321</v>
      </c>
      <c r="S217" s="598" t="s">
        <v>321</v>
      </c>
      <c r="T217" s="598" t="s">
        <v>3309</v>
      </c>
      <c r="U217" s="598" t="s">
        <v>3309</v>
      </c>
      <c r="V217" s="598" t="s">
        <v>3309</v>
      </c>
      <c r="W217" s="598" t="s">
        <v>3309</v>
      </c>
      <c r="X217" s="598" t="s">
        <v>3309</v>
      </c>
      <c r="Y217" s="598" t="s">
        <v>321</v>
      </c>
      <c r="Z217" s="598" t="s">
        <v>321</v>
      </c>
      <c r="AA217" s="598" t="s">
        <v>3309</v>
      </c>
      <c r="AB217" s="598" t="s">
        <v>3309</v>
      </c>
      <c r="AC217" s="598" t="s">
        <v>3309</v>
      </c>
      <c r="AD217" s="598" t="s">
        <v>3309</v>
      </c>
      <c r="AE217" s="598" t="s">
        <v>3309</v>
      </c>
      <c r="AF217" s="598" t="s">
        <v>321</v>
      </c>
      <c r="AG217" s="598" t="s">
        <v>321</v>
      </c>
      <c r="AH217" s="598" t="s">
        <v>3309</v>
      </c>
      <c r="AI217" s="598" t="s">
        <v>321</v>
      </c>
      <c r="AJ217" s="599">
        <v>21</v>
      </c>
      <c r="AK217" s="600">
        <v>21</v>
      </c>
      <c r="AL217" s="601">
        <v>0</v>
      </c>
      <c r="AM217" s="601">
        <v>0</v>
      </c>
      <c r="AN217" s="599">
        <v>21</v>
      </c>
    </row>
    <row r="218" spans="1:40" ht="16.5" customHeight="1">
      <c r="A218" s="598" t="s">
        <v>3307</v>
      </c>
      <c r="B218" s="598" t="s">
        <v>3324</v>
      </c>
      <c r="C218" s="598" t="s">
        <v>328</v>
      </c>
      <c r="D218" s="598" t="s">
        <v>329</v>
      </c>
      <c r="E218" s="598" t="s">
        <v>321</v>
      </c>
      <c r="F218" s="598" t="s">
        <v>3309</v>
      </c>
      <c r="G218" s="598" t="s">
        <v>3309</v>
      </c>
      <c r="H218" s="598" t="s">
        <v>3309</v>
      </c>
      <c r="I218" s="598" t="s">
        <v>3309</v>
      </c>
      <c r="J218" s="598" t="s">
        <v>3309</v>
      </c>
      <c r="K218" s="598" t="s">
        <v>321</v>
      </c>
      <c r="L218" s="598" t="s">
        <v>321</v>
      </c>
      <c r="M218" s="598" t="s">
        <v>3309</v>
      </c>
      <c r="N218" s="598" t="s">
        <v>3309</v>
      </c>
      <c r="O218" s="598" t="s">
        <v>3309</v>
      </c>
      <c r="P218" s="598" t="s">
        <v>3309</v>
      </c>
      <c r="Q218" s="598" t="s">
        <v>3309</v>
      </c>
      <c r="R218" s="598" t="s">
        <v>321</v>
      </c>
      <c r="S218" s="598" t="s">
        <v>321</v>
      </c>
      <c r="T218" s="598" t="s">
        <v>3309</v>
      </c>
      <c r="U218" s="598" t="s">
        <v>3309</v>
      </c>
      <c r="V218" s="598" t="s">
        <v>3309</v>
      </c>
      <c r="W218" s="598" t="s">
        <v>3309</v>
      </c>
      <c r="X218" s="598" t="s">
        <v>3309</v>
      </c>
      <c r="Y218" s="598" t="s">
        <v>321</v>
      </c>
      <c r="Z218" s="598" t="s">
        <v>321</v>
      </c>
      <c r="AA218" s="598" t="s">
        <v>3309</v>
      </c>
      <c r="AB218" s="598" t="s">
        <v>3309</v>
      </c>
      <c r="AC218" s="598" t="s">
        <v>3309</v>
      </c>
      <c r="AD218" s="598" t="s">
        <v>3309</v>
      </c>
      <c r="AE218" s="598" t="s">
        <v>3309</v>
      </c>
      <c r="AF218" s="598" t="s">
        <v>321</v>
      </c>
      <c r="AG218" s="598" t="s">
        <v>321</v>
      </c>
      <c r="AH218" s="598" t="s">
        <v>3309</v>
      </c>
      <c r="AI218" s="598" t="s">
        <v>321</v>
      </c>
      <c r="AJ218" s="599">
        <v>21</v>
      </c>
      <c r="AK218" s="600">
        <v>21</v>
      </c>
      <c r="AL218" s="601">
        <v>0</v>
      </c>
      <c r="AM218" s="601">
        <v>0</v>
      </c>
      <c r="AN218" s="599">
        <v>21</v>
      </c>
    </row>
    <row r="219" spans="1:40" ht="16.5" customHeight="1">
      <c r="A219" s="598" t="s">
        <v>3307</v>
      </c>
      <c r="B219" s="598" t="s">
        <v>3324</v>
      </c>
      <c r="C219" s="598" t="s">
        <v>1236</v>
      </c>
      <c r="D219" s="598" t="s">
        <v>656</v>
      </c>
      <c r="E219" s="598" t="s">
        <v>321</v>
      </c>
      <c r="F219" s="598" t="s">
        <v>3309</v>
      </c>
      <c r="G219" s="598" t="s">
        <v>3309</v>
      </c>
      <c r="H219" s="598" t="s">
        <v>3309</v>
      </c>
      <c r="I219" s="598" t="s">
        <v>3309</v>
      </c>
      <c r="J219" s="598" t="s">
        <v>3309</v>
      </c>
      <c r="K219" s="598" t="s">
        <v>321</v>
      </c>
      <c r="L219" s="598" t="s">
        <v>321</v>
      </c>
      <c r="M219" s="598" t="s">
        <v>3309</v>
      </c>
      <c r="N219" s="598" t="s">
        <v>3309</v>
      </c>
      <c r="O219" s="598" t="s">
        <v>3309</v>
      </c>
      <c r="P219" s="598" t="s">
        <v>3309</v>
      </c>
      <c r="Q219" s="598" t="s">
        <v>3309</v>
      </c>
      <c r="R219" s="598" t="s">
        <v>321</v>
      </c>
      <c r="S219" s="598" t="s">
        <v>321</v>
      </c>
      <c r="T219" s="598" t="s">
        <v>3309</v>
      </c>
      <c r="U219" s="598" t="s">
        <v>3309</v>
      </c>
      <c r="V219" s="598" t="s">
        <v>3309</v>
      </c>
      <c r="W219" s="598" t="s">
        <v>3309</v>
      </c>
      <c r="X219" s="598" t="s">
        <v>3309</v>
      </c>
      <c r="Y219" s="598" t="s">
        <v>321</v>
      </c>
      <c r="Z219" s="598" t="s">
        <v>321</v>
      </c>
      <c r="AA219" s="598" t="s">
        <v>3309</v>
      </c>
      <c r="AB219" s="598" t="s">
        <v>3309</v>
      </c>
      <c r="AC219" s="598" t="s">
        <v>3309</v>
      </c>
      <c r="AD219" s="598" t="s">
        <v>3309</v>
      </c>
      <c r="AE219" s="598" t="s">
        <v>3309</v>
      </c>
      <c r="AF219" s="598" t="s">
        <v>321</v>
      </c>
      <c r="AG219" s="598" t="s">
        <v>321</v>
      </c>
      <c r="AH219" s="598" t="s">
        <v>3309</v>
      </c>
      <c r="AI219" s="598" t="s">
        <v>321</v>
      </c>
      <c r="AJ219" s="599">
        <v>21</v>
      </c>
      <c r="AK219" s="600">
        <v>21</v>
      </c>
      <c r="AL219" s="601">
        <v>0</v>
      </c>
      <c r="AM219" s="601">
        <v>0</v>
      </c>
      <c r="AN219" s="599">
        <v>21</v>
      </c>
    </row>
    <row r="220" spans="1:40" ht="16.5" customHeight="1">
      <c r="A220" s="598" t="s">
        <v>3307</v>
      </c>
      <c r="B220" s="598" t="s">
        <v>3324</v>
      </c>
      <c r="C220" s="598" t="s">
        <v>2565</v>
      </c>
      <c r="D220" s="598" t="s">
        <v>2566</v>
      </c>
      <c r="E220" s="598" t="s">
        <v>321</v>
      </c>
      <c r="F220" s="598" t="s">
        <v>3309</v>
      </c>
      <c r="G220" s="598" t="s">
        <v>3309</v>
      </c>
      <c r="H220" s="598" t="s">
        <v>3309</v>
      </c>
      <c r="I220" s="598" t="s">
        <v>3309</v>
      </c>
      <c r="J220" s="598" t="s">
        <v>3309</v>
      </c>
      <c r="K220" s="598" t="s">
        <v>321</v>
      </c>
      <c r="L220" s="598" t="s">
        <v>321</v>
      </c>
      <c r="M220" s="598" t="s">
        <v>3309</v>
      </c>
      <c r="N220" s="598" t="s">
        <v>3309</v>
      </c>
      <c r="O220" s="598" t="s">
        <v>3309</v>
      </c>
      <c r="P220" s="598" t="s">
        <v>3309</v>
      </c>
      <c r="Q220" s="598" t="s">
        <v>3309</v>
      </c>
      <c r="R220" s="598" t="s">
        <v>321</v>
      </c>
      <c r="S220" s="598" t="s">
        <v>321</v>
      </c>
      <c r="T220" s="598" t="s">
        <v>3309</v>
      </c>
      <c r="U220" s="598" t="s">
        <v>3309</v>
      </c>
      <c r="V220" s="598" t="s">
        <v>3309</v>
      </c>
      <c r="W220" s="598" t="s">
        <v>3309</v>
      </c>
      <c r="X220" s="598" t="s">
        <v>3309</v>
      </c>
      <c r="Y220" s="598" t="s">
        <v>321</v>
      </c>
      <c r="Z220" s="598" t="s">
        <v>321</v>
      </c>
      <c r="AA220" s="598" t="s">
        <v>3309</v>
      </c>
      <c r="AB220" s="598" t="s">
        <v>3309</v>
      </c>
      <c r="AC220" s="598" t="s">
        <v>3309</v>
      </c>
      <c r="AD220" s="598" t="s">
        <v>3309</v>
      </c>
      <c r="AE220" s="598" t="s">
        <v>3309</v>
      </c>
      <c r="AF220" s="598" t="s">
        <v>321</v>
      </c>
      <c r="AG220" s="598" t="s">
        <v>321</v>
      </c>
      <c r="AH220" s="598" t="s">
        <v>3309</v>
      </c>
      <c r="AI220" s="598" t="s">
        <v>321</v>
      </c>
      <c r="AJ220" s="599">
        <v>21</v>
      </c>
      <c r="AK220" s="600">
        <v>21</v>
      </c>
      <c r="AL220" s="601">
        <v>0</v>
      </c>
      <c r="AM220" s="601">
        <v>0</v>
      </c>
      <c r="AN220" s="599">
        <v>21</v>
      </c>
    </row>
    <row r="221" spans="1:40" ht="16.5" customHeight="1">
      <c r="A221" s="598" t="s">
        <v>3307</v>
      </c>
      <c r="B221" s="598" t="s">
        <v>3324</v>
      </c>
      <c r="C221" s="598" t="s">
        <v>342</v>
      </c>
      <c r="D221" s="598" t="s">
        <v>343</v>
      </c>
      <c r="E221" s="598" t="s">
        <v>321</v>
      </c>
      <c r="F221" s="598" t="s">
        <v>3309</v>
      </c>
      <c r="G221" s="598" t="s">
        <v>3309</v>
      </c>
      <c r="H221" s="598" t="s">
        <v>3309</v>
      </c>
      <c r="I221" s="598" t="s">
        <v>3309</v>
      </c>
      <c r="J221" s="598" t="s">
        <v>3309</v>
      </c>
      <c r="K221" s="598" t="s">
        <v>321</v>
      </c>
      <c r="L221" s="598" t="s">
        <v>321</v>
      </c>
      <c r="M221" s="598" t="s">
        <v>3309</v>
      </c>
      <c r="N221" s="598" t="s">
        <v>3309</v>
      </c>
      <c r="O221" s="598" t="s">
        <v>3309</v>
      </c>
      <c r="P221" s="598" t="s">
        <v>3314</v>
      </c>
      <c r="Q221" s="598" t="s">
        <v>3314</v>
      </c>
      <c r="R221" s="598" t="s">
        <v>321</v>
      </c>
      <c r="S221" s="598" t="s">
        <v>321</v>
      </c>
      <c r="T221" s="598" t="s">
        <v>3309</v>
      </c>
      <c r="U221" s="598" t="s">
        <v>3309</v>
      </c>
      <c r="V221" s="598" t="s">
        <v>3309</v>
      </c>
      <c r="W221" s="598" t="s">
        <v>3314</v>
      </c>
      <c r="X221" s="598" t="s">
        <v>3309</v>
      </c>
      <c r="Y221" s="598" t="s">
        <v>321</v>
      </c>
      <c r="Z221" s="598" t="s">
        <v>321</v>
      </c>
      <c r="AA221" s="598" t="s">
        <v>3309</v>
      </c>
      <c r="AB221" s="598" t="s">
        <v>3312</v>
      </c>
      <c r="AC221" s="598" t="s">
        <v>3314</v>
      </c>
      <c r="AD221" s="598" t="s">
        <v>3309</v>
      </c>
      <c r="AE221" s="598" t="s">
        <v>3309</v>
      </c>
      <c r="AF221" s="598" t="s">
        <v>321</v>
      </c>
      <c r="AG221" s="598" t="s">
        <v>321</v>
      </c>
      <c r="AH221" s="598" t="s">
        <v>3319</v>
      </c>
      <c r="AI221" s="598" t="s">
        <v>321</v>
      </c>
      <c r="AJ221" s="599">
        <v>21</v>
      </c>
      <c r="AK221" s="600">
        <v>17</v>
      </c>
      <c r="AL221" s="602">
        <v>3</v>
      </c>
      <c r="AM221" s="601">
        <v>0</v>
      </c>
      <c r="AN221" s="599">
        <v>20</v>
      </c>
    </row>
    <row r="222" spans="1:40" ht="16.5" customHeight="1">
      <c r="A222" s="598" t="s">
        <v>3307</v>
      </c>
      <c r="B222" s="598" t="s">
        <v>3324</v>
      </c>
      <c r="C222" s="598" t="s">
        <v>1585</v>
      </c>
      <c r="D222" s="598" t="s">
        <v>1586</v>
      </c>
      <c r="E222" s="598" t="s">
        <v>321</v>
      </c>
      <c r="F222" s="598" t="s">
        <v>3309</v>
      </c>
      <c r="G222" s="598" t="s">
        <v>3309</v>
      </c>
      <c r="H222" s="598" t="s">
        <v>3309</v>
      </c>
      <c r="I222" s="598" t="s">
        <v>3309</v>
      </c>
      <c r="J222" s="598" t="s">
        <v>3309</v>
      </c>
      <c r="K222" s="598" t="s">
        <v>321</v>
      </c>
      <c r="L222" s="598" t="s">
        <v>321</v>
      </c>
      <c r="M222" s="598" t="s">
        <v>3309</v>
      </c>
      <c r="N222" s="598" t="s">
        <v>3309</v>
      </c>
      <c r="O222" s="598" t="s">
        <v>3309</v>
      </c>
      <c r="P222" s="598" t="s">
        <v>3309</v>
      </c>
      <c r="Q222" s="598" t="s">
        <v>3309</v>
      </c>
      <c r="R222" s="598" t="s">
        <v>321</v>
      </c>
      <c r="S222" s="598" t="s">
        <v>321</v>
      </c>
      <c r="T222" s="598" t="s">
        <v>3309</v>
      </c>
      <c r="U222" s="598" t="s">
        <v>3309</v>
      </c>
      <c r="V222" s="598" t="s">
        <v>3309</v>
      </c>
      <c r="W222" s="598" t="s">
        <v>3309</v>
      </c>
      <c r="X222" s="598" t="s">
        <v>3309</v>
      </c>
      <c r="Y222" s="598" t="s">
        <v>321</v>
      </c>
      <c r="Z222" s="598" t="s">
        <v>321</v>
      </c>
      <c r="AA222" s="598" t="s">
        <v>3309</v>
      </c>
      <c r="AB222" s="598" t="s">
        <v>3309</v>
      </c>
      <c r="AC222" s="598" t="s">
        <v>3309</v>
      </c>
      <c r="AD222" s="598" t="s">
        <v>3309</v>
      </c>
      <c r="AE222" s="598" t="s">
        <v>3309</v>
      </c>
      <c r="AF222" s="598" t="s">
        <v>321</v>
      </c>
      <c r="AG222" s="598" t="s">
        <v>321</v>
      </c>
      <c r="AH222" s="598" t="s">
        <v>3309</v>
      </c>
      <c r="AI222" s="598" t="s">
        <v>321</v>
      </c>
      <c r="AJ222" s="599">
        <v>21</v>
      </c>
      <c r="AK222" s="600">
        <v>21</v>
      </c>
      <c r="AL222" s="601">
        <v>0</v>
      </c>
      <c r="AM222" s="601">
        <v>0</v>
      </c>
      <c r="AN222" s="599">
        <v>21</v>
      </c>
    </row>
    <row r="223" spans="1:40" ht="16.5" customHeight="1">
      <c r="A223" s="598" t="s">
        <v>3307</v>
      </c>
      <c r="B223" s="598" t="s">
        <v>3324</v>
      </c>
      <c r="C223" s="598" t="s">
        <v>324</v>
      </c>
      <c r="D223" s="598" t="s">
        <v>325</v>
      </c>
      <c r="E223" s="598" t="s">
        <v>321</v>
      </c>
      <c r="F223" s="598" t="s">
        <v>3309</v>
      </c>
      <c r="G223" s="598" t="s">
        <v>3309</v>
      </c>
      <c r="H223" s="598" t="s">
        <v>3309</v>
      </c>
      <c r="I223" s="598" t="s">
        <v>3309</v>
      </c>
      <c r="J223" s="598" t="s">
        <v>3309</v>
      </c>
      <c r="K223" s="598" t="s">
        <v>321</v>
      </c>
      <c r="L223" s="598" t="s">
        <v>321</v>
      </c>
      <c r="M223" s="598" t="s">
        <v>3309</v>
      </c>
      <c r="N223" s="598" t="s">
        <v>3309</v>
      </c>
      <c r="O223" s="598" t="s">
        <v>3309</v>
      </c>
      <c r="P223" s="598" t="s">
        <v>3309</v>
      </c>
      <c r="Q223" s="598" t="s">
        <v>3309</v>
      </c>
      <c r="R223" s="598" t="s">
        <v>321</v>
      </c>
      <c r="S223" s="598" t="s">
        <v>321</v>
      </c>
      <c r="T223" s="598" t="s">
        <v>3309</v>
      </c>
      <c r="U223" s="598" t="s">
        <v>3309</v>
      </c>
      <c r="V223" s="598" t="s">
        <v>3309</v>
      </c>
      <c r="W223" s="598" t="s">
        <v>3309</v>
      </c>
      <c r="X223" s="598" t="s">
        <v>3309</v>
      </c>
      <c r="Y223" s="598" t="s">
        <v>321</v>
      </c>
      <c r="Z223" s="598" t="s">
        <v>321</v>
      </c>
      <c r="AA223" s="598" t="s">
        <v>3309</v>
      </c>
      <c r="AB223" s="598" t="s">
        <v>3309</v>
      </c>
      <c r="AC223" s="598" t="s">
        <v>3309</v>
      </c>
      <c r="AD223" s="598" t="s">
        <v>3309</v>
      </c>
      <c r="AE223" s="598" t="s">
        <v>3309</v>
      </c>
      <c r="AF223" s="598" t="s">
        <v>321</v>
      </c>
      <c r="AG223" s="598" t="s">
        <v>321</v>
      </c>
      <c r="AH223" s="598" t="s">
        <v>3309</v>
      </c>
      <c r="AI223" s="598" t="s">
        <v>321</v>
      </c>
      <c r="AJ223" s="599">
        <v>21</v>
      </c>
      <c r="AK223" s="600">
        <v>21</v>
      </c>
      <c r="AL223" s="601">
        <v>0</v>
      </c>
      <c r="AM223" s="601">
        <v>0</v>
      </c>
      <c r="AN223" s="599">
        <v>21</v>
      </c>
    </row>
    <row r="224" spans="1:40" ht="16.5" customHeight="1">
      <c r="A224" s="598" t="s">
        <v>3307</v>
      </c>
      <c r="B224" s="598" t="s">
        <v>3324</v>
      </c>
      <c r="C224" s="598" t="s">
        <v>1239</v>
      </c>
      <c r="D224" s="598" t="s">
        <v>1240</v>
      </c>
      <c r="E224" s="598" t="s">
        <v>321</v>
      </c>
      <c r="F224" s="598" t="s">
        <v>3309</v>
      </c>
      <c r="G224" s="598" t="s">
        <v>3312</v>
      </c>
      <c r="H224" s="598" t="s">
        <v>3313</v>
      </c>
      <c r="I224" s="598" t="s">
        <v>3313</v>
      </c>
      <c r="J224" s="598" t="s">
        <v>3313</v>
      </c>
      <c r="K224" s="598" t="s">
        <v>321</v>
      </c>
      <c r="L224" s="598" t="s">
        <v>321</v>
      </c>
      <c r="M224" s="598" t="s">
        <v>3309</v>
      </c>
      <c r="N224" s="598" t="s">
        <v>3309</v>
      </c>
      <c r="O224" s="598" t="s">
        <v>3309</v>
      </c>
      <c r="P224" s="598" t="s">
        <v>3309</v>
      </c>
      <c r="Q224" s="598" t="s">
        <v>3309</v>
      </c>
      <c r="R224" s="598" t="s">
        <v>321</v>
      </c>
      <c r="S224" s="598" t="s">
        <v>321</v>
      </c>
      <c r="T224" s="598" t="s">
        <v>3309</v>
      </c>
      <c r="U224" s="598" t="s">
        <v>3309</v>
      </c>
      <c r="V224" s="598" t="s">
        <v>3309</v>
      </c>
      <c r="W224" s="598" t="s">
        <v>3309</v>
      </c>
      <c r="X224" s="598" t="s">
        <v>3309</v>
      </c>
      <c r="Y224" s="598" t="s">
        <v>321</v>
      </c>
      <c r="Z224" s="598" t="s">
        <v>321</v>
      </c>
      <c r="AA224" s="598" t="s">
        <v>3309</v>
      </c>
      <c r="AB224" s="598" t="s">
        <v>3309</v>
      </c>
      <c r="AC224" s="598" t="s">
        <v>3309</v>
      </c>
      <c r="AD224" s="598" t="s">
        <v>3309</v>
      </c>
      <c r="AE224" s="598" t="s">
        <v>3309</v>
      </c>
      <c r="AF224" s="598" t="s">
        <v>321</v>
      </c>
      <c r="AG224" s="598" t="s">
        <v>321</v>
      </c>
      <c r="AH224" s="598" t="s">
        <v>3309</v>
      </c>
      <c r="AI224" s="598" t="s">
        <v>321</v>
      </c>
      <c r="AJ224" s="599">
        <v>21</v>
      </c>
      <c r="AK224" s="600">
        <v>20</v>
      </c>
      <c r="AL224" s="602">
        <v>1</v>
      </c>
      <c r="AM224" s="601">
        <v>0</v>
      </c>
      <c r="AN224" s="599">
        <v>21</v>
      </c>
    </row>
    <row r="225" spans="1:40" ht="16.5" customHeight="1">
      <c r="A225" s="598" t="s">
        <v>3307</v>
      </c>
      <c r="B225" s="598" t="s">
        <v>3324</v>
      </c>
      <c r="C225" s="598" t="s">
        <v>356</v>
      </c>
      <c r="D225" s="598" t="s">
        <v>357</v>
      </c>
      <c r="E225" s="598" t="s">
        <v>321</v>
      </c>
      <c r="F225" s="598" t="s">
        <v>3309</v>
      </c>
      <c r="G225" s="598" t="s">
        <v>3309</v>
      </c>
      <c r="H225" s="598" t="s">
        <v>3309</v>
      </c>
      <c r="I225" s="598" t="s">
        <v>3312</v>
      </c>
      <c r="J225" s="598" t="s">
        <v>3309</v>
      </c>
      <c r="K225" s="598" t="s">
        <v>321</v>
      </c>
      <c r="L225" s="598" t="s">
        <v>321</v>
      </c>
      <c r="M225" s="598" t="s">
        <v>3309</v>
      </c>
      <c r="N225" s="598" t="s">
        <v>3309</v>
      </c>
      <c r="O225" s="598" t="s">
        <v>3309</v>
      </c>
      <c r="P225" s="598" t="s">
        <v>3309</v>
      </c>
      <c r="Q225" s="598" t="s">
        <v>3309</v>
      </c>
      <c r="R225" s="598" t="s">
        <v>321</v>
      </c>
      <c r="S225" s="598" t="s">
        <v>321</v>
      </c>
      <c r="T225" s="598" t="s">
        <v>3309</v>
      </c>
      <c r="U225" s="598" t="s">
        <v>3309</v>
      </c>
      <c r="V225" s="598" t="s">
        <v>3309</v>
      </c>
      <c r="W225" s="598" t="s">
        <v>3309</v>
      </c>
      <c r="X225" s="598" t="s">
        <v>3309</v>
      </c>
      <c r="Y225" s="598" t="s">
        <v>321</v>
      </c>
      <c r="Z225" s="598" t="s">
        <v>321</v>
      </c>
      <c r="AA225" s="598" t="s">
        <v>3309</v>
      </c>
      <c r="AB225" s="598" t="s">
        <v>3309</v>
      </c>
      <c r="AC225" s="598" t="s">
        <v>3309</v>
      </c>
      <c r="AD225" s="598" t="s">
        <v>3309</v>
      </c>
      <c r="AE225" s="598" t="s">
        <v>3309</v>
      </c>
      <c r="AF225" s="598" t="s">
        <v>321</v>
      </c>
      <c r="AG225" s="598" t="s">
        <v>321</v>
      </c>
      <c r="AH225" s="598" t="s">
        <v>3314</v>
      </c>
      <c r="AI225" s="598" t="s">
        <v>321</v>
      </c>
      <c r="AJ225" s="599">
        <v>21</v>
      </c>
      <c r="AK225" s="603">
        <v>19.5</v>
      </c>
      <c r="AL225" s="603">
        <v>1.5</v>
      </c>
      <c r="AM225" s="601">
        <v>0</v>
      </c>
      <c r="AN225" s="599">
        <v>21</v>
      </c>
    </row>
    <row r="226" spans="1:40" ht="16.5" customHeight="1">
      <c r="A226" s="598" t="s">
        <v>3307</v>
      </c>
      <c r="B226" s="598" t="s">
        <v>3324</v>
      </c>
      <c r="C226" s="598" t="s">
        <v>1608</v>
      </c>
      <c r="D226" s="598" t="s">
        <v>1609</v>
      </c>
      <c r="E226" s="598" t="s">
        <v>321</v>
      </c>
      <c r="F226" s="598" t="s">
        <v>3309</v>
      </c>
      <c r="G226" s="598" t="s">
        <v>3309</v>
      </c>
      <c r="H226" s="598" t="s">
        <v>3309</v>
      </c>
      <c r="I226" s="598" t="s">
        <v>3309</v>
      </c>
      <c r="J226" s="598" t="s">
        <v>3309</v>
      </c>
      <c r="K226" s="598" t="s">
        <v>321</v>
      </c>
      <c r="L226" s="598" t="s">
        <v>321</v>
      </c>
      <c r="M226" s="598" t="s">
        <v>3309</v>
      </c>
      <c r="N226" s="598" t="s">
        <v>3309</v>
      </c>
      <c r="O226" s="598" t="s">
        <v>3309</v>
      </c>
      <c r="P226" s="598" t="s">
        <v>3309</v>
      </c>
      <c r="Q226" s="598" t="s">
        <v>3309</v>
      </c>
      <c r="R226" s="598" t="s">
        <v>321</v>
      </c>
      <c r="S226" s="598" t="s">
        <v>321</v>
      </c>
      <c r="T226" s="598" t="s">
        <v>3309</v>
      </c>
      <c r="U226" s="598" t="s">
        <v>3309</v>
      </c>
      <c r="V226" s="598" t="s">
        <v>3309</v>
      </c>
      <c r="W226" s="598" t="s">
        <v>3309</v>
      </c>
      <c r="X226" s="598" t="s">
        <v>3309</v>
      </c>
      <c r="Y226" s="598" t="s">
        <v>321</v>
      </c>
      <c r="Z226" s="598" t="s">
        <v>321</v>
      </c>
      <c r="AA226" s="598" t="s">
        <v>3309</v>
      </c>
      <c r="AB226" s="598" t="s">
        <v>3309</v>
      </c>
      <c r="AC226" s="598" t="s">
        <v>3309</v>
      </c>
      <c r="AD226" s="598" t="s">
        <v>3309</v>
      </c>
      <c r="AE226" s="598" t="s">
        <v>3309</v>
      </c>
      <c r="AF226" s="598" t="s">
        <v>321</v>
      </c>
      <c r="AG226" s="598" t="s">
        <v>321</v>
      </c>
      <c r="AH226" s="598" t="s">
        <v>3309</v>
      </c>
      <c r="AI226" s="598" t="s">
        <v>321</v>
      </c>
      <c r="AJ226" s="599">
        <v>21</v>
      </c>
      <c r="AK226" s="600">
        <v>21</v>
      </c>
      <c r="AL226" s="601">
        <v>0</v>
      </c>
      <c r="AM226" s="601">
        <v>0</v>
      </c>
      <c r="AN226" s="599">
        <v>21</v>
      </c>
    </row>
    <row r="227" spans="1:40" ht="16.5" customHeight="1">
      <c r="A227" s="598" t="s">
        <v>3307</v>
      </c>
      <c r="B227" s="598" t="s">
        <v>3324</v>
      </c>
      <c r="C227" s="598" t="s">
        <v>2748</v>
      </c>
      <c r="D227" s="598" t="s">
        <v>2111</v>
      </c>
      <c r="E227" s="598" t="s">
        <v>321</v>
      </c>
      <c r="F227" s="598" t="s">
        <v>3309</v>
      </c>
      <c r="G227" s="598" t="s">
        <v>3309</v>
      </c>
      <c r="H227" s="598" t="s">
        <v>3309</v>
      </c>
      <c r="I227" s="598" t="s">
        <v>3309</v>
      </c>
      <c r="J227" s="598" t="s">
        <v>3309</v>
      </c>
      <c r="K227" s="598" t="s">
        <v>321</v>
      </c>
      <c r="L227" s="598" t="s">
        <v>321</v>
      </c>
      <c r="M227" s="598" t="s">
        <v>3309</v>
      </c>
      <c r="N227" s="598" t="s">
        <v>3309</v>
      </c>
      <c r="O227" s="598" t="s">
        <v>3309</v>
      </c>
      <c r="P227" s="598" t="s">
        <v>3309</v>
      </c>
      <c r="Q227" s="598" t="s">
        <v>3309</v>
      </c>
      <c r="R227" s="598" t="s">
        <v>321</v>
      </c>
      <c r="S227" s="598" t="s">
        <v>321</v>
      </c>
      <c r="T227" s="598" t="s">
        <v>3309</v>
      </c>
      <c r="U227" s="598" t="s">
        <v>3309</v>
      </c>
      <c r="V227" s="598" t="s">
        <v>3309</v>
      </c>
      <c r="W227" s="598" t="s">
        <v>3309</v>
      </c>
      <c r="X227" s="598" t="s">
        <v>3312</v>
      </c>
      <c r="Y227" s="598" t="s">
        <v>321</v>
      </c>
      <c r="Z227" s="598" t="s">
        <v>321</v>
      </c>
      <c r="AA227" s="598" t="s">
        <v>3309</v>
      </c>
      <c r="AB227" s="598" t="s">
        <v>3309</v>
      </c>
      <c r="AC227" s="598" t="s">
        <v>3309</v>
      </c>
      <c r="AD227" s="598" t="s">
        <v>3309</v>
      </c>
      <c r="AE227" s="598" t="s">
        <v>3309</v>
      </c>
      <c r="AF227" s="598" t="s">
        <v>321</v>
      </c>
      <c r="AG227" s="598" t="s">
        <v>321</v>
      </c>
      <c r="AH227" s="598" t="s">
        <v>3309</v>
      </c>
      <c r="AI227" s="598" t="s">
        <v>321</v>
      </c>
      <c r="AJ227" s="599">
        <v>21</v>
      </c>
      <c r="AK227" s="600">
        <v>20</v>
      </c>
      <c r="AL227" s="602">
        <v>1</v>
      </c>
      <c r="AM227" s="601">
        <v>0</v>
      </c>
      <c r="AN227" s="599">
        <v>21</v>
      </c>
    </row>
    <row r="228" spans="1:40" ht="16.5" customHeight="1">
      <c r="A228" s="598" t="s">
        <v>3307</v>
      </c>
      <c r="B228" s="598" t="s">
        <v>3324</v>
      </c>
      <c r="C228" s="598" t="s">
        <v>2887</v>
      </c>
      <c r="D228" s="598" t="s">
        <v>2888</v>
      </c>
      <c r="E228" s="598" t="s">
        <v>321</v>
      </c>
      <c r="F228" s="598" t="s">
        <v>3309</v>
      </c>
      <c r="G228" s="598" t="s">
        <v>3309</v>
      </c>
      <c r="H228" s="598" t="s">
        <v>3309</v>
      </c>
      <c r="I228" s="598" t="s">
        <v>3309</v>
      </c>
      <c r="J228" s="598" t="s">
        <v>3309</v>
      </c>
      <c r="K228" s="598" t="s">
        <v>321</v>
      </c>
      <c r="L228" s="598" t="s">
        <v>321</v>
      </c>
      <c r="M228" s="598" t="s">
        <v>3309</v>
      </c>
      <c r="N228" s="598" t="s">
        <v>3309</v>
      </c>
      <c r="O228" s="598" t="s">
        <v>3309</v>
      </c>
      <c r="P228" s="598" t="s">
        <v>3309</v>
      </c>
      <c r="Q228" s="598" t="s">
        <v>3309</v>
      </c>
      <c r="R228" s="598" t="s">
        <v>321</v>
      </c>
      <c r="S228" s="598" t="s">
        <v>321</v>
      </c>
      <c r="T228" s="598" t="s">
        <v>3309</v>
      </c>
      <c r="U228" s="598" t="s">
        <v>3309</v>
      </c>
      <c r="V228" s="598" t="s">
        <v>3309</v>
      </c>
      <c r="W228" s="598" t="s">
        <v>3309</v>
      </c>
      <c r="X228" s="598" t="s">
        <v>3309</v>
      </c>
      <c r="Y228" s="598" t="s">
        <v>321</v>
      </c>
      <c r="Z228" s="598" t="s">
        <v>321</v>
      </c>
      <c r="AA228" s="598" t="s">
        <v>3309</v>
      </c>
      <c r="AB228" s="598" t="s">
        <v>3309</v>
      </c>
      <c r="AC228" s="598" t="s">
        <v>3309</v>
      </c>
      <c r="AD228" s="598" t="s">
        <v>3309</v>
      </c>
      <c r="AE228" s="598" t="s">
        <v>3309</v>
      </c>
      <c r="AF228" s="598" t="s">
        <v>321</v>
      </c>
      <c r="AG228" s="598" t="s">
        <v>321</v>
      </c>
      <c r="AH228" s="598" t="s">
        <v>3309</v>
      </c>
      <c r="AI228" s="598" t="s">
        <v>321</v>
      </c>
      <c r="AJ228" s="599">
        <v>21</v>
      </c>
      <c r="AK228" s="600">
        <v>21</v>
      </c>
      <c r="AL228" s="601">
        <v>0</v>
      </c>
      <c r="AM228" s="601">
        <v>0</v>
      </c>
      <c r="AN228" s="599">
        <v>21</v>
      </c>
    </row>
    <row r="229" spans="1:40" ht="16.5" customHeight="1">
      <c r="A229" s="598" t="s">
        <v>3307</v>
      </c>
      <c r="B229" s="598" t="s">
        <v>3324</v>
      </c>
      <c r="C229" s="598" t="s">
        <v>1606</v>
      </c>
      <c r="D229" s="598" t="s">
        <v>1607</v>
      </c>
      <c r="E229" s="598" t="s">
        <v>321</v>
      </c>
      <c r="F229" s="598" t="s">
        <v>3309</v>
      </c>
      <c r="G229" s="598" t="s">
        <v>3309</v>
      </c>
      <c r="H229" s="598" t="s">
        <v>3309</v>
      </c>
      <c r="I229" s="598" t="s">
        <v>3309</v>
      </c>
      <c r="J229" s="598" t="s">
        <v>3309</v>
      </c>
      <c r="K229" s="598" t="s">
        <v>321</v>
      </c>
      <c r="L229" s="598" t="s">
        <v>321</v>
      </c>
      <c r="M229" s="598" t="s">
        <v>3309</v>
      </c>
      <c r="N229" s="598" t="s">
        <v>3309</v>
      </c>
      <c r="O229" s="598" t="s">
        <v>3309</v>
      </c>
      <c r="P229" s="598" t="s">
        <v>3309</v>
      </c>
      <c r="Q229" s="598" t="s">
        <v>3309</v>
      </c>
      <c r="R229" s="598" t="s">
        <v>321</v>
      </c>
      <c r="S229" s="598" t="s">
        <v>321</v>
      </c>
      <c r="T229" s="598" t="s">
        <v>3309</v>
      </c>
      <c r="U229" s="598" t="s">
        <v>3309</v>
      </c>
      <c r="V229" s="598" t="s">
        <v>3309</v>
      </c>
      <c r="W229" s="598" t="s">
        <v>3309</v>
      </c>
      <c r="X229" s="598" t="s">
        <v>3309</v>
      </c>
      <c r="Y229" s="598" t="s">
        <v>321</v>
      </c>
      <c r="Z229" s="598" t="s">
        <v>321</v>
      </c>
      <c r="AA229" s="598" t="s">
        <v>3309</v>
      </c>
      <c r="AB229" s="598" t="s">
        <v>3309</v>
      </c>
      <c r="AC229" s="598" t="s">
        <v>3309</v>
      </c>
      <c r="AD229" s="598" t="s">
        <v>3309</v>
      </c>
      <c r="AE229" s="598" t="s">
        <v>3309</v>
      </c>
      <c r="AF229" s="598" t="s">
        <v>321</v>
      </c>
      <c r="AG229" s="598" t="s">
        <v>321</v>
      </c>
      <c r="AH229" s="598" t="s">
        <v>3309</v>
      </c>
      <c r="AI229" s="598" t="s">
        <v>321</v>
      </c>
      <c r="AJ229" s="599">
        <v>21</v>
      </c>
      <c r="AK229" s="600">
        <v>21</v>
      </c>
      <c r="AL229" s="601">
        <v>0</v>
      </c>
      <c r="AM229" s="601">
        <v>0</v>
      </c>
      <c r="AN229" s="599">
        <v>21</v>
      </c>
    </row>
    <row r="230" spans="1:40" ht="16.5" customHeight="1">
      <c r="A230" s="598" t="s">
        <v>3307</v>
      </c>
      <c r="B230" s="598" t="s">
        <v>3324</v>
      </c>
      <c r="C230" s="598" t="s">
        <v>1589</v>
      </c>
      <c r="D230" s="598" t="s">
        <v>1590</v>
      </c>
      <c r="E230" s="598" t="s">
        <v>321</v>
      </c>
      <c r="F230" s="598" t="s">
        <v>3309</v>
      </c>
      <c r="G230" s="598" t="s">
        <v>3309</v>
      </c>
      <c r="H230" s="598" t="s">
        <v>3309</v>
      </c>
      <c r="I230" s="598" t="s">
        <v>3309</v>
      </c>
      <c r="J230" s="598" t="s">
        <v>3309</v>
      </c>
      <c r="K230" s="598" t="s">
        <v>321</v>
      </c>
      <c r="L230" s="598" t="s">
        <v>321</v>
      </c>
      <c r="M230" s="598" t="s">
        <v>3309</v>
      </c>
      <c r="N230" s="598" t="s">
        <v>3309</v>
      </c>
      <c r="O230" s="598" t="s">
        <v>3309</v>
      </c>
      <c r="P230" s="598" t="s">
        <v>3309</v>
      </c>
      <c r="Q230" s="598" t="s">
        <v>3309</v>
      </c>
      <c r="R230" s="598" t="s">
        <v>321</v>
      </c>
      <c r="S230" s="598" t="s">
        <v>321</v>
      </c>
      <c r="T230" s="598" t="s">
        <v>3309</v>
      </c>
      <c r="U230" s="598" t="s">
        <v>3309</v>
      </c>
      <c r="V230" s="598" t="s">
        <v>3309</v>
      </c>
      <c r="W230" s="598" t="s">
        <v>3309</v>
      </c>
      <c r="X230" s="598" t="s">
        <v>3309</v>
      </c>
      <c r="Y230" s="598" t="s">
        <v>321</v>
      </c>
      <c r="Z230" s="598" t="s">
        <v>321</v>
      </c>
      <c r="AA230" s="598" t="s">
        <v>3309</v>
      </c>
      <c r="AB230" s="598" t="s">
        <v>3309</v>
      </c>
      <c r="AC230" s="598" t="s">
        <v>3309</v>
      </c>
      <c r="AD230" s="598" t="s">
        <v>3309</v>
      </c>
      <c r="AE230" s="598" t="s">
        <v>3309</v>
      </c>
      <c r="AF230" s="598" t="s">
        <v>321</v>
      </c>
      <c r="AG230" s="598" t="s">
        <v>321</v>
      </c>
      <c r="AH230" s="598" t="s">
        <v>3309</v>
      </c>
      <c r="AI230" s="598" t="s">
        <v>321</v>
      </c>
      <c r="AJ230" s="599">
        <v>21</v>
      </c>
      <c r="AK230" s="600">
        <v>21</v>
      </c>
      <c r="AL230" s="601">
        <v>0</v>
      </c>
      <c r="AM230" s="601">
        <v>0</v>
      </c>
      <c r="AN230" s="599">
        <v>21</v>
      </c>
    </row>
    <row r="231" spans="1:40" ht="16.5" customHeight="1">
      <c r="A231" s="598" t="s">
        <v>3307</v>
      </c>
      <c r="B231" s="598" t="s">
        <v>3324</v>
      </c>
      <c r="C231" s="598" t="s">
        <v>1844</v>
      </c>
      <c r="D231" s="598" t="s">
        <v>1845</v>
      </c>
      <c r="E231" s="598" t="s">
        <v>321</v>
      </c>
      <c r="F231" s="598" t="s">
        <v>3309</v>
      </c>
      <c r="G231" s="598" t="s">
        <v>3312</v>
      </c>
      <c r="H231" s="598" t="s">
        <v>3309</v>
      </c>
      <c r="I231" s="598" t="s">
        <v>3309</v>
      </c>
      <c r="J231" s="598" t="s">
        <v>3309</v>
      </c>
      <c r="K231" s="598" t="s">
        <v>321</v>
      </c>
      <c r="L231" s="598" t="s">
        <v>321</v>
      </c>
      <c r="M231" s="598" t="s">
        <v>3309</v>
      </c>
      <c r="N231" s="598" t="s">
        <v>3309</v>
      </c>
      <c r="O231" s="598" t="s">
        <v>3309</v>
      </c>
      <c r="P231" s="598" t="s">
        <v>3309</v>
      </c>
      <c r="Q231" s="598" t="s">
        <v>3309</v>
      </c>
      <c r="R231" s="598" t="s">
        <v>321</v>
      </c>
      <c r="S231" s="598" t="s">
        <v>321</v>
      </c>
      <c r="T231" s="598" t="s">
        <v>3309</v>
      </c>
      <c r="U231" s="598" t="s">
        <v>3309</v>
      </c>
      <c r="V231" s="598" t="s">
        <v>3309</v>
      </c>
      <c r="W231" s="598" t="s">
        <v>3309</v>
      </c>
      <c r="X231" s="598" t="s">
        <v>3312</v>
      </c>
      <c r="Y231" s="598" t="s">
        <v>321</v>
      </c>
      <c r="Z231" s="598" t="s">
        <v>321</v>
      </c>
      <c r="AA231" s="598" t="s">
        <v>3309</v>
      </c>
      <c r="AB231" s="598" t="s">
        <v>3309</v>
      </c>
      <c r="AC231" s="598" t="s">
        <v>3309</v>
      </c>
      <c r="AD231" s="598" t="s">
        <v>3309</v>
      </c>
      <c r="AE231" s="598" t="s">
        <v>3309</v>
      </c>
      <c r="AF231" s="598" t="s">
        <v>321</v>
      </c>
      <c r="AG231" s="598" t="s">
        <v>321</v>
      </c>
      <c r="AH231" s="598" t="s">
        <v>3309</v>
      </c>
      <c r="AI231" s="598" t="s">
        <v>321</v>
      </c>
      <c r="AJ231" s="599">
        <v>21</v>
      </c>
      <c r="AK231" s="600">
        <v>19</v>
      </c>
      <c r="AL231" s="602">
        <v>2</v>
      </c>
      <c r="AM231" s="601">
        <v>0</v>
      </c>
      <c r="AN231" s="599">
        <v>21</v>
      </c>
    </row>
    <row r="232" spans="1:40" ht="16.5" customHeight="1">
      <c r="A232" s="598" t="s">
        <v>3307</v>
      </c>
      <c r="B232" s="598" t="s">
        <v>3324</v>
      </c>
      <c r="C232" s="598" t="s">
        <v>2721</v>
      </c>
      <c r="D232" s="598" t="s">
        <v>2722</v>
      </c>
      <c r="E232" s="598" t="s">
        <v>321</v>
      </c>
      <c r="F232" s="598" t="s">
        <v>3309</v>
      </c>
      <c r="G232" s="598" t="s">
        <v>3309</v>
      </c>
      <c r="H232" s="598" t="s">
        <v>3309</v>
      </c>
      <c r="I232" s="598" t="s">
        <v>3309</v>
      </c>
      <c r="J232" s="598" t="s">
        <v>3309</v>
      </c>
      <c r="K232" s="598" t="s">
        <v>321</v>
      </c>
      <c r="L232" s="598" t="s">
        <v>321</v>
      </c>
      <c r="M232" s="598" t="s">
        <v>3309</v>
      </c>
      <c r="N232" s="598" t="s">
        <v>3309</v>
      </c>
      <c r="O232" s="598" t="s">
        <v>3309</v>
      </c>
      <c r="P232" s="598" t="s">
        <v>3309</v>
      </c>
      <c r="Q232" s="598" t="s">
        <v>3309</v>
      </c>
      <c r="R232" s="598" t="s">
        <v>321</v>
      </c>
      <c r="S232" s="598" t="s">
        <v>321</v>
      </c>
      <c r="T232" s="598" t="s">
        <v>3309</v>
      </c>
      <c r="U232" s="598" t="s">
        <v>3309</v>
      </c>
      <c r="V232" s="598" t="s">
        <v>3309</v>
      </c>
      <c r="W232" s="598" t="s">
        <v>3309</v>
      </c>
      <c r="X232" s="598" t="s">
        <v>3309</v>
      </c>
      <c r="Y232" s="598" t="s">
        <v>321</v>
      </c>
      <c r="Z232" s="598" t="s">
        <v>321</v>
      </c>
      <c r="AA232" s="598" t="s">
        <v>3309</v>
      </c>
      <c r="AB232" s="598" t="s">
        <v>3309</v>
      </c>
      <c r="AC232" s="598" t="s">
        <v>3309</v>
      </c>
      <c r="AD232" s="598" t="s">
        <v>3309</v>
      </c>
      <c r="AE232" s="598" t="s">
        <v>3309</v>
      </c>
      <c r="AF232" s="598" t="s">
        <v>321</v>
      </c>
      <c r="AG232" s="598" t="s">
        <v>321</v>
      </c>
      <c r="AH232" s="598" t="s">
        <v>3309</v>
      </c>
      <c r="AI232" s="598" t="s">
        <v>321</v>
      </c>
      <c r="AJ232" s="599">
        <v>21</v>
      </c>
      <c r="AK232" s="600">
        <v>21</v>
      </c>
      <c r="AL232" s="601">
        <v>0</v>
      </c>
      <c r="AM232" s="601">
        <v>0</v>
      </c>
      <c r="AN232" s="599">
        <v>21</v>
      </c>
    </row>
    <row r="233" spans="1:40" ht="16.5" customHeight="1">
      <c r="A233" s="598" t="s">
        <v>3307</v>
      </c>
      <c r="B233" s="598" t="s">
        <v>3324</v>
      </c>
      <c r="C233" s="598" t="s">
        <v>1133</v>
      </c>
      <c r="D233" s="598" t="s">
        <v>1134</v>
      </c>
      <c r="E233" s="598" t="s">
        <v>321</v>
      </c>
      <c r="F233" s="598" t="s">
        <v>3309</v>
      </c>
      <c r="G233" s="598" t="s">
        <v>3309</v>
      </c>
      <c r="H233" s="598" t="s">
        <v>3309</v>
      </c>
      <c r="I233" s="598" t="s">
        <v>3309</v>
      </c>
      <c r="J233" s="598" t="s">
        <v>3309</v>
      </c>
      <c r="K233" s="598" t="s">
        <v>321</v>
      </c>
      <c r="L233" s="598" t="s">
        <v>321</v>
      </c>
      <c r="M233" s="598" t="s">
        <v>3309</v>
      </c>
      <c r="N233" s="598" t="s">
        <v>3309</v>
      </c>
      <c r="O233" s="598" t="s">
        <v>3309</v>
      </c>
      <c r="P233" s="598" t="s">
        <v>3309</v>
      </c>
      <c r="Q233" s="598" t="s">
        <v>3309</v>
      </c>
      <c r="R233" s="598" t="s">
        <v>321</v>
      </c>
      <c r="S233" s="598" t="s">
        <v>321</v>
      </c>
      <c r="T233" s="598" t="s">
        <v>3309</v>
      </c>
      <c r="U233" s="598" t="s">
        <v>3309</v>
      </c>
      <c r="V233" s="598" t="s">
        <v>3309</v>
      </c>
      <c r="W233" s="598" t="s">
        <v>3309</v>
      </c>
      <c r="X233" s="598" t="s">
        <v>3309</v>
      </c>
      <c r="Y233" s="598" t="s">
        <v>321</v>
      </c>
      <c r="Z233" s="598" t="s">
        <v>321</v>
      </c>
      <c r="AA233" s="598" t="s">
        <v>3309</v>
      </c>
      <c r="AB233" s="598" t="s">
        <v>3309</v>
      </c>
      <c r="AC233" s="598" t="s">
        <v>3309</v>
      </c>
      <c r="AD233" s="598" t="s">
        <v>3309</v>
      </c>
      <c r="AE233" s="598" t="s">
        <v>3309</v>
      </c>
      <c r="AF233" s="598" t="s">
        <v>321</v>
      </c>
      <c r="AG233" s="598" t="s">
        <v>321</v>
      </c>
      <c r="AH233" s="598" t="s">
        <v>3309</v>
      </c>
      <c r="AI233" s="598" t="s">
        <v>321</v>
      </c>
      <c r="AJ233" s="599">
        <v>21</v>
      </c>
      <c r="AK233" s="600">
        <v>21</v>
      </c>
      <c r="AL233" s="601">
        <v>0</v>
      </c>
      <c r="AM233" s="601">
        <v>0</v>
      </c>
      <c r="AN233" s="599">
        <v>21</v>
      </c>
    </row>
    <row r="234" spans="1:40" ht="16.5" customHeight="1">
      <c r="A234" s="598" t="s">
        <v>3307</v>
      </c>
      <c r="B234" s="598" t="s">
        <v>3324</v>
      </c>
      <c r="C234" s="598" t="s">
        <v>1537</v>
      </c>
      <c r="D234" s="598" t="s">
        <v>1538</v>
      </c>
      <c r="E234" s="598" t="s">
        <v>321</v>
      </c>
      <c r="F234" s="598" t="s">
        <v>3309</v>
      </c>
      <c r="G234" s="598" t="s">
        <v>3309</v>
      </c>
      <c r="H234" s="598" t="s">
        <v>3309</v>
      </c>
      <c r="I234" s="598" t="s">
        <v>3309</v>
      </c>
      <c r="J234" s="598" t="s">
        <v>3309</v>
      </c>
      <c r="K234" s="598" t="s">
        <v>321</v>
      </c>
      <c r="L234" s="598" t="s">
        <v>321</v>
      </c>
      <c r="M234" s="598" t="s">
        <v>3309</v>
      </c>
      <c r="N234" s="598" t="s">
        <v>3309</v>
      </c>
      <c r="O234" s="598" t="s">
        <v>3309</v>
      </c>
      <c r="P234" s="598" t="s">
        <v>3309</v>
      </c>
      <c r="Q234" s="598" t="s">
        <v>3309</v>
      </c>
      <c r="R234" s="598" t="s">
        <v>321</v>
      </c>
      <c r="S234" s="598" t="s">
        <v>321</v>
      </c>
      <c r="T234" s="598" t="s">
        <v>3309</v>
      </c>
      <c r="U234" s="598" t="s">
        <v>3309</v>
      </c>
      <c r="V234" s="598" t="s">
        <v>3309</v>
      </c>
      <c r="W234" s="598" t="s">
        <v>3309</v>
      </c>
      <c r="X234" s="598" t="s">
        <v>3309</v>
      </c>
      <c r="Y234" s="598" t="s">
        <v>321</v>
      </c>
      <c r="Z234" s="598" t="s">
        <v>321</v>
      </c>
      <c r="AA234" s="598" t="s">
        <v>3309</v>
      </c>
      <c r="AB234" s="598" t="s">
        <v>3309</v>
      </c>
      <c r="AC234" s="598" t="s">
        <v>3309</v>
      </c>
      <c r="AD234" s="598" t="s">
        <v>3309</v>
      </c>
      <c r="AE234" s="598" t="s">
        <v>3309</v>
      </c>
      <c r="AF234" s="598" t="s">
        <v>321</v>
      </c>
      <c r="AG234" s="598" t="s">
        <v>321</v>
      </c>
      <c r="AH234" s="598" t="s">
        <v>3309</v>
      </c>
      <c r="AI234" s="598" t="s">
        <v>321</v>
      </c>
      <c r="AJ234" s="599">
        <v>21</v>
      </c>
      <c r="AK234" s="600">
        <v>21</v>
      </c>
      <c r="AL234" s="601">
        <v>0</v>
      </c>
      <c r="AM234" s="601">
        <v>0</v>
      </c>
      <c r="AN234" s="599">
        <v>21</v>
      </c>
    </row>
    <row r="235" spans="1:40" ht="16.5" customHeight="1">
      <c r="A235" s="598" t="s">
        <v>3307</v>
      </c>
      <c r="B235" s="598" t="s">
        <v>3324</v>
      </c>
      <c r="C235" s="598" t="s">
        <v>358</v>
      </c>
      <c r="D235" s="598" t="s">
        <v>359</v>
      </c>
      <c r="E235" s="598" t="s">
        <v>321</v>
      </c>
      <c r="F235" s="598" t="s">
        <v>3309</v>
      </c>
      <c r="G235" s="598" t="s">
        <v>3309</v>
      </c>
      <c r="H235" s="598" t="s">
        <v>3309</v>
      </c>
      <c r="I235" s="598" t="s">
        <v>3309</v>
      </c>
      <c r="J235" s="598" t="s">
        <v>3309</v>
      </c>
      <c r="K235" s="598" t="s">
        <v>321</v>
      </c>
      <c r="L235" s="598" t="s">
        <v>321</v>
      </c>
      <c r="M235" s="598" t="s">
        <v>3309</v>
      </c>
      <c r="N235" s="598" t="s">
        <v>3309</v>
      </c>
      <c r="O235" s="598" t="s">
        <v>3309</v>
      </c>
      <c r="P235" s="598" t="s">
        <v>3309</v>
      </c>
      <c r="Q235" s="598" t="s">
        <v>3309</v>
      </c>
      <c r="R235" s="598" t="s">
        <v>321</v>
      </c>
      <c r="S235" s="598" t="s">
        <v>321</v>
      </c>
      <c r="T235" s="598" t="s">
        <v>3309</v>
      </c>
      <c r="U235" s="598" t="s">
        <v>3309</v>
      </c>
      <c r="V235" s="598" t="s">
        <v>3309</v>
      </c>
      <c r="W235" s="598" t="s">
        <v>3309</v>
      </c>
      <c r="X235" s="598" t="s">
        <v>3309</v>
      </c>
      <c r="Y235" s="598" t="s">
        <v>321</v>
      </c>
      <c r="Z235" s="598" t="s">
        <v>321</v>
      </c>
      <c r="AA235" s="598" t="s">
        <v>3312</v>
      </c>
      <c r="AB235" s="598" t="s">
        <v>3309</v>
      </c>
      <c r="AC235" s="598" t="s">
        <v>3309</v>
      </c>
      <c r="AD235" s="598" t="s">
        <v>3309</v>
      </c>
      <c r="AE235" s="598" t="s">
        <v>3309</v>
      </c>
      <c r="AF235" s="598" t="s">
        <v>321</v>
      </c>
      <c r="AG235" s="598" t="s">
        <v>321</v>
      </c>
      <c r="AH235" s="598" t="s">
        <v>3309</v>
      </c>
      <c r="AI235" s="598" t="s">
        <v>321</v>
      </c>
      <c r="AJ235" s="599">
        <v>21</v>
      </c>
      <c r="AK235" s="600">
        <v>20</v>
      </c>
      <c r="AL235" s="602">
        <v>1</v>
      </c>
      <c r="AM235" s="601">
        <v>0</v>
      </c>
      <c r="AN235" s="599">
        <v>21</v>
      </c>
    </row>
    <row r="236" spans="1:40" ht="16.5" customHeight="1">
      <c r="A236" s="598" t="s">
        <v>3307</v>
      </c>
      <c r="B236" s="598" t="s">
        <v>3324</v>
      </c>
      <c r="C236" s="598" t="s">
        <v>330</v>
      </c>
      <c r="D236" s="598" t="s">
        <v>331</v>
      </c>
      <c r="E236" s="598" t="s">
        <v>321</v>
      </c>
      <c r="F236" s="598" t="s">
        <v>3309</v>
      </c>
      <c r="G236" s="598" t="s">
        <v>3309</v>
      </c>
      <c r="H236" s="598" t="s">
        <v>3309</v>
      </c>
      <c r="I236" s="598" t="s">
        <v>3309</v>
      </c>
      <c r="J236" s="598" t="s">
        <v>3309</v>
      </c>
      <c r="K236" s="598" t="s">
        <v>321</v>
      </c>
      <c r="L236" s="598" t="s">
        <v>321</v>
      </c>
      <c r="M236" s="598" t="s">
        <v>3309</v>
      </c>
      <c r="N236" s="598" t="s">
        <v>3309</v>
      </c>
      <c r="O236" s="598" t="s">
        <v>3309</v>
      </c>
      <c r="P236" s="598" t="s">
        <v>3309</v>
      </c>
      <c r="Q236" s="598" t="s">
        <v>3309</v>
      </c>
      <c r="R236" s="598" t="s">
        <v>321</v>
      </c>
      <c r="S236" s="598" t="s">
        <v>321</v>
      </c>
      <c r="T236" s="598" t="s">
        <v>3309</v>
      </c>
      <c r="U236" s="598" t="s">
        <v>3309</v>
      </c>
      <c r="V236" s="598" t="s">
        <v>3309</v>
      </c>
      <c r="W236" s="598" t="s">
        <v>3309</v>
      </c>
      <c r="X236" s="598" t="s">
        <v>3309</v>
      </c>
      <c r="Y236" s="598" t="s">
        <v>321</v>
      </c>
      <c r="Z236" s="598" t="s">
        <v>321</v>
      </c>
      <c r="AA236" s="598" t="s">
        <v>3309</v>
      </c>
      <c r="AB236" s="598" t="s">
        <v>3309</v>
      </c>
      <c r="AC236" s="598" t="s">
        <v>3309</v>
      </c>
      <c r="AD236" s="598" t="s">
        <v>3309</v>
      </c>
      <c r="AE236" s="598" t="s">
        <v>3309</v>
      </c>
      <c r="AF236" s="598" t="s">
        <v>321</v>
      </c>
      <c r="AG236" s="598" t="s">
        <v>321</v>
      </c>
      <c r="AH236" s="598" t="s">
        <v>3309</v>
      </c>
      <c r="AI236" s="598" t="s">
        <v>321</v>
      </c>
      <c r="AJ236" s="599">
        <v>21</v>
      </c>
      <c r="AK236" s="600">
        <v>21</v>
      </c>
      <c r="AL236" s="601">
        <v>0</v>
      </c>
      <c r="AM236" s="601">
        <v>0</v>
      </c>
      <c r="AN236" s="599">
        <v>21</v>
      </c>
    </row>
    <row r="237" spans="1:40" ht="16.5" customHeight="1">
      <c r="A237" s="598" t="s">
        <v>3307</v>
      </c>
      <c r="B237" s="598" t="s">
        <v>3324</v>
      </c>
      <c r="C237" s="598" t="s">
        <v>1805</v>
      </c>
      <c r="D237" s="598" t="s">
        <v>1806</v>
      </c>
      <c r="E237" s="598" t="s">
        <v>321</v>
      </c>
      <c r="F237" s="598" t="s">
        <v>3309</v>
      </c>
      <c r="G237" s="598" t="s">
        <v>3309</v>
      </c>
      <c r="H237" s="598" t="s">
        <v>3309</v>
      </c>
      <c r="I237" s="598" t="s">
        <v>3309</v>
      </c>
      <c r="J237" s="598" t="s">
        <v>3309</v>
      </c>
      <c r="K237" s="598" t="s">
        <v>321</v>
      </c>
      <c r="L237" s="598" t="s">
        <v>321</v>
      </c>
      <c r="M237" s="598" t="s">
        <v>3309</v>
      </c>
      <c r="N237" s="598" t="s">
        <v>3309</v>
      </c>
      <c r="O237" s="598" t="s">
        <v>3309</v>
      </c>
      <c r="P237" s="598" t="s">
        <v>3309</v>
      </c>
      <c r="Q237" s="598" t="s">
        <v>3309</v>
      </c>
      <c r="R237" s="598" t="s">
        <v>321</v>
      </c>
      <c r="S237" s="598" t="s">
        <v>321</v>
      </c>
      <c r="T237" s="598" t="s">
        <v>3309</v>
      </c>
      <c r="U237" s="598" t="s">
        <v>3309</v>
      </c>
      <c r="V237" s="598" t="s">
        <v>3309</v>
      </c>
      <c r="W237" s="598" t="s">
        <v>3309</v>
      </c>
      <c r="X237" s="598" t="s">
        <v>3309</v>
      </c>
      <c r="Y237" s="598" t="s">
        <v>321</v>
      </c>
      <c r="Z237" s="598" t="s">
        <v>321</v>
      </c>
      <c r="AA237" s="598" t="s">
        <v>3309</v>
      </c>
      <c r="AB237" s="598" t="s">
        <v>3309</v>
      </c>
      <c r="AC237" s="598" t="s">
        <v>3309</v>
      </c>
      <c r="AD237" s="598" t="s">
        <v>3309</v>
      </c>
      <c r="AE237" s="598" t="s">
        <v>3309</v>
      </c>
      <c r="AF237" s="598" t="s">
        <v>321</v>
      </c>
      <c r="AG237" s="598" t="s">
        <v>321</v>
      </c>
      <c r="AH237" s="598" t="s">
        <v>3309</v>
      </c>
      <c r="AI237" s="598" t="s">
        <v>321</v>
      </c>
      <c r="AJ237" s="599">
        <v>21</v>
      </c>
      <c r="AK237" s="600">
        <v>21</v>
      </c>
      <c r="AL237" s="601">
        <v>0</v>
      </c>
      <c r="AM237" s="601">
        <v>0</v>
      </c>
      <c r="AN237" s="599">
        <v>21</v>
      </c>
    </row>
    <row r="238" spans="1:40" ht="16.5" customHeight="1">
      <c r="A238" s="598" t="s">
        <v>3307</v>
      </c>
      <c r="B238" s="598" t="s">
        <v>3324</v>
      </c>
      <c r="C238" s="598" t="s">
        <v>1437</v>
      </c>
      <c r="D238" s="598" t="s">
        <v>1438</v>
      </c>
      <c r="E238" s="598" t="s">
        <v>321</v>
      </c>
      <c r="F238" s="598" t="s">
        <v>3309</v>
      </c>
      <c r="G238" s="598" t="s">
        <v>3309</v>
      </c>
      <c r="H238" s="598" t="s">
        <v>3309</v>
      </c>
      <c r="I238" s="598" t="s">
        <v>3309</v>
      </c>
      <c r="J238" s="598" t="s">
        <v>3309</v>
      </c>
      <c r="K238" s="598" t="s">
        <v>321</v>
      </c>
      <c r="L238" s="598" t="s">
        <v>321</v>
      </c>
      <c r="M238" s="598" t="s">
        <v>3309</v>
      </c>
      <c r="N238" s="598" t="s">
        <v>3309</v>
      </c>
      <c r="O238" s="598" t="s">
        <v>3309</v>
      </c>
      <c r="P238" s="598" t="s">
        <v>3309</v>
      </c>
      <c r="Q238" s="598" t="s">
        <v>3309</v>
      </c>
      <c r="R238" s="598" t="s">
        <v>321</v>
      </c>
      <c r="S238" s="598" t="s">
        <v>321</v>
      </c>
      <c r="T238" s="598" t="s">
        <v>3309</v>
      </c>
      <c r="U238" s="598" t="s">
        <v>3309</v>
      </c>
      <c r="V238" s="598" t="s">
        <v>3309</v>
      </c>
      <c r="W238" s="598" t="s">
        <v>3309</v>
      </c>
      <c r="X238" s="598" t="s">
        <v>3309</v>
      </c>
      <c r="Y238" s="598" t="s">
        <v>321</v>
      </c>
      <c r="Z238" s="598" t="s">
        <v>321</v>
      </c>
      <c r="AA238" s="598" t="s">
        <v>3309</v>
      </c>
      <c r="AB238" s="598" t="s">
        <v>3309</v>
      </c>
      <c r="AC238" s="598" t="s">
        <v>3309</v>
      </c>
      <c r="AD238" s="598" t="s">
        <v>3309</v>
      </c>
      <c r="AE238" s="598" t="s">
        <v>3309</v>
      </c>
      <c r="AF238" s="598" t="s">
        <v>321</v>
      </c>
      <c r="AG238" s="598" t="s">
        <v>321</v>
      </c>
      <c r="AH238" s="598" t="s">
        <v>3309</v>
      </c>
      <c r="AI238" s="598" t="s">
        <v>321</v>
      </c>
      <c r="AJ238" s="599">
        <v>21</v>
      </c>
      <c r="AK238" s="600">
        <v>21</v>
      </c>
      <c r="AL238" s="601">
        <v>0</v>
      </c>
      <c r="AM238" s="601">
        <v>0</v>
      </c>
      <c r="AN238" s="599">
        <v>21</v>
      </c>
    </row>
    <row r="239" spans="1:40" ht="16.5" customHeight="1">
      <c r="A239" s="598" t="s">
        <v>3307</v>
      </c>
      <c r="B239" s="598" t="s">
        <v>3324</v>
      </c>
      <c r="C239" s="598" t="s">
        <v>750</v>
      </c>
      <c r="D239" s="598" t="s">
        <v>751</v>
      </c>
      <c r="E239" s="598" t="s">
        <v>321</v>
      </c>
      <c r="F239" s="598" t="s">
        <v>3309</v>
      </c>
      <c r="G239" s="598" t="s">
        <v>3309</v>
      </c>
      <c r="H239" s="598" t="s">
        <v>3309</v>
      </c>
      <c r="I239" s="598" t="s">
        <v>3309</v>
      </c>
      <c r="J239" s="598" t="s">
        <v>3309</v>
      </c>
      <c r="K239" s="598" t="s">
        <v>321</v>
      </c>
      <c r="L239" s="598" t="s">
        <v>321</v>
      </c>
      <c r="M239" s="598" t="s">
        <v>3309</v>
      </c>
      <c r="N239" s="598" t="s">
        <v>3309</v>
      </c>
      <c r="O239" s="598" t="s">
        <v>3309</v>
      </c>
      <c r="P239" s="598" t="s">
        <v>3309</v>
      </c>
      <c r="Q239" s="598" t="s">
        <v>3309</v>
      </c>
      <c r="R239" s="598" t="s">
        <v>321</v>
      </c>
      <c r="S239" s="598" t="s">
        <v>321</v>
      </c>
      <c r="T239" s="598" t="s">
        <v>3309</v>
      </c>
      <c r="U239" s="598" t="s">
        <v>3309</v>
      </c>
      <c r="V239" s="598" t="s">
        <v>3309</v>
      </c>
      <c r="W239" s="598" t="s">
        <v>3309</v>
      </c>
      <c r="X239" s="598" t="s">
        <v>3309</v>
      </c>
      <c r="Y239" s="598" t="s">
        <v>321</v>
      </c>
      <c r="Z239" s="598" t="s">
        <v>321</v>
      </c>
      <c r="AA239" s="598" t="s">
        <v>3309</v>
      </c>
      <c r="AB239" s="598" t="s">
        <v>3309</v>
      </c>
      <c r="AC239" s="598" t="s">
        <v>3309</v>
      </c>
      <c r="AD239" s="598" t="s">
        <v>3309</v>
      </c>
      <c r="AE239" s="598" t="s">
        <v>3309</v>
      </c>
      <c r="AF239" s="598" t="s">
        <v>321</v>
      </c>
      <c r="AG239" s="598" t="s">
        <v>321</v>
      </c>
      <c r="AH239" s="598" t="s">
        <v>3309</v>
      </c>
      <c r="AI239" s="598" t="s">
        <v>321</v>
      </c>
      <c r="AJ239" s="599">
        <v>21</v>
      </c>
      <c r="AK239" s="600">
        <v>21</v>
      </c>
      <c r="AL239" s="601">
        <v>0</v>
      </c>
      <c r="AM239" s="601">
        <v>0</v>
      </c>
      <c r="AN239" s="599">
        <v>21</v>
      </c>
    </row>
    <row r="240" spans="1:40" ht="16.5" customHeight="1">
      <c r="A240" s="598" t="s">
        <v>3307</v>
      </c>
      <c r="B240" s="598" t="s">
        <v>3324</v>
      </c>
      <c r="C240" s="598" t="s">
        <v>1656</v>
      </c>
      <c r="D240" s="598" t="s">
        <v>1657</v>
      </c>
      <c r="E240" s="598" t="s">
        <v>321</v>
      </c>
      <c r="F240" s="598" t="s">
        <v>3309</v>
      </c>
      <c r="G240" s="598" t="s">
        <v>3309</v>
      </c>
      <c r="H240" s="598" t="s">
        <v>3309</v>
      </c>
      <c r="I240" s="598" t="s">
        <v>3309</v>
      </c>
      <c r="J240" s="598" t="s">
        <v>3309</v>
      </c>
      <c r="K240" s="598" t="s">
        <v>321</v>
      </c>
      <c r="L240" s="598" t="s">
        <v>321</v>
      </c>
      <c r="M240" s="598" t="s">
        <v>3309</v>
      </c>
      <c r="N240" s="598" t="s">
        <v>3309</v>
      </c>
      <c r="O240" s="598" t="s">
        <v>3309</v>
      </c>
      <c r="P240" s="598" t="s">
        <v>3309</v>
      </c>
      <c r="Q240" s="598" t="s">
        <v>3309</v>
      </c>
      <c r="R240" s="598" t="s">
        <v>321</v>
      </c>
      <c r="S240" s="598" t="s">
        <v>321</v>
      </c>
      <c r="T240" s="598" t="s">
        <v>3309</v>
      </c>
      <c r="U240" s="598" t="s">
        <v>3309</v>
      </c>
      <c r="V240" s="598" t="s">
        <v>3309</v>
      </c>
      <c r="W240" s="598" t="s">
        <v>3309</v>
      </c>
      <c r="X240" s="598" t="s">
        <v>3309</v>
      </c>
      <c r="Y240" s="598" t="s">
        <v>321</v>
      </c>
      <c r="Z240" s="598" t="s">
        <v>321</v>
      </c>
      <c r="AA240" s="598" t="s">
        <v>3309</v>
      </c>
      <c r="AB240" s="598" t="s">
        <v>3309</v>
      </c>
      <c r="AC240" s="598" t="s">
        <v>3309</v>
      </c>
      <c r="AD240" s="598" t="s">
        <v>3309</v>
      </c>
      <c r="AE240" s="598" t="s">
        <v>3309</v>
      </c>
      <c r="AF240" s="598" t="s">
        <v>321</v>
      </c>
      <c r="AG240" s="598" t="s">
        <v>321</v>
      </c>
      <c r="AH240" s="598" t="s">
        <v>3309</v>
      </c>
      <c r="AI240" s="598" t="s">
        <v>321</v>
      </c>
      <c r="AJ240" s="599">
        <v>21</v>
      </c>
      <c r="AK240" s="600">
        <v>21</v>
      </c>
      <c r="AL240" s="601">
        <v>0</v>
      </c>
      <c r="AM240" s="601">
        <v>0</v>
      </c>
      <c r="AN240" s="599">
        <v>21</v>
      </c>
    </row>
    <row r="241" spans="1:40" ht="16.5" customHeight="1">
      <c r="A241" s="598" t="s">
        <v>3307</v>
      </c>
      <c r="B241" s="598" t="s">
        <v>3324</v>
      </c>
      <c r="C241" s="598" t="s">
        <v>346</v>
      </c>
      <c r="D241" s="598" t="s">
        <v>347</v>
      </c>
      <c r="E241" s="598" t="s">
        <v>321</v>
      </c>
      <c r="F241" s="598" t="s">
        <v>3309</v>
      </c>
      <c r="G241" s="598" t="s">
        <v>3309</v>
      </c>
      <c r="H241" s="598" t="s">
        <v>3309</v>
      </c>
      <c r="I241" s="598" t="s">
        <v>3309</v>
      </c>
      <c r="J241" s="598" t="s">
        <v>3309</v>
      </c>
      <c r="K241" s="598" t="s">
        <v>321</v>
      </c>
      <c r="L241" s="598" t="s">
        <v>321</v>
      </c>
      <c r="M241" s="598" t="s">
        <v>3309</v>
      </c>
      <c r="N241" s="598" t="s">
        <v>3309</v>
      </c>
      <c r="O241" s="598" t="s">
        <v>3309</v>
      </c>
      <c r="P241" s="598" t="s">
        <v>3309</v>
      </c>
      <c r="Q241" s="598" t="s">
        <v>3309</v>
      </c>
      <c r="R241" s="598" t="s">
        <v>321</v>
      </c>
      <c r="S241" s="598" t="s">
        <v>321</v>
      </c>
      <c r="T241" s="598" t="s">
        <v>3309</v>
      </c>
      <c r="U241" s="598" t="s">
        <v>3309</v>
      </c>
      <c r="V241" s="598" t="s">
        <v>3309</v>
      </c>
      <c r="W241" s="598" t="s">
        <v>3309</v>
      </c>
      <c r="X241" s="598" t="s">
        <v>3309</v>
      </c>
      <c r="Y241" s="598" t="s">
        <v>321</v>
      </c>
      <c r="Z241" s="598" t="s">
        <v>321</v>
      </c>
      <c r="AA241" s="598" t="s">
        <v>3309</v>
      </c>
      <c r="AB241" s="598" t="s">
        <v>3309</v>
      </c>
      <c r="AC241" s="598" t="s">
        <v>3309</v>
      </c>
      <c r="AD241" s="598" t="s">
        <v>3309</v>
      </c>
      <c r="AE241" s="598" t="s">
        <v>3309</v>
      </c>
      <c r="AF241" s="598" t="s">
        <v>321</v>
      </c>
      <c r="AG241" s="598" t="s">
        <v>321</v>
      </c>
      <c r="AH241" s="598" t="s">
        <v>3309</v>
      </c>
      <c r="AI241" s="598" t="s">
        <v>321</v>
      </c>
      <c r="AJ241" s="599">
        <v>21</v>
      </c>
      <c r="AK241" s="600">
        <v>21</v>
      </c>
      <c r="AL241" s="601">
        <v>0</v>
      </c>
      <c r="AM241" s="601">
        <v>0</v>
      </c>
      <c r="AN241" s="599">
        <v>21</v>
      </c>
    </row>
    <row r="242" spans="1:40" ht="16.5" customHeight="1">
      <c r="A242" s="598" t="s">
        <v>3307</v>
      </c>
      <c r="B242" s="598" t="s">
        <v>3324</v>
      </c>
      <c r="C242" s="598" t="s">
        <v>1423</v>
      </c>
      <c r="D242" s="598" t="s">
        <v>1424</v>
      </c>
      <c r="E242" s="598" t="s">
        <v>321</v>
      </c>
      <c r="F242" s="598" t="s">
        <v>3309</v>
      </c>
      <c r="G242" s="598" t="s">
        <v>3309</v>
      </c>
      <c r="H242" s="598" t="s">
        <v>3309</v>
      </c>
      <c r="I242" s="598" t="s">
        <v>3309</v>
      </c>
      <c r="J242" s="598" t="s">
        <v>3309</v>
      </c>
      <c r="K242" s="598" t="s">
        <v>321</v>
      </c>
      <c r="L242" s="598" t="s">
        <v>321</v>
      </c>
      <c r="M242" s="598" t="s">
        <v>3309</v>
      </c>
      <c r="N242" s="598" t="s">
        <v>3309</v>
      </c>
      <c r="O242" s="598" t="s">
        <v>3309</v>
      </c>
      <c r="P242" s="598" t="s">
        <v>3309</v>
      </c>
      <c r="Q242" s="598" t="s">
        <v>3309</v>
      </c>
      <c r="R242" s="598" t="s">
        <v>321</v>
      </c>
      <c r="S242" s="598" t="s">
        <v>321</v>
      </c>
      <c r="T242" s="598" t="s">
        <v>3309</v>
      </c>
      <c r="U242" s="598" t="s">
        <v>3309</v>
      </c>
      <c r="V242" s="598" t="s">
        <v>3309</v>
      </c>
      <c r="W242" s="598" t="s">
        <v>3309</v>
      </c>
      <c r="X242" s="598" t="s">
        <v>3309</v>
      </c>
      <c r="Y242" s="598" t="s">
        <v>321</v>
      </c>
      <c r="Z242" s="598" t="s">
        <v>321</v>
      </c>
      <c r="AA242" s="598" t="s">
        <v>3309</v>
      </c>
      <c r="AB242" s="598" t="s">
        <v>3309</v>
      </c>
      <c r="AC242" s="598" t="s">
        <v>3309</v>
      </c>
      <c r="AD242" s="598" t="s">
        <v>3309</v>
      </c>
      <c r="AE242" s="598" t="s">
        <v>3309</v>
      </c>
      <c r="AF242" s="598" t="s">
        <v>321</v>
      </c>
      <c r="AG242" s="598" t="s">
        <v>321</v>
      </c>
      <c r="AH242" s="598" t="s">
        <v>3309</v>
      </c>
      <c r="AI242" s="598" t="s">
        <v>321</v>
      </c>
      <c r="AJ242" s="599">
        <v>21</v>
      </c>
      <c r="AK242" s="600">
        <v>21</v>
      </c>
      <c r="AL242" s="601">
        <v>0</v>
      </c>
      <c r="AM242" s="601">
        <v>0</v>
      </c>
      <c r="AN242" s="599">
        <v>21</v>
      </c>
    </row>
    <row r="243" spans="1:40" ht="16.5" customHeight="1">
      <c r="A243" s="598" t="s">
        <v>3307</v>
      </c>
      <c r="B243" s="598" t="s">
        <v>3324</v>
      </c>
      <c r="C243" s="598" t="s">
        <v>1570</v>
      </c>
      <c r="D243" s="598" t="s">
        <v>1571</v>
      </c>
      <c r="E243" s="598" t="s">
        <v>321</v>
      </c>
      <c r="F243" s="598" t="s">
        <v>3309</v>
      </c>
      <c r="G243" s="598" t="s">
        <v>3309</v>
      </c>
      <c r="H243" s="598" t="s">
        <v>3309</v>
      </c>
      <c r="I243" s="598" t="s">
        <v>3309</v>
      </c>
      <c r="J243" s="598" t="s">
        <v>3309</v>
      </c>
      <c r="K243" s="598" t="s">
        <v>321</v>
      </c>
      <c r="L243" s="598" t="s">
        <v>321</v>
      </c>
      <c r="M243" s="598" t="s">
        <v>3309</v>
      </c>
      <c r="N243" s="598" t="s">
        <v>3309</v>
      </c>
      <c r="O243" s="598" t="s">
        <v>3309</v>
      </c>
      <c r="P243" s="598" t="s">
        <v>3309</v>
      </c>
      <c r="Q243" s="598" t="s">
        <v>3309</v>
      </c>
      <c r="R243" s="598" t="s">
        <v>321</v>
      </c>
      <c r="S243" s="598" t="s">
        <v>321</v>
      </c>
      <c r="T243" s="598" t="s">
        <v>3309</v>
      </c>
      <c r="U243" s="598" t="s">
        <v>3309</v>
      </c>
      <c r="V243" s="598" t="s">
        <v>3309</v>
      </c>
      <c r="W243" s="598" t="s">
        <v>3309</v>
      </c>
      <c r="X243" s="598" t="s">
        <v>3309</v>
      </c>
      <c r="Y243" s="598" t="s">
        <v>321</v>
      </c>
      <c r="Z243" s="598" t="s">
        <v>321</v>
      </c>
      <c r="AA243" s="598" t="s">
        <v>3309</v>
      </c>
      <c r="AB243" s="598" t="s">
        <v>3309</v>
      </c>
      <c r="AC243" s="598" t="s">
        <v>3309</v>
      </c>
      <c r="AD243" s="598" t="s">
        <v>3309</v>
      </c>
      <c r="AE243" s="598" t="s">
        <v>3309</v>
      </c>
      <c r="AF243" s="598" t="s">
        <v>321</v>
      </c>
      <c r="AG243" s="598" t="s">
        <v>321</v>
      </c>
      <c r="AH243" s="598" t="s">
        <v>3309</v>
      </c>
      <c r="AI243" s="598" t="s">
        <v>321</v>
      </c>
      <c r="AJ243" s="599">
        <v>21</v>
      </c>
      <c r="AK243" s="600">
        <v>21</v>
      </c>
      <c r="AL243" s="601">
        <v>0</v>
      </c>
      <c r="AM243" s="601">
        <v>0</v>
      </c>
      <c r="AN243" s="599">
        <v>21</v>
      </c>
    </row>
    <row r="244" spans="1:40" ht="16.5" customHeight="1">
      <c r="A244" s="598" t="s">
        <v>3307</v>
      </c>
      <c r="B244" s="598" t="s">
        <v>3324</v>
      </c>
      <c r="C244" s="598" t="s">
        <v>1899</v>
      </c>
      <c r="D244" s="598" t="s">
        <v>1900</v>
      </c>
      <c r="E244" s="598" t="s">
        <v>321</v>
      </c>
      <c r="F244" s="598" t="s">
        <v>3309</v>
      </c>
      <c r="G244" s="598" t="s">
        <v>3309</v>
      </c>
      <c r="H244" s="598" t="s">
        <v>3309</v>
      </c>
      <c r="I244" s="598" t="s">
        <v>3309</v>
      </c>
      <c r="J244" s="598" t="s">
        <v>3309</v>
      </c>
      <c r="K244" s="598" t="s">
        <v>321</v>
      </c>
      <c r="L244" s="598" t="s">
        <v>321</v>
      </c>
      <c r="M244" s="598" t="s">
        <v>3309</v>
      </c>
      <c r="N244" s="598" t="s">
        <v>3309</v>
      </c>
      <c r="O244" s="598" t="s">
        <v>3309</v>
      </c>
      <c r="P244" s="598" t="s">
        <v>3309</v>
      </c>
      <c r="Q244" s="598" t="s">
        <v>3309</v>
      </c>
      <c r="R244" s="598" t="s">
        <v>321</v>
      </c>
      <c r="S244" s="598" t="s">
        <v>321</v>
      </c>
      <c r="T244" s="598" t="s">
        <v>3309</v>
      </c>
      <c r="U244" s="598" t="s">
        <v>3309</v>
      </c>
      <c r="V244" s="598" t="s">
        <v>3309</v>
      </c>
      <c r="W244" s="598" t="s">
        <v>3309</v>
      </c>
      <c r="X244" s="598" t="s">
        <v>3309</v>
      </c>
      <c r="Y244" s="598" t="s">
        <v>321</v>
      </c>
      <c r="Z244" s="598" t="s">
        <v>321</v>
      </c>
      <c r="AA244" s="598" t="s">
        <v>3309</v>
      </c>
      <c r="AB244" s="598" t="s">
        <v>3309</v>
      </c>
      <c r="AC244" s="598" t="s">
        <v>3309</v>
      </c>
      <c r="AD244" s="598" t="s">
        <v>3309</v>
      </c>
      <c r="AE244" s="598" t="s">
        <v>3309</v>
      </c>
      <c r="AF244" s="598" t="s">
        <v>321</v>
      </c>
      <c r="AG244" s="598" t="s">
        <v>321</v>
      </c>
      <c r="AH244" s="598" t="s">
        <v>3309</v>
      </c>
      <c r="AI244" s="598" t="s">
        <v>321</v>
      </c>
      <c r="AJ244" s="599">
        <v>21</v>
      </c>
      <c r="AK244" s="600">
        <v>21</v>
      </c>
      <c r="AL244" s="601">
        <v>0</v>
      </c>
      <c r="AM244" s="601">
        <v>0</v>
      </c>
      <c r="AN244" s="599">
        <v>21</v>
      </c>
    </row>
    <row r="245" spans="1:40" ht="16.5" customHeight="1">
      <c r="A245" s="598" t="s">
        <v>3307</v>
      </c>
      <c r="B245" s="598" t="s">
        <v>3324</v>
      </c>
      <c r="C245" s="598" t="s">
        <v>1662</v>
      </c>
      <c r="D245" s="598" t="s">
        <v>1663</v>
      </c>
      <c r="E245" s="598" t="s">
        <v>321</v>
      </c>
      <c r="F245" s="598" t="s">
        <v>3309</v>
      </c>
      <c r="G245" s="598" t="s">
        <v>3309</v>
      </c>
      <c r="H245" s="598" t="s">
        <v>3312</v>
      </c>
      <c r="I245" s="598" t="s">
        <v>3309</v>
      </c>
      <c r="J245" s="598" t="s">
        <v>3309</v>
      </c>
      <c r="K245" s="598" t="s">
        <v>321</v>
      </c>
      <c r="L245" s="598" t="s">
        <v>321</v>
      </c>
      <c r="M245" s="598" t="s">
        <v>3309</v>
      </c>
      <c r="N245" s="598" t="s">
        <v>3309</v>
      </c>
      <c r="O245" s="598" t="s">
        <v>3309</v>
      </c>
      <c r="P245" s="598" t="s">
        <v>3309</v>
      </c>
      <c r="Q245" s="598" t="s">
        <v>3309</v>
      </c>
      <c r="R245" s="598" t="s">
        <v>321</v>
      </c>
      <c r="S245" s="598" t="s">
        <v>321</v>
      </c>
      <c r="T245" s="598" t="s">
        <v>3309</v>
      </c>
      <c r="U245" s="598" t="s">
        <v>3309</v>
      </c>
      <c r="V245" s="598" t="s">
        <v>3312</v>
      </c>
      <c r="W245" s="598" t="s">
        <v>3309</v>
      </c>
      <c r="X245" s="598" t="s">
        <v>3309</v>
      </c>
      <c r="Y245" s="598" t="s">
        <v>321</v>
      </c>
      <c r="Z245" s="598" t="s">
        <v>321</v>
      </c>
      <c r="AA245" s="598" t="s">
        <v>3309</v>
      </c>
      <c r="AB245" s="598" t="s">
        <v>3309</v>
      </c>
      <c r="AC245" s="598" t="s">
        <v>3309</v>
      </c>
      <c r="AD245" s="598" t="s">
        <v>3309</v>
      </c>
      <c r="AE245" s="598" t="s">
        <v>3309</v>
      </c>
      <c r="AF245" s="598" t="s">
        <v>321</v>
      </c>
      <c r="AG245" s="598" t="s">
        <v>321</v>
      </c>
      <c r="AH245" s="598" t="s">
        <v>3309</v>
      </c>
      <c r="AI245" s="598" t="s">
        <v>321</v>
      </c>
      <c r="AJ245" s="599">
        <v>21</v>
      </c>
      <c r="AK245" s="600">
        <v>19</v>
      </c>
      <c r="AL245" s="602">
        <v>2</v>
      </c>
      <c r="AM245" s="601">
        <v>0</v>
      </c>
      <c r="AN245" s="599">
        <v>21</v>
      </c>
    </row>
    <row r="246" spans="1:40" ht="16.5" customHeight="1">
      <c r="A246" s="598" t="s">
        <v>3307</v>
      </c>
      <c r="B246" s="598" t="s">
        <v>3324</v>
      </c>
      <c r="C246" s="598" t="s">
        <v>2800</v>
      </c>
      <c r="D246" s="598" t="s">
        <v>2801</v>
      </c>
      <c r="E246" s="598" t="s">
        <v>321</v>
      </c>
      <c r="F246" s="598" t="s">
        <v>3309</v>
      </c>
      <c r="G246" s="598" t="s">
        <v>3309</v>
      </c>
      <c r="H246" s="598" t="s">
        <v>3309</v>
      </c>
      <c r="I246" s="598" t="s">
        <v>3309</v>
      </c>
      <c r="J246" s="598" t="s">
        <v>3309</v>
      </c>
      <c r="K246" s="598" t="s">
        <v>321</v>
      </c>
      <c r="L246" s="598" t="s">
        <v>321</v>
      </c>
      <c r="M246" s="598" t="s">
        <v>3309</v>
      </c>
      <c r="N246" s="598" t="s">
        <v>3309</v>
      </c>
      <c r="O246" s="598" t="s">
        <v>3309</v>
      </c>
      <c r="P246" s="598" t="s">
        <v>3309</v>
      </c>
      <c r="Q246" s="598" t="s">
        <v>3309</v>
      </c>
      <c r="R246" s="598" t="s">
        <v>321</v>
      </c>
      <c r="S246" s="598" t="s">
        <v>321</v>
      </c>
      <c r="T246" s="598" t="s">
        <v>3309</v>
      </c>
      <c r="U246" s="598" t="s">
        <v>3309</v>
      </c>
      <c r="V246" s="598" t="s">
        <v>3309</v>
      </c>
      <c r="W246" s="598" t="s">
        <v>3309</v>
      </c>
      <c r="X246" s="598" t="s">
        <v>3309</v>
      </c>
      <c r="Y246" s="598" t="s">
        <v>321</v>
      </c>
      <c r="Z246" s="598" t="s">
        <v>321</v>
      </c>
      <c r="AA246" s="598" t="s">
        <v>3309</v>
      </c>
      <c r="AB246" s="598" t="s">
        <v>3309</v>
      </c>
      <c r="AC246" s="598" t="s">
        <v>3309</v>
      </c>
      <c r="AD246" s="598" t="s">
        <v>3309</v>
      </c>
      <c r="AE246" s="598" t="s">
        <v>3309</v>
      </c>
      <c r="AF246" s="598" t="s">
        <v>321</v>
      </c>
      <c r="AG246" s="598" t="s">
        <v>321</v>
      </c>
      <c r="AH246" s="598" t="s">
        <v>3309</v>
      </c>
      <c r="AI246" s="598" t="s">
        <v>321</v>
      </c>
      <c r="AJ246" s="599">
        <v>21</v>
      </c>
      <c r="AK246" s="600">
        <v>21</v>
      </c>
      <c r="AL246" s="601">
        <v>0</v>
      </c>
      <c r="AM246" s="601">
        <v>0</v>
      </c>
      <c r="AN246" s="599">
        <v>21</v>
      </c>
    </row>
    <row r="247" spans="1:40" ht="16.5" customHeight="1">
      <c r="A247" s="598" t="s">
        <v>3307</v>
      </c>
      <c r="B247" s="598" t="s">
        <v>3324</v>
      </c>
      <c r="C247" s="598" t="s">
        <v>2705</v>
      </c>
      <c r="D247" s="598" t="s">
        <v>2706</v>
      </c>
      <c r="E247" s="598" t="s">
        <v>321</v>
      </c>
      <c r="F247" s="598" t="s">
        <v>3309</v>
      </c>
      <c r="G247" s="598" t="s">
        <v>3309</v>
      </c>
      <c r="H247" s="598" t="s">
        <v>3309</v>
      </c>
      <c r="I247" s="598" t="s">
        <v>3309</v>
      </c>
      <c r="J247" s="598" t="s">
        <v>3309</v>
      </c>
      <c r="K247" s="598" t="s">
        <v>321</v>
      </c>
      <c r="L247" s="598" t="s">
        <v>321</v>
      </c>
      <c r="M247" s="598" t="s">
        <v>3309</v>
      </c>
      <c r="N247" s="598" t="s">
        <v>3309</v>
      </c>
      <c r="O247" s="598" t="s">
        <v>3309</v>
      </c>
      <c r="P247" s="598" t="s">
        <v>3309</v>
      </c>
      <c r="Q247" s="598" t="s">
        <v>3309</v>
      </c>
      <c r="R247" s="598" t="s">
        <v>321</v>
      </c>
      <c r="S247" s="598" t="s">
        <v>321</v>
      </c>
      <c r="T247" s="598" t="s">
        <v>3309</v>
      </c>
      <c r="U247" s="598" t="s">
        <v>3309</v>
      </c>
      <c r="V247" s="598" t="s">
        <v>3309</v>
      </c>
      <c r="W247" s="598" t="s">
        <v>3309</v>
      </c>
      <c r="X247" s="598" t="s">
        <v>3309</v>
      </c>
      <c r="Y247" s="598" t="s">
        <v>321</v>
      </c>
      <c r="Z247" s="598" t="s">
        <v>321</v>
      </c>
      <c r="AA247" s="598" t="s">
        <v>3309</v>
      </c>
      <c r="AB247" s="598" t="s">
        <v>3309</v>
      </c>
      <c r="AC247" s="598" t="s">
        <v>3309</v>
      </c>
      <c r="AD247" s="598" t="s">
        <v>3309</v>
      </c>
      <c r="AE247" s="598" t="s">
        <v>3309</v>
      </c>
      <c r="AF247" s="598" t="s">
        <v>321</v>
      </c>
      <c r="AG247" s="598" t="s">
        <v>321</v>
      </c>
      <c r="AH247" s="598" t="s">
        <v>3309</v>
      </c>
      <c r="AI247" s="598" t="s">
        <v>321</v>
      </c>
      <c r="AJ247" s="599">
        <v>21</v>
      </c>
      <c r="AK247" s="600">
        <v>21</v>
      </c>
      <c r="AL247" s="601">
        <v>0</v>
      </c>
      <c r="AM247" s="601">
        <v>0</v>
      </c>
      <c r="AN247" s="599">
        <v>21</v>
      </c>
    </row>
    <row r="248" spans="1:40" ht="16.5" customHeight="1">
      <c r="A248" s="598" t="s">
        <v>3307</v>
      </c>
      <c r="B248" s="598" t="s">
        <v>3324</v>
      </c>
      <c r="C248" s="598" t="s">
        <v>319</v>
      </c>
      <c r="D248" s="598" t="s">
        <v>320</v>
      </c>
      <c r="E248" s="598" t="s">
        <v>321</v>
      </c>
      <c r="F248" s="598" t="s">
        <v>3309</v>
      </c>
      <c r="G248" s="598" t="s">
        <v>3309</v>
      </c>
      <c r="H248" s="598" t="s">
        <v>3309</v>
      </c>
      <c r="I248" s="598" t="s">
        <v>3309</v>
      </c>
      <c r="J248" s="598" t="s">
        <v>3309</v>
      </c>
      <c r="K248" s="598" t="s">
        <v>321</v>
      </c>
      <c r="L248" s="598" t="s">
        <v>321</v>
      </c>
      <c r="M248" s="598" t="s">
        <v>3309</v>
      </c>
      <c r="N248" s="598" t="s">
        <v>3309</v>
      </c>
      <c r="O248" s="598" t="s">
        <v>3309</v>
      </c>
      <c r="P248" s="598" t="s">
        <v>3309</v>
      </c>
      <c r="Q248" s="598" t="s">
        <v>3309</v>
      </c>
      <c r="R248" s="598" t="s">
        <v>321</v>
      </c>
      <c r="S248" s="598" t="s">
        <v>321</v>
      </c>
      <c r="T248" s="598" t="s">
        <v>3309</v>
      </c>
      <c r="U248" s="598" t="s">
        <v>3309</v>
      </c>
      <c r="V248" s="598" t="s">
        <v>3309</v>
      </c>
      <c r="W248" s="598" t="s">
        <v>3309</v>
      </c>
      <c r="X248" s="598" t="s">
        <v>3309</v>
      </c>
      <c r="Y248" s="598" t="s">
        <v>321</v>
      </c>
      <c r="Z248" s="598" t="s">
        <v>321</v>
      </c>
      <c r="AA248" s="598" t="s">
        <v>3312</v>
      </c>
      <c r="AB248" s="598" t="s">
        <v>3312</v>
      </c>
      <c r="AC248" s="598" t="s">
        <v>3309</v>
      </c>
      <c r="AD248" s="598" t="s">
        <v>3309</v>
      </c>
      <c r="AE248" s="598" t="s">
        <v>3309</v>
      </c>
      <c r="AF248" s="598" t="s">
        <v>321</v>
      </c>
      <c r="AG248" s="598" t="s">
        <v>321</v>
      </c>
      <c r="AH248" s="598" t="s">
        <v>3309</v>
      </c>
      <c r="AI248" s="598" t="s">
        <v>321</v>
      </c>
      <c r="AJ248" s="599">
        <v>21</v>
      </c>
      <c r="AK248" s="600">
        <v>19</v>
      </c>
      <c r="AL248" s="602">
        <v>2</v>
      </c>
      <c r="AM248" s="601">
        <v>0</v>
      </c>
      <c r="AN248" s="599">
        <v>21</v>
      </c>
    </row>
    <row r="249" spans="1:40" ht="16.5" customHeight="1">
      <c r="A249" s="598" t="s">
        <v>3307</v>
      </c>
      <c r="B249" s="598" t="s">
        <v>3324</v>
      </c>
      <c r="C249" s="598" t="s">
        <v>352</v>
      </c>
      <c r="D249" s="598" t="s">
        <v>353</v>
      </c>
      <c r="E249" s="598" t="s">
        <v>321</v>
      </c>
      <c r="F249" s="598" t="s">
        <v>3309</v>
      </c>
      <c r="G249" s="598" t="s">
        <v>3309</v>
      </c>
      <c r="H249" s="598" t="s">
        <v>3309</v>
      </c>
      <c r="I249" s="598" t="s">
        <v>3309</v>
      </c>
      <c r="J249" s="598" t="s">
        <v>3309</v>
      </c>
      <c r="K249" s="598" t="s">
        <v>321</v>
      </c>
      <c r="L249" s="598" t="s">
        <v>321</v>
      </c>
      <c r="M249" s="598" t="s">
        <v>3309</v>
      </c>
      <c r="N249" s="598" t="s">
        <v>3309</v>
      </c>
      <c r="O249" s="598" t="s">
        <v>3309</v>
      </c>
      <c r="P249" s="598" t="s">
        <v>3309</v>
      </c>
      <c r="Q249" s="598" t="s">
        <v>3309</v>
      </c>
      <c r="R249" s="598" t="s">
        <v>321</v>
      </c>
      <c r="S249" s="598" t="s">
        <v>321</v>
      </c>
      <c r="T249" s="598" t="s">
        <v>3309</v>
      </c>
      <c r="U249" s="598" t="s">
        <v>3309</v>
      </c>
      <c r="V249" s="598" t="s">
        <v>3309</v>
      </c>
      <c r="W249" s="598" t="s">
        <v>3309</v>
      </c>
      <c r="X249" s="598" t="s">
        <v>3309</v>
      </c>
      <c r="Y249" s="598" t="s">
        <v>321</v>
      </c>
      <c r="Z249" s="598" t="s">
        <v>321</v>
      </c>
      <c r="AA249" s="598" t="s">
        <v>3309</v>
      </c>
      <c r="AB249" s="598" t="s">
        <v>3309</v>
      </c>
      <c r="AC249" s="598" t="s">
        <v>3309</v>
      </c>
      <c r="AD249" s="598" t="s">
        <v>3309</v>
      </c>
      <c r="AE249" s="598" t="s">
        <v>3309</v>
      </c>
      <c r="AF249" s="598" t="s">
        <v>321</v>
      </c>
      <c r="AG249" s="598" t="s">
        <v>321</v>
      </c>
      <c r="AH249" s="598" t="s">
        <v>3309</v>
      </c>
      <c r="AI249" s="598" t="s">
        <v>321</v>
      </c>
      <c r="AJ249" s="599">
        <v>21</v>
      </c>
      <c r="AK249" s="600">
        <v>21</v>
      </c>
      <c r="AL249" s="601">
        <v>0</v>
      </c>
      <c r="AM249" s="601">
        <v>0</v>
      </c>
      <c r="AN249" s="599">
        <v>21</v>
      </c>
    </row>
    <row r="250" spans="1:40" ht="16.5" customHeight="1">
      <c r="A250" s="598" t="s">
        <v>3307</v>
      </c>
      <c r="B250" s="598" t="s">
        <v>3324</v>
      </c>
      <c r="C250" s="598" t="s">
        <v>1826</v>
      </c>
      <c r="D250" s="598" t="s">
        <v>1827</v>
      </c>
      <c r="E250" s="598" t="s">
        <v>321</v>
      </c>
      <c r="F250" s="598" t="s">
        <v>3309</v>
      </c>
      <c r="G250" s="598" t="s">
        <v>3309</v>
      </c>
      <c r="H250" s="598" t="s">
        <v>3309</v>
      </c>
      <c r="I250" s="598" t="s">
        <v>3309</v>
      </c>
      <c r="J250" s="598" t="s">
        <v>3309</v>
      </c>
      <c r="K250" s="598" t="s">
        <v>321</v>
      </c>
      <c r="L250" s="598" t="s">
        <v>321</v>
      </c>
      <c r="M250" s="598" t="s">
        <v>3309</v>
      </c>
      <c r="N250" s="598" t="s">
        <v>3309</v>
      </c>
      <c r="O250" s="598" t="s">
        <v>3309</v>
      </c>
      <c r="P250" s="598" t="s">
        <v>3309</v>
      </c>
      <c r="Q250" s="598" t="s">
        <v>3309</v>
      </c>
      <c r="R250" s="598" t="s">
        <v>321</v>
      </c>
      <c r="S250" s="598" t="s">
        <v>321</v>
      </c>
      <c r="T250" s="598" t="s">
        <v>3309</v>
      </c>
      <c r="U250" s="598" t="s">
        <v>3309</v>
      </c>
      <c r="V250" s="598" t="s">
        <v>3309</v>
      </c>
      <c r="W250" s="598" t="s">
        <v>3309</v>
      </c>
      <c r="X250" s="598" t="s">
        <v>3309</v>
      </c>
      <c r="Y250" s="598" t="s">
        <v>321</v>
      </c>
      <c r="Z250" s="598" t="s">
        <v>321</v>
      </c>
      <c r="AA250" s="598" t="s">
        <v>3309</v>
      </c>
      <c r="AB250" s="598" t="s">
        <v>3309</v>
      </c>
      <c r="AC250" s="598" t="s">
        <v>3309</v>
      </c>
      <c r="AD250" s="598" t="s">
        <v>3309</v>
      </c>
      <c r="AE250" s="598" t="s">
        <v>3309</v>
      </c>
      <c r="AF250" s="598" t="s">
        <v>321</v>
      </c>
      <c r="AG250" s="598" t="s">
        <v>321</v>
      </c>
      <c r="AH250" s="598" t="s">
        <v>3309</v>
      </c>
      <c r="AI250" s="598" t="s">
        <v>321</v>
      </c>
      <c r="AJ250" s="599">
        <v>21</v>
      </c>
      <c r="AK250" s="600">
        <v>21</v>
      </c>
      <c r="AL250" s="601">
        <v>0</v>
      </c>
      <c r="AM250" s="601">
        <v>0</v>
      </c>
      <c r="AN250" s="599">
        <v>21</v>
      </c>
    </row>
    <row r="251" spans="1:40" ht="16.5" customHeight="1">
      <c r="A251" s="598" t="s">
        <v>3307</v>
      </c>
      <c r="B251" s="598" t="s">
        <v>3324</v>
      </c>
      <c r="C251" s="598" t="s">
        <v>362</v>
      </c>
      <c r="D251" s="598" t="s">
        <v>363</v>
      </c>
      <c r="E251" s="598" t="s">
        <v>321</v>
      </c>
      <c r="F251" s="598" t="s">
        <v>3309</v>
      </c>
      <c r="G251" s="598" t="s">
        <v>3309</v>
      </c>
      <c r="H251" s="598" t="s">
        <v>3309</v>
      </c>
      <c r="I251" s="598" t="s">
        <v>3309</v>
      </c>
      <c r="J251" s="598" t="s">
        <v>3309</v>
      </c>
      <c r="K251" s="598" t="s">
        <v>321</v>
      </c>
      <c r="L251" s="598" t="s">
        <v>321</v>
      </c>
      <c r="M251" s="598" t="s">
        <v>3309</v>
      </c>
      <c r="N251" s="598" t="s">
        <v>3309</v>
      </c>
      <c r="O251" s="598" t="s">
        <v>3309</v>
      </c>
      <c r="P251" s="598" t="s">
        <v>3309</v>
      </c>
      <c r="Q251" s="598" t="s">
        <v>3309</v>
      </c>
      <c r="R251" s="598" t="s">
        <v>321</v>
      </c>
      <c r="S251" s="598" t="s">
        <v>321</v>
      </c>
      <c r="T251" s="598" t="s">
        <v>3309</v>
      </c>
      <c r="U251" s="598" t="s">
        <v>3309</v>
      </c>
      <c r="V251" s="598" t="s">
        <v>3309</v>
      </c>
      <c r="W251" s="598" t="s">
        <v>3314</v>
      </c>
      <c r="X251" s="598" t="s">
        <v>3309</v>
      </c>
      <c r="Y251" s="598" t="s">
        <v>321</v>
      </c>
      <c r="Z251" s="598" t="s">
        <v>321</v>
      </c>
      <c r="AA251" s="598" t="s">
        <v>3309</v>
      </c>
      <c r="AB251" s="598" t="s">
        <v>3309</v>
      </c>
      <c r="AC251" s="598" t="s">
        <v>3309</v>
      </c>
      <c r="AD251" s="598" t="s">
        <v>3309</v>
      </c>
      <c r="AE251" s="598" t="s">
        <v>3309</v>
      </c>
      <c r="AF251" s="598" t="s">
        <v>321</v>
      </c>
      <c r="AG251" s="598" t="s">
        <v>321</v>
      </c>
      <c r="AH251" s="598" t="s">
        <v>3309</v>
      </c>
      <c r="AI251" s="598" t="s">
        <v>321</v>
      </c>
      <c r="AJ251" s="599">
        <v>21</v>
      </c>
      <c r="AK251" s="603">
        <v>20.5</v>
      </c>
      <c r="AL251" s="604">
        <v>0.5</v>
      </c>
      <c r="AM251" s="601">
        <v>0</v>
      </c>
      <c r="AN251" s="599">
        <v>21</v>
      </c>
    </row>
    <row r="252" spans="1:40" ht="16.5" customHeight="1">
      <c r="A252" s="598" t="s">
        <v>3307</v>
      </c>
      <c r="B252" s="598" t="s">
        <v>3324</v>
      </c>
      <c r="C252" s="598" t="s">
        <v>1889</v>
      </c>
      <c r="D252" s="598" t="s">
        <v>1890</v>
      </c>
      <c r="E252" s="598" t="s">
        <v>321</v>
      </c>
      <c r="F252" s="598" t="s">
        <v>3309</v>
      </c>
      <c r="G252" s="598" t="s">
        <v>3309</v>
      </c>
      <c r="H252" s="598" t="s">
        <v>3309</v>
      </c>
      <c r="I252" s="598" t="s">
        <v>3309</v>
      </c>
      <c r="J252" s="598" t="s">
        <v>3309</v>
      </c>
      <c r="K252" s="598" t="s">
        <v>321</v>
      </c>
      <c r="L252" s="598" t="s">
        <v>321</v>
      </c>
      <c r="M252" s="598" t="s">
        <v>3309</v>
      </c>
      <c r="N252" s="598" t="s">
        <v>3309</v>
      </c>
      <c r="O252" s="598" t="s">
        <v>3309</v>
      </c>
      <c r="P252" s="598" t="s">
        <v>3309</v>
      </c>
      <c r="Q252" s="598" t="s">
        <v>3309</v>
      </c>
      <c r="R252" s="598" t="s">
        <v>321</v>
      </c>
      <c r="S252" s="598" t="s">
        <v>321</v>
      </c>
      <c r="T252" s="598" t="s">
        <v>3309</v>
      </c>
      <c r="U252" s="598" t="s">
        <v>3309</v>
      </c>
      <c r="V252" s="598" t="s">
        <v>3309</v>
      </c>
      <c r="W252" s="598" t="s">
        <v>3309</v>
      </c>
      <c r="X252" s="598" t="s">
        <v>3309</v>
      </c>
      <c r="Y252" s="598" t="s">
        <v>321</v>
      </c>
      <c r="Z252" s="598" t="s">
        <v>321</v>
      </c>
      <c r="AA252" s="598" t="s">
        <v>3309</v>
      </c>
      <c r="AB252" s="598" t="s">
        <v>3309</v>
      </c>
      <c r="AC252" s="598" t="s">
        <v>3309</v>
      </c>
      <c r="AD252" s="598" t="s">
        <v>3309</v>
      </c>
      <c r="AE252" s="598" t="s">
        <v>3309</v>
      </c>
      <c r="AF252" s="598" t="s">
        <v>321</v>
      </c>
      <c r="AG252" s="598" t="s">
        <v>321</v>
      </c>
      <c r="AH252" s="598" t="s">
        <v>3309</v>
      </c>
      <c r="AI252" s="598" t="s">
        <v>321</v>
      </c>
      <c r="AJ252" s="599">
        <v>21</v>
      </c>
      <c r="AK252" s="600">
        <v>21</v>
      </c>
      <c r="AL252" s="601">
        <v>0</v>
      </c>
      <c r="AM252" s="601">
        <v>0</v>
      </c>
      <c r="AN252" s="599">
        <v>21</v>
      </c>
    </row>
    <row r="253" spans="1:40" ht="16.5" customHeight="1">
      <c r="A253" s="598" t="s">
        <v>3307</v>
      </c>
      <c r="B253" s="598" t="s">
        <v>3324</v>
      </c>
      <c r="C253" s="598" t="s">
        <v>1463</v>
      </c>
      <c r="D253" s="598" t="s">
        <v>1464</v>
      </c>
      <c r="E253" s="598" t="s">
        <v>321</v>
      </c>
      <c r="F253" s="598" t="s">
        <v>3309</v>
      </c>
      <c r="G253" s="598" t="s">
        <v>3309</v>
      </c>
      <c r="H253" s="598" t="s">
        <v>3309</v>
      </c>
      <c r="I253" s="598" t="s">
        <v>3309</v>
      </c>
      <c r="J253" s="598" t="s">
        <v>3309</v>
      </c>
      <c r="K253" s="598" t="s">
        <v>321</v>
      </c>
      <c r="L253" s="598" t="s">
        <v>321</v>
      </c>
      <c r="M253" s="598" t="s">
        <v>3309</v>
      </c>
      <c r="N253" s="598" t="s">
        <v>3309</v>
      </c>
      <c r="O253" s="598" t="s">
        <v>3309</v>
      </c>
      <c r="P253" s="598" t="s">
        <v>3309</v>
      </c>
      <c r="Q253" s="598" t="s">
        <v>3309</v>
      </c>
      <c r="R253" s="598" t="s">
        <v>321</v>
      </c>
      <c r="S253" s="598" t="s">
        <v>321</v>
      </c>
      <c r="T253" s="598" t="s">
        <v>3309</v>
      </c>
      <c r="U253" s="598" t="s">
        <v>3309</v>
      </c>
      <c r="V253" s="598" t="s">
        <v>3309</v>
      </c>
      <c r="W253" s="598" t="s">
        <v>3309</v>
      </c>
      <c r="X253" s="598" t="s">
        <v>3309</v>
      </c>
      <c r="Y253" s="598" t="s">
        <v>321</v>
      </c>
      <c r="Z253" s="598" t="s">
        <v>321</v>
      </c>
      <c r="AA253" s="598" t="s">
        <v>3309</v>
      </c>
      <c r="AB253" s="598" t="s">
        <v>3309</v>
      </c>
      <c r="AC253" s="598" t="s">
        <v>3309</v>
      </c>
      <c r="AD253" s="598" t="s">
        <v>3309</v>
      </c>
      <c r="AE253" s="598" t="s">
        <v>3309</v>
      </c>
      <c r="AF253" s="598" t="s">
        <v>321</v>
      </c>
      <c r="AG253" s="598" t="s">
        <v>321</v>
      </c>
      <c r="AH253" s="598" t="s">
        <v>3309</v>
      </c>
      <c r="AI253" s="598" t="s">
        <v>321</v>
      </c>
      <c r="AJ253" s="599">
        <v>21</v>
      </c>
      <c r="AK253" s="600">
        <v>21</v>
      </c>
      <c r="AL253" s="601">
        <v>0</v>
      </c>
      <c r="AM253" s="601">
        <v>0</v>
      </c>
      <c r="AN253" s="599">
        <v>21</v>
      </c>
    </row>
    <row r="254" spans="1:40" ht="16.5" customHeight="1">
      <c r="A254" s="598" t="s">
        <v>3307</v>
      </c>
      <c r="B254" s="598" t="s">
        <v>3324</v>
      </c>
      <c r="C254" s="598" t="s">
        <v>344</v>
      </c>
      <c r="D254" s="598" t="s">
        <v>345</v>
      </c>
      <c r="E254" s="598" t="s">
        <v>321</v>
      </c>
      <c r="F254" s="598" t="s">
        <v>3309</v>
      </c>
      <c r="G254" s="598" t="s">
        <v>3309</v>
      </c>
      <c r="H254" s="598" t="s">
        <v>3309</v>
      </c>
      <c r="I254" s="598" t="s">
        <v>3309</v>
      </c>
      <c r="J254" s="598" t="s">
        <v>3309</v>
      </c>
      <c r="K254" s="598" t="s">
        <v>321</v>
      </c>
      <c r="L254" s="598" t="s">
        <v>321</v>
      </c>
      <c r="M254" s="598" t="s">
        <v>3309</v>
      </c>
      <c r="N254" s="598" t="s">
        <v>3309</v>
      </c>
      <c r="O254" s="598" t="s">
        <v>3309</v>
      </c>
      <c r="P254" s="598" t="s">
        <v>3309</v>
      </c>
      <c r="Q254" s="598" t="s">
        <v>3309</v>
      </c>
      <c r="R254" s="598" t="s">
        <v>321</v>
      </c>
      <c r="S254" s="598" t="s">
        <v>321</v>
      </c>
      <c r="T254" s="598" t="s">
        <v>3309</v>
      </c>
      <c r="U254" s="598" t="s">
        <v>3309</v>
      </c>
      <c r="V254" s="598" t="s">
        <v>3309</v>
      </c>
      <c r="W254" s="598" t="s">
        <v>3309</v>
      </c>
      <c r="X254" s="598" t="s">
        <v>3309</v>
      </c>
      <c r="Y254" s="598" t="s">
        <v>321</v>
      </c>
      <c r="Z254" s="598" t="s">
        <v>321</v>
      </c>
      <c r="AA254" s="598" t="s">
        <v>3309</v>
      </c>
      <c r="AB254" s="598" t="s">
        <v>3309</v>
      </c>
      <c r="AC254" s="598" t="s">
        <v>3309</v>
      </c>
      <c r="AD254" s="598" t="s">
        <v>3309</v>
      </c>
      <c r="AE254" s="598" t="s">
        <v>3309</v>
      </c>
      <c r="AF254" s="598" t="s">
        <v>321</v>
      </c>
      <c r="AG254" s="598" t="s">
        <v>321</v>
      </c>
      <c r="AH254" s="598" t="s">
        <v>3309</v>
      </c>
      <c r="AI254" s="598" t="s">
        <v>321</v>
      </c>
      <c r="AJ254" s="599">
        <v>21</v>
      </c>
      <c r="AK254" s="600">
        <v>21</v>
      </c>
      <c r="AL254" s="601">
        <v>0</v>
      </c>
      <c r="AM254" s="601">
        <v>0</v>
      </c>
      <c r="AN254" s="599">
        <v>21</v>
      </c>
    </row>
    <row r="255" spans="1:40" ht="16.5" customHeight="1">
      <c r="A255" s="598" t="s">
        <v>3307</v>
      </c>
      <c r="B255" s="598" t="s">
        <v>3324</v>
      </c>
      <c r="C255" s="598" t="s">
        <v>2572</v>
      </c>
      <c r="D255" s="598" t="s">
        <v>2573</v>
      </c>
      <c r="E255" s="598" t="s">
        <v>321</v>
      </c>
      <c r="F255" s="598" t="s">
        <v>3309</v>
      </c>
      <c r="G255" s="598" t="s">
        <v>3309</v>
      </c>
      <c r="H255" s="598" t="s">
        <v>3309</v>
      </c>
      <c r="I255" s="598" t="s">
        <v>3309</v>
      </c>
      <c r="J255" s="598" t="s">
        <v>3309</v>
      </c>
      <c r="K255" s="598" t="s">
        <v>321</v>
      </c>
      <c r="L255" s="598" t="s">
        <v>321</v>
      </c>
      <c r="M255" s="598" t="s">
        <v>3309</v>
      </c>
      <c r="N255" s="598" t="s">
        <v>3309</v>
      </c>
      <c r="O255" s="598" t="s">
        <v>3309</v>
      </c>
      <c r="P255" s="598" t="s">
        <v>3309</v>
      </c>
      <c r="Q255" s="598" t="s">
        <v>3309</v>
      </c>
      <c r="R255" s="598" t="s">
        <v>321</v>
      </c>
      <c r="S255" s="598" t="s">
        <v>321</v>
      </c>
      <c r="T255" s="598" t="s">
        <v>3309</v>
      </c>
      <c r="U255" s="598" t="s">
        <v>3309</v>
      </c>
      <c r="V255" s="598" t="s">
        <v>3309</v>
      </c>
      <c r="W255" s="598" t="s">
        <v>3309</v>
      </c>
      <c r="X255" s="598" t="s">
        <v>3309</v>
      </c>
      <c r="Y255" s="598" t="s">
        <v>321</v>
      </c>
      <c r="Z255" s="598" t="s">
        <v>321</v>
      </c>
      <c r="AA255" s="598" t="s">
        <v>3309</v>
      </c>
      <c r="AB255" s="598" t="s">
        <v>3309</v>
      </c>
      <c r="AC255" s="598" t="s">
        <v>3309</v>
      </c>
      <c r="AD255" s="598" t="s">
        <v>3309</v>
      </c>
      <c r="AE255" s="598" t="s">
        <v>3309</v>
      </c>
      <c r="AF255" s="598" t="s">
        <v>321</v>
      </c>
      <c r="AG255" s="598" t="s">
        <v>321</v>
      </c>
      <c r="AH255" s="598" t="s">
        <v>3309</v>
      </c>
      <c r="AI255" s="598" t="s">
        <v>321</v>
      </c>
      <c r="AJ255" s="599">
        <v>21</v>
      </c>
      <c r="AK255" s="600">
        <v>21</v>
      </c>
      <c r="AL255" s="601">
        <v>0</v>
      </c>
      <c r="AM255" s="601">
        <v>0</v>
      </c>
      <c r="AN255" s="599">
        <v>21</v>
      </c>
    </row>
    <row r="256" spans="1:40" ht="16.5" customHeight="1">
      <c r="A256" s="598" t="s">
        <v>3307</v>
      </c>
      <c r="B256" s="598" t="s">
        <v>3324</v>
      </c>
      <c r="C256" s="598" t="s">
        <v>2751</v>
      </c>
      <c r="D256" s="598" t="s">
        <v>2752</v>
      </c>
      <c r="E256" s="598" t="s">
        <v>321</v>
      </c>
      <c r="F256" s="598" t="s">
        <v>3312</v>
      </c>
      <c r="G256" s="598" t="s">
        <v>3309</v>
      </c>
      <c r="H256" s="598" t="s">
        <v>3309</v>
      </c>
      <c r="I256" s="598" t="s">
        <v>3309</v>
      </c>
      <c r="J256" s="598" t="s">
        <v>3309</v>
      </c>
      <c r="K256" s="598" t="s">
        <v>321</v>
      </c>
      <c r="L256" s="598" t="s">
        <v>321</v>
      </c>
      <c r="M256" s="598" t="s">
        <v>3309</v>
      </c>
      <c r="N256" s="598" t="s">
        <v>3309</v>
      </c>
      <c r="O256" s="598" t="s">
        <v>3309</v>
      </c>
      <c r="P256" s="598" t="s">
        <v>3309</v>
      </c>
      <c r="Q256" s="598" t="s">
        <v>3309</v>
      </c>
      <c r="R256" s="598" t="s">
        <v>321</v>
      </c>
      <c r="S256" s="598" t="s">
        <v>321</v>
      </c>
      <c r="T256" s="598" t="s">
        <v>3309</v>
      </c>
      <c r="U256" s="598" t="s">
        <v>3309</v>
      </c>
      <c r="V256" s="598" t="s">
        <v>3309</v>
      </c>
      <c r="W256" s="598" t="s">
        <v>3309</v>
      </c>
      <c r="X256" s="598" t="s">
        <v>3309</v>
      </c>
      <c r="Y256" s="598" t="s">
        <v>321</v>
      </c>
      <c r="Z256" s="598" t="s">
        <v>321</v>
      </c>
      <c r="AA256" s="598" t="s">
        <v>3309</v>
      </c>
      <c r="AB256" s="598" t="s">
        <v>3309</v>
      </c>
      <c r="AC256" s="598" t="s">
        <v>3309</v>
      </c>
      <c r="AD256" s="598" t="s">
        <v>3309</v>
      </c>
      <c r="AE256" s="598" t="s">
        <v>3309</v>
      </c>
      <c r="AF256" s="598" t="s">
        <v>321</v>
      </c>
      <c r="AG256" s="598" t="s">
        <v>321</v>
      </c>
      <c r="AH256" s="598" t="s">
        <v>3309</v>
      </c>
      <c r="AI256" s="598" t="s">
        <v>321</v>
      </c>
      <c r="AJ256" s="599">
        <v>21</v>
      </c>
      <c r="AK256" s="600">
        <v>20</v>
      </c>
      <c r="AL256" s="602">
        <v>1</v>
      </c>
      <c r="AM256" s="601">
        <v>0</v>
      </c>
      <c r="AN256" s="599">
        <v>21</v>
      </c>
    </row>
    <row r="257" spans="1:40" ht="16.5" customHeight="1">
      <c r="A257" s="598" t="s">
        <v>3307</v>
      </c>
      <c r="B257" s="598" t="s">
        <v>3324</v>
      </c>
      <c r="C257" s="598" t="s">
        <v>2508</v>
      </c>
      <c r="D257" s="598" t="s">
        <v>2509</v>
      </c>
      <c r="E257" s="598" t="s">
        <v>321</v>
      </c>
      <c r="F257" s="598" t="s">
        <v>3309</v>
      </c>
      <c r="G257" s="598" t="s">
        <v>3309</v>
      </c>
      <c r="H257" s="598" t="s">
        <v>3309</v>
      </c>
      <c r="I257" s="598" t="s">
        <v>3309</v>
      </c>
      <c r="J257" s="598" t="s">
        <v>3309</v>
      </c>
      <c r="K257" s="598" t="s">
        <v>321</v>
      </c>
      <c r="L257" s="598" t="s">
        <v>321</v>
      </c>
      <c r="M257" s="598" t="s">
        <v>3309</v>
      </c>
      <c r="N257" s="598" t="s">
        <v>3309</v>
      </c>
      <c r="O257" s="598" t="s">
        <v>3309</v>
      </c>
      <c r="P257" s="598" t="s">
        <v>3309</v>
      </c>
      <c r="Q257" s="598" t="s">
        <v>3309</v>
      </c>
      <c r="R257" s="598" t="s">
        <v>321</v>
      </c>
      <c r="S257" s="598" t="s">
        <v>321</v>
      </c>
      <c r="T257" s="598" t="s">
        <v>3309</v>
      </c>
      <c r="U257" s="598" t="s">
        <v>3309</v>
      </c>
      <c r="V257" s="598" t="s">
        <v>3309</v>
      </c>
      <c r="W257" s="598" t="s">
        <v>3309</v>
      </c>
      <c r="X257" s="598" t="s">
        <v>3309</v>
      </c>
      <c r="Y257" s="598" t="s">
        <v>321</v>
      </c>
      <c r="Z257" s="598" t="s">
        <v>321</v>
      </c>
      <c r="AA257" s="598" t="s">
        <v>3309</v>
      </c>
      <c r="AB257" s="598" t="s">
        <v>3309</v>
      </c>
      <c r="AC257" s="598" t="s">
        <v>3309</v>
      </c>
      <c r="AD257" s="598" t="s">
        <v>3309</v>
      </c>
      <c r="AE257" s="598" t="s">
        <v>3309</v>
      </c>
      <c r="AF257" s="598" t="s">
        <v>321</v>
      </c>
      <c r="AG257" s="598" t="s">
        <v>321</v>
      </c>
      <c r="AH257" s="598" t="s">
        <v>3309</v>
      </c>
      <c r="AI257" s="598" t="s">
        <v>321</v>
      </c>
      <c r="AJ257" s="599">
        <v>21</v>
      </c>
      <c r="AK257" s="600">
        <v>21</v>
      </c>
      <c r="AL257" s="601">
        <v>0</v>
      </c>
      <c r="AM257" s="601">
        <v>0</v>
      </c>
      <c r="AN257" s="599">
        <v>21</v>
      </c>
    </row>
    <row r="258" spans="1:40" ht="16.5" customHeight="1">
      <c r="A258" s="598" t="s">
        <v>3307</v>
      </c>
      <c r="B258" s="598" t="s">
        <v>3324</v>
      </c>
      <c r="C258" s="598" t="s">
        <v>2334</v>
      </c>
      <c r="D258" s="598" t="s">
        <v>2335</v>
      </c>
      <c r="E258" s="598" t="s">
        <v>321</v>
      </c>
      <c r="F258" s="598" t="s">
        <v>3309</v>
      </c>
      <c r="G258" s="598" t="s">
        <v>3309</v>
      </c>
      <c r="H258" s="598" t="s">
        <v>3309</v>
      </c>
      <c r="I258" s="598" t="s">
        <v>3309</v>
      </c>
      <c r="J258" s="598" t="s">
        <v>3309</v>
      </c>
      <c r="K258" s="598" t="s">
        <v>321</v>
      </c>
      <c r="L258" s="598" t="s">
        <v>321</v>
      </c>
      <c r="M258" s="598" t="s">
        <v>3309</v>
      </c>
      <c r="N258" s="598" t="s">
        <v>3309</v>
      </c>
      <c r="O258" s="598" t="s">
        <v>3309</v>
      </c>
      <c r="P258" s="598" t="s">
        <v>3309</v>
      </c>
      <c r="Q258" s="598" t="s">
        <v>3309</v>
      </c>
      <c r="R258" s="598" t="s">
        <v>321</v>
      </c>
      <c r="S258" s="598" t="s">
        <v>321</v>
      </c>
      <c r="T258" s="598" t="s">
        <v>3309</v>
      </c>
      <c r="U258" s="598" t="s">
        <v>3309</v>
      </c>
      <c r="V258" s="598" t="s">
        <v>3309</v>
      </c>
      <c r="W258" s="598" t="s">
        <v>3309</v>
      </c>
      <c r="X258" s="598" t="s">
        <v>3309</v>
      </c>
      <c r="Y258" s="598" t="s">
        <v>321</v>
      </c>
      <c r="Z258" s="598" t="s">
        <v>321</v>
      </c>
      <c r="AA258" s="598" t="s">
        <v>3309</v>
      </c>
      <c r="AB258" s="598" t="s">
        <v>3309</v>
      </c>
      <c r="AC258" s="598" t="s">
        <v>3309</v>
      </c>
      <c r="AD258" s="598" t="s">
        <v>3309</v>
      </c>
      <c r="AE258" s="598" t="s">
        <v>3309</v>
      </c>
      <c r="AF258" s="598" t="s">
        <v>321</v>
      </c>
      <c r="AG258" s="598" t="s">
        <v>321</v>
      </c>
      <c r="AH258" s="598" t="s">
        <v>3309</v>
      </c>
      <c r="AI258" s="598" t="s">
        <v>321</v>
      </c>
      <c r="AJ258" s="599">
        <v>21</v>
      </c>
      <c r="AK258" s="600">
        <v>21</v>
      </c>
      <c r="AL258" s="601">
        <v>0</v>
      </c>
      <c r="AM258" s="601">
        <v>0</v>
      </c>
      <c r="AN258" s="599">
        <v>21</v>
      </c>
    </row>
    <row r="259" spans="1:40" ht="16.5" customHeight="1">
      <c r="A259" s="598" t="s">
        <v>3307</v>
      </c>
      <c r="B259" s="598" t="s">
        <v>3324</v>
      </c>
      <c r="C259" s="598" t="s">
        <v>1871</v>
      </c>
      <c r="D259" s="598" t="s">
        <v>1872</v>
      </c>
      <c r="E259" s="598" t="s">
        <v>321</v>
      </c>
      <c r="F259" s="598" t="s">
        <v>3309</v>
      </c>
      <c r="G259" s="598" t="s">
        <v>3309</v>
      </c>
      <c r="H259" s="598" t="s">
        <v>3309</v>
      </c>
      <c r="I259" s="598" t="s">
        <v>3309</v>
      </c>
      <c r="J259" s="598" t="s">
        <v>3309</v>
      </c>
      <c r="K259" s="598" t="s">
        <v>321</v>
      </c>
      <c r="L259" s="598" t="s">
        <v>321</v>
      </c>
      <c r="M259" s="598" t="s">
        <v>3309</v>
      </c>
      <c r="N259" s="598" t="s">
        <v>3309</v>
      </c>
      <c r="O259" s="598" t="s">
        <v>3309</v>
      </c>
      <c r="P259" s="598" t="s">
        <v>3309</v>
      </c>
      <c r="Q259" s="598" t="s">
        <v>3309</v>
      </c>
      <c r="R259" s="598" t="s">
        <v>321</v>
      </c>
      <c r="S259" s="598" t="s">
        <v>321</v>
      </c>
      <c r="T259" s="598" t="s">
        <v>3309</v>
      </c>
      <c r="U259" s="598" t="s">
        <v>3309</v>
      </c>
      <c r="V259" s="598" t="s">
        <v>3309</v>
      </c>
      <c r="W259" s="598" t="s">
        <v>3309</v>
      </c>
      <c r="X259" s="598" t="s">
        <v>3309</v>
      </c>
      <c r="Y259" s="598" t="s">
        <v>321</v>
      </c>
      <c r="Z259" s="598" t="s">
        <v>321</v>
      </c>
      <c r="AA259" s="598" t="s">
        <v>3309</v>
      </c>
      <c r="AB259" s="598" t="s">
        <v>3309</v>
      </c>
      <c r="AC259" s="598" t="s">
        <v>3309</v>
      </c>
      <c r="AD259" s="598" t="s">
        <v>3309</v>
      </c>
      <c r="AE259" s="598" t="s">
        <v>3309</v>
      </c>
      <c r="AF259" s="598" t="s">
        <v>321</v>
      </c>
      <c r="AG259" s="598" t="s">
        <v>321</v>
      </c>
      <c r="AH259" s="598" t="s">
        <v>3309</v>
      </c>
      <c r="AI259" s="598" t="s">
        <v>321</v>
      </c>
      <c r="AJ259" s="599">
        <v>21</v>
      </c>
      <c r="AK259" s="600">
        <v>21</v>
      </c>
      <c r="AL259" s="601">
        <v>0</v>
      </c>
      <c r="AM259" s="601">
        <v>0</v>
      </c>
      <c r="AN259" s="599">
        <v>21</v>
      </c>
    </row>
    <row r="260" spans="1:40" ht="16.5" customHeight="1">
      <c r="A260" s="598" t="s">
        <v>3307</v>
      </c>
      <c r="B260" s="598" t="s">
        <v>3324</v>
      </c>
      <c r="C260" s="598" t="s">
        <v>338</v>
      </c>
      <c r="D260" s="598" t="s">
        <v>339</v>
      </c>
      <c r="E260" s="598" t="s">
        <v>321</v>
      </c>
      <c r="F260" s="598" t="s">
        <v>3309</v>
      </c>
      <c r="G260" s="598" t="s">
        <v>3309</v>
      </c>
      <c r="H260" s="598" t="s">
        <v>3309</v>
      </c>
      <c r="I260" s="598" t="s">
        <v>3309</v>
      </c>
      <c r="J260" s="598" t="s">
        <v>3309</v>
      </c>
      <c r="K260" s="598" t="s">
        <v>321</v>
      </c>
      <c r="L260" s="598" t="s">
        <v>321</v>
      </c>
      <c r="M260" s="598" t="s">
        <v>3309</v>
      </c>
      <c r="N260" s="598" t="s">
        <v>3309</v>
      </c>
      <c r="O260" s="598" t="s">
        <v>3309</v>
      </c>
      <c r="P260" s="598" t="s">
        <v>3309</v>
      </c>
      <c r="Q260" s="598" t="s">
        <v>3309</v>
      </c>
      <c r="R260" s="598" t="s">
        <v>321</v>
      </c>
      <c r="S260" s="598" t="s">
        <v>321</v>
      </c>
      <c r="T260" s="598" t="s">
        <v>3309</v>
      </c>
      <c r="U260" s="598" t="s">
        <v>3309</v>
      </c>
      <c r="V260" s="598" t="s">
        <v>3309</v>
      </c>
      <c r="W260" s="598" t="s">
        <v>3309</v>
      </c>
      <c r="X260" s="598" t="s">
        <v>3309</v>
      </c>
      <c r="Y260" s="598" t="s">
        <v>321</v>
      </c>
      <c r="Z260" s="598" t="s">
        <v>321</v>
      </c>
      <c r="AA260" s="598" t="s">
        <v>3309</v>
      </c>
      <c r="AB260" s="598" t="s">
        <v>3309</v>
      </c>
      <c r="AC260" s="598" t="s">
        <v>3309</v>
      </c>
      <c r="AD260" s="598" t="s">
        <v>3309</v>
      </c>
      <c r="AE260" s="598" t="s">
        <v>3309</v>
      </c>
      <c r="AF260" s="598" t="s">
        <v>321</v>
      </c>
      <c r="AG260" s="598" t="s">
        <v>321</v>
      </c>
      <c r="AH260" s="598" t="s">
        <v>3309</v>
      </c>
      <c r="AI260" s="598" t="s">
        <v>321</v>
      </c>
      <c r="AJ260" s="599">
        <v>21</v>
      </c>
      <c r="AK260" s="600">
        <v>21</v>
      </c>
      <c r="AL260" s="601">
        <v>0</v>
      </c>
      <c r="AM260" s="601">
        <v>0</v>
      </c>
      <c r="AN260" s="599">
        <v>21</v>
      </c>
    </row>
    <row r="261" spans="1:40" ht="16.5" customHeight="1">
      <c r="A261" s="598" t="s">
        <v>3307</v>
      </c>
      <c r="B261" s="598" t="s">
        <v>3324</v>
      </c>
      <c r="C261" s="598" t="s">
        <v>1535</v>
      </c>
      <c r="D261" s="598" t="s">
        <v>1536</v>
      </c>
      <c r="E261" s="598" t="s">
        <v>321</v>
      </c>
      <c r="F261" s="598" t="s">
        <v>3309</v>
      </c>
      <c r="G261" s="598" t="s">
        <v>3309</v>
      </c>
      <c r="H261" s="598" t="s">
        <v>3309</v>
      </c>
      <c r="I261" s="598" t="s">
        <v>3309</v>
      </c>
      <c r="J261" s="598" t="s">
        <v>3309</v>
      </c>
      <c r="K261" s="598" t="s">
        <v>321</v>
      </c>
      <c r="L261" s="598" t="s">
        <v>321</v>
      </c>
      <c r="M261" s="598" t="s">
        <v>3309</v>
      </c>
      <c r="N261" s="598" t="s">
        <v>3309</v>
      </c>
      <c r="O261" s="598" t="s">
        <v>3309</v>
      </c>
      <c r="P261" s="598" t="s">
        <v>3309</v>
      </c>
      <c r="Q261" s="598" t="s">
        <v>3309</v>
      </c>
      <c r="R261" s="598" t="s">
        <v>321</v>
      </c>
      <c r="S261" s="598" t="s">
        <v>321</v>
      </c>
      <c r="T261" s="598" t="s">
        <v>3309</v>
      </c>
      <c r="U261" s="598" t="s">
        <v>3309</v>
      </c>
      <c r="V261" s="598" t="s">
        <v>3309</v>
      </c>
      <c r="W261" s="598" t="s">
        <v>3309</v>
      </c>
      <c r="X261" s="598" t="s">
        <v>3309</v>
      </c>
      <c r="Y261" s="598" t="s">
        <v>321</v>
      </c>
      <c r="Z261" s="598" t="s">
        <v>321</v>
      </c>
      <c r="AA261" s="598" t="s">
        <v>3309</v>
      </c>
      <c r="AB261" s="598" t="s">
        <v>3309</v>
      </c>
      <c r="AC261" s="598" t="s">
        <v>3309</v>
      </c>
      <c r="AD261" s="598" t="s">
        <v>3309</v>
      </c>
      <c r="AE261" s="598" t="s">
        <v>3309</v>
      </c>
      <c r="AF261" s="598" t="s">
        <v>321</v>
      </c>
      <c r="AG261" s="598" t="s">
        <v>321</v>
      </c>
      <c r="AH261" s="598" t="s">
        <v>3309</v>
      </c>
      <c r="AI261" s="598" t="s">
        <v>321</v>
      </c>
      <c r="AJ261" s="599">
        <v>21</v>
      </c>
      <c r="AK261" s="600">
        <v>21</v>
      </c>
      <c r="AL261" s="601">
        <v>0</v>
      </c>
      <c r="AM261" s="601">
        <v>0</v>
      </c>
      <c r="AN261" s="599">
        <v>21</v>
      </c>
    </row>
    <row r="262" spans="1:40" ht="16.5" customHeight="1">
      <c r="A262" s="598" t="s">
        <v>3307</v>
      </c>
      <c r="B262" s="598" t="s">
        <v>3324</v>
      </c>
      <c r="C262" s="598" t="s">
        <v>1542</v>
      </c>
      <c r="D262" s="598" t="s">
        <v>1543</v>
      </c>
      <c r="E262" s="598" t="s">
        <v>321</v>
      </c>
      <c r="F262" s="598" t="s">
        <v>3309</v>
      </c>
      <c r="G262" s="598" t="s">
        <v>3309</v>
      </c>
      <c r="H262" s="598" t="s">
        <v>3309</v>
      </c>
      <c r="I262" s="598" t="s">
        <v>3309</v>
      </c>
      <c r="J262" s="598" t="s">
        <v>3309</v>
      </c>
      <c r="K262" s="598" t="s">
        <v>321</v>
      </c>
      <c r="L262" s="598" t="s">
        <v>321</v>
      </c>
      <c r="M262" s="598" t="s">
        <v>3309</v>
      </c>
      <c r="N262" s="598" t="s">
        <v>3309</v>
      </c>
      <c r="O262" s="598" t="s">
        <v>3309</v>
      </c>
      <c r="P262" s="598" t="s">
        <v>3309</v>
      </c>
      <c r="Q262" s="598" t="s">
        <v>3309</v>
      </c>
      <c r="R262" s="598" t="s">
        <v>321</v>
      </c>
      <c r="S262" s="598" t="s">
        <v>321</v>
      </c>
      <c r="T262" s="598" t="s">
        <v>3309</v>
      </c>
      <c r="U262" s="598" t="s">
        <v>3309</v>
      </c>
      <c r="V262" s="598" t="s">
        <v>3309</v>
      </c>
      <c r="W262" s="598" t="s">
        <v>3312</v>
      </c>
      <c r="X262" s="598" t="s">
        <v>3312</v>
      </c>
      <c r="Y262" s="598" t="s">
        <v>321</v>
      </c>
      <c r="Z262" s="598" t="s">
        <v>321</v>
      </c>
      <c r="AA262" s="598" t="s">
        <v>3312</v>
      </c>
      <c r="AB262" s="598" t="s">
        <v>3309</v>
      </c>
      <c r="AC262" s="598" t="s">
        <v>3309</v>
      </c>
      <c r="AD262" s="598" t="s">
        <v>3309</v>
      </c>
      <c r="AE262" s="598" t="s">
        <v>3309</v>
      </c>
      <c r="AF262" s="598" t="s">
        <v>321</v>
      </c>
      <c r="AG262" s="598" t="s">
        <v>321</v>
      </c>
      <c r="AH262" s="598" t="s">
        <v>3309</v>
      </c>
      <c r="AI262" s="598" t="s">
        <v>321</v>
      </c>
      <c r="AJ262" s="599">
        <v>21</v>
      </c>
      <c r="AK262" s="600">
        <v>18</v>
      </c>
      <c r="AL262" s="602">
        <v>3</v>
      </c>
      <c r="AM262" s="601">
        <v>0</v>
      </c>
      <c r="AN262" s="599">
        <v>21</v>
      </c>
    </row>
    <row r="263" spans="1:40" ht="16.5" customHeight="1">
      <c r="A263" s="598" t="s">
        <v>3307</v>
      </c>
      <c r="B263" s="598" t="s">
        <v>3324</v>
      </c>
      <c r="C263" s="598" t="s">
        <v>1568</v>
      </c>
      <c r="D263" s="598" t="s">
        <v>1569</v>
      </c>
      <c r="E263" s="598" t="s">
        <v>321</v>
      </c>
      <c r="F263" s="598" t="s">
        <v>3309</v>
      </c>
      <c r="G263" s="598" t="s">
        <v>3309</v>
      </c>
      <c r="H263" s="598" t="s">
        <v>3309</v>
      </c>
      <c r="I263" s="598" t="s">
        <v>3309</v>
      </c>
      <c r="J263" s="598" t="s">
        <v>3309</v>
      </c>
      <c r="K263" s="598" t="s">
        <v>321</v>
      </c>
      <c r="L263" s="598" t="s">
        <v>321</v>
      </c>
      <c r="M263" s="598" t="s">
        <v>3309</v>
      </c>
      <c r="N263" s="598" t="s">
        <v>3309</v>
      </c>
      <c r="O263" s="598" t="s">
        <v>3309</v>
      </c>
      <c r="P263" s="598" t="s">
        <v>3309</v>
      </c>
      <c r="Q263" s="598" t="s">
        <v>3309</v>
      </c>
      <c r="R263" s="598" t="s">
        <v>321</v>
      </c>
      <c r="S263" s="598" t="s">
        <v>321</v>
      </c>
      <c r="T263" s="598" t="s">
        <v>3309</v>
      </c>
      <c r="U263" s="598" t="s">
        <v>3309</v>
      </c>
      <c r="V263" s="598" t="s">
        <v>3309</v>
      </c>
      <c r="W263" s="598" t="s">
        <v>3309</v>
      </c>
      <c r="X263" s="598" t="s">
        <v>3309</v>
      </c>
      <c r="Y263" s="598" t="s">
        <v>321</v>
      </c>
      <c r="Z263" s="598" t="s">
        <v>321</v>
      </c>
      <c r="AA263" s="598" t="s">
        <v>3309</v>
      </c>
      <c r="AB263" s="598" t="s">
        <v>3309</v>
      </c>
      <c r="AC263" s="598" t="s">
        <v>3309</v>
      </c>
      <c r="AD263" s="598" t="s">
        <v>3309</v>
      </c>
      <c r="AE263" s="598" t="s">
        <v>3309</v>
      </c>
      <c r="AF263" s="598" t="s">
        <v>321</v>
      </c>
      <c r="AG263" s="598" t="s">
        <v>321</v>
      </c>
      <c r="AH263" s="598" t="s">
        <v>3309</v>
      </c>
      <c r="AI263" s="598" t="s">
        <v>321</v>
      </c>
      <c r="AJ263" s="599">
        <v>21</v>
      </c>
      <c r="AK263" s="600">
        <v>21</v>
      </c>
      <c r="AL263" s="601">
        <v>0</v>
      </c>
      <c r="AM263" s="601">
        <v>0</v>
      </c>
      <c r="AN263" s="599">
        <v>21</v>
      </c>
    </row>
    <row r="264" spans="1:40" ht="16.5" customHeight="1">
      <c r="A264" s="598" t="s">
        <v>3307</v>
      </c>
      <c r="B264" s="598" t="s">
        <v>3324</v>
      </c>
      <c r="C264" s="598" t="s">
        <v>1747</v>
      </c>
      <c r="D264" s="598" t="s">
        <v>1748</v>
      </c>
      <c r="E264" s="598" t="s">
        <v>321</v>
      </c>
      <c r="F264" s="598" t="s">
        <v>3309</v>
      </c>
      <c r="G264" s="598" t="s">
        <v>3309</v>
      </c>
      <c r="H264" s="598" t="s">
        <v>3309</v>
      </c>
      <c r="I264" s="598" t="s">
        <v>3309</v>
      </c>
      <c r="J264" s="598" t="s">
        <v>3309</v>
      </c>
      <c r="K264" s="598" t="s">
        <v>321</v>
      </c>
      <c r="L264" s="598" t="s">
        <v>321</v>
      </c>
      <c r="M264" s="598" t="s">
        <v>3309</v>
      </c>
      <c r="N264" s="598" t="s">
        <v>3309</v>
      </c>
      <c r="O264" s="598" t="s">
        <v>3309</v>
      </c>
      <c r="P264" s="598" t="s">
        <v>3309</v>
      </c>
      <c r="Q264" s="598" t="s">
        <v>3309</v>
      </c>
      <c r="R264" s="598" t="s">
        <v>321</v>
      </c>
      <c r="S264" s="598" t="s">
        <v>321</v>
      </c>
      <c r="T264" s="598" t="s">
        <v>3309</v>
      </c>
      <c r="U264" s="598" t="s">
        <v>3309</v>
      </c>
      <c r="V264" s="598" t="s">
        <v>3309</v>
      </c>
      <c r="W264" s="598" t="s">
        <v>3309</v>
      </c>
      <c r="X264" s="598" t="s">
        <v>3309</v>
      </c>
      <c r="Y264" s="598" t="s">
        <v>321</v>
      </c>
      <c r="Z264" s="598" t="s">
        <v>321</v>
      </c>
      <c r="AA264" s="598" t="s">
        <v>3309</v>
      </c>
      <c r="AB264" s="598" t="s">
        <v>3309</v>
      </c>
      <c r="AC264" s="598" t="s">
        <v>3309</v>
      </c>
      <c r="AD264" s="598" t="s">
        <v>3309</v>
      </c>
      <c r="AE264" s="598" t="s">
        <v>3309</v>
      </c>
      <c r="AF264" s="598" t="s">
        <v>321</v>
      </c>
      <c r="AG264" s="598" t="s">
        <v>321</v>
      </c>
      <c r="AH264" s="598" t="s">
        <v>3309</v>
      </c>
      <c r="AI264" s="598" t="s">
        <v>321</v>
      </c>
      <c r="AJ264" s="599">
        <v>21</v>
      </c>
      <c r="AK264" s="600">
        <v>21</v>
      </c>
      <c r="AL264" s="601">
        <v>0</v>
      </c>
      <c r="AM264" s="601">
        <v>0</v>
      </c>
      <c r="AN264" s="599">
        <v>21</v>
      </c>
    </row>
    <row r="265" spans="1:40" ht="16.5" customHeight="1">
      <c r="A265" s="598" t="s">
        <v>3307</v>
      </c>
      <c r="B265" s="598" t="s">
        <v>3324</v>
      </c>
      <c r="C265" s="598" t="s">
        <v>348</v>
      </c>
      <c r="D265" s="598" t="s">
        <v>349</v>
      </c>
      <c r="E265" s="598" t="s">
        <v>321</v>
      </c>
      <c r="F265" s="598" t="s">
        <v>3309</v>
      </c>
      <c r="G265" s="598" t="s">
        <v>3309</v>
      </c>
      <c r="H265" s="598" t="s">
        <v>3309</v>
      </c>
      <c r="I265" s="598" t="s">
        <v>3309</v>
      </c>
      <c r="J265" s="598" t="s">
        <v>3309</v>
      </c>
      <c r="K265" s="598" t="s">
        <v>321</v>
      </c>
      <c r="L265" s="598" t="s">
        <v>321</v>
      </c>
      <c r="M265" s="598" t="s">
        <v>3309</v>
      </c>
      <c r="N265" s="598" t="s">
        <v>3309</v>
      </c>
      <c r="O265" s="598" t="s">
        <v>3309</v>
      </c>
      <c r="P265" s="598" t="s">
        <v>3309</v>
      </c>
      <c r="Q265" s="598" t="s">
        <v>3309</v>
      </c>
      <c r="R265" s="598" t="s">
        <v>321</v>
      </c>
      <c r="S265" s="598" t="s">
        <v>321</v>
      </c>
      <c r="T265" s="598" t="s">
        <v>3309</v>
      </c>
      <c r="U265" s="598" t="s">
        <v>3309</v>
      </c>
      <c r="V265" s="598" t="s">
        <v>3309</v>
      </c>
      <c r="W265" s="598" t="s">
        <v>3309</v>
      </c>
      <c r="X265" s="598" t="s">
        <v>3309</v>
      </c>
      <c r="Y265" s="598" t="s">
        <v>321</v>
      </c>
      <c r="Z265" s="598" t="s">
        <v>321</v>
      </c>
      <c r="AA265" s="598" t="s">
        <v>3309</v>
      </c>
      <c r="AB265" s="598" t="s">
        <v>3309</v>
      </c>
      <c r="AC265" s="598" t="s">
        <v>3309</v>
      </c>
      <c r="AD265" s="598" t="s">
        <v>3309</v>
      </c>
      <c r="AE265" s="598" t="s">
        <v>3309</v>
      </c>
      <c r="AF265" s="598" t="s">
        <v>321</v>
      </c>
      <c r="AG265" s="598" t="s">
        <v>321</v>
      </c>
      <c r="AH265" s="598" t="s">
        <v>3309</v>
      </c>
      <c r="AI265" s="598" t="s">
        <v>321</v>
      </c>
      <c r="AJ265" s="599">
        <v>21</v>
      </c>
      <c r="AK265" s="600">
        <v>21</v>
      </c>
      <c r="AL265" s="601">
        <v>0</v>
      </c>
      <c r="AM265" s="601">
        <v>0</v>
      </c>
      <c r="AN265" s="599">
        <v>21</v>
      </c>
    </row>
    <row r="266" spans="1:40" ht="16.5" customHeight="1">
      <c r="A266" s="598" t="s">
        <v>3307</v>
      </c>
      <c r="B266" s="598" t="s">
        <v>3324</v>
      </c>
      <c r="C266" s="598" t="s">
        <v>354</v>
      </c>
      <c r="D266" s="598" t="s">
        <v>355</v>
      </c>
      <c r="E266" s="598" t="s">
        <v>321</v>
      </c>
      <c r="F266" s="598" t="s">
        <v>3309</v>
      </c>
      <c r="G266" s="598" t="s">
        <v>3309</v>
      </c>
      <c r="H266" s="598" t="s">
        <v>3309</v>
      </c>
      <c r="I266" s="598" t="s">
        <v>3309</v>
      </c>
      <c r="J266" s="598" t="s">
        <v>3309</v>
      </c>
      <c r="K266" s="598" t="s">
        <v>321</v>
      </c>
      <c r="L266" s="598" t="s">
        <v>321</v>
      </c>
      <c r="M266" s="598" t="s">
        <v>3312</v>
      </c>
      <c r="N266" s="598" t="s">
        <v>3309</v>
      </c>
      <c r="O266" s="598" t="s">
        <v>3309</v>
      </c>
      <c r="P266" s="598" t="s">
        <v>3309</v>
      </c>
      <c r="Q266" s="598" t="s">
        <v>3309</v>
      </c>
      <c r="R266" s="598" t="s">
        <v>321</v>
      </c>
      <c r="S266" s="598" t="s">
        <v>321</v>
      </c>
      <c r="T266" s="598" t="s">
        <v>3312</v>
      </c>
      <c r="U266" s="598" t="s">
        <v>3309</v>
      </c>
      <c r="V266" s="598" t="s">
        <v>3309</v>
      </c>
      <c r="W266" s="598" t="s">
        <v>3309</v>
      </c>
      <c r="X266" s="598" t="s">
        <v>3309</v>
      </c>
      <c r="Y266" s="598" t="s">
        <v>321</v>
      </c>
      <c r="Z266" s="598" t="s">
        <v>321</v>
      </c>
      <c r="AA266" s="598" t="s">
        <v>3309</v>
      </c>
      <c r="AB266" s="598" t="s">
        <v>3309</v>
      </c>
      <c r="AC266" s="598" t="s">
        <v>3309</v>
      </c>
      <c r="AD266" s="598" t="s">
        <v>3309</v>
      </c>
      <c r="AE266" s="598" t="s">
        <v>3309</v>
      </c>
      <c r="AF266" s="598" t="s">
        <v>321</v>
      </c>
      <c r="AG266" s="598" t="s">
        <v>321</v>
      </c>
      <c r="AH266" s="598" t="s">
        <v>3309</v>
      </c>
      <c r="AI266" s="598" t="s">
        <v>321</v>
      </c>
      <c r="AJ266" s="599">
        <v>21</v>
      </c>
      <c r="AK266" s="600">
        <v>19</v>
      </c>
      <c r="AL266" s="602">
        <v>2</v>
      </c>
      <c r="AM266" s="601">
        <v>0</v>
      </c>
      <c r="AN266" s="599">
        <v>21</v>
      </c>
    </row>
    <row r="267" spans="1:40" ht="16.5" customHeight="1">
      <c r="A267" s="598" t="s">
        <v>3307</v>
      </c>
      <c r="B267" s="598" t="s">
        <v>3324</v>
      </c>
      <c r="C267" s="598" t="s">
        <v>1234</v>
      </c>
      <c r="D267" s="598" t="s">
        <v>1235</v>
      </c>
      <c r="E267" s="598" t="s">
        <v>321</v>
      </c>
      <c r="F267" s="598" t="s">
        <v>3309</v>
      </c>
      <c r="G267" s="598" t="s">
        <v>3309</v>
      </c>
      <c r="H267" s="598" t="s">
        <v>3309</v>
      </c>
      <c r="I267" s="598" t="s">
        <v>3309</v>
      </c>
      <c r="J267" s="598" t="s">
        <v>3309</v>
      </c>
      <c r="K267" s="598" t="s">
        <v>321</v>
      </c>
      <c r="L267" s="598" t="s">
        <v>321</v>
      </c>
      <c r="M267" s="598" t="s">
        <v>3309</v>
      </c>
      <c r="N267" s="598" t="s">
        <v>3309</v>
      </c>
      <c r="O267" s="598" t="s">
        <v>3309</v>
      </c>
      <c r="P267" s="598" t="s">
        <v>3309</v>
      </c>
      <c r="Q267" s="598" t="s">
        <v>3309</v>
      </c>
      <c r="R267" s="598" t="s">
        <v>321</v>
      </c>
      <c r="S267" s="598" t="s">
        <v>321</v>
      </c>
      <c r="T267" s="598" t="s">
        <v>3309</v>
      </c>
      <c r="U267" s="598" t="s">
        <v>3309</v>
      </c>
      <c r="V267" s="598" t="s">
        <v>3309</v>
      </c>
      <c r="W267" s="598" t="s">
        <v>3309</v>
      </c>
      <c r="X267" s="598" t="s">
        <v>3309</v>
      </c>
      <c r="Y267" s="598" t="s">
        <v>321</v>
      </c>
      <c r="Z267" s="598" t="s">
        <v>321</v>
      </c>
      <c r="AA267" s="598" t="s">
        <v>3309</v>
      </c>
      <c r="AB267" s="598" t="s">
        <v>3309</v>
      </c>
      <c r="AC267" s="598" t="s">
        <v>3309</v>
      </c>
      <c r="AD267" s="598" t="s">
        <v>3309</v>
      </c>
      <c r="AE267" s="598" t="s">
        <v>3309</v>
      </c>
      <c r="AF267" s="598" t="s">
        <v>321</v>
      </c>
      <c r="AG267" s="598" t="s">
        <v>321</v>
      </c>
      <c r="AH267" s="598" t="s">
        <v>3309</v>
      </c>
      <c r="AI267" s="598" t="s">
        <v>321</v>
      </c>
      <c r="AJ267" s="599">
        <v>21</v>
      </c>
      <c r="AK267" s="600">
        <v>21</v>
      </c>
      <c r="AL267" s="601">
        <v>0</v>
      </c>
      <c r="AM267" s="601">
        <v>0</v>
      </c>
      <c r="AN267" s="599">
        <v>21</v>
      </c>
    </row>
    <row r="268" spans="1:40" ht="16.5" customHeight="1">
      <c r="A268" s="598" t="s">
        <v>3307</v>
      </c>
      <c r="B268" s="598" t="s">
        <v>3324</v>
      </c>
      <c r="C268" s="598" t="s">
        <v>2742</v>
      </c>
      <c r="D268" s="598" t="s">
        <v>2743</v>
      </c>
      <c r="E268" s="598" t="s">
        <v>321</v>
      </c>
      <c r="F268" s="598" t="s">
        <v>3309</v>
      </c>
      <c r="G268" s="598" t="s">
        <v>3309</v>
      </c>
      <c r="H268" s="598" t="s">
        <v>3309</v>
      </c>
      <c r="I268" s="598" t="s">
        <v>3309</v>
      </c>
      <c r="J268" s="598" t="s">
        <v>3309</v>
      </c>
      <c r="K268" s="598" t="s">
        <v>321</v>
      </c>
      <c r="L268" s="598" t="s">
        <v>321</v>
      </c>
      <c r="M268" s="598" t="s">
        <v>3309</v>
      </c>
      <c r="N268" s="598" t="s">
        <v>3309</v>
      </c>
      <c r="O268" s="598" t="s">
        <v>3309</v>
      </c>
      <c r="P268" s="598" t="s">
        <v>3309</v>
      </c>
      <c r="Q268" s="598" t="s">
        <v>3309</v>
      </c>
      <c r="R268" s="598" t="s">
        <v>321</v>
      </c>
      <c r="S268" s="598" t="s">
        <v>321</v>
      </c>
      <c r="T268" s="598" t="s">
        <v>3309</v>
      </c>
      <c r="U268" s="598" t="s">
        <v>3309</v>
      </c>
      <c r="V268" s="598" t="s">
        <v>3309</v>
      </c>
      <c r="W268" s="598" t="s">
        <v>3309</v>
      </c>
      <c r="X268" s="598" t="s">
        <v>3309</v>
      </c>
      <c r="Y268" s="598" t="s">
        <v>321</v>
      </c>
      <c r="Z268" s="598" t="s">
        <v>321</v>
      </c>
      <c r="AA268" s="598" t="s">
        <v>3309</v>
      </c>
      <c r="AB268" s="598" t="s">
        <v>3309</v>
      </c>
      <c r="AC268" s="598" t="s">
        <v>3309</v>
      </c>
      <c r="AD268" s="598" t="s">
        <v>3309</v>
      </c>
      <c r="AE268" s="598" t="s">
        <v>3309</v>
      </c>
      <c r="AF268" s="598" t="s">
        <v>321</v>
      </c>
      <c r="AG268" s="598" t="s">
        <v>321</v>
      </c>
      <c r="AH268" s="598" t="s">
        <v>3309</v>
      </c>
      <c r="AI268" s="598" t="s">
        <v>321</v>
      </c>
      <c r="AJ268" s="599">
        <v>21</v>
      </c>
      <c r="AK268" s="600">
        <v>21</v>
      </c>
      <c r="AL268" s="601">
        <v>0</v>
      </c>
      <c r="AM268" s="601">
        <v>0</v>
      </c>
      <c r="AN268" s="599">
        <v>21</v>
      </c>
    </row>
    <row r="269" spans="1:40" ht="16.5" customHeight="1">
      <c r="A269" s="598" t="s">
        <v>3307</v>
      </c>
      <c r="B269" s="598" t="s">
        <v>3324</v>
      </c>
      <c r="C269" s="598" t="s">
        <v>1779</v>
      </c>
      <c r="D269" s="598" t="s">
        <v>1780</v>
      </c>
      <c r="E269" s="598" t="s">
        <v>321</v>
      </c>
      <c r="F269" s="598" t="s">
        <v>3309</v>
      </c>
      <c r="G269" s="598" t="s">
        <v>3309</v>
      </c>
      <c r="H269" s="598" t="s">
        <v>3309</v>
      </c>
      <c r="I269" s="598" t="s">
        <v>3309</v>
      </c>
      <c r="J269" s="598" t="s">
        <v>3309</v>
      </c>
      <c r="K269" s="598" t="s">
        <v>321</v>
      </c>
      <c r="L269" s="598" t="s">
        <v>321</v>
      </c>
      <c r="M269" s="598" t="s">
        <v>3309</v>
      </c>
      <c r="N269" s="598" t="s">
        <v>3309</v>
      </c>
      <c r="O269" s="598" t="s">
        <v>3309</v>
      </c>
      <c r="P269" s="598" t="s">
        <v>3309</v>
      </c>
      <c r="Q269" s="598" t="s">
        <v>3309</v>
      </c>
      <c r="R269" s="598" t="s">
        <v>321</v>
      </c>
      <c r="S269" s="598" t="s">
        <v>321</v>
      </c>
      <c r="T269" s="598" t="s">
        <v>3312</v>
      </c>
      <c r="U269" s="598" t="s">
        <v>3309</v>
      </c>
      <c r="V269" s="598" t="s">
        <v>3309</v>
      </c>
      <c r="W269" s="598" t="s">
        <v>3309</v>
      </c>
      <c r="X269" s="598" t="s">
        <v>3309</v>
      </c>
      <c r="Y269" s="598" t="s">
        <v>321</v>
      </c>
      <c r="Z269" s="598" t="s">
        <v>321</v>
      </c>
      <c r="AA269" s="598" t="s">
        <v>3309</v>
      </c>
      <c r="AB269" s="598" t="s">
        <v>3309</v>
      </c>
      <c r="AC269" s="598" t="s">
        <v>3309</v>
      </c>
      <c r="AD269" s="598" t="s">
        <v>3309</v>
      </c>
      <c r="AE269" s="598" t="s">
        <v>3309</v>
      </c>
      <c r="AF269" s="598" t="s">
        <v>321</v>
      </c>
      <c r="AG269" s="598" t="s">
        <v>321</v>
      </c>
      <c r="AH269" s="598" t="s">
        <v>3309</v>
      </c>
      <c r="AI269" s="598" t="s">
        <v>321</v>
      </c>
      <c r="AJ269" s="599">
        <v>21</v>
      </c>
      <c r="AK269" s="600">
        <v>20</v>
      </c>
      <c r="AL269" s="602">
        <v>1</v>
      </c>
      <c r="AM269" s="601">
        <v>0</v>
      </c>
      <c r="AN269" s="599">
        <v>21</v>
      </c>
    </row>
    <row r="270" spans="1:40" ht="16.5" customHeight="1">
      <c r="A270" s="598" t="s">
        <v>3307</v>
      </c>
      <c r="B270" s="598" t="s">
        <v>3324</v>
      </c>
      <c r="C270" s="598" t="s">
        <v>1475</v>
      </c>
      <c r="D270" s="598" t="s">
        <v>1476</v>
      </c>
      <c r="E270" s="598" t="s">
        <v>321</v>
      </c>
      <c r="F270" s="598" t="s">
        <v>3309</v>
      </c>
      <c r="G270" s="598" t="s">
        <v>3309</v>
      </c>
      <c r="H270" s="598" t="s">
        <v>3309</v>
      </c>
      <c r="I270" s="598" t="s">
        <v>3309</v>
      </c>
      <c r="J270" s="598" t="s">
        <v>3309</v>
      </c>
      <c r="K270" s="598" t="s">
        <v>321</v>
      </c>
      <c r="L270" s="598" t="s">
        <v>321</v>
      </c>
      <c r="M270" s="598" t="s">
        <v>3309</v>
      </c>
      <c r="N270" s="598" t="s">
        <v>3309</v>
      </c>
      <c r="O270" s="598" t="s">
        <v>3309</v>
      </c>
      <c r="P270" s="598" t="s">
        <v>3309</v>
      </c>
      <c r="Q270" s="598" t="s">
        <v>3309</v>
      </c>
      <c r="R270" s="598" t="s">
        <v>321</v>
      </c>
      <c r="S270" s="598" t="s">
        <v>321</v>
      </c>
      <c r="T270" s="598" t="s">
        <v>3309</v>
      </c>
      <c r="U270" s="598" t="s">
        <v>3309</v>
      </c>
      <c r="V270" s="598" t="s">
        <v>3309</v>
      </c>
      <c r="W270" s="598" t="s">
        <v>3309</v>
      </c>
      <c r="X270" s="598" t="s">
        <v>3309</v>
      </c>
      <c r="Y270" s="598" t="s">
        <v>321</v>
      </c>
      <c r="Z270" s="598" t="s">
        <v>321</v>
      </c>
      <c r="AA270" s="598" t="s">
        <v>3309</v>
      </c>
      <c r="AB270" s="598" t="s">
        <v>3309</v>
      </c>
      <c r="AC270" s="598" t="s">
        <v>3309</v>
      </c>
      <c r="AD270" s="598" t="s">
        <v>3309</v>
      </c>
      <c r="AE270" s="598" t="s">
        <v>3309</v>
      </c>
      <c r="AF270" s="598" t="s">
        <v>321</v>
      </c>
      <c r="AG270" s="598" t="s">
        <v>321</v>
      </c>
      <c r="AH270" s="598" t="s">
        <v>3309</v>
      </c>
      <c r="AI270" s="598" t="s">
        <v>321</v>
      </c>
      <c r="AJ270" s="599">
        <v>21</v>
      </c>
      <c r="AK270" s="600">
        <v>21</v>
      </c>
      <c r="AL270" s="601">
        <v>0</v>
      </c>
      <c r="AM270" s="601">
        <v>0</v>
      </c>
      <c r="AN270" s="599">
        <v>21</v>
      </c>
    </row>
    <row r="271" spans="1:40" ht="16.5" customHeight="1">
      <c r="A271" s="598" t="s">
        <v>3307</v>
      </c>
      <c r="B271" s="598" t="s">
        <v>3325</v>
      </c>
      <c r="C271" s="598" t="s">
        <v>2664</v>
      </c>
      <c r="D271" s="598" t="s">
        <v>2665</v>
      </c>
      <c r="E271" s="598" t="s">
        <v>321</v>
      </c>
      <c r="F271" s="598" t="s">
        <v>3309</v>
      </c>
      <c r="G271" s="598" t="s">
        <v>3309</v>
      </c>
      <c r="H271" s="598" t="s">
        <v>3309</v>
      </c>
      <c r="I271" s="598" t="s">
        <v>3309</v>
      </c>
      <c r="J271" s="598" t="s">
        <v>3309</v>
      </c>
      <c r="K271" s="598" t="s">
        <v>321</v>
      </c>
      <c r="L271" s="598" t="s">
        <v>321</v>
      </c>
      <c r="M271" s="598" t="s">
        <v>3309</v>
      </c>
      <c r="N271" s="598" t="s">
        <v>3309</v>
      </c>
      <c r="O271" s="598" t="s">
        <v>3309</v>
      </c>
      <c r="P271" s="598" t="s">
        <v>3309</v>
      </c>
      <c r="Q271" s="598" t="s">
        <v>3309</v>
      </c>
      <c r="R271" s="598" t="s">
        <v>321</v>
      </c>
      <c r="S271" s="598" t="s">
        <v>321</v>
      </c>
      <c r="T271" s="598" t="s">
        <v>3309</v>
      </c>
      <c r="U271" s="598" t="s">
        <v>3309</v>
      </c>
      <c r="V271" s="598" t="s">
        <v>3309</v>
      </c>
      <c r="W271" s="598" t="s">
        <v>3309</v>
      </c>
      <c r="X271" s="598" t="s">
        <v>3309</v>
      </c>
      <c r="Y271" s="598" t="s">
        <v>321</v>
      </c>
      <c r="Z271" s="598" t="s">
        <v>321</v>
      </c>
      <c r="AA271" s="598" t="s">
        <v>3309</v>
      </c>
      <c r="AB271" s="598" t="s">
        <v>3309</v>
      </c>
      <c r="AC271" s="598" t="s">
        <v>3309</v>
      </c>
      <c r="AD271" s="598" t="s">
        <v>3309</v>
      </c>
      <c r="AE271" s="598" t="s">
        <v>3309</v>
      </c>
      <c r="AF271" s="598" t="s">
        <v>321</v>
      </c>
      <c r="AG271" s="598" t="s">
        <v>321</v>
      </c>
      <c r="AH271" s="598" t="s">
        <v>3309</v>
      </c>
      <c r="AI271" s="598" t="s">
        <v>321</v>
      </c>
      <c r="AJ271" s="599">
        <v>21</v>
      </c>
      <c r="AK271" s="600">
        <v>21</v>
      </c>
      <c r="AL271" s="601">
        <v>0</v>
      </c>
      <c r="AM271" s="601">
        <v>0</v>
      </c>
      <c r="AN271" s="599">
        <v>21</v>
      </c>
    </row>
    <row r="272" spans="1:40" ht="16.5" customHeight="1">
      <c r="A272" s="598" t="s">
        <v>3307</v>
      </c>
      <c r="B272" s="598" t="s">
        <v>3325</v>
      </c>
      <c r="C272" s="598" t="s">
        <v>1007</v>
      </c>
      <c r="D272" s="598" t="s">
        <v>1008</v>
      </c>
      <c r="E272" s="598" t="s">
        <v>321</v>
      </c>
      <c r="F272" s="598" t="s">
        <v>3309</v>
      </c>
      <c r="G272" s="598" t="s">
        <v>3309</v>
      </c>
      <c r="H272" s="598" t="s">
        <v>3309</v>
      </c>
      <c r="I272" s="598" t="s">
        <v>3309</v>
      </c>
      <c r="J272" s="598" t="s">
        <v>3309</v>
      </c>
      <c r="K272" s="598" t="s">
        <v>321</v>
      </c>
      <c r="L272" s="598" t="s">
        <v>321</v>
      </c>
      <c r="M272" s="598" t="s">
        <v>3309</v>
      </c>
      <c r="N272" s="598" t="s">
        <v>3309</v>
      </c>
      <c r="O272" s="598" t="s">
        <v>3309</v>
      </c>
      <c r="P272" s="598" t="s">
        <v>3309</v>
      </c>
      <c r="Q272" s="598" t="s">
        <v>3309</v>
      </c>
      <c r="R272" s="598" t="s">
        <v>321</v>
      </c>
      <c r="S272" s="598" t="s">
        <v>321</v>
      </c>
      <c r="T272" s="598" t="s">
        <v>3309</v>
      </c>
      <c r="U272" s="598" t="s">
        <v>3309</v>
      </c>
      <c r="V272" s="598" t="s">
        <v>3309</v>
      </c>
      <c r="W272" s="598" t="s">
        <v>3309</v>
      </c>
      <c r="X272" s="598" t="s">
        <v>3309</v>
      </c>
      <c r="Y272" s="598" t="s">
        <v>321</v>
      </c>
      <c r="Z272" s="598" t="s">
        <v>321</v>
      </c>
      <c r="AA272" s="598" t="s">
        <v>3309</v>
      </c>
      <c r="AB272" s="598" t="s">
        <v>3309</v>
      </c>
      <c r="AC272" s="598" t="s">
        <v>3309</v>
      </c>
      <c r="AD272" s="598" t="s">
        <v>3309</v>
      </c>
      <c r="AE272" s="598" t="s">
        <v>3309</v>
      </c>
      <c r="AF272" s="598" t="s">
        <v>321</v>
      </c>
      <c r="AG272" s="598" t="s">
        <v>321</v>
      </c>
      <c r="AH272" s="598" t="s">
        <v>3309</v>
      </c>
      <c r="AI272" s="598" t="s">
        <v>321</v>
      </c>
      <c r="AJ272" s="599">
        <v>21</v>
      </c>
      <c r="AK272" s="600">
        <v>21</v>
      </c>
      <c r="AL272" s="601">
        <v>0</v>
      </c>
      <c r="AM272" s="601">
        <v>0</v>
      </c>
      <c r="AN272" s="599">
        <v>21</v>
      </c>
    </row>
    <row r="273" spans="1:40" ht="16.5" customHeight="1">
      <c r="A273" s="598" t="s">
        <v>3307</v>
      </c>
      <c r="B273" s="598" t="s">
        <v>3325</v>
      </c>
      <c r="C273" s="598" t="s">
        <v>2680</v>
      </c>
      <c r="D273" s="598" t="s">
        <v>2681</v>
      </c>
      <c r="E273" s="598" t="s">
        <v>321</v>
      </c>
      <c r="F273" s="598" t="s">
        <v>3309</v>
      </c>
      <c r="G273" s="598" t="s">
        <v>3309</v>
      </c>
      <c r="H273" s="598" t="s">
        <v>3309</v>
      </c>
      <c r="I273" s="598" t="s">
        <v>3309</v>
      </c>
      <c r="J273" s="598" t="s">
        <v>3309</v>
      </c>
      <c r="K273" s="598" t="s">
        <v>321</v>
      </c>
      <c r="L273" s="598" t="s">
        <v>321</v>
      </c>
      <c r="M273" s="598" t="s">
        <v>3309</v>
      </c>
      <c r="N273" s="598" t="s">
        <v>3309</v>
      </c>
      <c r="O273" s="598" t="s">
        <v>3309</v>
      </c>
      <c r="P273" s="598" t="s">
        <v>3309</v>
      </c>
      <c r="Q273" s="598" t="s">
        <v>3309</v>
      </c>
      <c r="R273" s="598" t="s">
        <v>321</v>
      </c>
      <c r="S273" s="598" t="s">
        <v>321</v>
      </c>
      <c r="T273" s="598" t="s">
        <v>3309</v>
      </c>
      <c r="U273" s="598" t="s">
        <v>3309</v>
      </c>
      <c r="V273" s="598" t="s">
        <v>3309</v>
      </c>
      <c r="W273" s="598" t="s">
        <v>3309</v>
      </c>
      <c r="X273" s="598" t="s">
        <v>3309</v>
      </c>
      <c r="Y273" s="598" t="s">
        <v>321</v>
      </c>
      <c r="Z273" s="598" t="s">
        <v>321</v>
      </c>
      <c r="AA273" s="598" t="s">
        <v>3309</v>
      </c>
      <c r="AB273" s="598" t="s">
        <v>3309</v>
      </c>
      <c r="AC273" s="598" t="s">
        <v>3309</v>
      </c>
      <c r="AD273" s="598" t="s">
        <v>3309</v>
      </c>
      <c r="AE273" s="598" t="s">
        <v>3309</v>
      </c>
      <c r="AF273" s="598" t="s">
        <v>321</v>
      </c>
      <c r="AG273" s="598" t="s">
        <v>321</v>
      </c>
      <c r="AH273" s="598" t="s">
        <v>3309</v>
      </c>
      <c r="AI273" s="598" t="s">
        <v>321</v>
      </c>
      <c r="AJ273" s="599">
        <v>21</v>
      </c>
      <c r="AK273" s="600">
        <v>21</v>
      </c>
      <c r="AL273" s="601">
        <v>0</v>
      </c>
      <c r="AM273" s="601">
        <v>0</v>
      </c>
      <c r="AN273" s="599">
        <v>21</v>
      </c>
    </row>
    <row r="274" spans="1:40" ht="16.5" customHeight="1">
      <c r="A274" s="598" t="s">
        <v>3307</v>
      </c>
      <c r="B274" s="598" t="s">
        <v>3325</v>
      </c>
      <c r="C274" s="598" t="s">
        <v>2472</v>
      </c>
      <c r="D274" s="598" t="s">
        <v>2473</v>
      </c>
      <c r="E274" s="598" t="s">
        <v>321</v>
      </c>
      <c r="F274" s="598" t="s">
        <v>3309</v>
      </c>
      <c r="G274" s="598" t="s">
        <v>3309</v>
      </c>
      <c r="H274" s="598" t="s">
        <v>3309</v>
      </c>
      <c r="I274" s="598" t="s">
        <v>3309</v>
      </c>
      <c r="J274" s="598" t="s">
        <v>3312</v>
      </c>
      <c r="K274" s="598" t="s">
        <v>321</v>
      </c>
      <c r="L274" s="598" t="s">
        <v>321</v>
      </c>
      <c r="M274" s="598" t="s">
        <v>3309</v>
      </c>
      <c r="N274" s="598" t="s">
        <v>3309</v>
      </c>
      <c r="O274" s="598" t="s">
        <v>3309</v>
      </c>
      <c r="P274" s="598" t="s">
        <v>3309</v>
      </c>
      <c r="Q274" s="598" t="s">
        <v>3309</v>
      </c>
      <c r="R274" s="598" t="s">
        <v>321</v>
      </c>
      <c r="S274" s="598" t="s">
        <v>321</v>
      </c>
      <c r="T274" s="598" t="s">
        <v>3309</v>
      </c>
      <c r="U274" s="598" t="s">
        <v>3309</v>
      </c>
      <c r="V274" s="598" t="s">
        <v>3309</v>
      </c>
      <c r="W274" s="598" t="s">
        <v>3309</v>
      </c>
      <c r="X274" s="598" t="s">
        <v>3309</v>
      </c>
      <c r="Y274" s="598" t="s">
        <v>321</v>
      </c>
      <c r="Z274" s="598" t="s">
        <v>321</v>
      </c>
      <c r="AA274" s="598" t="s">
        <v>3309</v>
      </c>
      <c r="AB274" s="598" t="s">
        <v>3309</v>
      </c>
      <c r="AC274" s="598" t="s">
        <v>3309</v>
      </c>
      <c r="AD274" s="598" t="s">
        <v>3309</v>
      </c>
      <c r="AE274" s="598" t="s">
        <v>3309</v>
      </c>
      <c r="AF274" s="598" t="s">
        <v>321</v>
      </c>
      <c r="AG274" s="598" t="s">
        <v>321</v>
      </c>
      <c r="AH274" s="598" t="s">
        <v>3309</v>
      </c>
      <c r="AI274" s="598" t="s">
        <v>321</v>
      </c>
      <c r="AJ274" s="599">
        <v>21</v>
      </c>
      <c r="AK274" s="600">
        <v>20</v>
      </c>
      <c r="AL274" s="602">
        <v>1</v>
      </c>
      <c r="AM274" s="601">
        <v>0</v>
      </c>
      <c r="AN274" s="599">
        <v>21</v>
      </c>
    </row>
    <row r="275" spans="1:40" ht="16.5" customHeight="1">
      <c r="A275" s="598" t="s">
        <v>3307</v>
      </c>
      <c r="B275" s="598" t="s">
        <v>3325</v>
      </c>
      <c r="C275" s="598" t="s">
        <v>2459</v>
      </c>
      <c r="D275" s="598" t="s">
        <v>2062</v>
      </c>
      <c r="E275" s="598" t="s">
        <v>321</v>
      </c>
      <c r="F275" s="598" t="s">
        <v>3309</v>
      </c>
      <c r="G275" s="598" t="s">
        <v>3309</v>
      </c>
      <c r="H275" s="598" t="s">
        <v>3309</v>
      </c>
      <c r="I275" s="598" t="s">
        <v>3309</v>
      </c>
      <c r="J275" s="598" t="s">
        <v>3309</v>
      </c>
      <c r="K275" s="598" t="s">
        <v>321</v>
      </c>
      <c r="L275" s="598" t="s">
        <v>321</v>
      </c>
      <c r="M275" s="598" t="s">
        <v>3309</v>
      </c>
      <c r="N275" s="598" t="s">
        <v>3309</v>
      </c>
      <c r="O275" s="598" t="s">
        <v>3309</v>
      </c>
      <c r="P275" s="598" t="s">
        <v>3309</v>
      </c>
      <c r="Q275" s="598" t="s">
        <v>3309</v>
      </c>
      <c r="R275" s="598" t="s">
        <v>321</v>
      </c>
      <c r="S275" s="598" t="s">
        <v>321</v>
      </c>
      <c r="T275" s="598" t="s">
        <v>3309</v>
      </c>
      <c r="U275" s="598" t="s">
        <v>3309</v>
      </c>
      <c r="V275" s="598" t="s">
        <v>3309</v>
      </c>
      <c r="W275" s="598" t="s">
        <v>3309</v>
      </c>
      <c r="X275" s="598" t="s">
        <v>3309</v>
      </c>
      <c r="Y275" s="598" t="s">
        <v>321</v>
      </c>
      <c r="Z275" s="598" t="s">
        <v>321</v>
      </c>
      <c r="AA275" s="598" t="s">
        <v>3309</v>
      </c>
      <c r="AB275" s="598" t="s">
        <v>3309</v>
      </c>
      <c r="AC275" s="598" t="s">
        <v>3309</v>
      </c>
      <c r="AD275" s="598" t="s">
        <v>3309</v>
      </c>
      <c r="AE275" s="598" t="s">
        <v>3309</v>
      </c>
      <c r="AF275" s="598" t="s">
        <v>321</v>
      </c>
      <c r="AG275" s="598" t="s">
        <v>321</v>
      </c>
      <c r="AH275" s="598" t="s">
        <v>3309</v>
      </c>
      <c r="AI275" s="598" t="s">
        <v>321</v>
      </c>
      <c r="AJ275" s="599">
        <v>21</v>
      </c>
      <c r="AK275" s="600">
        <v>21</v>
      </c>
      <c r="AL275" s="601">
        <v>0</v>
      </c>
      <c r="AM275" s="601">
        <v>0</v>
      </c>
      <c r="AN275" s="599">
        <v>21</v>
      </c>
    </row>
    <row r="276" spans="1:40" ht="16.5" customHeight="1">
      <c r="A276" s="598" t="s">
        <v>3307</v>
      </c>
      <c r="B276" s="598" t="s">
        <v>3325</v>
      </c>
      <c r="C276" s="598" t="s">
        <v>2110</v>
      </c>
      <c r="D276" s="598" t="s">
        <v>2111</v>
      </c>
      <c r="E276" s="598" t="s">
        <v>321</v>
      </c>
      <c r="F276" s="598" t="s">
        <v>3309</v>
      </c>
      <c r="G276" s="598" t="s">
        <v>3309</v>
      </c>
      <c r="H276" s="598" t="s">
        <v>3309</v>
      </c>
      <c r="I276" s="598" t="s">
        <v>3309</v>
      </c>
      <c r="J276" s="598" t="s">
        <v>3309</v>
      </c>
      <c r="K276" s="598" t="s">
        <v>321</v>
      </c>
      <c r="L276" s="598" t="s">
        <v>321</v>
      </c>
      <c r="M276" s="598" t="s">
        <v>3312</v>
      </c>
      <c r="N276" s="598" t="s">
        <v>3312</v>
      </c>
      <c r="O276" s="598" t="s">
        <v>3309</v>
      </c>
      <c r="P276" s="598" t="s">
        <v>3309</v>
      </c>
      <c r="Q276" s="598" t="s">
        <v>3309</v>
      </c>
      <c r="R276" s="598" t="s">
        <v>321</v>
      </c>
      <c r="S276" s="598" t="s">
        <v>321</v>
      </c>
      <c r="T276" s="598" t="s">
        <v>3309</v>
      </c>
      <c r="U276" s="598" t="s">
        <v>3309</v>
      </c>
      <c r="V276" s="598" t="s">
        <v>3309</v>
      </c>
      <c r="W276" s="598" t="s">
        <v>3309</v>
      </c>
      <c r="X276" s="598" t="s">
        <v>3309</v>
      </c>
      <c r="Y276" s="598" t="s">
        <v>321</v>
      </c>
      <c r="Z276" s="598" t="s">
        <v>321</v>
      </c>
      <c r="AA276" s="598" t="s">
        <v>3309</v>
      </c>
      <c r="AB276" s="598" t="s">
        <v>3309</v>
      </c>
      <c r="AC276" s="598" t="s">
        <v>3309</v>
      </c>
      <c r="AD276" s="598" t="s">
        <v>3309</v>
      </c>
      <c r="AE276" s="598" t="s">
        <v>3309</v>
      </c>
      <c r="AF276" s="598" t="s">
        <v>321</v>
      </c>
      <c r="AG276" s="598" t="s">
        <v>321</v>
      </c>
      <c r="AH276" s="598" t="s">
        <v>3309</v>
      </c>
      <c r="AI276" s="598" t="s">
        <v>321</v>
      </c>
      <c r="AJ276" s="599">
        <v>21</v>
      </c>
      <c r="AK276" s="600">
        <v>19</v>
      </c>
      <c r="AL276" s="602">
        <v>2</v>
      </c>
      <c r="AM276" s="601">
        <v>0</v>
      </c>
      <c r="AN276" s="599">
        <v>21</v>
      </c>
    </row>
    <row r="277" spans="1:40" ht="16.5" customHeight="1">
      <c r="A277" s="598" t="s">
        <v>3307</v>
      </c>
      <c r="B277" s="598" t="s">
        <v>3325</v>
      </c>
      <c r="C277" s="598" t="s">
        <v>2655</v>
      </c>
      <c r="D277" s="598" t="s">
        <v>2656</v>
      </c>
      <c r="E277" s="598" t="s">
        <v>321</v>
      </c>
      <c r="F277" s="598" t="s">
        <v>3309</v>
      </c>
      <c r="G277" s="598" t="s">
        <v>3309</v>
      </c>
      <c r="H277" s="598" t="s">
        <v>3309</v>
      </c>
      <c r="I277" s="598" t="s">
        <v>3309</v>
      </c>
      <c r="J277" s="598" t="s">
        <v>3309</v>
      </c>
      <c r="K277" s="598" t="s">
        <v>321</v>
      </c>
      <c r="L277" s="598" t="s">
        <v>321</v>
      </c>
      <c r="M277" s="598" t="s">
        <v>3309</v>
      </c>
      <c r="N277" s="598" t="s">
        <v>3309</v>
      </c>
      <c r="O277" s="598" t="s">
        <v>3309</v>
      </c>
      <c r="P277" s="598" t="s">
        <v>3309</v>
      </c>
      <c r="Q277" s="598" t="s">
        <v>3309</v>
      </c>
      <c r="R277" s="598" t="s">
        <v>321</v>
      </c>
      <c r="S277" s="598" t="s">
        <v>321</v>
      </c>
      <c r="T277" s="598" t="s">
        <v>3309</v>
      </c>
      <c r="U277" s="598" t="s">
        <v>3309</v>
      </c>
      <c r="V277" s="598" t="s">
        <v>3309</v>
      </c>
      <c r="W277" s="598" t="s">
        <v>3309</v>
      </c>
      <c r="X277" s="598" t="s">
        <v>3309</v>
      </c>
      <c r="Y277" s="598" t="s">
        <v>321</v>
      </c>
      <c r="Z277" s="598" t="s">
        <v>321</v>
      </c>
      <c r="AA277" s="598" t="s">
        <v>3309</v>
      </c>
      <c r="AB277" s="598" t="s">
        <v>3309</v>
      </c>
      <c r="AC277" s="598" t="s">
        <v>3309</v>
      </c>
      <c r="AD277" s="598" t="s">
        <v>3309</v>
      </c>
      <c r="AE277" s="598" t="s">
        <v>3309</v>
      </c>
      <c r="AF277" s="598" t="s">
        <v>321</v>
      </c>
      <c r="AG277" s="598" t="s">
        <v>321</v>
      </c>
      <c r="AH277" s="598" t="s">
        <v>3309</v>
      </c>
      <c r="AI277" s="598" t="s">
        <v>321</v>
      </c>
      <c r="AJ277" s="599">
        <v>21</v>
      </c>
      <c r="AK277" s="600">
        <v>21</v>
      </c>
      <c r="AL277" s="601">
        <v>0</v>
      </c>
      <c r="AM277" s="601">
        <v>0</v>
      </c>
      <c r="AN277" s="599">
        <v>21</v>
      </c>
    </row>
    <row r="278" spans="1:40" ht="16.5" customHeight="1">
      <c r="A278" s="598" t="s">
        <v>3307</v>
      </c>
      <c r="B278" s="598" t="s">
        <v>3325</v>
      </c>
      <c r="C278" s="598" t="s">
        <v>1107</v>
      </c>
      <c r="D278" s="598" t="s">
        <v>1108</v>
      </c>
      <c r="E278" s="598" t="s">
        <v>321</v>
      </c>
      <c r="F278" s="598" t="s">
        <v>3309</v>
      </c>
      <c r="G278" s="598" t="s">
        <v>3309</v>
      </c>
      <c r="H278" s="598" t="s">
        <v>3309</v>
      </c>
      <c r="I278" s="598" t="s">
        <v>3309</v>
      </c>
      <c r="J278" s="598" t="s">
        <v>3309</v>
      </c>
      <c r="K278" s="598" t="s">
        <v>321</v>
      </c>
      <c r="L278" s="598" t="s">
        <v>321</v>
      </c>
      <c r="M278" s="598" t="s">
        <v>3309</v>
      </c>
      <c r="N278" s="598" t="s">
        <v>3309</v>
      </c>
      <c r="O278" s="598" t="s">
        <v>3309</v>
      </c>
      <c r="P278" s="598" t="s">
        <v>3309</v>
      </c>
      <c r="Q278" s="598" t="s">
        <v>3309</v>
      </c>
      <c r="R278" s="598" t="s">
        <v>321</v>
      </c>
      <c r="S278" s="598" t="s">
        <v>321</v>
      </c>
      <c r="T278" s="598" t="s">
        <v>3309</v>
      </c>
      <c r="U278" s="598" t="s">
        <v>3309</v>
      </c>
      <c r="V278" s="598" t="s">
        <v>3309</v>
      </c>
      <c r="W278" s="598" t="s">
        <v>3309</v>
      </c>
      <c r="X278" s="598" t="s">
        <v>3309</v>
      </c>
      <c r="Y278" s="598" t="s">
        <v>321</v>
      </c>
      <c r="Z278" s="598" t="s">
        <v>321</v>
      </c>
      <c r="AA278" s="598" t="s">
        <v>3309</v>
      </c>
      <c r="AB278" s="598" t="s">
        <v>3309</v>
      </c>
      <c r="AC278" s="598" t="s">
        <v>3309</v>
      </c>
      <c r="AD278" s="598" t="s">
        <v>3309</v>
      </c>
      <c r="AE278" s="598" t="s">
        <v>3309</v>
      </c>
      <c r="AF278" s="598" t="s">
        <v>321</v>
      </c>
      <c r="AG278" s="598" t="s">
        <v>321</v>
      </c>
      <c r="AH278" s="598" t="s">
        <v>3309</v>
      </c>
      <c r="AI278" s="598" t="s">
        <v>321</v>
      </c>
      <c r="AJ278" s="599">
        <v>21</v>
      </c>
      <c r="AK278" s="600">
        <v>21</v>
      </c>
      <c r="AL278" s="601">
        <v>0</v>
      </c>
      <c r="AM278" s="601">
        <v>0</v>
      </c>
      <c r="AN278" s="599">
        <v>21</v>
      </c>
    </row>
    <row r="279" spans="1:40" ht="16.5" customHeight="1">
      <c r="A279" s="598" t="s">
        <v>3307</v>
      </c>
      <c r="B279" s="598" t="s">
        <v>3325</v>
      </c>
      <c r="C279" s="598" t="s">
        <v>2873</v>
      </c>
      <c r="D279" s="598" t="s">
        <v>1708</v>
      </c>
      <c r="E279" s="598" t="s">
        <v>321</v>
      </c>
      <c r="F279" s="598" t="s">
        <v>3309</v>
      </c>
      <c r="G279" s="598" t="s">
        <v>3309</v>
      </c>
      <c r="H279" s="598" t="s">
        <v>3309</v>
      </c>
      <c r="I279" s="598" t="s">
        <v>3309</v>
      </c>
      <c r="J279" s="598" t="s">
        <v>3309</v>
      </c>
      <c r="K279" s="598" t="s">
        <v>321</v>
      </c>
      <c r="L279" s="598" t="s">
        <v>321</v>
      </c>
      <c r="M279" s="598" t="s">
        <v>3309</v>
      </c>
      <c r="N279" s="598" t="s">
        <v>3309</v>
      </c>
      <c r="O279" s="598" t="s">
        <v>3309</v>
      </c>
      <c r="P279" s="598" t="s">
        <v>3309</v>
      </c>
      <c r="Q279" s="598" t="s">
        <v>3309</v>
      </c>
      <c r="R279" s="598" t="s">
        <v>321</v>
      </c>
      <c r="S279" s="598" t="s">
        <v>321</v>
      </c>
      <c r="T279" s="598" t="s">
        <v>3309</v>
      </c>
      <c r="U279" s="598" t="s">
        <v>3309</v>
      </c>
      <c r="V279" s="598" t="s">
        <v>3309</v>
      </c>
      <c r="W279" s="598" t="s">
        <v>3309</v>
      </c>
      <c r="X279" s="598" t="s">
        <v>3309</v>
      </c>
      <c r="Y279" s="598" t="s">
        <v>321</v>
      </c>
      <c r="Z279" s="598" t="s">
        <v>321</v>
      </c>
      <c r="AA279" s="598" t="s">
        <v>3309</v>
      </c>
      <c r="AB279" s="598" t="s">
        <v>3309</v>
      </c>
      <c r="AC279" s="598" t="s">
        <v>3309</v>
      </c>
      <c r="AD279" s="598" t="s">
        <v>3309</v>
      </c>
      <c r="AE279" s="598" t="s">
        <v>3309</v>
      </c>
      <c r="AF279" s="598" t="s">
        <v>321</v>
      </c>
      <c r="AG279" s="598" t="s">
        <v>321</v>
      </c>
      <c r="AH279" s="598" t="s">
        <v>3309</v>
      </c>
      <c r="AI279" s="598" t="s">
        <v>321</v>
      </c>
      <c r="AJ279" s="599">
        <v>21</v>
      </c>
      <c r="AK279" s="600">
        <v>21</v>
      </c>
      <c r="AL279" s="601">
        <v>0</v>
      </c>
      <c r="AM279" s="601">
        <v>0</v>
      </c>
      <c r="AN279" s="599">
        <v>21</v>
      </c>
    </row>
    <row r="280" spans="1:40" ht="16.5" customHeight="1">
      <c r="A280" s="598" t="s">
        <v>3307</v>
      </c>
      <c r="B280" s="598" t="s">
        <v>3325</v>
      </c>
      <c r="C280" s="598" t="s">
        <v>2344</v>
      </c>
      <c r="D280" s="598" t="s">
        <v>2345</v>
      </c>
      <c r="E280" s="598" t="s">
        <v>321</v>
      </c>
      <c r="F280" s="598" t="s">
        <v>3309</v>
      </c>
      <c r="G280" s="598" t="s">
        <v>3309</v>
      </c>
      <c r="H280" s="598" t="s">
        <v>3309</v>
      </c>
      <c r="I280" s="598" t="s">
        <v>3309</v>
      </c>
      <c r="J280" s="598" t="s">
        <v>3309</v>
      </c>
      <c r="K280" s="598" t="s">
        <v>321</v>
      </c>
      <c r="L280" s="598" t="s">
        <v>321</v>
      </c>
      <c r="M280" s="598" t="s">
        <v>3309</v>
      </c>
      <c r="N280" s="598" t="s">
        <v>3309</v>
      </c>
      <c r="O280" s="598" t="s">
        <v>3309</v>
      </c>
      <c r="P280" s="598" t="s">
        <v>3309</v>
      </c>
      <c r="Q280" s="598" t="s">
        <v>3309</v>
      </c>
      <c r="R280" s="598" t="s">
        <v>321</v>
      </c>
      <c r="S280" s="598" t="s">
        <v>321</v>
      </c>
      <c r="T280" s="598" t="s">
        <v>3309</v>
      </c>
      <c r="U280" s="598" t="s">
        <v>3309</v>
      </c>
      <c r="V280" s="598" t="s">
        <v>3309</v>
      </c>
      <c r="W280" s="598" t="s">
        <v>3309</v>
      </c>
      <c r="X280" s="598" t="s">
        <v>3309</v>
      </c>
      <c r="Y280" s="598" t="s">
        <v>321</v>
      </c>
      <c r="Z280" s="598" t="s">
        <v>321</v>
      </c>
      <c r="AA280" s="598" t="s">
        <v>3309</v>
      </c>
      <c r="AB280" s="598" t="s">
        <v>3309</v>
      </c>
      <c r="AC280" s="598" t="s">
        <v>3309</v>
      </c>
      <c r="AD280" s="598" t="s">
        <v>3309</v>
      </c>
      <c r="AE280" s="598" t="s">
        <v>3309</v>
      </c>
      <c r="AF280" s="598" t="s">
        <v>321</v>
      </c>
      <c r="AG280" s="598" t="s">
        <v>321</v>
      </c>
      <c r="AH280" s="598" t="s">
        <v>3309</v>
      </c>
      <c r="AI280" s="598" t="s">
        <v>321</v>
      </c>
      <c r="AJ280" s="599">
        <v>21</v>
      </c>
      <c r="AK280" s="600">
        <v>21</v>
      </c>
      <c r="AL280" s="601">
        <v>0</v>
      </c>
      <c r="AM280" s="601">
        <v>0</v>
      </c>
      <c r="AN280" s="599">
        <v>21</v>
      </c>
    </row>
    <row r="281" spans="1:40" ht="16.5" customHeight="1">
      <c r="A281" s="598" t="s">
        <v>3307</v>
      </c>
      <c r="B281" s="598" t="s">
        <v>3325</v>
      </c>
      <c r="C281" s="598" t="s">
        <v>2519</v>
      </c>
      <c r="D281" s="598" t="s">
        <v>2520</v>
      </c>
      <c r="E281" s="598" t="s">
        <v>321</v>
      </c>
      <c r="F281" s="598" t="s">
        <v>3309</v>
      </c>
      <c r="G281" s="598" t="s">
        <v>3309</v>
      </c>
      <c r="H281" s="598" t="s">
        <v>3309</v>
      </c>
      <c r="I281" s="598" t="s">
        <v>3309</v>
      </c>
      <c r="J281" s="598" t="s">
        <v>3309</v>
      </c>
      <c r="K281" s="598" t="s">
        <v>321</v>
      </c>
      <c r="L281" s="598" t="s">
        <v>321</v>
      </c>
      <c r="M281" s="598" t="s">
        <v>3309</v>
      </c>
      <c r="N281" s="598" t="s">
        <v>3309</v>
      </c>
      <c r="O281" s="598" t="s">
        <v>3309</v>
      </c>
      <c r="P281" s="598" t="s">
        <v>3309</v>
      </c>
      <c r="Q281" s="598" t="s">
        <v>3309</v>
      </c>
      <c r="R281" s="598" t="s">
        <v>321</v>
      </c>
      <c r="S281" s="598" t="s">
        <v>321</v>
      </c>
      <c r="T281" s="598" t="s">
        <v>3309</v>
      </c>
      <c r="U281" s="598" t="s">
        <v>3309</v>
      </c>
      <c r="V281" s="598" t="s">
        <v>3309</v>
      </c>
      <c r="W281" s="598" t="s">
        <v>3309</v>
      </c>
      <c r="X281" s="598" t="s">
        <v>3309</v>
      </c>
      <c r="Y281" s="598" t="s">
        <v>321</v>
      </c>
      <c r="Z281" s="598" t="s">
        <v>321</v>
      </c>
      <c r="AA281" s="598" t="s">
        <v>3309</v>
      </c>
      <c r="AB281" s="598" t="s">
        <v>3309</v>
      </c>
      <c r="AC281" s="598" t="s">
        <v>3309</v>
      </c>
      <c r="AD281" s="598" t="s">
        <v>3309</v>
      </c>
      <c r="AE281" s="598" t="s">
        <v>3309</v>
      </c>
      <c r="AF281" s="598" t="s">
        <v>321</v>
      </c>
      <c r="AG281" s="598" t="s">
        <v>321</v>
      </c>
      <c r="AH281" s="598" t="s">
        <v>3309</v>
      </c>
      <c r="AI281" s="598" t="s">
        <v>321</v>
      </c>
      <c r="AJ281" s="599">
        <v>21</v>
      </c>
      <c r="AK281" s="600">
        <v>21</v>
      </c>
      <c r="AL281" s="601">
        <v>0</v>
      </c>
      <c r="AM281" s="601">
        <v>0</v>
      </c>
      <c r="AN281" s="599">
        <v>21</v>
      </c>
    </row>
    <row r="282" spans="1:40" ht="16.5" customHeight="1">
      <c r="A282" s="598" t="s">
        <v>3307</v>
      </c>
      <c r="B282" s="598" t="s">
        <v>3325</v>
      </c>
      <c r="C282" s="598" t="s">
        <v>408</v>
      </c>
      <c r="D282" s="598" t="s">
        <v>409</v>
      </c>
      <c r="E282" s="598" t="s">
        <v>321</v>
      </c>
      <c r="F282" s="598" t="s">
        <v>3309</v>
      </c>
      <c r="G282" s="598" t="s">
        <v>3309</v>
      </c>
      <c r="H282" s="598" t="s">
        <v>3309</v>
      </c>
      <c r="I282" s="598" t="s">
        <v>3309</v>
      </c>
      <c r="J282" s="598" t="s">
        <v>3309</v>
      </c>
      <c r="K282" s="598" t="s">
        <v>321</v>
      </c>
      <c r="L282" s="598" t="s">
        <v>321</v>
      </c>
      <c r="M282" s="598" t="s">
        <v>3309</v>
      </c>
      <c r="N282" s="598" t="s">
        <v>3309</v>
      </c>
      <c r="O282" s="598" t="s">
        <v>3309</v>
      </c>
      <c r="P282" s="598" t="s">
        <v>3309</v>
      </c>
      <c r="Q282" s="598" t="s">
        <v>3309</v>
      </c>
      <c r="R282" s="598" t="s">
        <v>321</v>
      </c>
      <c r="S282" s="598" t="s">
        <v>321</v>
      </c>
      <c r="T282" s="598" t="s">
        <v>3309</v>
      </c>
      <c r="U282" s="598" t="s">
        <v>3309</v>
      </c>
      <c r="V282" s="598" t="s">
        <v>3309</v>
      </c>
      <c r="W282" s="598" t="s">
        <v>3309</v>
      </c>
      <c r="X282" s="598" t="s">
        <v>3309</v>
      </c>
      <c r="Y282" s="598" t="s">
        <v>321</v>
      </c>
      <c r="Z282" s="598" t="s">
        <v>321</v>
      </c>
      <c r="AA282" s="598" t="s">
        <v>3309</v>
      </c>
      <c r="AB282" s="598" t="s">
        <v>3309</v>
      </c>
      <c r="AC282" s="598" t="s">
        <v>3309</v>
      </c>
      <c r="AD282" s="598" t="s">
        <v>3309</v>
      </c>
      <c r="AE282" s="598" t="s">
        <v>3309</v>
      </c>
      <c r="AF282" s="598" t="s">
        <v>321</v>
      </c>
      <c r="AG282" s="598" t="s">
        <v>321</v>
      </c>
      <c r="AH282" s="598" t="s">
        <v>3309</v>
      </c>
      <c r="AI282" s="598" t="s">
        <v>321</v>
      </c>
      <c r="AJ282" s="599">
        <v>21</v>
      </c>
      <c r="AK282" s="600">
        <v>21</v>
      </c>
      <c r="AL282" s="601">
        <v>0</v>
      </c>
      <c r="AM282" s="601">
        <v>0</v>
      </c>
      <c r="AN282" s="599">
        <v>21</v>
      </c>
    </row>
    <row r="283" spans="1:40" ht="16.5" customHeight="1">
      <c r="A283" s="598" t="s">
        <v>3307</v>
      </c>
      <c r="B283" s="598" t="s">
        <v>3325</v>
      </c>
      <c r="C283" s="598" t="s">
        <v>2318</v>
      </c>
      <c r="D283" s="598" t="s">
        <v>2319</v>
      </c>
      <c r="E283" s="598" t="s">
        <v>321</v>
      </c>
      <c r="F283" s="598" t="s">
        <v>3309</v>
      </c>
      <c r="G283" s="598" t="s">
        <v>3309</v>
      </c>
      <c r="H283" s="598" t="s">
        <v>3309</v>
      </c>
      <c r="I283" s="598" t="s">
        <v>3309</v>
      </c>
      <c r="J283" s="598" t="s">
        <v>3309</v>
      </c>
      <c r="K283" s="598" t="s">
        <v>321</v>
      </c>
      <c r="L283" s="598" t="s">
        <v>321</v>
      </c>
      <c r="M283" s="598" t="s">
        <v>3309</v>
      </c>
      <c r="N283" s="598" t="s">
        <v>3309</v>
      </c>
      <c r="O283" s="598" t="s">
        <v>3309</v>
      </c>
      <c r="P283" s="598" t="s">
        <v>3309</v>
      </c>
      <c r="Q283" s="598" t="s">
        <v>3309</v>
      </c>
      <c r="R283" s="598" t="s">
        <v>321</v>
      </c>
      <c r="S283" s="598" t="s">
        <v>321</v>
      </c>
      <c r="T283" s="598" t="s">
        <v>3309</v>
      </c>
      <c r="U283" s="598" t="s">
        <v>3309</v>
      </c>
      <c r="V283" s="598" t="s">
        <v>3309</v>
      </c>
      <c r="W283" s="598" t="s">
        <v>3309</v>
      </c>
      <c r="X283" s="598" t="s">
        <v>3309</v>
      </c>
      <c r="Y283" s="598" t="s">
        <v>321</v>
      </c>
      <c r="Z283" s="598" t="s">
        <v>321</v>
      </c>
      <c r="AA283" s="598" t="s">
        <v>3309</v>
      </c>
      <c r="AB283" s="598" t="s">
        <v>3309</v>
      </c>
      <c r="AC283" s="598" t="s">
        <v>3309</v>
      </c>
      <c r="AD283" s="598" t="s">
        <v>3309</v>
      </c>
      <c r="AE283" s="598" t="s">
        <v>3309</v>
      </c>
      <c r="AF283" s="598" t="s">
        <v>321</v>
      </c>
      <c r="AG283" s="598" t="s">
        <v>321</v>
      </c>
      <c r="AH283" s="598" t="s">
        <v>3309</v>
      </c>
      <c r="AI283" s="598" t="s">
        <v>321</v>
      </c>
      <c r="AJ283" s="599">
        <v>21</v>
      </c>
      <c r="AK283" s="600">
        <v>21</v>
      </c>
      <c r="AL283" s="601">
        <v>0</v>
      </c>
      <c r="AM283" s="601">
        <v>0</v>
      </c>
      <c r="AN283" s="599">
        <v>21</v>
      </c>
    </row>
    <row r="284" spans="1:40" ht="16.5" customHeight="1">
      <c r="A284" s="598" t="s">
        <v>3307</v>
      </c>
      <c r="B284" s="598" t="s">
        <v>3325</v>
      </c>
      <c r="C284" s="598" t="s">
        <v>2431</v>
      </c>
      <c r="D284" s="598" t="s">
        <v>2432</v>
      </c>
      <c r="E284" s="598" t="s">
        <v>321</v>
      </c>
      <c r="F284" s="598" t="s">
        <v>3309</v>
      </c>
      <c r="G284" s="598" t="s">
        <v>3309</v>
      </c>
      <c r="H284" s="598" t="s">
        <v>3309</v>
      </c>
      <c r="I284" s="598" t="s">
        <v>3309</v>
      </c>
      <c r="J284" s="598" t="s">
        <v>3309</v>
      </c>
      <c r="K284" s="598" t="s">
        <v>321</v>
      </c>
      <c r="L284" s="598" t="s">
        <v>321</v>
      </c>
      <c r="M284" s="598" t="s">
        <v>3309</v>
      </c>
      <c r="N284" s="598" t="s">
        <v>3309</v>
      </c>
      <c r="O284" s="598" t="s">
        <v>3309</v>
      </c>
      <c r="P284" s="598" t="s">
        <v>3309</v>
      </c>
      <c r="Q284" s="598" t="s">
        <v>3312</v>
      </c>
      <c r="R284" s="598" t="s">
        <v>321</v>
      </c>
      <c r="S284" s="598" t="s">
        <v>321</v>
      </c>
      <c r="T284" s="598" t="s">
        <v>3309</v>
      </c>
      <c r="U284" s="598" t="s">
        <v>3309</v>
      </c>
      <c r="V284" s="598" t="s">
        <v>3309</v>
      </c>
      <c r="W284" s="598" t="s">
        <v>3309</v>
      </c>
      <c r="X284" s="598" t="s">
        <v>3309</v>
      </c>
      <c r="Y284" s="598" t="s">
        <v>321</v>
      </c>
      <c r="Z284" s="598" t="s">
        <v>321</v>
      </c>
      <c r="AA284" s="598" t="s">
        <v>3309</v>
      </c>
      <c r="AB284" s="598" t="s">
        <v>3309</v>
      </c>
      <c r="AC284" s="598" t="s">
        <v>3309</v>
      </c>
      <c r="AD284" s="598" t="s">
        <v>3309</v>
      </c>
      <c r="AE284" s="598" t="s">
        <v>3309</v>
      </c>
      <c r="AF284" s="598" t="s">
        <v>321</v>
      </c>
      <c r="AG284" s="598" t="s">
        <v>321</v>
      </c>
      <c r="AH284" s="598" t="s">
        <v>3309</v>
      </c>
      <c r="AI284" s="598" t="s">
        <v>321</v>
      </c>
      <c r="AJ284" s="599">
        <v>21</v>
      </c>
      <c r="AK284" s="600">
        <v>20</v>
      </c>
      <c r="AL284" s="602">
        <v>1</v>
      </c>
      <c r="AM284" s="601">
        <v>0</v>
      </c>
      <c r="AN284" s="599">
        <v>21</v>
      </c>
    </row>
    <row r="285" spans="1:40" ht="16.5" customHeight="1">
      <c r="A285" s="598" t="s">
        <v>3307</v>
      </c>
      <c r="B285" s="598" t="s">
        <v>3326</v>
      </c>
      <c r="C285" s="598" t="s">
        <v>2631</v>
      </c>
      <c r="D285" s="598" t="s">
        <v>2632</v>
      </c>
      <c r="E285" s="598" t="s">
        <v>321</v>
      </c>
      <c r="F285" s="598" t="s">
        <v>3314</v>
      </c>
      <c r="G285" s="598" t="s">
        <v>3309</v>
      </c>
      <c r="H285" s="598" t="s">
        <v>3309</v>
      </c>
      <c r="I285" s="598" t="s">
        <v>3309</v>
      </c>
      <c r="J285" s="598" t="s">
        <v>3309</v>
      </c>
      <c r="K285" s="598" t="s">
        <v>321</v>
      </c>
      <c r="L285" s="598" t="s">
        <v>321</v>
      </c>
      <c r="M285" s="598" t="s">
        <v>3309</v>
      </c>
      <c r="N285" s="598" t="s">
        <v>3309</v>
      </c>
      <c r="O285" s="598" t="s">
        <v>3309</v>
      </c>
      <c r="P285" s="598" t="s">
        <v>3309</v>
      </c>
      <c r="Q285" s="598" t="s">
        <v>3309</v>
      </c>
      <c r="R285" s="598" t="s">
        <v>321</v>
      </c>
      <c r="S285" s="598" t="s">
        <v>321</v>
      </c>
      <c r="T285" s="598" t="s">
        <v>3309</v>
      </c>
      <c r="U285" s="598" t="s">
        <v>3309</v>
      </c>
      <c r="V285" s="598" t="s">
        <v>3309</v>
      </c>
      <c r="W285" s="598" t="s">
        <v>3309</v>
      </c>
      <c r="X285" s="598" t="s">
        <v>3309</v>
      </c>
      <c r="Y285" s="598" t="s">
        <v>321</v>
      </c>
      <c r="Z285" s="598" t="s">
        <v>321</v>
      </c>
      <c r="AA285" s="598" t="s">
        <v>3309</v>
      </c>
      <c r="AB285" s="598" t="s">
        <v>3309</v>
      </c>
      <c r="AC285" s="598" t="s">
        <v>3309</v>
      </c>
      <c r="AD285" s="598" t="s">
        <v>3309</v>
      </c>
      <c r="AE285" s="598" t="s">
        <v>3309</v>
      </c>
      <c r="AF285" s="598" t="s">
        <v>321</v>
      </c>
      <c r="AG285" s="598" t="s">
        <v>321</v>
      </c>
      <c r="AH285" s="598" t="s">
        <v>3309</v>
      </c>
      <c r="AI285" s="598" t="s">
        <v>321</v>
      </c>
      <c r="AJ285" s="599">
        <v>21</v>
      </c>
      <c r="AK285" s="603">
        <v>20.5</v>
      </c>
      <c r="AL285" s="604">
        <v>0.5</v>
      </c>
      <c r="AM285" s="601">
        <v>0</v>
      </c>
      <c r="AN285" s="599">
        <v>21</v>
      </c>
    </row>
    <row r="286" spans="1:40" ht="16.5" customHeight="1">
      <c r="A286" s="598" t="s">
        <v>3307</v>
      </c>
      <c r="B286" s="598" t="s">
        <v>3326</v>
      </c>
      <c r="C286" s="598" t="s">
        <v>2653</v>
      </c>
      <c r="D286" s="598" t="s">
        <v>2654</v>
      </c>
      <c r="E286" s="598" t="s">
        <v>321</v>
      </c>
      <c r="F286" s="598" t="s">
        <v>3309</v>
      </c>
      <c r="G286" s="598" t="s">
        <v>3309</v>
      </c>
      <c r="H286" s="598" t="s">
        <v>3309</v>
      </c>
      <c r="I286" s="598" t="s">
        <v>3309</v>
      </c>
      <c r="J286" s="598" t="s">
        <v>3309</v>
      </c>
      <c r="K286" s="598" t="s">
        <v>321</v>
      </c>
      <c r="L286" s="598" t="s">
        <v>321</v>
      </c>
      <c r="M286" s="598" t="s">
        <v>3309</v>
      </c>
      <c r="N286" s="598" t="s">
        <v>3309</v>
      </c>
      <c r="O286" s="598" t="s">
        <v>3309</v>
      </c>
      <c r="P286" s="598" t="s">
        <v>3309</v>
      </c>
      <c r="Q286" s="598" t="s">
        <v>3309</v>
      </c>
      <c r="R286" s="598" t="s">
        <v>321</v>
      </c>
      <c r="S286" s="598" t="s">
        <v>321</v>
      </c>
      <c r="T286" s="598" t="s">
        <v>3309</v>
      </c>
      <c r="U286" s="598" t="s">
        <v>3309</v>
      </c>
      <c r="V286" s="598" t="s">
        <v>3309</v>
      </c>
      <c r="W286" s="598" t="s">
        <v>3309</v>
      </c>
      <c r="X286" s="598" t="s">
        <v>3309</v>
      </c>
      <c r="Y286" s="598" t="s">
        <v>321</v>
      </c>
      <c r="Z286" s="598" t="s">
        <v>321</v>
      </c>
      <c r="AA286" s="598" t="s">
        <v>3309</v>
      </c>
      <c r="AB286" s="598" t="s">
        <v>3309</v>
      </c>
      <c r="AC286" s="598" t="s">
        <v>3309</v>
      </c>
      <c r="AD286" s="598" t="s">
        <v>3309</v>
      </c>
      <c r="AE286" s="598" t="s">
        <v>3309</v>
      </c>
      <c r="AF286" s="598" t="s">
        <v>321</v>
      </c>
      <c r="AG286" s="598" t="s">
        <v>321</v>
      </c>
      <c r="AH286" s="598" t="s">
        <v>3309</v>
      </c>
      <c r="AI286" s="598" t="s">
        <v>321</v>
      </c>
      <c r="AJ286" s="599">
        <v>21</v>
      </c>
      <c r="AK286" s="600">
        <v>21</v>
      </c>
      <c r="AL286" s="601">
        <v>0</v>
      </c>
      <c r="AM286" s="601">
        <v>0</v>
      </c>
      <c r="AN286" s="599">
        <v>21</v>
      </c>
    </row>
    <row r="287" spans="1:40" ht="16.5" customHeight="1">
      <c r="A287" s="598" t="s">
        <v>3307</v>
      </c>
      <c r="B287" s="598" t="s">
        <v>3326</v>
      </c>
      <c r="C287" s="598" t="s">
        <v>1751</v>
      </c>
      <c r="D287" s="598" t="s">
        <v>1752</v>
      </c>
      <c r="E287" s="598" t="s">
        <v>321</v>
      </c>
      <c r="F287" s="598" t="s">
        <v>3309</v>
      </c>
      <c r="G287" s="598" t="s">
        <v>3309</v>
      </c>
      <c r="H287" s="598" t="s">
        <v>3309</v>
      </c>
      <c r="I287" s="598" t="s">
        <v>3309</v>
      </c>
      <c r="J287" s="598" t="s">
        <v>3309</v>
      </c>
      <c r="K287" s="598" t="s">
        <v>321</v>
      </c>
      <c r="L287" s="598" t="s">
        <v>321</v>
      </c>
      <c r="M287" s="598" t="s">
        <v>3309</v>
      </c>
      <c r="N287" s="598" t="s">
        <v>3309</v>
      </c>
      <c r="O287" s="598" t="s">
        <v>3309</v>
      </c>
      <c r="P287" s="598" t="s">
        <v>3309</v>
      </c>
      <c r="Q287" s="598" t="s">
        <v>3309</v>
      </c>
      <c r="R287" s="598" t="s">
        <v>321</v>
      </c>
      <c r="S287" s="598" t="s">
        <v>321</v>
      </c>
      <c r="T287" s="598" t="s">
        <v>3309</v>
      </c>
      <c r="U287" s="598" t="s">
        <v>3309</v>
      </c>
      <c r="V287" s="598" t="s">
        <v>3309</v>
      </c>
      <c r="W287" s="598" t="s">
        <v>3309</v>
      </c>
      <c r="X287" s="598" t="s">
        <v>3309</v>
      </c>
      <c r="Y287" s="598" t="s">
        <v>321</v>
      </c>
      <c r="Z287" s="598" t="s">
        <v>321</v>
      </c>
      <c r="AA287" s="598" t="s">
        <v>3309</v>
      </c>
      <c r="AB287" s="598" t="s">
        <v>3309</v>
      </c>
      <c r="AC287" s="598" t="s">
        <v>3309</v>
      </c>
      <c r="AD287" s="598" t="s">
        <v>3309</v>
      </c>
      <c r="AE287" s="598" t="s">
        <v>3309</v>
      </c>
      <c r="AF287" s="598" t="s">
        <v>321</v>
      </c>
      <c r="AG287" s="598" t="s">
        <v>321</v>
      </c>
      <c r="AH287" s="598" t="s">
        <v>3309</v>
      </c>
      <c r="AI287" s="598" t="s">
        <v>321</v>
      </c>
      <c r="AJ287" s="599">
        <v>21</v>
      </c>
      <c r="AK287" s="600">
        <v>21</v>
      </c>
      <c r="AL287" s="601">
        <v>0</v>
      </c>
      <c r="AM287" s="601">
        <v>0</v>
      </c>
      <c r="AN287" s="599">
        <v>21</v>
      </c>
    </row>
    <row r="288" spans="1:40" ht="16.5" customHeight="1">
      <c r="A288" s="598" t="s">
        <v>3307</v>
      </c>
      <c r="B288" s="598" t="s">
        <v>3326</v>
      </c>
      <c r="C288" s="598" t="s">
        <v>2635</v>
      </c>
      <c r="D288" s="598" t="s">
        <v>2636</v>
      </c>
      <c r="E288" s="598" t="s">
        <v>321</v>
      </c>
      <c r="F288" s="598" t="s">
        <v>3309</v>
      </c>
      <c r="G288" s="598" t="s">
        <v>3309</v>
      </c>
      <c r="H288" s="598" t="s">
        <v>3309</v>
      </c>
      <c r="I288" s="598" t="s">
        <v>3309</v>
      </c>
      <c r="J288" s="598" t="s">
        <v>3309</v>
      </c>
      <c r="K288" s="598" t="s">
        <v>321</v>
      </c>
      <c r="L288" s="598" t="s">
        <v>321</v>
      </c>
      <c r="M288" s="598" t="s">
        <v>3309</v>
      </c>
      <c r="N288" s="598" t="s">
        <v>3309</v>
      </c>
      <c r="O288" s="598" t="s">
        <v>3309</v>
      </c>
      <c r="P288" s="598" t="s">
        <v>3309</v>
      </c>
      <c r="Q288" s="598" t="s">
        <v>3309</v>
      </c>
      <c r="R288" s="598" t="s">
        <v>321</v>
      </c>
      <c r="S288" s="598" t="s">
        <v>321</v>
      </c>
      <c r="T288" s="598" t="s">
        <v>3309</v>
      </c>
      <c r="U288" s="598" t="s">
        <v>3309</v>
      </c>
      <c r="V288" s="598" t="s">
        <v>3309</v>
      </c>
      <c r="W288" s="598" t="s">
        <v>3309</v>
      </c>
      <c r="X288" s="598" t="s">
        <v>3309</v>
      </c>
      <c r="Y288" s="598" t="s">
        <v>321</v>
      </c>
      <c r="Z288" s="598" t="s">
        <v>321</v>
      </c>
      <c r="AA288" s="598" t="s">
        <v>3309</v>
      </c>
      <c r="AB288" s="598" t="s">
        <v>3309</v>
      </c>
      <c r="AC288" s="598" t="s">
        <v>3309</v>
      </c>
      <c r="AD288" s="598" t="s">
        <v>3309</v>
      </c>
      <c r="AE288" s="598" t="s">
        <v>3309</v>
      </c>
      <c r="AF288" s="598" t="s">
        <v>321</v>
      </c>
      <c r="AG288" s="598" t="s">
        <v>321</v>
      </c>
      <c r="AH288" s="598" t="s">
        <v>3309</v>
      </c>
      <c r="AI288" s="598" t="s">
        <v>321</v>
      </c>
      <c r="AJ288" s="599">
        <v>21</v>
      </c>
      <c r="AK288" s="600">
        <v>21</v>
      </c>
      <c r="AL288" s="601">
        <v>0</v>
      </c>
      <c r="AM288" s="601">
        <v>0</v>
      </c>
      <c r="AN288" s="599">
        <v>21</v>
      </c>
    </row>
    <row r="289" spans="1:40" ht="16.5" customHeight="1">
      <c r="A289" s="598" t="s">
        <v>3307</v>
      </c>
      <c r="B289" s="598" t="s">
        <v>3326</v>
      </c>
      <c r="C289" s="598" t="s">
        <v>1703</v>
      </c>
      <c r="D289" s="598" t="s">
        <v>1704</v>
      </c>
      <c r="E289" s="598" t="s">
        <v>321</v>
      </c>
      <c r="F289" s="598" t="s">
        <v>3309</v>
      </c>
      <c r="G289" s="598" t="s">
        <v>3309</v>
      </c>
      <c r="H289" s="598" t="s">
        <v>3314</v>
      </c>
      <c r="I289" s="598" t="s">
        <v>3309</v>
      </c>
      <c r="J289" s="598" t="s">
        <v>3309</v>
      </c>
      <c r="K289" s="598" t="s">
        <v>321</v>
      </c>
      <c r="L289" s="598" t="s">
        <v>321</v>
      </c>
      <c r="M289" s="598" t="s">
        <v>3309</v>
      </c>
      <c r="N289" s="598" t="s">
        <v>3309</v>
      </c>
      <c r="O289" s="598" t="s">
        <v>3309</v>
      </c>
      <c r="P289" s="598" t="s">
        <v>3309</v>
      </c>
      <c r="Q289" s="598" t="s">
        <v>3309</v>
      </c>
      <c r="R289" s="598" t="s">
        <v>321</v>
      </c>
      <c r="S289" s="598" t="s">
        <v>321</v>
      </c>
      <c r="T289" s="598" t="s">
        <v>3313</v>
      </c>
      <c r="U289" s="598" t="s">
        <v>3313</v>
      </c>
      <c r="V289" s="598" t="s">
        <v>3313</v>
      </c>
      <c r="W289" s="598" t="s">
        <v>3309</v>
      </c>
      <c r="X289" s="598" t="s">
        <v>3309</v>
      </c>
      <c r="Y289" s="598" t="s">
        <v>321</v>
      </c>
      <c r="Z289" s="598" t="s">
        <v>321</v>
      </c>
      <c r="AA289" s="598" t="s">
        <v>3309</v>
      </c>
      <c r="AB289" s="598" t="s">
        <v>3309</v>
      </c>
      <c r="AC289" s="598" t="s">
        <v>3309</v>
      </c>
      <c r="AD289" s="598" t="s">
        <v>3309</v>
      </c>
      <c r="AE289" s="598" t="s">
        <v>3309</v>
      </c>
      <c r="AF289" s="598" t="s">
        <v>321</v>
      </c>
      <c r="AG289" s="598" t="s">
        <v>321</v>
      </c>
      <c r="AH289" s="598" t="s">
        <v>3309</v>
      </c>
      <c r="AI289" s="598" t="s">
        <v>321</v>
      </c>
      <c r="AJ289" s="599">
        <v>21</v>
      </c>
      <c r="AK289" s="603">
        <v>20.5</v>
      </c>
      <c r="AL289" s="604">
        <v>0.5</v>
      </c>
      <c r="AM289" s="601">
        <v>0</v>
      </c>
      <c r="AN289" s="599">
        <v>21</v>
      </c>
    </row>
    <row r="290" spans="1:40" ht="16.5" customHeight="1">
      <c r="A290" s="598" t="s">
        <v>3307</v>
      </c>
      <c r="B290" s="598" t="s">
        <v>3326</v>
      </c>
      <c r="C290" s="598" t="s">
        <v>1427</v>
      </c>
      <c r="D290" s="598" t="s">
        <v>1428</v>
      </c>
      <c r="E290" s="598" t="s">
        <v>321</v>
      </c>
      <c r="F290" s="598" t="s">
        <v>3309</v>
      </c>
      <c r="G290" s="598" t="s">
        <v>3309</v>
      </c>
      <c r="H290" s="598" t="s">
        <v>3309</v>
      </c>
      <c r="I290" s="598" t="s">
        <v>3309</v>
      </c>
      <c r="J290" s="598" t="s">
        <v>3309</v>
      </c>
      <c r="K290" s="598" t="s">
        <v>321</v>
      </c>
      <c r="L290" s="598" t="s">
        <v>321</v>
      </c>
      <c r="M290" s="598" t="s">
        <v>3309</v>
      </c>
      <c r="N290" s="598" t="s">
        <v>3309</v>
      </c>
      <c r="O290" s="598" t="s">
        <v>3309</v>
      </c>
      <c r="P290" s="598" t="s">
        <v>3309</v>
      </c>
      <c r="Q290" s="598" t="s">
        <v>3309</v>
      </c>
      <c r="R290" s="598" t="s">
        <v>321</v>
      </c>
      <c r="S290" s="598" t="s">
        <v>321</v>
      </c>
      <c r="T290" s="598" t="s">
        <v>3309</v>
      </c>
      <c r="U290" s="598" t="s">
        <v>3309</v>
      </c>
      <c r="V290" s="598" t="s">
        <v>3309</v>
      </c>
      <c r="W290" s="598" t="s">
        <v>3309</v>
      </c>
      <c r="X290" s="598" t="s">
        <v>3309</v>
      </c>
      <c r="Y290" s="598" t="s">
        <v>321</v>
      </c>
      <c r="Z290" s="598" t="s">
        <v>321</v>
      </c>
      <c r="AA290" s="598" t="s">
        <v>3309</v>
      </c>
      <c r="AB290" s="598" t="s">
        <v>3309</v>
      </c>
      <c r="AC290" s="598" t="s">
        <v>3309</v>
      </c>
      <c r="AD290" s="598" t="s">
        <v>3309</v>
      </c>
      <c r="AE290" s="598" t="s">
        <v>3309</v>
      </c>
      <c r="AF290" s="598" t="s">
        <v>321</v>
      </c>
      <c r="AG290" s="598" t="s">
        <v>321</v>
      </c>
      <c r="AH290" s="598" t="s">
        <v>3309</v>
      </c>
      <c r="AI290" s="598" t="s">
        <v>321</v>
      </c>
      <c r="AJ290" s="599">
        <v>21</v>
      </c>
      <c r="AK290" s="600">
        <v>21</v>
      </c>
      <c r="AL290" s="601">
        <v>0</v>
      </c>
      <c r="AM290" s="601">
        <v>0</v>
      </c>
      <c r="AN290" s="599">
        <v>21</v>
      </c>
    </row>
    <row r="291" spans="1:40" ht="16.5" customHeight="1">
      <c r="A291" s="598" t="s">
        <v>3307</v>
      </c>
      <c r="B291" s="598" t="s">
        <v>3326</v>
      </c>
      <c r="C291" s="598" t="s">
        <v>2945</v>
      </c>
      <c r="D291" s="598" t="s">
        <v>2946</v>
      </c>
      <c r="E291" s="598" t="s">
        <v>321</v>
      </c>
      <c r="F291" s="598" t="s">
        <v>3309</v>
      </c>
      <c r="G291" s="598" t="s">
        <v>3309</v>
      </c>
      <c r="H291" s="598" t="s">
        <v>3309</v>
      </c>
      <c r="I291" s="598" t="s">
        <v>3309</v>
      </c>
      <c r="J291" s="598" t="s">
        <v>3309</v>
      </c>
      <c r="K291" s="598" t="s">
        <v>321</v>
      </c>
      <c r="L291" s="598" t="s">
        <v>321</v>
      </c>
      <c r="M291" s="598" t="s">
        <v>3309</v>
      </c>
      <c r="N291" s="598" t="s">
        <v>3309</v>
      </c>
      <c r="O291" s="598" t="s">
        <v>3309</v>
      </c>
      <c r="P291" s="598" t="s">
        <v>3309</v>
      </c>
      <c r="Q291" s="598" t="s">
        <v>3309</v>
      </c>
      <c r="R291" s="598" t="s">
        <v>321</v>
      </c>
      <c r="S291" s="598" t="s">
        <v>321</v>
      </c>
      <c r="T291" s="598" t="s">
        <v>3309</v>
      </c>
      <c r="U291" s="598" t="s">
        <v>3309</v>
      </c>
      <c r="V291" s="598" t="s">
        <v>3309</v>
      </c>
      <c r="W291" s="598" t="s">
        <v>3309</v>
      </c>
      <c r="X291" s="598" t="s">
        <v>3309</v>
      </c>
      <c r="Y291" s="598" t="s">
        <v>321</v>
      </c>
      <c r="Z291" s="598" t="s">
        <v>321</v>
      </c>
      <c r="AA291" s="598" t="s">
        <v>3309</v>
      </c>
      <c r="AB291" s="598" t="s">
        <v>3309</v>
      </c>
      <c r="AC291" s="598" t="s">
        <v>3309</v>
      </c>
      <c r="AD291" s="598" t="s">
        <v>3309</v>
      </c>
      <c r="AE291" s="598" t="s">
        <v>3309</v>
      </c>
      <c r="AF291" s="598" t="s">
        <v>321</v>
      </c>
      <c r="AG291" s="598" t="s">
        <v>321</v>
      </c>
      <c r="AH291" s="598" t="s">
        <v>3309</v>
      </c>
      <c r="AI291" s="598" t="s">
        <v>321</v>
      </c>
      <c r="AJ291" s="599">
        <v>21</v>
      </c>
      <c r="AK291" s="600">
        <v>21</v>
      </c>
      <c r="AL291" s="601">
        <v>0</v>
      </c>
      <c r="AM291" s="601">
        <v>0</v>
      </c>
      <c r="AN291" s="599">
        <v>21</v>
      </c>
    </row>
    <row r="292" spans="1:40" ht="16.5" customHeight="1">
      <c r="A292" s="598" t="s">
        <v>3307</v>
      </c>
      <c r="B292" s="598" t="s">
        <v>3326</v>
      </c>
      <c r="C292" s="598" t="s">
        <v>2425</v>
      </c>
      <c r="D292" s="598" t="s">
        <v>2426</v>
      </c>
      <c r="E292" s="598" t="s">
        <v>321</v>
      </c>
      <c r="F292" s="598" t="s">
        <v>3309</v>
      </c>
      <c r="G292" s="598" t="s">
        <v>3309</v>
      </c>
      <c r="H292" s="598" t="s">
        <v>3309</v>
      </c>
      <c r="I292" s="598" t="s">
        <v>3309</v>
      </c>
      <c r="J292" s="598" t="s">
        <v>3309</v>
      </c>
      <c r="K292" s="598" t="s">
        <v>321</v>
      </c>
      <c r="L292" s="598" t="s">
        <v>321</v>
      </c>
      <c r="M292" s="598" t="s">
        <v>3309</v>
      </c>
      <c r="N292" s="598" t="s">
        <v>3309</v>
      </c>
      <c r="O292" s="598" t="s">
        <v>3309</v>
      </c>
      <c r="P292" s="598" t="s">
        <v>3309</v>
      </c>
      <c r="Q292" s="598" t="s">
        <v>3309</v>
      </c>
      <c r="R292" s="598" t="s">
        <v>321</v>
      </c>
      <c r="S292" s="598" t="s">
        <v>321</v>
      </c>
      <c r="T292" s="598" t="s">
        <v>3309</v>
      </c>
      <c r="U292" s="598" t="s">
        <v>3309</v>
      </c>
      <c r="V292" s="598" t="s">
        <v>3309</v>
      </c>
      <c r="W292" s="598" t="s">
        <v>3309</v>
      </c>
      <c r="X292" s="598" t="s">
        <v>3309</v>
      </c>
      <c r="Y292" s="598" t="s">
        <v>321</v>
      </c>
      <c r="Z292" s="598" t="s">
        <v>321</v>
      </c>
      <c r="AA292" s="598" t="s">
        <v>3309</v>
      </c>
      <c r="AB292" s="598" t="s">
        <v>3309</v>
      </c>
      <c r="AC292" s="598" t="s">
        <v>3309</v>
      </c>
      <c r="AD292" s="598" t="s">
        <v>3309</v>
      </c>
      <c r="AE292" s="598" t="s">
        <v>3309</v>
      </c>
      <c r="AF292" s="598" t="s">
        <v>321</v>
      </c>
      <c r="AG292" s="598" t="s">
        <v>321</v>
      </c>
      <c r="AH292" s="598" t="s">
        <v>3309</v>
      </c>
      <c r="AI292" s="598" t="s">
        <v>321</v>
      </c>
      <c r="AJ292" s="599">
        <v>21</v>
      </c>
      <c r="AK292" s="600">
        <v>21</v>
      </c>
      <c r="AL292" s="601">
        <v>0</v>
      </c>
      <c r="AM292" s="601">
        <v>0</v>
      </c>
      <c r="AN292" s="599">
        <v>21</v>
      </c>
    </row>
    <row r="293" spans="1:40" ht="16.5" customHeight="1">
      <c r="A293" s="598" t="s">
        <v>3307</v>
      </c>
      <c r="B293" s="598" t="s">
        <v>3326</v>
      </c>
      <c r="C293" s="598" t="s">
        <v>2820</v>
      </c>
      <c r="D293" s="598" t="s">
        <v>2821</v>
      </c>
      <c r="E293" s="598" t="s">
        <v>321</v>
      </c>
      <c r="F293" s="598" t="s">
        <v>3309</v>
      </c>
      <c r="G293" s="598" t="s">
        <v>3309</v>
      </c>
      <c r="H293" s="598" t="s">
        <v>3309</v>
      </c>
      <c r="I293" s="598" t="s">
        <v>3309</v>
      </c>
      <c r="J293" s="598" t="s">
        <v>3309</v>
      </c>
      <c r="K293" s="598" t="s">
        <v>321</v>
      </c>
      <c r="L293" s="598" t="s">
        <v>321</v>
      </c>
      <c r="M293" s="598" t="s">
        <v>3309</v>
      </c>
      <c r="N293" s="598" t="s">
        <v>3309</v>
      </c>
      <c r="O293" s="598" t="s">
        <v>3309</v>
      </c>
      <c r="P293" s="598" t="s">
        <v>3309</v>
      </c>
      <c r="Q293" s="598" t="s">
        <v>3309</v>
      </c>
      <c r="R293" s="598" t="s">
        <v>321</v>
      </c>
      <c r="S293" s="598" t="s">
        <v>321</v>
      </c>
      <c r="T293" s="598" t="s">
        <v>3309</v>
      </c>
      <c r="U293" s="598" t="s">
        <v>3309</v>
      </c>
      <c r="V293" s="598" t="s">
        <v>3309</v>
      </c>
      <c r="W293" s="598" t="s">
        <v>3309</v>
      </c>
      <c r="X293" s="598" t="s">
        <v>3309</v>
      </c>
      <c r="Y293" s="598" t="s">
        <v>321</v>
      </c>
      <c r="Z293" s="598" t="s">
        <v>321</v>
      </c>
      <c r="AA293" s="598" t="s">
        <v>3309</v>
      </c>
      <c r="AB293" s="598" t="s">
        <v>3309</v>
      </c>
      <c r="AC293" s="598" t="s">
        <v>3309</v>
      </c>
      <c r="AD293" s="598" t="s">
        <v>3309</v>
      </c>
      <c r="AE293" s="598" t="s">
        <v>3309</v>
      </c>
      <c r="AF293" s="598" t="s">
        <v>321</v>
      </c>
      <c r="AG293" s="598" t="s">
        <v>321</v>
      </c>
      <c r="AH293" s="598" t="s">
        <v>3309</v>
      </c>
      <c r="AI293" s="598" t="s">
        <v>321</v>
      </c>
      <c r="AJ293" s="599">
        <v>21</v>
      </c>
      <c r="AK293" s="600">
        <v>21</v>
      </c>
      <c r="AL293" s="601">
        <v>0</v>
      </c>
      <c r="AM293" s="601">
        <v>0</v>
      </c>
      <c r="AN293" s="599">
        <v>21</v>
      </c>
    </row>
    <row r="294" spans="1:40" ht="16.5" customHeight="1">
      <c r="A294" s="598" t="s">
        <v>3307</v>
      </c>
      <c r="B294" s="598" t="s">
        <v>3326</v>
      </c>
      <c r="C294" s="598" t="s">
        <v>1670</v>
      </c>
      <c r="D294" s="598" t="s">
        <v>1671</v>
      </c>
      <c r="E294" s="598" t="s">
        <v>321</v>
      </c>
      <c r="F294" s="598" t="s">
        <v>3309</v>
      </c>
      <c r="G294" s="598" t="s">
        <v>3309</v>
      </c>
      <c r="H294" s="598" t="s">
        <v>3309</v>
      </c>
      <c r="I294" s="598" t="s">
        <v>3309</v>
      </c>
      <c r="J294" s="598" t="s">
        <v>3309</v>
      </c>
      <c r="K294" s="598" t="s">
        <v>321</v>
      </c>
      <c r="L294" s="598" t="s">
        <v>321</v>
      </c>
      <c r="M294" s="598" t="s">
        <v>3309</v>
      </c>
      <c r="N294" s="598" t="s">
        <v>3309</v>
      </c>
      <c r="O294" s="598" t="s">
        <v>3309</v>
      </c>
      <c r="P294" s="598" t="s">
        <v>3309</v>
      </c>
      <c r="Q294" s="598" t="s">
        <v>3309</v>
      </c>
      <c r="R294" s="598" t="s">
        <v>321</v>
      </c>
      <c r="S294" s="598" t="s">
        <v>321</v>
      </c>
      <c r="T294" s="598" t="s">
        <v>3309</v>
      </c>
      <c r="U294" s="598" t="s">
        <v>3313</v>
      </c>
      <c r="V294" s="598" t="s">
        <v>3313</v>
      </c>
      <c r="W294" s="598" t="s">
        <v>3313</v>
      </c>
      <c r="X294" s="598" t="s">
        <v>3309</v>
      </c>
      <c r="Y294" s="598" t="s">
        <v>321</v>
      </c>
      <c r="Z294" s="598" t="s">
        <v>321</v>
      </c>
      <c r="AA294" s="598" t="s">
        <v>3309</v>
      </c>
      <c r="AB294" s="598" t="s">
        <v>3309</v>
      </c>
      <c r="AC294" s="598" t="s">
        <v>3309</v>
      </c>
      <c r="AD294" s="598" t="s">
        <v>3309</v>
      </c>
      <c r="AE294" s="598" t="s">
        <v>3309</v>
      </c>
      <c r="AF294" s="598" t="s">
        <v>321</v>
      </c>
      <c r="AG294" s="598" t="s">
        <v>321</v>
      </c>
      <c r="AH294" s="598" t="s">
        <v>3309</v>
      </c>
      <c r="AI294" s="598" t="s">
        <v>321</v>
      </c>
      <c r="AJ294" s="599">
        <v>21</v>
      </c>
      <c r="AK294" s="600">
        <v>21</v>
      </c>
      <c r="AL294" s="601">
        <v>0</v>
      </c>
      <c r="AM294" s="601">
        <v>0</v>
      </c>
      <c r="AN294" s="599">
        <v>21</v>
      </c>
    </row>
    <row r="295" spans="1:40" ht="16.5" customHeight="1">
      <c r="A295" s="598" t="s">
        <v>3307</v>
      </c>
      <c r="B295" s="598" t="s">
        <v>3326</v>
      </c>
      <c r="C295" s="598" t="s">
        <v>2247</v>
      </c>
      <c r="D295" s="598" t="s">
        <v>2248</v>
      </c>
      <c r="E295" s="598" t="s">
        <v>321</v>
      </c>
      <c r="F295" s="598" t="s">
        <v>3309</v>
      </c>
      <c r="G295" s="598" t="s">
        <v>3309</v>
      </c>
      <c r="H295" s="598" t="s">
        <v>3309</v>
      </c>
      <c r="I295" s="598" t="s">
        <v>3309</v>
      </c>
      <c r="J295" s="598" t="s">
        <v>3309</v>
      </c>
      <c r="K295" s="598" t="s">
        <v>321</v>
      </c>
      <c r="L295" s="598" t="s">
        <v>321</v>
      </c>
      <c r="M295" s="598" t="s">
        <v>3309</v>
      </c>
      <c r="N295" s="598" t="s">
        <v>3309</v>
      </c>
      <c r="O295" s="598" t="s">
        <v>3309</v>
      </c>
      <c r="P295" s="598" t="s">
        <v>3309</v>
      </c>
      <c r="Q295" s="598" t="s">
        <v>3309</v>
      </c>
      <c r="R295" s="598" t="s">
        <v>321</v>
      </c>
      <c r="S295" s="598" t="s">
        <v>321</v>
      </c>
      <c r="T295" s="598" t="s">
        <v>3309</v>
      </c>
      <c r="U295" s="598" t="s">
        <v>3309</v>
      </c>
      <c r="V295" s="598" t="s">
        <v>3309</v>
      </c>
      <c r="W295" s="598" t="s">
        <v>3309</v>
      </c>
      <c r="X295" s="598" t="s">
        <v>3309</v>
      </c>
      <c r="Y295" s="598" t="s">
        <v>321</v>
      </c>
      <c r="Z295" s="598" t="s">
        <v>321</v>
      </c>
      <c r="AA295" s="598" t="s">
        <v>3309</v>
      </c>
      <c r="AB295" s="598" t="s">
        <v>3309</v>
      </c>
      <c r="AC295" s="598" t="s">
        <v>3309</v>
      </c>
      <c r="AD295" s="598" t="s">
        <v>3309</v>
      </c>
      <c r="AE295" s="598" t="s">
        <v>3309</v>
      </c>
      <c r="AF295" s="598" t="s">
        <v>321</v>
      </c>
      <c r="AG295" s="598" t="s">
        <v>321</v>
      </c>
      <c r="AH295" s="598" t="s">
        <v>3309</v>
      </c>
      <c r="AI295" s="598" t="s">
        <v>321</v>
      </c>
      <c r="AJ295" s="599">
        <v>21</v>
      </c>
      <c r="AK295" s="600">
        <v>21</v>
      </c>
      <c r="AL295" s="601">
        <v>0</v>
      </c>
      <c r="AM295" s="601">
        <v>0</v>
      </c>
      <c r="AN295" s="599">
        <v>21</v>
      </c>
    </row>
    <row r="296" spans="1:40" ht="16.5" customHeight="1">
      <c r="A296" s="598" t="s">
        <v>3307</v>
      </c>
      <c r="B296" s="598" t="s">
        <v>3326</v>
      </c>
      <c r="C296" s="598" t="s">
        <v>2179</v>
      </c>
      <c r="D296" s="598" t="s">
        <v>2180</v>
      </c>
      <c r="E296" s="598" t="s">
        <v>321</v>
      </c>
      <c r="F296" s="598" t="s">
        <v>3309</v>
      </c>
      <c r="G296" s="598" t="s">
        <v>3309</v>
      </c>
      <c r="H296" s="598" t="s">
        <v>3309</v>
      </c>
      <c r="I296" s="598" t="s">
        <v>3309</v>
      </c>
      <c r="J296" s="598" t="s">
        <v>3309</v>
      </c>
      <c r="K296" s="598" t="s">
        <v>321</v>
      </c>
      <c r="L296" s="598" t="s">
        <v>321</v>
      </c>
      <c r="M296" s="598" t="s">
        <v>3309</v>
      </c>
      <c r="N296" s="598" t="s">
        <v>3309</v>
      </c>
      <c r="O296" s="598" t="s">
        <v>3309</v>
      </c>
      <c r="P296" s="598" t="s">
        <v>3309</v>
      </c>
      <c r="Q296" s="598" t="s">
        <v>3309</v>
      </c>
      <c r="R296" s="598" t="s">
        <v>321</v>
      </c>
      <c r="S296" s="598" t="s">
        <v>321</v>
      </c>
      <c r="T296" s="598" t="s">
        <v>3309</v>
      </c>
      <c r="U296" s="598" t="s">
        <v>3309</v>
      </c>
      <c r="V296" s="598" t="s">
        <v>3309</v>
      </c>
      <c r="W296" s="598" t="s">
        <v>3309</v>
      </c>
      <c r="X296" s="598" t="s">
        <v>3309</v>
      </c>
      <c r="Y296" s="598" t="s">
        <v>321</v>
      </c>
      <c r="Z296" s="598" t="s">
        <v>321</v>
      </c>
      <c r="AA296" s="598" t="s">
        <v>3309</v>
      </c>
      <c r="AB296" s="598" t="s">
        <v>3309</v>
      </c>
      <c r="AC296" s="598" t="s">
        <v>3309</v>
      </c>
      <c r="AD296" s="598" t="s">
        <v>3309</v>
      </c>
      <c r="AE296" s="598" t="s">
        <v>3309</v>
      </c>
      <c r="AF296" s="598" t="s">
        <v>321</v>
      </c>
      <c r="AG296" s="598" t="s">
        <v>321</v>
      </c>
      <c r="AH296" s="598" t="s">
        <v>3309</v>
      </c>
      <c r="AI296" s="598" t="s">
        <v>321</v>
      </c>
      <c r="AJ296" s="599">
        <v>21</v>
      </c>
      <c r="AK296" s="600">
        <v>21</v>
      </c>
      <c r="AL296" s="601">
        <v>0</v>
      </c>
      <c r="AM296" s="601">
        <v>0</v>
      </c>
      <c r="AN296" s="599">
        <v>21</v>
      </c>
    </row>
    <row r="297" spans="1:40" ht="16.5" customHeight="1">
      <c r="A297" s="598" t="s">
        <v>3307</v>
      </c>
      <c r="B297" s="598" t="s">
        <v>3326</v>
      </c>
      <c r="C297" s="598" t="s">
        <v>1981</v>
      </c>
      <c r="D297" s="598" t="s">
        <v>1982</v>
      </c>
      <c r="E297" s="598" t="s">
        <v>321</v>
      </c>
      <c r="F297" s="598" t="s">
        <v>3309</v>
      </c>
      <c r="G297" s="598" t="s">
        <v>3309</v>
      </c>
      <c r="H297" s="598" t="s">
        <v>3309</v>
      </c>
      <c r="I297" s="598" t="s">
        <v>3309</v>
      </c>
      <c r="J297" s="598" t="s">
        <v>3309</v>
      </c>
      <c r="K297" s="598" t="s">
        <v>321</v>
      </c>
      <c r="L297" s="598" t="s">
        <v>321</v>
      </c>
      <c r="M297" s="598" t="s">
        <v>3309</v>
      </c>
      <c r="N297" s="598" t="s">
        <v>3309</v>
      </c>
      <c r="O297" s="598" t="s">
        <v>3309</v>
      </c>
      <c r="P297" s="598" t="s">
        <v>3309</v>
      </c>
      <c r="Q297" s="598" t="s">
        <v>3309</v>
      </c>
      <c r="R297" s="598" t="s">
        <v>321</v>
      </c>
      <c r="S297" s="598" t="s">
        <v>321</v>
      </c>
      <c r="T297" s="598" t="s">
        <v>3309</v>
      </c>
      <c r="U297" s="598" t="s">
        <v>3309</v>
      </c>
      <c r="V297" s="598" t="s">
        <v>3309</v>
      </c>
      <c r="W297" s="598" t="s">
        <v>3309</v>
      </c>
      <c r="X297" s="598" t="s">
        <v>3309</v>
      </c>
      <c r="Y297" s="598" t="s">
        <v>321</v>
      </c>
      <c r="Z297" s="598" t="s">
        <v>321</v>
      </c>
      <c r="AA297" s="598" t="s">
        <v>3309</v>
      </c>
      <c r="AB297" s="598" t="s">
        <v>3309</v>
      </c>
      <c r="AC297" s="598" t="s">
        <v>3309</v>
      </c>
      <c r="AD297" s="598" t="s">
        <v>3309</v>
      </c>
      <c r="AE297" s="598" t="s">
        <v>3309</v>
      </c>
      <c r="AF297" s="598" t="s">
        <v>321</v>
      </c>
      <c r="AG297" s="598" t="s">
        <v>321</v>
      </c>
      <c r="AH297" s="598" t="s">
        <v>3309</v>
      </c>
      <c r="AI297" s="598" t="s">
        <v>321</v>
      </c>
      <c r="AJ297" s="599">
        <v>21</v>
      </c>
      <c r="AK297" s="600">
        <v>21</v>
      </c>
      <c r="AL297" s="601">
        <v>0</v>
      </c>
      <c r="AM297" s="601">
        <v>0</v>
      </c>
      <c r="AN297" s="599">
        <v>21</v>
      </c>
    </row>
    <row r="298" spans="1:40" ht="16.5" customHeight="1">
      <c r="A298" s="598" t="s">
        <v>3307</v>
      </c>
      <c r="B298" s="598" t="s">
        <v>3326</v>
      </c>
      <c r="C298" s="598" t="s">
        <v>1807</v>
      </c>
      <c r="D298" s="598" t="s">
        <v>1808</v>
      </c>
      <c r="E298" s="598" t="s">
        <v>321</v>
      </c>
      <c r="F298" s="598" t="s">
        <v>3309</v>
      </c>
      <c r="G298" s="598" t="s">
        <v>3309</v>
      </c>
      <c r="H298" s="598" t="s">
        <v>3309</v>
      </c>
      <c r="I298" s="598" t="s">
        <v>3309</v>
      </c>
      <c r="J298" s="598" t="s">
        <v>3309</v>
      </c>
      <c r="K298" s="598" t="s">
        <v>321</v>
      </c>
      <c r="L298" s="598" t="s">
        <v>321</v>
      </c>
      <c r="M298" s="598" t="s">
        <v>3309</v>
      </c>
      <c r="N298" s="598" t="s">
        <v>3309</v>
      </c>
      <c r="O298" s="598" t="s">
        <v>3309</v>
      </c>
      <c r="P298" s="598" t="s">
        <v>3309</v>
      </c>
      <c r="Q298" s="598" t="s">
        <v>3309</v>
      </c>
      <c r="R298" s="598" t="s">
        <v>321</v>
      </c>
      <c r="S298" s="598" t="s">
        <v>321</v>
      </c>
      <c r="T298" s="598" t="s">
        <v>3309</v>
      </c>
      <c r="U298" s="598" t="s">
        <v>3309</v>
      </c>
      <c r="V298" s="598" t="s">
        <v>3309</v>
      </c>
      <c r="W298" s="598" t="s">
        <v>3309</v>
      </c>
      <c r="X298" s="598" t="s">
        <v>3309</v>
      </c>
      <c r="Y298" s="598" t="s">
        <v>321</v>
      </c>
      <c r="Z298" s="598" t="s">
        <v>321</v>
      </c>
      <c r="AA298" s="598" t="s">
        <v>3309</v>
      </c>
      <c r="AB298" s="598" t="s">
        <v>3309</v>
      </c>
      <c r="AC298" s="598" t="s">
        <v>3309</v>
      </c>
      <c r="AD298" s="598" t="s">
        <v>3309</v>
      </c>
      <c r="AE298" s="598" t="s">
        <v>3309</v>
      </c>
      <c r="AF298" s="598" t="s">
        <v>321</v>
      </c>
      <c r="AG298" s="598" t="s">
        <v>321</v>
      </c>
      <c r="AH298" s="598" t="s">
        <v>3309</v>
      </c>
      <c r="AI298" s="598" t="s">
        <v>321</v>
      </c>
      <c r="AJ298" s="599">
        <v>21</v>
      </c>
      <c r="AK298" s="600">
        <v>21</v>
      </c>
      <c r="AL298" s="601">
        <v>0</v>
      </c>
      <c r="AM298" s="601">
        <v>0</v>
      </c>
      <c r="AN298" s="599">
        <v>21</v>
      </c>
    </row>
    <row r="299" spans="1:40" ht="16.5" customHeight="1">
      <c r="A299" s="598" t="s">
        <v>3307</v>
      </c>
      <c r="B299" s="598" t="s">
        <v>3326</v>
      </c>
      <c r="C299" s="598" t="s">
        <v>2493</v>
      </c>
      <c r="D299" s="598" t="s">
        <v>2494</v>
      </c>
      <c r="E299" s="598" t="s">
        <v>321</v>
      </c>
      <c r="F299" s="598" t="s">
        <v>3309</v>
      </c>
      <c r="G299" s="598" t="s">
        <v>3309</v>
      </c>
      <c r="H299" s="598" t="s">
        <v>3312</v>
      </c>
      <c r="I299" s="598" t="s">
        <v>3309</v>
      </c>
      <c r="J299" s="598" t="s">
        <v>3309</v>
      </c>
      <c r="K299" s="598" t="s">
        <v>321</v>
      </c>
      <c r="L299" s="598" t="s">
        <v>321</v>
      </c>
      <c r="M299" s="598" t="s">
        <v>3309</v>
      </c>
      <c r="N299" s="598" t="s">
        <v>3309</v>
      </c>
      <c r="O299" s="598" t="s">
        <v>3309</v>
      </c>
      <c r="P299" s="598" t="s">
        <v>3309</v>
      </c>
      <c r="Q299" s="598" t="s">
        <v>3309</v>
      </c>
      <c r="R299" s="598" t="s">
        <v>321</v>
      </c>
      <c r="S299" s="598" t="s">
        <v>321</v>
      </c>
      <c r="T299" s="598" t="s">
        <v>3309</v>
      </c>
      <c r="U299" s="598" t="s">
        <v>3309</v>
      </c>
      <c r="V299" s="598" t="s">
        <v>3309</v>
      </c>
      <c r="W299" s="598" t="s">
        <v>3309</v>
      </c>
      <c r="X299" s="598" t="s">
        <v>3309</v>
      </c>
      <c r="Y299" s="598" t="s">
        <v>321</v>
      </c>
      <c r="Z299" s="598" t="s">
        <v>321</v>
      </c>
      <c r="AA299" s="598" t="s">
        <v>3309</v>
      </c>
      <c r="AB299" s="598" t="s">
        <v>3309</v>
      </c>
      <c r="AC299" s="598" t="s">
        <v>3309</v>
      </c>
      <c r="AD299" s="598" t="s">
        <v>3309</v>
      </c>
      <c r="AE299" s="598" t="s">
        <v>3309</v>
      </c>
      <c r="AF299" s="598" t="s">
        <v>321</v>
      </c>
      <c r="AG299" s="598" t="s">
        <v>321</v>
      </c>
      <c r="AH299" s="598" t="s">
        <v>3309</v>
      </c>
      <c r="AI299" s="598" t="s">
        <v>321</v>
      </c>
      <c r="AJ299" s="599">
        <v>21</v>
      </c>
      <c r="AK299" s="600">
        <v>20</v>
      </c>
      <c r="AL299" s="602">
        <v>1</v>
      </c>
      <c r="AM299" s="601">
        <v>0</v>
      </c>
      <c r="AN299" s="599">
        <v>21</v>
      </c>
    </row>
    <row r="300" spans="1:40" ht="16.5" customHeight="1">
      <c r="A300" s="598" t="s">
        <v>3307</v>
      </c>
      <c r="B300" s="598" t="s">
        <v>3326</v>
      </c>
      <c r="C300" s="598" t="s">
        <v>1668</v>
      </c>
      <c r="D300" s="598" t="s">
        <v>1669</v>
      </c>
      <c r="E300" s="598" t="s">
        <v>321</v>
      </c>
      <c r="F300" s="598" t="s">
        <v>3309</v>
      </c>
      <c r="G300" s="598" t="s">
        <v>3309</v>
      </c>
      <c r="H300" s="598" t="s">
        <v>3309</v>
      </c>
      <c r="I300" s="598" t="s">
        <v>3309</v>
      </c>
      <c r="J300" s="598" t="s">
        <v>3309</v>
      </c>
      <c r="K300" s="598" t="s">
        <v>321</v>
      </c>
      <c r="L300" s="598" t="s">
        <v>321</v>
      </c>
      <c r="M300" s="598" t="s">
        <v>3309</v>
      </c>
      <c r="N300" s="598" t="s">
        <v>3309</v>
      </c>
      <c r="O300" s="598" t="s">
        <v>3309</v>
      </c>
      <c r="P300" s="598" t="s">
        <v>3309</v>
      </c>
      <c r="Q300" s="598" t="s">
        <v>3309</v>
      </c>
      <c r="R300" s="598" t="s">
        <v>321</v>
      </c>
      <c r="S300" s="598" t="s">
        <v>321</v>
      </c>
      <c r="T300" s="598" t="s">
        <v>3309</v>
      </c>
      <c r="U300" s="598" t="s">
        <v>3309</v>
      </c>
      <c r="V300" s="598" t="s">
        <v>3309</v>
      </c>
      <c r="W300" s="598" t="s">
        <v>3309</v>
      </c>
      <c r="X300" s="598" t="s">
        <v>3309</v>
      </c>
      <c r="Y300" s="598" t="s">
        <v>321</v>
      </c>
      <c r="Z300" s="598" t="s">
        <v>321</v>
      </c>
      <c r="AA300" s="598" t="s">
        <v>3309</v>
      </c>
      <c r="AB300" s="598" t="s">
        <v>3309</v>
      </c>
      <c r="AC300" s="598" t="s">
        <v>3309</v>
      </c>
      <c r="AD300" s="598" t="s">
        <v>3309</v>
      </c>
      <c r="AE300" s="598" t="s">
        <v>3309</v>
      </c>
      <c r="AF300" s="598" t="s">
        <v>321</v>
      </c>
      <c r="AG300" s="598" t="s">
        <v>321</v>
      </c>
      <c r="AH300" s="598" t="s">
        <v>3309</v>
      </c>
      <c r="AI300" s="598" t="s">
        <v>321</v>
      </c>
      <c r="AJ300" s="599">
        <v>21</v>
      </c>
      <c r="AK300" s="600">
        <v>21</v>
      </c>
      <c r="AL300" s="601">
        <v>0</v>
      </c>
      <c r="AM300" s="601">
        <v>0</v>
      </c>
      <c r="AN300" s="599">
        <v>21</v>
      </c>
    </row>
    <row r="301" spans="1:40" ht="16.5" customHeight="1">
      <c r="A301" s="598" t="s">
        <v>3307</v>
      </c>
      <c r="B301" s="598" t="s">
        <v>3326</v>
      </c>
      <c r="C301" s="598" t="s">
        <v>2687</v>
      </c>
      <c r="D301" s="598" t="s">
        <v>2688</v>
      </c>
      <c r="E301" s="598" t="s">
        <v>321</v>
      </c>
      <c r="F301" s="598" t="s">
        <v>3309</v>
      </c>
      <c r="G301" s="598" t="s">
        <v>3309</v>
      </c>
      <c r="H301" s="598" t="s">
        <v>3309</v>
      </c>
      <c r="I301" s="598" t="s">
        <v>3309</v>
      </c>
      <c r="J301" s="598" t="s">
        <v>3309</v>
      </c>
      <c r="K301" s="598" t="s">
        <v>321</v>
      </c>
      <c r="L301" s="598" t="s">
        <v>321</v>
      </c>
      <c r="M301" s="598" t="s">
        <v>3309</v>
      </c>
      <c r="N301" s="598" t="s">
        <v>3309</v>
      </c>
      <c r="O301" s="598" t="s">
        <v>3309</v>
      </c>
      <c r="P301" s="598" t="s">
        <v>3309</v>
      </c>
      <c r="Q301" s="598" t="s">
        <v>3309</v>
      </c>
      <c r="R301" s="598" t="s">
        <v>321</v>
      </c>
      <c r="S301" s="598" t="s">
        <v>321</v>
      </c>
      <c r="T301" s="598" t="s">
        <v>3309</v>
      </c>
      <c r="U301" s="598" t="s">
        <v>3309</v>
      </c>
      <c r="V301" s="598" t="s">
        <v>3309</v>
      </c>
      <c r="W301" s="598" t="s">
        <v>3309</v>
      </c>
      <c r="X301" s="598" t="s">
        <v>3309</v>
      </c>
      <c r="Y301" s="598" t="s">
        <v>321</v>
      </c>
      <c r="Z301" s="598" t="s">
        <v>321</v>
      </c>
      <c r="AA301" s="598" t="s">
        <v>3309</v>
      </c>
      <c r="AB301" s="598" t="s">
        <v>3309</v>
      </c>
      <c r="AC301" s="598" t="s">
        <v>3309</v>
      </c>
      <c r="AD301" s="598" t="s">
        <v>3309</v>
      </c>
      <c r="AE301" s="598" t="s">
        <v>3309</v>
      </c>
      <c r="AF301" s="598" t="s">
        <v>321</v>
      </c>
      <c r="AG301" s="598" t="s">
        <v>321</v>
      </c>
      <c r="AH301" s="598" t="s">
        <v>3309</v>
      </c>
      <c r="AI301" s="598" t="s">
        <v>321</v>
      </c>
      <c r="AJ301" s="599">
        <v>21</v>
      </c>
      <c r="AK301" s="600">
        <v>21</v>
      </c>
      <c r="AL301" s="601">
        <v>0</v>
      </c>
      <c r="AM301" s="601">
        <v>0</v>
      </c>
      <c r="AN301" s="599">
        <v>21</v>
      </c>
    </row>
    <row r="302" spans="1:40" ht="16.5" customHeight="1">
      <c r="A302" s="598" t="s">
        <v>3307</v>
      </c>
      <c r="B302" s="598" t="s">
        <v>3326</v>
      </c>
      <c r="C302" s="598" t="s">
        <v>1717</v>
      </c>
      <c r="D302" s="598" t="s">
        <v>1718</v>
      </c>
      <c r="E302" s="598" t="s">
        <v>321</v>
      </c>
      <c r="F302" s="598" t="s">
        <v>3309</v>
      </c>
      <c r="G302" s="598" t="s">
        <v>3309</v>
      </c>
      <c r="H302" s="598" t="s">
        <v>3309</v>
      </c>
      <c r="I302" s="598" t="s">
        <v>3309</v>
      </c>
      <c r="J302" s="598" t="s">
        <v>3309</v>
      </c>
      <c r="K302" s="598" t="s">
        <v>321</v>
      </c>
      <c r="L302" s="598" t="s">
        <v>321</v>
      </c>
      <c r="M302" s="598" t="s">
        <v>3309</v>
      </c>
      <c r="N302" s="598" t="s">
        <v>3309</v>
      </c>
      <c r="O302" s="598" t="s">
        <v>3309</v>
      </c>
      <c r="P302" s="598" t="s">
        <v>3309</v>
      </c>
      <c r="Q302" s="598" t="s">
        <v>3309</v>
      </c>
      <c r="R302" s="598" t="s">
        <v>321</v>
      </c>
      <c r="S302" s="598" t="s">
        <v>321</v>
      </c>
      <c r="T302" s="598" t="s">
        <v>3309</v>
      </c>
      <c r="U302" s="598" t="s">
        <v>3309</v>
      </c>
      <c r="V302" s="598" t="s">
        <v>3309</v>
      </c>
      <c r="W302" s="598" t="s">
        <v>3309</v>
      </c>
      <c r="X302" s="598" t="s">
        <v>3309</v>
      </c>
      <c r="Y302" s="598" t="s">
        <v>321</v>
      </c>
      <c r="Z302" s="598" t="s">
        <v>321</v>
      </c>
      <c r="AA302" s="598" t="s">
        <v>3309</v>
      </c>
      <c r="AB302" s="598" t="s">
        <v>3309</v>
      </c>
      <c r="AC302" s="598" t="s">
        <v>3309</v>
      </c>
      <c r="AD302" s="598" t="s">
        <v>3309</v>
      </c>
      <c r="AE302" s="598" t="s">
        <v>3309</v>
      </c>
      <c r="AF302" s="598" t="s">
        <v>321</v>
      </c>
      <c r="AG302" s="598" t="s">
        <v>321</v>
      </c>
      <c r="AH302" s="598" t="s">
        <v>3309</v>
      </c>
      <c r="AI302" s="598" t="s">
        <v>321</v>
      </c>
      <c r="AJ302" s="599">
        <v>21</v>
      </c>
      <c r="AK302" s="600">
        <v>21</v>
      </c>
      <c r="AL302" s="601">
        <v>0</v>
      </c>
      <c r="AM302" s="601">
        <v>0</v>
      </c>
      <c r="AN302" s="599">
        <v>21</v>
      </c>
    </row>
    <row r="303" spans="1:40" ht="16.5" customHeight="1">
      <c r="A303" s="598" t="s">
        <v>3307</v>
      </c>
      <c r="B303" s="598" t="s">
        <v>3326</v>
      </c>
      <c r="C303" s="598" t="s">
        <v>2400</v>
      </c>
      <c r="D303" s="598" t="s">
        <v>2401</v>
      </c>
      <c r="E303" s="598" t="s">
        <v>321</v>
      </c>
      <c r="F303" s="598" t="s">
        <v>3309</v>
      </c>
      <c r="G303" s="598" t="s">
        <v>3309</v>
      </c>
      <c r="H303" s="598" t="s">
        <v>3309</v>
      </c>
      <c r="I303" s="598" t="s">
        <v>3309</v>
      </c>
      <c r="J303" s="598" t="s">
        <v>3309</v>
      </c>
      <c r="K303" s="598" t="s">
        <v>321</v>
      </c>
      <c r="L303" s="598" t="s">
        <v>321</v>
      </c>
      <c r="M303" s="598" t="s">
        <v>3309</v>
      </c>
      <c r="N303" s="598" t="s">
        <v>3309</v>
      </c>
      <c r="O303" s="598" t="s">
        <v>3309</v>
      </c>
      <c r="P303" s="598" t="s">
        <v>3309</v>
      </c>
      <c r="Q303" s="598" t="s">
        <v>3309</v>
      </c>
      <c r="R303" s="598" t="s">
        <v>321</v>
      </c>
      <c r="S303" s="598" t="s">
        <v>321</v>
      </c>
      <c r="T303" s="598" t="s">
        <v>3309</v>
      </c>
      <c r="U303" s="598" t="s">
        <v>3309</v>
      </c>
      <c r="V303" s="598" t="s">
        <v>3309</v>
      </c>
      <c r="W303" s="598" t="s">
        <v>3309</v>
      </c>
      <c r="X303" s="598" t="s">
        <v>3309</v>
      </c>
      <c r="Y303" s="598" t="s">
        <v>321</v>
      </c>
      <c r="Z303" s="598" t="s">
        <v>321</v>
      </c>
      <c r="AA303" s="598" t="s">
        <v>3309</v>
      </c>
      <c r="AB303" s="598" t="s">
        <v>3312</v>
      </c>
      <c r="AC303" s="598" t="s">
        <v>3313</v>
      </c>
      <c r="AD303" s="598" t="s">
        <v>3313</v>
      </c>
      <c r="AE303" s="598" t="s">
        <v>3313</v>
      </c>
      <c r="AF303" s="598" t="s">
        <v>321</v>
      </c>
      <c r="AG303" s="598" t="s">
        <v>321</v>
      </c>
      <c r="AH303" s="598" t="s">
        <v>3309</v>
      </c>
      <c r="AI303" s="598" t="s">
        <v>321</v>
      </c>
      <c r="AJ303" s="599">
        <v>21</v>
      </c>
      <c r="AK303" s="600">
        <v>20</v>
      </c>
      <c r="AL303" s="602">
        <v>1</v>
      </c>
      <c r="AM303" s="601">
        <v>0</v>
      </c>
      <c r="AN303" s="599">
        <v>21</v>
      </c>
    </row>
    <row r="304" spans="1:40" ht="16.5" customHeight="1">
      <c r="A304" s="598" t="s">
        <v>3307</v>
      </c>
      <c r="B304" s="598" t="s">
        <v>3326</v>
      </c>
      <c r="C304" s="598" t="s">
        <v>2731</v>
      </c>
      <c r="D304" s="598" t="s">
        <v>2732</v>
      </c>
      <c r="E304" s="598" t="s">
        <v>321</v>
      </c>
      <c r="F304" s="598" t="s">
        <v>3309</v>
      </c>
      <c r="G304" s="598" t="s">
        <v>3309</v>
      </c>
      <c r="H304" s="598" t="s">
        <v>3309</v>
      </c>
      <c r="I304" s="598" t="s">
        <v>3309</v>
      </c>
      <c r="J304" s="598" t="s">
        <v>3309</v>
      </c>
      <c r="K304" s="598" t="s">
        <v>321</v>
      </c>
      <c r="L304" s="598" t="s">
        <v>321</v>
      </c>
      <c r="M304" s="598" t="s">
        <v>3309</v>
      </c>
      <c r="N304" s="598" t="s">
        <v>3309</v>
      </c>
      <c r="O304" s="598" t="s">
        <v>3309</v>
      </c>
      <c r="P304" s="598" t="s">
        <v>3309</v>
      </c>
      <c r="Q304" s="598" t="s">
        <v>3314</v>
      </c>
      <c r="R304" s="598" t="s">
        <v>321</v>
      </c>
      <c r="S304" s="598" t="s">
        <v>321</v>
      </c>
      <c r="T304" s="598" t="s">
        <v>3309</v>
      </c>
      <c r="U304" s="598" t="s">
        <v>3309</v>
      </c>
      <c r="V304" s="598" t="s">
        <v>3309</v>
      </c>
      <c r="W304" s="598" t="s">
        <v>3309</v>
      </c>
      <c r="X304" s="598" t="s">
        <v>3313</v>
      </c>
      <c r="Y304" s="598" t="s">
        <v>321</v>
      </c>
      <c r="Z304" s="598" t="s">
        <v>321</v>
      </c>
      <c r="AA304" s="598" t="s">
        <v>3309</v>
      </c>
      <c r="AB304" s="598" t="s">
        <v>3309</v>
      </c>
      <c r="AC304" s="598" t="s">
        <v>3309</v>
      </c>
      <c r="AD304" s="598" t="s">
        <v>3309</v>
      </c>
      <c r="AE304" s="598" t="s">
        <v>3309</v>
      </c>
      <c r="AF304" s="598" t="s">
        <v>321</v>
      </c>
      <c r="AG304" s="598" t="s">
        <v>321</v>
      </c>
      <c r="AH304" s="598" t="s">
        <v>3309</v>
      </c>
      <c r="AI304" s="598" t="s">
        <v>321</v>
      </c>
      <c r="AJ304" s="599">
        <v>21</v>
      </c>
      <c r="AK304" s="603">
        <v>20.5</v>
      </c>
      <c r="AL304" s="604">
        <v>0.5</v>
      </c>
      <c r="AM304" s="601">
        <v>0</v>
      </c>
      <c r="AN304" s="599">
        <v>21</v>
      </c>
    </row>
    <row r="305" spans="1:40" ht="16.5" customHeight="1">
      <c r="A305" s="598" t="s">
        <v>3307</v>
      </c>
      <c r="B305" s="598" t="s">
        <v>3326</v>
      </c>
      <c r="C305" s="598" t="s">
        <v>2280</v>
      </c>
      <c r="D305" s="598" t="s">
        <v>1992</v>
      </c>
      <c r="E305" s="598" t="s">
        <v>321</v>
      </c>
      <c r="F305" s="598" t="s">
        <v>3309</v>
      </c>
      <c r="G305" s="598" t="s">
        <v>3309</v>
      </c>
      <c r="H305" s="598" t="s">
        <v>3309</v>
      </c>
      <c r="I305" s="598" t="s">
        <v>3309</v>
      </c>
      <c r="J305" s="598" t="s">
        <v>3309</v>
      </c>
      <c r="K305" s="598" t="s">
        <v>321</v>
      </c>
      <c r="L305" s="598" t="s">
        <v>321</v>
      </c>
      <c r="M305" s="598" t="s">
        <v>3309</v>
      </c>
      <c r="N305" s="598" t="s">
        <v>3309</v>
      </c>
      <c r="O305" s="598" t="s">
        <v>3309</v>
      </c>
      <c r="P305" s="598" t="s">
        <v>3309</v>
      </c>
      <c r="Q305" s="598" t="s">
        <v>3309</v>
      </c>
      <c r="R305" s="598" t="s">
        <v>321</v>
      </c>
      <c r="S305" s="598" t="s">
        <v>321</v>
      </c>
      <c r="T305" s="598" t="s">
        <v>3309</v>
      </c>
      <c r="U305" s="598" t="s">
        <v>3314</v>
      </c>
      <c r="V305" s="598" t="s">
        <v>3309</v>
      </c>
      <c r="W305" s="598" t="s">
        <v>3309</v>
      </c>
      <c r="X305" s="598" t="s">
        <v>3309</v>
      </c>
      <c r="Y305" s="598" t="s">
        <v>321</v>
      </c>
      <c r="Z305" s="598" t="s">
        <v>321</v>
      </c>
      <c r="AA305" s="598" t="s">
        <v>3309</v>
      </c>
      <c r="AB305" s="598" t="s">
        <v>3309</v>
      </c>
      <c r="AC305" s="598" t="s">
        <v>3309</v>
      </c>
      <c r="AD305" s="598" t="s">
        <v>3309</v>
      </c>
      <c r="AE305" s="598" t="s">
        <v>3309</v>
      </c>
      <c r="AF305" s="598" t="s">
        <v>321</v>
      </c>
      <c r="AG305" s="598" t="s">
        <v>321</v>
      </c>
      <c r="AH305" s="598" t="s">
        <v>3309</v>
      </c>
      <c r="AI305" s="598" t="s">
        <v>321</v>
      </c>
      <c r="AJ305" s="599">
        <v>21</v>
      </c>
      <c r="AK305" s="603">
        <v>20.5</v>
      </c>
      <c r="AL305" s="604">
        <v>0.5</v>
      </c>
      <c r="AM305" s="601">
        <v>0</v>
      </c>
      <c r="AN305" s="599">
        <v>21</v>
      </c>
    </row>
    <row r="306" spans="1:40" ht="16.5" customHeight="1">
      <c r="A306" s="598" t="s">
        <v>3307</v>
      </c>
      <c r="B306" s="598" t="s">
        <v>3326</v>
      </c>
      <c r="C306" s="598" t="s">
        <v>2398</v>
      </c>
      <c r="D306" s="598" t="s">
        <v>2399</v>
      </c>
      <c r="E306" s="598" t="s">
        <v>321</v>
      </c>
      <c r="F306" s="598" t="s">
        <v>3309</v>
      </c>
      <c r="G306" s="598" t="s">
        <v>3309</v>
      </c>
      <c r="H306" s="598" t="s">
        <v>3309</v>
      </c>
      <c r="I306" s="598" t="s">
        <v>3309</v>
      </c>
      <c r="J306" s="598" t="s">
        <v>3309</v>
      </c>
      <c r="K306" s="598" t="s">
        <v>321</v>
      </c>
      <c r="L306" s="598" t="s">
        <v>321</v>
      </c>
      <c r="M306" s="598" t="s">
        <v>3309</v>
      </c>
      <c r="N306" s="598" t="s">
        <v>3309</v>
      </c>
      <c r="O306" s="598" t="s">
        <v>3309</v>
      </c>
      <c r="P306" s="598" t="s">
        <v>3309</v>
      </c>
      <c r="Q306" s="598" t="s">
        <v>3309</v>
      </c>
      <c r="R306" s="598" t="s">
        <v>321</v>
      </c>
      <c r="S306" s="598" t="s">
        <v>321</v>
      </c>
      <c r="T306" s="598" t="s">
        <v>3309</v>
      </c>
      <c r="U306" s="598" t="s">
        <v>3309</v>
      </c>
      <c r="V306" s="598" t="s">
        <v>3309</v>
      </c>
      <c r="W306" s="598" t="s">
        <v>3309</v>
      </c>
      <c r="X306" s="598" t="s">
        <v>3309</v>
      </c>
      <c r="Y306" s="598" t="s">
        <v>321</v>
      </c>
      <c r="Z306" s="598" t="s">
        <v>321</v>
      </c>
      <c r="AA306" s="598" t="s">
        <v>3309</v>
      </c>
      <c r="AB306" s="598" t="s">
        <v>3309</v>
      </c>
      <c r="AC306" s="598" t="s">
        <v>3309</v>
      </c>
      <c r="AD306" s="598" t="s">
        <v>3309</v>
      </c>
      <c r="AE306" s="598" t="s">
        <v>3309</v>
      </c>
      <c r="AF306" s="598" t="s">
        <v>321</v>
      </c>
      <c r="AG306" s="598" t="s">
        <v>321</v>
      </c>
      <c r="AH306" s="598" t="s">
        <v>3309</v>
      </c>
      <c r="AI306" s="598" t="s">
        <v>321</v>
      </c>
      <c r="AJ306" s="599">
        <v>21</v>
      </c>
      <c r="AK306" s="600">
        <v>21</v>
      </c>
      <c r="AL306" s="601">
        <v>0</v>
      </c>
      <c r="AM306" s="601">
        <v>0</v>
      </c>
      <c r="AN306" s="599">
        <v>21</v>
      </c>
    </row>
    <row r="307" spans="1:40" ht="16.5" customHeight="1">
      <c r="A307" s="598" t="s">
        <v>3307</v>
      </c>
      <c r="B307" s="598" t="s">
        <v>3326</v>
      </c>
      <c r="C307" s="598" t="s">
        <v>2701</v>
      </c>
      <c r="D307" s="598" t="s">
        <v>2702</v>
      </c>
      <c r="E307" s="598" t="s">
        <v>321</v>
      </c>
      <c r="F307" s="598" t="s">
        <v>3309</v>
      </c>
      <c r="G307" s="598" t="s">
        <v>3309</v>
      </c>
      <c r="H307" s="598" t="s">
        <v>3309</v>
      </c>
      <c r="I307" s="598" t="s">
        <v>3309</v>
      </c>
      <c r="J307" s="598" t="s">
        <v>3309</v>
      </c>
      <c r="K307" s="598" t="s">
        <v>321</v>
      </c>
      <c r="L307" s="598" t="s">
        <v>321</v>
      </c>
      <c r="M307" s="598" t="s">
        <v>3309</v>
      </c>
      <c r="N307" s="598" t="s">
        <v>3309</v>
      </c>
      <c r="O307" s="598" t="s">
        <v>3309</v>
      </c>
      <c r="P307" s="598" t="s">
        <v>3309</v>
      </c>
      <c r="Q307" s="598" t="s">
        <v>3309</v>
      </c>
      <c r="R307" s="598" t="s">
        <v>321</v>
      </c>
      <c r="S307" s="598" t="s">
        <v>321</v>
      </c>
      <c r="T307" s="598" t="s">
        <v>3309</v>
      </c>
      <c r="U307" s="598" t="s">
        <v>3309</v>
      </c>
      <c r="V307" s="598" t="s">
        <v>3309</v>
      </c>
      <c r="W307" s="598" t="s">
        <v>3309</v>
      </c>
      <c r="X307" s="598" t="s">
        <v>3309</v>
      </c>
      <c r="Y307" s="598" t="s">
        <v>321</v>
      </c>
      <c r="Z307" s="598" t="s">
        <v>321</v>
      </c>
      <c r="AA307" s="598" t="s">
        <v>3309</v>
      </c>
      <c r="AB307" s="598" t="s">
        <v>3309</v>
      </c>
      <c r="AC307" s="598" t="s">
        <v>3309</v>
      </c>
      <c r="AD307" s="598" t="s">
        <v>3309</v>
      </c>
      <c r="AE307" s="598" t="s">
        <v>3309</v>
      </c>
      <c r="AF307" s="598" t="s">
        <v>321</v>
      </c>
      <c r="AG307" s="598" t="s">
        <v>321</v>
      </c>
      <c r="AH307" s="598" t="s">
        <v>3309</v>
      </c>
      <c r="AI307" s="598" t="s">
        <v>321</v>
      </c>
      <c r="AJ307" s="599">
        <v>21</v>
      </c>
      <c r="AK307" s="600">
        <v>21</v>
      </c>
      <c r="AL307" s="601">
        <v>0</v>
      </c>
      <c r="AM307" s="601">
        <v>0</v>
      </c>
      <c r="AN307" s="599">
        <v>21</v>
      </c>
    </row>
    <row r="308" spans="1:40" ht="16.5" customHeight="1">
      <c r="A308" s="598" t="s">
        <v>3307</v>
      </c>
      <c r="B308" s="598" t="s">
        <v>3326</v>
      </c>
      <c r="C308" s="598" t="s">
        <v>1729</v>
      </c>
      <c r="D308" s="598" t="s">
        <v>1438</v>
      </c>
      <c r="E308" s="598" t="s">
        <v>321</v>
      </c>
      <c r="F308" s="598" t="s">
        <v>3309</v>
      </c>
      <c r="G308" s="598" t="s">
        <v>3309</v>
      </c>
      <c r="H308" s="598" t="s">
        <v>3309</v>
      </c>
      <c r="I308" s="598" t="s">
        <v>3309</v>
      </c>
      <c r="J308" s="598" t="s">
        <v>3309</v>
      </c>
      <c r="K308" s="598" t="s">
        <v>321</v>
      </c>
      <c r="L308" s="598" t="s">
        <v>321</v>
      </c>
      <c r="M308" s="598" t="s">
        <v>3309</v>
      </c>
      <c r="N308" s="598" t="s">
        <v>3309</v>
      </c>
      <c r="O308" s="598" t="s">
        <v>3309</v>
      </c>
      <c r="P308" s="598" t="s">
        <v>3309</v>
      </c>
      <c r="Q308" s="598" t="s">
        <v>3309</v>
      </c>
      <c r="R308" s="598" t="s">
        <v>321</v>
      </c>
      <c r="S308" s="598" t="s">
        <v>321</v>
      </c>
      <c r="T308" s="598" t="s">
        <v>3309</v>
      </c>
      <c r="U308" s="598" t="s">
        <v>3309</v>
      </c>
      <c r="V308" s="598" t="s">
        <v>3309</v>
      </c>
      <c r="W308" s="598" t="s">
        <v>3309</v>
      </c>
      <c r="X308" s="598" t="s">
        <v>3309</v>
      </c>
      <c r="Y308" s="598" t="s">
        <v>321</v>
      </c>
      <c r="Z308" s="598" t="s">
        <v>321</v>
      </c>
      <c r="AA308" s="598" t="s">
        <v>3309</v>
      </c>
      <c r="AB308" s="598" t="s">
        <v>3309</v>
      </c>
      <c r="AC308" s="598" t="s">
        <v>3309</v>
      </c>
      <c r="AD308" s="598" t="s">
        <v>3312</v>
      </c>
      <c r="AE308" s="598" t="s">
        <v>3309</v>
      </c>
      <c r="AF308" s="598" t="s">
        <v>321</v>
      </c>
      <c r="AG308" s="598" t="s">
        <v>321</v>
      </c>
      <c r="AH308" s="598" t="s">
        <v>3309</v>
      </c>
      <c r="AI308" s="598" t="s">
        <v>321</v>
      </c>
      <c r="AJ308" s="599">
        <v>21</v>
      </c>
      <c r="AK308" s="600">
        <v>20</v>
      </c>
      <c r="AL308" s="602">
        <v>1</v>
      </c>
      <c r="AM308" s="601">
        <v>0</v>
      </c>
      <c r="AN308" s="599">
        <v>21</v>
      </c>
    </row>
    <row r="309" spans="1:40" ht="16.5" customHeight="1">
      <c r="A309" s="598" t="s">
        <v>3307</v>
      </c>
      <c r="B309" s="598" t="s">
        <v>3326</v>
      </c>
      <c r="C309" s="598" t="s">
        <v>2885</v>
      </c>
      <c r="D309" s="598" t="s">
        <v>2886</v>
      </c>
      <c r="E309" s="598" t="s">
        <v>321</v>
      </c>
      <c r="F309" s="598" t="s">
        <v>3309</v>
      </c>
      <c r="G309" s="598" t="s">
        <v>3309</v>
      </c>
      <c r="H309" s="598" t="s">
        <v>3309</v>
      </c>
      <c r="I309" s="598" t="s">
        <v>3309</v>
      </c>
      <c r="J309" s="598" t="s">
        <v>3309</v>
      </c>
      <c r="K309" s="598" t="s">
        <v>321</v>
      </c>
      <c r="L309" s="598" t="s">
        <v>321</v>
      </c>
      <c r="M309" s="598" t="s">
        <v>3309</v>
      </c>
      <c r="N309" s="598" t="s">
        <v>3309</v>
      </c>
      <c r="O309" s="598" t="s">
        <v>3309</v>
      </c>
      <c r="P309" s="598" t="s">
        <v>3309</v>
      </c>
      <c r="Q309" s="598" t="s">
        <v>3309</v>
      </c>
      <c r="R309" s="598" t="s">
        <v>321</v>
      </c>
      <c r="S309" s="598" t="s">
        <v>321</v>
      </c>
      <c r="T309" s="598" t="s">
        <v>3309</v>
      </c>
      <c r="U309" s="598" t="s">
        <v>3309</v>
      </c>
      <c r="V309" s="598" t="s">
        <v>3309</v>
      </c>
      <c r="W309" s="598" t="s">
        <v>3309</v>
      </c>
      <c r="X309" s="598" t="s">
        <v>3309</v>
      </c>
      <c r="Y309" s="598" t="s">
        <v>321</v>
      </c>
      <c r="Z309" s="598" t="s">
        <v>321</v>
      </c>
      <c r="AA309" s="598" t="s">
        <v>3309</v>
      </c>
      <c r="AB309" s="598" t="s">
        <v>3309</v>
      </c>
      <c r="AC309" s="598" t="s">
        <v>3309</v>
      </c>
      <c r="AD309" s="598" t="s">
        <v>3309</v>
      </c>
      <c r="AE309" s="598" t="s">
        <v>3309</v>
      </c>
      <c r="AF309" s="598" t="s">
        <v>321</v>
      </c>
      <c r="AG309" s="598" t="s">
        <v>321</v>
      </c>
      <c r="AH309" s="598" t="s">
        <v>3309</v>
      </c>
      <c r="AI309" s="598" t="s">
        <v>321</v>
      </c>
      <c r="AJ309" s="599">
        <v>21</v>
      </c>
      <c r="AK309" s="600">
        <v>21</v>
      </c>
      <c r="AL309" s="601">
        <v>0</v>
      </c>
      <c r="AM309" s="601">
        <v>0</v>
      </c>
      <c r="AN309" s="599">
        <v>21</v>
      </c>
    </row>
    <row r="310" spans="1:40" ht="16.5" customHeight="1">
      <c r="A310" s="598" t="s">
        <v>3307</v>
      </c>
      <c r="B310" s="598" t="s">
        <v>3326</v>
      </c>
      <c r="C310" s="598" t="s">
        <v>2168</v>
      </c>
      <c r="D310" s="598" t="s">
        <v>1041</v>
      </c>
      <c r="E310" s="598" t="s">
        <v>321</v>
      </c>
      <c r="F310" s="598" t="s">
        <v>3309</v>
      </c>
      <c r="G310" s="598" t="s">
        <v>3309</v>
      </c>
      <c r="H310" s="598" t="s">
        <v>3309</v>
      </c>
      <c r="I310" s="598" t="s">
        <v>3309</v>
      </c>
      <c r="J310" s="598" t="s">
        <v>3309</v>
      </c>
      <c r="K310" s="598" t="s">
        <v>321</v>
      </c>
      <c r="L310" s="598" t="s">
        <v>321</v>
      </c>
      <c r="M310" s="598" t="s">
        <v>3309</v>
      </c>
      <c r="N310" s="598" t="s">
        <v>3309</v>
      </c>
      <c r="O310" s="598" t="s">
        <v>3309</v>
      </c>
      <c r="P310" s="598" t="s">
        <v>3309</v>
      </c>
      <c r="Q310" s="598" t="s">
        <v>3309</v>
      </c>
      <c r="R310" s="598" t="s">
        <v>321</v>
      </c>
      <c r="S310" s="598" t="s">
        <v>321</v>
      </c>
      <c r="T310" s="598" t="s">
        <v>3309</v>
      </c>
      <c r="U310" s="598" t="s">
        <v>3309</v>
      </c>
      <c r="V310" s="598" t="s">
        <v>3309</v>
      </c>
      <c r="W310" s="598" t="s">
        <v>3309</v>
      </c>
      <c r="X310" s="598" t="s">
        <v>3309</v>
      </c>
      <c r="Y310" s="598" t="s">
        <v>321</v>
      </c>
      <c r="Z310" s="598" t="s">
        <v>321</v>
      </c>
      <c r="AA310" s="598" t="s">
        <v>3309</v>
      </c>
      <c r="AB310" s="598" t="s">
        <v>3309</v>
      </c>
      <c r="AC310" s="598" t="s">
        <v>3309</v>
      </c>
      <c r="AD310" s="598" t="s">
        <v>3309</v>
      </c>
      <c r="AE310" s="598" t="s">
        <v>3309</v>
      </c>
      <c r="AF310" s="598" t="s">
        <v>321</v>
      </c>
      <c r="AG310" s="598" t="s">
        <v>321</v>
      </c>
      <c r="AH310" s="598" t="s">
        <v>3309</v>
      </c>
      <c r="AI310" s="598" t="s">
        <v>321</v>
      </c>
      <c r="AJ310" s="599">
        <v>21</v>
      </c>
      <c r="AK310" s="600">
        <v>21</v>
      </c>
      <c r="AL310" s="601">
        <v>0</v>
      </c>
      <c r="AM310" s="601">
        <v>0</v>
      </c>
      <c r="AN310" s="599">
        <v>21</v>
      </c>
    </row>
    <row r="311" spans="1:40" ht="16.5" customHeight="1">
      <c r="A311" s="598" t="s">
        <v>3307</v>
      </c>
      <c r="B311" s="598" t="s">
        <v>3326</v>
      </c>
      <c r="C311" s="598" t="s">
        <v>1810</v>
      </c>
      <c r="D311" s="598" t="s">
        <v>1811</v>
      </c>
      <c r="E311" s="598" t="s">
        <v>321</v>
      </c>
      <c r="F311" s="598" t="s">
        <v>3309</v>
      </c>
      <c r="G311" s="598" t="s">
        <v>3309</v>
      </c>
      <c r="H311" s="598" t="s">
        <v>3309</v>
      </c>
      <c r="I311" s="598" t="s">
        <v>3309</v>
      </c>
      <c r="J311" s="598" t="s">
        <v>3309</v>
      </c>
      <c r="K311" s="598" t="s">
        <v>321</v>
      </c>
      <c r="L311" s="598" t="s">
        <v>321</v>
      </c>
      <c r="M311" s="598" t="s">
        <v>3309</v>
      </c>
      <c r="N311" s="598" t="s">
        <v>3309</v>
      </c>
      <c r="O311" s="598" t="s">
        <v>3309</v>
      </c>
      <c r="P311" s="598" t="s">
        <v>3309</v>
      </c>
      <c r="Q311" s="598" t="s">
        <v>3309</v>
      </c>
      <c r="R311" s="598" t="s">
        <v>321</v>
      </c>
      <c r="S311" s="598" t="s">
        <v>321</v>
      </c>
      <c r="T311" s="598" t="s">
        <v>3309</v>
      </c>
      <c r="U311" s="598" t="s">
        <v>3309</v>
      </c>
      <c r="V311" s="598" t="s">
        <v>3309</v>
      </c>
      <c r="W311" s="598" t="s">
        <v>3309</v>
      </c>
      <c r="X311" s="598" t="s">
        <v>3309</v>
      </c>
      <c r="Y311" s="598" t="s">
        <v>321</v>
      </c>
      <c r="Z311" s="598" t="s">
        <v>321</v>
      </c>
      <c r="AA311" s="598" t="s">
        <v>3309</v>
      </c>
      <c r="AB311" s="598" t="s">
        <v>3309</v>
      </c>
      <c r="AC311" s="598" t="s">
        <v>3309</v>
      </c>
      <c r="AD311" s="598" t="s">
        <v>3309</v>
      </c>
      <c r="AE311" s="598" t="s">
        <v>3309</v>
      </c>
      <c r="AF311" s="598" t="s">
        <v>321</v>
      </c>
      <c r="AG311" s="598" t="s">
        <v>321</v>
      </c>
      <c r="AH311" s="598" t="s">
        <v>3309</v>
      </c>
      <c r="AI311" s="598" t="s">
        <v>321</v>
      </c>
      <c r="AJ311" s="599">
        <v>21</v>
      </c>
      <c r="AK311" s="600">
        <v>21</v>
      </c>
      <c r="AL311" s="601">
        <v>0</v>
      </c>
      <c r="AM311" s="601">
        <v>0</v>
      </c>
      <c r="AN311" s="599">
        <v>21</v>
      </c>
    </row>
    <row r="312" spans="1:40" ht="16.5" customHeight="1">
      <c r="A312" s="598" t="s">
        <v>3307</v>
      </c>
      <c r="B312" s="598" t="s">
        <v>3326</v>
      </c>
      <c r="C312" s="598" t="s">
        <v>1753</v>
      </c>
      <c r="D312" s="598" t="s">
        <v>1754</v>
      </c>
      <c r="E312" s="598" t="s">
        <v>321</v>
      </c>
      <c r="F312" s="598" t="s">
        <v>3309</v>
      </c>
      <c r="G312" s="598" t="s">
        <v>3309</v>
      </c>
      <c r="H312" s="598" t="s">
        <v>3309</v>
      </c>
      <c r="I312" s="598" t="s">
        <v>3309</v>
      </c>
      <c r="J312" s="598" t="s">
        <v>3309</v>
      </c>
      <c r="K312" s="598" t="s">
        <v>321</v>
      </c>
      <c r="L312" s="598" t="s">
        <v>321</v>
      </c>
      <c r="M312" s="598" t="s">
        <v>3309</v>
      </c>
      <c r="N312" s="598" t="s">
        <v>3309</v>
      </c>
      <c r="O312" s="598" t="s">
        <v>3309</v>
      </c>
      <c r="P312" s="598" t="s">
        <v>3309</v>
      </c>
      <c r="Q312" s="598" t="s">
        <v>3309</v>
      </c>
      <c r="R312" s="598" t="s">
        <v>321</v>
      </c>
      <c r="S312" s="598" t="s">
        <v>321</v>
      </c>
      <c r="T312" s="598" t="s">
        <v>3309</v>
      </c>
      <c r="U312" s="598" t="s">
        <v>3309</v>
      </c>
      <c r="V312" s="598" t="s">
        <v>3309</v>
      </c>
      <c r="W312" s="598" t="s">
        <v>3309</v>
      </c>
      <c r="X312" s="598" t="s">
        <v>3309</v>
      </c>
      <c r="Y312" s="598" t="s">
        <v>321</v>
      </c>
      <c r="Z312" s="598" t="s">
        <v>321</v>
      </c>
      <c r="AA312" s="598" t="s">
        <v>3309</v>
      </c>
      <c r="AB312" s="598" t="s">
        <v>3309</v>
      </c>
      <c r="AC312" s="598" t="s">
        <v>3309</v>
      </c>
      <c r="AD312" s="598" t="s">
        <v>3309</v>
      </c>
      <c r="AE312" s="598" t="s">
        <v>3309</v>
      </c>
      <c r="AF312" s="598" t="s">
        <v>321</v>
      </c>
      <c r="AG312" s="598" t="s">
        <v>321</v>
      </c>
      <c r="AH312" s="598" t="s">
        <v>3309</v>
      </c>
      <c r="AI312" s="598" t="s">
        <v>321</v>
      </c>
      <c r="AJ312" s="599">
        <v>21</v>
      </c>
      <c r="AK312" s="600">
        <v>21</v>
      </c>
      <c r="AL312" s="601">
        <v>0</v>
      </c>
      <c r="AM312" s="601">
        <v>0</v>
      </c>
      <c r="AN312" s="599">
        <v>21</v>
      </c>
    </row>
    <row r="313" spans="1:40" ht="16.5" customHeight="1">
      <c r="A313" s="598" t="s">
        <v>3307</v>
      </c>
      <c r="B313" s="598" t="s">
        <v>3326</v>
      </c>
      <c r="C313" s="598" t="s">
        <v>521</v>
      </c>
      <c r="D313" s="598" t="s">
        <v>522</v>
      </c>
      <c r="E313" s="598" t="s">
        <v>321</v>
      </c>
      <c r="F313" s="598" t="s">
        <v>3309</v>
      </c>
      <c r="G313" s="598" t="s">
        <v>3309</v>
      </c>
      <c r="H313" s="598" t="s">
        <v>3309</v>
      </c>
      <c r="I313" s="598" t="s">
        <v>3309</v>
      </c>
      <c r="J313" s="598" t="s">
        <v>3309</v>
      </c>
      <c r="K313" s="598" t="s">
        <v>321</v>
      </c>
      <c r="L313" s="598" t="s">
        <v>321</v>
      </c>
      <c r="M313" s="598" t="s">
        <v>3309</v>
      </c>
      <c r="N313" s="598" t="s">
        <v>3309</v>
      </c>
      <c r="O313" s="598" t="s">
        <v>3309</v>
      </c>
      <c r="P313" s="598" t="s">
        <v>3309</v>
      </c>
      <c r="Q313" s="598" t="s">
        <v>3309</v>
      </c>
      <c r="R313" s="598" t="s">
        <v>321</v>
      </c>
      <c r="S313" s="598" t="s">
        <v>321</v>
      </c>
      <c r="T313" s="598" t="s">
        <v>3309</v>
      </c>
      <c r="U313" s="598" t="s">
        <v>3309</v>
      </c>
      <c r="V313" s="598" t="s">
        <v>3309</v>
      </c>
      <c r="W313" s="598" t="s">
        <v>3309</v>
      </c>
      <c r="X313" s="598" t="s">
        <v>3309</v>
      </c>
      <c r="Y313" s="598" t="s">
        <v>321</v>
      </c>
      <c r="Z313" s="598" t="s">
        <v>321</v>
      </c>
      <c r="AA313" s="598" t="s">
        <v>3309</v>
      </c>
      <c r="AB313" s="598" t="s">
        <v>3309</v>
      </c>
      <c r="AC313" s="598" t="s">
        <v>3309</v>
      </c>
      <c r="AD313" s="598" t="s">
        <v>3309</v>
      </c>
      <c r="AE313" s="598" t="s">
        <v>3309</v>
      </c>
      <c r="AF313" s="598" t="s">
        <v>321</v>
      </c>
      <c r="AG313" s="598" t="s">
        <v>321</v>
      </c>
      <c r="AH313" s="598" t="s">
        <v>3309</v>
      </c>
      <c r="AI313" s="598" t="s">
        <v>321</v>
      </c>
      <c r="AJ313" s="599">
        <v>21</v>
      </c>
      <c r="AK313" s="600">
        <v>21</v>
      </c>
      <c r="AL313" s="601">
        <v>0</v>
      </c>
      <c r="AM313" s="601">
        <v>0</v>
      </c>
      <c r="AN313" s="599">
        <v>21</v>
      </c>
    </row>
    <row r="314" spans="1:40" ht="16.5" customHeight="1">
      <c r="A314" s="598" t="s">
        <v>3307</v>
      </c>
      <c r="B314" s="598" t="s">
        <v>3326</v>
      </c>
      <c r="C314" s="598" t="s">
        <v>2691</v>
      </c>
      <c r="D314" s="598" t="s">
        <v>2692</v>
      </c>
      <c r="E314" s="598" t="s">
        <v>321</v>
      </c>
      <c r="F314" s="598" t="s">
        <v>3309</v>
      </c>
      <c r="G314" s="598" t="s">
        <v>3309</v>
      </c>
      <c r="H314" s="598" t="s">
        <v>3309</v>
      </c>
      <c r="I314" s="598" t="s">
        <v>3309</v>
      </c>
      <c r="J314" s="598" t="s">
        <v>3309</v>
      </c>
      <c r="K314" s="598" t="s">
        <v>321</v>
      </c>
      <c r="L314" s="598" t="s">
        <v>321</v>
      </c>
      <c r="M314" s="598" t="s">
        <v>3309</v>
      </c>
      <c r="N314" s="598" t="s">
        <v>3309</v>
      </c>
      <c r="O314" s="598" t="s">
        <v>3309</v>
      </c>
      <c r="P314" s="598" t="s">
        <v>3309</v>
      </c>
      <c r="Q314" s="598" t="s">
        <v>3309</v>
      </c>
      <c r="R314" s="598" t="s">
        <v>321</v>
      </c>
      <c r="S314" s="598" t="s">
        <v>321</v>
      </c>
      <c r="T314" s="598" t="s">
        <v>3309</v>
      </c>
      <c r="U314" s="598" t="s">
        <v>3309</v>
      </c>
      <c r="V314" s="598" t="s">
        <v>3309</v>
      </c>
      <c r="W314" s="598" t="s">
        <v>3309</v>
      </c>
      <c r="X314" s="598" t="s">
        <v>3309</v>
      </c>
      <c r="Y314" s="598" t="s">
        <v>321</v>
      </c>
      <c r="Z314" s="598" t="s">
        <v>321</v>
      </c>
      <c r="AA314" s="598" t="s">
        <v>3309</v>
      </c>
      <c r="AB314" s="598" t="s">
        <v>3309</v>
      </c>
      <c r="AC314" s="598" t="s">
        <v>3309</v>
      </c>
      <c r="AD314" s="598" t="s">
        <v>3309</v>
      </c>
      <c r="AE314" s="598" t="s">
        <v>3309</v>
      </c>
      <c r="AF314" s="598" t="s">
        <v>321</v>
      </c>
      <c r="AG314" s="598" t="s">
        <v>321</v>
      </c>
      <c r="AH314" s="598" t="s">
        <v>3309</v>
      </c>
      <c r="AI314" s="598" t="s">
        <v>321</v>
      </c>
      <c r="AJ314" s="599">
        <v>21</v>
      </c>
      <c r="AK314" s="600">
        <v>21</v>
      </c>
      <c r="AL314" s="601">
        <v>0</v>
      </c>
      <c r="AM314" s="601">
        <v>0</v>
      </c>
      <c r="AN314" s="599">
        <v>21</v>
      </c>
    </row>
    <row r="315" spans="1:40" ht="16.5" customHeight="1">
      <c r="A315" s="598" t="s">
        <v>3307</v>
      </c>
      <c r="B315" s="598" t="s">
        <v>3326</v>
      </c>
      <c r="C315" s="598" t="s">
        <v>949</v>
      </c>
      <c r="D315" s="598" t="s">
        <v>950</v>
      </c>
      <c r="E315" s="598" t="s">
        <v>321</v>
      </c>
      <c r="F315" s="598" t="s">
        <v>3309</v>
      </c>
      <c r="G315" s="598" t="s">
        <v>3309</v>
      </c>
      <c r="H315" s="598" t="s">
        <v>3309</v>
      </c>
      <c r="I315" s="598" t="s">
        <v>3309</v>
      </c>
      <c r="J315" s="598" t="s">
        <v>3309</v>
      </c>
      <c r="K315" s="598" t="s">
        <v>321</v>
      </c>
      <c r="L315" s="598" t="s">
        <v>321</v>
      </c>
      <c r="M315" s="598" t="s">
        <v>3309</v>
      </c>
      <c r="N315" s="598" t="s">
        <v>3309</v>
      </c>
      <c r="O315" s="598" t="s">
        <v>3309</v>
      </c>
      <c r="P315" s="598" t="s">
        <v>3309</v>
      </c>
      <c r="Q315" s="598" t="s">
        <v>3309</v>
      </c>
      <c r="R315" s="598" t="s">
        <v>321</v>
      </c>
      <c r="S315" s="598" t="s">
        <v>321</v>
      </c>
      <c r="T315" s="598" t="s">
        <v>3309</v>
      </c>
      <c r="U315" s="598" t="s">
        <v>3309</v>
      </c>
      <c r="V315" s="598" t="s">
        <v>3309</v>
      </c>
      <c r="W315" s="598" t="s">
        <v>3309</v>
      </c>
      <c r="X315" s="598" t="s">
        <v>3309</v>
      </c>
      <c r="Y315" s="598" t="s">
        <v>321</v>
      </c>
      <c r="Z315" s="598" t="s">
        <v>321</v>
      </c>
      <c r="AA315" s="598" t="s">
        <v>3309</v>
      </c>
      <c r="AB315" s="598" t="s">
        <v>3309</v>
      </c>
      <c r="AC315" s="598" t="s">
        <v>3309</v>
      </c>
      <c r="AD315" s="598" t="s">
        <v>3309</v>
      </c>
      <c r="AE315" s="598" t="s">
        <v>3309</v>
      </c>
      <c r="AF315" s="598" t="s">
        <v>321</v>
      </c>
      <c r="AG315" s="598" t="s">
        <v>321</v>
      </c>
      <c r="AH315" s="598" t="s">
        <v>3309</v>
      </c>
      <c r="AI315" s="598" t="s">
        <v>321</v>
      </c>
      <c r="AJ315" s="599">
        <v>21</v>
      </c>
      <c r="AK315" s="600">
        <v>21</v>
      </c>
      <c r="AL315" s="601">
        <v>0</v>
      </c>
      <c r="AM315" s="601">
        <v>0</v>
      </c>
      <c r="AN315" s="599">
        <v>21</v>
      </c>
    </row>
    <row r="316" spans="1:40" ht="16.5" customHeight="1">
      <c r="A316" s="598" t="s">
        <v>3307</v>
      </c>
      <c r="B316" s="598" t="s">
        <v>3326</v>
      </c>
      <c r="C316" s="598" t="s">
        <v>1441</v>
      </c>
      <c r="D316" s="598" t="s">
        <v>1442</v>
      </c>
      <c r="E316" s="598" t="s">
        <v>321</v>
      </c>
      <c r="F316" s="598" t="s">
        <v>3309</v>
      </c>
      <c r="G316" s="598" t="s">
        <v>3309</v>
      </c>
      <c r="H316" s="598" t="s">
        <v>3309</v>
      </c>
      <c r="I316" s="598" t="s">
        <v>3309</v>
      </c>
      <c r="J316" s="598" t="s">
        <v>3309</v>
      </c>
      <c r="K316" s="598" t="s">
        <v>321</v>
      </c>
      <c r="L316" s="598" t="s">
        <v>321</v>
      </c>
      <c r="M316" s="598" t="s">
        <v>3309</v>
      </c>
      <c r="N316" s="598" t="s">
        <v>3309</v>
      </c>
      <c r="O316" s="598" t="s">
        <v>3309</v>
      </c>
      <c r="P316" s="598" t="s">
        <v>3309</v>
      </c>
      <c r="Q316" s="598" t="s">
        <v>3309</v>
      </c>
      <c r="R316" s="598" t="s">
        <v>321</v>
      </c>
      <c r="S316" s="598" t="s">
        <v>321</v>
      </c>
      <c r="T316" s="598" t="s">
        <v>3309</v>
      </c>
      <c r="U316" s="598" t="s">
        <v>3309</v>
      </c>
      <c r="V316" s="598" t="s">
        <v>3309</v>
      </c>
      <c r="W316" s="598" t="s">
        <v>3309</v>
      </c>
      <c r="X316" s="598" t="s">
        <v>3309</v>
      </c>
      <c r="Y316" s="598" t="s">
        <v>321</v>
      </c>
      <c r="Z316" s="598" t="s">
        <v>321</v>
      </c>
      <c r="AA316" s="598" t="s">
        <v>3309</v>
      </c>
      <c r="AB316" s="598" t="s">
        <v>3309</v>
      </c>
      <c r="AC316" s="598" t="s">
        <v>3309</v>
      </c>
      <c r="AD316" s="598" t="s">
        <v>3309</v>
      </c>
      <c r="AE316" s="598" t="s">
        <v>3309</v>
      </c>
      <c r="AF316" s="598" t="s">
        <v>321</v>
      </c>
      <c r="AG316" s="598" t="s">
        <v>321</v>
      </c>
      <c r="AH316" s="598" t="s">
        <v>3309</v>
      </c>
      <c r="AI316" s="598" t="s">
        <v>321</v>
      </c>
      <c r="AJ316" s="599">
        <v>21</v>
      </c>
      <c r="AK316" s="600">
        <v>21</v>
      </c>
      <c r="AL316" s="601">
        <v>0</v>
      </c>
      <c r="AM316" s="601">
        <v>0</v>
      </c>
      <c r="AN316" s="599">
        <v>21</v>
      </c>
    </row>
    <row r="317" spans="1:40" ht="16.5" customHeight="1">
      <c r="A317" s="598" t="s">
        <v>3307</v>
      </c>
      <c r="B317" s="598" t="s">
        <v>3326</v>
      </c>
      <c r="C317" s="598" t="s">
        <v>1531</v>
      </c>
      <c r="D317" s="598" t="s">
        <v>1532</v>
      </c>
      <c r="E317" s="598" t="s">
        <v>321</v>
      </c>
      <c r="F317" s="598" t="s">
        <v>3309</v>
      </c>
      <c r="G317" s="598" t="s">
        <v>3309</v>
      </c>
      <c r="H317" s="598" t="s">
        <v>3309</v>
      </c>
      <c r="I317" s="598" t="s">
        <v>3309</v>
      </c>
      <c r="J317" s="598" t="s">
        <v>3309</v>
      </c>
      <c r="K317" s="598" t="s">
        <v>321</v>
      </c>
      <c r="L317" s="598" t="s">
        <v>321</v>
      </c>
      <c r="M317" s="598" t="s">
        <v>3309</v>
      </c>
      <c r="N317" s="598" t="s">
        <v>3309</v>
      </c>
      <c r="O317" s="598" t="s">
        <v>3309</v>
      </c>
      <c r="P317" s="598" t="s">
        <v>3309</v>
      </c>
      <c r="Q317" s="598" t="s">
        <v>3309</v>
      </c>
      <c r="R317" s="598" t="s">
        <v>321</v>
      </c>
      <c r="S317" s="598" t="s">
        <v>321</v>
      </c>
      <c r="T317" s="598" t="s">
        <v>3309</v>
      </c>
      <c r="U317" s="598" t="s">
        <v>3309</v>
      </c>
      <c r="V317" s="598" t="s">
        <v>3309</v>
      </c>
      <c r="W317" s="598" t="s">
        <v>3309</v>
      </c>
      <c r="X317" s="598" t="s">
        <v>3309</v>
      </c>
      <c r="Y317" s="598" t="s">
        <v>321</v>
      </c>
      <c r="Z317" s="598" t="s">
        <v>321</v>
      </c>
      <c r="AA317" s="598" t="s">
        <v>3309</v>
      </c>
      <c r="AB317" s="598" t="s">
        <v>3309</v>
      </c>
      <c r="AC317" s="598" t="s">
        <v>3309</v>
      </c>
      <c r="AD317" s="598" t="s">
        <v>3309</v>
      </c>
      <c r="AE317" s="598" t="s">
        <v>3309</v>
      </c>
      <c r="AF317" s="598" t="s">
        <v>321</v>
      </c>
      <c r="AG317" s="598" t="s">
        <v>321</v>
      </c>
      <c r="AH317" s="598" t="s">
        <v>3309</v>
      </c>
      <c r="AI317" s="598" t="s">
        <v>321</v>
      </c>
      <c r="AJ317" s="599">
        <v>21</v>
      </c>
      <c r="AK317" s="600">
        <v>21</v>
      </c>
      <c r="AL317" s="601">
        <v>0</v>
      </c>
      <c r="AM317" s="601">
        <v>0</v>
      </c>
      <c r="AN317" s="599">
        <v>21</v>
      </c>
    </row>
    <row r="318" spans="1:40" ht="16.5" customHeight="1">
      <c r="A318" s="598" t="s">
        <v>3307</v>
      </c>
      <c r="B318" s="598" t="s">
        <v>3326</v>
      </c>
      <c r="C318" s="598" t="s">
        <v>3327</v>
      </c>
      <c r="D318" s="598" t="s">
        <v>3328</v>
      </c>
      <c r="E318" s="598" t="s">
        <v>321</v>
      </c>
      <c r="F318" s="598" t="s">
        <v>321</v>
      </c>
      <c r="G318" s="598" t="s">
        <v>321</v>
      </c>
      <c r="H318" s="598" t="s">
        <v>321</v>
      </c>
      <c r="I318" s="598" t="s">
        <v>321</v>
      </c>
      <c r="J318" s="598" t="s">
        <v>321</v>
      </c>
      <c r="K318" s="598" t="s">
        <v>321</v>
      </c>
      <c r="L318" s="598" t="s">
        <v>321</v>
      </c>
      <c r="M318" s="598" t="s">
        <v>321</v>
      </c>
      <c r="N318" s="598" t="s">
        <v>321</v>
      </c>
      <c r="O318" s="598" t="s">
        <v>321</v>
      </c>
      <c r="P318" s="598" t="s">
        <v>321</v>
      </c>
      <c r="Q318" s="598" t="s">
        <v>321</v>
      </c>
      <c r="R318" s="598" t="s">
        <v>321</v>
      </c>
      <c r="S318" s="598" t="s">
        <v>321</v>
      </c>
      <c r="T318" s="598" t="s">
        <v>321</v>
      </c>
      <c r="U318" s="598" t="s">
        <v>321</v>
      </c>
      <c r="V318" s="598" t="s">
        <v>321</v>
      </c>
      <c r="W318" s="598" t="s">
        <v>321</v>
      </c>
      <c r="X318" s="598" t="s">
        <v>321</v>
      </c>
      <c r="Y318" s="598" t="s">
        <v>321</v>
      </c>
      <c r="Z318" s="598" t="s">
        <v>321</v>
      </c>
      <c r="AA318" s="598" t="s">
        <v>321</v>
      </c>
      <c r="AB318" s="598" t="s">
        <v>321</v>
      </c>
      <c r="AC318" s="598" t="s">
        <v>321</v>
      </c>
      <c r="AD318" s="598" t="s">
        <v>321</v>
      </c>
      <c r="AE318" s="598" t="s">
        <v>321</v>
      </c>
      <c r="AF318" s="598" t="s">
        <v>321</v>
      </c>
      <c r="AG318" s="598" t="s">
        <v>321</v>
      </c>
      <c r="AH318" s="598" t="s">
        <v>321</v>
      </c>
      <c r="AI318" s="598" t="s">
        <v>321</v>
      </c>
      <c r="AJ318" s="599">
        <v>21</v>
      </c>
      <c r="AK318" s="602">
        <v>2</v>
      </c>
      <c r="AL318" s="601">
        <v>0</v>
      </c>
      <c r="AM318" s="601">
        <v>0</v>
      </c>
      <c r="AN318" s="606">
        <v>2</v>
      </c>
    </row>
    <row r="319" spans="1:40" ht="16.5" customHeight="1">
      <c r="A319" s="598" t="s">
        <v>3307</v>
      </c>
      <c r="B319" s="598" t="s">
        <v>3326</v>
      </c>
      <c r="C319" s="598" t="s">
        <v>563</v>
      </c>
      <c r="D319" s="598" t="s">
        <v>564</v>
      </c>
      <c r="E319" s="598" t="s">
        <v>321</v>
      </c>
      <c r="F319" s="598" t="s">
        <v>3309</v>
      </c>
      <c r="G319" s="598" t="s">
        <v>3309</v>
      </c>
      <c r="H319" s="598" t="s">
        <v>3309</v>
      </c>
      <c r="I319" s="598" t="s">
        <v>3309</v>
      </c>
      <c r="J319" s="598" t="s">
        <v>3309</v>
      </c>
      <c r="K319" s="598" t="s">
        <v>321</v>
      </c>
      <c r="L319" s="598" t="s">
        <v>321</v>
      </c>
      <c r="M319" s="598" t="s">
        <v>3309</v>
      </c>
      <c r="N319" s="598" t="s">
        <v>3309</v>
      </c>
      <c r="O319" s="598" t="s">
        <v>3309</v>
      </c>
      <c r="P319" s="598" t="s">
        <v>3309</v>
      </c>
      <c r="Q319" s="598" t="s">
        <v>3309</v>
      </c>
      <c r="R319" s="598" t="s">
        <v>321</v>
      </c>
      <c r="S319" s="598" t="s">
        <v>321</v>
      </c>
      <c r="T319" s="598" t="s">
        <v>3309</v>
      </c>
      <c r="U319" s="598" t="s">
        <v>3309</v>
      </c>
      <c r="V319" s="598" t="s">
        <v>3309</v>
      </c>
      <c r="W319" s="598" t="s">
        <v>3309</v>
      </c>
      <c r="X319" s="598" t="s">
        <v>3309</v>
      </c>
      <c r="Y319" s="598" t="s">
        <v>321</v>
      </c>
      <c r="Z319" s="598" t="s">
        <v>321</v>
      </c>
      <c r="AA319" s="598" t="s">
        <v>3309</v>
      </c>
      <c r="AB319" s="598" t="s">
        <v>3313</v>
      </c>
      <c r="AC319" s="598" t="s">
        <v>3313</v>
      </c>
      <c r="AD319" s="598" t="s">
        <v>3313</v>
      </c>
      <c r="AE319" s="598" t="s">
        <v>3309</v>
      </c>
      <c r="AF319" s="598" t="s">
        <v>321</v>
      </c>
      <c r="AG319" s="598" t="s">
        <v>321</v>
      </c>
      <c r="AH319" s="598" t="s">
        <v>3309</v>
      </c>
      <c r="AI319" s="598" t="s">
        <v>321</v>
      </c>
      <c r="AJ319" s="599">
        <v>21</v>
      </c>
      <c r="AK319" s="600">
        <v>21</v>
      </c>
      <c r="AL319" s="601">
        <v>0</v>
      </c>
      <c r="AM319" s="601">
        <v>0</v>
      </c>
      <c r="AN319" s="599">
        <v>21</v>
      </c>
    </row>
    <row r="320" spans="1:40" ht="16.5" customHeight="1">
      <c r="A320" s="598" t="s">
        <v>3307</v>
      </c>
      <c r="B320" s="598" t="s">
        <v>3326</v>
      </c>
      <c r="C320" s="598" t="s">
        <v>2863</v>
      </c>
      <c r="D320" s="598" t="s">
        <v>2864</v>
      </c>
      <c r="E320" s="598" t="s">
        <v>321</v>
      </c>
      <c r="F320" s="598" t="s">
        <v>3309</v>
      </c>
      <c r="G320" s="598" t="s">
        <v>3309</v>
      </c>
      <c r="H320" s="598" t="s">
        <v>3309</v>
      </c>
      <c r="I320" s="598" t="s">
        <v>3309</v>
      </c>
      <c r="J320" s="598" t="s">
        <v>3309</v>
      </c>
      <c r="K320" s="598" t="s">
        <v>321</v>
      </c>
      <c r="L320" s="598" t="s">
        <v>321</v>
      </c>
      <c r="M320" s="598" t="s">
        <v>3309</v>
      </c>
      <c r="N320" s="598" t="s">
        <v>3309</v>
      </c>
      <c r="O320" s="598" t="s">
        <v>3309</v>
      </c>
      <c r="P320" s="598" t="s">
        <v>3309</v>
      </c>
      <c r="Q320" s="598" t="s">
        <v>3309</v>
      </c>
      <c r="R320" s="598" t="s">
        <v>321</v>
      </c>
      <c r="S320" s="598" t="s">
        <v>321</v>
      </c>
      <c r="T320" s="598" t="s">
        <v>3309</v>
      </c>
      <c r="U320" s="598" t="s">
        <v>3309</v>
      </c>
      <c r="V320" s="598" t="s">
        <v>3309</v>
      </c>
      <c r="W320" s="598" t="s">
        <v>3309</v>
      </c>
      <c r="X320" s="598" t="s">
        <v>3309</v>
      </c>
      <c r="Y320" s="598" t="s">
        <v>321</v>
      </c>
      <c r="Z320" s="598" t="s">
        <v>321</v>
      </c>
      <c r="AA320" s="598" t="s">
        <v>3309</v>
      </c>
      <c r="AB320" s="598" t="s">
        <v>3309</v>
      </c>
      <c r="AC320" s="598" t="s">
        <v>3309</v>
      </c>
      <c r="AD320" s="598" t="s">
        <v>3309</v>
      </c>
      <c r="AE320" s="598" t="s">
        <v>3309</v>
      </c>
      <c r="AF320" s="598" t="s">
        <v>321</v>
      </c>
      <c r="AG320" s="598" t="s">
        <v>321</v>
      </c>
      <c r="AH320" s="598" t="s">
        <v>3309</v>
      </c>
      <c r="AI320" s="598" t="s">
        <v>321</v>
      </c>
      <c r="AJ320" s="599">
        <v>21</v>
      </c>
      <c r="AK320" s="600">
        <v>21</v>
      </c>
      <c r="AL320" s="601">
        <v>0</v>
      </c>
      <c r="AM320" s="601">
        <v>0</v>
      </c>
      <c r="AN320" s="599">
        <v>21</v>
      </c>
    </row>
    <row r="321" spans="1:40" ht="16.5" customHeight="1">
      <c r="A321" s="598" t="s">
        <v>3307</v>
      </c>
      <c r="B321" s="598" t="s">
        <v>3326</v>
      </c>
      <c r="C321" s="598" t="s">
        <v>2515</v>
      </c>
      <c r="D321" s="598" t="s">
        <v>2516</v>
      </c>
      <c r="E321" s="598" t="s">
        <v>321</v>
      </c>
      <c r="F321" s="598" t="s">
        <v>3309</v>
      </c>
      <c r="G321" s="598" t="s">
        <v>3309</v>
      </c>
      <c r="H321" s="598" t="s">
        <v>3309</v>
      </c>
      <c r="I321" s="598" t="s">
        <v>3309</v>
      </c>
      <c r="J321" s="598" t="s">
        <v>3309</v>
      </c>
      <c r="K321" s="598" t="s">
        <v>321</v>
      </c>
      <c r="L321" s="598" t="s">
        <v>321</v>
      </c>
      <c r="M321" s="598" t="s">
        <v>3309</v>
      </c>
      <c r="N321" s="598" t="s">
        <v>3309</v>
      </c>
      <c r="O321" s="598" t="s">
        <v>3309</v>
      </c>
      <c r="P321" s="598" t="s">
        <v>3309</v>
      </c>
      <c r="Q321" s="598" t="s">
        <v>3309</v>
      </c>
      <c r="R321" s="598" t="s">
        <v>321</v>
      </c>
      <c r="S321" s="598" t="s">
        <v>321</v>
      </c>
      <c r="T321" s="598" t="s">
        <v>3309</v>
      </c>
      <c r="U321" s="598" t="s">
        <v>3309</v>
      </c>
      <c r="V321" s="598" t="s">
        <v>3309</v>
      </c>
      <c r="W321" s="598" t="s">
        <v>3309</v>
      </c>
      <c r="X321" s="598" t="s">
        <v>3309</v>
      </c>
      <c r="Y321" s="598" t="s">
        <v>321</v>
      </c>
      <c r="Z321" s="598" t="s">
        <v>321</v>
      </c>
      <c r="AA321" s="598" t="s">
        <v>3309</v>
      </c>
      <c r="AB321" s="598" t="s">
        <v>3309</v>
      </c>
      <c r="AC321" s="598" t="s">
        <v>3309</v>
      </c>
      <c r="AD321" s="598" t="s">
        <v>3309</v>
      </c>
      <c r="AE321" s="598" t="s">
        <v>3309</v>
      </c>
      <c r="AF321" s="598" t="s">
        <v>321</v>
      </c>
      <c r="AG321" s="598" t="s">
        <v>321</v>
      </c>
      <c r="AH321" s="598" t="s">
        <v>3309</v>
      </c>
      <c r="AI321" s="598" t="s">
        <v>321</v>
      </c>
      <c r="AJ321" s="599">
        <v>21</v>
      </c>
      <c r="AK321" s="600">
        <v>21</v>
      </c>
      <c r="AL321" s="601">
        <v>0</v>
      </c>
      <c r="AM321" s="601">
        <v>0</v>
      </c>
      <c r="AN321" s="599">
        <v>21</v>
      </c>
    </row>
    <row r="322" spans="1:40" ht="16.5" customHeight="1">
      <c r="A322" s="598" t="s">
        <v>3307</v>
      </c>
      <c r="B322" s="598" t="s">
        <v>3326</v>
      </c>
      <c r="C322" s="598" t="s">
        <v>2773</v>
      </c>
      <c r="D322" s="598" t="s">
        <v>2774</v>
      </c>
      <c r="E322" s="598" t="s">
        <v>321</v>
      </c>
      <c r="F322" s="598" t="s">
        <v>3309</v>
      </c>
      <c r="G322" s="598" t="s">
        <v>3309</v>
      </c>
      <c r="H322" s="598" t="s">
        <v>3309</v>
      </c>
      <c r="I322" s="598" t="s">
        <v>3309</v>
      </c>
      <c r="J322" s="598" t="s">
        <v>3309</v>
      </c>
      <c r="K322" s="598" t="s">
        <v>321</v>
      </c>
      <c r="L322" s="598" t="s">
        <v>321</v>
      </c>
      <c r="M322" s="598" t="s">
        <v>3309</v>
      </c>
      <c r="N322" s="598" t="s">
        <v>3309</v>
      </c>
      <c r="O322" s="598" t="s">
        <v>3314</v>
      </c>
      <c r="P322" s="598" t="s">
        <v>3309</v>
      </c>
      <c r="Q322" s="598" t="s">
        <v>3309</v>
      </c>
      <c r="R322" s="598" t="s">
        <v>321</v>
      </c>
      <c r="S322" s="598" t="s">
        <v>321</v>
      </c>
      <c r="T322" s="598" t="s">
        <v>3309</v>
      </c>
      <c r="U322" s="598" t="s">
        <v>3309</v>
      </c>
      <c r="V322" s="598" t="s">
        <v>3309</v>
      </c>
      <c r="W322" s="598" t="s">
        <v>3309</v>
      </c>
      <c r="X322" s="598" t="s">
        <v>3309</v>
      </c>
      <c r="Y322" s="598" t="s">
        <v>321</v>
      </c>
      <c r="Z322" s="598" t="s">
        <v>321</v>
      </c>
      <c r="AA322" s="598" t="s">
        <v>3309</v>
      </c>
      <c r="AB322" s="598" t="s">
        <v>3309</v>
      </c>
      <c r="AC322" s="598" t="s">
        <v>3309</v>
      </c>
      <c r="AD322" s="598" t="s">
        <v>3309</v>
      </c>
      <c r="AE322" s="598" t="s">
        <v>3309</v>
      </c>
      <c r="AF322" s="598" t="s">
        <v>321</v>
      </c>
      <c r="AG322" s="598" t="s">
        <v>321</v>
      </c>
      <c r="AH322" s="598" t="s">
        <v>3309</v>
      </c>
      <c r="AI322" s="598" t="s">
        <v>321</v>
      </c>
      <c r="AJ322" s="599">
        <v>21</v>
      </c>
      <c r="AK322" s="603">
        <v>20.5</v>
      </c>
      <c r="AL322" s="604">
        <v>0.5</v>
      </c>
      <c r="AM322" s="601">
        <v>0</v>
      </c>
      <c r="AN322" s="599">
        <v>21</v>
      </c>
    </row>
    <row r="323" spans="1:40" ht="16.5" customHeight="1">
      <c r="A323" s="598" t="s">
        <v>3307</v>
      </c>
      <c r="B323" s="598" t="s">
        <v>3326</v>
      </c>
      <c r="C323" s="598" t="s">
        <v>1376</v>
      </c>
      <c r="D323" s="598" t="s">
        <v>1377</v>
      </c>
      <c r="E323" s="598" t="s">
        <v>321</v>
      </c>
      <c r="F323" s="598" t="s">
        <v>3309</v>
      </c>
      <c r="G323" s="598" t="s">
        <v>3309</v>
      </c>
      <c r="H323" s="598" t="s">
        <v>3309</v>
      </c>
      <c r="I323" s="598" t="s">
        <v>3309</v>
      </c>
      <c r="J323" s="598" t="s">
        <v>3309</v>
      </c>
      <c r="K323" s="598" t="s">
        <v>321</v>
      </c>
      <c r="L323" s="598" t="s">
        <v>321</v>
      </c>
      <c r="M323" s="598" t="s">
        <v>3309</v>
      </c>
      <c r="N323" s="598" t="s">
        <v>3309</v>
      </c>
      <c r="O323" s="598" t="s">
        <v>3309</v>
      </c>
      <c r="P323" s="598" t="s">
        <v>3309</v>
      </c>
      <c r="Q323" s="598" t="s">
        <v>3309</v>
      </c>
      <c r="R323" s="598" t="s">
        <v>321</v>
      </c>
      <c r="S323" s="598" t="s">
        <v>321</v>
      </c>
      <c r="T323" s="598" t="s">
        <v>3309</v>
      </c>
      <c r="U323" s="598" t="s">
        <v>3309</v>
      </c>
      <c r="V323" s="598" t="s">
        <v>3309</v>
      </c>
      <c r="W323" s="598" t="s">
        <v>3309</v>
      </c>
      <c r="X323" s="598" t="s">
        <v>3309</v>
      </c>
      <c r="Y323" s="598" t="s">
        <v>321</v>
      </c>
      <c r="Z323" s="598" t="s">
        <v>321</v>
      </c>
      <c r="AA323" s="598" t="s">
        <v>3309</v>
      </c>
      <c r="AB323" s="598" t="s">
        <v>3309</v>
      </c>
      <c r="AC323" s="598" t="s">
        <v>3309</v>
      </c>
      <c r="AD323" s="598" t="s">
        <v>3309</v>
      </c>
      <c r="AE323" s="598" t="s">
        <v>3312</v>
      </c>
      <c r="AF323" s="598" t="s">
        <v>321</v>
      </c>
      <c r="AG323" s="598" t="s">
        <v>321</v>
      </c>
      <c r="AH323" s="598" t="s">
        <v>3309</v>
      </c>
      <c r="AI323" s="598" t="s">
        <v>321</v>
      </c>
      <c r="AJ323" s="599">
        <v>21</v>
      </c>
      <c r="AK323" s="600">
        <v>20</v>
      </c>
      <c r="AL323" s="602">
        <v>1</v>
      </c>
      <c r="AM323" s="601">
        <v>0</v>
      </c>
      <c r="AN323" s="599">
        <v>21</v>
      </c>
    </row>
    <row r="324" spans="1:40" ht="16.5" customHeight="1">
      <c r="A324" s="598" t="s">
        <v>3307</v>
      </c>
      <c r="B324" s="598" t="s">
        <v>3326</v>
      </c>
      <c r="C324" s="598" t="s">
        <v>2069</v>
      </c>
      <c r="D324" s="598" t="s">
        <v>2070</v>
      </c>
      <c r="E324" s="598" t="s">
        <v>321</v>
      </c>
      <c r="F324" s="598" t="s">
        <v>3309</v>
      </c>
      <c r="G324" s="598" t="s">
        <v>3309</v>
      </c>
      <c r="H324" s="598" t="s">
        <v>3309</v>
      </c>
      <c r="I324" s="598" t="s">
        <v>3309</v>
      </c>
      <c r="J324" s="598" t="s">
        <v>3309</v>
      </c>
      <c r="K324" s="598" t="s">
        <v>321</v>
      </c>
      <c r="L324" s="598" t="s">
        <v>321</v>
      </c>
      <c r="M324" s="598" t="s">
        <v>3309</v>
      </c>
      <c r="N324" s="598" t="s">
        <v>3309</v>
      </c>
      <c r="O324" s="598" t="s">
        <v>3309</v>
      </c>
      <c r="P324" s="598" t="s">
        <v>3309</v>
      </c>
      <c r="Q324" s="598" t="s">
        <v>3309</v>
      </c>
      <c r="R324" s="598" t="s">
        <v>321</v>
      </c>
      <c r="S324" s="598" t="s">
        <v>321</v>
      </c>
      <c r="T324" s="598" t="s">
        <v>3309</v>
      </c>
      <c r="U324" s="598" t="s">
        <v>3309</v>
      </c>
      <c r="V324" s="598" t="s">
        <v>3309</v>
      </c>
      <c r="W324" s="598" t="s">
        <v>3309</v>
      </c>
      <c r="X324" s="598" t="s">
        <v>3309</v>
      </c>
      <c r="Y324" s="598" t="s">
        <v>321</v>
      </c>
      <c r="Z324" s="598" t="s">
        <v>321</v>
      </c>
      <c r="AA324" s="598" t="s">
        <v>3309</v>
      </c>
      <c r="AB324" s="598" t="s">
        <v>3309</v>
      </c>
      <c r="AC324" s="598" t="s">
        <v>3309</v>
      </c>
      <c r="AD324" s="598" t="s">
        <v>3309</v>
      </c>
      <c r="AE324" s="598" t="s">
        <v>3309</v>
      </c>
      <c r="AF324" s="598" t="s">
        <v>321</v>
      </c>
      <c r="AG324" s="598" t="s">
        <v>321</v>
      </c>
      <c r="AH324" s="598" t="s">
        <v>3309</v>
      </c>
      <c r="AI324" s="598" t="s">
        <v>321</v>
      </c>
      <c r="AJ324" s="599">
        <v>21</v>
      </c>
      <c r="AK324" s="600">
        <v>21</v>
      </c>
      <c r="AL324" s="601">
        <v>0</v>
      </c>
      <c r="AM324" s="601">
        <v>0</v>
      </c>
      <c r="AN324" s="599">
        <v>21</v>
      </c>
    </row>
    <row r="325" spans="1:40" ht="16.5" customHeight="1">
      <c r="A325" s="598" t="s">
        <v>3307</v>
      </c>
      <c r="B325" s="598" t="s">
        <v>3326</v>
      </c>
      <c r="C325" s="598" t="s">
        <v>1694</v>
      </c>
      <c r="D325" s="598" t="s">
        <v>941</v>
      </c>
      <c r="E325" s="598" t="s">
        <v>321</v>
      </c>
      <c r="F325" s="598" t="s">
        <v>3309</v>
      </c>
      <c r="G325" s="598" t="s">
        <v>3309</v>
      </c>
      <c r="H325" s="598" t="s">
        <v>3309</v>
      </c>
      <c r="I325" s="598" t="s">
        <v>3309</v>
      </c>
      <c r="J325" s="598" t="s">
        <v>3309</v>
      </c>
      <c r="K325" s="598" t="s">
        <v>321</v>
      </c>
      <c r="L325" s="598" t="s">
        <v>321</v>
      </c>
      <c r="M325" s="598" t="s">
        <v>3309</v>
      </c>
      <c r="N325" s="598" t="s">
        <v>3309</v>
      </c>
      <c r="O325" s="598" t="s">
        <v>3309</v>
      </c>
      <c r="P325" s="598" t="s">
        <v>3309</v>
      </c>
      <c r="Q325" s="598" t="s">
        <v>3309</v>
      </c>
      <c r="R325" s="598" t="s">
        <v>321</v>
      </c>
      <c r="S325" s="598" t="s">
        <v>321</v>
      </c>
      <c r="T325" s="598" t="s">
        <v>3309</v>
      </c>
      <c r="U325" s="598" t="s">
        <v>3309</v>
      </c>
      <c r="V325" s="598" t="s">
        <v>3309</v>
      </c>
      <c r="W325" s="598" t="s">
        <v>3309</v>
      </c>
      <c r="X325" s="598" t="s">
        <v>3309</v>
      </c>
      <c r="Y325" s="598" t="s">
        <v>321</v>
      </c>
      <c r="Z325" s="598" t="s">
        <v>321</v>
      </c>
      <c r="AA325" s="598" t="s">
        <v>3309</v>
      </c>
      <c r="AB325" s="598" t="s">
        <v>3309</v>
      </c>
      <c r="AC325" s="598" t="s">
        <v>3309</v>
      </c>
      <c r="AD325" s="598" t="s">
        <v>3309</v>
      </c>
      <c r="AE325" s="598" t="s">
        <v>3309</v>
      </c>
      <c r="AF325" s="598" t="s">
        <v>321</v>
      </c>
      <c r="AG325" s="598" t="s">
        <v>321</v>
      </c>
      <c r="AH325" s="598" t="s">
        <v>3309</v>
      </c>
      <c r="AI325" s="598" t="s">
        <v>321</v>
      </c>
      <c r="AJ325" s="599">
        <v>21</v>
      </c>
      <c r="AK325" s="600">
        <v>21</v>
      </c>
      <c r="AL325" s="601">
        <v>0</v>
      </c>
      <c r="AM325" s="601">
        <v>0</v>
      </c>
      <c r="AN325" s="599">
        <v>21</v>
      </c>
    </row>
    <row r="326" spans="1:40" ht="16.5" customHeight="1">
      <c r="A326" s="598" t="s">
        <v>3307</v>
      </c>
      <c r="B326" s="598" t="s">
        <v>3326</v>
      </c>
      <c r="C326" s="598" t="s">
        <v>2781</v>
      </c>
      <c r="D326" s="598" t="s">
        <v>2782</v>
      </c>
      <c r="E326" s="598" t="s">
        <v>321</v>
      </c>
      <c r="F326" s="598" t="s">
        <v>3309</v>
      </c>
      <c r="G326" s="598" t="s">
        <v>3309</v>
      </c>
      <c r="H326" s="598" t="s">
        <v>3309</v>
      </c>
      <c r="I326" s="598" t="s">
        <v>3309</v>
      </c>
      <c r="J326" s="598" t="s">
        <v>3309</v>
      </c>
      <c r="K326" s="598" t="s">
        <v>321</v>
      </c>
      <c r="L326" s="598" t="s">
        <v>321</v>
      </c>
      <c r="M326" s="598" t="s">
        <v>3309</v>
      </c>
      <c r="N326" s="598" t="s">
        <v>3309</v>
      </c>
      <c r="O326" s="598" t="s">
        <v>3309</v>
      </c>
      <c r="P326" s="598" t="s">
        <v>3309</v>
      </c>
      <c r="Q326" s="598" t="s">
        <v>3309</v>
      </c>
      <c r="R326" s="598" t="s">
        <v>321</v>
      </c>
      <c r="S326" s="598" t="s">
        <v>321</v>
      </c>
      <c r="T326" s="598" t="s">
        <v>3309</v>
      </c>
      <c r="U326" s="598" t="s">
        <v>3309</v>
      </c>
      <c r="V326" s="598" t="s">
        <v>3309</v>
      </c>
      <c r="W326" s="598" t="s">
        <v>3309</v>
      </c>
      <c r="X326" s="598" t="s">
        <v>3309</v>
      </c>
      <c r="Y326" s="598" t="s">
        <v>321</v>
      </c>
      <c r="Z326" s="598" t="s">
        <v>321</v>
      </c>
      <c r="AA326" s="598" t="s">
        <v>3309</v>
      </c>
      <c r="AB326" s="598" t="s">
        <v>3309</v>
      </c>
      <c r="AC326" s="598" t="s">
        <v>3309</v>
      </c>
      <c r="AD326" s="598" t="s">
        <v>3309</v>
      </c>
      <c r="AE326" s="598" t="s">
        <v>3309</v>
      </c>
      <c r="AF326" s="598" t="s">
        <v>321</v>
      </c>
      <c r="AG326" s="598" t="s">
        <v>321</v>
      </c>
      <c r="AH326" s="598" t="s">
        <v>3309</v>
      </c>
      <c r="AI326" s="598" t="s">
        <v>321</v>
      </c>
      <c r="AJ326" s="599">
        <v>21</v>
      </c>
      <c r="AK326" s="600">
        <v>21</v>
      </c>
      <c r="AL326" s="601">
        <v>0</v>
      </c>
      <c r="AM326" s="601">
        <v>0</v>
      </c>
      <c r="AN326" s="599">
        <v>21</v>
      </c>
    </row>
    <row r="327" spans="1:40" ht="16.5" customHeight="1">
      <c r="A327" s="598" t="s">
        <v>3307</v>
      </c>
      <c r="B327" s="598" t="s">
        <v>3326</v>
      </c>
      <c r="C327" s="598" t="s">
        <v>1893</v>
      </c>
      <c r="D327" s="598" t="s">
        <v>1894</v>
      </c>
      <c r="E327" s="598" t="s">
        <v>321</v>
      </c>
      <c r="F327" s="598" t="s">
        <v>3309</v>
      </c>
      <c r="G327" s="598" t="s">
        <v>3309</v>
      </c>
      <c r="H327" s="598" t="s">
        <v>3309</v>
      </c>
      <c r="I327" s="598" t="s">
        <v>3309</v>
      </c>
      <c r="J327" s="598" t="s">
        <v>3309</v>
      </c>
      <c r="K327" s="598" t="s">
        <v>321</v>
      </c>
      <c r="L327" s="598" t="s">
        <v>321</v>
      </c>
      <c r="M327" s="598" t="s">
        <v>3309</v>
      </c>
      <c r="N327" s="598" t="s">
        <v>3309</v>
      </c>
      <c r="O327" s="598" t="s">
        <v>3309</v>
      </c>
      <c r="P327" s="598" t="s">
        <v>3309</v>
      </c>
      <c r="Q327" s="598" t="s">
        <v>3309</v>
      </c>
      <c r="R327" s="598" t="s">
        <v>321</v>
      </c>
      <c r="S327" s="598" t="s">
        <v>321</v>
      </c>
      <c r="T327" s="598" t="s">
        <v>3309</v>
      </c>
      <c r="U327" s="598" t="s">
        <v>3309</v>
      </c>
      <c r="V327" s="598" t="s">
        <v>3309</v>
      </c>
      <c r="W327" s="598" t="s">
        <v>3309</v>
      </c>
      <c r="X327" s="598" t="s">
        <v>3309</v>
      </c>
      <c r="Y327" s="598" t="s">
        <v>321</v>
      </c>
      <c r="Z327" s="598" t="s">
        <v>321</v>
      </c>
      <c r="AA327" s="598" t="s">
        <v>3309</v>
      </c>
      <c r="AB327" s="598" t="s">
        <v>3309</v>
      </c>
      <c r="AC327" s="598" t="s">
        <v>3309</v>
      </c>
      <c r="AD327" s="598" t="s">
        <v>3309</v>
      </c>
      <c r="AE327" s="598" t="s">
        <v>3309</v>
      </c>
      <c r="AF327" s="598" t="s">
        <v>321</v>
      </c>
      <c r="AG327" s="598" t="s">
        <v>321</v>
      </c>
      <c r="AH327" s="598" t="s">
        <v>3309</v>
      </c>
      <c r="AI327" s="598" t="s">
        <v>321</v>
      </c>
      <c r="AJ327" s="599">
        <v>21</v>
      </c>
      <c r="AK327" s="600">
        <v>21</v>
      </c>
      <c r="AL327" s="601">
        <v>0</v>
      </c>
      <c r="AM327" s="601">
        <v>0</v>
      </c>
      <c r="AN327" s="599">
        <v>21</v>
      </c>
    </row>
    <row r="328" spans="1:40" ht="16.5" customHeight="1">
      <c r="A328" s="598" t="s">
        <v>3307</v>
      </c>
      <c r="B328" s="598" t="s">
        <v>3326</v>
      </c>
      <c r="C328" s="598" t="s">
        <v>3011</v>
      </c>
      <c r="D328" s="598" t="s">
        <v>3012</v>
      </c>
      <c r="E328" s="598" t="s">
        <v>321</v>
      </c>
      <c r="F328" s="598" t="s">
        <v>3309</v>
      </c>
      <c r="G328" s="598" t="s">
        <v>3309</v>
      </c>
      <c r="H328" s="598" t="s">
        <v>3309</v>
      </c>
      <c r="I328" s="598" t="s">
        <v>3309</v>
      </c>
      <c r="J328" s="598" t="s">
        <v>3309</v>
      </c>
      <c r="K328" s="598" t="s">
        <v>321</v>
      </c>
      <c r="L328" s="598" t="s">
        <v>321</v>
      </c>
      <c r="M328" s="598" t="s">
        <v>3309</v>
      </c>
      <c r="N328" s="598" t="s">
        <v>3309</v>
      </c>
      <c r="O328" s="598" t="s">
        <v>3309</v>
      </c>
      <c r="P328" s="598" t="s">
        <v>3309</v>
      </c>
      <c r="Q328" s="598" t="s">
        <v>3309</v>
      </c>
      <c r="R328" s="598" t="s">
        <v>321</v>
      </c>
      <c r="S328" s="598" t="s">
        <v>321</v>
      </c>
      <c r="T328" s="598" t="s">
        <v>3309</v>
      </c>
      <c r="U328" s="598" t="s">
        <v>3309</v>
      </c>
      <c r="V328" s="598" t="s">
        <v>3309</v>
      </c>
      <c r="W328" s="598" t="s">
        <v>3309</v>
      </c>
      <c r="X328" s="598" t="s">
        <v>3309</v>
      </c>
      <c r="Y328" s="598" t="s">
        <v>321</v>
      </c>
      <c r="Z328" s="598" t="s">
        <v>321</v>
      </c>
      <c r="AA328" s="598" t="s">
        <v>3309</v>
      </c>
      <c r="AB328" s="598" t="s">
        <v>3309</v>
      </c>
      <c r="AC328" s="598" t="s">
        <v>3309</v>
      </c>
      <c r="AD328" s="598" t="s">
        <v>3309</v>
      </c>
      <c r="AE328" s="598" t="s">
        <v>3309</v>
      </c>
      <c r="AF328" s="598" t="s">
        <v>321</v>
      </c>
      <c r="AG328" s="598" t="s">
        <v>321</v>
      </c>
      <c r="AH328" s="598" t="s">
        <v>3309</v>
      </c>
      <c r="AI328" s="598" t="s">
        <v>321</v>
      </c>
      <c r="AJ328" s="599">
        <v>21</v>
      </c>
      <c r="AK328" s="600">
        <v>21</v>
      </c>
      <c r="AL328" s="601">
        <v>0</v>
      </c>
      <c r="AM328" s="601">
        <v>0</v>
      </c>
      <c r="AN328" s="599">
        <v>21</v>
      </c>
    </row>
    <row r="329" spans="1:40" ht="16.5" customHeight="1">
      <c r="A329" s="598" t="s">
        <v>3307</v>
      </c>
      <c r="B329" s="598" t="s">
        <v>3326</v>
      </c>
      <c r="C329" s="598" t="s">
        <v>2913</v>
      </c>
      <c r="D329" s="598" t="s">
        <v>2914</v>
      </c>
      <c r="E329" s="598" t="s">
        <v>321</v>
      </c>
      <c r="F329" s="598" t="s">
        <v>3309</v>
      </c>
      <c r="G329" s="598" t="s">
        <v>3309</v>
      </c>
      <c r="H329" s="598" t="s">
        <v>3309</v>
      </c>
      <c r="I329" s="598" t="s">
        <v>3309</v>
      </c>
      <c r="J329" s="598" t="s">
        <v>3309</v>
      </c>
      <c r="K329" s="598" t="s">
        <v>321</v>
      </c>
      <c r="L329" s="598" t="s">
        <v>321</v>
      </c>
      <c r="M329" s="598" t="s">
        <v>3309</v>
      </c>
      <c r="N329" s="598" t="s">
        <v>3309</v>
      </c>
      <c r="O329" s="598" t="s">
        <v>3309</v>
      </c>
      <c r="P329" s="598" t="s">
        <v>3309</v>
      </c>
      <c r="Q329" s="598" t="s">
        <v>3309</v>
      </c>
      <c r="R329" s="598" t="s">
        <v>321</v>
      </c>
      <c r="S329" s="598" t="s">
        <v>321</v>
      </c>
      <c r="T329" s="598" t="s">
        <v>3309</v>
      </c>
      <c r="U329" s="598" t="s">
        <v>3309</v>
      </c>
      <c r="V329" s="598" t="s">
        <v>3309</v>
      </c>
      <c r="W329" s="598" t="s">
        <v>3309</v>
      </c>
      <c r="X329" s="598" t="s">
        <v>3309</v>
      </c>
      <c r="Y329" s="598" t="s">
        <v>321</v>
      </c>
      <c r="Z329" s="598" t="s">
        <v>321</v>
      </c>
      <c r="AA329" s="598" t="s">
        <v>3309</v>
      </c>
      <c r="AB329" s="598" t="s">
        <v>3309</v>
      </c>
      <c r="AC329" s="598" t="s">
        <v>3309</v>
      </c>
      <c r="AD329" s="598" t="s">
        <v>3309</v>
      </c>
      <c r="AE329" s="598" t="s">
        <v>3309</v>
      </c>
      <c r="AF329" s="598" t="s">
        <v>321</v>
      </c>
      <c r="AG329" s="598" t="s">
        <v>321</v>
      </c>
      <c r="AH329" s="598" t="s">
        <v>3309</v>
      </c>
      <c r="AI329" s="598" t="s">
        <v>321</v>
      </c>
      <c r="AJ329" s="599">
        <v>21</v>
      </c>
      <c r="AK329" s="600">
        <v>21</v>
      </c>
      <c r="AL329" s="601">
        <v>0</v>
      </c>
      <c r="AM329" s="601">
        <v>0</v>
      </c>
      <c r="AN329" s="599">
        <v>21</v>
      </c>
    </row>
    <row r="330" spans="1:40" ht="16.5" customHeight="1">
      <c r="A330" s="598" t="s">
        <v>3307</v>
      </c>
      <c r="B330" s="598" t="s">
        <v>3326</v>
      </c>
      <c r="C330" s="598" t="s">
        <v>2269</v>
      </c>
      <c r="D330" s="598" t="s">
        <v>2270</v>
      </c>
      <c r="E330" s="598" t="s">
        <v>321</v>
      </c>
      <c r="F330" s="598" t="s">
        <v>3309</v>
      </c>
      <c r="G330" s="598" t="s">
        <v>3309</v>
      </c>
      <c r="H330" s="598" t="s">
        <v>3309</v>
      </c>
      <c r="I330" s="598" t="s">
        <v>3309</v>
      </c>
      <c r="J330" s="598" t="s">
        <v>3309</v>
      </c>
      <c r="K330" s="598" t="s">
        <v>321</v>
      </c>
      <c r="L330" s="598" t="s">
        <v>321</v>
      </c>
      <c r="M330" s="598" t="s">
        <v>3309</v>
      </c>
      <c r="N330" s="598" t="s">
        <v>3309</v>
      </c>
      <c r="O330" s="598" t="s">
        <v>3309</v>
      </c>
      <c r="P330" s="598" t="s">
        <v>3309</v>
      </c>
      <c r="Q330" s="598" t="s">
        <v>3309</v>
      </c>
      <c r="R330" s="598" t="s">
        <v>321</v>
      </c>
      <c r="S330" s="598" t="s">
        <v>321</v>
      </c>
      <c r="T330" s="598" t="s">
        <v>3309</v>
      </c>
      <c r="U330" s="598" t="s">
        <v>3309</v>
      </c>
      <c r="V330" s="598" t="s">
        <v>3309</v>
      </c>
      <c r="W330" s="598" t="s">
        <v>3309</v>
      </c>
      <c r="X330" s="598" t="s">
        <v>3309</v>
      </c>
      <c r="Y330" s="598" t="s">
        <v>321</v>
      </c>
      <c r="Z330" s="598" t="s">
        <v>321</v>
      </c>
      <c r="AA330" s="598" t="s">
        <v>3309</v>
      </c>
      <c r="AB330" s="598" t="s">
        <v>3309</v>
      </c>
      <c r="AC330" s="598" t="s">
        <v>3309</v>
      </c>
      <c r="AD330" s="598" t="s">
        <v>3309</v>
      </c>
      <c r="AE330" s="598" t="s">
        <v>3309</v>
      </c>
      <c r="AF330" s="598" t="s">
        <v>321</v>
      </c>
      <c r="AG330" s="598" t="s">
        <v>321</v>
      </c>
      <c r="AH330" s="598" t="s">
        <v>3309</v>
      </c>
      <c r="AI330" s="598" t="s">
        <v>321</v>
      </c>
      <c r="AJ330" s="599">
        <v>21</v>
      </c>
      <c r="AK330" s="600">
        <v>21</v>
      </c>
      <c r="AL330" s="601">
        <v>0</v>
      </c>
      <c r="AM330" s="601">
        <v>0</v>
      </c>
      <c r="AN330" s="599">
        <v>21</v>
      </c>
    </row>
    <row r="331" spans="1:40" ht="16.5" customHeight="1">
      <c r="A331" s="598" t="s">
        <v>3307</v>
      </c>
      <c r="B331" s="598" t="s">
        <v>3326</v>
      </c>
      <c r="C331" s="598" t="s">
        <v>1001</v>
      </c>
      <c r="D331" s="598" t="s">
        <v>1002</v>
      </c>
      <c r="E331" s="598" t="s">
        <v>321</v>
      </c>
      <c r="F331" s="598" t="s">
        <v>3309</v>
      </c>
      <c r="G331" s="598" t="s">
        <v>3309</v>
      </c>
      <c r="H331" s="598" t="s">
        <v>3309</v>
      </c>
      <c r="I331" s="598" t="s">
        <v>3309</v>
      </c>
      <c r="J331" s="598" t="s">
        <v>3309</v>
      </c>
      <c r="K331" s="598" t="s">
        <v>321</v>
      </c>
      <c r="L331" s="598" t="s">
        <v>321</v>
      </c>
      <c r="M331" s="598" t="s">
        <v>3309</v>
      </c>
      <c r="N331" s="598" t="s">
        <v>3309</v>
      </c>
      <c r="O331" s="598" t="s">
        <v>3309</v>
      </c>
      <c r="P331" s="598" t="s">
        <v>3309</v>
      </c>
      <c r="Q331" s="598" t="s">
        <v>3309</v>
      </c>
      <c r="R331" s="598" t="s">
        <v>321</v>
      </c>
      <c r="S331" s="598" t="s">
        <v>321</v>
      </c>
      <c r="T331" s="598" t="s">
        <v>3309</v>
      </c>
      <c r="U331" s="598" t="s">
        <v>3309</v>
      </c>
      <c r="V331" s="598" t="s">
        <v>3309</v>
      </c>
      <c r="W331" s="598" t="s">
        <v>3309</v>
      </c>
      <c r="X331" s="598" t="s">
        <v>3309</v>
      </c>
      <c r="Y331" s="598" t="s">
        <v>321</v>
      </c>
      <c r="Z331" s="598" t="s">
        <v>321</v>
      </c>
      <c r="AA331" s="598" t="s">
        <v>3309</v>
      </c>
      <c r="AB331" s="598" t="s">
        <v>3309</v>
      </c>
      <c r="AC331" s="598" t="s">
        <v>3309</v>
      </c>
      <c r="AD331" s="598" t="s">
        <v>3309</v>
      </c>
      <c r="AE331" s="598" t="s">
        <v>3309</v>
      </c>
      <c r="AF331" s="598" t="s">
        <v>321</v>
      </c>
      <c r="AG331" s="598" t="s">
        <v>321</v>
      </c>
      <c r="AH331" s="598" t="s">
        <v>3309</v>
      </c>
      <c r="AI331" s="598" t="s">
        <v>321</v>
      </c>
      <c r="AJ331" s="599">
        <v>21</v>
      </c>
      <c r="AK331" s="600">
        <v>21</v>
      </c>
      <c r="AL331" s="601">
        <v>0</v>
      </c>
      <c r="AM331" s="601">
        <v>0</v>
      </c>
      <c r="AN331" s="599">
        <v>21</v>
      </c>
    </row>
    <row r="332" spans="1:40" ht="16.5" customHeight="1">
      <c r="A332" s="598" t="s">
        <v>3307</v>
      </c>
      <c r="B332" s="598" t="s">
        <v>3326</v>
      </c>
      <c r="C332" s="598" t="s">
        <v>1368</v>
      </c>
      <c r="D332" s="598" t="s">
        <v>1369</v>
      </c>
      <c r="E332" s="598" t="s">
        <v>321</v>
      </c>
      <c r="F332" s="598" t="s">
        <v>3309</v>
      </c>
      <c r="G332" s="598" t="s">
        <v>3309</v>
      </c>
      <c r="H332" s="598" t="s">
        <v>3309</v>
      </c>
      <c r="I332" s="598" t="s">
        <v>3309</v>
      </c>
      <c r="J332" s="598" t="s">
        <v>3309</v>
      </c>
      <c r="K332" s="598" t="s">
        <v>321</v>
      </c>
      <c r="L332" s="598" t="s">
        <v>321</v>
      </c>
      <c r="M332" s="598" t="s">
        <v>3309</v>
      </c>
      <c r="N332" s="598" t="s">
        <v>3309</v>
      </c>
      <c r="O332" s="598" t="s">
        <v>3309</v>
      </c>
      <c r="P332" s="598" t="s">
        <v>3309</v>
      </c>
      <c r="Q332" s="598" t="s">
        <v>3309</v>
      </c>
      <c r="R332" s="598" t="s">
        <v>321</v>
      </c>
      <c r="S332" s="598" t="s">
        <v>321</v>
      </c>
      <c r="T332" s="598" t="s">
        <v>3309</v>
      </c>
      <c r="U332" s="598" t="s">
        <v>3309</v>
      </c>
      <c r="V332" s="598" t="s">
        <v>3309</v>
      </c>
      <c r="W332" s="598" t="s">
        <v>3309</v>
      </c>
      <c r="X332" s="598" t="s">
        <v>3309</v>
      </c>
      <c r="Y332" s="598" t="s">
        <v>321</v>
      </c>
      <c r="Z332" s="598" t="s">
        <v>321</v>
      </c>
      <c r="AA332" s="598" t="s">
        <v>3309</v>
      </c>
      <c r="AB332" s="598" t="s">
        <v>3309</v>
      </c>
      <c r="AC332" s="598" t="s">
        <v>3309</v>
      </c>
      <c r="AD332" s="598" t="s">
        <v>3309</v>
      </c>
      <c r="AE332" s="598" t="s">
        <v>3309</v>
      </c>
      <c r="AF332" s="598" t="s">
        <v>321</v>
      </c>
      <c r="AG332" s="598" t="s">
        <v>321</v>
      </c>
      <c r="AH332" s="598" t="s">
        <v>3309</v>
      </c>
      <c r="AI332" s="598" t="s">
        <v>321</v>
      </c>
      <c r="AJ332" s="599">
        <v>21</v>
      </c>
      <c r="AK332" s="600">
        <v>21</v>
      </c>
      <c r="AL332" s="601">
        <v>0</v>
      </c>
      <c r="AM332" s="601">
        <v>0</v>
      </c>
      <c r="AN332" s="599">
        <v>21</v>
      </c>
    </row>
    <row r="333" spans="1:40" ht="16.5" customHeight="1">
      <c r="A333" s="598" t="s">
        <v>3307</v>
      </c>
      <c r="B333" s="598" t="s">
        <v>3326</v>
      </c>
      <c r="C333" s="598" t="s">
        <v>3017</v>
      </c>
      <c r="D333" s="598" t="s">
        <v>3018</v>
      </c>
      <c r="E333" s="598" t="s">
        <v>321</v>
      </c>
      <c r="F333" s="598" t="s">
        <v>3309</v>
      </c>
      <c r="G333" s="598" t="s">
        <v>3309</v>
      </c>
      <c r="H333" s="598" t="s">
        <v>3309</v>
      </c>
      <c r="I333" s="598" t="s">
        <v>3309</v>
      </c>
      <c r="J333" s="598" t="s">
        <v>3309</v>
      </c>
      <c r="K333" s="598" t="s">
        <v>321</v>
      </c>
      <c r="L333" s="598" t="s">
        <v>321</v>
      </c>
      <c r="M333" s="598" t="s">
        <v>3309</v>
      </c>
      <c r="N333" s="598" t="s">
        <v>3309</v>
      </c>
      <c r="O333" s="598" t="s">
        <v>3309</v>
      </c>
      <c r="P333" s="598" t="s">
        <v>3309</v>
      </c>
      <c r="Q333" s="598" t="s">
        <v>3309</v>
      </c>
      <c r="R333" s="598" t="s">
        <v>321</v>
      </c>
      <c r="S333" s="598" t="s">
        <v>321</v>
      </c>
      <c r="T333" s="598" t="s">
        <v>3309</v>
      </c>
      <c r="U333" s="598" t="s">
        <v>3309</v>
      </c>
      <c r="V333" s="598" t="s">
        <v>3309</v>
      </c>
      <c r="W333" s="598" t="s">
        <v>3309</v>
      </c>
      <c r="X333" s="598" t="s">
        <v>3309</v>
      </c>
      <c r="Y333" s="598" t="s">
        <v>321</v>
      </c>
      <c r="Z333" s="598" t="s">
        <v>321</v>
      </c>
      <c r="AA333" s="598" t="s">
        <v>3309</v>
      </c>
      <c r="AB333" s="598" t="s">
        <v>3309</v>
      </c>
      <c r="AC333" s="598" t="s">
        <v>3309</v>
      </c>
      <c r="AD333" s="598" t="s">
        <v>3309</v>
      </c>
      <c r="AE333" s="598" t="s">
        <v>3309</v>
      </c>
      <c r="AF333" s="598" t="s">
        <v>321</v>
      </c>
      <c r="AG333" s="598" t="s">
        <v>321</v>
      </c>
      <c r="AH333" s="598" t="s">
        <v>3309</v>
      </c>
      <c r="AI333" s="598" t="s">
        <v>321</v>
      </c>
      <c r="AJ333" s="599">
        <v>21</v>
      </c>
      <c r="AK333" s="600">
        <v>21</v>
      </c>
      <c r="AL333" s="601">
        <v>0</v>
      </c>
      <c r="AM333" s="601">
        <v>0</v>
      </c>
      <c r="AN333" s="599">
        <v>21</v>
      </c>
    </row>
    <row r="334" spans="1:40" ht="16.5" customHeight="1">
      <c r="A334" s="598" t="s">
        <v>3307</v>
      </c>
      <c r="B334" s="598" t="s">
        <v>3326</v>
      </c>
      <c r="C334" s="598" t="s">
        <v>1581</v>
      </c>
      <c r="D334" s="598" t="s">
        <v>1582</v>
      </c>
      <c r="E334" s="598" t="s">
        <v>321</v>
      </c>
      <c r="F334" s="598" t="s">
        <v>3309</v>
      </c>
      <c r="G334" s="598" t="s">
        <v>3313</v>
      </c>
      <c r="H334" s="598" t="s">
        <v>3312</v>
      </c>
      <c r="I334" s="598" t="s">
        <v>3312</v>
      </c>
      <c r="J334" s="598" t="s">
        <v>3312</v>
      </c>
      <c r="K334" s="598" t="s">
        <v>321</v>
      </c>
      <c r="L334" s="598" t="s">
        <v>321</v>
      </c>
      <c r="M334" s="598" t="s">
        <v>3309</v>
      </c>
      <c r="N334" s="598" t="s">
        <v>3309</v>
      </c>
      <c r="O334" s="598" t="s">
        <v>3309</v>
      </c>
      <c r="P334" s="598" t="s">
        <v>3309</v>
      </c>
      <c r="Q334" s="598" t="s">
        <v>3309</v>
      </c>
      <c r="R334" s="598" t="s">
        <v>321</v>
      </c>
      <c r="S334" s="598" t="s">
        <v>321</v>
      </c>
      <c r="T334" s="598" t="s">
        <v>3309</v>
      </c>
      <c r="U334" s="598" t="s">
        <v>3329</v>
      </c>
      <c r="V334" s="598" t="s">
        <v>3309</v>
      </c>
      <c r="W334" s="598" t="s">
        <v>3313</v>
      </c>
      <c r="X334" s="598" t="s">
        <v>3330</v>
      </c>
      <c r="Y334" s="598" t="s">
        <v>321</v>
      </c>
      <c r="Z334" s="598" t="s">
        <v>321</v>
      </c>
      <c r="AA334" s="598" t="s">
        <v>3309</v>
      </c>
      <c r="AB334" s="598" t="s">
        <v>3309</v>
      </c>
      <c r="AC334" s="598" t="s">
        <v>3329</v>
      </c>
      <c r="AD334" s="598" t="s">
        <v>3309</v>
      </c>
      <c r="AE334" s="598" t="s">
        <v>3309</v>
      </c>
      <c r="AF334" s="598" t="s">
        <v>321</v>
      </c>
      <c r="AG334" s="598" t="s">
        <v>321</v>
      </c>
      <c r="AH334" s="598" t="s">
        <v>3309</v>
      </c>
      <c r="AI334" s="598" t="s">
        <v>321</v>
      </c>
      <c r="AJ334" s="599">
        <v>21</v>
      </c>
      <c r="AK334" s="600">
        <v>17</v>
      </c>
      <c r="AL334" s="602">
        <v>3</v>
      </c>
      <c r="AM334" s="601">
        <v>0</v>
      </c>
      <c r="AN334" s="599">
        <v>20</v>
      </c>
    </row>
    <row r="335" spans="1:40" ht="16.5" customHeight="1">
      <c r="A335" s="598" t="s">
        <v>3307</v>
      </c>
      <c r="B335" s="598" t="s">
        <v>3326</v>
      </c>
      <c r="C335" s="598" t="s">
        <v>2959</v>
      </c>
      <c r="D335" s="598" t="s">
        <v>2960</v>
      </c>
      <c r="E335" s="598" t="s">
        <v>321</v>
      </c>
      <c r="F335" s="598" t="s">
        <v>3309</v>
      </c>
      <c r="G335" s="598" t="s">
        <v>3309</v>
      </c>
      <c r="H335" s="598" t="s">
        <v>3309</v>
      </c>
      <c r="I335" s="598" t="s">
        <v>3309</v>
      </c>
      <c r="J335" s="598" t="s">
        <v>3309</v>
      </c>
      <c r="K335" s="598" t="s">
        <v>321</v>
      </c>
      <c r="L335" s="598" t="s">
        <v>321</v>
      </c>
      <c r="M335" s="598" t="s">
        <v>3309</v>
      </c>
      <c r="N335" s="598" t="s">
        <v>3309</v>
      </c>
      <c r="O335" s="598" t="s">
        <v>3309</v>
      </c>
      <c r="P335" s="598" t="s">
        <v>3309</v>
      </c>
      <c r="Q335" s="598" t="s">
        <v>3309</v>
      </c>
      <c r="R335" s="598" t="s">
        <v>321</v>
      </c>
      <c r="S335" s="598" t="s">
        <v>321</v>
      </c>
      <c r="T335" s="598" t="s">
        <v>3309</v>
      </c>
      <c r="U335" s="598" t="s">
        <v>3309</v>
      </c>
      <c r="V335" s="598" t="s">
        <v>3309</v>
      </c>
      <c r="W335" s="598" t="s">
        <v>3309</v>
      </c>
      <c r="X335" s="598" t="s">
        <v>3309</v>
      </c>
      <c r="Y335" s="598" t="s">
        <v>321</v>
      </c>
      <c r="Z335" s="598" t="s">
        <v>321</v>
      </c>
      <c r="AA335" s="598" t="s">
        <v>3309</v>
      </c>
      <c r="AB335" s="598" t="s">
        <v>3309</v>
      </c>
      <c r="AC335" s="598" t="s">
        <v>3309</v>
      </c>
      <c r="AD335" s="598" t="s">
        <v>3309</v>
      </c>
      <c r="AE335" s="598" t="s">
        <v>3309</v>
      </c>
      <c r="AF335" s="598" t="s">
        <v>321</v>
      </c>
      <c r="AG335" s="598" t="s">
        <v>321</v>
      </c>
      <c r="AH335" s="598" t="s">
        <v>3309</v>
      </c>
      <c r="AI335" s="598" t="s">
        <v>321</v>
      </c>
      <c r="AJ335" s="599">
        <v>21</v>
      </c>
      <c r="AK335" s="600">
        <v>21</v>
      </c>
      <c r="AL335" s="601">
        <v>0</v>
      </c>
      <c r="AM335" s="601">
        <v>0</v>
      </c>
      <c r="AN335" s="599">
        <v>21</v>
      </c>
    </row>
    <row r="336" spans="1:40" ht="16.5" customHeight="1">
      <c r="A336" s="598" t="s">
        <v>3307</v>
      </c>
      <c r="B336" s="598" t="s">
        <v>3326</v>
      </c>
      <c r="C336" s="598" t="s">
        <v>2629</v>
      </c>
      <c r="D336" s="598" t="s">
        <v>2630</v>
      </c>
      <c r="E336" s="598" t="s">
        <v>321</v>
      </c>
      <c r="F336" s="598" t="s">
        <v>3309</v>
      </c>
      <c r="G336" s="598" t="s">
        <v>3309</v>
      </c>
      <c r="H336" s="598" t="s">
        <v>3309</v>
      </c>
      <c r="I336" s="598" t="s">
        <v>3309</v>
      </c>
      <c r="J336" s="598" t="s">
        <v>3309</v>
      </c>
      <c r="K336" s="598" t="s">
        <v>321</v>
      </c>
      <c r="L336" s="598" t="s">
        <v>321</v>
      </c>
      <c r="M336" s="598" t="s">
        <v>3309</v>
      </c>
      <c r="N336" s="598" t="s">
        <v>3309</v>
      </c>
      <c r="O336" s="598" t="s">
        <v>3309</v>
      </c>
      <c r="P336" s="598" t="s">
        <v>3309</v>
      </c>
      <c r="Q336" s="598" t="s">
        <v>3309</v>
      </c>
      <c r="R336" s="598" t="s">
        <v>321</v>
      </c>
      <c r="S336" s="598" t="s">
        <v>321</v>
      </c>
      <c r="T336" s="598" t="s">
        <v>3309</v>
      </c>
      <c r="U336" s="598" t="s">
        <v>3309</v>
      </c>
      <c r="V336" s="598" t="s">
        <v>3309</v>
      </c>
      <c r="W336" s="598" t="s">
        <v>3309</v>
      </c>
      <c r="X336" s="598" t="s">
        <v>3309</v>
      </c>
      <c r="Y336" s="598" t="s">
        <v>321</v>
      </c>
      <c r="Z336" s="598" t="s">
        <v>321</v>
      </c>
      <c r="AA336" s="598" t="s">
        <v>3309</v>
      </c>
      <c r="AB336" s="598" t="s">
        <v>3309</v>
      </c>
      <c r="AC336" s="598" t="s">
        <v>3309</v>
      </c>
      <c r="AD336" s="598" t="s">
        <v>3309</v>
      </c>
      <c r="AE336" s="598" t="s">
        <v>3309</v>
      </c>
      <c r="AF336" s="598" t="s">
        <v>321</v>
      </c>
      <c r="AG336" s="598" t="s">
        <v>321</v>
      </c>
      <c r="AH336" s="598" t="s">
        <v>3309</v>
      </c>
      <c r="AI336" s="598" t="s">
        <v>321</v>
      </c>
      <c r="AJ336" s="599">
        <v>21</v>
      </c>
      <c r="AK336" s="600">
        <v>21</v>
      </c>
      <c r="AL336" s="601">
        <v>0</v>
      </c>
      <c r="AM336" s="601">
        <v>0</v>
      </c>
      <c r="AN336" s="599">
        <v>21</v>
      </c>
    </row>
    <row r="337" spans="1:40" ht="16.5" customHeight="1">
      <c r="A337" s="598" t="s">
        <v>3307</v>
      </c>
      <c r="B337" s="598" t="s">
        <v>3326</v>
      </c>
      <c r="C337" s="598" t="s">
        <v>1512</v>
      </c>
      <c r="D337" s="598" t="s">
        <v>1513</v>
      </c>
      <c r="E337" s="598" t="s">
        <v>321</v>
      </c>
      <c r="F337" s="598" t="s">
        <v>3309</v>
      </c>
      <c r="G337" s="598" t="s">
        <v>3309</v>
      </c>
      <c r="H337" s="598" t="s">
        <v>3309</v>
      </c>
      <c r="I337" s="598" t="s">
        <v>3309</v>
      </c>
      <c r="J337" s="598" t="s">
        <v>3309</v>
      </c>
      <c r="K337" s="598" t="s">
        <v>321</v>
      </c>
      <c r="L337" s="598" t="s">
        <v>321</v>
      </c>
      <c r="M337" s="598" t="s">
        <v>3309</v>
      </c>
      <c r="N337" s="598" t="s">
        <v>3309</v>
      </c>
      <c r="O337" s="598" t="s">
        <v>3309</v>
      </c>
      <c r="P337" s="598" t="s">
        <v>3309</v>
      </c>
      <c r="Q337" s="598" t="s">
        <v>3309</v>
      </c>
      <c r="R337" s="598" t="s">
        <v>321</v>
      </c>
      <c r="S337" s="598" t="s">
        <v>321</v>
      </c>
      <c r="T337" s="598" t="s">
        <v>3309</v>
      </c>
      <c r="U337" s="598" t="s">
        <v>3309</v>
      </c>
      <c r="V337" s="598" t="s">
        <v>3309</v>
      </c>
      <c r="W337" s="598" t="s">
        <v>3309</v>
      </c>
      <c r="X337" s="598" t="s">
        <v>3309</v>
      </c>
      <c r="Y337" s="598" t="s">
        <v>321</v>
      </c>
      <c r="Z337" s="598" t="s">
        <v>321</v>
      </c>
      <c r="AA337" s="598" t="s">
        <v>3309</v>
      </c>
      <c r="AB337" s="598" t="s">
        <v>3309</v>
      </c>
      <c r="AC337" s="598" t="s">
        <v>3309</v>
      </c>
      <c r="AD337" s="598" t="s">
        <v>3309</v>
      </c>
      <c r="AE337" s="598" t="s">
        <v>3309</v>
      </c>
      <c r="AF337" s="598" t="s">
        <v>321</v>
      </c>
      <c r="AG337" s="598" t="s">
        <v>321</v>
      </c>
      <c r="AH337" s="598" t="s">
        <v>3309</v>
      </c>
      <c r="AI337" s="598" t="s">
        <v>321</v>
      </c>
      <c r="AJ337" s="599">
        <v>21</v>
      </c>
      <c r="AK337" s="600">
        <v>21</v>
      </c>
      <c r="AL337" s="601">
        <v>0</v>
      </c>
      <c r="AM337" s="601">
        <v>0</v>
      </c>
      <c r="AN337" s="599">
        <v>21</v>
      </c>
    </row>
    <row r="338" spans="1:40" ht="16.5" customHeight="1">
      <c r="A338" s="598" t="s">
        <v>3307</v>
      </c>
      <c r="B338" s="598" t="s">
        <v>3326</v>
      </c>
      <c r="C338" s="598" t="s">
        <v>2822</v>
      </c>
      <c r="D338" s="598" t="s">
        <v>2823</v>
      </c>
      <c r="E338" s="598" t="s">
        <v>321</v>
      </c>
      <c r="F338" s="598" t="s">
        <v>3309</v>
      </c>
      <c r="G338" s="598" t="s">
        <v>3309</v>
      </c>
      <c r="H338" s="598" t="s">
        <v>3309</v>
      </c>
      <c r="I338" s="598" t="s">
        <v>3309</v>
      </c>
      <c r="J338" s="598" t="s">
        <v>3309</v>
      </c>
      <c r="K338" s="598" t="s">
        <v>321</v>
      </c>
      <c r="L338" s="598" t="s">
        <v>321</v>
      </c>
      <c r="M338" s="598" t="s">
        <v>3309</v>
      </c>
      <c r="N338" s="598" t="s">
        <v>3309</v>
      </c>
      <c r="O338" s="598" t="s">
        <v>3309</v>
      </c>
      <c r="P338" s="598" t="s">
        <v>3309</v>
      </c>
      <c r="Q338" s="598" t="s">
        <v>3309</v>
      </c>
      <c r="R338" s="598" t="s">
        <v>321</v>
      </c>
      <c r="S338" s="598" t="s">
        <v>321</v>
      </c>
      <c r="T338" s="598" t="s">
        <v>3309</v>
      </c>
      <c r="U338" s="598" t="s">
        <v>3309</v>
      </c>
      <c r="V338" s="598" t="s">
        <v>3309</v>
      </c>
      <c r="W338" s="598" t="s">
        <v>3309</v>
      </c>
      <c r="X338" s="598" t="s">
        <v>3309</v>
      </c>
      <c r="Y338" s="598" t="s">
        <v>321</v>
      </c>
      <c r="Z338" s="598" t="s">
        <v>321</v>
      </c>
      <c r="AA338" s="598" t="s">
        <v>3309</v>
      </c>
      <c r="AB338" s="598" t="s">
        <v>3309</v>
      </c>
      <c r="AC338" s="598" t="s">
        <v>3309</v>
      </c>
      <c r="AD338" s="598" t="s">
        <v>3309</v>
      </c>
      <c r="AE338" s="598" t="s">
        <v>3309</v>
      </c>
      <c r="AF338" s="598" t="s">
        <v>321</v>
      </c>
      <c r="AG338" s="598" t="s">
        <v>321</v>
      </c>
      <c r="AH338" s="598" t="s">
        <v>3309</v>
      </c>
      <c r="AI338" s="598" t="s">
        <v>321</v>
      </c>
      <c r="AJ338" s="599">
        <v>21</v>
      </c>
      <c r="AK338" s="600">
        <v>21</v>
      </c>
      <c r="AL338" s="601">
        <v>0</v>
      </c>
      <c r="AM338" s="601">
        <v>0</v>
      </c>
      <c r="AN338" s="599">
        <v>21</v>
      </c>
    </row>
    <row r="339" spans="1:40" ht="16.5" customHeight="1">
      <c r="A339" s="598" t="s">
        <v>3307</v>
      </c>
      <c r="B339" s="598" t="s">
        <v>3326</v>
      </c>
      <c r="C339" s="598" t="s">
        <v>1529</v>
      </c>
      <c r="D339" s="598" t="s">
        <v>1530</v>
      </c>
      <c r="E339" s="598" t="s">
        <v>321</v>
      </c>
      <c r="F339" s="598" t="s">
        <v>3309</v>
      </c>
      <c r="G339" s="598" t="s">
        <v>3309</v>
      </c>
      <c r="H339" s="598" t="s">
        <v>3309</v>
      </c>
      <c r="I339" s="598" t="s">
        <v>3309</v>
      </c>
      <c r="J339" s="598" t="s">
        <v>3309</v>
      </c>
      <c r="K339" s="598" t="s">
        <v>321</v>
      </c>
      <c r="L339" s="598" t="s">
        <v>321</v>
      </c>
      <c r="M339" s="598" t="s">
        <v>3309</v>
      </c>
      <c r="N339" s="598" t="s">
        <v>3309</v>
      </c>
      <c r="O339" s="598" t="s">
        <v>3309</v>
      </c>
      <c r="P339" s="598" t="s">
        <v>3309</v>
      </c>
      <c r="Q339" s="598" t="s">
        <v>3309</v>
      </c>
      <c r="R339" s="598" t="s">
        <v>321</v>
      </c>
      <c r="S339" s="598" t="s">
        <v>321</v>
      </c>
      <c r="T339" s="598" t="s">
        <v>3309</v>
      </c>
      <c r="U339" s="598" t="s">
        <v>3309</v>
      </c>
      <c r="V339" s="598" t="s">
        <v>3309</v>
      </c>
      <c r="W339" s="598" t="s">
        <v>3309</v>
      </c>
      <c r="X339" s="598" t="s">
        <v>3309</v>
      </c>
      <c r="Y339" s="598" t="s">
        <v>321</v>
      </c>
      <c r="Z339" s="598" t="s">
        <v>321</v>
      </c>
      <c r="AA339" s="598" t="s">
        <v>3309</v>
      </c>
      <c r="AB339" s="598" t="s">
        <v>3309</v>
      </c>
      <c r="AC339" s="598" t="s">
        <v>3309</v>
      </c>
      <c r="AD339" s="598" t="s">
        <v>3309</v>
      </c>
      <c r="AE339" s="598" t="s">
        <v>3309</v>
      </c>
      <c r="AF339" s="598" t="s">
        <v>321</v>
      </c>
      <c r="AG339" s="598" t="s">
        <v>321</v>
      </c>
      <c r="AH339" s="598" t="s">
        <v>3309</v>
      </c>
      <c r="AI339" s="598" t="s">
        <v>321</v>
      </c>
      <c r="AJ339" s="599">
        <v>21</v>
      </c>
      <c r="AK339" s="600">
        <v>21</v>
      </c>
      <c r="AL339" s="601">
        <v>0</v>
      </c>
      <c r="AM339" s="601">
        <v>0</v>
      </c>
      <c r="AN339" s="599">
        <v>21</v>
      </c>
    </row>
    <row r="340" spans="1:40" ht="16.5" customHeight="1">
      <c r="A340" s="598" t="s">
        <v>3307</v>
      </c>
      <c r="B340" s="598" t="s">
        <v>3326</v>
      </c>
      <c r="C340" s="598" t="s">
        <v>2276</v>
      </c>
      <c r="D340" s="598" t="s">
        <v>2277</v>
      </c>
      <c r="E340" s="598" t="s">
        <v>321</v>
      </c>
      <c r="F340" s="598" t="s">
        <v>3309</v>
      </c>
      <c r="G340" s="598" t="s">
        <v>3309</v>
      </c>
      <c r="H340" s="598" t="s">
        <v>3309</v>
      </c>
      <c r="I340" s="598" t="s">
        <v>3309</v>
      </c>
      <c r="J340" s="598" t="s">
        <v>3309</v>
      </c>
      <c r="K340" s="598" t="s">
        <v>321</v>
      </c>
      <c r="L340" s="598" t="s">
        <v>321</v>
      </c>
      <c r="M340" s="598" t="s">
        <v>3312</v>
      </c>
      <c r="N340" s="598" t="s">
        <v>3309</v>
      </c>
      <c r="O340" s="598" t="s">
        <v>3309</v>
      </c>
      <c r="P340" s="598" t="s">
        <v>3309</v>
      </c>
      <c r="Q340" s="598" t="s">
        <v>3309</v>
      </c>
      <c r="R340" s="598" t="s">
        <v>321</v>
      </c>
      <c r="S340" s="598" t="s">
        <v>321</v>
      </c>
      <c r="T340" s="598" t="s">
        <v>3309</v>
      </c>
      <c r="U340" s="598" t="s">
        <v>3309</v>
      </c>
      <c r="V340" s="598" t="s">
        <v>3309</v>
      </c>
      <c r="W340" s="598" t="s">
        <v>3309</v>
      </c>
      <c r="X340" s="598" t="s">
        <v>3309</v>
      </c>
      <c r="Y340" s="598" t="s">
        <v>321</v>
      </c>
      <c r="Z340" s="598" t="s">
        <v>321</v>
      </c>
      <c r="AA340" s="598" t="s">
        <v>3309</v>
      </c>
      <c r="AB340" s="598" t="s">
        <v>3309</v>
      </c>
      <c r="AC340" s="598" t="s">
        <v>3309</v>
      </c>
      <c r="AD340" s="598" t="s">
        <v>3309</v>
      </c>
      <c r="AE340" s="598" t="s">
        <v>3309</v>
      </c>
      <c r="AF340" s="598" t="s">
        <v>321</v>
      </c>
      <c r="AG340" s="598" t="s">
        <v>321</v>
      </c>
      <c r="AH340" s="598" t="s">
        <v>3309</v>
      </c>
      <c r="AI340" s="598" t="s">
        <v>321</v>
      </c>
      <c r="AJ340" s="599">
        <v>21</v>
      </c>
      <c r="AK340" s="600">
        <v>20</v>
      </c>
      <c r="AL340" s="602">
        <v>1</v>
      </c>
      <c r="AM340" s="601">
        <v>0</v>
      </c>
      <c r="AN340" s="599">
        <v>21</v>
      </c>
    </row>
    <row r="341" spans="1:40" ht="16.5" customHeight="1">
      <c r="A341" s="598" t="s">
        <v>3307</v>
      </c>
      <c r="B341" s="598" t="s">
        <v>3326</v>
      </c>
      <c r="C341" s="598" t="s">
        <v>2138</v>
      </c>
      <c r="D341" s="598" t="s">
        <v>2139</v>
      </c>
      <c r="E341" s="598" t="s">
        <v>321</v>
      </c>
      <c r="F341" s="598" t="s">
        <v>3309</v>
      </c>
      <c r="G341" s="598" t="s">
        <v>3309</v>
      </c>
      <c r="H341" s="598" t="s">
        <v>3309</v>
      </c>
      <c r="I341" s="598" t="s">
        <v>3309</v>
      </c>
      <c r="J341" s="598" t="s">
        <v>3309</v>
      </c>
      <c r="K341" s="598" t="s">
        <v>321</v>
      </c>
      <c r="L341" s="598" t="s">
        <v>321</v>
      </c>
      <c r="M341" s="598" t="s">
        <v>3309</v>
      </c>
      <c r="N341" s="598" t="s">
        <v>3309</v>
      </c>
      <c r="O341" s="598" t="s">
        <v>3309</v>
      </c>
      <c r="P341" s="598" t="s">
        <v>3309</v>
      </c>
      <c r="Q341" s="598" t="s">
        <v>3309</v>
      </c>
      <c r="R341" s="598" t="s">
        <v>321</v>
      </c>
      <c r="S341" s="598" t="s">
        <v>321</v>
      </c>
      <c r="T341" s="598" t="s">
        <v>3309</v>
      </c>
      <c r="U341" s="598" t="s">
        <v>3309</v>
      </c>
      <c r="V341" s="598" t="s">
        <v>3309</v>
      </c>
      <c r="W341" s="598" t="s">
        <v>3309</v>
      </c>
      <c r="X341" s="598" t="s">
        <v>3309</v>
      </c>
      <c r="Y341" s="598" t="s">
        <v>321</v>
      </c>
      <c r="Z341" s="598" t="s">
        <v>321</v>
      </c>
      <c r="AA341" s="598" t="s">
        <v>3309</v>
      </c>
      <c r="AB341" s="598" t="s">
        <v>3309</v>
      </c>
      <c r="AC341" s="598" t="s">
        <v>3309</v>
      </c>
      <c r="AD341" s="598" t="s">
        <v>3309</v>
      </c>
      <c r="AE341" s="598" t="s">
        <v>3312</v>
      </c>
      <c r="AF341" s="598" t="s">
        <v>321</v>
      </c>
      <c r="AG341" s="598" t="s">
        <v>321</v>
      </c>
      <c r="AH341" s="598" t="s">
        <v>3309</v>
      </c>
      <c r="AI341" s="598" t="s">
        <v>321</v>
      </c>
      <c r="AJ341" s="599">
        <v>21</v>
      </c>
      <c r="AK341" s="600">
        <v>20</v>
      </c>
      <c r="AL341" s="602">
        <v>1</v>
      </c>
      <c r="AM341" s="601">
        <v>0</v>
      </c>
      <c r="AN341" s="599">
        <v>21</v>
      </c>
    </row>
    <row r="342" spans="1:40" ht="16.5" customHeight="1">
      <c r="A342" s="598" t="s">
        <v>3307</v>
      </c>
      <c r="B342" s="598" t="s">
        <v>3326</v>
      </c>
      <c r="C342" s="598" t="s">
        <v>2148</v>
      </c>
      <c r="D342" s="598" t="s">
        <v>2149</v>
      </c>
      <c r="E342" s="598" t="s">
        <v>321</v>
      </c>
      <c r="F342" s="598" t="s">
        <v>3309</v>
      </c>
      <c r="G342" s="598" t="s">
        <v>3309</v>
      </c>
      <c r="H342" s="598" t="s">
        <v>3309</v>
      </c>
      <c r="I342" s="598" t="s">
        <v>3309</v>
      </c>
      <c r="J342" s="598" t="s">
        <v>3309</v>
      </c>
      <c r="K342" s="598" t="s">
        <v>321</v>
      </c>
      <c r="L342" s="598" t="s">
        <v>321</v>
      </c>
      <c r="M342" s="598" t="s">
        <v>3309</v>
      </c>
      <c r="N342" s="598" t="s">
        <v>3309</v>
      </c>
      <c r="O342" s="598" t="s">
        <v>3309</v>
      </c>
      <c r="P342" s="598" t="s">
        <v>3309</v>
      </c>
      <c r="Q342" s="598" t="s">
        <v>3309</v>
      </c>
      <c r="R342" s="598" t="s">
        <v>321</v>
      </c>
      <c r="S342" s="598" t="s">
        <v>321</v>
      </c>
      <c r="T342" s="598" t="s">
        <v>3309</v>
      </c>
      <c r="U342" s="598" t="s">
        <v>3309</v>
      </c>
      <c r="V342" s="598" t="s">
        <v>3309</v>
      </c>
      <c r="W342" s="598" t="s">
        <v>3309</v>
      </c>
      <c r="X342" s="598" t="s">
        <v>3309</v>
      </c>
      <c r="Y342" s="598" t="s">
        <v>321</v>
      </c>
      <c r="Z342" s="598" t="s">
        <v>321</v>
      </c>
      <c r="AA342" s="598" t="s">
        <v>3309</v>
      </c>
      <c r="AB342" s="598" t="s">
        <v>3309</v>
      </c>
      <c r="AC342" s="598" t="s">
        <v>3309</v>
      </c>
      <c r="AD342" s="598" t="s">
        <v>3309</v>
      </c>
      <c r="AE342" s="598" t="s">
        <v>3309</v>
      </c>
      <c r="AF342" s="598" t="s">
        <v>321</v>
      </c>
      <c r="AG342" s="598" t="s">
        <v>321</v>
      </c>
      <c r="AH342" s="598" t="s">
        <v>3309</v>
      </c>
      <c r="AI342" s="598" t="s">
        <v>321</v>
      </c>
      <c r="AJ342" s="599">
        <v>21</v>
      </c>
      <c r="AK342" s="600">
        <v>21</v>
      </c>
      <c r="AL342" s="601">
        <v>0</v>
      </c>
      <c r="AM342" s="601">
        <v>0</v>
      </c>
      <c r="AN342" s="599">
        <v>21</v>
      </c>
    </row>
    <row r="343" spans="1:40" ht="16.5" customHeight="1">
      <c r="A343" s="598" t="s">
        <v>3307</v>
      </c>
      <c r="B343" s="598" t="s">
        <v>3326</v>
      </c>
      <c r="C343" s="598" t="s">
        <v>2299</v>
      </c>
      <c r="D343" s="598" t="s">
        <v>2300</v>
      </c>
      <c r="E343" s="598" t="s">
        <v>321</v>
      </c>
      <c r="F343" s="598" t="s">
        <v>3309</v>
      </c>
      <c r="G343" s="598" t="s">
        <v>3309</v>
      </c>
      <c r="H343" s="598" t="s">
        <v>3309</v>
      </c>
      <c r="I343" s="598" t="s">
        <v>3309</v>
      </c>
      <c r="J343" s="598" t="s">
        <v>3309</v>
      </c>
      <c r="K343" s="598" t="s">
        <v>321</v>
      </c>
      <c r="L343" s="598" t="s">
        <v>321</v>
      </c>
      <c r="M343" s="598" t="s">
        <v>3309</v>
      </c>
      <c r="N343" s="598" t="s">
        <v>3309</v>
      </c>
      <c r="O343" s="598" t="s">
        <v>3309</v>
      </c>
      <c r="P343" s="598" t="s">
        <v>3309</v>
      </c>
      <c r="Q343" s="598" t="s">
        <v>3309</v>
      </c>
      <c r="R343" s="598" t="s">
        <v>321</v>
      </c>
      <c r="S343" s="598" t="s">
        <v>321</v>
      </c>
      <c r="T343" s="598" t="s">
        <v>3309</v>
      </c>
      <c r="U343" s="598" t="s">
        <v>3309</v>
      </c>
      <c r="V343" s="598" t="s">
        <v>3309</v>
      </c>
      <c r="W343" s="598" t="s">
        <v>3309</v>
      </c>
      <c r="X343" s="598" t="s">
        <v>3309</v>
      </c>
      <c r="Y343" s="598" t="s">
        <v>321</v>
      </c>
      <c r="Z343" s="598" t="s">
        <v>321</v>
      </c>
      <c r="AA343" s="598" t="s">
        <v>3309</v>
      </c>
      <c r="AB343" s="598" t="s">
        <v>3312</v>
      </c>
      <c r="AC343" s="598" t="s">
        <v>3309</v>
      </c>
      <c r="AD343" s="598" t="s">
        <v>3309</v>
      </c>
      <c r="AE343" s="598" t="s">
        <v>3309</v>
      </c>
      <c r="AF343" s="598" t="s">
        <v>321</v>
      </c>
      <c r="AG343" s="598" t="s">
        <v>321</v>
      </c>
      <c r="AH343" s="598" t="s">
        <v>3309</v>
      </c>
      <c r="AI343" s="598" t="s">
        <v>321</v>
      </c>
      <c r="AJ343" s="599">
        <v>21</v>
      </c>
      <c r="AK343" s="600">
        <v>20</v>
      </c>
      <c r="AL343" s="602">
        <v>1</v>
      </c>
      <c r="AM343" s="601">
        <v>0</v>
      </c>
      <c r="AN343" s="599">
        <v>21</v>
      </c>
    </row>
    <row r="344" spans="1:40" ht="16.5" customHeight="1">
      <c r="A344" s="598" t="s">
        <v>3307</v>
      </c>
      <c r="B344" s="598" t="s">
        <v>3326</v>
      </c>
      <c r="C344" s="598" t="s">
        <v>1448</v>
      </c>
      <c r="D344" s="598" t="s">
        <v>1449</v>
      </c>
      <c r="E344" s="598" t="s">
        <v>321</v>
      </c>
      <c r="F344" s="598" t="s">
        <v>3309</v>
      </c>
      <c r="G344" s="598" t="s">
        <v>3309</v>
      </c>
      <c r="H344" s="598" t="s">
        <v>3309</v>
      </c>
      <c r="I344" s="598" t="s">
        <v>3309</v>
      </c>
      <c r="J344" s="598" t="s">
        <v>3309</v>
      </c>
      <c r="K344" s="598" t="s">
        <v>321</v>
      </c>
      <c r="L344" s="598" t="s">
        <v>321</v>
      </c>
      <c r="M344" s="598" t="s">
        <v>3309</v>
      </c>
      <c r="N344" s="598" t="s">
        <v>3309</v>
      </c>
      <c r="O344" s="598" t="s">
        <v>3309</v>
      </c>
      <c r="P344" s="598" t="s">
        <v>3309</v>
      </c>
      <c r="Q344" s="598" t="s">
        <v>3309</v>
      </c>
      <c r="R344" s="598" t="s">
        <v>321</v>
      </c>
      <c r="S344" s="598" t="s">
        <v>321</v>
      </c>
      <c r="T344" s="598" t="s">
        <v>3309</v>
      </c>
      <c r="U344" s="598" t="s">
        <v>3309</v>
      </c>
      <c r="V344" s="598" t="s">
        <v>3309</v>
      </c>
      <c r="W344" s="598" t="s">
        <v>3309</v>
      </c>
      <c r="X344" s="598" t="s">
        <v>3309</v>
      </c>
      <c r="Y344" s="598" t="s">
        <v>321</v>
      </c>
      <c r="Z344" s="598" t="s">
        <v>321</v>
      </c>
      <c r="AA344" s="598" t="s">
        <v>3309</v>
      </c>
      <c r="AB344" s="598" t="s">
        <v>3309</v>
      </c>
      <c r="AC344" s="598" t="s">
        <v>3309</v>
      </c>
      <c r="AD344" s="598" t="s">
        <v>3309</v>
      </c>
      <c r="AE344" s="598" t="s">
        <v>3309</v>
      </c>
      <c r="AF344" s="598" t="s">
        <v>321</v>
      </c>
      <c r="AG344" s="598" t="s">
        <v>321</v>
      </c>
      <c r="AH344" s="598" t="s">
        <v>3309</v>
      </c>
      <c r="AI344" s="598" t="s">
        <v>321</v>
      </c>
      <c r="AJ344" s="599">
        <v>21</v>
      </c>
      <c r="AK344" s="600">
        <v>21</v>
      </c>
      <c r="AL344" s="601">
        <v>0</v>
      </c>
      <c r="AM344" s="601">
        <v>0</v>
      </c>
      <c r="AN344" s="599">
        <v>21</v>
      </c>
    </row>
    <row r="345" spans="1:40" ht="16.5" customHeight="1">
      <c r="A345" s="598" t="s">
        <v>3307</v>
      </c>
      <c r="B345" s="598" t="s">
        <v>3331</v>
      </c>
      <c r="C345" s="598" t="s">
        <v>1743</v>
      </c>
      <c r="D345" s="598" t="s">
        <v>1744</v>
      </c>
      <c r="E345" s="598" t="s">
        <v>321</v>
      </c>
      <c r="F345" s="598" t="s">
        <v>3309</v>
      </c>
      <c r="G345" s="598" t="s">
        <v>3309</v>
      </c>
      <c r="H345" s="598" t="s">
        <v>3309</v>
      </c>
      <c r="I345" s="598" t="s">
        <v>3309</v>
      </c>
      <c r="J345" s="598" t="s">
        <v>3309</v>
      </c>
      <c r="K345" s="598" t="s">
        <v>321</v>
      </c>
      <c r="L345" s="598" t="s">
        <v>321</v>
      </c>
      <c r="M345" s="598" t="s">
        <v>3309</v>
      </c>
      <c r="N345" s="598" t="s">
        <v>3309</v>
      </c>
      <c r="O345" s="598" t="s">
        <v>3309</v>
      </c>
      <c r="P345" s="598" t="s">
        <v>3309</v>
      </c>
      <c r="Q345" s="598" t="s">
        <v>3309</v>
      </c>
      <c r="R345" s="598" t="s">
        <v>321</v>
      </c>
      <c r="S345" s="598" t="s">
        <v>321</v>
      </c>
      <c r="T345" s="598" t="s">
        <v>3309</v>
      </c>
      <c r="U345" s="598" t="s">
        <v>3309</v>
      </c>
      <c r="V345" s="598" t="s">
        <v>3309</v>
      </c>
      <c r="W345" s="598" t="s">
        <v>3309</v>
      </c>
      <c r="X345" s="598" t="s">
        <v>3309</v>
      </c>
      <c r="Y345" s="598" t="s">
        <v>321</v>
      </c>
      <c r="Z345" s="598" t="s">
        <v>321</v>
      </c>
      <c r="AA345" s="598" t="s">
        <v>3309</v>
      </c>
      <c r="AB345" s="598" t="s">
        <v>3309</v>
      </c>
      <c r="AC345" s="598" t="s">
        <v>3309</v>
      </c>
      <c r="AD345" s="598" t="s">
        <v>3309</v>
      </c>
      <c r="AE345" s="598" t="s">
        <v>3309</v>
      </c>
      <c r="AF345" s="598" t="s">
        <v>321</v>
      </c>
      <c r="AG345" s="598" t="s">
        <v>321</v>
      </c>
      <c r="AH345" s="598" t="s">
        <v>3309</v>
      </c>
      <c r="AI345" s="598" t="s">
        <v>321</v>
      </c>
      <c r="AJ345" s="599">
        <v>21</v>
      </c>
      <c r="AK345" s="600">
        <v>21</v>
      </c>
      <c r="AL345" s="601">
        <v>0</v>
      </c>
      <c r="AM345" s="601">
        <v>0</v>
      </c>
      <c r="AN345" s="599">
        <v>21</v>
      </c>
    </row>
    <row r="346" spans="1:40" ht="16.5" customHeight="1">
      <c r="A346" s="598" t="s">
        <v>3307</v>
      </c>
      <c r="B346" s="598" t="s">
        <v>3331</v>
      </c>
      <c r="C346" s="598" t="s">
        <v>1019</v>
      </c>
      <c r="D346" s="598" t="s">
        <v>1020</v>
      </c>
      <c r="E346" s="598" t="s">
        <v>321</v>
      </c>
      <c r="F346" s="598" t="s">
        <v>3309</v>
      </c>
      <c r="G346" s="598" t="s">
        <v>3309</v>
      </c>
      <c r="H346" s="598" t="s">
        <v>3309</v>
      </c>
      <c r="I346" s="598" t="s">
        <v>3309</v>
      </c>
      <c r="J346" s="598" t="s">
        <v>3309</v>
      </c>
      <c r="K346" s="598" t="s">
        <v>321</v>
      </c>
      <c r="L346" s="598" t="s">
        <v>321</v>
      </c>
      <c r="M346" s="598" t="s">
        <v>3309</v>
      </c>
      <c r="N346" s="598" t="s">
        <v>3309</v>
      </c>
      <c r="O346" s="598" t="s">
        <v>3309</v>
      </c>
      <c r="P346" s="598" t="s">
        <v>3309</v>
      </c>
      <c r="Q346" s="598" t="s">
        <v>3309</v>
      </c>
      <c r="R346" s="598" t="s">
        <v>321</v>
      </c>
      <c r="S346" s="598" t="s">
        <v>321</v>
      </c>
      <c r="T346" s="598" t="s">
        <v>3309</v>
      </c>
      <c r="U346" s="598" t="s">
        <v>3309</v>
      </c>
      <c r="V346" s="598" t="s">
        <v>3309</v>
      </c>
      <c r="W346" s="598" t="s">
        <v>3309</v>
      </c>
      <c r="X346" s="598" t="s">
        <v>3309</v>
      </c>
      <c r="Y346" s="598" t="s">
        <v>321</v>
      </c>
      <c r="Z346" s="598" t="s">
        <v>321</v>
      </c>
      <c r="AA346" s="598" t="s">
        <v>3309</v>
      </c>
      <c r="AB346" s="598" t="s">
        <v>3309</v>
      </c>
      <c r="AC346" s="598" t="s">
        <v>3309</v>
      </c>
      <c r="AD346" s="598" t="s">
        <v>3309</v>
      </c>
      <c r="AE346" s="598" t="s">
        <v>3309</v>
      </c>
      <c r="AF346" s="598" t="s">
        <v>321</v>
      </c>
      <c r="AG346" s="598" t="s">
        <v>321</v>
      </c>
      <c r="AH346" s="598" t="s">
        <v>3309</v>
      </c>
      <c r="AI346" s="598" t="s">
        <v>321</v>
      </c>
      <c r="AJ346" s="599">
        <v>21</v>
      </c>
      <c r="AK346" s="600">
        <v>21</v>
      </c>
      <c r="AL346" s="601">
        <v>0</v>
      </c>
      <c r="AM346" s="601">
        <v>0</v>
      </c>
      <c r="AN346" s="599">
        <v>21</v>
      </c>
    </row>
    <row r="347" spans="1:40" ht="16.5" customHeight="1">
      <c r="A347" s="598" t="s">
        <v>3307</v>
      </c>
      <c r="B347" s="598" t="s">
        <v>3331</v>
      </c>
      <c r="C347" s="598" t="s">
        <v>1928</v>
      </c>
      <c r="D347" s="598" t="s">
        <v>1929</v>
      </c>
      <c r="E347" s="598" t="s">
        <v>321</v>
      </c>
      <c r="F347" s="598" t="s">
        <v>3309</v>
      </c>
      <c r="G347" s="598" t="s">
        <v>3309</v>
      </c>
      <c r="H347" s="598" t="s">
        <v>3309</v>
      </c>
      <c r="I347" s="598" t="s">
        <v>3309</v>
      </c>
      <c r="J347" s="598" t="s">
        <v>3309</v>
      </c>
      <c r="K347" s="598" t="s">
        <v>321</v>
      </c>
      <c r="L347" s="598" t="s">
        <v>321</v>
      </c>
      <c r="M347" s="598" t="s">
        <v>3309</v>
      </c>
      <c r="N347" s="598" t="s">
        <v>3309</v>
      </c>
      <c r="O347" s="598" t="s">
        <v>3309</v>
      </c>
      <c r="P347" s="598" t="s">
        <v>3309</v>
      </c>
      <c r="Q347" s="598" t="s">
        <v>3309</v>
      </c>
      <c r="R347" s="598" t="s">
        <v>321</v>
      </c>
      <c r="S347" s="598" t="s">
        <v>321</v>
      </c>
      <c r="T347" s="598" t="s">
        <v>3309</v>
      </c>
      <c r="U347" s="598" t="s">
        <v>3309</v>
      </c>
      <c r="V347" s="598" t="s">
        <v>3309</v>
      </c>
      <c r="W347" s="598" t="s">
        <v>3309</v>
      </c>
      <c r="X347" s="598" t="s">
        <v>3309</v>
      </c>
      <c r="Y347" s="598" t="s">
        <v>321</v>
      </c>
      <c r="Z347" s="598" t="s">
        <v>321</v>
      </c>
      <c r="AA347" s="598" t="s">
        <v>3309</v>
      </c>
      <c r="AB347" s="598" t="s">
        <v>3309</v>
      </c>
      <c r="AC347" s="598" t="s">
        <v>3309</v>
      </c>
      <c r="AD347" s="598" t="s">
        <v>3309</v>
      </c>
      <c r="AE347" s="598" t="s">
        <v>3309</v>
      </c>
      <c r="AF347" s="598" t="s">
        <v>321</v>
      </c>
      <c r="AG347" s="598" t="s">
        <v>321</v>
      </c>
      <c r="AH347" s="598" t="s">
        <v>3309</v>
      </c>
      <c r="AI347" s="598" t="s">
        <v>321</v>
      </c>
      <c r="AJ347" s="599">
        <v>21</v>
      </c>
      <c r="AK347" s="600">
        <v>21</v>
      </c>
      <c r="AL347" s="601">
        <v>0</v>
      </c>
      <c r="AM347" s="601">
        <v>0</v>
      </c>
      <c r="AN347" s="599">
        <v>21</v>
      </c>
    </row>
    <row r="348" spans="1:40" ht="16.5" customHeight="1">
      <c r="A348" s="598" t="s">
        <v>3307</v>
      </c>
      <c r="B348" s="598" t="s">
        <v>3331</v>
      </c>
      <c r="C348" s="598" t="s">
        <v>2481</v>
      </c>
      <c r="D348" s="598" t="s">
        <v>2482</v>
      </c>
      <c r="E348" s="598" t="s">
        <v>321</v>
      </c>
      <c r="F348" s="598" t="s">
        <v>3309</v>
      </c>
      <c r="G348" s="598" t="s">
        <v>3309</v>
      </c>
      <c r="H348" s="598" t="s">
        <v>3309</v>
      </c>
      <c r="I348" s="598" t="s">
        <v>3309</v>
      </c>
      <c r="J348" s="598" t="s">
        <v>3309</v>
      </c>
      <c r="K348" s="598" t="s">
        <v>321</v>
      </c>
      <c r="L348" s="598" t="s">
        <v>321</v>
      </c>
      <c r="M348" s="598" t="s">
        <v>3309</v>
      </c>
      <c r="N348" s="598" t="s">
        <v>3309</v>
      </c>
      <c r="O348" s="598" t="s">
        <v>3309</v>
      </c>
      <c r="P348" s="598" t="s">
        <v>3309</v>
      </c>
      <c r="Q348" s="598" t="s">
        <v>3309</v>
      </c>
      <c r="R348" s="598" t="s">
        <v>321</v>
      </c>
      <c r="S348" s="598" t="s">
        <v>321</v>
      </c>
      <c r="T348" s="598" t="s">
        <v>3309</v>
      </c>
      <c r="U348" s="598" t="s">
        <v>3309</v>
      </c>
      <c r="V348" s="598" t="s">
        <v>3309</v>
      </c>
      <c r="W348" s="598" t="s">
        <v>3309</v>
      </c>
      <c r="X348" s="598" t="s">
        <v>3309</v>
      </c>
      <c r="Y348" s="598" t="s">
        <v>321</v>
      </c>
      <c r="Z348" s="598" t="s">
        <v>321</v>
      </c>
      <c r="AA348" s="598" t="s">
        <v>3309</v>
      </c>
      <c r="AB348" s="598" t="s">
        <v>3309</v>
      </c>
      <c r="AC348" s="598" t="s">
        <v>3309</v>
      </c>
      <c r="AD348" s="598" t="s">
        <v>3309</v>
      </c>
      <c r="AE348" s="598" t="s">
        <v>3309</v>
      </c>
      <c r="AF348" s="598" t="s">
        <v>321</v>
      </c>
      <c r="AG348" s="598" t="s">
        <v>321</v>
      </c>
      <c r="AH348" s="598" t="s">
        <v>3309</v>
      </c>
      <c r="AI348" s="598" t="s">
        <v>321</v>
      </c>
      <c r="AJ348" s="599">
        <v>21</v>
      </c>
      <c r="AK348" s="600">
        <v>21</v>
      </c>
      <c r="AL348" s="601">
        <v>0</v>
      </c>
      <c r="AM348" s="601">
        <v>0</v>
      </c>
      <c r="AN348" s="599">
        <v>21</v>
      </c>
    </row>
    <row r="349" spans="1:40" ht="16.5" customHeight="1">
      <c r="A349" s="598" t="s">
        <v>3307</v>
      </c>
      <c r="B349" s="598" t="s">
        <v>3331</v>
      </c>
      <c r="C349" s="598" t="s">
        <v>2761</v>
      </c>
      <c r="D349" s="598" t="s">
        <v>2762</v>
      </c>
      <c r="E349" s="598" t="s">
        <v>321</v>
      </c>
      <c r="F349" s="598" t="s">
        <v>3309</v>
      </c>
      <c r="G349" s="598" t="s">
        <v>3309</v>
      </c>
      <c r="H349" s="598" t="s">
        <v>3309</v>
      </c>
      <c r="I349" s="598" t="s">
        <v>3309</v>
      </c>
      <c r="J349" s="598" t="s">
        <v>3309</v>
      </c>
      <c r="K349" s="598" t="s">
        <v>321</v>
      </c>
      <c r="L349" s="598" t="s">
        <v>321</v>
      </c>
      <c r="M349" s="598" t="s">
        <v>3309</v>
      </c>
      <c r="N349" s="598" t="s">
        <v>3309</v>
      </c>
      <c r="O349" s="598" t="s">
        <v>3309</v>
      </c>
      <c r="P349" s="598" t="s">
        <v>3309</v>
      </c>
      <c r="Q349" s="598" t="s">
        <v>3309</v>
      </c>
      <c r="R349" s="598" t="s">
        <v>321</v>
      </c>
      <c r="S349" s="598" t="s">
        <v>321</v>
      </c>
      <c r="T349" s="598" t="s">
        <v>3309</v>
      </c>
      <c r="U349" s="598" t="s">
        <v>3309</v>
      </c>
      <c r="V349" s="598" t="s">
        <v>3309</v>
      </c>
      <c r="W349" s="598" t="s">
        <v>3309</v>
      </c>
      <c r="X349" s="598" t="s">
        <v>3309</v>
      </c>
      <c r="Y349" s="598" t="s">
        <v>321</v>
      </c>
      <c r="Z349" s="598" t="s">
        <v>321</v>
      </c>
      <c r="AA349" s="598" t="s">
        <v>3309</v>
      </c>
      <c r="AB349" s="598" t="s">
        <v>3309</v>
      </c>
      <c r="AC349" s="598" t="s">
        <v>3309</v>
      </c>
      <c r="AD349" s="598" t="s">
        <v>3309</v>
      </c>
      <c r="AE349" s="598" t="s">
        <v>3309</v>
      </c>
      <c r="AF349" s="598" t="s">
        <v>321</v>
      </c>
      <c r="AG349" s="598" t="s">
        <v>321</v>
      </c>
      <c r="AH349" s="598" t="s">
        <v>3309</v>
      </c>
      <c r="AI349" s="598" t="s">
        <v>321</v>
      </c>
      <c r="AJ349" s="599">
        <v>21</v>
      </c>
      <c r="AK349" s="600">
        <v>21</v>
      </c>
      <c r="AL349" s="601">
        <v>0</v>
      </c>
      <c r="AM349" s="601">
        <v>0</v>
      </c>
      <c r="AN349" s="599">
        <v>21</v>
      </c>
    </row>
    <row r="350" spans="1:40" ht="16.5" customHeight="1">
      <c r="A350" s="598" t="s">
        <v>3307</v>
      </c>
      <c r="B350" s="598" t="s">
        <v>3331</v>
      </c>
      <c r="C350" s="598" t="s">
        <v>2346</v>
      </c>
      <c r="D350" s="598" t="s">
        <v>2347</v>
      </c>
      <c r="E350" s="598" t="s">
        <v>321</v>
      </c>
      <c r="F350" s="598" t="s">
        <v>3309</v>
      </c>
      <c r="G350" s="598" t="s">
        <v>3309</v>
      </c>
      <c r="H350" s="598" t="s">
        <v>3309</v>
      </c>
      <c r="I350" s="598" t="s">
        <v>3309</v>
      </c>
      <c r="J350" s="598" t="s">
        <v>3309</v>
      </c>
      <c r="K350" s="598" t="s">
        <v>321</v>
      </c>
      <c r="L350" s="598" t="s">
        <v>321</v>
      </c>
      <c r="M350" s="598" t="s">
        <v>3309</v>
      </c>
      <c r="N350" s="598" t="s">
        <v>3309</v>
      </c>
      <c r="O350" s="598" t="s">
        <v>3309</v>
      </c>
      <c r="P350" s="598" t="s">
        <v>3309</v>
      </c>
      <c r="Q350" s="598" t="s">
        <v>3309</v>
      </c>
      <c r="R350" s="598" t="s">
        <v>321</v>
      </c>
      <c r="S350" s="598" t="s">
        <v>321</v>
      </c>
      <c r="T350" s="598" t="s">
        <v>3309</v>
      </c>
      <c r="U350" s="598" t="s">
        <v>3309</v>
      </c>
      <c r="V350" s="598" t="s">
        <v>3309</v>
      </c>
      <c r="W350" s="598" t="s">
        <v>3309</v>
      </c>
      <c r="X350" s="598" t="s">
        <v>3309</v>
      </c>
      <c r="Y350" s="598" t="s">
        <v>321</v>
      </c>
      <c r="Z350" s="598" t="s">
        <v>321</v>
      </c>
      <c r="AA350" s="598" t="s">
        <v>3312</v>
      </c>
      <c r="AB350" s="598" t="s">
        <v>3309</v>
      </c>
      <c r="AC350" s="598" t="s">
        <v>3309</v>
      </c>
      <c r="AD350" s="598" t="s">
        <v>3309</v>
      </c>
      <c r="AE350" s="598" t="s">
        <v>3309</v>
      </c>
      <c r="AF350" s="598" t="s">
        <v>321</v>
      </c>
      <c r="AG350" s="598" t="s">
        <v>321</v>
      </c>
      <c r="AH350" s="598" t="s">
        <v>3309</v>
      </c>
      <c r="AI350" s="598" t="s">
        <v>321</v>
      </c>
      <c r="AJ350" s="599">
        <v>21</v>
      </c>
      <c r="AK350" s="600">
        <v>20</v>
      </c>
      <c r="AL350" s="602">
        <v>1</v>
      </c>
      <c r="AM350" s="601">
        <v>0</v>
      </c>
      <c r="AN350" s="599">
        <v>21</v>
      </c>
    </row>
    <row r="351" spans="1:40" ht="16.5" customHeight="1">
      <c r="A351" s="598" t="s">
        <v>3307</v>
      </c>
      <c r="B351" s="598" t="s">
        <v>3331</v>
      </c>
      <c r="C351" s="598" t="s">
        <v>902</v>
      </c>
      <c r="D351" s="598" t="s">
        <v>903</v>
      </c>
      <c r="E351" s="598" t="s">
        <v>321</v>
      </c>
      <c r="F351" s="598" t="s">
        <v>3309</v>
      </c>
      <c r="G351" s="598" t="s">
        <v>3309</v>
      </c>
      <c r="H351" s="598" t="s">
        <v>3309</v>
      </c>
      <c r="I351" s="598" t="s">
        <v>3309</v>
      </c>
      <c r="J351" s="598" t="s">
        <v>3309</v>
      </c>
      <c r="K351" s="598" t="s">
        <v>321</v>
      </c>
      <c r="L351" s="598" t="s">
        <v>321</v>
      </c>
      <c r="M351" s="598" t="s">
        <v>3309</v>
      </c>
      <c r="N351" s="598" t="s">
        <v>3309</v>
      </c>
      <c r="O351" s="598" t="s">
        <v>3309</v>
      </c>
      <c r="P351" s="598" t="s">
        <v>3314</v>
      </c>
      <c r="Q351" s="598" t="s">
        <v>3309</v>
      </c>
      <c r="R351" s="598" t="s">
        <v>321</v>
      </c>
      <c r="S351" s="598" t="s">
        <v>321</v>
      </c>
      <c r="T351" s="598" t="s">
        <v>3309</v>
      </c>
      <c r="U351" s="598" t="s">
        <v>3309</v>
      </c>
      <c r="V351" s="598" t="s">
        <v>3309</v>
      </c>
      <c r="W351" s="598" t="s">
        <v>3309</v>
      </c>
      <c r="X351" s="598" t="s">
        <v>3309</v>
      </c>
      <c r="Y351" s="598" t="s">
        <v>321</v>
      </c>
      <c r="Z351" s="598" t="s">
        <v>321</v>
      </c>
      <c r="AA351" s="598" t="s">
        <v>3309</v>
      </c>
      <c r="AB351" s="598" t="s">
        <v>3309</v>
      </c>
      <c r="AC351" s="598" t="s">
        <v>3309</v>
      </c>
      <c r="AD351" s="598" t="s">
        <v>3309</v>
      </c>
      <c r="AE351" s="598" t="s">
        <v>3309</v>
      </c>
      <c r="AF351" s="598" t="s">
        <v>321</v>
      </c>
      <c r="AG351" s="598" t="s">
        <v>321</v>
      </c>
      <c r="AH351" s="598" t="s">
        <v>3309</v>
      </c>
      <c r="AI351" s="598" t="s">
        <v>321</v>
      </c>
      <c r="AJ351" s="599">
        <v>21</v>
      </c>
      <c r="AK351" s="603">
        <v>20.5</v>
      </c>
      <c r="AL351" s="604">
        <v>0.5</v>
      </c>
      <c r="AM351" s="601">
        <v>0</v>
      </c>
      <c r="AN351" s="599">
        <v>21</v>
      </c>
    </row>
    <row r="352" spans="1:40" ht="16.5" customHeight="1">
      <c r="A352" s="598" t="s">
        <v>3307</v>
      </c>
      <c r="B352" s="598" t="s">
        <v>3331</v>
      </c>
      <c r="C352" s="598" t="s">
        <v>2293</v>
      </c>
      <c r="D352" s="598" t="s">
        <v>2294</v>
      </c>
      <c r="E352" s="598" t="s">
        <v>321</v>
      </c>
      <c r="F352" s="598" t="s">
        <v>3309</v>
      </c>
      <c r="G352" s="598" t="s">
        <v>3309</v>
      </c>
      <c r="H352" s="598" t="s">
        <v>3309</v>
      </c>
      <c r="I352" s="598" t="s">
        <v>3309</v>
      </c>
      <c r="J352" s="598" t="s">
        <v>3309</v>
      </c>
      <c r="K352" s="598" t="s">
        <v>321</v>
      </c>
      <c r="L352" s="598" t="s">
        <v>321</v>
      </c>
      <c r="M352" s="598" t="s">
        <v>3309</v>
      </c>
      <c r="N352" s="598" t="s">
        <v>3309</v>
      </c>
      <c r="O352" s="598" t="s">
        <v>3309</v>
      </c>
      <c r="P352" s="598" t="s">
        <v>3309</v>
      </c>
      <c r="Q352" s="598" t="s">
        <v>3309</v>
      </c>
      <c r="R352" s="598" t="s">
        <v>321</v>
      </c>
      <c r="S352" s="598" t="s">
        <v>321</v>
      </c>
      <c r="T352" s="598" t="s">
        <v>3312</v>
      </c>
      <c r="U352" s="598" t="s">
        <v>3309</v>
      </c>
      <c r="V352" s="598" t="s">
        <v>3309</v>
      </c>
      <c r="W352" s="598" t="s">
        <v>3309</v>
      </c>
      <c r="X352" s="598" t="s">
        <v>3309</v>
      </c>
      <c r="Y352" s="598" t="s">
        <v>321</v>
      </c>
      <c r="Z352" s="598" t="s">
        <v>321</v>
      </c>
      <c r="AA352" s="598" t="s">
        <v>3309</v>
      </c>
      <c r="AB352" s="598" t="s">
        <v>3309</v>
      </c>
      <c r="AC352" s="598" t="s">
        <v>3309</v>
      </c>
      <c r="AD352" s="598" t="s">
        <v>3309</v>
      </c>
      <c r="AE352" s="598" t="s">
        <v>3309</v>
      </c>
      <c r="AF352" s="598" t="s">
        <v>321</v>
      </c>
      <c r="AG352" s="598" t="s">
        <v>321</v>
      </c>
      <c r="AH352" s="598" t="s">
        <v>3309</v>
      </c>
      <c r="AI352" s="598" t="s">
        <v>321</v>
      </c>
      <c r="AJ352" s="599">
        <v>21</v>
      </c>
      <c r="AK352" s="600">
        <v>20</v>
      </c>
      <c r="AL352" s="602">
        <v>1</v>
      </c>
      <c r="AM352" s="601">
        <v>0</v>
      </c>
      <c r="AN352" s="599">
        <v>21</v>
      </c>
    </row>
    <row r="353" spans="1:40" ht="16.5" customHeight="1">
      <c r="A353" s="598" t="s">
        <v>3307</v>
      </c>
      <c r="B353" s="598" t="s">
        <v>3331</v>
      </c>
      <c r="C353" s="598" t="s">
        <v>2607</v>
      </c>
      <c r="D353" s="598" t="s">
        <v>2608</v>
      </c>
      <c r="E353" s="598" t="s">
        <v>321</v>
      </c>
      <c r="F353" s="598" t="s">
        <v>3309</v>
      </c>
      <c r="G353" s="598" t="s">
        <v>3309</v>
      </c>
      <c r="H353" s="598" t="s">
        <v>3309</v>
      </c>
      <c r="I353" s="598" t="s">
        <v>3309</v>
      </c>
      <c r="J353" s="598" t="s">
        <v>3309</v>
      </c>
      <c r="K353" s="598" t="s">
        <v>321</v>
      </c>
      <c r="L353" s="598" t="s">
        <v>321</v>
      </c>
      <c r="M353" s="598" t="s">
        <v>3309</v>
      </c>
      <c r="N353" s="598" t="s">
        <v>3309</v>
      </c>
      <c r="O353" s="598" t="s">
        <v>3309</v>
      </c>
      <c r="P353" s="598" t="s">
        <v>3309</v>
      </c>
      <c r="Q353" s="598" t="s">
        <v>3309</v>
      </c>
      <c r="R353" s="598" t="s">
        <v>321</v>
      </c>
      <c r="S353" s="598" t="s">
        <v>321</v>
      </c>
      <c r="T353" s="598" t="s">
        <v>3309</v>
      </c>
      <c r="U353" s="598" t="s">
        <v>3309</v>
      </c>
      <c r="V353" s="598" t="s">
        <v>3309</v>
      </c>
      <c r="W353" s="598" t="s">
        <v>3309</v>
      </c>
      <c r="X353" s="598" t="s">
        <v>3309</v>
      </c>
      <c r="Y353" s="598" t="s">
        <v>321</v>
      </c>
      <c r="Z353" s="598" t="s">
        <v>321</v>
      </c>
      <c r="AA353" s="598" t="s">
        <v>3309</v>
      </c>
      <c r="AB353" s="598" t="s">
        <v>3309</v>
      </c>
      <c r="AC353" s="598" t="s">
        <v>3309</v>
      </c>
      <c r="AD353" s="598" t="s">
        <v>3309</v>
      </c>
      <c r="AE353" s="598" t="s">
        <v>3309</v>
      </c>
      <c r="AF353" s="598" t="s">
        <v>321</v>
      </c>
      <c r="AG353" s="598" t="s">
        <v>321</v>
      </c>
      <c r="AH353" s="598" t="s">
        <v>3309</v>
      </c>
      <c r="AI353" s="598" t="s">
        <v>321</v>
      </c>
      <c r="AJ353" s="599">
        <v>21</v>
      </c>
      <c r="AK353" s="600">
        <v>21</v>
      </c>
      <c r="AL353" s="601">
        <v>0</v>
      </c>
      <c r="AM353" s="601">
        <v>0</v>
      </c>
      <c r="AN353" s="599">
        <v>21</v>
      </c>
    </row>
    <row r="354" spans="1:40" ht="16.5" customHeight="1">
      <c r="A354" s="598" t="s">
        <v>3307</v>
      </c>
      <c r="B354" s="598" t="s">
        <v>3331</v>
      </c>
      <c r="C354" s="598" t="s">
        <v>2619</v>
      </c>
      <c r="D354" s="598" t="s">
        <v>2620</v>
      </c>
      <c r="E354" s="598" t="s">
        <v>321</v>
      </c>
      <c r="F354" s="598" t="s">
        <v>3309</v>
      </c>
      <c r="G354" s="598" t="s">
        <v>3309</v>
      </c>
      <c r="H354" s="598" t="s">
        <v>3309</v>
      </c>
      <c r="I354" s="598" t="s">
        <v>3309</v>
      </c>
      <c r="J354" s="598" t="s">
        <v>3312</v>
      </c>
      <c r="K354" s="598" t="s">
        <v>321</v>
      </c>
      <c r="L354" s="598" t="s">
        <v>321</v>
      </c>
      <c r="M354" s="598" t="s">
        <v>3309</v>
      </c>
      <c r="N354" s="598" t="s">
        <v>3309</v>
      </c>
      <c r="O354" s="598" t="s">
        <v>3309</v>
      </c>
      <c r="P354" s="598" t="s">
        <v>3309</v>
      </c>
      <c r="Q354" s="598" t="s">
        <v>3309</v>
      </c>
      <c r="R354" s="598" t="s">
        <v>321</v>
      </c>
      <c r="S354" s="598" t="s">
        <v>321</v>
      </c>
      <c r="T354" s="598" t="s">
        <v>3309</v>
      </c>
      <c r="U354" s="598" t="s">
        <v>3309</v>
      </c>
      <c r="V354" s="598" t="s">
        <v>3309</v>
      </c>
      <c r="W354" s="598" t="s">
        <v>3309</v>
      </c>
      <c r="X354" s="598" t="s">
        <v>3312</v>
      </c>
      <c r="Y354" s="598" t="s">
        <v>321</v>
      </c>
      <c r="Z354" s="598" t="s">
        <v>321</v>
      </c>
      <c r="AA354" s="598" t="s">
        <v>3309</v>
      </c>
      <c r="AB354" s="598" t="s">
        <v>3309</v>
      </c>
      <c r="AC354" s="598" t="s">
        <v>3309</v>
      </c>
      <c r="AD354" s="598" t="s">
        <v>3309</v>
      </c>
      <c r="AE354" s="598" t="s">
        <v>3309</v>
      </c>
      <c r="AF354" s="598" t="s">
        <v>321</v>
      </c>
      <c r="AG354" s="598" t="s">
        <v>321</v>
      </c>
      <c r="AH354" s="598" t="s">
        <v>3309</v>
      </c>
      <c r="AI354" s="598" t="s">
        <v>321</v>
      </c>
      <c r="AJ354" s="599">
        <v>21</v>
      </c>
      <c r="AK354" s="600">
        <v>19</v>
      </c>
      <c r="AL354" s="602">
        <v>2</v>
      </c>
      <c r="AM354" s="601">
        <v>0</v>
      </c>
      <c r="AN354" s="599">
        <v>21</v>
      </c>
    </row>
    <row r="355" spans="1:40" ht="16.5" customHeight="1">
      <c r="A355" s="598" t="s">
        <v>3307</v>
      </c>
      <c r="B355" s="598" t="s">
        <v>3331</v>
      </c>
      <c r="C355" s="598" t="s">
        <v>1011</v>
      </c>
      <c r="D355" s="598" t="s">
        <v>1012</v>
      </c>
      <c r="E355" s="598" t="s">
        <v>321</v>
      </c>
      <c r="F355" s="598" t="s">
        <v>3309</v>
      </c>
      <c r="G355" s="598" t="s">
        <v>3309</v>
      </c>
      <c r="H355" s="598" t="s">
        <v>3312</v>
      </c>
      <c r="I355" s="598" t="s">
        <v>3309</v>
      </c>
      <c r="J355" s="598" t="s">
        <v>3309</v>
      </c>
      <c r="K355" s="598" t="s">
        <v>321</v>
      </c>
      <c r="L355" s="598" t="s">
        <v>321</v>
      </c>
      <c r="M355" s="598" t="s">
        <v>3309</v>
      </c>
      <c r="N355" s="598" t="s">
        <v>3309</v>
      </c>
      <c r="O355" s="598" t="s">
        <v>3309</v>
      </c>
      <c r="P355" s="598" t="s">
        <v>3309</v>
      </c>
      <c r="Q355" s="598" t="s">
        <v>3309</v>
      </c>
      <c r="R355" s="598" t="s">
        <v>321</v>
      </c>
      <c r="S355" s="598" t="s">
        <v>321</v>
      </c>
      <c r="T355" s="598" t="s">
        <v>3309</v>
      </c>
      <c r="U355" s="598" t="s">
        <v>3309</v>
      </c>
      <c r="V355" s="598" t="s">
        <v>3309</v>
      </c>
      <c r="W355" s="598" t="s">
        <v>3309</v>
      </c>
      <c r="X355" s="598" t="s">
        <v>3309</v>
      </c>
      <c r="Y355" s="598" t="s">
        <v>321</v>
      </c>
      <c r="Z355" s="598" t="s">
        <v>321</v>
      </c>
      <c r="AA355" s="598" t="s">
        <v>3309</v>
      </c>
      <c r="AB355" s="598" t="s">
        <v>3309</v>
      </c>
      <c r="AC355" s="598" t="s">
        <v>3309</v>
      </c>
      <c r="AD355" s="598" t="s">
        <v>3309</v>
      </c>
      <c r="AE355" s="598" t="s">
        <v>3309</v>
      </c>
      <c r="AF355" s="598" t="s">
        <v>321</v>
      </c>
      <c r="AG355" s="598" t="s">
        <v>321</v>
      </c>
      <c r="AH355" s="598" t="s">
        <v>3309</v>
      </c>
      <c r="AI355" s="598" t="s">
        <v>321</v>
      </c>
      <c r="AJ355" s="599">
        <v>21</v>
      </c>
      <c r="AK355" s="600">
        <v>20</v>
      </c>
      <c r="AL355" s="602">
        <v>1</v>
      </c>
      <c r="AM355" s="601">
        <v>0</v>
      </c>
      <c r="AN355" s="599">
        <v>21</v>
      </c>
    </row>
    <row r="356" spans="1:40" ht="16.5" customHeight="1">
      <c r="A356" s="598" t="s">
        <v>3307</v>
      </c>
      <c r="B356" s="598" t="s">
        <v>3331</v>
      </c>
      <c r="C356" s="598" t="s">
        <v>2485</v>
      </c>
      <c r="D356" s="598" t="s">
        <v>2486</v>
      </c>
      <c r="E356" s="598" t="s">
        <v>321</v>
      </c>
      <c r="F356" s="598" t="s">
        <v>3309</v>
      </c>
      <c r="G356" s="598" t="s">
        <v>3309</v>
      </c>
      <c r="H356" s="598" t="s">
        <v>3309</v>
      </c>
      <c r="I356" s="598" t="s">
        <v>3309</v>
      </c>
      <c r="J356" s="598" t="s">
        <v>3309</v>
      </c>
      <c r="K356" s="598" t="s">
        <v>321</v>
      </c>
      <c r="L356" s="598" t="s">
        <v>321</v>
      </c>
      <c r="M356" s="598" t="s">
        <v>3309</v>
      </c>
      <c r="N356" s="598" t="s">
        <v>3309</v>
      </c>
      <c r="O356" s="598" t="s">
        <v>3309</v>
      </c>
      <c r="P356" s="598" t="s">
        <v>3309</v>
      </c>
      <c r="Q356" s="598" t="s">
        <v>3309</v>
      </c>
      <c r="R356" s="598" t="s">
        <v>321</v>
      </c>
      <c r="S356" s="598" t="s">
        <v>321</v>
      </c>
      <c r="T356" s="598" t="s">
        <v>3309</v>
      </c>
      <c r="U356" s="598" t="s">
        <v>3309</v>
      </c>
      <c r="V356" s="598" t="s">
        <v>3309</v>
      </c>
      <c r="W356" s="598" t="s">
        <v>3309</v>
      </c>
      <c r="X356" s="598" t="s">
        <v>3309</v>
      </c>
      <c r="Y356" s="598" t="s">
        <v>321</v>
      </c>
      <c r="Z356" s="598" t="s">
        <v>321</v>
      </c>
      <c r="AA356" s="598" t="s">
        <v>3309</v>
      </c>
      <c r="AB356" s="598" t="s">
        <v>3309</v>
      </c>
      <c r="AC356" s="598" t="s">
        <v>3309</v>
      </c>
      <c r="AD356" s="598" t="s">
        <v>3309</v>
      </c>
      <c r="AE356" s="598" t="s">
        <v>3309</v>
      </c>
      <c r="AF356" s="598" t="s">
        <v>321</v>
      </c>
      <c r="AG356" s="598" t="s">
        <v>321</v>
      </c>
      <c r="AH356" s="598" t="s">
        <v>3309</v>
      </c>
      <c r="AI356" s="598" t="s">
        <v>321</v>
      </c>
      <c r="AJ356" s="599">
        <v>21</v>
      </c>
      <c r="AK356" s="600">
        <v>21</v>
      </c>
      <c r="AL356" s="601">
        <v>0</v>
      </c>
      <c r="AM356" s="601">
        <v>0</v>
      </c>
      <c r="AN356" s="599">
        <v>21</v>
      </c>
    </row>
    <row r="357" spans="1:40" ht="16.5" customHeight="1">
      <c r="A357" s="598" t="s">
        <v>3307</v>
      </c>
      <c r="B357" s="598" t="s">
        <v>3331</v>
      </c>
      <c r="C357" s="598" t="s">
        <v>1761</v>
      </c>
      <c r="D357" s="598" t="s">
        <v>1762</v>
      </c>
      <c r="E357" s="598" t="s">
        <v>321</v>
      </c>
      <c r="F357" s="598" t="s">
        <v>3309</v>
      </c>
      <c r="G357" s="598" t="s">
        <v>3309</v>
      </c>
      <c r="H357" s="598" t="s">
        <v>3309</v>
      </c>
      <c r="I357" s="598" t="s">
        <v>3309</v>
      </c>
      <c r="J357" s="598" t="s">
        <v>3309</v>
      </c>
      <c r="K357" s="598" t="s">
        <v>321</v>
      </c>
      <c r="L357" s="598" t="s">
        <v>321</v>
      </c>
      <c r="M357" s="598" t="s">
        <v>3309</v>
      </c>
      <c r="N357" s="598" t="s">
        <v>3309</v>
      </c>
      <c r="O357" s="598" t="s">
        <v>3309</v>
      </c>
      <c r="P357" s="598" t="s">
        <v>3309</v>
      </c>
      <c r="Q357" s="598" t="s">
        <v>3309</v>
      </c>
      <c r="R357" s="598" t="s">
        <v>321</v>
      </c>
      <c r="S357" s="598" t="s">
        <v>321</v>
      </c>
      <c r="T357" s="598" t="s">
        <v>3309</v>
      </c>
      <c r="U357" s="598" t="s">
        <v>3309</v>
      </c>
      <c r="V357" s="598" t="s">
        <v>3309</v>
      </c>
      <c r="W357" s="598" t="s">
        <v>3309</v>
      </c>
      <c r="X357" s="598" t="s">
        <v>3309</v>
      </c>
      <c r="Y357" s="598" t="s">
        <v>321</v>
      </c>
      <c r="Z357" s="598" t="s">
        <v>321</v>
      </c>
      <c r="AA357" s="598" t="s">
        <v>3309</v>
      </c>
      <c r="AB357" s="598" t="s">
        <v>3309</v>
      </c>
      <c r="AC357" s="598" t="s">
        <v>3309</v>
      </c>
      <c r="AD357" s="598" t="s">
        <v>3309</v>
      </c>
      <c r="AE357" s="598" t="s">
        <v>3309</v>
      </c>
      <c r="AF357" s="598" t="s">
        <v>321</v>
      </c>
      <c r="AG357" s="598" t="s">
        <v>321</v>
      </c>
      <c r="AH357" s="598" t="s">
        <v>3309</v>
      </c>
      <c r="AI357" s="598" t="s">
        <v>321</v>
      </c>
      <c r="AJ357" s="599">
        <v>21</v>
      </c>
      <c r="AK357" s="600">
        <v>21</v>
      </c>
      <c r="AL357" s="601">
        <v>0</v>
      </c>
      <c r="AM357" s="601">
        <v>0</v>
      </c>
      <c r="AN357" s="599">
        <v>21</v>
      </c>
    </row>
    <row r="358" spans="1:40" ht="16.5" customHeight="1">
      <c r="A358" s="598" t="s">
        <v>3307</v>
      </c>
      <c r="B358" s="598" t="s">
        <v>3331</v>
      </c>
      <c r="C358" s="598" t="s">
        <v>1159</v>
      </c>
      <c r="D358" s="598" t="s">
        <v>1160</v>
      </c>
      <c r="E358" s="598" t="s">
        <v>321</v>
      </c>
      <c r="F358" s="598" t="s">
        <v>3309</v>
      </c>
      <c r="G358" s="598" t="s">
        <v>3309</v>
      </c>
      <c r="H358" s="598" t="s">
        <v>3309</v>
      </c>
      <c r="I358" s="598" t="s">
        <v>3309</v>
      </c>
      <c r="J358" s="598" t="s">
        <v>3309</v>
      </c>
      <c r="K358" s="598" t="s">
        <v>321</v>
      </c>
      <c r="L358" s="598" t="s">
        <v>321</v>
      </c>
      <c r="M358" s="598" t="s">
        <v>3309</v>
      </c>
      <c r="N358" s="598" t="s">
        <v>3309</v>
      </c>
      <c r="O358" s="598" t="s">
        <v>3309</v>
      </c>
      <c r="P358" s="598" t="s">
        <v>3309</v>
      </c>
      <c r="Q358" s="598" t="s">
        <v>3309</v>
      </c>
      <c r="R358" s="598" t="s">
        <v>321</v>
      </c>
      <c r="S358" s="598" t="s">
        <v>321</v>
      </c>
      <c r="T358" s="598" t="s">
        <v>3309</v>
      </c>
      <c r="U358" s="598" t="s">
        <v>3309</v>
      </c>
      <c r="V358" s="598" t="s">
        <v>3309</v>
      </c>
      <c r="W358" s="598" t="s">
        <v>3309</v>
      </c>
      <c r="X358" s="598" t="s">
        <v>3309</v>
      </c>
      <c r="Y358" s="598" t="s">
        <v>321</v>
      </c>
      <c r="Z358" s="598" t="s">
        <v>321</v>
      </c>
      <c r="AA358" s="598" t="s">
        <v>3309</v>
      </c>
      <c r="AB358" s="598" t="s">
        <v>3309</v>
      </c>
      <c r="AC358" s="598" t="s">
        <v>3309</v>
      </c>
      <c r="AD358" s="598" t="s">
        <v>3309</v>
      </c>
      <c r="AE358" s="598" t="s">
        <v>3309</v>
      </c>
      <c r="AF358" s="598" t="s">
        <v>321</v>
      </c>
      <c r="AG358" s="598" t="s">
        <v>321</v>
      </c>
      <c r="AH358" s="598" t="s">
        <v>3309</v>
      </c>
      <c r="AI358" s="598" t="s">
        <v>321</v>
      </c>
      <c r="AJ358" s="599">
        <v>21</v>
      </c>
      <c r="AK358" s="600">
        <v>21</v>
      </c>
      <c r="AL358" s="601">
        <v>0</v>
      </c>
      <c r="AM358" s="601">
        <v>0</v>
      </c>
      <c r="AN358" s="599">
        <v>21</v>
      </c>
    </row>
    <row r="359" spans="1:40" ht="16.5" customHeight="1">
      <c r="A359" s="598" t="s">
        <v>3307</v>
      </c>
      <c r="B359" s="598" t="s">
        <v>3331</v>
      </c>
      <c r="C359" s="598" t="s">
        <v>2865</v>
      </c>
      <c r="D359" s="598" t="s">
        <v>2866</v>
      </c>
      <c r="E359" s="598" t="s">
        <v>321</v>
      </c>
      <c r="F359" s="598" t="s">
        <v>3309</v>
      </c>
      <c r="G359" s="598" t="s">
        <v>3309</v>
      </c>
      <c r="H359" s="598" t="s">
        <v>3309</v>
      </c>
      <c r="I359" s="598" t="s">
        <v>3309</v>
      </c>
      <c r="J359" s="598" t="s">
        <v>3309</v>
      </c>
      <c r="K359" s="598" t="s">
        <v>321</v>
      </c>
      <c r="L359" s="598" t="s">
        <v>321</v>
      </c>
      <c r="M359" s="598" t="s">
        <v>3309</v>
      </c>
      <c r="N359" s="598" t="s">
        <v>3309</v>
      </c>
      <c r="O359" s="598" t="s">
        <v>3309</v>
      </c>
      <c r="P359" s="598" t="s">
        <v>3309</v>
      </c>
      <c r="Q359" s="598" t="s">
        <v>3309</v>
      </c>
      <c r="R359" s="598" t="s">
        <v>321</v>
      </c>
      <c r="S359" s="598" t="s">
        <v>321</v>
      </c>
      <c r="T359" s="598" t="s">
        <v>3309</v>
      </c>
      <c r="U359" s="598" t="s">
        <v>3309</v>
      </c>
      <c r="V359" s="598" t="s">
        <v>3309</v>
      </c>
      <c r="W359" s="598" t="s">
        <v>3309</v>
      </c>
      <c r="X359" s="598" t="s">
        <v>3309</v>
      </c>
      <c r="Y359" s="598" t="s">
        <v>321</v>
      </c>
      <c r="Z359" s="598" t="s">
        <v>321</v>
      </c>
      <c r="AA359" s="598" t="s">
        <v>3309</v>
      </c>
      <c r="AB359" s="598" t="s">
        <v>3309</v>
      </c>
      <c r="AC359" s="598" t="s">
        <v>3309</v>
      </c>
      <c r="AD359" s="598" t="s">
        <v>3309</v>
      </c>
      <c r="AE359" s="598" t="s">
        <v>3309</v>
      </c>
      <c r="AF359" s="598" t="s">
        <v>321</v>
      </c>
      <c r="AG359" s="598" t="s">
        <v>321</v>
      </c>
      <c r="AH359" s="598" t="s">
        <v>3309</v>
      </c>
      <c r="AI359" s="598" t="s">
        <v>321</v>
      </c>
      <c r="AJ359" s="599">
        <v>21</v>
      </c>
      <c r="AK359" s="600">
        <v>21</v>
      </c>
      <c r="AL359" s="601">
        <v>0</v>
      </c>
      <c r="AM359" s="601">
        <v>0</v>
      </c>
      <c r="AN359" s="599">
        <v>21</v>
      </c>
    </row>
    <row r="360" spans="1:40" ht="16.5" customHeight="1">
      <c r="A360" s="598" t="s">
        <v>3307</v>
      </c>
      <c r="B360" s="598" t="s">
        <v>3331</v>
      </c>
      <c r="C360" s="598" t="s">
        <v>2216</v>
      </c>
      <c r="D360" s="598" t="s">
        <v>2217</v>
      </c>
      <c r="E360" s="598" t="s">
        <v>321</v>
      </c>
      <c r="F360" s="598" t="s">
        <v>3309</v>
      </c>
      <c r="G360" s="598" t="s">
        <v>3309</v>
      </c>
      <c r="H360" s="598" t="s">
        <v>3309</v>
      </c>
      <c r="I360" s="598" t="s">
        <v>3309</v>
      </c>
      <c r="J360" s="598" t="s">
        <v>3309</v>
      </c>
      <c r="K360" s="598" t="s">
        <v>321</v>
      </c>
      <c r="L360" s="598" t="s">
        <v>321</v>
      </c>
      <c r="M360" s="598" t="s">
        <v>3309</v>
      </c>
      <c r="N360" s="598" t="s">
        <v>3309</v>
      </c>
      <c r="O360" s="598" t="s">
        <v>3309</v>
      </c>
      <c r="P360" s="598" t="s">
        <v>3309</v>
      </c>
      <c r="Q360" s="598" t="s">
        <v>3309</v>
      </c>
      <c r="R360" s="598" t="s">
        <v>321</v>
      </c>
      <c r="S360" s="598" t="s">
        <v>321</v>
      </c>
      <c r="T360" s="598" t="s">
        <v>3309</v>
      </c>
      <c r="U360" s="598" t="s">
        <v>3309</v>
      </c>
      <c r="V360" s="598" t="s">
        <v>3309</v>
      </c>
      <c r="W360" s="598" t="s">
        <v>3309</v>
      </c>
      <c r="X360" s="598" t="s">
        <v>3309</v>
      </c>
      <c r="Y360" s="598" t="s">
        <v>321</v>
      </c>
      <c r="Z360" s="598" t="s">
        <v>321</v>
      </c>
      <c r="AA360" s="598" t="s">
        <v>3309</v>
      </c>
      <c r="AB360" s="598" t="s">
        <v>3309</v>
      </c>
      <c r="AC360" s="598" t="s">
        <v>3309</v>
      </c>
      <c r="AD360" s="598" t="s">
        <v>3309</v>
      </c>
      <c r="AE360" s="598" t="s">
        <v>3309</v>
      </c>
      <c r="AF360" s="598" t="s">
        <v>321</v>
      </c>
      <c r="AG360" s="598" t="s">
        <v>321</v>
      </c>
      <c r="AH360" s="598" t="s">
        <v>3309</v>
      </c>
      <c r="AI360" s="598" t="s">
        <v>321</v>
      </c>
      <c r="AJ360" s="599">
        <v>21</v>
      </c>
      <c r="AK360" s="600">
        <v>21</v>
      </c>
      <c r="AL360" s="601">
        <v>0</v>
      </c>
      <c r="AM360" s="601">
        <v>0</v>
      </c>
      <c r="AN360" s="599">
        <v>21</v>
      </c>
    </row>
    <row r="361" spans="1:40" ht="16.5" customHeight="1">
      <c r="A361" s="598" t="s">
        <v>3307</v>
      </c>
      <c r="B361" s="598" t="s">
        <v>3331</v>
      </c>
      <c r="C361" s="598" t="s">
        <v>2693</v>
      </c>
      <c r="D361" s="598" t="s">
        <v>2694</v>
      </c>
      <c r="E361" s="598" t="s">
        <v>321</v>
      </c>
      <c r="F361" s="598" t="s">
        <v>3309</v>
      </c>
      <c r="G361" s="598" t="s">
        <v>3309</v>
      </c>
      <c r="H361" s="598" t="s">
        <v>3309</v>
      </c>
      <c r="I361" s="598" t="s">
        <v>3309</v>
      </c>
      <c r="J361" s="598" t="s">
        <v>3309</v>
      </c>
      <c r="K361" s="598" t="s">
        <v>321</v>
      </c>
      <c r="L361" s="598" t="s">
        <v>321</v>
      </c>
      <c r="M361" s="598" t="s">
        <v>3309</v>
      </c>
      <c r="N361" s="598" t="s">
        <v>3309</v>
      </c>
      <c r="O361" s="598" t="s">
        <v>3309</v>
      </c>
      <c r="P361" s="598" t="s">
        <v>3309</v>
      </c>
      <c r="Q361" s="598" t="s">
        <v>3309</v>
      </c>
      <c r="R361" s="598" t="s">
        <v>321</v>
      </c>
      <c r="S361" s="598" t="s">
        <v>321</v>
      </c>
      <c r="T361" s="598" t="s">
        <v>3309</v>
      </c>
      <c r="U361" s="598" t="s">
        <v>3309</v>
      </c>
      <c r="V361" s="598" t="s">
        <v>3309</v>
      </c>
      <c r="W361" s="598" t="s">
        <v>3309</v>
      </c>
      <c r="X361" s="598" t="s">
        <v>3309</v>
      </c>
      <c r="Y361" s="598" t="s">
        <v>321</v>
      </c>
      <c r="Z361" s="598" t="s">
        <v>321</v>
      </c>
      <c r="AA361" s="598" t="s">
        <v>3309</v>
      </c>
      <c r="AB361" s="598" t="s">
        <v>3309</v>
      </c>
      <c r="AC361" s="598" t="s">
        <v>3309</v>
      </c>
      <c r="AD361" s="598" t="s">
        <v>3309</v>
      </c>
      <c r="AE361" s="598" t="s">
        <v>3309</v>
      </c>
      <c r="AF361" s="598" t="s">
        <v>321</v>
      </c>
      <c r="AG361" s="598" t="s">
        <v>321</v>
      </c>
      <c r="AH361" s="598" t="s">
        <v>3309</v>
      </c>
      <c r="AI361" s="598" t="s">
        <v>321</v>
      </c>
      <c r="AJ361" s="599">
        <v>21</v>
      </c>
      <c r="AK361" s="600">
        <v>21</v>
      </c>
      <c r="AL361" s="601">
        <v>0</v>
      </c>
      <c r="AM361" s="601">
        <v>0</v>
      </c>
      <c r="AN361" s="599">
        <v>21</v>
      </c>
    </row>
    <row r="362" spans="1:40" ht="16.5" customHeight="1">
      <c r="A362" s="598" t="s">
        <v>3307</v>
      </c>
      <c r="B362" s="598" t="s">
        <v>3331</v>
      </c>
      <c r="C362" s="598" t="s">
        <v>2798</v>
      </c>
      <c r="D362" s="598" t="s">
        <v>2799</v>
      </c>
      <c r="E362" s="598" t="s">
        <v>321</v>
      </c>
      <c r="F362" s="598" t="s">
        <v>3309</v>
      </c>
      <c r="G362" s="598" t="s">
        <v>3309</v>
      </c>
      <c r="H362" s="598" t="s">
        <v>3309</v>
      </c>
      <c r="I362" s="598" t="s">
        <v>3309</v>
      </c>
      <c r="J362" s="598" t="s">
        <v>3309</v>
      </c>
      <c r="K362" s="598" t="s">
        <v>321</v>
      </c>
      <c r="L362" s="598" t="s">
        <v>321</v>
      </c>
      <c r="M362" s="598" t="s">
        <v>3309</v>
      </c>
      <c r="N362" s="598" t="s">
        <v>3309</v>
      </c>
      <c r="O362" s="598" t="s">
        <v>3309</v>
      </c>
      <c r="P362" s="598" t="s">
        <v>3309</v>
      </c>
      <c r="Q362" s="598" t="s">
        <v>3309</v>
      </c>
      <c r="R362" s="598" t="s">
        <v>321</v>
      </c>
      <c r="S362" s="598" t="s">
        <v>321</v>
      </c>
      <c r="T362" s="598" t="s">
        <v>3309</v>
      </c>
      <c r="U362" s="598" t="s">
        <v>3309</v>
      </c>
      <c r="V362" s="598" t="s">
        <v>3309</v>
      </c>
      <c r="W362" s="598" t="s">
        <v>3309</v>
      </c>
      <c r="X362" s="598" t="s">
        <v>3309</v>
      </c>
      <c r="Y362" s="598" t="s">
        <v>321</v>
      </c>
      <c r="Z362" s="598" t="s">
        <v>321</v>
      </c>
      <c r="AA362" s="598" t="s">
        <v>3309</v>
      </c>
      <c r="AB362" s="598" t="s">
        <v>3309</v>
      </c>
      <c r="AC362" s="598" t="s">
        <v>3309</v>
      </c>
      <c r="AD362" s="598" t="s">
        <v>3309</v>
      </c>
      <c r="AE362" s="598" t="s">
        <v>3309</v>
      </c>
      <c r="AF362" s="598" t="s">
        <v>321</v>
      </c>
      <c r="AG362" s="598" t="s">
        <v>321</v>
      </c>
      <c r="AH362" s="598" t="s">
        <v>3309</v>
      </c>
      <c r="AI362" s="598" t="s">
        <v>321</v>
      </c>
      <c r="AJ362" s="599">
        <v>21</v>
      </c>
      <c r="AK362" s="600">
        <v>21</v>
      </c>
      <c r="AL362" s="601">
        <v>0</v>
      </c>
      <c r="AM362" s="601">
        <v>0</v>
      </c>
      <c r="AN362" s="599">
        <v>21</v>
      </c>
    </row>
    <row r="363" spans="1:40" ht="16.5" customHeight="1">
      <c r="A363" s="598" t="s">
        <v>3307</v>
      </c>
      <c r="B363" s="598" t="s">
        <v>3331</v>
      </c>
      <c r="C363" s="598" t="s">
        <v>2214</v>
      </c>
      <c r="D363" s="598" t="s">
        <v>2215</v>
      </c>
      <c r="E363" s="598" t="s">
        <v>321</v>
      </c>
      <c r="F363" s="598" t="s">
        <v>3309</v>
      </c>
      <c r="G363" s="598" t="s">
        <v>3309</v>
      </c>
      <c r="H363" s="598" t="s">
        <v>3309</v>
      </c>
      <c r="I363" s="598" t="s">
        <v>3309</v>
      </c>
      <c r="J363" s="598" t="s">
        <v>3309</v>
      </c>
      <c r="K363" s="598" t="s">
        <v>321</v>
      </c>
      <c r="L363" s="598" t="s">
        <v>321</v>
      </c>
      <c r="M363" s="598" t="s">
        <v>3309</v>
      </c>
      <c r="N363" s="598" t="s">
        <v>3309</v>
      </c>
      <c r="O363" s="598" t="s">
        <v>3309</v>
      </c>
      <c r="P363" s="598" t="s">
        <v>3309</v>
      </c>
      <c r="Q363" s="598" t="s">
        <v>3312</v>
      </c>
      <c r="R363" s="598" t="s">
        <v>321</v>
      </c>
      <c r="S363" s="598" t="s">
        <v>321</v>
      </c>
      <c r="T363" s="598" t="s">
        <v>3309</v>
      </c>
      <c r="U363" s="598" t="s">
        <v>3309</v>
      </c>
      <c r="V363" s="598" t="s">
        <v>3309</v>
      </c>
      <c r="W363" s="598" t="s">
        <v>3309</v>
      </c>
      <c r="X363" s="598" t="s">
        <v>3309</v>
      </c>
      <c r="Y363" s="598" t="s">
        <v>321</v>
      </c>
      <c r="Z363" s="598" t="s">
        <v>321</v>
      </c>
      <c r="AA363" s="598" t="s">
        <v>3309</v>
      </c>
      <c r="AB363" s="598" t="s">
        <v>3309</v>
      </c>
      <c r="AC363" s="598" t="s">
        <v>3309</v>
      </c>
      <c r="AD363" s="598" t="s">
        <v>3309</v>
      </c>
      <c r="AE363" s="598" t="s">
        <v>3309</v>
      </c>
      <c r="AF363" s="598" t="s">
        <v>321</v>
      </c>
      <c r="AG363" s="598" t="s">
        <v>321</v>
      </c>
      <c r="AH363" s="598" t="s">
        <v>3309</v>
      </c>
      <c r="AI363" s="598" t="s">
        <v>321</v>
      </c>
      <c r="AJ363" s="599">
        <v>21</v>
      </c>
      <c r="AK363" s="600">
        <v>20</v>
      </c>
      <c r="AL363" s="602">
        <v>1</v>
      </c>
      <c r="AM363" s="601">
        <v>0</v>
      </c>
      <c r="AN363" s="599">
        <v>21</v>
      </c>
    </row>
    <row r="364" spans="1:40" ht="16.5" customHeight="1">
      <c r="A364" s="598" t="s">
        <v>3307</v>
      </c>
      <c r="B364" s="598" t="s">
        <v>3331</v>
      </c>
      <c r="C364" s="598" t="s">
        <v>2474</v>
      </c>
      <c r="D364" s="598" t="s">
        <v>2062</v>
      </c>
      <c r="E364" s="598" t="s">
        <v>321</v>
      </c>
      <c r="F364" s="598" t="s">
        <v>3309</v>
      </c>
      <c r="G364" s="598" t="s">
        <v>3309</v>
      </c>
      <c r="H364" s="598" t="s">
        <v>3309</v>
      </c>
      <c r="I364" s="598" t="s">
        <v>3309</v>
      </c>
      <c r="J364" s="598" t="s">
        <v>3309</v>
      </c>
      <c r="K364" s="598" t="s">
        <v>321</v>
      </c>
      <c r="L364" s="598" t="s">
        <v>321</v>
      </c>
      <c r="M364" s="598" t="s">
        <v>3309</v>
      </c>
      <c r="N364" s="598" t="s">
        <v>3309</v>
      </c>
      <c r="O364" s="598" t="s">
        <v>3309</v>
      </c>
      <c r="P364" s="598" t="s">
        <v>3309</v>
      </c>
      <c r="Q364" s="598" t="s">
        <v>3309</v>
      </c>
      <c r="R364" s="598" t="s">
        <v>321</v>
      </c>
      <c r="S364" s="598" t="s">
        <v>321</v>
      </c>
      <c r="T364" s="598" t="s">
        <v>3309</v>
      </c>
      <c r="U364" s="598" t="s">
        <v>3309</v>
      </c>
      <c r="V364" s="598" t="s">
        <v>3309</v>
      </c>
      <c r="W364" s="598" t="s">
        <v>3309</v>
      </c>
      <c r="X364" s="598" t="s">
        <v>3309</v>
      </c>
      <c r="Y364" s="598" t="s">
        <v>321</v>
      </c>
      <c r="Z364" s="598" t="s">
        <v>321</v>
      </c>
      <c r="AA364" s="598" t="s">
        <v>3309</v>
      </c>
      <c r="AB364" s="598" t="s">
        <v>3309</v>
      </c>
      <c r="AC364" s="598" t="s">
        <v>3309</v>
      </c>
      <c r="AD364" s="598" t="s">
        <v>3309</v>
      </c>
      <c r="AE364" s="598" t="s">
        <v>3309</v>
      </c>
      <c r="AF364" s="598" t="s">
        <v>321</v>
      </c>
      <c r="AG364" s="598" t="s">
        <v>321</v>
      </c>
      <c r="AH364" s="598" t="s">
        <v>3309</v>
      </c>
      <c r="AI364" s="598" t="s">
        <v>321</v>
      </c>
      <c r="AJ364" s="599">
        <v>21</v>
      </c>
      <c r="AK364" s="600">
        <v>21</v>
      </c>
      <c r="AL364" s="601">
        <v>0</v>
      </c>
      <c r="AM364" s="601">
        <v>0</v>
      </c>
      <c r="AN364" s="599">
        <v>21</v>
      </c>
    </row>
    <row r="365" spans="1:40" ht="16.5" customHeight="1">
      <c r="A365" s="598" t="s">
        <v>3307</v>
      </c>
      <c r="B365" s="598" t="s">
        <v>3331</v>
      </c>
      <c r="C365" s="598" t="s">
        <v>2733</v>
      </c>
      <c r="D365" s="598" t="s">
        <v>2062</v>
      </c>
      <c r="E365" s="598" t="s">
        <v>321</v>
      </c>
      <c r="F365" s="598" t="s">
        <v>3309</v>
      </c>
      <c r="G365" s="598" t="s">
        <v>3309</v>
      </c>
      <c r="H365" s="598" t="s">
        <v>3309</v>
      </c>
      <c r="I365" s="598" t="s">
        <v>3309</v>
      </c>
      <c r="J365" s="598" t="s">
        <v>3309</v>
      </c>
      <c r="K365" s="598" t="s">
        <v>321</v>
      </c>
      <c r="L365" s="598" t="s">
        <v>321</v>
      </c>
      <c r="M365" s="598" t="s">
        <v>3309</v>
      </c>
      <c r="N365" s="598" t="s">
        <v>3309</v>
      </c>
      <c r="O365" s="598" t="s">
        <v>3309</v>
      </c>
      <c r="P365" s="598" t="s">
        <v>3309</v>
      </c>
      <c r="Q365" s="598" t="s">
        <v>3309</v>
      </c>
      <c r="R365" s="598" t="s">
        <v>321</v>
      </c>
      <c r="S365" s="598" t="s">
        <v>321</v>
      </c>
      <c r="T365" s="598" t="s">
        <v>3309</v>
      </c>
      <c r="U365" s="598" t="s">
        <v>3309</v>
      </c>
      <c r="V365" s="598" t="s">
        <v>3309</v>
      </c>
      <c r="W365" s="598" t="s">
        <v>3309</v>
      </c>
      <c r="X365" s="598" t="s">
        <v>3309</v>
      </c>
      <c r="Y365" s="598" t="s">
        <v>321</v>
      </c>
      <c r="Z365" s="598" t="s">
        <v>321</v>
      </c>
      <c r="AA365" s="598" t="s">
        <v>3309</v>
      </c>
      <c r="AB365" s="598" t="s">
        <v>3309</v>
      </c>
      <c r="AC365" s="598" t="s">
        <v>3309</v>
      </c>
      <c r="AD365" s="598" t="s">
        <v>3309</v>
      </c>
      <c r="AE365" s="598" t="s">
        <v>3309</v>
      </c>
      <c r="AF365" s="598" t="s">
        <v>321</v>
      </c>
      <c r="AG365" s="598" t="s">
        <v>321</v>
      </c>
      <c r="AH365" s="598" t="s">
        <v>3309</v>
      </c>
      <c r="AI365" s="598" t="s">
        <v>321</v>
      </c>
      <c r="AJ365" s="599">
        <v>21</v>
      </c>
      <c r="AK365" s="600">
        <v>21</v>
      </c>
      <c r="AL365" s="601">
        <v>0</v>
      </c>
      <c r="AM365" s="601">
        <v>0</v>
      </c>
      <c r="AN365" s="599">
        <v>21</v>
      </c>
    </row>
    <row r="366" spans="1:40" ht="16.5" customHeight="1">
      <c r="A366" s="598" t="s">
        <v>3307</v>
      </c>
      <c r="B366" s="598" t="s">
        <v>3331</v>
      </c>
      <c r="C366" s="598" t="s">
        <v>1727</v>
      </c>
      <c r="D366" s="598" t="s">
        <v>1728</v>
      </c>
      <c r="E366" s="598" t="s">
        <v>321</v>
      </c>
      <c r="F366" s="598" t="s">
        <v>3309</v>
      </c>
      <c r="G366" s="598" t="s">
        <v>3309</v>
      </c>
      <c r="H366" s="598" t="s">
        <v>3309</v>
      </c>
      <c r="I366" s="598" t="s">
        <v>3309</v>
      </c>
      <c r="J366" s="598" t="s">
        <v>3309</v>
      </c>
      <c r="K366" s="598" t="s">
        <v>321</v>
      </c>
      <c r="L366" s="598" t="s">
        <v>321</v>
      </c>
      <c r="M366" s="598" t="s">
        <v>3309</v>
      </c>
      <c r="N366" s="598" t="s">
        <v>3309</v>
      </c>
      <c r="O366" s="598" t="s">
        <v>3309</v>
      </c>
      <c r="P366" s="598" t="s">
        <v>3309</v>
      </c>
      <c r="Q366" s="598" t="s">
        <v>3309</v>
      </c>
      <c r="R366" s="598" t="s">
        <v>321</v>
      </c>
      <c r="S366" s="598" t="s">
        <v>321</v>
      </c>
      <c r="T366" s="598" t="s">
        <v>3309</v>
      </c>
      <c r="U366" s="598" t="s">
        <v>3309</v>
      </c>
      <c r="V366" s="598" t="s">
        <v>3309</v>
      </c>
      <c r="W366" s="598" t="s">
        <v>3309</v>
      </c>
      <c r="X366" s="598" t="s">
        <v>3309</v>
      </c>
      <c r="Y366" s="598" t="s">
        <v>321</v>
      </c>
      <c r="Z366" s="598" t="s">
        <v>321</v>
      </c>
      <c r="AA366" s="598" t="s">
        <v>3309</v>
      </c>
      <c r="AB366" s="598" t="s">
        <v>3309</v>
      </c>
      <c r="AC366" s="598" t="s">
        <v>3309</v>
      </c>
      <c r="AD366" s="598" t="s">
        <v>3309</v>
      </c>
      <c r="AE366" s="598" t="s">
        <v>3309</v>
      </c>
      <c r="AF366" s="598" t="s">
        <v>321</v>
      </c>
      <c r="AG366" s="598" t="s">
        <v>321</v>
      </c>
      <c r="AH366" s="598" t="s">
        <v>3309</v>
      </c>
      <c r="AI366" s="598" t="s">
        <v>321</v>
      </c>
      <c r="AJ366" s="599">
        <v>21</v>
      </c>
      <c r="AK366" s="600">
        <v>21</v>
      </c>
      <c r="AL366" s="601">
        <v>0</v>
      </c>
      <c r="AM366" s="601">
        <v>0</v>
      </c>
      <c r="AN366" s="599">
        <v>21</v>
      </c>
    </row>
    <row r="367" spans="1:40" ht="16.5" customHeight="1">
      <c r="A367" s="598" t="s">
        <v>3307</v>
      </c>
      <c r="B367" s="598" t="s">
        <v>3331</v>
      </c>
      <c r="C367" s="598" t="s">
        <v>2229</v>
      </c>
      <c r="D367" s="598" t="s">
        <v>2230</v>
      </c>
      <c r="E367" s="598" t="s">
        <v>321</v>
      </c>
      <c r="F367" s="598" t="s">
        <v>3309</v>
      </c>
      <c r="G367" s="598" t="s">
        <v>3309</v>
      </c>
      <c r="H367" s="598" t="s">
        <v>3309</v>
      </c>
      <c r="I367" s="598" t="s">
        <v>3309</v>
      </c>
      <c r="J367" s="598" t="s">
        <v>3309</v>
      </c>
      <c r="K367" s="598" t="s">
        <v>321</v>
      </c>
      <c r="L367" s="598" t="s">
        <v>321</v>
      </c>
      <c r="M367" s="598" t="s">
        <v>3309</v>
      </c>
      <c r="N367" s="598" t="s">
        <v>3309</v>
      </c>
      <c r="O367" s="598" t="s">
        <v>3309</v>
      </c>
      <c r="P367" s="598" t="s">
        <v>3309</v>
      </c>
      <c r="Q367" s="598" t="s">
        <v>3309</v>
      </c>
      <c r="R367" s="598" t="s">
        <v>321</v>
      </c>
      <c r="S367" s="598" t="s">
        <v>321</v>
      </c>
      <c r="T367" s="598" t="s">
        <v>3309</v>
      </c>
      <c r="U367" s="598" t="s">
        <v>3309</v>
      </c>
      <c r="V367" s="598" t="s">
        <v>3309</v>
      </c>
      <c r="W367" s="598" t="s">
        <v>3309</v>
      </c>
      <c r="X367" s="598" t="s">
        <v>3309</v>
      </c>
      <c r="Y367" s="598" t="s">
        <v>321</v>
      </c>
      <c r="Z367" s="598" t="s">
        <v>321</v>
      </c>
      <c r="AA367" s="598" t="s">
        <v>3309</v>
      </c>
      <c r="AB367" s="598" t="s">
        <v>3309</v>
      </c>
      <c r="AC367" s="598" t="s">
        <v>3309</v>
      </c>
      <c r="AD367" s="598" t="s">
        <v>3309</v>
      </c>
      <c r="AE367" s="598" t="s">
        <v>3309</v>
      </c>
      <c r="AF367" s="598" t="s">
        <v>321</v>
      </c>
      <c r="AG367" s="598" t="s">
        <v>321</v>
      </c>
      <c r="AH367" s="598" t="s">
        <v>3309</v>
      </c>
      <c r="AI367" s="598" t="s">
        <v>321</v>
      </c>
      <c r="AJ367" s="599">
        <v>21</v>
      </c>
      <c r="AK367" s="600">
        <v>21</v>
      </c>
      <c r="AL367" s="601">
        <v>0</v>
      </c>
      <c r="AM367" s="601">
        <v>0</v>
      </c>
      <c r="AN367" s="599">
        <v>21</v>
      </c>
    </row>
    <row r="368" spans="1:40" ht="16.5" customHeight="1">
      <c r="A368" s="598" t="s">
        <v>3307</v>
      </c>
      <c r="B368" s="598" t="s">
        <v>3331</v>
      </c>
      <c r="C368" s="598" t="s">
        <v>1161</v>
      </c>
      <c r="D368" s="598" t="s">
        <v>1162</v>
      </c>
      <c r="E368" s="598" t="s">
        <v>321</v>
      </c>
      <c r="F368" s="598" t="s">
        <v>3309</v>
      </c>
      <c r="G368" s="598" t="s">
        <v>3309</v>
      </c>
      <c r="H368" s="598" t="s">
        <v>3309</v>
      </c>
      <c r="I368" s="598" t="s">
        <v>3309</v>
      </c>
      <c r="J368" s="598" t="s">
        <v>3309</v>
      </c>
      <c r="K368" s="598" t="s">
        <v>321</v>
      </c>
      <c r="L368" s="598" t="s">
        <v>321</v>
      </c>
      <c r="M368" s="598" t="s">
        <v>3309</v>
      </c>
      <c r="N368" s="598" t="s">
        <v>3309</v>
      </c>
      <c r="O368" s="598" t="s">
        <v>3309</v>
      </c>
      <c r="P368" s="598" t="s">
        <v>3309</v>
      </c>
      <c r="Q368" s="598" t="s">
        <v>3309</v>
      </c>
      <c r="R368" s="598" t="s">
        <v>321</v>
      </c>
      <c r="S368" s="598" t="s">
        <v>321</v>
      </c>
      <c r="T368" s="598" t="s">
        <v>3309</v>
      </c>
      <c r="U368" s="598" t="s">
        <v>3309</v>
      </c>
      <c r="V368" s="598" t="s">
        <v>3309</v>
      </c>
      <c r="W368" s="598" t="s">
        <v>3309</v>
      </c>
      <c r="X368" s="598" t="s">
        <v>3309</v>
      </c>
      <c r="Y368" s="598" t="s">
        <v>321</v>
      </c>
      <c r="Z368" s="598" t="s">
        <v>321</v>
      </c>
      <c r="AA368" s="598" t="s">
        <v>3309</v>
      </c>
      <c r="AB368" s="598" t="s">
        <v>3309</v>
      </c>
      <c r="AC368" s="598" t="s">
        <v>3309</v>
      </c>
      <c r="AD368" s="598" t="s">
        <v>3309</v>
      </c>
      <c r="AE368" s="598" t="s">
        <v>3309</v>
      </c>
      <c r="AF368" s="598" t="s">
        <v>321</v>
      </c>
      <c r="AG368" s="598" t="s">
        <v>321</v>
      </c>
      <c r="AH368" s="598" t="s">
        <v>3309</v>
      </c>
      <c r="AI368" s="598" t="s">
        <v>321</v>
      </c>
      <c r="AJ368" s="599">
        <v>21</v>
      </c>
      <c r="AK368" s="600">
        <v>21</v>
      </c>
      <c r="AL368" s="601">
        <v>0</v>
      </c>
      <c r="AM368" s="601">
        <v>0</v>
      </c>
      <c r="AN368" s="599">
        <v>21</v>
      </c>
    </row>
    <row r="369" spans="1:40" ht="16.5" customHeight="1">
      <c r="A369" s="598" t="s">
        <v>3307</v>
      </c>
      <c r="B369" s="598" t="s">
        <v>3331</v>
      </c>
      <c r="C369" s="598" t="s">
        <v>1163</v>
      </c>
      <c r="D369" s="598" t="s">
        <v>1164</v>
      </c>
      <c r="E369" s="598" t="s">
        <v>321</v>
      </c>
      <c r="F369" s="598" t="s">
        <v>3309</v>
      </c>
      <c r="G369" s="598" t="s">
        <v>3309</v>
      </c>
      <c r="H369" s="598" t="s">
        <v>3309</v>
      </c>
      <c r="I369" s="598" t="s">
        <v>3312</v>
      </c>
      <c r="J369" s="598" t="s">
        <v>3309</v>
      </c>
      <c r="K369" s="598" t="s">
        <v>321</v>
      </c>
      <c r="L369" s="598" t="s">
        <v>321</v>
      </c>
      <c r="M369" s="598" t="s">
        <v>3309</v>
      </c>
      <c r="N369" s="598" t="s">
        <v>3309</v>
      </c>
      <c r="O369" s="598" t="s">
        <v>3309</v>
      </c>
      <c r="P369" s="598" t="s">
        <v>3309</v>
      </c>
      <c r="Q369" s="598" t="s">
        <v>3309</v>
      </c>
      <c r="R369" s="598" t="s">
        <v>321</v>
      </c>
      <c r="S369" s="598" t="s">
        <v>321</v>
      </c>
      <c r="T369" s="598" t="s">
        <v>3309</v>
      </c>
      <c r="U369" s="598" t="s">
        <v>3309</v>
      </c>
      <c r="V369" s="598" t="s">
        <v>3314</v>
      </c>
      <c r="W369" s="598" t="s">
        <v>3309</v>
      </c>
      <c r="X369" s="598" t="s">
        <v>3309</v>
      </c>
      <c r="Y369" s="598" t="s">
        <v>321</v>
      </c>
      <c r="Z369" s="598" t="s">
        <v>321</v>
      </c>
      <c r="AA369" s="598" t="s">
        <v>3309</v>
      </c>
      <c r="AB369" s="598" t="s">
        <v>3309</v>
      </c>
      <c r="AC369" s="598" t="s">
        <v>3309</v>
      </c>
      <c r="AD369" s="598" t="s">
        <v>3309</v>
      </c>
      <c r="AE369" s="598" t="s">
        <v>3309</v>
      </c>
      <c r="AF369" s="598" t="s">
        <v>321</v>
      </c>
      <c r="AG369" s="598" t="s">
        <v>321</v>
      </c>
      <c r="AH369" s="598" t="s">
        <v>3309</v>
      </c>
      <c r="AI369" s="598" t="s">
        <v>321</v>
      </c>
      <c r="AJ369" s="599">
        <v>21</v>
      </c>
      <c r="AK369" s="603">
        <v>19.5</v>
      </c>
      <c r="AL369" s="603">
        <v>1.5</v>
      </c>
      <c r="AM369" s="601">
        <v>0</v>
      </c>
      <c r="AN369" s="599">
        <v>21</v>
      </c>
    </row>
    <row r="370" spans="1:40" ht="16.5" customHeight="1">
      <c r="A370" s="598" t="s">
        <v>3307</v>
      </c>
      <c r="B370" s="598" t="s">
        <v>3331</v>
      </c>
      <c r="C370" s="598" t="s">
        <v>2666</v>
      </c>
      <c r="D370" s="598" t="s">
        <v>2667</v>
      </c>
      <c r="E370" s="598" t="s">
        <v>321</v>
      </c>
      <c r="F370" s="598" t="s">
        <v>3309</v>
      </c>
      <c r="G370" s="598" t="s">
        <v>3309</v>
      </c>
      <c r="H370" s="598" t="s">
        <v>3309</v>
      </c>
      <c r="I370" s="598" t="s">
        <v>3309</v>
      </c>
      <c r="J370" s="598" t="s">
        <v>3309</v>
      </c>
      <c r="K370" s="598" t="s">
        <v>321</v>
      </c>
      <c r="L370" s="598" t="s">
        <v>321</v>
      </c>
      <c r="M370" s="598" t="s">
        <v>3309</v>
      </c>
      <c r="N370" s="598" t="s">
        <v>3309</v>
      </c>
      <c r="O370" s="598" t="s">
        <v>3309</v>
      </c>
      <c r="P370" s="598" t="s">
        <v>3309</v>
      </c>
      <c r="Q370" s="598" t="s">
        <v>3309</v>
      </c>
      <c r="R370" s="598" t="s">
        <v>321</v>
      </c>
      <c r="S370" s="598" t="s">
        <v>321</v>
      </c>
      <c r="T370" s="598" t="s">
        <v>3309</v>
      </c>
      <c r="U370" s="598" t="s">
        <v>3309</v>
      </c>
      <c r="V370" s="598" t="s">
        <v>3309</v>
      </c>
      <c r="W370" s="598" t="s">
        <v>3309</v>
      </c>
      <c r="X370" s="598" t="s">
        <v>3309</v>
      </c>
      <c r="Y370" s="598" t="s">
        <v>321</v>
      </c>
      <c r="Z370" s="598" t="s">
        <v>321</v>
      </c>
      <c r="AA370" s="598" t="s">
        <v>3309</v>
      </c>
      <c r="AB370" s="598" t="s">
        <v>3309</v>
      </c>
      <c r="AC370" s="598" t="s">
        <v>3309</v>
      </c>
      <c r="AD370" s="598" t="s">
        <v>3309</v>
      </c>
      <c r="AE370" s="598" t="s">
        <v>3309</v>
      </c>
      <c r="AF370" s="598" t="s">
        <v>321</v>
      </c>
      <c r="AG370" s="598" t="s">
        <v>321</v>
      </c>
      <c r="AH370" s="598" t="s">
        <v>3309</v>
      </c>
      <c r="AI370" s="598" t="s">
        <v>321</v>
      </c>
      <c r="AJ370" s="599">
        <v>21</v>
      </c>
      <c r="AK370" s="600">
        <v>21</v>
      </c>
      <c r="AL370" s="601">
        <v>0</v>
      </c>
      <c r="AM370" s="601">
        <v>0</v>
      </c>
      <c r="AN370" s="599">
        <v>21</v>
      </c>
    </row>
    <row r="371" spans="1:40" ht="16.5" customHeight="1">
      <c r="A371" s="598" t="s">
        <v>3307</v>
      </c>
      <c r="B371" s="598" t="s">
        <v>3331</v>
      </c>
      <c r="C371" s="598" t="s">
        <v>953</v>
      </c>
      <c r="D371" s="598" t="s">
        <v>954</v>
      </c>
      <c r="E371" s="598" t="s">
        <v>321</v>
      </c>
      <c r="F371" s="598" t="s">
        <v>3309</v>
      </c>
      <c r="G371" s="598" t="s">
        <v>3309</v>
      </c>
      <c r="H371" s="598" t="s">
        <v>3309</v>
      </c>
      <c r="I371" s="598" t="s">
        <v>3309</v>
      </c>
      <c r="J371" s="598" t="s">
        <v>3309</v>
      </c>
      <c r="K371" s="598" t="s">
        <v>321</v>
      </c>
      <c r="L371" s="598" t="s">
        <v>321</v>
      </c>
      <c r="M371" s="598" t="s">
        <v>3309</v>
      </c>
      <c r="N371" s="598" t="s">
        <v>3309</v>
      </c>
      <c r="O371" s="598" t="s">
        <v>3309</v>
      </c>
      <c r="P371" s="598" t="s">
        <v>3309</v>
      </c>
      <c r="Q371" s="598" t="s">
        <v>3309</v>
      </c>
      <c r="R371" s="598" t="s">
        <v>321</v>
      </c>
      <c r="S371" s="598" t="s">
        <v>321</v>
      </c>
      <c r="T371" s="598" t="s">
        <v>3309</v>
      </c>
      <c r="U371" s="598" t="s">
        <v>3309</v>
      </c>
      <c r="V371" s="598" t="s">
        <v>3309</v>
      </c>
      <c r="W371" s="598" t="s">
        <v>3309</v>
      </c>
      <c r="X371" s="598" t="s">
        <v>3309</v>
      </c>
      <c r="Y371" s="598" t="s">
        <v>321</v>
      </c>
      <c r="Z371" s="598" t="s">
        <v>321</v>
      </c>
      <c r="AA371" s="598" t="s">
        <v>3309</v>
      </c>
      <c r="AB371" s="598" t="s">
        <v>3309</v>
      </c>
      <c r="AC371" s="598" t="s">
        <v>3309</v>
      </c>
      <c r="AD371" s="598" t="s">
        <v>3309</v>
      </c>
      <c r="AE371" s="598" t="s">
        <v>3309</v>
      </c>
      <c r="AF371" s="598" t="s">
        <v>321</v>
      </c>
      <c r="AG371" s="598" t="s">
        <v>321</v>
      </c>
      <c r="AH371" s="598" t="s">
        <v>3309</v>
      </c>
      <c r="AI371" s="598" t="s">
        <v>321</v>
      </c>
      <c r="AJ371" s="599">
        <v>21</v>
      </c>
      <c r="AK371" s="600">
        <v>21</v>
      </c>
      <c r="AL371" s="601">
        <v>0</v>
      </c>
      <c r="AM371" s="601">
        <v>0</v>
      </c>
      <c r="AN371" s="599">
        <v>21</v>
      </c>
    </row>
    <row r="372" spans="1:40" ht="16.5" customHeight="1">
      <c r="A372" s="598" t="s">
        <v>3307</v>
      </c>
      <c r="B372" s="598" t="s">
        <v>3331</v>
      </c>
      <c r="C372" s="598" t="s">
        <v>2384</v>
      </c>
      <c r="D372" s="598" t="s">
        <v>2385</v>
      </c>
      <c r="E372" s="598" t="s">
        <v>321</v>
      </c>
      <c r="F372" s="598" t="s">
        <v>3309</v>
      </c>
      <c r="G372" s="598" t="s">
        <v>3309</v>
      </c>
      <c r="H372" s="598" t="s">
        <v>3309</v>
      </c>
      <c r="I372" s="598" t="s">
        <v>3309</v>
      </c>
      <c r="J372" s="598" t="s">
        <v>3309</v>
      </c>
      <c r="K372" s="598" t="s">
        <v>321</v>
      </c>
      <c r="L372" s="598" t="s">
        <v>321</v>
      </c>
      <c r="M372" s="598" t="s">
        <v>3309</v>
      </c>
      <c r="N372" s="598" t="s">
        <v>3309</v>
      </c>
      <c r="O372" s="598" t="s">
        <v>3309</v>
      </c>
      <c r="P372" s="598" t="s">
        <v>3309</v>
      </c>
      <c r="Q372" s="598" t="s">
        <v>3309</v>
      </c>
      <c r="R372" s="598" t="s">
        <v>321</v>
      </c>
      <c r="S372" s="598" t="s">
        <v>321</v>
      </c>
      <c r="T372" s="598" t="s">
        <v>3309</v>
      </c>
      <c r="U372" s="598" t="s">
        <v>3309</v>
      </c>
      <c r="V372" s="598" t="s">
        <v>3309</v>
      </c>
      <c r="W372" s="598" t="s">
        <v>3309</v>
      </c>
      <c r="X372" s="598" t="s">
        <v>3309</v>
      </c>
      <c r="Y372" s="598" t="s">
        <v>321</v>
      </c>
      <c r="Z372" s="598" t="s">
        <v>321</v>
      </c>
      <c r="AA372" s="598" t="s">
        <v>3309</v>
      </c>
      <c r="AB372" s="598" t="s">
        <v>3309</v>
      </c>
      <c r="AC372" s="598" t="s">
        <v>3309</v>
      </c>
      <c r="AD372" s="598" t="s">
        <v>3309</v>
      </c>
      <c r="AE372" s="598" t="s">
        <v>3309</v>
      </c>
      <c r="AF372" s="598" t="s">
        <v>321</v>
      </c>
      <c r="AG372" s="598" t="s">
        <v>321</v>
      </c>
      <c r="AH372" s="598" t="s">
        <v>3309</v>
      </c>
      <c r="AI372" s="598" t="s">
        <v>321</v>
      </c>
      <c r="AJ372" s="599">
        <v>21</v>
      </c>
      <c r="AK372" s="600">
        <v>21</v>
      </c>
      <c r="AL372" s="601">
        <v>0</v>
      </c>
      <c r="AM372" s="601">
        <v>0</v>
      </c>
      <c r="AN372" s="599">
        <v>21</v>
      </c>
    </row>
    <row r="373" spans="1:40" ht="16.5" customHeight="1">
      <c r="A373" s="598" t="s">
        <v>3307</v>
      </c>
      <c r="B373" s="598" t="s">
        <v>3331</v>
      </c>
      <c r="C373" s="598" t="s">
        <v>727</v>
      </c>
      <c r="D373" s="598" t="s">
        <v>406</v>
      </c>
      <c r="E373" s="598" t="s">
        <v>321</v>
      </c>
      <c r="F373" s="598" t="s">
        <v>3309</v>
      </c>
      <c r="G373" s="598" t="s">
        <v>3309</v>
      </c>
      <c r="H373" s="598" t="s">
        <v>3309</v>
      </c>
      <c r="I373" s="598" t="s">
        <v>3309</v>
      </c>
      <c r="J373" s="598" t="s">
        <v>3309</v>
      </c>
      <c r="K373" s="598" t="s">
        <v>321</v>
      </c>
      <c r="L373" s="598" t="s">
        <v>321</v>
      </c>
      <c r="M373" s="598" t="s">
        <v>3309</v>
      </c>
      <c r="N373" s="598" t="s">
        <v>3309</v>
      </c>
      <c r="O373" s="598" t="s">
        <v>3309</v>
      </c>
      <c r="P373" s="598" t="s">
        <v>3309</v>
      </c>
      <c r="Q373" s="598" t="s">
        <v>3309</v>
      </c>
      <c r="R373" s="598" t="s">
        <v>321</v>
      </c>
      <c r="S373" s="598" t="s">
        <v>321</v>
      </c>
      <c r="T373" s="598" t="s">
        <v>3309</v>
      </c>
      <c r="U373" s="598" t="s">
        <v>3309</v>
      </c>
      <c r="V373" s="598" t="s">
        <v>3309</v>
      </c>
      <c r="W373" s="598" t="s">
        <v>3309</v>
      </c>
      <c r="X373" s="598" t="s">
        <v>3309</v>
      </c>
      <c r="Y373" s="598" t="s">
        <v>321</v>
      </c>
      <c r="Z373" s="598" t="s">
        <v>321</v>
      </c>
      <c r="AA373" s="598" t="s">
        <v>3309</v>
      </c>
      <c r="AB373" s="598" t="s">
        <v>3309</v>
      </c>
      <c r="AC373" s="598" t="s">
        <v>3309</v>
      </c>
      <c r="AD373" s="598" t="s">
        <v>3309</v>
      </c>
      <c r="AE373" s="598" t="s">
        <v>3309</v>
      </c>
      <c r="AF373" s="598" t="s">
        <v>321</v>
      </c>
      <c r="AG373" s="598" t="s">
        <v>321</v>
      </c>
      <c r="AH373" s="598" t="s">
        <v>3309</v>
      </c>
      <c r="AI373" s="598" t="s">
        <v>321</v>
      </c>
      <c r="AJ373" s="599">
        <v>21</v>
      </c>
      <c r="AK373" s="600">
        <v>21</v>
      </c>
      <c r="AL373" s="601">
        <v>0</v>
      </c>
      <c r="AM373" s="601">
        <v>0</v>
      </c>
      <c r="AN373" s="599">
        <v>21</v>
      </c>
    </row>
    <row r="374" spans="1:40" ht="16.5" customHeight="1">
      <c r="A374" s="598" t="s">
        <v>3307</v>
      </c>
      <c r="B374" s="598" t="s">
        <v>3331</v>
      </c>
      <c r="C374" s="598" t="s">
        <v>2408</v>
      </c>
      <c r="D374" s="598" t="s">
        <v>2409</v>
      </c>
      <c r="E374" s="598" t="s">
        <v>321</v>
      </c>
      <c r="F374" s="598" t="s">
        <v>3309</v>
      </c>
      <c r="G374" s="598" t="s">
        <v>3309</v>
      </c>
      <c r="H374" s="598" t="s">
        <v>3309</v>
      </c>
      <c r="I374" s="598" t="s">
        <v>3309</v>
      </c>
      <c r="J374" s="598" t="s">
        <v>3309</v>
      </c>
      <c r="K374" s="598" t="s">
        <v>321</v>
      </c>
      <c r="L374" s="598" t="s">
        <v>321</v>
      </c>
      <c r="M374" s="598" t="s">
        <v>3309</v>
      </c>
      <c r="N374" s="598" t="s">
        <v>3309</v>
      </c>
      <c r="O374" s="598" t="s">
        <v>3309</v>
      </c>
      <c r="P374" s="598" t="s">
        <v>3309</v>
      </c>
      <c r="Q374" s="598" t="s">
        <v>3309</v>
      </c>
      <c r="R374" s="598" t="s">
        <v>321</v>
      </c>
      <c r="S374" s="598" t="s">
        <v>321</v>
      </c>
      <c r="T374" s="598" t="s">
        <v>3309</v>
      </c>
      <c r="U374" s="598" t="s">
        <v>3309</v>
      </c>
      <c r="V374" s="598" t="s">
        <v>3309</v>
      </c>
      <c r="W374" s="598" t="s">
        <v>3309</v>
      </c>
      <c r="X374" s="598" t="s">
        <v>3309</v>
      </c>
      <c r="Y374" s="598" t="s">
        <v>321</v>
      </c>
      <c r="Z374" s="598" t="s">
        <v>321</v>
      </c>
      <c r="AA374" s="598" t="s">
        <v>3309</v>
      </c>
      <c r="AB374" s="598" t="s">
        <v>3309</v>
      </c>
      <c r="AC374" s="598" t="s">
        <v>3309</v>
      </c>
      <c r="AD374" s="598" t="s">
        <v>3309</v>
      </c>
      <c r="AE374" s="598" t="s">
        <v>3309</v>
      </c>
      <c r="AF374" s="598" t="s">
        <v>321</v>
      </c>
      <c r="AG374" s="598" t="s">
        <v>321</v>
      </c>
      <c r="AH374" s="598" t="s">
        <v>3309</v>
      </c>
      <c r="AI374" s="598" t="s">
        <v>321</v>
      </c>
      <c r="AJ374" s="599">
        <v>21</v>
      </c>
      <c r="AK374" s="600">
        <v>21</v>
      </c>
      <c r="AL374" s="601">
        <v>0</v>
      </c>
      <c r="AM374" s="601">
        <v>0</v>
      </c>
      <c r="AN374" s="599">
        <v>21</v>
      </c>
    </row>
    <row r="375" spans="1:40" ht="16.5" customHeight="1">
      <c r="A375" s="598" t="s">
        <v>3307</v>
      </c>
      <c r="B375" s="598" t="s">
        <v>3331</v>
      </c>
      <c r="C375" s="598" t="s">
        <v>2435</v>
      </c>
      <c r="D375" s="598" t="s">
        <v>2436</v>
      </c>
      <c r="E375" s="598" t="s">
        <v>321</v>
      </c>
      <c r="F375" s="598" t="s">
        <v>3309</v>
      </c>
      <c r="G375" s="598" t="s">
        <v>3309</v>
      </c>
      <c r="H375" s="598" t="s">
        <v>3309</v>
      </c>
      <c r="I375" s="598" t="s">
        <v>3314</v>
      </c>
      <c r="J375" s="598" t="s">
        <v>3309</v>
      </c>
      <c r="K375" s="598" t="s">
        <v>321</v>
      </c>
      <c r="L375" s="598" t="s">
        <v>321</v>
      </c>
      <c r="M375" s="598" t="s">
        <v>3309</v>
      </c>
      <c r="N375" s="598" t="s">
        <v>3309</v>
      </c>
      <c r="O375" s="598" t="s">
        <v>3309</v>
      </c>
      <c r="P375" s="598" t="s">
        <v>3309</v>
      </c>
      <c r="Q375" s="598" t="s">
        <v>3309</v>
      </c>
      <c r="R375" s="598" t="s">
        <v>321</v>
      </c>
      <c r="S375" s="598" t="s">
        <v>321</v>
      </c>
      <c r="T375" s="598" t="s">
        <v>3309</v>
      </c>
      <c r="U375" s="598" t="s">
        <v>3309</v>
      </c>
      <c r="V375" s="598" t="s">
        <v>3314</v>
      </c>
      <c r="W375" s="598" t="s">
        <v>3309</v>
      </c>
      <c r="X375" s="598" t="s">
        <v>3309</v>
      </c>
      <c r="Y375" s="598" t="s">
        <v>321</v>
      </c>
      <c r="Z375" s="598" t="s">
        <v>321</v>
      </c>
      <c r="AA375" s="598" t="s">
        <v>3309</v>
      </c>
      <c r="AB375" s="598" t="s">
        <v>3309</v>
      </c>
      <c r="AC375" s="598" t="s">
        <v>3309</v>
      </c>
      <c r="AD375" s="598" t="s">
        <v>3309</v>
      </c>
      <c r="AE375" s="598" t="s">
        <v>3309</v>
      </c>
      <c r="AF375" s="598" t="s">
        <v>321</v>
      </c>
      <c r="AG375" s="598" t="s">
        <v>321</v>
      </c>
      <c r="AH375" s="598" t="s">
        <v>3309</v>
      </c>
      <c r="AI375" s="598" t="s">
        <v>321</v>
      </c>
      <c r="AJ375" s="599">
        <v>21</v>
      </c>
      <c r="AK375" s="600">
        <v>20</v>
      </c>
      <c r="AL375" s="602">
        <v>1</v>
      </c>
      <c r="AM375" s="601">
        <v>0</v>
      </c>
      <c r="AN375" s="599">
        <v>21</v>
      </c>
    </row>
    <row r="376" spans="1:40" ht="16.5" customHeight="1">
      <c r="A376" s="598" t="s">
        <v>3307</v>
      </c>
      <c r="B376" s="598" t="s">
        <v>3331</v>
      </c>
      <c r="C376" s="598" t="s">
        <v>1686</v>
      </c>
      <c r="D376" s="598" t="s">
        <v>1687</v>
      </c>
      <c r="E376" s="598" t="s">
        <v>321</v>
      </c>
      <c r="F376" s="598" t="s">
        <v>3309</v>
      </c>
      <c r="G376" s="598" t="s">
        <v>3309</v>
      </c>
      <c r="H376" s="598" t="s">
        <v>3309</v>
      </c>
      <c r="I376" s="598" t="s">
        <v>3309</v>
      </c>
      <c r="J376" s="598" t="s">
        <v>3309</v>
      </c>
      <c r="K376" s="598" t="s">
        <v>321</v>
      </c>
      <c r="L376" s="598" t="s">
        <v>321</v>
      </c>
      <c r="M376" s="598" t="s">
        <v>3309</v>
      </c>
      <c r="N376" s="598" t="s">
        <v>3309</v>
      </c>
      <c r="O376" s="598" t="s">
        <v>3309</v>
      </c>
      <c r="P376" s="598" t="s">
        <v>3309</v>
      </c>
      <c r="Q376" s="598" t="s">
        <v>3309</v>
      </c>
      <c r="R376" s="598" t="s">
        <v>321</v>
      </c>
      <c r="S376" s="598" t="s">
        <v>321</v>
      </c>
      <c r="T376" s="598" t="s">
        <v>3309</v>
      </c>
      <c r="U376" s="598" t="s">
        <v>3309</v>
      </c>
      <c r="V376" s="598" t="s">
        <v>3309</v>
      </c>
      <c r="W376" s="598" t="s">
        <v>3309</v>
      </c>
      <c r="X376" s="598" t="s">
        <v>3309</v>
      </c>
      <c r="Y376" s="598" t="s">
        <v>321</v>
      </c>
      <c r="Z376" s="598" t="s">
        <v>321</v>
      </c>
      <c r="AA376" s="598" t="s">
        <v>3309</v>
      </c>
      <c r="AB376" s="598" t="s">
        <v>3309</v>
      </c>
      <c r="AC376" s="598" t="s">
        <v>3309</v>
      </c>
      <c r="AD376" s="598" t="s">
        <v>3309</v>
      </c>
      <c r="AE376" s="598" t="s">
        <v>3309</v>
      </c>
      <c r="AF376" s="598" t="s">
        <v>321</v>
      </c>
      <c r="AG376" s="598" t="s">
        <v>321</v>
      </c>
      <c r="AH376" s="598" t="s">
        <v>3309</v>
      </c>
      <c r="AI376" s="598" t="s">
        <v>321</v>
      </c>
      <c r="AJ376" s="599">
        <v>21</v>
      </c>
      <c r="AK376" s="600">
        <v>21</v>
      </c>
      <c r="AL376" s="601">
        <v>0</v>
      </c>
      <c r="AM376" s="601">
        <v>0</v>
      </c>
      <c r="AN376" s="599">
        <v>21</v>
      </c>
    </row>
    <row r="377" spans="1:40" ht="16.5" customHeight="1">
      <c r="A377" s="598" t="s">
        <v>3307</v>
      </c>
      <c r="B377" s="598" t="s">
        <v>3331</v>
      </c>
      <c r="C377" s="598" t="s">
        <v>2117</v>
      </c>
      <c r="D377" s="598" t="s">
        <v>2118</v>
      </c>
      <c r="E377" s="598" t="s">
        <v>321</v>
      </c>
      <c r="F377" s="598" t="s">
        <v>3309</v>
      </c>
      <c r="G377" s="598" t="s">
        <v>3309</v>
      </c>
      <c r="H377" s="598" t="s">
        <v>3309</v>
      </c>
      <c r="I377" s="598" t="s">
        <v>3309</v>
      </c>
      <c r="J377" s="598" t="s">
        <v>3309</v>
      </c>
      <c r="K377" s="598" t="s">
        <v>321</v>
      </c>
      <c r="L377" s="598" t="s">
        <v>321</v>
      </c>
      <c r="M377" s="598" t="s">
        <v>3309</v>
      </c>
      <c r="N377" s="598" t="s">
        <v>3309</v>
      </c>
      <c r="O377" s="598" t="s">
        <v>3309</v>
      </c>
      <c r="P377" s="598" t="s">
        <v>3309</v>
      </c>
      <c r="Q377" s="598" t="s">
        <v>3309</v>
      </c>
      <c r="R377" s="598" t="s">
        <v>321</v>
      </c>
      <c r="S377" s="598" t="s">
        <v>321</v>
      </c>
      <c r="T377" s="598" t="s">
        <v>3309</v>
      </c>
      <c r="U377" s="598" t="s">
        <v>3309</v>
      </c>
      <c r="V377" s="598" t="s">
        <v>3309</v>
      </c>
      <c r="W377" s="598" t="s">
        <v>3309</v>
      </c>
      <c r="X377" s="598" t="s">
        <v>3309</v>
      </c>
      <c r="Y377" s="598" t="s">
        <v>321</v>
      </c>
      <c r="Z377" s="598" t="s">
        <v>321</v>
      </c>
      <c r="AA377" s="598" t="s">
        <v>3309</v>
      </c>
      <c r="AB377" s="598" t="s">
        <v>3309</v>
      </c>
      <c r="AC377" s="598" t="s">
        <v>3309</v>
      </c>
      <c r="AD377" s="598" t="s">
        <v>3309</v>
      </c>
      <c r="AE377" s="598" t="s">
        <v>3309</v>
      </c>
      <c r="AF377" s="598" t="s">
        <v>321</v>
      </c>
      <c r="AG377" s="598" t="s">
        <v>321</v>
      </c>
      <c r="AH377" s="598" t="s">
        <v>3309</v>
      </c>
      <c r="AI377" s="598" t="s">
        <v>321</v>
      </c>
      <c r="AJ377" s="599">
        <v>21</v>
      </c>
      <c r="AK377" s="600">
        <v>21</v>
      </c>
      <c r="AL377" s="601">
        <v>0</v>
      </c>
      <c r="AM377" s="601">
        <v>0</v>
      </c>
      <c r="AN377" s="599">
        <v>21</v>
      </c>
    </row>
    <row r="378" spans="1:40" ht="16.5" customHeight="1">
      <c r="A378" s="598" t="s">
        <v>3307</v>
      </c>
      <c r="B378" s="598" t="s">
        <v>3331</v>
      </c>
      <c r="C378" s="598" t="s">
        <v>2187</v>
      </c>
      <c r="D378" s="598" t="s">
        <v>2188</v>
      </c>
      <c r="E378" s="598" t="s">
        <v>321</v>
      </c>
      <c r="F378" s="598" t="s">
        <v>3309</v>
      </c>
      <c r="G378" s="598" t="s">
        <v>3309</v>
      </c>
      <c r="H378" s="598" t="s">
        <v>3309</v>
      </c>
      <c r="I378" s="598" t="s">
        <v>3309</v>
      </c>
      <c r="J378" s="598" t="s">
        <v>3309</v>
      </c>
      <c r="K378" s="598" t="s">
        <v>321</v>
      </c>
      <c r="L378" s="598" t="s">
        <v>321</v>
      </c>
      <c r="M378" s="598" t="s">
        <v>3309</v>
      </c>
      <c r="N378" s="598" t="s">
        <v>3309</v>
      </c>
      <c r="O378" s="598" t="s">
        <v>3309</v>
      </c>
      <c r="P378" s="598" t="s">
        <v>3309</v>
      </c>
      <c r="Q378" s="598" t="s">
        <v>3312</v>
      </c>
      <c r="R378" s="598" t="s">
        <v>321</v>
      </c>
      <c r="S378" s="598" t="s">
        <v>321</v>
      </c>
      <c r="T378" s="598" t="s">
        <v>3309</v>
      </c>
      <c r="U378" s="598" t="s">
        <v>3309</v>
      </c>
      <c r="V378" s="598" t="s">
        <v>3309</v>
      </c>
      <c r="W378" s="598" t="s">
        <v>3309</v>
      </c>
      <c r="X378" s="598" t="s">
        <v>3309</v>
      </c>
      <c r="Y378" s="598" t="s">
        <v>321</v>
      </c>
      <c r="Z378" s="598" t="s">
        <v>321</v>
      </c>
      <c r="AA378" s="598" t="s">
        <v>3309</v>
      </c>
      <c r="AB378" s="598" t="s">
        <v>3309</v>
      </c>
      <c r="AC378" s="598" t="s">
        <v>3312</v>
      </c>
      <c r="AD378" s="598" t="s">
        <v>3312</v>
      </c>
      <c r="AE378" s="598" t="s">
        <v>3309</v>
      </c>
      <c r="AF378" s="598" t="s">
        <v>321</v>
      </c>
      <c r="AG378" s="598" t="s">
        <v>321</v>
      </c>
      <c r="AH378" s="598" t="s">
        <v>3309</v>
      </c>
      <c r="AI378" s="598" t="s">
        <v>321</v>
      </c>
      <c r="AJ378" s="599">
        <v>21</v>
      </c>
      <c r="AK378" s="600">
        <v>18</v>
      </c>
      <c r="AL378" s="602">
        <v>3</v>
      </c>
      <c r="AM378" s="601">
        <v>0</v>
      </c>
      <c r="AN378" s="599">
        <v>21</v>
      </c>
    </row>
    <row r="379" spans="1:40" ht="16.5" customHeight="1">
      <c r="A379" s="598" t="s">
        <v>3307</v>
      </c>
      <c r="B379" s="598" t="s">
        <v>3331</v>
      </c>
      <c r="C379" s="598" t="s">
        <v>2826</v>
      </c>
      <c r="D379" s="598" t="s">
        <v>2827</v>
      </c>
      <c r="E379" s="598" t="s">
        <v>321</v>
      </c>
      <c r="F379" s="598" t="s">
        <v>3309</v>
      </c>
      <c r="G379" s="598" t="s">
        <v>3309</v>
      </c>
      <c r="H379" s="598" t="s">
        <v>3309</v>
      </c>
      <c r="I379" s="598" t="s">
        <v>3309</v>
      </c>
      <c r="J379" s="598" t="s">
        <v>3309</v>
      </c>
      <c r="K379" s="598" t="s">
        <v>321</v>
      </c>
      <c r="L379" s="598" t="s">
        <v>321</v>
      </c>
      <c r="M379" s="598" t="s">
        <v>3309</v>
      </c>
      <c r="N379" s="598" t="s">
        <v>3309</v>
      </c>
      <c r="O379" s="598" t="s">
        <v>3309</v>
      </c>
      <c r="P379" s="598" t="s">
        <v>3309</v>
      </c>
      <c r="Q379" s="598" t="s">
        <v>3309</v>
      </c>
      <c r="R379" s="598" t="s">
        <v>321</v>
      </c>
      <c r="S379" s="598" t="s">
        <v>321</v>
      </c>
      <c r="T379" s="598" t="s">
        <v>3309</v>
      </c>
      <c r="U379" s="598" t="s">
        <v>3309</v>
      </c>
      <c r="V379" s="598" t="s">
        <v>3309</v>
      </c>
      <c r="W379" s="598" t="s">
        <v>3309</v>
      </c>
      <c r="X379" s="598" t="s">
        <v>3309</v>
      </c>
      <c r="Y379" s="598" t="s">
        <v>321</v>
      </c>
      <c r="Z379" s="598" t="s">
        <v>321</v>
      </c>
      <c r="AA379" s="598" t="s">
        <v>3309</v>
      </c>
      <c r="AB379" s="598" t="s">
        <v>3309</v>
      </c>
      <c r="AC379" s="598" t="s">
        <v>3309</v>
      </c>
      <c r="AD379" s="598" t="s">
        <v>3309</v>
      </c>
      <c r="AE379" s="598" t="s">
        <v>3309</v>
      </c>
      <c r="AF379" s="598" t="s">
        <v>321</v>
      </c>
      <c r="AG379" s="598" t="s">
        <v>321</v>
      </c>
      <c r="AH379" s="598" t="s">
        <v>3309</v>
      </c>
      <c r="AI379" s="598" t="s">
        <v>321</v>
      </c>
      <c r="AJ379" s="599">
        <v>21</v>
      </c>
      <c r="AK379" s="600">
        <v>21</v>
      </c>
      <c r="AL379" s="601">
        <v>0</v>
      </c>
      <c r="AM379" s="601">
        <v>0</v>
      </c>
      <c r="AN379" s="599">
        <v>21</v>
      </c>
    </row>
    <row r="380" spans="1:40" ht="16.5" customHeight="1">
      <c r="A380" s="598" t="s">
        <v>3307</v>
      </c>
      <c r="B380" s="598" t="s">
        <v>3331</v>
      </c>
      <c r="C380" s="598" t="s">
        <v>1732</v>
      </c>
      <c r="D380" s="598" t="s">
        <v>1733</v>
      </c>
      <c r="E380" s="598" t="s">
        <v>321</v>
      </c>
      <c r="F380" s="598" t="s">
        <v>3309</v>
      </c>
      <c r="G380" s="598" t="s">
        <v>3309</v>
      </c>
      <c r="H380" s="598" t="s">
        <v>3309</v>
      </c>
      <c r="I380" s="598" t="s">
        <v>3309</v>
      </c>
      <c r="J380" s="598" t="s">
        <v>3309</v>
      </c>
      <c r="K380" s="598" t="s">
        <v>321</v>
      </c>
      <c r="L380" s="598" t="s">
        <v>321</v>
      </c>
      <c r="M380" s="598" t="s">
        <v>3309</v>
      </c>
      <c r="N380" s="598" t="s">
        <v>3312</v>
      </c>
      <c r="O380" s="598" t="s">
        <v>3309</v>
      </c>
      <c r="P380" s="598" t="s">
        <v>3309</v>
      </c>
      <c r="Q380" s="598" t="s">
        <v>3309</v>
      </c>
      <c r="R380" s="598" t="s">
        <v>321</v>
      </c>
      <c r="S380" s="598" t="s">
        <v>321</v>
      </c>
      <c r="T380" s="598" t="s">
        <v>3309</v>
      </c>
      <c r="U380" s="598" t="s">
        <v>3309</v>
      </c>
      <c r="V380" s="598" t="s">
        <v>3309</v>
      </c>
      <c r="W380" s="598" t="s">
        <v>3314</v>
      </c>
      <c r="X380" s="598" t="s">
        <v>3309</v>
      </c>
      <c r="Y380" s="598" t="s">
        <v>321</v>
      </c>
      <c r="Z380" s="598" t="s">
        <v>321</v>
      </c>
      <c r="AA380" s="598" t="s">
        <v>3309</v>
      </c>
      <c r="AB380" s="598" t="s">
        <v>3309</v>
      </c>
      <c r="AC380" s="598" t="s">
        <v>3309</v>
      </c>
      <c r="AD380" s="598" t="s">
        <v>3309</v>
      </c>
      <c r="AE380" s="598" t="s">
        <v>3309</v>
      </c>
      <c r="AF380" s="598" t="s">
        <v>321</v>
      </c>
      <c r="AG380" s="598" t="s">
        <v>321</v>
      </c>
      <c r="AH380" s="598" t="s">
        <v>3309</v>
      </c>
      <c r="AI380" s="598" t="s">
        <v>321</v>
      </c>
      <c r="AJ380" s="599">
        <v>21</v>
      </c>
      <c r="AK380" s="603">
        <v>19.5</v>
      </c>
      <c r="AL380" s="603">
        <v>1.5</v>
      </c>
      <c r="AM380" s="601">
        <v>0</v>
      </c>
      <c r="AN380" s="599">
        <v>21</v>
      </c>
    </row>
    <row r="381" spans="1:40" ht="16.5" customHeight="1">
      <c r="A381" s="598" t="s">
        <v>3307</v>
      </c>
      <c r="B381" s="598" t="s">
        <v>3331</v>
      </c>
      <c r="C381" s="598" t="s">
        <v>1439</v>
      </c>
      <c r="D381" s="598" t="s">
        <v>1440</v>
      </c>
      <c r="E381" s="598" t="s">
        <v>321</v>
      </c>
      <c r="F381" s="598" t="s">
        <v>3309</v>
      </c>
      <c r="G381" s="598" t="s">
        <v>3309</v>
      </c>
      <c r="H381" s="598" t="s">
        <v>3309</v>
      </c>
      <c r="I381" s="598" t="s">
        <v>3309</v>
      </c>
      <c r="J381" s="598" t="s">
        <v>3309</v>
      </c>
      <c r="K381" s="598" t="s">
        <v>321</v>
      </c>
      <c r="L381" s="598" t="s">
        <v>321</v>
      </c>
      <c r="M381" s="598" t="s">
        <v>3309</v>
      </c>
      <c r="N381" s="598" t="s">
        <v>3309</v>
      </c>
      <c r="O381" s="598" t="s">
        <v>3309</v>
      </c>
      <c r="P381" s="598" t="s">
        <v>3309</v>
      </c>
      <c r="Q381" s="598" t="s">
        <v>3309</v>
      </c>
      <c r="R381" s="598" t="s">
        <v>321</v>
      </c>
      <c r="S381" s="598" t="s">
        <v>321</v>
      </c>
      <c r="T381" s="598" t="s">
        <v>3309</v>
      </c>
      <c r="U381" s="598" t="s">
        <v>3309</v>
      </c>
      <c r="V381" s="598" t="s">
        <v>3309</v>
      </c>
      <c r="W381" s="598" t="s">
        <v>3309</v>
      </c>
      <c r="X381" s="598" t="s">
        <v>3309</v>
      </c>
      <c r="Y381" s="598" t="s">
        <v>321</v>
      </c>
      <c r="Z381" s="598" t="s">
        <v>321</v>
      </c>
      <c r="AA381" s="598" t="s">
        <v>3309</v>
      </c>
      <c r="AB381" s="598" t="s">
        <v>3309</v>
      </c>
      <c r="AC381" s="598" t="s">
        <v>3309</v>
      </c>
      <c r="AD381" s="598" t="s">
        <v>3309</v>
      </c>
      <c r="AE381" s="598" t="s">
        <v>3309</v>
      </c>
      <c r="AF381" s="598" t="s">
        <v>321</v>
      </c>
      <c r="AG381" s="598" t="s">
        <v>321</v>
      </c>
      <c r="AH381" s="598" t="s">
        <v>3309</v>
      </c>
      <c r="AI381" s="598" t="s">
        <v>321</v>
      </c>
      <c r="AJ381" s="599">
        <v>21</v>
      </c>
      <c r="AK381" s="600">
        <v>21</v>
      </c>
      <c r="AL381" s="601">
        <v>0</v>
      </c>
      <c r="AM381" s="601">
        <v>0</v>
      </c>
      <c r="AN381" s="599">
        <v>21</v>
      </c>
    </row>
    <row r="382" spans="1:40" ht="16.5" customHeight="1">
      <c r="A382" s="598" t="s">
        <v>3307</v>
      </c>
      <c r="B382" s="598" t="s">
        <v>3331</v>
      </c>
      <c r="C382" s="598" t="s">
        <v>1593</v>
      </c>
      <c r="D382" s="598" t="s">
        <v>1594</v>
      </c>
      <c r="E382" s="598" t="s">
        <v>321</v>
      </c>
      <c r="F382" s="598" t="s">
        <v>3309</v>
      </c>
      <c r="G382" s="598" t="s">
        <v>3309</v>
      </c>
      <c r="H382" s="598" t="s">
        <v>3309</v>
      </c>
      <c r="I382" s="598" t="s">
        <v>3309</v>
      </c>
      <c r="J382" s="598" t="s">
        <v>3309</v>
      </c>
      <c r="K382" s="598" t="s">
        <v>321</v>
      </c>
      <c r="L382" s="598" t="s">
        <v>321</v>
      </c>
      <c r="M382" s="598" t="s">
        <v>3309</v>
      </c>
      <c r="N382" s="598" t="s">
        <v>3309</v>
      </c>
      <c r="O382" s="598" t="s">
        <v>3309</v>
      </c>
      <c r="P382" s="598" t="s">
        <v>3309</v>
      </c>
      <c r="Q382" s="598" t="s">
        <v>3309</v>
      </c>
      <c r="R382" s="598" t="s">
        <v>321</v>
      </c>
      <c r="S382" s="598" t="s">
        <v>321</v>
      </c>
      <c r="T382" s="598" t="s">
        <v>3309</v>
      </c>
      <c r="U382" s="598" t="s">
        <v>3309</v>
      </c>
      <c r="V382" s="598" t="s">
        <v>3309</v>
      </c>
      <c r="W382" s="598" t="s">
        <v>3309</v>
      </c>
      <c r="X382" s="598" t="s">
        <v>3309</v>
      </c>
      <c r="Y382" s="598" t="s">
        <v>321</v>
      </c>
      <c r="Z382" s="598" t="s">
        <v>321</v>
      </c>
      <c r="AA382" s="598" t="s">
        <v>3309</v>
      </c>
      <c r="AB382" s="598" t="s">
        <v>3309</v>
      </c>
      <c r="AC382" s="598" t="s">
        <v>3309</v>
      </c>
      <c r="AD382" s="598" t="s">
        <v>3309</v>
      </c>
      <c r="AE382" s="598" t="s">
        <v>3309</v>
      </c>
      <c r="AF382" s="598" t="s">
        <v>321</v>
      </c>
      <c r="AG382" s="598" t="s">
        <v>321</v>
      </c>
      <c r="AH382" s="598" t="s">
        <v>3309</v>
      </c>
      <c r="AI382" s="598" t="s">
        <v>321</v>
      </c>
      <c r="AJ382" s="599">
        <v>21</v>
      </c>
      <c r="AK382" s="600">
        <v>21</v>
      </c>
      <c r="AL382" s="601">
        <v>0</v>
      </c>
      <c r="AM382" s="601">
        <v>0</v>
      </c>
      <c r="AN382" s="599">
        <v>21</v>
      </c>
    </row>
    <row r="383" spans="1:40" ht="16.5" customHeight="1">
      <c r="A383" s="598" t="s">
        <v>3307</v>
      </c>
      <c r="B383" s="598" t="s">
        <v>3331</v>
      </c>
      <c r="C383" s="598" t="s">
        <v>1167</v>
      </c>
      <c r="D383" s="598" t="s">
        <v>1168</v>
      </c>
      <c r="E383" s="598" t="s">
        <v>321</v>
      </c>
      <c r="F383" s="598" t="s">
        <v>3309</v>
      </c>
      <c r="G383" s="598" t="s">
        <v>3309</v>
      </c>
      <c r="H383" s="598" t="s">
        <v>3309</v>
      </c>
      <c r="I383" s="598" t="s">
        <v>3309</v>
      </c>
      <c r="J383" s="598" t="s">
        <v>3309</v>
      </c>
      <c r="K383" s="598" t="s">
        <v>321</v>
      </c>
      <c r="L383" s="598" t="s">
        <v>321</v>
      </c>
      <c r="M383" s="598" t="s">
        <v>3309</v>
      </c>
      <c r="N383" s="598" t="s">
        <v>3309</v>
      </c>
      <c r="O383" s="598" t="s">
        <v>3309</v>
      </c>
      <c r="P383" s="598" t="s">
        <v>3309</v>
      </c>
      <c r="Q383" s="598" t="s">
        <v>3309</v>
      </c>
      <c r="R383" s="598" t="s">
        <v>321</v>
      </c>
      <c r="S383" s="598" t="s">
        <v>321</v>
      </c>
      <c r="T383" s="598" t="s">
        <v>3309</v>
      </c>
      <c r="U383" s="598" t="s">
        <v>3309</v>
      </c>
      <c r="V383" s="598" t="s">
        <v>3309</v>
      </c>
      <c r="W383" s="598" t="s">
        <v>3309</v>
      </c>
      <c r="X383" s="598" t="s">
        <v>3309</v>
      </c>
      <c r="Y383" s="598" t="s">
        <v>321</v>
      </c>
      <c r="Z383" s="598" t="s">
        <v>321</v>
      </c>
      <c r="AA383" s="598" t="s">
        <v>3309</v>
      </c>
      <c r="AB383" s="598" t="s">
        <v>3309</v>
      </c>
      <c r="AC383" s="598" t="s">
        <v>3309</v>
      </c>
      <c r="AD383" s="598" t="s">
        <v>3309</v>
      </c>
      <c r="AE383" s="598" t="s">
        <v>3309</v>
      </c>
      <c r="AF383" s="598" t="s">
        <v>321</v>
      </c>
      <c r="AG383" s="598" t="s">
        <v>321</v>
      </c>
      <c r="AH383" s="598" t="s">
        <v>3309</v>
      </c>
      <c r="AI383" s="598" t="s">
        <v>321</v>
      </c>
      <c r="AJ383" s="599">
        <v>21</v>
      </c>
      <c r="AK383" s="600">
        <v>21</v>
      </c>
      <c r="AL383" s="601">
        <v>0</v>
      </c>
      <c r="AM383" s="601">
        <v>0</v>
      </c>
      <c r="AN383" s="599">
        <v>21</v>
      </c>
    </row>
    <row r="384" spans="1:40" ht="16.5" customHeight="1">
      <c r="A384" s="598" t="s">
        <v>3307</v>
      </c>
      <c r="B384" s="598" t="s">
        <v>3331</v>
      </c>
      <c r="C384" s="598" t="s">
        <v>1340</v>
      </c>
      <c r="D384" s="598" t="s">
        <v>1168</v>
      </c>
      <c r="E384" s="598" t="s">
        <v>321</v>
      </c>
      <c r="F384" s="598" t="s">
        <v>3309</v>
      </c>
      <c r="G384" s="598" t="s">
        <v>3309</v>
      </c>
      <c r="H384" s="598" t="s">
        <v>3309</v>
      </c>
      <c r="I384" s="598" t="s">
        <v>3314</v>
      </c>
      <c r="J384" s="598" t="s">
        <v>3309</v>
      </c>
      <c r="K384" s="598" t="s">
        <v>321</v>
      </c>
      <c r="L384" s="598" t="s">
        <v>321</v>
      </c>
      <c r="M384" s="598" t="s">
        <v>3309</v>
      </c>
      <c r="N384" s="598" t="s">
        <v>3309</v>
      </c>
      <c r="O384" s="598" t="s">
        <v>3309</v>
      </c>
      <c r="P384" s="598" t="s">
        <v>3309</v>
      </c>
      <c r="Q384" s="598" t="s">
        <v>3309</v>
      </c>
      <c r="R384" s="598" t="s">
        <v>321</v>
      </c>
      <c r="S384" s="598" t="s">
        <v>321</v>
      </c>
      <c r="T384" s="598" t="s">
        <v>3309</v>
      </c>
      <c r="U384" s="598" t="s">
        <v>3309</v>
      </c>
      <c r="V384" s="598" t="s">
        <v>3309</v>
      </c>
      <c r="W384" s="598" t="s">
        <v>3309</v>
      </c>
      <c r="X384" s="598" t="s">
        <v>3309</v>
      </c>
      <c r="Y384" s="598" t="s">
        <v>321</v>
      </c>
      <c r="Z384" s="598" t="s">
        <v>321</v>
      </c>
      <c r="AA384" s="598" t="s">
        <v>3309</v>
      </c>
      <c r="AB384" s="598" t="s">
        <v>3309</v>
      </c>
      <c r="AC384" s="598" t="s">
        <v>3309</v>
      </c>
      <c r="AD384" s="598" t="s">
        <v>3309</v>
      </c>
      <c r="AE384" s="598" t="s">
        <v>3309</v>
      </c>
      <c r="AF384" s="598" t="s">
        <v>321</v>
      </c>
      <c r="AG384" s="598" t="s">
        <v>321</v>
      </c>
      <c r="AH384" s="598" t="s">
        <v>3309</v>
      </c>
      <c r="AI384" s="598" t="s">
        <v>321</v>
      </c>
      <c r="AJ384" s="599">
        <v>21</v>
      </c>
      <c r="AK384" s="603">
        <v>20.5</v>
      </c>
      <c r="AL384" s="604">
        <v>0.5</v>
      </c>
      <c r="AM384" s="601">
        <v>0</v>
      </c>
      <c r="AN384" s="599">
        <v>21</v>
      </c>
    </row>
    <row r="385" spans="1:40" ht="16.5" customHeight="1">
      <c r="A385" s="598" t="s">
        <v>3307</v>
      </c>
      <c r="B385" s="598" t="s">
        <v>3331</v>
      </c>
      <c r="C385" s="598" t="s">
        <v>1740</v>
      </c>
      <c r="D385" s="598" t="s">
        <v>1741</v>
      </c>
      <c r="E385" s="598" t="s">
        <v>321</v>
      </c>
      <c r="F385" s="598" t="s">
        <v>3309</v>
      </c>
      <c r="G385" s="598" t="s">
        <v>3309</v>
      </c>
      <c r="H385" s="598" t="s">
        <v>3309</v>
      </c>
      <c r="I385" s="598" t="s">
        <v>3309</v>
      </c>
      <c r="J385" s="598" t="s">
        <v>3309</v>
      </c>
      <c r="K385" s="598" t="s">
        <v>321</v>
      </c>
      <c r="L385" s="598" t="s">
        <v>321</v>
      </c>
      <c r="M385" s="598" t="s">
        <v>3309</v>
      </c>
      <c r="N385" s="598" t="s">
        <v>3309</v>
      </c>
      <c r="O385" s="598" t="s">
        <v>3309</v>
      </c>
      <c r="P385" s="598" t="s">
        <v>3309</v>
      </c>
      <c r="Q385" s="598" t="s">
        <v>3312</v>
      </c>
      <c r="R385" s="598" t="s">
        <v>321</v>
      </c>
      <c r="S385" s="598" t="s">
        <v>321</v>
      </c>
      <c r="T385" s="598" t="s">
        <v>3309</v>
      </c>
      <c r="U385" s="598" t="s">
        <v>3309</v>
      </c>
      <c r="V385" s="598" t="s">
        <v>3309</v>
      </c>
      <c r="W385" s="598" t="s">
        <v>3309</v>
      </c>
      <c r="X385" s="598" t="s">
        <v>3309</v>
      </c>
      <c r="Y385" s="598" t="s">
        <v>321</v>
      </c>
      <c r="Z385" s="598" t="s">
        <v>321</v>
      </c>
      <c r="AA385" s="598" t="s">
        <v>3309</v>
      </c>
      <c r="AB385" s="598" t="s">
        <v>3309</v>
      </c>
      <c r="AC385" s="598" t="s">
        <v>3309</v>
      </c>
      <c r="AD385" s="598" t="s">
        <v>3309</v>
      </c>
      <c r="AE385" s="598" t="s">
        <v>3309</v>
      </c>
      <c r="AF385" s="598" t="s">
        <v>321</v>
      </c>
      <c r="AG385" s="598" t="s">
        <v>321</v>
      </c>
      <c r="AH385" s="598" t="s">
        <v>3309</v>
      </c>
      <c r="AI385" s="598" t="s">
        <v>321</v>
      </c>
      <c r="AJ385" s="599">
        <v>21</v>
      </c>
      <c r="AK385" s="600">
        <v>20</v>
      </c>
      <c r="AL385" s="602">
        <v>1</v>
      </c>
      <c r="AM385" s="601">
        <v>0</v>
      </c>
      <c r="AN385" s="599">
        <v>21</v>
      </c>
    </row>
    <row r="386" spans="1:40" ht="16.5" customHeight="1">
      <c r="A386" s="598" t="s">
        <v>3307</v>
      </c>
      <c r="B386" s="598" t="s">
        <v>3331</v>
      </c>
      <c r="C386" s="598" t="s">
        <v>1755</v>
      </c>
      <c r="D386" s="598" t="s">
        <v>1557</v>
      </c>
      <c r="E386" s="598" t="s">
        <v>321</v>
      </c>
      <c r="F386" s="598" t="s">
        <v>3309</v>
      </c>
      <c r="G386" s="598" t="s">
        <v>3309</v>
      </c>
      <c r="H386" s="598" t="s">
        <v>3309</v>
      </c>
      <c r="I386" s="598" t="s">
        <v>3309</v>
      </c>
      <c r="J386" s="598" t="s">
        <v>3309</v>
      </c>
      <c r="K386" s="598" t="s">
        <v>321</v>
      </c>
      <c r="L386" s="598" t="s">
        <v>321</v>
      </c>
      <c r="M386" s="598" t="s">
        <v>3309</v>
      </c>
      <c r="N386" s="598" t="s">
        <v>3309</v>
      </c>
      <c r="O386" s="598" t="s">
        <v>3309</v>
      </c>
      <c r="P386" s="598" t="s">
        <v>3309</v>
      </c>
      <c r="Q386" s="598" t="s">
        <v>3309</v>
      </c>
      <c r="R386" s="598" t="s">
        <v>321</v>
      </c>
      <c r="S386" s="598" t="s">
        <v>321</v>
      </c>
      <c r="T386" s="598" t="s">
        <v>3309</v>
      </c>
      <c r="U386" s="598" t="s">
        <v>3309</v>
      </c>
      <c r="V386" s="598" t="s">
        <v>3309</v>
      </c>
      <c r="W386" s="598" t="s">
        <v>3309</v>
      </c>
      <c r="X386" s="598" t="s">
        <v>3309</v>
      </c>
      <c r="Y386" s="598" t="s">
        <v>321</v>
      </c>
      <c r="Z386" s="598" t="s">
        <v>321</v>
      </c>
      <c r="AA386" s="598" t="s">
        <v>3309</v>
      </c>
      <c r="AB386" s="598" t="s">
        <v>3309</v>
      </c>
      <c r="AC386" s="598" t="s">
        <v>3309</v>
      </c>
      <c r="AD386" s="598" t="s">
        <v>3309</v>
      </c>
      <c r="AE386" s="598" t="s">
        <v>3309</v>
      </c>
      <c r="AF386" s="598" t="s">
        <v>321</v>
      </c>
      <c r="AG386" s="598" t="s">
        <v>321</v>
      </c>
      <c r="AH386" s="598" t="s">
        <v>3309</v>
      </c>
      <c r="AI386" s="598" t="s">
        <v>321</v>
      </c>
      <c r="AJ386" s="599">
        <v>21</v>
      </c>
      <c r="AK386" s="600">
        <v>21</v>
      </c>
      <c r="AL386" s="601">
        <v>0</v>
      </c>
      <c r="AM386" s="601">
        <v>0</v>
      </c>
      <c r="AN386" s="599">
        <v>21</v>
      </c>
    </row>
    <row r="387" spans="1:40" ht="16.5" customHeight="1">
      <c r="A387" s="598" t="s">
        <v>3307</v>
      </c>
      <c r="B387" s="598" t="s">
        <v>3331</v>
      </c>
      <c r="C387" s="598" t="s">
        <v>1658</v>
      </c>
      <c r="D387" s="598" t="s">
        <v>1659</v>
      </c>
      <c r="E387" s="598" t="s">
        <v>321</v>
      </c>
      <c r="F387" s="598" t="s">
        <v>3309</v>
      </c>
      <c r="G387" s="598" t="s">
        <v>3309</v>
      </c>
      <c r="H387" s="598" t="s">
        <v>3309</v>
      </c>
      <c r="I387" s="598" t="s">
        <v>3309</v>
      </c>
      <c r="J387" s="598" t="s">
        <v>3309</v>
      </c>
      <c r="K387" s="598" t="s">
        <v>321</v>
      </c>
      <c r="L387" s="598" t="s">
        <v>321</v>
      </c>
      <c r="M387" s="598" t="s">
        <v>3309</v>
      </c>
      <c r="N387" s="598" t="s">
        <v>3309</v>
      </c>
      <c r="O387" s="598" t="s">
        <v>3309</v>
      </c>
      <c r="P387" s="598" t="s">
        <v>3309</v>
      </c>
      <c r="Q387" s="598" t="s">
        <v>3309</v>
      </c>
      <c r="R387" s="598" t="s">
        <v>321</v>
      </c>
      <c r="S387" s="598" t="s">
        <v>321</v>
      </c>
      <c r="T387" s="598" t="s">
        <v>3309</v>
      </c>
      <c r="U387" s="598" t="s">
        <v>3309</v>
      </c>
      <c r="V387" s="598" t="s">
        <v>3309</v>
      </c>
      <c r="W387" s="598" t="s">
        <v>3309</v>
      </c>
      <c r="X387" s="598" t="s">
        <v>3309</v>
      </c>
      <c r="Y387" s="598" t="s">
        <v>321</v>
      </c>
      <c r="Z387" s="598" t="s">
        <v>321</v>
      </c>
      <c r="AA387" s="598" t="s">
        <v>3309</v>
      </c>
      <c r="AB387" s="598" t="s">
        <v>3309</v>
      </c>
      <c r="AC387" s="598" t="s">
        <v>3309</v>
      </c>
      <c r="AD387" s="598" t="s">
        <v>3309</v>
      </c>
      <c r="AE387" s="598" t="s">
        <v>3309</v>
      </c>
      <c r="AF387" s="598" t="s">
        <v>321</v>
      </c>
      <c r="AG387" s="598" t="s">
        <v>321</v>
      </c>
      <c r="AH387" s="598" t="s">
        <v>3309</v>
      </c>
      <c r="AI387" s="598" t="s">
        <v>321</v>
      </c>
      <c r="AJ387" s="599">
        <v>21</v>
      </c>
      <c r="AK387" s="600">
        <v>21</v>
      </c>
      <c r="AL387" s="601">
        <v>0</v>
      </c>
      <c r="AM387" s="601">
        <v>0</v>
      </c>
      <c r="AN387" s="599">
        <v>21</v>
      </c>
    </row>
    <row r="388" spans="1:40" ht="16.5" customHeight="1">
      <c r="A388" s="598" t="s">
        <v>3307</v>
      </c>
      <c r="B388" s="598" t="s">
        <v>3331</v>
      </c>
      <c r="C388" s="598" t="s">
        <v>2437</v>
      </c>
      <c r="D388" s="598" t="s">
        <v>2438</v>
      </c>
      <c r="E388" s="598" t="s">
        <v>321</v>
      </c>
      <c r="F388" s="598" t="s">
        <v>3309</v>
      </c>
      <c r="G388" s="598" t="s">
        <v>3309</v>
      </c>
      <c r="H388" s="598" t="s">
        <v>3309</v>
      </c>
      <c r="I388" s="598" t="s">
        <v>3309</v>
      </c>
      <c r="J388" s="598" t="s">
        <v>3309</v>
      </c>
      <c r="K388" s="598" t="s">
        <v>321</v>
      </c>
      <c r="L388" s="598" t="s">
        <v>321</v>
      </c>
      <c r="M388" s="598" t="s">
        <v>3309</v>
      </c>
      <c r="N388" s="598" t="s">
        <v>3309</v>
      </c>
      <c r="O388" s="598" t="s">
        <v>3309</v>
      </c>
      <c r="P388" s="598" t="s">
        <v>3309</v>
      </c>
      <c r="Q388" s="598" t="s">
        <v>3309</v>
      </c>
      <c r="R388" s="598" t="s">
        <v>321</v>
      </c>
      <c r="S388" s="598" t="s">
        <v>321</v>
      </c>
      <c r="T388" s="598" t="s">
        <v>3309</v>
      </c>
      <c r="U388" s="598" t="s">
        <v>3309</v>
      </c>
      <c r="V388" s="598" t="s">
        <v>3309</v>
      </c>
      <c r="W388" s="598" t="s">
        <v>3309</v>
      </c>
      <c r="X388" s="598" t="s">
        <v>3309</v>
      </c>
      <c r="Y388" s="598" t="s">
        <v>321</v>
      </c>
      <c r="Z388" s="598" t="s">
        <v>321</v>
      </c>
      <c r="AA388" s="598" t="s">
        <v>3309</v>
      </c>
      <c r="AB388" s="598" t="s">
        <v>3309</v>
      </c>
      <c r="AC388" s="598" t="s">
        <v>3309</v>
      </c>
      <c r="AD388" s="598" t="s">
        <v>3309</v>
      </c>
      <c r="AE388" s="598" t="s">
        <v>3309</v>
      </c>
      <c r="AF388" s="598" t="s">
        <v>321</v>
      </c>
      <c r="AG388" s="598" t="s">
        <v>321</v>
      </c>
      <c r="AH388" s="598" t="s">
        <v>3309</v>
      </c>
      <c r="AI388" s="598" t="s">
        <v>321</v>
      </c>
      <c r="AJ388" s="599">
        <v>21</v>
      </c>
      <c r="AK388" s="600">
        <v>21</v>
      </c>
      <c r="AL388" s="601">
        <v>0</v>
      </c>
      <c r="AM388" s="601">
        <v>0</v>
      </c>
      <c r="AN388" s="599">
        <v>21</v>
      </c>
    </row>
    <row r="389" spans="1:40" ht="16.5" customHeight="1">
      <c r="A389" s="598" t="s">
        <v>3307</v>
      </c>
      <c r="B389" s="598" t="s">
        <v>3331</v>
      </c>
      <c r="C389" s="598" t="s">
        <v>2201</v>
      </c>
      <c r="D389" s="598" t="s">
        <v>2202</v>
      </c>
      <c r="E389" s="598" t="s">
        <v>321</v>
      </c>
      <c r="F389" s="598" t="s">
        <v>3309</v>
      </c>
      <c r="G389" s="598" t="s">
        <v>3309</v>
      </c>
      <c r="H389" s="598" t="s">
        <v>3309</v>
      </c>
      <c r="I389" s="598" t="s">
        <v>3309</v>
      </c>
      <c r="J389" s="598" t="s">
        <v>3309</v>
      </c>
      <c r="K389" s="598" t="s">
        <v>321</v>
      </c>
      <c r="L389" s="598" t="s">
        <v>321</v>
      </c>
      <c r="M389" s="598" t="s">
        <v>3309</v>
      </c>
      <c r="N389" s="598" t="s">
        <v>3309</v>
      </c>
      <c r="O389" s="598" t="s">
        <v>3309</v>
      </c>
      <c r="P389" s="598" t="s">
        <v>3309</v>
      </c>
      <c r="Q389" s="598" t="s">
        <v>3309</v>
      </c>
      <c r="R389" s="598" t="s">
        <v>321</v>
      </c>
      <c r="S389" s="598" t="s">
        <v>321</v>
      </c>
      <c r="T389" s="598" t="s">
        <v>3309</v>
      </c>
      <c r="U389" s="598" t="s">
        <v>3309</v>
      </c>
      <c r="V389" s="598" t="s">
        <v>3309</v>
      </c>
      <c r="W389" s="598" t="s">
        <v>3309</v>
      </c>
      <c r="X389" s="598" t="s">
        <v>3309</v>
      </c>
      <c r="Y389" s="598" t="s">
        <v>321</v>
      </c>
      <c r="Z389" s="598" t="s">
        <v>321</v>
      </c>
      <c r="AA389" s="598" t="s">
        <v>3309</v>
      </c>
      <c r="AB389" s="598" t="s">
        <v>3309</v>
      </c>
      <c r="AC389" s="598" t="s">
        <v>3309</v>
      </c>
      <c r="AD389" s="598" t="s">
        <v>3309</v>
      </c>
      <c r="AE389" s="598" t="s">
        <v>3309</v>
      </c>
      <c r="AF389" s="598" t="s">
        <v>321</v>
      </c>
      <c r="AG389" s="598" t="s">
        <v>321</v>
      </c>
      <c r="AH389" s="598" t="s">
        <v>3309</v>
      </c>
      <c r="AI389" s="598" t="s">
        <v>321</v>
      </c>
      <c r="AJ389" s="599">
        <v>21</v>
      </c>
      <c r="AK389" s="600">
        <v>21</v>
      </c>
      <c r="AL389" s="601">
        <v>0</v>
      </c>
      <c r="AM389" s="601">
        <v>0</v>
      </c>
      <c r="AN389" s="599">
        <v>21</v>
      </c>
    </row>
    <row r="390" spans="1:40" ht="16.5" customHeight="1">
      <c r="A390" s="598" t="s">
        <v>3307</v>
      </c>
      <c r="B390" s="598" t="s">
        <v>3331</v>
      </c>
      <c r="C390" s="598" t="s">
        <v>2037</v>
      </c>
      <c r="D390" s="598" t="s">
        <v>2038</v>
      </c>
      <c r="E390" s="598" t="s">
        <v>321</v>
      </c>
      <c r="F390" s="598" t="s">
        <v>3309</v>
      </c>
      <c r="G390" s="598" t="s">
        <v>3309</v>
      </c>
      <c r="H390" s="598" t="s">
        <v>3309</v>
      </c>
      <c r="I390" s="598" t="s">
        <v>3309</v>
      </c>
      <c r="J390" s="598" t="s">
        <v>3309</v>
      </c>
      <c r="K390" s="598" t="s">
        <v>321</v>
      </c>
      <c r="L390" s="598" t="s">
        <v>321</v>
      </c>
      <c r="M390" s="598" t="s">
        <v>3309</v>
      </c>
      <c r="N390" s="598" t="s">
        <v>3309</v>
      </c>
      <c r="O390" s="598" t="s">
        <v>3309</v>
      </c>
      <c r="P390" s="598" t="s">
        <v>3309</v>
      </c>
      <c r="Q390" s="598" t="s">
        <v>3309</v>
      </c>
      <c r="R390" s="598" t="s">
        <v>321</v>
      </c>
      <c r="S390" s="598" t="s">
        <v>321</v>
      </c>
      <c r="T390" s="598" t="s">
        <v>3309</v>
      </c>
      <c r="U390" s="598" t="s">
        <v>3309</v>
      </c>
      <c r="V390" s="598" t="s">
        <v>3309</v>
      </c>
      <c r="W390" s="598" t="s">
        <v>3309</v>
      </c>
      <c r="X390" s="598" t="s">
        <v>3309</v>
      </c>
      <c r="Y390" s="598" t="s">
        <v>321</v>
      </c>
      <c r="Z390" s="598" t="s">
        <v>321</v>
      </c>
      <c r="AA390" s="598" t="s">
        <v>3309</v>
      </c>
      <c r="AB390" s="598" t="s">
        <v>3309</v>
      </c>
      <c r="AC390" s="598" t="s">
        <v>3309</v>
      </c>
      <c r="AD390" s="598" t="s">
        <v>3309</v>
      </c>
      <c r="AE390" s="598" t="s">
        <v>3309</v>
      </c>
      <c r="AF390" s="598" t="s">
        <v>321</v>
      </c>
      <c r="AG390" s="598" t="s">
        <v>321</v>
      </c>
      <c r="AH390" s="598" t="s">
        <v>3309</v>
      </c>
      <c r="AI390" s="598" t="s">
        <v>321</v>
      </c>
      <c r="AJ390" s="599">
        <v>21</v>
      </c>
      <c r="AK390" s="600">
        <v>21</v>
      </c>
      <c r="AL390" s="601">
        <v>0</v>
      </c>
      <c r="AM390" s="601">
        <v>0</v>
      </c>
      <c r="AN390" s="599">
        <v>21</v>
      </c>
    </row>
    <row r="391" spans="1:40" ht="16.5" customHeight="1">
      <c r="A391" s="598" t="s">
        <v>3307</v>
      </c>
      <c r="B391" s="598" t="s">
        <v>3331</v>
      </c>
      <c r="C391" s="598" t="s">
        <v>2511</v>
      </c>
      <c r="D391" s="598" t="s">
        <v>2512</v>
      </c>
      <c r="E391" s="598" t="s">
        <v>321</v>
      </c>
      <c r="F391" s="598" t="s">
        <v>3309</v>
      </c>
      <c r="G391" s="598" t="s">
        <v>3309</v>
      </c>
      <c r="H391" s="598" t="s">
        <v>3309</v>
      </c>
      <c r="I391" s="598" t="s">
        <v>3309</v>
      </c>
      <c r="J391" s="598" t="s">
        <v>3309</v>
      </c>
      <c r="K391" s="598" t="s">
        <v>321</v>
      </c>
      <c r="L391" s="598" t="s">
        <v>321</v>
      </c>
      <c r="M391" s="598" t="s">
        <v>3309</v>
      </c>
      <c r="N391" s="598" t="s">
        <v>3309</v>
      </c>
      <c r="O391" s="598" t="s">
        <v>3309</v>
      </c>
      <c r="P391" s="598" t="s">
        <v>3309</v>
      </c>
      <c r="Q391" s="598" t="s">
        <v>3309</v>
      </c>
      <c r="R391" s="598" t="s">
        <v>321</v>
      </c>
      <c r="S391" s="598" t="s">
        <v>321</v>
      </c>
      <c r="T391" s="598" t="s">
        <v>3309</v>
      </c>
      <c r="U391" s="598" t="s">
        <v>3309</v>
      </c>
      <c r="V391" s="598" t="s">
        <v>3309</v>
      </c>
      <c r="W391" s="598" t="s">
        <v>3309</v>
      </c>
      <c r="X391" s="598" t="s">
        <v>3309</v>
      </c>
      <c r="Y391" s="598" t="s">
        <v>321</v>
      </c>
      <c r="Z391" s="598" t="s">
        <v>321</v>
      </c>
      <c r="AA391" s="598" t="s">
        <v>3309</v>
      </c>
      <c r="AB391" s="598" t="s">
        <v>3309</v>
      </c>
      <c r="AC391" s="598" t="s">
        <v>3309</v>
      </c>
      <c r="AD391" s="598" t="s">
        <v>3309</v>
      </c>
      <c r="AE391" s="598" t="s">
        <v>3309</v>
      </c>
      <c r="AF391" s="598" t="s">
        <v>321</v>
      </c>
      <c r="AG391" s="598" t="s">
        <v>321</v>
      </c>
      <c r="AH391" s="598" t="s">
        <v>3309</v>
      </c>
      <c r="AI391" s="598" t="s">
        <v>321</v>
      </c>
      <c r="AJ391" s="599">
        <v>21</v>
      </c>
      <c r="AK391" s="600">
        <v>21</v>
      </c>
      <c r="AL391" s="601">
        <v>0</v>
      </c>
      <c r="AM391" s="601">
        <v>0</v>
      </c>
      <c r="AN391" s="599">
        <v>21</v>
      </c>
    </row>
    <row r="392" spans="1:40" ht="16.5" customHeight="1">
      <c r="A392" s="598" t="s">
        <v>3307</v>
      </c>
      <c r="B392" s="598" t="s">
        <v>3331</v>
      </c>
      <c r="C392" s="598" t="s">
        <v>2396</v>
      </c>
      <c r="D392" s="598" t="s">
        <v>2397</v>
      </c>
      <c r="E392" s="598" t="s">
        <v>321</v>
      </c>
      <c r="F392" s="598" t="s">
        <v>3309</v>
      </c>
      <c r="G392" s="598" t="s">
        <v>3309</v>
      </c>
      <c r="H392" s="598" t="s">
        <v>3309</v>
      </c>
      <c r="I392" s="598" t="s">
        <v>3309</v>
      </c>
      <c r="J392" s="598" t="s">
        <v>3309</v>
      </c>
      <c r="K392" s="598" t="s">
        <v>321</v>
      </c>
      <c r="L392" s="598" t="s">
        <v>321</v>
      </c>
      <c r="M392" s="598" t="s">
        <v>3309</v>
      </c>
      <c r="N392" s="598" t="s">
        <v>3309</v>
      </c>
      <c r="O392" s="598" t="s">
        <v>3309</v>
      </c>
      <c r="P392" s="598" t="s">
        <v>3309</v>
      </c>
      <c r="Q392" s="598" t="s">
        <v>3309</v>
      </c>
      <c r="R392" s="598" t="s">
        <v>321</v>
      </c>
      <c r="S392" s="598" t="s">
        <v>321</v>
      </c>
      <c r="T392" s="598" t="s">
        <v>3309</v>
      </c>
      <c r="U392" s="598" t="s">
        <v>3309</v>
      </c>
      <c r="V392" s="598" t="s">
        <v>3309</v>
      </c>
      <c r="W392" s="598" t="s">
        <v>3309</v>
      </c>
      <c r="X392" s="598" t="s">
        <v>3309</v>
      </c>
      <c r="Y392" s="598" t="s">
        <v>321</v>
      </c>
      <c r="Z392" s="598" t="s">
        <v>321</v>
      </c>
      <c r="AA392" s="598" t="s">
        <v>3309</v>
      </c>
      <c r="AB392" s="598" t="s">
        <v>3309</v>
      </c>
      <c r="AC392" s="598" t="s">
        <v>3309</v>
      </c>
      <c r="AD392" s="598" t="s">
        <v>3309</v>
      </c>
      <c r="AE392" s="598" t="s">
        <v>3309</v>
      </c>
      <c r="AF392" s="598" t="s">
        <v>321</v>
      </c>
      <c r="AG392" s="598" t="s">
        <v>321</v>
      </c>
      <c r="AH392" s="598" t="s">
        <v>3309</v>
      </c>
      <c r="AI392" s="598" t="s">
        <v>321</v>
      </c>
      <c r="AJ392" s="599">
        <v>21</v>
      </c>
      <c r="AK392" s="600">
        <v>21</v>
      </c>
      <c r="AL392" s="601">
        <v>0</v>
      </c>
      <c r="AM392" s="601">
        <v>0</v>
      </c>
      <c r="AN392" s="599">
        <v>21</v>
      </c>
    </row>
    <row r="393" spans="1:40" ht="16.5" customHeight="1">
      <c r="A393" s="598" t="s">
        <v>3307</v>
      </c>
      <c r="B393" s="598" t="s">
        <v>3331</v>
      </c>
      <c r="C393" s="598" t="s">
        <v>2676</v>
      </c>
      <c r="D393" s="598" t="s">
        <v>2677</v>
      </c>
      <c r="E393" s="598" t="s">
        <v>321</v>
      </c>
      <c r="F393" s="598" t="s">
        <v>3309</v>
      </c>
      <c r="G393" s="598" t="s">
        <v>3309</v>
      </c>
      <c r="H393" s="598" t="s">
        <v>3309</v>
      </c>
      <c r="I393" s="598" t="s">
        <v>3309</v>
      </c>
      <c r="J393" s="598" t="s">
        <v>3309</v>
      </c>
      <c r="K393" s="598" t="s">
        <v>321</v>
      </c>
      <c r="L393" s="598" t="s">
        <v>321</v>
      </c>
      <c r="M393" s="598" t="s">
        <v>3309</v>
      </c>
      <c r="N393" s="598" t="s">
        <v>3309</v>
      </c>
      <c r="O393" s="598" t="s">
        <v>3309</v>
      </c>
      <c r="P393" s="598" t="s">
        <v>3309</v>
      </c>
      <c r="Q393" s="598" t="s">
        <v>3309</v>
      </c>
      <c r="R393" s="598" t="s">
        <v>321</v>
      </c>
      <c r="S393" s="598" t="s">
        <v>321</v>
      </c>
      <c r="T393" s="598" t="s">
        <v>3309</v>
      </c>
      <c r="U393" s="598" t="s">
        <v>3309</v>
      </c>
      <c r="V393" s="598" t="s">
        <v>3309</v>
      </c>
      <c r="W393" s="598" t="s">
        <v>3309</v>
      </c>
      <c r="X393" s="598" t="s">
        <v>3309</v>
      </c>
      <c r="Y393" s="598" t="s">
        <v>321</v>
      </c>
      <c r="Z393" s="598" t="s">
        <v>321</v>
      </c>
      <c r="AA393" s="598" t="s">
        <v>3309</v>
      </c>
      <c r="AB393" s="598" t="s">
        <v>3309</v>
      </c>
      <c r="AC393" s="598" t="s">
        <v>3309</v>
      </c>
      <c r="AD393" s="598" t="s">
        <v>3309</v>
      </c>
      <c r="AE393" s="598" t="s">
        <v>3309</v>
      </c>
      <c r="AF393" s="598" t="s">
        <v>321</v>
      </c>
      <c r="AG393" s="598" t="s">
        <v>321</v>
      </c>
      <c r="AH393" s="598" t="s">
        <v>3309</v>
      </c>
      <c r="AI393" s="598" t="s">
        <v>321</v>
      </c>
      <c r="AJ393" s="599">
        <v>21</v>
      </c>
      <c r="AK393" s="600">
        <v>21</v>
      </c>
      <c r="AL393" s="601">
        <v>0</v>
      </c>
      <c r="AM393" s="601">
        <v>0</v>
      </c>
      <c r="AN393" s="599">
        <v>21</v>
      </c>
    </row>
    <row r="394" spans="1:40" ht="16.5" customHeight="1">
      <c r="A394" s="598" t="s">
        <v>3307</v>
      </c>
      <c r="B394" s="598" t="s">
        <v>3331</v>
      </c>
      <c r="C394" s="598" t="s">
        <v>421</v>
      </c>
      <c r="D394" s="598" t="s">
        <v>422</v>
      </c>
      <c r="E394" s="598" t="s">
        <v>321</v>
      </c>
      <c r="F394" s="598" t="s">
        <v>3309</v>
      </c>
      <c r="G394" s="598" t="s">
        <v>3309</v>
      </c>
      <c r="H394" s="598" t="s">
        <v>3309</v>
      </c>
      <c r="I394" s="598" t="s">
        <v>3309</v>
      </c>
      <c r="J394" s="598" t="s">
        <v>3309</v>
      </c>
      <c r="K394" s="598" t="s">
        <v>321</v>
      </c>
      <c r="L394" s="598" t="s">
        <v>321</v>
      </c>
      <c r="M394" s="598" t="s">
        <v>3309</v>
      </c>
      <c r="N394" s="598" t="s">
        <v>3309</v>
      </c>
      <c r="O394" s="598" t="s">
        <v>3309</v>
      </c>
      <c r="P394" s="598" t="s">
        <v>3309</v>
      </c>
      <c r="Q394" s="598" t="s">
        <v>3309</v>
      </c>
      <c r="R394" s="598" t="s">
        <v>321</v>
      </c>
      <c r="S394" s="598" t="s">
        <v>321</v>
      </c>
      <c r="T394" s="598" t="s">
        <v>3309</v>
      </c>
      <c r="U394" s="598" t="s">
        <v>3309</v>
      </c>
      <c r="V394" s="598" t="s">
        <v>3309</v>
      </c>
      <c r="W394" s="598" t="s">
        <v>3309</v>
      </c>
      <c r="X394" s="598" t="s">
        <v>3309</v>
      </c>
      <c r="Y394" s="598" t="s">
        <v>321</v>
      </c>
      <c r="Z394" s="598" t="s">
        <v>321</v>
      </c>
      <c r="AA394" s="598" t="s">
        <v>3309</v>
      </c>
      <c r="AB394" s="598" t="s">
        <v>3309</v>
      </c>
      <c r="AC394" s="598" t="s">
        <v>3309</v>
      </c>
      <c r="AD394" s="598" t="s">
        <v>3309</v>
      </c>
      <c r="AE394" s="598" t="s">
        <v>3309</v>
      </c>
      <c r="AF394" s="598" t="s">
        <v>321</v>
      </c>
      <c r="AG394" s="598" t="s">
        <v>321</v>
      </c>
      <c r="AH394" s="598" t="s">
        <v>3309</v>
      </c>
      <c r="AI394" s="598" t="s">
        <v>321</v>
      </c>
      <c r="AJ394" s="599">
        <v>21</v>
      </c>
      <c r="AK394" s="600">
        <v>21</v>
      </c>
      <c r="AL394" s="601">
        <v>0</v>
      </c>
      <c r="AM394" s="601">
        <v>0</v>
      </c>
      <c r="AN394" s="599">
        <v>21</v>
      </c>
    </row>
    <row r="395" spans="1:40" ht="16.5" customHeight="1">
      <c r="A395" s="598" t="s">
        <v>3307</v>
      </c>
      <c r="B395" s="598" t="s">
        <v>3331</v>
      </c>
      <c r="C395" s="598" t="s">
        <v>2150</v>
      </c>
      <c r="D395" s="598" t="s">
        <v>2151</v>
      </c>
      <c r="E395" s="598" t="s">
        <v>321</v>
      </c>
      <c r="F395" s="598" t="s">
        <v>3309</v>
      </c>
      <c r="G395" s="598" t="s">
        <v>3309</v>
      </c>
      <c r="H395" s="598" t="s">
        <v>3309</v>
      </c>
      <c r="I395" s="598" t="s">
        <v>3309</v>
      </c>
      <c r="J395" s="598" t="s">
        <v>3309</v>
      </c>
      <c r="K395" s="598" t="s">
        <v>321</v>
      </c>
      <c r="L395" s="598" t="s">
        <v>321</v>
      </c>
      <c r="M395" s="598" t="s">
        <v>3309</v>
      </c>
      <c r="N395" s="598" t="s">
        <v>3309</v>
      </c>
      <c r="O395" s="598" t="s">
        <v>3309</v>
      </c>
      <c r="P395" s="598" t="s">
        <v>3309</v>
      </c>
      <c r="Q395" s="598" t="s">
        <v>3309</v>
      </c>
      <c r="R395" s="598" t="s">
        <v>321</v>
      </c>
      <c r="S395" s="598" t="s">
        <v>321</v>
      </c>
      <c r="T395" s="598" t="s">
        <v>3309</v>
      </c>
      <c r="U395" s="598" t="s">
        <v>3309</v>
      </c>
      <c r="V395" s="598" t="s">
        <v>3309</v>
      </c>
      <c r="W395" s="598" t="s">
        <v>3309</v>
      </c>
      <c r="X395" s="598" t="s">
        <v>3309</v>
      </c>
      <c r="Y395" s="598" t="s">
        <v>321</v>
      </c>
      <c r="Z395" s="598" t="s">
        <v>321</v>
      </c>
      <c r="AA395" s="598" t="s">
        <v>3309</v>
      </c>
      <c r="AB395" s="598" t="s">
        <v>3309</v>
      </c>
      <c r="AC395" s="598" t="s">
        <v>3309</v>
      </c>
      <c r="AD395" s="598" t="s">
        <v>3309</v>
      </c>
      <c r="AE395" s="598" t="s">
        <v>3309</v>
      </c>
      <c r="AF395" s="598" t="s">
        <v>321</v>
      </c>
      <c r="AG395" s="598" t="s">
        <v>321</v>
      </c>
      <c r="AH395" s="598" t="s">
        <v>3309</v>
      </c>
      <c r="AI395" s="598" t="s">
        <v>321</v>
      </c>
      <c r="AJ395" s="599">
        <v>21</v>
      </c>
      <c r="AK395" s="600">
        <v>21</v>
      </c>
      <c r="AL395" s="601">
        <v>0</v>
      </c>
      <c r="AM395" s="601">
        <v>0</v>
      </c>
      <c r="AN395" s="599">
        <v>21</v>
      </c>
    </row>
    <row r="396" spans="1:40" ht="16.5" customHeight="1">
      <c r="A396" s="598" t="s">
        <v>3307</v>
      </c>
      <c r="B396" s="598" t="s">
        <v>3331</v>
      </c>
      <c r="C396" s="598" t="s">
        <v>2382</v>
      </c>
      <c r="D396" s="598" t="s">
        <v>2383</v>
      </c>
      <c r="E396" s="598" t="s">
        <v>321</v>
      </c>
      <c r="F396" s="598" t="s">
        <v>3309</v>
      </c>
      <c r="G396" s="598" t="s">
        <v>3309</v>
      </c>
      <c r="H396" s="598" t="s">
        <v>3309</v>
      </c>
      <c r="I396" s="598" t="s">
        <v>3309</v>
      </c>
      <c r="J396" s="598" t="s">
        <v>3309</v>
      </c>
      <c r="K396" s="598" t="s">
        <v>321</v>
      </c>
      <c r="L396" s="598" t="s">
        <v>321</v>
      </c>
      <c r="M396" s="598" t="s">
        <v>3309</v>
      </c>
      <c r="N396" s="598" t="s">
        <v>3312</v>
      </c>
      <c r="O396" s="598" t="s">
        <v>3309</v>
      </c>
      <c r="P396" s="598" t="s">
        <v>3309</v>
      </c>
      <c r="Q396" s="598" t="s">
        <v>3309</v>
      </c>
      <c r="R396" s="598" t="s">
        <v>321</v>
      </c>
      <c r="S396" s="598" t="s">
        <v>321</v>
      </c>
      <c r="T396" s="598" t="s">
        <v>3309</v>
      </c>
      <c r="U396" s="598" t="s">
        <v>3309</v>
      </c>
      <c r="V396" s="598" t="s">
        <v>3309</v>
      </c>
      <c r="W396" s="598" t="s">
        <v>3309</v>
      </c>
      <c r="X396" s="598" t="s">
        <v>3309</v>
      </c>
      <c r="Y396" s="598" t="s">
        <v>321</v>
      </c>
      <c r="Z396" s="598" t="s">
        <v>321</v>
      </c>
      <c r="AA396" s="598" t="s">
        <v>3309</v>
      </c>
      <c r="AB396" s="598" t="s">
        <v>3309</v>
      </c>
      <c r="AC396" s="598" t="s">
        <v>3309</v>
      </c>
      <c r="AD396" s="598" t="s">
        <v>3309</v>
      </c>
      <c r="AE396" s="598" t="s">
        <v>3309</v>
      </c>
      <c r="AF396" s="598" t="s">
        <v>321</v>
      </c>
      <c r="AG396" s="598" t="s">
        <v>321</v>
      </c>
      <c r="AH396" s="598" t="s">
        <v>3309</v>
      </c>
      <c r="AI396" s="598" t="s">
        <v>321</v>
      </c>
      <c r="AJ396" s="599">
        <v>21</v>
      </c>
      <c r="AK396" s="600">
        <v>20</v>
      </c>
      <c r="AL396" s="602">
        <v>1</v>
      </c>
      <c r="AM396" s="601">
        <v>0</v>
      </c>
      <c r="AN396" s="599">
        <v>21</v>
      </c>
    </row>
    <row r="397" spans="1:40" ht="16.5" customHeight="1">
      <c r="A397" s="598" t="s">
        <v>3307</v>
      </c>
      <c r="B397" s="598" t="s">
        <v>3331</v>
      </c>
      <c r="C397" s="598" t="s">
        <v>1435</v>
      </c>
      <c r="D397" s="598" t="s">
        <v>1436</v>
      </c>
      <c r="E397" s="598" t="s">
        <v>321</v>
      </c>
      <c r="F397" s="598" t="s">
        <v>3309</v>
      </c>
      <c r="G397" s="598" t="s">
        <v>3309</v>
      </c>
      <c r="H397" s="598" t="s">
        <v>3309</v>
      </c>
      <c r="I397" s="598" t="s">
        <v>3309</v>
      </c>
      <c r="J397" s="598" t="s">
        <v>3309</v>
      </c>
      <c r="K397" s="598" t="s">
        <v>321</v>
      </c>
      <c r="L397" s="598" t="s">
        <v>321</v>
      </c>
      <c r="M397" s="598" t="s">
        <v>3309</v>
      </c>
      <c r="N397" s="598" t="s">
        <v>3309</v>
      </c>
      <c r="O397" s="598" t="s">
        <v>3309</v>
      </c>
      <c r="P397" s="598" t="s">
        <v>3309</v>
      </c>
      <c r="Q397" s="598" t="s">
        <v>3309</v>
      </c>
      <c r="R397" s="598" t="s">
        <v>321</v>
      </c>
      <c r="S397" s="598" t="s">
        <v>321</v>
      </c>
      <c r="T397" s="598" t="s">
        <v>3309</v>
      </c>
      <c r="U397" s="598" t="s">
        <v>3309</v>
      </c>
      <c r="V397" s="598" t="s">
        <v>3309</v>
      </c>
      <c r="W397" s="598" t="s">
        <v>3312</v>
      </c>
      <c r="X397" s="598" t="s">
        <v>3312</v>
      </c>
      <c r="Y397" s="598" t="s">
        <v>321</v>
      </c>
      <c r="Z397" s="598" t="s">
        <v>321</v>
      </c>
      <c r="AA397" s="598" t="s">
        <v>3309</v>
      </c>
      <c r="AB397" s="598" t="s">
        <v>3309</v>
      </c>
      <c r="AC397" s="598" t="s">
        <v>3309</v>
      </c>
      <c r="AD397" s="598" t="s">
        <v>3309</v>
      </c>
      <c r="AE397" s="598" t="s">
        <v>3309</v>
      </c>
      <c r="AF397" s="598" t="s">
        <v>321</v>
      </c>
      <c r="AG397" s="598" t="s">
        <v>321</v>
      </c>
      <c r="AH397" s="598" t="s">
        <v>3309</v>
      </c>
      <c r="AI397" s="598" t="s">
        <v>321</v>
      </c>
      <c r="AJ397" s="599">
        <v>21</v>
      </c>
      <c r="AK397" s="600">
        <v>19</v>
      </c>
      <c r="AL397" s="602">
        <v>2</v>
      </c>
      <c r="AM397" s="601">
        <v>0</v>
      </c>
      <c r="AN397" s="599">
        <v>21</v>
      </c>
    </row>
    <row r="398" spans="1:40" ht="16.5" customHeight="1">
      <c r="A398" s="598" t="s">
        <v>3307</v>
      </c>
      <c r="B398" s="598" t="s">
        <v>3331</v>
      </c>
      <c r="C398" s="598" t="s">
        <v>2447</v>
      </c>
      <c r="D398" s="598" t="s">
        <v>2448</v>
      </c>
      <c r="E398" s="598" t="s">
        <v>321</v>
      </c>
      <c r="F398" s="598" t="s">
        <v>3309</v>
      </c>
      <c r="G398" s="598" t="s">
        <v>3309</v>
      </c>
      <c r="H398" s="598" t="s">
        <v>3309</v>
      </c>
      <c r="I398" s="598" t="s">
        <v>3309</v>
      </c>
      <c r="J398" s="598" t="s">
        <v>3309</v>
      </c>
      <c r="K398" s="598" t="s">
        <v>321</v>
      </c>
      <c r="L398" s="598" t="s">
        <v>321</v>
      </c>
      <c r="M398" s="598" t="s">
        <v>3309</v>
      </c>
      <c r="N398" s="598" t="s">
        <v>3309</v>
      </c>
      <c r="O398" s="598" t="s">
        <v>3309</v>
      </c>
      <c r="P398" s="598" t="s">
        <v>3309</v>
      </c>
      <c r="Q398" s="598" t="s">
        <v>3309</v>
      </c>
      <c r="R398" s="598" t="s">
        <v>321</v>
      </c>
      <c r="S398" s="598" t="s">
        <v>321</v>
      </c>
      <c r="T398" s="598" t="s">
        <v>3309</v>
      </c>
      <c r="U398" s="598" t="s">
        <v>3309</v>
      </c>
      <c r="V398" s="598" t="s">
        <v>3309</v>
      </c>
      <c r="W398" s="598" t="s">
        <v>3309</v>
      </c>
      <c r="X398" s="598" t="s">
        <v>3309</v>
      </c>
      <c r="Y398" s="598" t="s">
        <v>321</v>
      </c>
      <c r="Z398" s="598" t="s">
        <v>321</v>
      </c>
      <c r="AA398" s="598" t="s">
        <v>3309</v>
      </c>
      <c r="AB398" s="598" t="s">
        <v>3309</v>
      </c>
      <c r="AC398" s="598" t="s">
        <v>3309</v>
      </c>
      <c r="AD398" s="598" t="s">
        <v>3309</v>
      </c>
      <c r="AE398" s="598" t="s">
        <v>3309</v>
      </c>
      <c r="AF398" s="598" t="s">
        <v>321</v>
      </c>
      <c r="AG398" s="598" t="s">
        <v>321</v>
      </c>
      <c r="AH398" s="598" t="s">
        <v>3309</v>
      </c>
      <c r="AI398" s="598" t="s">
        <v>321</v>
      </c>
      <c r="AJ398" s="599">
        <v>21</v>
      </c>
      <c r="AK398" s="600">
        <v>21</v>
      </c>
      <c r="AL398" s="601">
        <v>0</v>
      </c>
      <c r="AM398" s="601">
        <v>0</v>
      </c>
      <c r="AN398" s="599">
        <v>21</v>
      </c>
    </row>
    <row r="399" spans="1:40" ht="16.5" customHeight="1">
      <c r="A399" s="598" t="s">
        <v>3307</v>
      </c>
      <c r="B399" s="598" t="s">
        <v>3331</v>
      </c>
      <c r="C399" s="598" t="s">
        <v>2266</v>
      </c>
      <c r="D399" s="598" t="s">
        <v>2267</v>
      </c>
      <c r="E399" s="598" t="s">
        <v>321</v>
      </c>
      <c r="F399" s="598" t="s">
        <v>3309</v>
      </c>
      <c r="G399" s="598" t="s">
        <v>3309</v>
      </c>
      <c r="H399" s="598" t="s">
        <v>3309</v>
      </c>
      <c r="I399" s="598" t="s">
        <v>3309</v>
      </c>
      <c r="J399" s="598" t="s">
        <v>3309</v>
      </c>
      <c r="K399" s="598" t="s">
        <v>321</v>
      </c>
      <c r="L399" s="598" t="s">
        <v>321</v>
      </c>
      <c r="M399" s="598" t="s">
        <v>3309</v>
      </c>
      <c r="N399" s="598" t="s">
        <v>3309</v>
      </c>
      <c r="O399" s="598" t="s">
        <v>3309</v>
      </c>
      <c r="P399" s="598" t="s">
        <v>3309</v>
      </c>
      <c r="Q399" s="598" t="s">
        <v>3309</v>
      </c>
      <c r="R399" s="598" t="s">
        <v>321</v>
      </c>
      <c r="S399" s="598" t="s">
        <v>321</v>
      </c>
      <c r="T399" s="598" t="s">
        <v>3314</v>
      </c>
      <c r="U399" s="598" t="s">
        <v>3309</v>
      </c>
      <c r="V399" s="598" t="s">
        <v>3309</v>
      </c>
      <c r="W399" s="598" t="s">
        <v>3309</v>
      </c>
      <c r="X399" s="598" t="s">
        <v>3309</v>
      </c>
      <c r="Y399" s="598" t="s">
        <v>321</v>
      </c>
      <c r="Z399" s="598" t="s">
        <v>321</v>
      </c>
      <c r="AA399" s="598" t="s">
        <v>3309</v>
      </c>
      <c r="AB399" s="598" t="s">
        <v>3309</v>
      </c>
      <c r="AC399" s="598" t="s">
        <v>3309</v>
      </c>
      <c r="AD399" s="598" t="s">
        <v>3309</v>
      </c>
      <c r="AE399" s="598" t="s">
        <v>3309</v>
      </c>
      <c r="AF399" s="598" t="s">
        <v>321</v>
      </c>
      <c r="AG399" s="598" t="s">
        <v>321</v>
      </c>
      <c r="AH399" s="598" t="s">
        <v>3309</v>
      </c>
      <c r="AI399" s="598" t="s">
        <v>321</v>
      </c>
      <c r="AJ399" s="599">
        <v>21</v>
      </c>
      <c r="AK399" s="603">
        <v>20.5</v>
      </c>
      <c r="AL399" s="604">
        <v>0.5</v>
      </c>
      <c r="AM399" s="601">
        <v>0</v>
      </c>
      <c r="AN399" s="599">
        <v>21</v>
      </c>
    </row>
    <row r="400" spans="1:40" ht="16.5" customHeight="1">
      <c r="A400" s="598" t="s">
        <v>3307</v>
      </c>
      <c r="B400" s="598" t="s">
        <v>3331</v>
      </c>
      <c r="C400" s="598" t="s">
        <v>2561</v>
      </c>
      <c r="D400" s="598" t="s">
        <v>2562</v>
      </c>
      <c r="E400" s="598" t="s">
        <v>321</v>
      </c>
      <c r="F400" s="598" t="s">
        <v>3309</v>
      </c>
      <c r="G400" s="598" t="s">
        <v>3309</v>
      </c>
      <c r="H400" s="598" t="s">
        <v>3309</v>
      </c>
      <c r="I400" s="598" t="s">
        <v>3309</v>
      </c>
      <c r="J400" s="598" t="s">
        <v>3309</v>
      </c>
      <c r="K400" s="598" t="s">
        <v>321</v>
      </c>
      <c r="L400" s="598" t="s">
        <v>321</v>
      </c>
      <c r="M400" s="598" t="s">
        <v>3309</v>
      </c>
      <c r="N400" s="598" t="s">
        <v>3309</v>
      </c>
      <c r="O400" s="598" t="s">
        <v>3309</v>
      </c>
      <c r="P400" s="598" t="s">
        <v>3309</v>
      </c>
      <c r="Q400" s="598" t="s">
        <v>3309</v>
      </c>
      <c r="R400" s="598" t="s">
        <v>321</v>
      </c>
      <c r="S400" s="598" t="s">
        <v>321</v>
      </c>
      <c r="T400" s="598" t="s">
        <v>3309</v>
      </c>
      <c r="U400" s="598" t="s">
        <v>3309</v>
      </c>
      <c r="V400" s="598" t="s">
        <v>3309</v>
      </c>
      <c r="W400" s="598" t="s">
        <v>3309</v>
      </c>
      <c r="X400" s="598" t="s">
        <v>3309</v>
      </c>
      <c r="Y400" s="598" t="s">
        <v>321</v>
      </c>
      <c r="Z400" s="598" t="s">
        <v>321</v>
      </c>
      <c r="AA400" s="598" t="s">
        <v>3309</v>
      </c>
      <c r="AB400" s="598" t="s">
        <v>3309</v>
      </c>
      <c r="AC400" s="598" t="s">
        <v>3309</v>
      </c>
      <c r="AD400" s="598" t="s">
        <v>3309</v>
      </c>
      <c r="AE400" s="598" t="s">
        <v>3309</v>
      </c>
      <c r="AF400" s="598" t="s">
        <v>321</v>
      </c>
      <c r="AG400" s="598" t="s">
        <v>321</v>
      </c>
      <c r="AH400" s="598" t="s">
        <v>3309</v>
      </c>
      <c r="AI400" s="598" t="s">
        <v>321</v>
      </c>
      <c r="AJ400" s="599">
        <v>21</v>
      </c>
      <c r="AK400" s="600">
        <v>21</v>
      </c>
      <c r="AL400" s="601">
        <v>0</v>
      </c>
      <c r="AM400" s="601">
        <v>0</v>
      </c>
      <c r="AN400" s="599">
        <v>21</v>
      </c>
    </row>
    <row r="401" spans="1:40" ht="16.5" customHeight="1">
      <c r="A401" s="598" t="s">
        <v>3307</v>
      </c>
      <c r="B401" s="598" t="s">
        <v>3331</v>
      </c>
      <c r="C401" s="598" t="s">
        <v>2233</v>
      </c>
      <c r="D401" s="598" t="s">
        <v>2234</v>
      </c>
      <c r="E401" s="598" t="s">
        <v>321</v>
      </c>
      <c r="F401" s="598" t="s">
        <v>3309</v>
      </c>
      <c r="G401" s="598" t="s">
        <v>3309</v>
      </c>
      <c r="H401" s="598" t="s">
        <v>3309</v>
      </c>
      <c r="I401" s="598" t="s">
        <v>3309</v>
      </c>
      <c r="J401" s="598" t="s">
        <v>3309</v>
      </c>
      <c r="K401" s="598" t="s">
        <v>321</v>
      </c>
      <c r="L401" s="598" t="s">
        <v>321</v>
      </c>
      <c r="M401" s="598" t="s">
        <v>3309</v>
      </c>
      <c r="N401" s="598" t="s">
        <v>3309</v>
      </c>
      <c r="O401" s="598" t="s">
        <v>3309</v>
      </c>
      <c r="P401" s="598" t="s">
        <v>3309</v>
      </c>
      <c r="Q401" s="598" t="s">
        <v>3309</v>
      </c>
      <c r="R401" s="598" t="s">
        <v>321</v>
      </c>
      <c r="S401" s="598" t="s">
        <v>321</v>
      </c>
      <c r="T401" s="598" t="s">
        <v>3309</v>
      </c>
      <c r="U401" s="598" t="s">
        <v>3309</v>
      </c>
      <c r="V401" s="598" t="s">
        <v>3309</v>
      </c>
      <c r="W401" s="598" t="s">
        <v>3309</v>
      </c>
      <c r="X401" s="598" t="s">
        <v>3309</v>
      </c>
      <c r="Y401" s="598" t="s">
        <v>321</v>
      </c>
      <c r="Z401" s="598" t="s">
        <v>321</v>
      </c>
      <c r="AA401" s="598" t="s">
        <v>3309</v>
      </c>
      <c r="AB401" s="598" t="s">
        <v>3309</v>
      </c>
      <c r="AC401" s="598" t="s">
        <v>3309</v>
      </c>
      <c r="AD401" s="598" t="s">
        <v>3309</v>
      </c>
      <c r="AE401" s="598" t="s">
        <v>3309</v>
      </c>
      <c r="AF401" s="598" t="s">
        <v>321</v>
      </c>
      <c r="AG401" s="598" t="s">
        <v>321</v>
      </c>
      <c r="AH401" s="598" t="s">
        <v>3309</v>
      </c>
      <c r="AI401" s="598" t="s">
        <v>321</v>
      </c>
      <c r="AJ401" s="599">
        <v>21</v>
      </c>
      <c r="AK401" s="600">
        <v>21</v>
      </c>
      <c r="AL401" s="601">
        <v>0</v>
      </c>
      <c r="AM401" s="601">
        <v>0</v>
      </c>
      <c r="AN401" s="599">
        <v>21</v>
      </c>
    </row>
    <row r="402" spans="1:40" ht="16.5" customHeight="1">
      <c r="A402" s="598" t="s">
        <v>3307</v>
      </c>
      <c r="B402" s="598" t="s">
        <v>3331</v>
      </c>
      <c r="C402" s="598" t="s">
        <v>2245</v>
      </c>
      <c r="D402" s="598" t="s">
        <v>2246</v>
      </c>
      <c r="E402" s="598" t="s">
        <v>321</v>
      </c>
      <c r="F402" s="598" t="s">
        <v>3309</v>
      </c>
      <c r="G402" s="598" t="s">
        <v>3309</v>
      </c>
      <c r="H402" s="598" t="s">
        <v>3309</v>
      </c>
      <c r="I402" s="598" t="s">
        <v>3309</v>
      </c>
      <c r="J402" s="598" t="s">
        <v>3309</v>
      </c>
      <c r="K402" s="598" t="s">
        <v>321</v>
      </c>
      <c r="L402" s="598" t="s">
        <v>321</v>
      </c>
      <c r="M402" s="598" t="s">
        <v>3309</v>
      </c>
      <c r="N402" s="598" t="s">
        <v>3309</v>
      </c>
      <c r="O402" s="598" t="s">
        <v>3309</v>
      </c>
      <c r="P402" s="598" t="s">
        <v>3309</v>
      </c>
      <c r="Q402" s="598" t="s">
        <v>3309</v>
      </c>
      <c r="R402" s="598" t="s">
        <v>321</v>
      </c>
      <c r="S402" s="598" t="s">
        <v>321</v>
      </c>
      <c r="T402" s="598" t="s">
        <v>3309</v>
      </c>
      <c r="U402" s="598" t="s">
        <v>3309</v>
      </c>
      <c r="V402" s="598" t="s">
        <v>3309</v>
      </c>
      <c r="W402" s="598" t="s">
        <v>3309</v>
      </c>
      <c r="X402" s="598" t="s">
        <v>3309</v>
      </c>
      <c r="Y402" s="598" t="s">
        <v>321</v>
      </c>
      <c r="Z402" s="598" t="s">
        <v>321</v>
      </c>
      <c r="AA402" s="598" t="s">
        <v>3309</v>
      </c>
      <c r="AB402" s="598" t="s">
        <v>3309</v>
      </c>
      <c r="AC402" s="598" t="s">
        <v>3309</v>
      </c>
      <c r="AD402" s="598" t="s">
        <v>3309</v>
      </c>
      <c r="AE402" s="598" t="s">
        <v>3309</v>
      </c>
      <c r="AF402" s="598" t="s">
        <v>321</v>
      </c>
      <c r="AG402" s="598" t="s">
        <v>321</v>
      </c>
      <c r="AH402" s="598" t="s">
        <v>3309</v>
      </c>
      <c r="AI402" s="598" t="s">
        <v>321</v>
      </c>
      <c r="AJ402" s="599">
        <v>21</v>
      </c>
      <c r="AK402" s="600">
        <v>21</v>
      </c>
      <c r="AL402" s="601">
        <v>0</v>
      </c>
      <c r="AM402" s="601">
        <v>0</v>
      </c>
      <c r="AN402" s="599">
        <v>21</v>
      </c>
    </row>
    <row r="403" spans="1:40" ht="16.5" customHeight="1">
      <c r="A403" s="598" t="s">
        <v>3307</v>
      </c>
      <c r="B403" s="598" t="s">
        <v>3331</v>
      </c>
      <c r="C403" s="598" t="s">
        <v>1660</v>
      </c>
      <c r="D403" s="598" t="s">
        <v>1661</v>
      </c>
      <c r="E403" s="598" t="s">
        <v>321</v>
      </c>
      <c r="F403" s="598" t="s">
        <v>3309</v>
      </c>
      <c r="G403" s="598" t="s">
        <v>3309</v>
      </c>
      <c r="H403" s="598" t="s">
        <v>3309</v>
      </c>
      <c r="I403" s="598" t="s">
        <v>3309</v>
      </c>
      <c r="J403" s="598" t="s">
        <v>3309</v>
      </c>
      <c r="K403" s="598" t="s">
        <v>321</v>
      </c>
      <c r="L403" s="598" t="s">
        <v>321</v>
      </c>
      <c r="M403" s="598" t="s">
        <v>3309</v>
      </c>
      <c r="N403" s="598" t="s">
        <v>3309</v>
      </c>
      <c r="O403" s="598" t="s">
        <v>3309</v>
      </c>
      <c r="P403" s="598" t="s">
        <v>3312</v>
      </c>
      <c r="Q403" s="598" t="s">
        <v>3309</v>
      </c>
      <c r="R403" s="598" t="s">
        <v>321</v>
      </c>
      <c r="S403" s="598" t="s">
        <v>321</v>
      </c>
      <c r="T403" s="598" t="s">
        <v>3312</v>
      </c>
      <c r="U403" s="598" t="s">
        <v>3309</v>
      </c>
      <c r="V403" s="598" t="s">
        <v>3309</v>
      </c>
      <c r="W403" s="598" t="s">
        <v>3309</v>
      </c>
      <c r="X403" s="598" t="s">
        <v>3309</v>
      </c>
      <c r="Y403" s="598" t="s">
        <v>321</v>
      </c>
      <c r="Z403" s="598" t="s">
        <v>321</v>
      </c>
      <c r="AA403" s="598" t="s">
        <v>3309</v>
      </c>
      <c r="AB403" s="598" t="s">
        <v>3309</v>
      </c>
      <c r="AC403" s="598" t="s">
        <v>3309</v>
      </c>
      <c r="AD403" s="598" t="s">
        <v>3309</v>
      </c>
      <c r="AE403" s="598" t="s">
        <v>3309</v>
      </c>
      <c r="AF403" s="598" t="s">
        <v>321</v>
      </c>
      <c r="AG403" s="598" t="s">
        <v>321</v>
      </c>
      <c r="AH403" s="598" t="s">
        <v>3309</v>
      </c>
      <c r="AI403" s="598" t="s">
        <v>321</v>
      </c>
      <c r="AJ403" s="599">
        <v>21</v>
      </c>
      <c r="AK403" s="600">
        <v>19</v>
      </c>
      <c r="AL403" s="602">
        <v>2</v>
      </c>
      <c r="AM403" s="601">
        <v>0</v>
      </c>
      <c r="AN403" s="599">
        <v>21</v>
      </c>
    </row>
    <row r="404" spans="1:40" ht="16.5" customHeight="1">
      <c r="A404" s="598" t="s">
        <v>3307</v>
      </c>
      <c r="B404" s="598" t="s">
        <v>3331</v>
      </c>
      <c r="C404" s="598" t="s">
        <v>1267</v>
      </c>
      <c r="D404" s="598" t="s">
        <v>1268</v>
      </c>
      <c r="E404" s="598" t="s">
        <v>321</v>
      </c>
      <c r="F404" s="598" t="s">
        <v>3309</v>
      </c>
      <c r="G404" s="598" t="s">
        <v>3309</v>
      </c>
      <c r="H404" s="598" t="s">
        <v>3309</v>
      </c>
      <c r="I404" s="598" t="s">
        <v>3309</v>
      </c>
      <c r="J404" s="598" t="s">
        <v>3309</v>
      </c>
      <c r="K404" s="598" t="s">
        <v>321</v>
      </c>
      <c r="L404" s="598" t="s">
        <v>321</v>
      </c>
      <c r="M404" s="598" t="s">
        <v>3309</v>
      </c>
      <c r="N404" s="598" t="s">
        <v>3309</v>
      </c>
      <c r="O404" s="598" t="s">
        <v>3309</v>
      </c>
      <c r="P404" s="598" t="s">
        <v>3309</v>
      </c>
      <c r="Q404" s="598" t="s">
        <v>3309</v>
      </c>
      <c r="R404" s="598" t="s">
        <v>321</v>
      </c>
      <c r="S404" s="598" t="s">
        <v>321</v>
      </c>
      <c r="T404" s="598" t="s">
        <v>3309</v>
      </c>
      <c r="U404" s="598" t="s">
        <v>3309</v>
      </c>
      <c r="V404" s="598" t="s">
        <v>3309</v>
      </c>
      <c r="W404" s="598" t="s">
        <v>3309</v>
      </c>
      <c r="X404" s="598" t="s">
        <v>3309</v>
      </c>
      <c r="Y404" s="598" t="s">
        <v>321</v>
      </c>
      <c r="Z404" s="598" t="s">
        <v>321</v>
      </c>
      <c r="AA404" s="598" t="s">
        <v>3309</v>
      </c>
      <c r="AB404" s="598" t="s">
        <v>3309</v>
      </c>
      <c r="AC404" s="598" t="s">
        <v>3309</v>
      </c>
      <c r="AD404" s="598" t="s">
        <v>3309</v>
      </c>
      <c r="AE404" s="598" t="s">
        <v>3309</v>
      </c>
      <c r="AF404" s="598" t="s">
        <v>321</v>
      </c>
      <c r="AG404" s="598" t="s">
        <v>321</v>
      </c>
      <c r="AH404" s="598" t="s">
        <v>3309</v>
      </c>
      <c r="AI404" s="598" t="s">
        <v>321</v>
      </c>
      <c r="AJ404" s="599">
        <v>21</v>
      </c>
      <c r="AK404" s="600">
        <v>21</v>
      </c>
      <c r="AL404" s="601">
        <v>0</v>
      </c>
      <c r="AM404" s="601">
        <v>0</v>
      </c>
      <c r="AN404" s="599">
        <v>21</v>
      </c>
    </row>
    <row r="405" spans="1:40" ht="16.5" customHeight="1">
      <c r="A405" s="598" t="s">
        <v>3307</v>
      </c>
      <c r="B405" s="598" t="s">
        <v>3331</v>
      </c>
      <c r="C405" s="598" t="s">
        <v>2231</v>
      </c>
      <c r="D405" s="598" t="s">
        <v>2232</v>
      </c>
      <c r="E405" s="598" t="s">
        <v>321</v>
      </c>
      <c r="F405" s="598" t="s">
        <v>3309</v>
      </c>
      <c r="G405" s="598" t="s">
        <v>3309</v>
      </c>
      <c r="H405" s="598" t="s">
        <v>3309</v>
      </c>
      <c r="I405" s="598" t="s">
        <v>3309</v>
      </c>
      <c r="J405" s="598" t="s">
        <v>3309</v>
      </c>
      <c r="K405" s="598" t="s">
        <v>321</v>
      </c>
      <c r="L405" s="598" t="s">
        <v>321</v>
      </c>
      <c r="M405" s="598" t="s">
        <v>3309</v>
      </c>
      <c r="N405" s="598" t="s">
        <v>3309</v>
      </c>
      <c r="O405" s="598" t="s">
        <v>3309</v>
      </c>
      <c r="P405" s="598" t="s">
        <v>3309</v>
      </c>
      <c r="Q405" s="598" t="s">
        <v>3309</v>
      </c>
      <c r="R405" s="598" t="s">
        <v>321</v>
      </c>
      <c r="S405" s="598" t="s">
        <v>321</v>
      </c>
      <c r="T405" s="598" t="s">
        <v>3309</v>
      </c>
      <c r="U405" s="598" t="s">
        <v>3309</v>
      </c>
      <c r="V405" s="598" t="s">
        <v>3309</v>
      </c>
      <c r="W405" s="598" t="s">
        <v>3309</v>
      </c>
      <c r="X405" s="598" t="s">
        <v>3309</v>
      </c>
      <c r="Y405" s="598" t="s">
        <v>321</v>
      </c>
      <c r="Z405" s="598" t="s">
        <v>321</v>
      </c>
      <c r="AA405" s="598" t="s">
        <v>3309</v>
      </c>
      <c r="AB405" s="598" t="s">
        <v>3309</v>
      </c>
      <c r="AC405" s="598" t="s">
        <v>3309</v>
      </c>
      <c r="AD405" s="598" t="s">
        <v>3309</v>
      </c>
      <c r="AE405" s="598" t="s">
        <v>3309</v>
      </c>
      <c r="AF405" s="598" t="s">
        <v>321</v>
      </c>
      <c r="AG405" s="598" t="s">
        <v>321</v>
      </c>
      <c r="AH405" s="598" t="s">
        <v>3309</v>
      </c>
      <c r="AI405" s="598" t="s">
        <v>321</v>
      </c>
      <c r="AJ405" s="599">
        <v>21</v>
      </c>
      <c r="AK405" s="600">
        <v>21</v>
      </c>
      <c r="AL405" s="601">
        <v>0</v>
      </c>
      <c r="AM405" s="601">
        <v>0</v>
      </c>
      <c r="AN405" s="599">
        <v>21</v>
      </c>
    </row>
    <row r="406" spans="1:40" ht="16.5" customHeight="1">
      <c r="A406" s="598" t="s">
        <v>3307</v>
      </c>
      <c r="B406" s="598" t="s">
        <v>3331</v>
      </c>
      <c r="C406" s="598" t="s">
        <v>772</v>
      </c>
      <c r="D406" s="598" t="s">
        <v>773</v>
      </c>
      <c r="E406" s="598" t="s">
        <v>321</v>
      </c>
      <c r="F406" s="598" t="s">
        <v>3309</v>
      </c>
      <c r="G406" s="598" t="s">
        <v>3309</v>
      </c>
      <c r="H406" s="598" t="s">
        <v>3309</v>
      </c>
      <c r="I406" s="598" t="s">
        <v>3309</v>
      </c>
      <c r="J406" s="598" t="s">
        <v>3309</v>
      </c>
      <c r="K406" s="598" t="s">
        <v>321</v>
      </c>
      <c r="L406" s="598" t="s">
        <v>321</v>
      </c>
      <c r="M406" s="598" t="s">
        <v>3309</v>
      </c>
      <c r="N406" s="598" t="s">
        <v>3309</v>
      </c>
      <c r="O406" s="598" t="s">
        <v>3309</v>
      </c>
      <c r="P406" s="598" t="s">
        <v>3309</v>
      </c>
      <c r="Q406" s="598" t="s">
        <v>3309</v>
      </c>
      <c r="R406" s="598" t="s">
        <v>321</v>
      </c>
      <c r="S406" s="598" t="s">
        <v>321</v>
      </c>
      <c r="T406" s="598" t="s">
        <v>3309</v>
      </c>
      <c r="U406" s="598" t="s">
        <v>3309</v>
      </c>
      <c r="V406" s="598" t="s">
        <v>3309</v>
      </c>
      <c r="W406" s="598" t="s">
        <v>3309</v>
      </c>
      <c r="X406" s="598" t="s">
        <v>3309</v>
      </c>
      <c r="Y406" s="598" t="s">
        <v>321</v>
      </c>
      <c r="Z406" s="598" t="s">
        <v>321</v>
      </c>
      <c r="AA406" s="598" t="s">
        <v>3309</v>
      </c>
      <c r="AB406" s="598" t="s">
        <v>3309</v>
      </c>
      <c r="AC406" s="598" t="s">
        <v>3309</v>
      </c>
      <c r="AD406" s="598" t="s">
        <v>3309</v>
      </c>
      <c r="AE406" s="598" t="s">
        <v>3309</v>
      </c>
      <c r="AF406" s="598" t="s">
        <v>321</v>
      </c>
      <c r="AG406" s="598" t="s">
        <v>321</v>
      </c>
      <c r="AH406" s="598" t="s">
        <v>3309</v>
      </c>
      <c r="AI406" s="598" t="s">
        <v>321</v>
      </c>
      <c r="AJ406" s="599">
        <v>21</v>
      </c>
      <c r="AK406" s="600">
        <v>21</v>
      </c>
      <c r="AL406" s="601">
        <v>0</v>
      </c>
      <c r="AM406" s="601">
        <v>0</v>
      </c>
      <c r="AN406" s="599">
        <v>21</v>
      </c>
    </row>
    <row r="407" spans="1:40" ht="16.5" customHeight="1">
      <c r="A407" s="598" t="s">
        <v>3307</v>
      </c>
      <c r="B407" s="598" t="s">
        <v>3331</v>
      </c>
      <c r="C407" s="598" t="s">
        <v>2394</v>
      </c>
      <c r="D407" s="598" t="s">
        <v>2395</v>
      </c>
      <c r="E407" s="598" t="s">
        <v>321</v>
      </c>
      <c r="F407" s="598" t="s">
        <v>3309</v>
      </c>
      <c r="G407" s="598" t="s">
        <v>3309</v>
      </c>
      <c r="H407" s="598" t="s">
        <v>3309</v>
      </c>
      <c r="I407" s="598" t="s">
        <v>3312</v>
      </c>
      <c r="J407" s="598" t="s">
        <v>3309</v>
      </c>
      <c r="K407" s="598" t="s">
        <v>321</v>
      </c>
      <c r="L407" s="598" t="s">
        <v>321</v>
      </c>
      <c r="M407" s="598" t="s">
        <v>3309</v>
      </c>
      <c r="N407" s="598" t="s">
        <v>3309</v>
      </c>
      <c r="O407" s="598" t="s">
        <v>3309</v>
      </c>
      <c r="P407" s="598" t="s">
        <v>3309</v>
      </c>
      <c r="Q407" s="598" t="s">
        <v>3309</v>
      </c>
      <c r="R407" s="598" t="s">
        <v>321</v>
      </c>
      <c r="S407" s="598" t="s">
        <v>321</v>
      </c>
      <c r="T407" s="598" t="s">
        <v>3309</v>
      </c>
      <c r="U407" s="598" t="s">
        <v>3309</v>
      </c>
      <c r="V407" s="598" t="s">
        <v>3309</v>
      </c>
      <c r="W407" s="598" t="s">
        <v>3309</v>
      </c>
      <c r="X407" s="598" t="s">
        <v>3309</v>
      </c>
      <c r="Y407" s="598" t="s">
        <v>321</v>
      </c>
      <c r="Z407" s="598" t="s">
        <v>321</v>
      </c>
      <c r="AA407" s="598" t="s">
        <v>3309</v>
      </c>
      <c r="AB407" s="598" t="s">
        <v>3309</v>
      </c>
      <c r="AC407" s="598" t="s">
        <v>3309</v>
      </c>
      <c r="AD407" s="598" t="s">
        <v>3309</v>
      </c>
      <c r="AE407" s="598" t="s">
        <v>3309</v>
      </c>
      <c r="AF407" s="598" t="s">
        <v>321</v>
      </c>
      <c r="AG407" s="598" t="s">
        <v>321</v>
      </c>
      <c r="AH407" s="598" t="s">
        <v>3309</v>
      </c>
      <c r="AI407" s="598" t="s">
        <v>321</v>
      </c>
      <c r="AJ407" s="599">
        <v>21</v>
      </c>
      <c r="AK407" s="600">
        <v>20</v>
      </c>
      <c r="AL407" s="602">
        <v>1</v>
      </c>
      <c r="AM407" s="601">
        <v>0</v>
      </c>
      <c r="AN407" s="599">
        <v>21</v>
      </c>
    </row>
    <row r="408" spans="1:40" ht="16.5" customHeight="1">
      <c r="A408" s="598" t="s">
        <v>3307</v>
      </c>
      <c r="B408" s="598" t="s">
        <v>3331</v>
      </c>
      <c r="C408" s="598" t="s">
        <v>2854</v>
      </c>
      <c r="D408" s="598" t="s">
        <v>2855</v>
      </c>
      <c r="E408" s="598" t="s">
        <v>321</v>
      </c>
      <c r="F408" s="598" t="s">
        <v>3309</v>
      </c>
      <c r="G408" s="598" t="s">
        <v>3309</v>
      </c>
      <c r="H408" s="598" t="s">
        <v>3309</v>
      </c>
      <c r="I408" s="598" t="s">
        <v>3309</v>
      </c>
      <c r="J408" s="598" t="s">
        <v>3309</v>
      </c>
      <c r="K408" s="598" t="s">
        <v>321</v>
      </c>
      <c r="L408" s="598" t="s">
        <v>321</v>
      </c>
      <c r="M408" s="598" t="s">
        <v>3309</v>
      </c>
      <c r="N408" s="598" t="s">
        <v>3309</v>
      </c>
      <c r="O408" s="598" t="s">
        <v>3309</v>
      </c>
      <c r="P408" s="598" t="s">
        <v>3309</v>
      </c>
      <c r="Q408" s="598" t="s">
        <v>3309</v>
      </c>
      <c r="R408" s="598" t="s">
        <v>321</v>
      </c>
      <c r="S408" s="598" t="s">
        <v>321</v>
      </c>
      <c r="T408" s="598" t="s">
        <v>3309</v>
      </c>
      <c r="U408" s="598" t="s">
        <v>3309</v>
      </c>
      <c r="V408" s="598" t="s">
        <v>3309</v>
      </c>
      <c r="W408" s="598" t="s">
        <v>3309</v>
      </c>
      <c r="X408" s="598" t="s">
        <v>3309</v>
      </c>
      <c r="Y408" s="598" t="s">
        <v>321</v>
      </c>
      <c r="Z408" s="598" t="s">
        <v>321</v>
      </c>
      <c r="AA408" s="598" t="s">
        <v>3309</v>
      </c>
      <c r="AB408" s="598" t="s">
        <v>3309</v>
      </c>
      <c r="AC408" s="598" t="s">
        <v>3309</v>
      </c>
      <c r="AD408" s="598" t="s">
        <v>3309</v>
      </c>
      <c r="AE408" s="598" t="s">
        <v>3309</v>
      </c>
      <c r="AF408" s="598" t="s">
        <v>321</v>
      </c>
      <c r="AG408" s="598" t="s">
        <v>321</v>
      </c>
      <c r="AH408" s="598" t="s">
        <v>3309</v>
      </c>
      <c r="AI408" s="598" t="s">
        <v>321</v>
      </c>
      <c r="AJ408" s="599">
        <v>21</v>
      </c>
      <c r="AK408" s="600">
        <v>21</v>
      </c>
      <c r="AL408" s="601">
        <v>0</v>
      </c>
      <c r="AM408" s="601">
        <v>0</v>
      </c>
      <c r="AN408" s="599">
        <v>21</v>
      </c>
    </row>
    <row r="409" spans="1:40" ht="16.5" customHeight="1">
      <c r="A409" s="598" t="s">
        <v>3307</v>
      </c>
      <c r="B409" s="598" t="s">
        <v>3331</v>
      </c>
      <c r="C409" s="598" t="s">
        <v>1803</v>
      </c>
      <c r="D409" s="598" t="s">
        <v>1804</v>
      </c>
      <c r="E409" s="598" t="s">
        <v>321</v>
      </c>
      <c r="F409" s="598" t="s">
        <v>3309</v>
      </c>
      <c r="G409" s="598" t="s">
        <v>3309</v>
      </c>
      <c r="H409" s="598" t="s">
        <v>3309</v>
      </c>
      <c r="I409" s="598" t="s">
        <v>3309</v>
      </c>
      <c r="J409" s="598" t="s">
        <v>3309</v>
      </c>
      <c r="K409" s="598" t="s">
        <v>321</v>
      </c>
      <c r="L409" s="598" t="s">
        <v>321</v>
      </c>
      <c r="M409" s="598" t="s">
        <v>3309</v>
      </c>
      <c r="N409" s="598" t="s">
        <v>3309</v>
      </c>
      <c r="O409" s="598" t="s">
        <v>3309</v>
      </c>
      <c r="P409" s="598" t="s">
        <v>3309</v>
      </c>
      <c r="Q409" s="598" t="s">
        <v>3309</v>
      </c>
      <c r="R409" s="598" t="s">
        <v>321</v>
      </c>
      <c r="S409" s="598" t="s">
        <v>321</v>
      </c>
      <c r="T409" s="598" t="s">
        <v>3309</v>
      </c>
      <c r="U409" s="598" t="s">
        <v>3309</v>
      </c>
      <c r="V409" s="598" t="s">
        <v>3309</v>
      </c>
      <c r="W409" s="598" t="s">
        <v>3309</v>
      </c>
      <c r="X409" s="598" t="s">
        <v>3309</v>
      </c>
      <c r="Y409" s="598" t="s">
        <v>321</v>
      </c>
      <c r="Z409" s="598" t="s">
        <v>321</v>
      </c>
      <c r="AA409" s="598" t="s">
        <v>3309</v>
      </c>
      <c r="AB409" s="598" t="s">
        <v>3309</v>
      </c>
      <c r="AC409" s="598" t="s">
        <v>3309</v>
      </c>
      <c r="AD409" s="598" t="s">
        <v>3309</v>
      </c>
      <c r="AE409" s="598" t="s">
        <v>3309</v>
      </c>
      <c r="AF409" s="598" t="s">
        <v>321</v>
      </c>
      <c r="AG409" s="598" t="s">
        <v>321</v>
      </c>
      <c r="AH409" s="598" t="s">
        <v>3309</v>
      </c>
      <c r="AI409" s="598" t="s">
        <v>321</v>
      </c>
      <c r="AJ409" s="599">
        <v>21</v>
      </c>
      <c r="AK409" s="600">
        <v>21</v>
      </c>
      <c r="AL409" s="601">
        <v>0</v>
      </c>
      <c r="AM409" s="601">
        <v>0</v>
      </c>
      <c r="AN409" s="599">
        <v>21</v>
      </c>
    </row>
    <row r="410" spans="1:40" ht="16.5" customHeight="1">
      <c r="A410" s="598" t="s">
        <v>3307</v>
      </c>
      <c r="B410" s="598" t="s">
        <v>3331</v>
      </c>
      <c r="C410" s="598" t="s">
        <v>1738</v>
      </c>
      <c r="D410" s="598" t="s">
        <v>1739</v>
      </c>
      <c r="E410" s="598" t="s">
        <v>321</v>
      </c>
      <c r="F410" s="598" t="s">
        <v>3309</v>
      </c>
      <c r="G410" s="598" t="s">
        <v>3309</v>
      </c>
      <c r="H410" s="598" t="s">
        <v>3309</v>
      </c>
      <c r="I410" s="598" t="s">
        <v>3309</v>
      </c>
      <c r="J410" s="598" t="s">
        <v>3309</v>
      </c>
      <c r="K410" s="598" t="s">
        <v>321</v>
      </c>
      <c r="L410" s="598" t="s">
        <v>321</v>
      </c>
      <c r="M410" s="598" t="s">
        <v>3309</v>
      </c>
      <c r="N410" s="598" t="s">
        <v>3309</v>
      </c>
      <c r="O410" s="598" t="s">
        <v>3309</v>
      </c>
      <c r="P410" s="598" t="s">
        <v>3309</v>
      </c>
      <c r="Q410" s="598" t="s">
        <v>3309</v>
      </c>
      <c r="R410" s="598" t="s">
        <v>321</v>
      </c>
      <c r="S410" s="598" t="s">
        <v>321</v>
      </c>
      <c r="T410" s="598" t="s">
        <v>3309</v>
      </c>
      <c r="U410" s="598" t="s">
        <v>3309</v>
      </c>
      <c r="V410" s="598" t="s">
        <v>3309</v>
      </c>
      <c r="W410" s="598" t="s">
        <v>3309</v>
      </c>
      <c r="X410" s="598" t="s">
        <v>3309</v>
      </c>
      <c r="Y410" s="598" t="s">
        <v>321</v>
      </c>
      <c r="Z410" s="598" t="s">
        <v>321</v>
      </c>
      <c r="AA410" s="598" t="s">
        <v>3309</v>
      </c>
      <c r="AB410" s="598" t="s">
        <v>3309</v>
      </c>
      <c r="AC410" s="598" t="s">
        <v>3309</v>
      </c>
      <c r="AD410" s="598" t="s">
        <v>3309</v>
      </c>
      <c r="AE410" s="598" t="s">
        <v>3309</v>
      </c>
      <c r="AF410" s="598" t="s">
        <v>321</v>
      </c>
      <c r="AG410" s="598" t="s">
        <v>321</v>
      </c>
      <c r="AH410" s="598" t="s">
        <v>3309</v>
      </c>
      <c r="AI410" s="598" t="s">
        <v>321</v>
      </c>
      <c r="AJ410" s="599">
        <v>21</v>
      </c>
      <c r="AK410" s="600">
        <v>21</v>
      </c>
      <c r="AL410" s="601">
        <v>0</v>
      </c>
      <c r="AM410" s="601">
        <v>0</v>
      </c>
      <c r="AN410" s="599">
        <v>21</v>
      </c>
    </row>
    <row r="411" spans="1:40" ht="16.5" customHeight="1">
      <c r="A411" s="598" t="s">
        <v>3307</v>
      </c>
      <c r="B411" s="598" t="s">
        <v>3331</v>
      </c>
      <c r="C411" s="598" t="s">
        <v>1554</v>
      </c>
      <c r="D411" s="598" t="s">
        <v>1555</v>
      </c>
      <c r="E411" s="598" t="s">
        <v>321</v>
      </c>
      <c r="F411" s="598" t="s">
        <v>3309</v>
      </c>
      <c r="G411" s="598" t="s">
        <v>3309</v>
      </c>
      <c r="H411" s="598" t="s">
        <v>3309</v>
      </c>
      <c r="I411" s="598" t="s">
        <v>3312</v>
      </c>
      <c r="J411" s="598" t="s">
        <v>3309</v>
      </c>
      <c r="K411" s="598" t="s">
        <v>321</v>
      </c>
      <c r="L411" s="598" t="s">
        <v>321</v>
      </c>
      <c r="M411" s="598" t="s">
        <v>3309</v>
      </c>
      <c r="N411" s="598" t="s">
        <v>3309</v>
      </c>
      <c r="O411" s="598" t="s">
        <v>3309</v>
      </c>
      <c r="P411" s="598" t="s">
        <v>3309</v>
      </c>
      <c r="Q411" s="598" t="s">
        <v>3309</v>
      </c>
      <c r="R411" s="598" t="s">
        <v>321</v>
      </c>
      <c r="S411" s="598" t="s">
        <v>321</v>
      </c>
      <c r="T411" s="598" t="s">
        <v>3309</v>
      </c>
      <c r="U411" s="598" t="s">
        <v>3309</v>
      </c>
      <c r="V411" s="598" t="s">
        <v>3309</v>
      </c>
      <c r="W411" s="598" t="s">
        <v>3309</v>
      </c>
      <c r="X411" s="598" t="s">
        <v>3309</v>
      </c>
      <c r="Y411" s="598" t="s">
        <v>321</v>
      </c>
      <c r="Z411" s="598" t="s">
        <v>321</v>
      </c>
      <c r="AA411" s="598" t="s">
        <v>3309</v>
      </c>
      <c r="AB411" s="598" t="s">
        <v>3309</v>
      </c>
      <c r="AC411" s="598" t="s">
        <v>3309</v>
      </c>
      <c r="AD411" s="598" t="s">
        <v>3309</v>
      </c>
      <c r="AE411" s="598" t="s">
        <v>3309</v>
      </c>
      <c r="AF411" s="598" t="s">
        <v>321</v>
      </c>
      <c r="AG411" s="598" t="s">
        <v>321</v>
      </c>
      <c r="AH411" s="598" t="s">
        <v>3309</v>
      </c>
      <c r="AI411" s="598" t="s">
        <v>321</v>
      </c>
      <c r="AJ411" s="599">
        <v>21</v>
      </c>
      <c r="AK411" s="600">
        <v>20</v>
      </c>
      <c r="AL411" s="602">
        <v>1</v>
      </c>
      <c r="AM411" s="601">
        <v>0</v>
      </c>
      <c r="AN411" s="599">
        <v>21</v>
      </c>
    </row>
    <row r="412" spans="1:40" ht="16.5" customHeight="1">
      <c r="A412" s="598" t="s">
        <v>3307</v>
      </c>
      <c r="B412" s="598" t="s">
        <v>3331</v>
      </c>
      <c r="C412" s="598" t="s">
        <v>1539</v>
      </c>
      <c r="D412" s="598" t="s">
        <v>1540</v>
      </c>
      <c r="E412" s="598" t="s">
        <v>321</v>
      </c>
      <c r="F412" s="598" t="s">
        <v>3317</v>
      </c>
      <c r="G412" s="598" t="s">
        <v>3317</v>
      </c>
      <c r="H412" s="598" t="s">
        <v>3317</v>
      </c>
      <c r="I412" s="598" t="s">
        <v>3317</v>
      </c>
      <c r="J412" s="598" t="s">
        <v>3317</v>
      </c>
      <c r="K412" s="598" t="s">
        <v>321</v>
      </c>
      <c r="L412" s="598" t="s">
        <v>321</v>
      </c>
      <c r="M412" s="598" t="s">
        <v>3317</v>
      </c>
      <c r="N412" s="598" t="s">
        <v>3317</v>
      </c>
      <c r="O412" s="598" t="s">
        <v>3317</v>
      </c>
      <c r="P412" s="598" t="s">
        <v>3317</v>
      </c>
      <c r="Q412" s="598" t="s">
        <v>3317</v>
      </c>
      <c r="R412" s="598" t="s">
        <v>321</v>
      </c>
      <c r="S412" s="598" t="s">
        <v>321</v>
      </c>
      <c r="T412" s="598" t="s">
        <v>3317</v>
      </c>
      <c r="U412" s="598" t="s">
        <v>3317</v>
      </c>
      <c r="V412" s="598" t="s">
        <v>3317</v>
      </c>
      <c r="W412" s="598" t="s">
        <v>3317</v>
      </c>
      <c r="X412" s="598" t="s">
        <v>3317</v>
      </c>
      <c r="Y412" s="598" t="s">
        <v>321</v>
      </c>
      <c r="Z412" s="598" t="s">
        <v>321</v>
      </c>
      <c r="AA412" s="598" t="s">
        <v>3317</v>
      </c>
      <c r="AB412" s="598" t="s">
        <v>3317</v>
      </c>
      <c r="AC412" s="598" t="s">
        <v>3317</v>
      </c>
      <c r="AD412" s="598" t="s">
        <v>3317</v>
      </c>
      <c r="AE412" s="598" t="s">
        <v>3317</v>
      </c>
      <c r="AF412" s="598" t="s">
        <v>321</v>
      </c>
      <c r="AG412" s="598" t="s">
        <v>321</v>
      </c>
      <c r="AH412" s="598" t="s">
        <v>3317</v>
      </c>
      <c r="AI412" s="598" t="s">
        <v>321</v>
      </c>
      <c r="AJ412" s="599">
        <v>21</v>
      </c>
      <c r="AK412" s="601">
        <v>0</v>
      </c>
      <c r="AL412" s="601">
        <v>0</v>
      </c>
      <c r="AM412" s="601">
        <v>0</v>
      </c>
      <c r="AN412" s="605">
        <v>0</v>
      </c>
    </row>
    <row r="413" spans="1:40" ht="16.5" customHeight="1">
      <c r="A413" s="598" t="s">
        <v>3307</v>
      </c>
      <c r="B413" s="598" t="s">
        <v>3331</v>
      </c>
      <c r="C413" s="598" t="s">
        <v>983</v>
      </c>
      <c r="D413" s="598" t="s">
        <v>984</v>
      </c>
      <c r="E413" s="598" t="s">
        <v>321</v>
      </c>
      <c r="F413" s="598" t="s">
        <v>3309</v>
      </c>
      <c r="G413" s="598" t="s">
        <v>3309</v>
      </c>
      <c r="H413" s="598" t="s">
        <v>3309</v>
      </c>
      <c r="I413" s="598" t="s">
        <v>3309</v>
      </c>
      <c r="J413" s="598" t="s">
        <v>3309</v>
      </c>
      <c r="K413" s="598" t="s">
        <v>321</v>
      </c>
      <c r="L413" s="598" t="s">
        <v>321</v>
      </c>
      <c r="M413" s="598" t="s">
        <v>3309</v>
      </c>
      <c r="N413" s="598" t="s">
        <v>3309</v>
      </c>
      <c r="O413" s="598" t="s">
        <v>3309</v>
      </c>
      <c r="P413" s="598" t="s">
        <v>3309</v>
      </c>
      <c r="Q413" s="598" t="s">
        <v>3309</v>
      </c>
      <c r="R413" s="598" t="s">
        <v>321</v>
      </c>
      <c r="S413" s="598" t="s">
        <v>321</v>
      </c>
      <c r="T413" s="598" t="s">
        <v>3309</v>
      </c>
      <c r="U413" s="598" t="s">
        <v>3309</v>
      </c>
      <c r="V413" s="598" t="s">
        <v>3309</v>
      </c>
      <c r="W413" s="598" t="s">
        <v>3309</v>
      </c>
      <c r="X413" s="598" t="s">
        <v>3309</v>
      </c>
      <c r="Y413" s="598" t="s">
        <v>321</v>
      </c>
      <c r="Z413" s="598" t="s">
        <v>321</v>
      </c>
      <c r="AA413" s="598" t="s">
        <v>3309</v>
      </c>
      <c r="AB413" s="598" t="s">
        <v>3309</v>
      </c>
      <c r="AC413" s="598" t="s">
        <v>3309</v>
      </c>
      <c r="AD413" s="598" t="s">
        <v>3309</v>
      </c>
      <c r="AE413" s="598" t="s">
        <v>3309</v>
      </c>
      <c r="AF413" s="598" t="s">
        <v>321</v>
      </c>
      <c r="AG413" s="598" t="s">
        <v>321</v>
      </c>
      <c r="AH413" s="598" t="s">
        <v>3309</v>
      </c>
      <c r="AI413" s="598" t="s">
        <v>321</v>
      </c>
      <c r="AJ413" s="599">
        <v>21</v>
      </c>
      <c r="AK413" s="600">
        <v>21</v>
      </c>
      <c r="AL413" s="601">
        <v>0</v>
      </c>
      <c r="AM413" s="601">
        <v>0</v>
      </c>
      <c r="AN413" s="599">
        <v>21</v>
      </c>
    </row>
    <row r="414" spans="1:40" ht="16.5" customHeight="1">
      <c r="A414" s="598" t="s">
        <v>3307</v>
      </c>
      <c r="B414" s="598" t="s">
        <v>3331</v>
      </c>
      <c r="C414" s="598" t="s">
        <v>1169</v>
      </c>
      <c r="D414" s="598" t="s">
        <v>1170</v>
      </c>
      <c r="E414" s="598" t="s">
        <v>321</v>
      </c>
      <c r="F414" s="598" t="s">
        <v>3309</v>
      </c>
      <c r="G414" s="598" t="s">
        <v>3309</v>
      </c>
      <c r="H414" s="598" t="s">
        <v>3309</v>
      </c>
      <c r="I414" s="598" t="s">
        <v>3309</v>
      </c>
      <c r="J414" s="598" t="s">
        <v>3309</v>
      </c>
      <c r="K414" s="598" t="s">
        <v>321</v>
      </c>
      <c r="L414" s="598" t="s">
        <v>321</v>
      </c>
      <c r="M414" s="598" t="s">
        <v>3309</v>
      </c>
      <c r="N414" s="598" t="s">
        <v>3309</v>
      </c>
      <c r="O414" s="598" t="s">
        <v>3309</v>
      </c>
      <c r="P414" s="598" t="s">
        <v>3309</v>
      </c>
      <c r="Q414" s="598" t="s">
        <v>3309</v>
      </c>
      <c r="R414" s="598" t="s">
        <v>321</v>
      </c>
      <c r="S414" s="598" t="s">
        <v>321</v>
      </c>
      <c r="T414" s="598" t="s">
        <v>3309</v>
      </c>
      <c r="U414" s="598" t="s">
        <v>3309</v>
      </c>
      <c r="V414" s="598" t="s">
        <v>3309</v>
      </c>
      <c r="W414" s="598" t="s">
        <v>3309</v>
      </c>
      <c r="X414" s="598" t="s">
        <v>3309</v>
      </c>
      <c r="Y414" s="598" t="s">
        <v>321</v>
      </c>
      <c r="Z414" s="598" t="s">
        <v>321</v>
      </c>
      <c r="AA414" s="598" t="s">
        <v>3309</v>
      </c>
      <c r="AB414" s="598" t="s">
        <v>3309</v>
      </c>
      <c r="AC414" s="598" t="s">
        <v>3309</v>
      </c>
      <c r="AD414" s="598" t="s">
        <v>3309</v>
      </c>
      <c r="AE414" s="598" t="s">
        <v>3309</v>
      </c>
      <c r="AF414" s="598" t="s">
        <v>321</v>
      </c>
      <c r="AG414" s="598" t="s">
        <v>321</v>
      </c>
      <c r="AH414" s="598" t="s">
        <v>3309</v>
      </c>
      <c r="AI414" s="598" t="s">
        <v>321</v>
      </c>
      <c r="AJ414" s="599">
        <v>21</v>
      </c>
      <c r="AK414" s="600">
        <v>21</v>
      </c>
      <c r="AL414" s="601">
        <v>0</v>
      </c>
      <c r="AM414" s="601">
        <v>0</v>
      </c>
      <c r="AN414" s="599">
        <v>21</v>
      </c>
    </row>
    <row r="415" spans="1:40" ht="16.5" customHeight="1">
      <c r="A415" s="598" t="s">
        <v>3307</v>
      </c>
      <c r="B415" s="598" t="s">
        <v>3331</v>
      </c>
      <c r="C415" s="598" t="s">
        <v>1552</v>
      </c>
      <c r="D415" s="598" t="s">
        <v>1553</v>
      </c>
      <c r="E415" s="598" t="s">
        <v>321</v>
      </c>
      <c r="F415" s="598" t="s">
        <v>3309</v>
      </c>
      <c r="G415" s="598" t="s">
        <v>3309</v>
      </c>
      <c r="H415" s="598" t="s">
        <v>3309</v>
      </c>
      <c r="I415" s="598" t="s">
        <v>3309</v>
      </c>
      <c r="J415" s="598" t="s">
        <v>3309</v>
      </c>
      <c r="K415" s="598" t="s">
        <v>321</v>
      </c>
      <c r="L415" s="598" t="s">
        <v>321</v>
      </c>
      <c r="M415" s="598" t="s">
        <v>3309</v>
      </c>
      <c r="N415" s="598" t="s">
        <v>3309</v>
      </c>
      <c r="O415" s="598" t="s">
        <v>3309</v>
      </c>
      <c r="P415" s="598" t="s">
        <v>3309</v>
      </c>
      <c r="Q415" s="598" t="s">
        <v>3309</v>
      </c>
      <c r="R415" s="598" t="s">
        <v>321</v>
      </c>
      <c r="S415" s="598" t="s">
        <v>321</v>
      </c>
      <c r="T415" s="598" t="s">
        <v>3309</v>
      </c>
      <c r="U415" s="598" t="s">
        <v>3309</v>
      </c>
      <c r="V415" s="598" t="s">
        <v>3309</v>
      </c>
      <c r="W415" s="598" t="s">
        <v>3309</v>
      </c>
      <c r="X415" s="598" t="s">
        <v>3309</v>
      </c>
      <c r="Y415" s="598" t="s">
        <v>321</v>
      </c>
      <c r="Z415" s="598" t="s">
        <v>321</v>
      </c>
      <c r="AA415" s="598" t="s">
        <v>3309</v>
      </c>
      <c r="AB415" s="598" t="s">
        <v>3309</v>
      </c>
      <c r="AC415" s="598" t="s">
        <v>3309</v>
      </c>
      <c r="AD415" s="598" t="s">
        <v>3309</v>
      </c>
      <c r="AE415" s="598" t="s">
        <v>3309</v>
      </c>
      <c r="AF415" s="598" t="s">
        <v>321</v>
      </c>
      <c r="AG415" s="598" t="s">
        <v>321</v>
      </c>
      <c r="AH415" s="598" t="s">
        <v>3309</v>
      </c>
      <c r="AI415" s="598" t="s">
        <v>321</v>
      </c>
      <c r="AJ415" s="599">
        <v>21</v>
      </c>
      <c r="AK415" s="600">
        <v>21</v>
      </c>
      <c r="AL415" s="601">
        <v>0</v>
      </c>
      <c r="AM415" s="601">
        <v>0</v>
      </c>
      <c r="AN415" s="599">
        <v>21</v>
      </c>
    </row>
    <row r="416" spans="1:40" ht="16.5" customHeight="1">
      <c r="A416" s="598" t="s">
        <v>3307</v>
      </c>
      <c r="B416" s="598" t="s">
        <v>3331</v>
      </c>
      <c r="C416" s="598" t="s">
        <v>2617</v>
      </c>
      <c r="D416" s="598" t="s">
        <v>2618</v>
      </c>
      <c r="E416" s="598" t="s">
        <v>321</v>
      </c>
      <c r="F416" s="598" t="s">
        <v>3309</v>
      </c>
      <c r="G416" s="598" t="s">
        <v>3309</v>
      </c>
      <c r="H416" s="598" t="s">
        <v>3309</v>
      </c>
      <c r="I416" s="598" t="s">
        <v>3309</v>
      </c>
      <c r="J416" s="598" t="s">
        <v>3309</v>
      </c>
      <c r="K416" s="598" t="s">
        <v>321</v>
      </c>
      <c r="L416" s="598" t="s">
        <v>321</v>
      </c>
      <c r="M416" s="598" t="s">
        <v>3309</v>
      </c>
      <c r="N416" s="598" t="s">
        <v>3309</v>
      </c>
      <c r="O416" s="598" t="s">
        <v>3309</v>
      </c>
      <c r="P416" s="598" t="s">
        <v>3309</v>
      </c>
      <c r="Q416" s="598" t="s">
        <v>3309</v>
      </c>
      <c r="R416" s="598" t="s">
        <v>321</v>
      </c>
      <c r="S416" s="598" t="s">
        <v>321</v>
      </c>
      <c r="T416" s="598" t="s">
        <v>3309</v>
      </c>
      <c r="U416" s="598" t="s">
        <v>3309</v>
      </c>
      <c r="V416" s="598" t="s">
        <v>3309</v>
      </c>
      <c r="W416" s="598" t="s">
        <v>3309</v>
      </c>
      <c r="X416" s="598" t="s">
        <v>3309</v>
      </c>
      <c r="Y416" s="598" t="s">
        <v>321</v>
      </c>
      <c r="Z416" s="598" t="s">
        <v>321</v>
      </c>
      <c r="AA416" s="598" t="s">
        <v>3309</v>
      </c>
      <c r="AB416" s="598" t="s">
        <v>3309</v>
      </c>
      <c r="AC416" s="598" t="s">
        <v>3309</v>
      </c>
      <c r="AD416" s="598" t="s">
        <v>3309</v>
      </c>
      <c r="AE416" s="598" t="s">
        <v>3309</v>
      </c>
      <c r="AF416" s="598" t="s">
        <v>321</v>
      </c>
      <c r="AG416" s="598" t="s">
        <v>321</v>
      </c>
      <c r="AH416" s="598" t="s">
        <v>3309</v>
      </c>
      <c r="AI416" s="598" t="s">
        <v>321</v>
      </c>
      <c r="AJ416" s="599">
        <v>21</v>
      </c>
      <c r="AK416" s="600">
        <v>21</v>
      </c>
      <c r="AL416" s="601">
        <v>0</v>
      </c>
      <c r="AM416" s="601">
        <v>0</v>
      </c>
      <c r="AN416" s="599">
        <v>21</v>
      </c>
    </row>
    <row r="417" spans="1:40" ht="16.5" customHeight="1">
      <c r="A417" s="598" t="s">
        <v>3307</v>
      </c>
      <c r="B417" s="598" t="s">
        <v>3331</v>
      </c>
      <c r="C417" s="598" t="s">
        <v>1767</v>
      </c>
      <c r="D417" s="598" t="s">
        <v>1768</v>
      </c>
      <c r="E417" s="598" t="s">
        <v>321</v>
      </c>
      <c r="F417" s="598" t="s">
        <v>3309</v>
      </c>
      <c r="G417" s="598" t="s">
        <v>3309</v>
      </c>
      <c r="H417" s="598" t="s">
        <v>3309</v>
      </c>
      <c r="I417" s="598" t="s">
        <v>3309</v>
      </c>
      <c r="J417" s="598" t="s">
        <v>3309</v>
      </c>
      <c r="K417" s="598" t="s">
        <v>321</v>
      </c>
      <c r="L417" s="598" t="s">
        <v>321</v>
      </c>
      <c r="M417" s="598" t="s">
        <v>3309</v>
      </c>
      <c r="N417" s="598" t="s">
        <v>3309</v>
      </c>
      <c r="O417" s="598" t="s">
        <v>3309</v>
      </c>
      <c r="P417" s="598" t="s">
        <v>3309</v>
      </c>
      <c r="Q417" s="598" t="s">
        <v>3309</v>
      </c>
      <c r="R417" s="598" t="s">
        <v>321</v>
      </c>
      <c r="S417" s="598" t="s">
        <v>321</v>
      </c>
      <c r="T417" s="598" t="s">
        <v>3309</v>
      </c>
      <c r="U417" s="598" t="s">
        <v>3309</v>
      </c>
      <c r="V417" s="598" t="s">
        <v>3309</v>
      </c>
      <c r="W417" s="598" t="s">
        <v>3309</v>
      </c>
      <c r="X417" s="598" t="s">
        <v>3309</v>
      </c>
      <c r="Y417" s="598" t="s">
        <v>321</v>
      </c>
      <c r="Z417" s="598" t="s">
        <v>321</v>
      </c>
      <c r="AA417" s="598" t="s">
        <v>3309</v>
      </c>
      <c r="AB417" s="598" t="s">
        <v>3309</v>
      </c>
      <c r="AC417" s="598" t="s">
        <v>3309</v>
      </c>
      <c r="AD417" s="598" t="s">
        <v>3309</v>
      </c>
      <c r="AE417" s="598" t="s">
        <v>3309</v>
      </c>
      <c r="AF417" s="598" t="s">
        <v>321</v>
      </c>
      <c r="AG417" s="598" t="s">
        <v>321</v>
      </c>
      <c r="AH417" s="598" t="s">
        <v>3309</v>
      </c>
      <c r="AI417" s="598" t="s">
        <v>321</v>
      </c>
      <c r="AJ417" s="599">
        <v>21</v>
      </c>
      <c r="AK417" s="600">
        <v>21</v>
      </c>
      <c r="AL417" s="601">
        <v>0</v>
      </c>
      <c r="AM417" s="601">
        <v>0</v>
      </c>
      <c r="AN417" s="599">
        <v>21</v>
      </c>
    </row>
    <row r="418" spans="1:40" ht="16.5" customHeight="1">
      <c r="A418" s="598" t="s">
        <v>3307</v>
      </c>
      <c r="B418" s="598" t="s">
        <v>3331</v>
      </c>
      <c r="C418" s="598" t="s">
        <v>2112</v>
      </c>
      <c r="D418" s="598" t="s">
        <v>2113</v>
      </c>
      <c r="E418" s="598" t="s">
        <v>321</v>
      </c>
      <c r="F418" s="598" t="s">
        <v>3309</v>
      </c>
      <c r="G418" s="598" t="s">
        <v>3309</v>
      </c>
      <c r="H418" s="598" t="s">
        <v>3309</v>
      </c>
      <c r="I418" s="598" t="s">
        <v>3309</v>
      </c>
      <c r="J418" s="598" t="s">
        <v>3309</v>
      </c>
      <c r="K418" s="598" t="s">
        <v>321</v>
      </c>
      <c r="L418" s="598" t="s">
        <v>321</v>
      </c>
      <c r="M418" s="598" t="s">
        <v>3309</v>
      </c>
      <c r="N418" s="598" t="s">
        <v>3309</v>
      </c>
      <c r="O418" s="598" t="s">
        <v>3309</v>
      </c>
      <c r="P418" s="598" t="s">
        <v>3309</v>
      </c>
      <c r="Q418" s="598" t="s">
        <v>3312</v>
      </c>
      <c r="R418" s="598" t="s">
        <v>321</v>
      </c>
      <c r="S418" s="598" t="s">
        <v>321</v>
      </c>
      <c r="T418" s="598" t="s">
        <v>3309</v>
      </c>
      <c r="U418" s="598" t="s">
        <v>3309</v>
      </c>
      <c r="V418" s="598" t="s">
        <v>3309</v>
      </c>
      <c r="W418" s="598" t="s">
        <v>3309</v>
      </c>
      <c r="X418" s="598" t="s">
        <v>3309</v>
      </c>
      <c r="Y418" s="598" t="s">
        <v>321</v>
      </c>
      <c r="Z418" s="598" t="s">
        <v>321</v>
      </c>
      <c r="AA418" s="598" t="s">
        <v>3309</v>
      </c>
      <c r="AB418" s="598" t="s">
        <v>3309</v>
      </c>
      <c r="AC418" s="598" t="s">
        <v>3309</v>
      </c>
      <c r="AD418" s="598" t="s">
        <v>3314</v>
      </c>
      <c r="AE418" s="598" t="s">
        <v>3309</v>
      </c>
      <c r="AF418" s="598" t="s">
        <v>321</v>
      </c>
      <c r="AG418" s="598" t="s">
        <v>321</v>
      </c>
      <c r="AH418" s="598" t="s">
        <v>3309</v>
      </c>
      <c r="AI418" s="598" t="s">
        <v>321</v>
      </c>
      <c r="AJ418" s="599">
        <v>21</v>
      </c>
      <c r="AK418" s="603">
        <v>19.5</v>
      </c>
      <c r="AL418" s="603">
        <v>1.5</v>
      </c>
      <c r="AM418" s="601">
        <v>0</v>
      </c>
      <c r="AN418" s="599">
        <v>21</v>
      </c>
    </row>
    <row r="419" spans="1:40" ht="16.5" customHeight="1">
      <c r="A419" s="598" t="s">
        <v>3307</v>
      </c>
      <c r="B419" s="598" t="s">
        <v>3331</v>
      </c>
      <c r="C419" s="598" t="s">
        <v>1842</v>
      </c>
      <c r="D419" s="598" t="s">
        <v>1843</v>
      </c>
      <c r="E419" s="598" t="s">
        <v>321</v>
      </c>
      <c r="F419" s="598" t="s">
        <v>3309</v>
      </c>
      <c r="G419" s="598" t="s">
        <v>3309</v>
      </c>
      <c r="H419" s="598" t="s">
        <v>3309</v>
      </c>
      <c r="I419" s="598" t="s">
        <v>3309</v>
      </c>
      <c r="J419" s="598" t="s">
        <v>3309</v>
      </c>
      <c r="K419" s="598" t="s">
        <v>321</v>
      </c>
      <c r="L419" s="598" t="s">
        <v>321</v>
      </c>
      <c r="M419" s="598" t="s">
        <v>3309</v>
      </c>
      <c r="N419" s="598" t="s">
        <v>3309</v>
      </c>
      <c r="O419" s="598" t="s">
        <v>3309</v>
      </c>
      <c r="P419" s="598" t="s">
        <v>3309</v>
      </c>
      <c r="Q419" s="598" t="s">
        <v>3309</v>
      </c>
      <c r="R419" s="598" t="s">
        <v>321</v>
      </c>
      <c r="S419" s="598" t="s">
        <v>321</v>
      </c>
      <c r="T419" s="598" t="s">
        <v>3309</v>
      </c>
      <c r="U419" s="598" t="s">
        <v>3309</v>
      </c>
      <c r="V419" s="598" t="s">
        <v>3309</v>
      </c>
      <c r="W419" s="598" t="s">
        <v>3309</v>
      </c>
      <c r="X419" s="598" t="s">
        <v>3309</v>
      </c>
      <c r="Y419" s="598" t="s">
        <v>321</v>
      </c>
      <c r="Z419" s="598" t="s">
        <v>321</v>
      </c>
      <c r="AA419" s="598" t="s">
        <v>3309</v>
      </c>
      <c r="AB419" s="598" t="s">
        <v>3309</v>
      </c>
      <c r="AC419" s="598" t="s">
        <v>3309</v>
      </c>
      <c r="AD419" s="598" t="s">
        <v>3309</v>
      </c>
      <c r="AE419" s="598" t="s">
        <v>3309</v>
      </c>
      <c r="AF419" s="598" t="s">
        <v>321</v>
      </c>
      <c r="AG419" s="598" t="s">
        <v>321</v>
      </c>
      <c r="AH419" s="598" t="s">
        <v>3312</v>
      </c>
      <c r="AI419" s="598" t="s">
        <v>321</v>
      </c>
      <c r="AJ419" s="599">
        <v>21</v>
      </c>
      <c r="AK419" s="600">
        <v>20</v>
      </c>
      <c r="AL419" s="602">
        <v>1</v>
      </c>
      <c r="AM419" s="601">
        <v>0</v>
      </c>
      <c r="AN419" s="599">
        <v>21</v>
      </c>
    </row>
    <row r="420" spans="1:40" ht="16.5" customHeight="1">
      <c r="A420" s="598" t="s">
        <v>3307</v>
      </c>
      <c r="B420" s="598" t="s">
        <v>3331</v>
      </c>
      <c r="C420" s="598" t="s">
        <v>2937</v>
      </c>
      <c r="D420" s="598" t="s">
        <v>2938</v>
      </c>
      <c r="E420" s="598" t="s">
        <v>321</v>
      </c>
      <c r="F420" s="598" t="s">
        <v>3309</v>
      </c>
      <c r="G420" s="598" t="s">
        <v>3309</v>
      </c>
      <c r="H420" s="598" t="s">
        <v>3309</v>
      </c>
      <c r="I420" s="598" t="s">
        <v>3309</v>
      </c>
      <c r="J420" s="598" t="s">
        <v>3309</v>
      </c>
      <c r="K420" s="598" t="s">
        <v>321</v>
      </c>
      <c r="L420" s="598" t="s">
        <v>321</v>
      </c>
      <c r="M420" s="598" t="s">
        <v>3312</v>
      </c>
      <c r="N420" s="598" t="s">
        <v>3312</v>
      </c>
      <c r="O420" s="598" t="s">
        <v>3309</v>
      </c>
      <c r="P420" s="598" t="s">
        <v>3309</v>
      </c>
      <c r="Q420" s="598" t="s">
        <v>3309</v>
      </c>
      <c r="R420" s="598" t="s">
        <v>321</v>
      </c>
      <c r="S420" s="598" t="s">
        <v>321</v>
      </c>
      <c r="T420" s="598" t="s">
        <v>3309</v>
      </c>
      <c r="U420" s="598" t="s">
        <v>3309</v>
      </c>
      <c r="V420" s="598" t="s">
        <v>3309</v>
      </c>
      <c r="W420" s="598" t="s">
        <v>3309</v>
      </c>
      <c r="X420" s="598" t="s">
        <v>3309</v>
      </c>
      <c r="Y420" s="598" t="s">
        <v>321</v>
      </c>
      <c r="Z420" s="598" t="s">
        <v>321</v>
      </c>
      <c r="AA420" s="598" t="s">
        <v>3309</v>
      </c>
      <c r="AB420" s="598" t="s">
        <v>3309</v>
      </c>
      <c r="AC420" s="598" t="s">
        <v>3309</v>
      </c>
      <c r="AD420" s="598" t="s">
        <v>3309</v>
      </c>
      <c r="AE420" s="598" t="s">
        <v>3309</v>
      </c>
      <c r="AF420" s="598" t="s">
        <v>321</v>
      </c>
      <c r="AG420" s="598" t="s">
        <v>321</v>
      </c>
      <c r="AH420" s="598" t="s">
        <v>3309</v>
      </c>
      <c r="AI420" s="598" t="s">
        <v>321</v>
      </c>
      <c r="AJ420" s="599">
        <v>21</v>
      </c>
      <c r="AK420" s="600">
        <v>19</v>
      </c>
      <c r="AL420" s="602">
        <v>2</v>
      </c>
      <c r="AM420" s="601">
        <v>0</v>
      </c>
      <c r="AN420" s="599">
        <v>21</v>
      </c>
    </row>
    <row r="421" spans="1:40" ht="16.5" customHeight="1">
      <c r="A421" s="598" t="s">
        <v>3307</v>
      </c>
      <c r="B421" s="598" t="s">
        <v>3331</v>
      </c>
      <c r="C421" s="598" t="s">
        <v>2641</v>
      </c>
      <c r="D421" s="598" t="s">
        <v>2642</v>
      </c>
      <c r="E421" s="598" t="s">
        <v>321</v>
      </c>
      <c r="F421" s="598" t="s">
        <v>3312</v>
      </c>
      <c r="G421" s="598" t="s">
        <v>3309</v>
      </c>
      <c r="H421" s="598" t="s">
        <v>3309</v>
      </c>
      <c r="I421" s="598" t="s">
        <v>3309</v>
      </c>
      <c r="J421" s="598" t="s">
        <v>3309</v>
      </c>
      <c r="K421" s="598" t="s">
        <v>321</v>
      </c>
      <c r="L421" s="598" t="s">
        <v>321</v>
      </c>
      <c r="M421" s="598" t="s">
        <v>3309</v>
      </c>
      <c r="N421" s="598" t="s">
        <v>3309</v>
      </c>
      <c r="O421" s="598" t="s">
        <v>3309</v>
      </c>
      <c r="P421" s="598" t="s">
        <v>3309</v>
      </c>
      <c r="Q421" s="598" t="s">
        <v>3309</v>
      </c>
      <c r="R421" s="598" t="s">
        <v>321</v>
      </c>
      <c r="S421" s="598" t="s">
        <v>321</v>
      </c>
      <c r="T421" s="598" t="s">
        <v>3309</v>
      </c>
      <c r="U421" s="598" t="s">
        <v>3309</v>
      </c>
      <c r="V421" s="598" t="s">
        <v>3309</v>
      </c>
      <c r="W421" s="598" t="s">
        <v>3309</v>
      </c>
      <c r="X421" s="598" t="s">
        <v>3309</v>
      </c>
      <c r="Y421" s="598" t="s">
        <v>321</v>
      </c>
      <c r="Z421" s="598" t="s">
        <v>321</v>
      </c>
      <c r="AA421" s="598" t="s">
        <v>3309</v>
      </c>
      <c r="AB421" s="598" t="s">
        <v>3309</v>
      </c>
      <c r="AC421" s="598" t="s">
        <v>3309</v>
      </c>
      <c r="AD421" s="598" t="s">
        <v>3309</v>
      </c>
      <c r="AE421" s="598" t="s">
        <v>3309</v>
      </c>
      <c r="AF421" s="598" t="s">
        <v>321</v>
      </c>
      <c r="AG421" s="598" t="s">
        <v>321</v>
      </c>
      <c r="AH421" s="598" t="s">
        <v>3309</v>
      </c>
      <c r="AI421" s="598" t="s">
        <v>321</v>
      </c>
      <c r="AJ421" s="599">
        <v>21</v>
      </c>
      <c r="AK421" s="600">
        <v>20</v>
      </c>
      <c r="AL421" s="602">
        <v>1</v>
      </c>
      <c r="AM421" s="601">
        <v>0</v>
      </c>
      <c r="AN421" s="599">
        <v>21</v>
      </c>
    </row>
    <row r="422" spans="1:40" ht="16.5" customHeight="1">
      <c r="A422" s="598" t="s">
        <v>3307</v>
      </c>
      <c r="B422" s="598" t="s">
        <v>3331</v>
      </c>
      <c r="C422" s="598" t="s">
        <v>1103</v>
      </c>
      <c r="D422" s="598" t="s">
        <v>1104</v>
      </c>
      <c r="E422" s="598" t="s">
        <v>321</v>
      </c>
      <c r="F422" s="598" t="s">
        <v>3309</v>
      </c>
      <c r="G422" s="598" t="s">
        <v>3309</v>
      </c>
      <c r="H422" s="598" t="s">
        <v>3309</v>
      </c>
      <c r="I422" s="598" t="s">
        <v>3309</v>
      </c>
      <c r="J422" s="598" t="s">
        <v>3309</v>
      </c>
      <c r="K422" s="598" t="s">
        <v>321</v>
      </c>
      <c r="L422" s="598" t="s">
        <v>321</v>
      </c>
      <c r="M422" s="598" t="s">
        <v>3309</v>
      </c>
      <c r="N422" s="598" t="s">
        <v>3309</v>
      </c>
      <c r="O422" s="598" t="s">
        <v>3309</v>
      </c>
      <c r="P422" s="598" t="s">
        <v>3309</v>
      </c>
      <c r="Q422" s="598" t="s">
        <v>3309</v>
      </c>
      <c r="R422" s="598" t="s">
        <v>321</v>
      </c>
      <c r="S422" s="598" t="s">
        <v>321</v>
      </c>
      <c r="T422" s="598" t="s">
        <v>3309</v>
      </c>
      <c r="U422" s="598" t="s">
        <v>3309</v>
      </c>
      <c r="V422" s="598" t="s">
        <v>3314</v>
      </c>
      <c r="W422" s="598" t="s">
        <v>3309</v>
      </c>
      <c r="X422" s="598" t="s">
        <v>3309</v>
      </c>
      <c r="Y422" s="598" t="s">
        <v>321</v>
      </c>
      <c r="Z422" s="598" t="s">
        <v>321</v>
      </c>
      <c r="AA422" s="598" t="s">
        <v>3309</v>
      </c>
      <c r="AB422" s="598" t="s">
        <v>3309</v>
      </c>
      <c r="AC422" s="598" t="s">
        <v>3309</v>
      </c>
      <c r="AD422" s="598" t="s">
        <v>3309</v>
      </c>
      <c r="AE422" s="598" t="s">
        <v>3309</v>
      </c>
      <c r="AF422" s="598" t="s">
        <v>321</v>
      </c>
      <c r="AG422" s="598" t="s">
        <v>321</v>
      </c>
      <c r="AH422" s="598" t="s">
        <v>3309</v>
      </c>
      <c r="AI422" s="598" t="s">
        <v>321</v>
      </c>
      <c r="AJ422" s="599">
        <v>21</v>
      </c>
      <c r="AK422" s="603">
        <v>20.5</v>
      </c>
      <c r="AL422" s="604">
        <v>0.5</v>
      </c>
      <c r="AM422" s="601">
        <v>0</v>
      </c>
      <c r="AN422" s="599">
        <v>21</v>
      </c>
    </row>
    <row r="423" spans="1:40" ht="16.5" customHeight="1">
      <c r="A423" s="598" t="s">
        <v>3307</v>
      </c>
      <c r="B423" s="598" t="s">
        <v>3331</v>
      </c>
      <c r="C423" s="598" t="s">
        <v>2140</v>
      </c>
      <c r="D423" s="598" t="s">
        <v>2141</v>
      </c>
      <c r="E423" s="598" t="s">
        <v>321</v>
      </c>
      <c r="F423" s="598" t="s">
        <v>3309</v>
      </c>
      <c r="G423" s="598" t="s">
        <v>3309</v>
      </c>
      <c r="H423" s="598" t="s">
        <v>3309</v>
      </c>
      <c r="I423" s="598" t="s">
        <v>3309</v>
      </c>
      <c r="J423" s="598" t="s">
        <v>3309</v>
      </c>
      <c r="K423" s="598" t="s">
        <v>321</v>
      </c>
      <c r="L423" s="598" t="s">
        <v>321</v>
      </c>
      <c r="M423" s="598" t="s">
        <v>3309</v>
      </c>
      <c r="N423" s="598" t="s">
        <v>3309</v>
      </c>
      <c r="O423" s="598" t="s">
        <v>3309</v>
      </c>
      <c r="P423" s="598" t="s">
        <v>3309</v>
      </c>
      <c r="Q423" s="598" t="s">
        <v>3309</v>
      </c>
      <c r="R423" s="598" t="s">
        <v>321</v>
      </c>
      <c r="S423" s="598" t="s">
        <v>321</v>
      </c>
      <c r="T423" s="598" t="s">
        <v>3309</v>
      </c>
      <c r="U423" s="598" t="s">
        <v>3309</v>
      </c>
      <c r="V423" s="598" t="s">
        <v>3309</v>
      </c>
      <c r="W423" s="598" t="s">
        <v>3309</v>
      </c>
      <c r="X423" s="598" t="s">
        <v>3309</v>
      </c>
      <c r="Y423" s="598" t="s">
        <v>321</v>
      </c>
      <c r="Z423" s="598" t="s">
        <v>321</v>
      </c>
      <c r="AA423" s="598" t="s">
        <v>3309</v>
      </c>
      <c r="AB423" s="598" t="s">
        <v>3309</v>
      </c>
      <c r="AC423" s="598" t="s">
        <v>3309</v>
      </c>
      <c r="AD423" s="598" t="s">
        <v>3309</v>
      </c>
      <c r="AE423" s="598" t="s">
        <v>3309</v>
      </c>
      <c r="AF423" s="598" t="s">
        <v>321</v>
      </c>
      <c r="AG423" s="598" t="s">
        <v>321</v>
      </c>
      <c r="AH423" s="598" t="s">
        <v>3309</v>
      </c>
      <c r="AI423" s="598" t="s">
        <v>321</v>
      </c>
      <c r="AJ423" s="599">
        <v>21</v>
      </c>
      <c r="AK423" s="600">
        <v>21</v>
      </c>
      <c r="AL423" s="601">
        <v>0</v>
      </c>
      <c r="AM423" s="601">
        <v>0</v>
      </c>
      <c r="AN423" s="599">
        <v>21</v>
      </c>
    </row>
    <row r="424" spans="1:40" ht="16.5" customHeight="1">
      <c r="A424" s="598" t="s">
        <v>3307</v>
      </c>
      <c r="B424" s="598" t="s">
        <v>3331</v>
      </c>
      <c r="C424" s="598" t="s">
        <v>2470</v>
      </c>
      <c r="D424" s="598" t="s">
        <v>2471</v>
      </c>
      <c r="E424" s="598" t="s">
        <v>321</v>
      </c>
      <c r="F424" s="598" t="s">
        <v>3312</v>
      </c>
      <c r="G424" s="598" t="s">
        <v>3309</v>
      </c>
      <c r="H424" s="598" t="s">
        <v>3309</v>
      </c>
      <c r="I424" s="598" t="s">
        <v>3309</v>
      </c>
      <c r="J424" s="598" t="s">
        <v>3309</v>
      </c>
      <c r="K424" s="598" t="s">
        <v>321</v>
      </c>
      <c r="L424" s="598" t="s">
        <v>321</v>
      </c>
      <c r="M424" s="598" t="s">
        <v>3309</v>
      </c>
      <c r="N424" s="598" t="s">
        <v>3309</v>
      </c>
      <c r="O424" s="598" t="s">
        <v>3309</v>
      </c>
      <c r="P424" s="598" t="s">
        <v>3309</v>
      </c>
      <c r="Q424" s="598" t="s">
        <v>3309</v>
      </c>
      <c r="R424" s="598" t="s">
        <v>321</v>
      </c>
      <c r="S424" s="598" t="s">
        <v>321</v>
      </c>
      <c r="T424" s="598" t="s">
        <v>3309</v>
      </c>
      <c r="U424" s="598" t="s">
        <v>3309</v>
      </c>
      <c r="V424" s="598" t="s">
        <v>3309</v>
      </c>
      <c r="W424" s="598" t="s">
        <v>3309</v>
      </c>
      <c r="X424" s="598" t="s">
        <v>3309</v>
      </c>
      <c r="Y424" s="598" t="s">
        <v>321</v>
      </c>
      <c r="Z424" s="598" t="s">
        <v>321</v>
      </c>
      <c r="AA424" s="598" t="s">
        <v>3314</v>
      </c>
      <c r="AB424" s="598" t="s">
        <v>3309</v>
      </c>
      <c r="AC424" s="598" t="s">
        <v>3309</v>
      </c>
      <c r="AD424" s="598" t="s">
        <v>3309</v>
      </c>
      <c r="AE424" s="598" t="s">
        <v>3309</v>
      </c>
      <c r="AF424" s="598" t="s">
        <v>321</v>
      </c>
      <c r="AG424" s="598" t="s">
        <v>321</v>
      </c>
      <c r="AH424" s="598" t="s">
        <v>3309</v>
      </c>
      <c r="AI424" s="598" t="s">
        <v>321</v>
      </c>
      <c r="AJ424" s="599">
        <v>21</v>
      </c>
      <c r="AK424" s="603">
        <v>19.5</v>
      </c>
      <c r="AL424" s="603">
        <v>1.5</v>
      </c>
      <c r="AM424" s="601">
        <v>0</v>
      </c>
      <c r="AN424" s="599">
        <v>21</v>
      </c>
    </row>
    <row r="425" spans="1:40" ht="16.5" customHeight="1">
      <c r="A425" s="598" t="s">
        <v>3307</v>
      </c>
      <c r="B425" s="598" t="s">
        <v>3331</v>
      </c>
      <c r="C425" s="598" t="s">
        <v>2915</v>
      </c>
      <c r="D425" s="598" t="s">
        <v>2916</v>
      </c>
      <c r="E425" s="598" t="s">
        <v>321</v>
      </c>
      <c r="F425" s="598" t="s">
        <v>3309</v>
      </c>
      <c r="G425" s="598" t="s">
        <v>3309</v>
      </c>
      <c r="H425" s="598" t="s">
        <v>3309</v>
      </c>
      <c r="I425" s="598" t="s">
        <v>3309</v>
      </c>
      <c r="J425" s="598" t="s">
        <v>3309</v>
      </c>
      <c r="K425" s="598" t="s">
        <v>321</v>
      </c>
      <c r="L425" s="598" t="s">
        <v>321</v>
      </c>
      <c r="M425" s="598" t="s">
        <v>3309</v>
      </c>
      <c r="N425" s="598" t="s">
        <v>3309</v>
      </c>
      <c r="O425" s="598" t="s">
        <v>3309</v>
      </c>
      <c r="P425" s="598" t="s">
        <v>3309</v>
      </c>
      <c r="Q425" s="598" t="s">
        <v>3309</v>
      </c>
      <c r="R425" s="598" t="s">
        <v>321</v>
      </c>
      <c r="S425" s="598" t="s">
        <v>321</v>
      </c>
      <c r="T425" s="598" t="s">
        <v>3309</v>
      </c>
      <c r="U425" s="598" t="s">
        <v>3309</v>
      </c>
      <c r="V425" s="598" t="s">
        <v>3309</v>
      </c>
      <c r="W425" s="598" t="s">
        <v>3309</v>
      </c>
      <c r="X425" s="598" t="s">
        <v>3309</v>
      </c>
      <c r="Y425" s="598" t="s">
        <v>321</v>
      </c>
      <c r="Z425" s="598" t="s">
        <v>321</v>
      </c>
      <c r="AA425" s="598" t="s">
        <v>3309</v>
      </c>
      <c r="AB425" s="598" t="s">
        <v>3309</v>
      </c>
      <c r="AC425" s="598" t="s">
        <v>3309</v>
      </c>
      <c r="AD425" s="598" t="s">
        <v>3309</v>
      </c>
      <c r="AE425" s="598" t="s">
        <v>3309</v>
      </c>
      <c r="AF425" s="598" t="s">
        <v>321</v>
      </c>
      <c r="AG425" s="598" t="s">
        <v>321</v>
      </c>
      <c r="AH425" s="598" t="s">
        <v>3309</v>
      </c>
      <c r="AI425" s="598" t="s">
        <v>321</v>
      </c>
      <c r="AJ425" s="599">
        <v>21</v>
      </c>
      <c r="AK425" s="600">
        <v>21</v>
      </c>
      <c r="AL425" s="601">
        <v>0</v>
      </c>
      <c r="AM425" s="601">
        <v>0</v>
      </c>
      <c r="AN425" s="599">
        <v>21</v>
      </c>
    </row>
    <row r="426" spans="1:40" ht="16.5" customHeight="1">
      <c r="A426" s="598" t="s">
        <v>3307</v>
      </c>
      <c r="B426" s="598" t="s">
        <v>3332</v>
      </c>
      <c r="C426" s="598" t="s">
        <v>818</v>
      </c>
      <c r="D426" s="598" t="s">
        <v>819</v>
      </c>
      <c r="E426" s="598" t="s">
        <v>321</v>
      </c>
      <c r="F426" s="598" t="s">
        <v>3309</v>
      </c>
      <c r="G426" s="598" t="s">
        <v>3309</v>
      </c>
      <c r="H426" s="598" t="s">
        <v>3312</v>
      </c>
      <c r="I426" s="598" t="s">
        <v>3309</v>
      </c>
      <c r="J426" s="598" t="s">
        <v>3309</v>
      </c>
      <c r="K426" s="598" t="s">
        <v>321</v>
      </c>
      <c r="L426" s="598" t="s">
        <v>321</v>
      </c>
      <c r="M426" s="598" t="s">
        <v>3309</v>
      </c>
      <c r="N426" s="598" t="s">
        <v>3309</v>
      </c>
      <c r="O426" s="598" t="s">
        <v>3309</v>
      </c>
      <c r="P426" s="598" t="s">
        <v>3309</v>
      </c>
      <c r="Q426" s="598" t="s">
        <v>3309</v>
      </c>
      <c r="R426" s="598" t="s">
        <v>321</v>
      </c>
      <c r="S426" s="598" t="s">
        <v>321</v>
      </c>
      <c r="T426" s="598" t="s">
        <v>3309</v>
      </c>
      <c r="U426" s="598" t="s">
        <v>3314</v>
      </c>
      <c r="V426" s="598" t="s">
        <v>3309</v>
      </c>
      <c r="W426" s="598" t="s">
        <v>3309</v>
      </c>
      <c r="X426" s="598" t="s">
        <v>3309</v>
      </c>
      <c r="Y426" s="598" t="s">
        <v>321</v>
      </c>
      <c r="Z426" s="598" t="s">
        <v>321</v>
      </c>
      <c r="AA426" s="598" t="s">
        <v>3312</v>
      </c>
      <c r="AB426" s="598" t="s">
        <v>3309</v>
      </c>
      <c r="AC426" s="598" t="s">
        <v>3309</v>
      </c>
      <c r="AD426" s="598" t="s">
        <v>3309</v>
      </c>
      <c r="AE426" s="598" t="s">
        <v>3309</v>
      </c>
      <c r="AF426" s="598" t="s">
        <v>321</v>
      </c>
      <c r="AG426" s="598" t="s">
        <v>321</v>
      </c>
      <c r="AH426" s="598" t="s">
        <v>3309</v>
      </c>
      <c r="AI426" s="598" t="s">
        <v>321</v>
      </c>
      <c r="AJ426" s="599">
        <v>21</v>
      </c>
      <c r="AK426" s="603">
        <v>18.5</v>
      </c>
      <c r="AL426" s="603">
        <v>2.5</v>
      </c>
      <c r="AM426" s="601">
        <v>0</v>
      </c>
      <c r="AN426" s="599">
        <v>21</v>
      </c>
    </row>
    <row r="427" spans="1:40" ht="16.5" customHeight="1">
      <c r="A427" s="598" t="s">
        <v>3307</v>
      </c>
      <c r="B427" s="598" t="s">
        <v>3332</v>
      </c>
      <c r="C427" s="598" t="s">
        <v>1723</v>
      </c>
      <c r="D427" s="598" t="s">
        <v>1724</v>
      </c>
      <c r="E427" s="598" t="s">
        <v>321</v>
      </c>
      <c r="F427" s="598" t="s">
        <v>3309</v>
      </c>
      <c r="G427" s="598" t="s">
        <v>3309</v>
      </c>
      <c r="H427" s="598" t="s">
        <v>3309</v>
      </c>
      <c r="I427" s="598" t="s">
        <v>3309</v>
      </c>
      <c r="J427" s="598" t="s">
        <v>3309</v>
      </c>
      <c r="K427" s="598" t="s">
        <v>321</v>
      </c>
      <c r="L427" s="598" t="s">
        <v>321</v>
      </c>
      <c r="M427" s="598" t="s">
        <v>3309</v>
      </c>
      <c r="N427" s="598" t="s">
        <v>3309</v>
      </c>
      <c r="O427" s="598" t="s">
        <v>3309</v>
      </c>
      <c r="P427" s="598" t="s">
        <v>3309</v>
      </c>
      <c r="Q427" s="598" t="s">
        <v>3309</v>
      </c>
      <c r="R427" s="598" t="s">
        <v>321</v>
      </c>
      <c r="S427" s="598" t="s">
        <v>321</v>
      </c>
      <c r="T427" s="598" t="s">
        <v>3309</v>
      </c>
      <c r="U427" s="598" t="s">
        <v>3309</v>
      </c>
      <c r="V427" s="598" t="s">
        <v>3309</v>
      </c>
      <c r="W427" s="598" t="s">
        <v>3309</v>
      </c>
      <c r="X427" s="598" t="s">
        <v>3309</v>
      </c>
      <c r="Y427" s="598" t="s">
        <v>321</v>
      </c>
      <c r="Z427" s="598" t="s">
        <v>321</v>
      </c>
      <c r="AA427" s="598" t="s">
        <v>3309</v>
      </c>
      <c r="AB427" s="598" t="s">
        <v>3309</v>
      </c>
      <c r="AC427" s="598" t="s">
        <v>3309</v>
      </c>
      <c r="AD427" s="598" t="s">
        <v>3309</v>
      </c>
      <c r="AE427" s="598" t="s">
        <v>3309</v>
      </c>
      <c r="AF427" s="598" t="s">
        <v>321</v>
      </c>
      <c r="AG427" s="598" t="s">
        <v>321</v>
      </c>
      <c r="AH427" s="598" t="s">
        <v>3309</v>
      </c>
      <c r="AI427" s="598" t="s">
        <v>321</v>
      </c>
      <c r="AJ427" s="599">
        <v>21</v>
      </c>
      <c r="AK427" s="600">
        <v>21</v>
      </c>
      <c r="AL427" s="601">
        <v>0</v>
      </c>
      <c r="AM427" s="601">
        <v>0</v>
      </c>
      <c r="AN427" s="599">
        <v>21</v>
      </c>
    </row>
    <row r="428" spans="1:40" ht="16.5" customHeight="1">
      <c r="A428" s="598" t="s">
        <v>3307</v>
      </c>
      <c r="B428" s="598" t="s">
        <v>3332</v>
      </c>
      <c r="C428" s="598" t="s">
        <v>2900</v>
      </c>
      <c r="D428" s="598" t="s">
        <v>2901</v>
      </c>
      <c r="E428" s="598" t="s">
        <v>321</v>
      </c>
      <c r="F428" s="598" t="s">
        <v>3309</v>
      </c>
      <c r="G428" s="598" t="s">
        <v>3309</v>
      </c>
      <c r="H428" s="598" t="s">
        <v>3309</v>
      </c>
      <c r="I428" s="598" t="s">
        <v>3309</v>
      </c>
      <c r="J428" s="598" t="s">
        <v>3309</v>
      </c>
      <c r="K428" s="598" t="s">
        <v>321</v>
      </c>
      <c r="L428" s="598" t="s">
        <v>321</v>
      </c>
      <c r="M428" s="598" t="s">
        <v>3309</v>
      </c>
      <c r="N428" s="598" t="s">
        <v>3309</v>
      </c>
      <c r="O428" s="598" t="s">
        <v>3309</v>
      </c>
      <c r="P428" s="598" t="s">
        <v>3309</v>
      </c>
      <c r="Q428" s="598" t="s">
        <v>3309</v>
      </c>
      <c r="R428" s="598" t="s">
        <v>321</v>
      </c>
      <c r="S428" s="598" t="s">
        <v>321</v>
      </c>
      <c r="T428" s="598" t="s">
        <v>3309</v>
      </c>
      <c r="U428" s="598" t="s">
        <v>3309</v>
      </c>
      <c r="V428" s="598" t="s">
        <v>3309</v>
      </c>
      <c r="W428" s="598" t="s">
        <v>3309</v>
      </c>
      <c r="X428" s="598" t="s">
        <v>3309</v>
      </c>
      <c r="Y428" s="598" t="s">
        <v>321</v>
      </c>
      <c r="Z428" s="598" t="s">
        <v>321</v>
      </c>
      <c r="AA428" s="598" t="s">
        <v>3309</v>
      </c>
      <c r="AB428" s="598" t="s">
        <v>3309</v>
      </c>
      <c r="AC428" s="598" t="s">
        <v>3309</v>
      </c>
      <c r="AD428" s="598" t="s">
        <v>3309</v>
      </c>
      <c r="AE428" s="598" t="s">
        <v>3309</v>
      </c>
      <c r="AF428" s="598" t="s">
        <v>321</v>
      </c>
      <c r="AG428" s="598" t="s">
        <v>321</v>
      </c>
      <c r="AH428" s="598" t="s">
        <v>3309</v>
      </c>
      <c r="AI428" s="598" t="s">
        <v>321</v>
      </c>
      <c r="AJ428" s="599">
        <v>21</v>
      </c>
      <c r="AK428" s="600">
        <v>21</v>
      </c>
      <c r="AL428" s="601">
        <v>0</v>
      </c>
      <c r="AM428" s="601">
        <v>0</v>
      </c>
      <c r="AN428" s="599">
        <v>21</v>
      </c>
    </row>
    <row r="429" spans="1:40" ht="16.5" customHeight="1">
      <c r="A429" s="598" t="s">
        <v>3307</v>
      </c>
      <c r="B429" s="598" t="s">
        <v>3332</v>
      </c>
      <c r="C429" s="598" t="s">
        <v>1701</v>
      </c>
      <c r="D429" s="598" t="s">
        <v>1702</v>
      </c>
      <c r="E429" s="598" t="s">
        <v>321</v>
      </c>
      <c r="F429" s="598" t="s">
        <v>3309</v>
      </c>
      <c r="G429" s="598" t="s">
        <v>3313</v>
      </c>
      <c r="H429" s="598" t="s">
        <v>3313</v>
      </c>
      <c r="I429" s="598" t="s">
        <v>3313</v>
      </c>
      <c r="J429" s="598" t="s">
        <v>3309</v>
      </c>
      <c r="K429" s="598" t="s">
        <v>321</v>
      </c>
      <c r="L429" s="598" t="s">
        <v>321</v>
      </c>
      <c r="M429" s="598" t="s">
        <v>3309</v>
      </c>
      <c r="N429" s="598" t="s">
        <v>3309</v>
      </c>
      <c r="O429" s="598" t="s">
        <v>3309</v>
      </c>
      <c r="P429" s="598" t="s">
        <v>3309</v>
      </c>
      <c r="Q429" s="598" t="s">
        <v>3309</v>
      </c>
      <c r="R429" s="598" t="s">
        <v>321</v>
      </c>
      <c r="S429" s="598" t="s">
        <v>321</v>
      </c>
      <c r="T429" s="598" t="s">
        <v>3309</v>
      </c>
      <c r="U429" s="598" t="s">
        <v>3309</v>
      </c>
      <c r="V429" s="598" t="s">
        <v>3309</v>
      </c>
      <c r="W429" s="598" t="s">
        <v>3309</v>
      </c>
      <c r="X429" s="598" t="s">
        <v>3309</v>
      </c>
      <c r="Y429" s="598" t="s">
        <v>321</v>
      </c>
      <c r="Z429" s="598" t="s">
        <v>321</v>
      </c>
      <c r="AA429" s="598" t="s">
        <v>3309</v>
      </c>
      <c r="AB429" s="598" t="s">
        <v>3309</v>
      </c>
      <c r="AC429" s="598" t="s">
        <v>3309</v>
      </c>
      <c r="AD429" s="598" t="s">
        <v>3309</v>
      </c>
      <c r="AE429" s="598" t="s">
        <v>3309</v>
      </c>
      <c r="AF429" s="598" t="s">
        <v>321</v>
      </c>
      <c r="AG429" s="598" t="s">
        <v>321</v>
      </c>
      <c r="AH429" s="598" t="s">
        <v>3309</v>
      </c>
      <c r="AI429" s="598" t="s">
        <v>321</v>
      </c>
      <c r="AJ429" s="599">
        <v>21</v>
      </c>
      <c r="AK429" s="600">
        <v>21</v>
      </c>
      <c r="AL429" s="601">
        <v>0</v>
      </c>
      <c r="AM429" s="601">
        <v>0</v>
      </c>
      <c r="AN429" s="599">
        <v>21</v>
      </c>
    </row>
    <row r="430" spans="1:40" ht="16.5" customHeight="1">
      <c r="A430" s="598" t="s">
        <v>3307</v>
      </c>
      <c r="B430" s="598" t="s">
        <v>3332</v>
      </c>
      <c r="C430" s="598" t="s">
        <v>2328</v>
      </c>
      <c r="D430" s="598" t="s">
        <v>2329</v>
      </c>
      <c r="E430" s="598" t="s">
        <v>321</v>
      </c>
      <c r="F430" s="598" t="s">
        <v>3309</v>
      </c>
      <c r="G430" s="598" t="s">
        <v>3309</v>
      </c>
      <c r="H430" s="598" t="s">
        <v>3309</v>
      </c>
      <c r="I430" s="598" t="s">
        <v>3309</v>
      </c>
      <c r="J430" s="598" t="s">
        <v>3309</v>
      </c>
      <c r="K430" s="598" t="s">
        <v>321</v>
      </c>
      <c r="L430" s="598" t="s">
        <v>321</v>
      </c>
      <c r="M430" s="598" t="s">
        <v>3309</v>
      </c>
      <c r="N430" s="598" t="s">
        <v>3309</v>
      </c>
      <c r="O430" s="598" t="s">
        <v>3309</v>
      </c>
      <c r="P430" s="598" t="s">
        <v>3309</v>
      </c>
      <c r="Q430" s="598" t="s">
        <v>3309</v>
      </c>
      <c r="R430" s="598" t="s">
        <v>321</v>
      </c>
      <c r="S430" s="598" t="s">
        <v>321</v>
      </c>
      <c r="T430" s="598" t="s">
        <v>3309</v>
      </c>
      <c r="U430" s="598" t="s">
        <v>3309</v>
      </c>
      <c r="V430" s="598" t="s">
        <v>3309</v>
      </c>
      <c r="W430" s="598" t="s">
        <v>3309</v>
      </c>
      <c r="X430" s="598" t="s">
        <v>3309</v>
      </c>
      <c r="Y430" s="598" t="s">
        <v>321</v>
      </c>
      <c r="Z430" s="598" t="s">
        <v>321</v>
      </c>
      <c r="AA430" s="598" t="s">
        <v>3309</v>
      </c>
      <c r="AB430" s="598" t="s">
        <v>3309</v>
      </c>
      <c r="AC430" s="598" t="s">
        <v>3309</v>
      </c>
      <c r="AD430" s="598" t="s">
        <v>3309</v>
      </c>
      <c r="AE430" s="598" t="s">
        <v>3309</v>
      </c>
      <c r="AF430" s="598" t="s">
        <v>321</v>
      </c>
      <c r="AG430" s="598" t="s">
        <v>321</v>
      </c>
      <c r="AH430" s="598" t="s">
        <v>3309</v>
      </c>
      <c r="AI430" s="598" t="s">
        <v>321</v>
      </c>
      <c r="AJ430" s="599">
        <v>21</v>
      </c>
      <c r="AK430" s="600">
        <v>21</v>
      </c>
      <c r="AL430" s="601">
        <v>0</v>
      </c>
      <c r="AM430" s="601">
        <v>0</v>
      </c>
      <c r="AN430" s="599">
        <v>21</v>
      </c>
    </row>
    <row r="431" spans="1:40" ht="16.5" customHeight="1">
      <c r="A431" s="598" t="s">
        <v>3307</v>
      </c>
      <c r="B431" s="598" t="s">
        <v>3332</v>
      </c>
      <c r="C431" s="598" t="s">
        <v>2386</v>
      </c>
      <c r="D431" s="598" t="s">
        <v>2387</v>
      </c>
      <c r="E431" s="598" t="s">
        <v>321</v>
      </c>
      <c r="F431" s="598" t="s">
        <v>3309</v>
      </c>
      <c r="G431" s="598" t="s">
        <v>3309</v>
      </c>
      <c r="H431" s="598" t="s">
        <v>3309</v>
      </c>
      <c r="I431" s="598" t="s">
        <v>3309</v>
      </c>
      <c r="J431" s="598" t="s">
        <v>3309</v>
      </c>
      <c r="K431" s="598" t="s">
        <v>321</v>
      </c>
      <c r="L431" s="598" t="s">
        <v>321</v>
      </c>
      <c r="M431" s="598" t="s">
        <v>3309</v>
      </c>
      <c r="N431" s="598" t="s">
        <v>3309</v>
      </c>
      <c r="O431" s="598" t="s">
        <v>3309</v>
      </c>
      <c r="P431" s="598" t="s">
        <v>3309</v>
      </c>
      <c r="Q431" s="598" t="s">
        <v>3309</v>
      </c>
      <c r="R431" s="598" t="s">
        <v>321</v>
      </c>
      <c r="S431" s="598" t="s">
        <v>321</v>
      </c>
      <c r="T431" s="598" t="s">
        <v>3309</v>
      </c>
      <c r="U431" s="598" t="s">
        <v>3309</v>
      </c>
      <c r="V431" s="598" t="s">
        <v>3309</v>
      </c>
      <c r="W431" s="598" t="s">
        <v>3309</v>
      </c>
      <c r="X431" s="598" t="s">
        <v>3309</v>
      </c>
      <c r="Y431" s="598" t="s">
        <v>321</v>
      </c>
      <c r="Z431" s="598" t="s">
        <v>321</v>
      </c>
      <c r="AA431" s="598" t="s">
        <v>3309</v>
      </c>
      <c r="AB431" s="598" t="s">
        <v>3309</v>
      </c>
      <c r="AC431" s="598" t="s">
        <v>3309</v>
      </c>
      <c r="AD431" s="598" t="s">
        <v>3309</v>
      </c>
      <c r="AE431" s="598" t="s">
        <v>3309</v>
      </c>
      <c r="AF431" s="598" t="s">
        <v>321</v>
      </c>
      <c r="AG431" s="598" t="s">
        <v>321</v>
      </c>
      <c r="AH431" s="598" t="s">
        <v>3309</v>
      </c>
      <c r="AI431" s="598" t="s">
        <v>321</v>
      </c>
      <c r="AJ431" s="599">
        <v>21</v>
      </c>
      <c r="AK431" s="600">
        <v>21</v>
      </c>
      <c r="AL431" s="601">
        <v>0</v>
      </c>
      <c r="AM431" s="601">
        <v>0</v>
      </c>
      <c r="AN431" s="599">
        <v>21</v>
      </c>
    </row>
    <row r="432" spans="1:40" ht="16.5" customHeight="1">
      <c r="A432" s="598" t="s">
        <v>3307</v>
      </c>
      <c r="B432" s="598" t="s">
        <v>3332</v>
      </c>
      <c r="C432" s="598" t="s">
        <v>2917</v>
      </c>
      <c r="D432" s="598" t="s">
        <v>2918</v>
      </c>
      <c r="E432" s="598" t="s">
        <v>321</v>
      </c>
      <c r="F432" s="598" t="s">
        <v>3309</v>
      </c>
      <c r="G432" s="598" t="s">
        <v>3309</v>
      </c>
      <c r="H432" s="598" t="s">
        <v>3309</v>
      </c>
      <c r="I432" s="598" t="s">
        <v>3309</v>
      </c>
      <c r="J432" s="598" t="s">
        <v>3309</v>
      </c>
      <c r="K432" s="598" t="s">
        <v>321</v>
      </c>
      <c r="L432" s="598" t="s">
        <v>321</v>
      </c>
      <c r="M432" s="598" t="s">
        <v>3309</v>
      </c>
      <c r="N432" s="598" t="s">
        <v>3309</v>
      </c>
      <c r="O432" s="598" t="s">
        <v>3309</v>
      </c>
      <c r="P432" s="598" t="s">
        <v>3309</v>
      </c>
      <c r="Q432" s="598" t="s">
        <v>3309</v>
      </c>
      <c r="R432" s="598" t="s">
        <v>321</v>
      </c>
      <c r="S432" s="598" t="s">
        <v>321</v>
      </c>
      <c r="T432" s="598" t="s">
        <v>3309</v>
      </c>
      <c r="U432" s="598" t="s">
        <v>3309</v>
      </c>
      <c r="V432" s="598" t="s">
        <v>3309</v>
      </c>
      <c r="W432" s="598" t="s">
        <v>3309</v>
      </c>
      <c r="X432" s="598" t="s">
        <v>3309</v>
      </c>
      <c r="Y432" s="598" t="s">
        <v>321</v>
      </c>
      <c r="Z432" s="598" t="s">
        <v>321</v>
      </c>
      <c r="AA432" s="598" t="s">
        <v>3309</v>
      </c>
      <c r="AB432" s="598" t="s">
        <v>3309</v>
      </c>
      <c r="AC432" s="598" t="s">
        <v>3309</v>
      </c>
      <c r="AD432" s="598" t="s">
        <v>3309</v>
      </c>
      <c r="AE432" s="598" t="s">
        <v>3309</v>
      </c>
      <c r="AF432" s="598" t="s">
        <v>321</v>
      </c>
      <c r="AG432" s="598" t="s">
        <v>321</v>
      </c>
      <c r="AH432" s="598" t="s">
        <v>3309</v>
      </c>
      <c r="AI432" s="598" t="s">
        <v>321</v>
      </c>
      <c r="AJ432" s="599">
        <v>21</v>
      </c>
      <c r="AK432" s="600">
        <v>21</v>
      </c>
      <c r="AL432" s="601">
        <v>0</v>
      </c>
      <c r="AM432" s="601">
        <v>0</v>
      </c>
      <c r="AN432" s="599">
        <v>21</v>
      </c>
    </row>
    <row r="433" spans="1:40" ht="16.5" customHeight="1">
      <c r="A433" s="598" t="s">
        <v>3307</v>
      </c>
      <c r="B433" s="598" t="s">
        <v>3332</v>
      </c>
      <c r="C433" s="598" t="s">
        <v>2830</v>
      </c>
      <c r="D433" s="598" t="s">
        <v>2831</v>
      </c>
      <c r="E433" s="598" t="s">
        <v>321</v>
      </c>
      <c r="F433" s="598" t="s">
        <v>3309</v>
      </c>
      <c r="G433" s="598" t="s">
        <v>3309</v>
      </c>
      <c r="H433" s="598" t="s">
        <v>3309</v>
      </c>
      <c r="I433" s="598" t="s">
        <v>3309</v>
      </c>
      <c r="J433" s="598" t="s">
        <v>3309</v>
      </c>
      <c r="K433" s="598" t="s">
        <v>321</v>
      </c>
      <c r="L433" s="598" t="s">
        <v>321</v>
      </c>
      <c r="M433" s="598" t="s">
        <v>3309</v>
      </c>
      <c r="N433" s="598" t="s">
        <v>3309</v>
      </c>
      <c r="O433" s="598" t="s">
        <v>3309</v>
      </c>
      <c r="P433" s="598" t="s">
        <v>3309</v>
      </c>
      <c r="Q433" s="598" t="s">
        <v>3309</v>
      </c>
      <c r="R433" s="598" t="s">
        <v>321</v>
      </c>
      <c r="S433" s="598" t="s">
        <v>321</v>
      </c>
      <c r="T433" s="598" t="s">
        <v>3309</v>
      </c>
      <c r="U433" s="598" t="s">
        <v>3309</v>
      </c>
      <c r="V433" s="598" t="s">
        <v>3309</v>
      </c>
      <c r="W433" s="598" t="s">
        <v>3309</v>
      </c>
      <c r="X433" s="598" t="s">
        <v>3309</v>
      </c>
      <c r="Y433" s="598" t="s">
        <v>321</v>
      </c>
      <c r="Z433" s="598" t="s">
        <v>321</v>
      </c>
      <c r="AA433" s="598" t="s">
        <v>3309</v>
      </c>
      <c r="AB433" s="598" t="s">
        <v>3309</v>
      </c>
      <c r="AC433" s="598" t="s">
        <v>3309</v>
      </c>
      <c r="AD433" s="598" t="s">
        <v>3309</v>
      </c>
      <c r="AE433" s="598" t="s">
        <v>3309</v>
      </c>
      <c r="AF433" s="598" t="s">
        <v>321</v>
      </c>
      <c r="AG433" s="598" t="s">
        <v>321</v>
      </c>
      <c r="AH433" s="598" t="s">
        <v>3309</v>
      </c>
      <c r="AI433" s="598" t="s">
        <v>321</v>
      </c>
      <c r="AJ433" s="599">
        <v>21</v>
      </c>
      <c r="AK433" s="600">
        <v>21</v>
      </c>
      <c r="AL433" s="601">
        <v>0</v>
      </c>
      <c r="AM433" s="601">
        <v>0</v>
      </c>
      <c r="AN433" s="599">
        <v>21</v>
      </c>
    </row>
    <row r="434" spans="1:40" ht="16.5" customHeight="1">
      <c r="A434" s="598" t="s">
        <v>3307</v>
      </c>
      <c r="B434" s="598" t="s">
        <v>3332</v>
      </c>
      <c r="C434" s="598" t="s">
        <v>2504</v>
      </c>
      <c r="D434" s="598" t="s">
        <v>2505</v>
      </c>
      <c r="E434" s="598" t="s">
        <v>321</v>
      </c>
      <c r="F434" s="598" t="s">
        <v>3309</v>
      </c>
      <c r="G434" s="598" t="s">
        <v>3309</v>
      </c>
      <c r="H434" s="598" t="s">
        <v>3309</v>
      </c>
      <c r="I434" s="598" t="s">
        <v>3309</v>
      </c>
      <c r="J434" s="598" t="s">
        <v>3309</v>
      </c>
      <c r="K434" s="598" t="s">
        <v>321</v>
      </c>
      <c r="L434" s="598" t="s">
        <v>321</v>
      </c>
      <c r="M434" s="598" t="s">
        <v>3309</v>
      </c>
      <c r="N434" s="598" t="s">
        <v>3314</v>
      </c>
      <c r="O434" s="598" t="s">
        <v>3309</v>
      </c>
      <c r="P434" s="598" t="s">
        <v>3309</v>
      </c>
      <c r="Q434" s="598" t="s">
        <v>3309</v>
      </c>
      <c r="R434" s="598" t="s">
        <v>321</v>
      </c>
      <c r="S434" s="598" t="s">
        <v>321</v>
      </c>
      <c r="T434" s="598" t="s">
        <v>3309</v>
      </c>
      <c r="U434" s="598" t="s">
        <v>3309</v>
      </c>
      <c r="V434" s="598" t="s">
        <v>3314</v>
      </c>
      <c r="W434" s="598" t="s">
        <v>3309</v>
      </c>
      <c r="X434" s="598" t="s">
        <v>3309</v>
      </c>
      <c r="Y434" s="598" t="s">
        <v>321</v>
      </c>
      <c r="Z434" s="598" t="s">
        <v>321</v>
      </c>
      <c r="AA434" s="598" t="s">
        <v>3309</v>
      </c>
      <c r="AB434" s="598" t="s">
        <v>3309</v>
      </c>
      <c r="AC434" s="598" t="s">
        <v>3309</v>
      </c>
      <c r="AD434" s="598" t="s">
        <v>3309</v>
      </c>
      <c r="AE434" s="598" t="s">
        <v>3309</v>
      </c>
      <c r="AF434" s="598" t="s">
        <v>321</v>
      </c>
      <c r="AG434" s="598" t="s">
        <v>321</v>
      </c>
      <c r="AH434" s="598" t="s">
        <v>3309</v>
      </c>
      <c r="AI434" s="598" t="s">
        <v>321</v>
      </c>
      <c r="AJ434" s="599">
        <v>21</v>
      </c>
      <c r="AK434" s="600">
        <v>20</v>
      </c>
      <c r="AL434" s="602">
        <v>1</v>
      </c>
      <c r="AM434" s="601">
        <v>0</v>
      </c>
      <c r="AN434" s="599">
        <v>21</v>
      </c>
    </row>
    <row r="435" spans="1:40" ht="16.5" customHeight="1">
      <c r="A435" s="598" t="s">
        <v>3307</v>
      </c>
      <c r="B435" s="598" t="s">
        <v>3332</v>
      </c>
      <c r="C435" s="598" t="s">
        <v>1799</v>
      </c>
      <c r="D435" s="598" t="s">
        <v>1800</v>
      </c>
      <c r="E435" s="598" t="s">
        <v>321</v>
      </c>
      <c r="F435" s="598" t="s">
        <v>3309</v>
      </c>
      <c r="G435" s="598" t="s">
        <v>3309</v>
      </c>
      <c r="H435" s="598" t="s">
        <v>3309</v>
      </c>
      <c r="I435" s="598" t="s">
        <v>3309</v>
      </c>
      <c r="J435" s="598" t="s">
        <v>3309</v>
      </c>
      <c r="K435" s="598" t="s">
        <v>321</v>
      </c>
      <c r="L435" s="598" t="s">
        <v>321</v>
      </c>
      <c r="M435" s="598" t="s">
        <v>3309</v>
      </c>
      <c r="N435" s="598" t="s">
        <v>3309</v>
      </c>
      <c r="O435" s="598" t="s">
        <v>3309</v>
      </c>
      <c r="P435" s="598" t="s">
        <v>3309</v>
      </c>
      <c r="Q435" s="598" t="s">
        <v>3309</v>
      </c>
      <c r="R435" s="598" t="s">
        <v>321</v>
      </c>
      <c r="S435" s="598" t="s">
        <v>321</v>
      </c>
      <c r="T435" s="598" t="s">
        <v>3309</v>
      </c>
      <c r="U435" s="598" t="s">
        <v>3309</v>
      </c>
      <c r="V435" s="598" t="s">
        <v>3309</v>
      </c>
      <c r="W435" s="598" t="s">
        <v>3309</v>
      </c>
      <c r="X435" s="598" t="s">
        <v>3309</v>
      </c>
      <c r="Y435" s="598" t="s">
        <v>321</v>
      </c>
      <c r="Z435" s="598" t="s">
        <v>321</v>
      </c>
      <c r="AA435" s="598" t="s">
        <v>3309</v>
      </c>
      <c r="AB435" s="598" t="s">
        <v>3309</v>
      </c>
      <c r="AC435" s="598" t="s">
        <v>3309</v>
      </c>
      <c r="AD435" s="598" t="s">
        <v>3309</v>
      </c>
      <c r="AE435" s="598" t="s">
        <v>3309</v>
      </c>
      <c r="AF435" s="598" t="s">
        <v>321</v>
      </c>
      <c r="AG435" s="598" t="s">
        <v>321</v>
      </c>
      <c r="AH435" s="598" t="s">
        <v>3309</v>
      </c>
      <c r="AI435" s="598" t="s">
        <v>321</v>
      </c>
      <c r="AJ435" s="599">
        <v>21</v>
      </c>
      <c r="AK435" s="600">
        <v>21</v>
      </c>
      <c r="AL435" s="601">
        <v>0</v>
      </c>
      <c r="AM435" s="601">
        <v>0</v>
      </c>
      <c r="AN435" s="599">
        <v>21</v>
      </c>
    </row>
    <row r="436" spans="1:40" ht="16.5" customHeight="1">
      <c r="A436" s="598" t="s">
        <v>3307</v>
      </c>
      <c r="B436" s="598" t="s">
        <v>3332</v>
      </c>
      <c r="C436" s="598" t="s">
        <v>2941</v>
      </c>
      <c r="D436" s="598" t="s">
        <v>2942</v>
      </c>
      <c r="E436" s="598" t="s">
        <v>321</v>
      </c>
      <c r="F436" s="598" t="s">
        <v>3309</v>
      </c>
      <c r="G436" s="598" t="s">
        <v>3309</v>
      </c>
      <c r="H436" s="598" t="s">
        <v>3309</v>
      </c>
      <c r="I436" s="598" t="s">
        <v>3309</v>
      </c>
      <c r="J436" s="598" t="s">
        <v>3309</v>
      </c>
      <c r="K436" s="598" t="s">
        <v>321</v>
      </c>
      <c r="L436" s="598" t="s">
        <v>321</v>
      </c>
      <c r="M436" s="598" t="s">
        <v>3309</v>
      </c>
      <c r="N436" s="598" t="s">
        <v>3309</v>
      </c>
      <c r="O436" s="598" t="s">
        <v>3309</v>
      </c>
      <c r="P436" s="598" t="s">
        <v>3309</v>
      </c>
      <c r="Q436" s="598" t="s">
        <v>3309</v>
      </c>
      <c r="R436" s="598" t="s">
        <v>321</v>
      </c>
      <c r="S436" s="598" t="s">
        <v>321</v>
      </c>
      <c r="T436" s="598" t="s">
        <v>3309</v>
      </c>
      <c r="U436" s="598" t="s">
        <v>3309</v>
      </c>
      <c r="V436" s="598" t="s">
        <v>3309</v>
      </c>
      <c r="W436" s="598" t="s">
        <v>3309</v>
      </c>
      <c r="X436" s="598" t="s">
        <v>3309</v>
      </c>
      <c r="Y436" s="598" t="s">
        <v>321</v>
      </c>
      <c r="Z436" s="598" t="s">
        <v>321</v>
      </c>
      <c r="AA436" s="598" t="s">
        <v>3309</v>
      </c>
      <c r="AB436" s="598" t="s">
        <v>3309</v>
      </c>
      <c r="AC436" s="598" t="s">
        <v>3309</v>
      </c>
      <c r="AD436" s="598" t="s">
        <v>3309</v>
      </c>
      <c r="AE436" s="598" t="s">
        <v>3309</v>
      </c>
      <c r="AF436" s="598" t="s">
        <v>321</v>
      </c>
      <c r="AG436" s="598" t="s">
        <v>321</v>
      </c>
      <c r="AH436" s="598" t="s">
        <v>3309</v>
      </c>
      <c r="AI436" s="598" t="s">
        <v>321</v>
      </c>
      <c r="AJ436" s="599">
        <v>21</v>
      </c>
      <c r="AK436" s="600">
        <v>21</v>
      </c>
      <c r="AL436" s="601">
        <v>0</v>
      </c>
      <c r="AM436" s="601">
        <v>0</v>
      </c>
      <c r="AN436" s="599">
        <v>21</v>
      </c>
    </row>
    <row r="437" spans="1:40" ht="16.5" customHeight="1">
      <c r="A437" s="598" t="s">
        <v>3307</v>
      </c>
      <c r="B437" s="598" t="s">
        <v>3332</v>
      </c>
      <c r="C437" s="598" t="s">
        <v>1725</v>
      </c>
      <c r="D437" s="598" t="s">
        <v>1726</v>
      </c>
      <c r="E437" s="598" t="s">
        <v>321</v>
      </c>
      <c r="F437" s="598" t="s">
        <v>3309</v>
      </c>
      <c r="G437" s="598" t="s">
        <v>3309</v>
      </c>
      <c r="H437" s="598" t="s">
        <v>3309</v>
      </c>
      <c r="I437" s="598" t="s">
        <v>3309</v>
      </c>
      <c r="J437" s="598" t="s">
        <v>3309</v>
      </c>
      <c r="K437" s="598" t="s">
        <v>321</v>
      </c>
      <c r="L437" s="598" t="s">
        <v>321</v>
      </c>
      <c r="M437" s="598" t="s">
        <v>3309</v>
      </c>
      <c r="N437" s="598" t="s">
        <v>3309</v>
      </c>
      <c r="O437" s="598" t="s">
        <v>3309</v>
      </c>
      <c r="P437" s="598" t="s">
        <v>3309</v>
      </c>
      <c r="Q437" s="598" t="s">
        <v>3309</v>
      </c>
      <c r="R437" s="598" t="s">
        <v>321</v>
      </c>
      <c r="S437" s="598" t="s">
        <v>321</v>
      </c>
      <c r="T437" s="598" t="s">
        <v>3309</v>
      </c>
      <c r="U437" s="598" t="s">
        <v>3309</v>
      </c>
      <c r="V437" s="598" t="s">
        <v>3309</v>
      </c>
      <c r="W437" s="598" t="s">
        <v>3309</v>
      </c>
      <c r="X437" s="598" t="s">
        <v>3309</v>
      </c>
      <c r="Y437" s="598" t="s">
        <v>321</v>
      </c>
      <c r="Z437" s="598" t="s">
        <v>321</v>
      </c>
      <c r="AA437" s="598" t="s">
        <v>3309</v>
      </c>
      <c r="AB437" s="598" t="s">
        <v>3309</v>
      </c>
      <c r="AC437" s="598" t="s">
        <v>3309</v>
      </c>
      <c r="AD437" s="598" t="s">
        <v>3309</v>
      </c>
      <c r="AE437" s="598" t="s">
        <v>3309</v>
      </c>
      <c r="AF437" s="598" t="s">
        <v>321</v>
      </c>
      <c r="AG437" s="598" t="s">
        <v>321</v>
      </c>
      <c r="AH437" s="598" t="s">
        <v>3309</v>
      </c>
      <c r="AI437" s="598" t="s">
        <v>321</v>
      </c>
      <c r="AJ437" s="599">
        <v>21</v>
      </c>
      <c r="AK437" s="600">
        <v>21</v>
      </c>
      <c r="AL437" s="601">
        <v>0</v>
      </c>
      <c r="AM437" s="601">
        <v>0</v>
      </c>
      <c r="AN437" s="599">
        <v>21</v>
      </c>
    </row>
    <row r="438" spans="1:40" ht="16.5" customHeight="1">
      <c r="A438" s="598" t="s">
        <v>3307</v>
      </c>
      <c r="B438" s="598" t="s">
        <v>3332</v>
      </c>
      <c r="C438" s="598" t="s">
        <v>1090</v>
      </c>
      <c r="D438" s="598" t="s">
        <v>1091</v>
      </c>
      <c r="E438" s="598" t="s">
        <v>321</v>
      </c>
      <c r="F438" s="598" t="s">
        <v>3309</v>
      </c>
      <c r="G438" s="598" t="s">
        <v>3309</v>
      </c>
      <c r="H438" s="598" t="s">
        <v>3309</v>
      </c>
      <c r="I438" s="598" t="s">
        <v>3309</v>
      </c>
      <c r="J438" s="598" t="s">
        <v>3309</v>
      </c>
      <c r="K438" s="598" t="s">
        <v>321</v>
      </c>
      <c r="L438" s="598" t="s">
        <v>321</v>
      </c>
      <c r="M438" s="598" t="s">
        <v>3312</v>
      </c>
      <c r="N438" s="598" t="s">
        <v>3309</v>
      </c>
      <c r="O438" s="598" t="s">
        <v>3309</v>
      </c>
      <c r="P438" s="598" t="s">
        <v>3309</v>
      </c>
      <c r="Q438" s="598" t="s">
        <v>3309</v>
      </c>
      <c r="R438" s="598" t="s">
        <v>321</v>
      </c>
      <c r="S438" s="598" t="s">
        <v>321</v>
      </c>
      <c r="T438" s="598" t="s">
        <v>3309</v>
      </c>
      <c r="U438" s="598" t="s">
        <v>3309</v>
      </c>
      <c r="V438" s="598" t="s">
        <v>3314</v>
      </c>
      <c r="W438" s="598" t="s">
        <v>3309</v>
      </c>
      <c r="X438" s="598" t="s">
        <v>3309</v>
      </c>
      <c r="Y438" s="598" t="s">
        <v>321</v>
      </c>
      <c r="Z438" s="598" t="s">
        <v>321</v>
      </c>
      <c r="AA438" s="598" t="s">
        <v>3309</v>
      </c>
      <c r="AB438" s="598" t="s">
        <v>3309</v>
      </c>
      <c r="AC438" s="598" t="s">
        <v>3309</v>
      </c>
      <c r="AD438" s="598" t="s">
        <v>3309</v>
      </c>
      <c r="AE438" s="598" t="s">
        <v>3309</v>
      </c>
      <c r="AF438" s="598" t="s">
        <v>321</v>
      </c>
      <c r="AG438" s="598" t="s">
        <v>321</v>
      </c>
      <c r="AH438" s="598" t="s">
        <v>3309</v>
      </c>
      <c r="AI438" s="598" t="s">
        <v>321</v>
      </c>
      <c r="AJ438" s="599">
        <v>21</v>
      </c>
      <c r="AK438" s="603">
        <v>19.5</v>
      </c>
      <c r="AL438" s="603">
        <v>1.5</v>
      </c>
      <c r="AM438" s="601">
        <v>0</v>
      </c>
      <c r="AN438" s="599">
        <v>21</v>
      </c>
    </row>
    <row r="439" spans="1:40" ht="16.5" customHeight="1">
      <c r="A439" s="598" t="s">
        <v>3307</v>
      </c>
      <c r="B439" s="598" t="s">
        <v>3332</v>
      </c>
      <c r="C439" s="598" t="s">
        <v>2840</v>
      </c>
      <c r="D439" s="598" t="s">
        <v>2841</v>
      </c>
      <c r="E439" s="598" t="s">
        <v>321</v>
      </c>
      <c r="F439" s="598" t="s">
        <v>3309</v>
      </c>
      <c r="G439" s="598" t="s">
        <v>3309</v>
      </c>
      <c r="H439" s="598" t="s">
        <v>3309</v>
      </c>
      <c r="I439" s="598" t="s">
        <v>3309</v>
      </c>
      <c r="J439" s="598" t="s">
        <v>3309</v>
      </c>
      <c r="K439" s="598" t="s">
        <v>321</v>
      </c>
      <c r="L439" s="598" t="s">
        <v>321</v>
      </c>
      <c r="M439" s="598" t="s">
        <v>3309</v>
      </c>
      <c r="N439" s="598" t="s">
        <v>3309</v>
      </c>
      <c r="O439" s="598" t="s">
        <v>3309</v>
      </c>
      <c r="P439" s="598" t="s">
        <v>3309</v>
      </c>
      <c r="Q439" s="598" t="s">
        <v>3309</v>
      </c>
      <c r="R439" s="598" t="s">
        <v>321</v>
      </c>
      <c r="S439" s="598" t="s">
        <v>321</v>
      </c>
      <c r="T439" s="598" t="s">
        <v>3309</v>
      </c>
      <c r="U439" s="598" t="s">
        <v>3309</v>
      </c>
      <c r="V439" s="598" t="s">
        <v>3309</v>
      </c>
      <c r="W439" s="598" t="s">
        <v>3309</v>
      </c>
      <c r="X439" s="598" t="s">
        <v>3309</v>
      </c>
      <c r="Y439" s="598" t="s">
        <v>321</v>
      </c>
      <c r="Z439" s="598" t="s">
        <v>321</v>
      </c>
      <c r="AA439" s="598" t="s">
        <v>3309</v>
      </c>
      <c r="AB439" s="598" t="s">
        <v>3309</v>
      </c>
      <c r="AC439" s="598" t="s">
        <v>3309</v>
      </c>
      <c r="AD439" s="598" t="s">
        <v>3309</v>
      </c>
      <c r="AE439" s="598" t="s">
        <v>3309</v>
      </c>
      <c r="AF439" s="598" t="s">
        <v>321</v>
      </c>
      <c r="AG439" s="598" t="s">
        <v>321</v>
      </c>
      <c r="AH439" s="598" t="s">
        <v>3309</v>
      </c>
      <c r="AI439" s="598" t="s">
        <v>321</v>
      </c>
      <c r="AJ439" s="599">
        <v>21</v>
      </c>
      <c r="AK439" s="600">
        <v>21</v>
      </c>
      <c r="AL439" s="601">
        <v>0</v>
      </c>
      <c r="AM439" s="601">
        <v>0</v>
      </c>
      <c r="AN439" s="599">
        <v>21</v>
      </c>
    </row>
    <row r="440" spans="1:40" ht="16.5" customHeight="1">
      <c r="A440" s="598" t="s">
        <v>3307</v>
      </c>
      <c r="B440" s="598" t="s">
        <v>3332</v>
      </c>
      <c r="C440" s="598" t="s">
        <v>2951</v>
      </c>
      <c r="D440" s="598" t="s">
        <v>2952</v>
      </c>
      <c r="E440" s="598" t="s">
        <v>321</v>
      </c>
      <c r="F440" s="598" t="s">
        <v>3309</v>
      </c>
      <c r="G440" s="598" t="s">
        <v>3309</v>
      </c>
      <c r="H440" s="598" t="s">
        <v>3309</v>
      </c>
      <c r="I440" s="598" t="s">
        <v>3309</v>
      </c>
      <c r="J440" s="598" t="s">
        <v>3309</v>
      </c>
      <c r="K440" s="598" t="s">
        <v>321</v>
      </c>
      <c r="L440" s="598" t="s">
        <v>321</v>
      </c>
      <c r="M440" s="598" t="s">
        <v>3309</v>
      </c>
      <c r="N440" s="598" t="s">
        <v>3309</v>
      </c>
      <c r="O440" s="598" t="s">
        <v>3309</v>
      </c>
      <c r="P440" s="598" t="s">
        <v>3309</v>
      </c>
      <c r="Q440" s="598" t="s">
        <v>3309</v>
      </c>
      <c r="R440" s="598" t="s">
        <v>321</v>
      </c>
      <c r="S440" s="598" t="s">
        <v>321</v>
      </c>
      <c r="T440" s="598" t="s">
        <v>3309</v>
      </c>
      <c r="U440" s="598" t="s">
        <v>3309</v>
      </c>
      <c r="V440" s="598" t="s">
        <v>3309</v>
      </c>
      <c r="W440" s="598" t="s">
        <v>3309</v>
      </c>
      <c r="X440" s="598" t="s">
        <v>3309</v>
      </c>
      <c r="Y440" s="598" t="s">
        <v>321</v>
      </c>
      <c r="Z440" s="598" t="s">
        <v>321</v>
      </c>
      <c r="AA440" s="598" t="s">
        <v>3309</v>
      </c>
      <c r="AB440" s="598" t="s">
        <v>3309</v>
      </c>
      <c r="AC440" s="598" t="s">
        <v>3309</v>
      </c>
      <c r="AD440" s="598" t="s">
        <v>3309</v>
      </c>
      <c r="AE440" s="598" t="s">
        <v>3309</v>
      </c>
      <c r="AF440" s="598" t="s">
        <v>321</v>
      </c>
      <c r="AG440" s="598" t="s">
        <v>321</v>
      </c>
      <c r="AH440" s="598" t="s">
        <v>3309</v>
      </c>
      <c r="AI440" s="598" t="s">
        <v>321</v>
      </c>
      <c r="AJ440" s="599">
        <v>21</v>
      </c>
      <c r="AK440" s="600">
        <v>21</v>
      </c>
      <c r="AL440" s="601">
        <v>0</v>
      </c>
      <c r="AM440" s="601">
        <v>0</v>
      </c>
      <c r="AN440" s="599">
        <v>21</v>
      </c>
    </row>
    <row r="441" spans="1:40" ht="16.5" customHeight="1">
      <c r="A441" s="598" t="s">
        <v>3307</v>
      </c>
      <c r="B441" s="598" t="s">
        <v>3332</v>
      </c>
      <c r="C441" s="598" t="s">
        <v>2947</v>
      </c>
      <c r="D441" s="598" t="s">
        <v>2948</v>
      </c>
      <c r="E441" s="598" t="s">
        <v>321</v>
      </c>
      <c r="F441" s="598" t="s">
        <v>3309</v>
      </c>
      <c r="G441" s="598" t="s">
        <v>3309</v>
      </c>
      <c r="H441" s="598" t="s">
        <v>3309</v>
      </c>
      <c r="I441" s="598" t="s">
        <v>3309</v>
      </c>
      <c r="J441" s="598" t="s">
        <v>3309</v>
      </c>
      <c r="K441" s="598" t="s">
        <v>321</v>
      </c>
      <c r="L441" s="598" t="s">
        <v>321</v>
      </c>
      <c r="M441" s="598" t="s">
        <v>3309</v>
      </c>
      <c r="N441" s="598" t="s">
        <v>3309</v>
      </c>
      <c r="O441" s="598" t="s">
        <v>3309</v>
      </c>
      <c r="P441" s="598" t="s">
        <v>3309</v>
      </c>
      <c r="Q441" s="598" t="s">
        <v>3309</v>
      </c>
      <c r="R441" s="598" t="s">
        <v>321</v>
      </c>
      <c r="S441" s="598" t="s">
        <v>321</v>
      </c>
      <c r="T441" s="598" t="s">
        <v>3309</v>
      </c>
      <c r="U441" s="598" t="s">
        <v>3309</v>
      </c>
      <c r="V441" s="598" t="s">
        <v>3309</v>
      </c>
      <c r="W441" s="598" t="s">
        <v>3309</v>
      </c>
      <c r="X441" s="598" t="s">
        <v>3309</v>
      </c>
      <c r="Y441" s="598" t="s">
        <v>321</v>
      </c>
      <c r="Z441" s="598" t="s">
        <v>321</v>
      </c>
      <c r="AA441" s="598" t="s">
        <v>3309</v>
      </c>
      <c r="AB441" s="598" t="s">
        <v>3309</v>
      </c>
      <c r="AC441" s="598" t="s">
        <v>3309</v>
      </c>
      <c r="AD441" s="598" t="s">
        <v>3309</v>
      </c>
      <c r="AE441" s="598" t="s">
        <v>3309</v>
      </c>
      <c r="AF441" s="598" t="s">
        <v>321</v>
      </c>
      <c r="AG441" s="598" t="s">
        <v>321</v>
      </c>
      <c r="AH441" s="598" t="s">
        <v>3309</v>
      </c>
      <c r="AI441" s="598" t="s">
        <v>321</v>
      </c>
      <c r="AJ441" s="599">
        <v>21</v>
      </c>
      <c r="AK441" s="600">
        <v>21</v>
      </c>
      <c r="AL441" s="601">
        <v>0</v>
      </c>
      <c r="AM441" s="601">
        <v>0</v>
      </c>
      <c r="AN441" s="599">
        <v>21</v>
      </c>
    </row>
    <row r="442" spans="1:40" ht="16.5" customHeight="1">
      <c r="A442" s="598" t="s">
        <v>3307</v>
      </c>
      <c r="B442" s="598" t="s">
        <v>3332</v>
      </c>
      <c r="C442" s="598" t="s">
        <v>73</v>
      </c>
      <c r="D442" s="598" t="s">
        <v>951</v>
      </c>
      <c r="E442" s="598" t="s">
        <v>321</v>
      </c>
      <c r="F442" s="598" t="s">
        <v>3309</v>
      </c>
      <c r="G442" s="598" t="s">
        <v>3309</v>
      </c>
      <c r="H442" s="598" t="s">
        <v>3309</v>
      </c>
      <c r="I442" s="598" t="s">
        <v>3309</v>
      </c>
      <c r="J442" s="598" t="s">
        <v>3309</v>
      </c>
      <c r="K442" s="598" t="s">
        <v>321</v>
      </c>
      <c r="L442" s="598" t="s">
        <v>321</v>
      </c>
      <c r="M442" s="598" t="s">
        <v>3309</v>
      </c>
      <c r="N442" s="598" t="s">
        <v>3309</v>
      </c>
      <c r="O442" s="598" t="s">
        <v>3309</v>
      </c>
      <c r="P442" s="598" t="s">
        <v>3309</v>
      </c>
      <c r="Q442" s="598" t="s">
        <v>3309</v>
      </c>
      <c r="R442" s="598" t="s">
        <v>321</v>
      </c>
      <c r="S442" s="598" t="s">
        <v>321</v>
      </c>
      <c r="T442" s="598" t="s">
        <v>3309</v>
      </c>
      <c r="U442" s="598" t="s">
        <v>3309</v>
      </c>
      <c r="V442" s="598" t="s">
        <v>3309</v>
      </c>
      <c r="W442" s="598" t="s">
        <v>3309</v>
      </c>
      <c r="X442" s="598" t="s">
        <v>3309</v>
      </c>
      <c r="Y442" s="598" t="s">
        <v>321</v>
      </c>
      <c r="Z442" s="598" t="s">
        <v>321</v>
      </c>
      <c r="AA442" s="598" t="s">
        <v>3309</v>
      </c>
      <c r="AB442" s="598" t="s">
        <v>3309</v>
      </c>
      <c r="AC442" s="598" t="s">
        <v>3309</v>
      </c>
      <c r="AD442" s="598" t="s">
        <v>3309</v>
      </c>
      <c r="AE442" s="598" t="s">
        <v>3309</v>
      </c>
      <c r="AF442" s="598" t="s">
        <v>321</v>
      </c>
      <c r="AG442" s="598" t="s">
        <v>321</v>
      </c>
      <c r="AH442" s="598" t="s">
        <v>3309</v>
      </c>
      <c r="AI442" s="598" t="s">
        <v>321</v>
      </c>
      <c r="AJ442" s="599">
        <v>21</v>
      </c>
      <c r="AK442" s="600">
        <v>21</v>
      </c>
      <c r="AL442" s="601">
        <v>0</v>
      </c>
      <c r="AM442" s="601">
        <v>0</v>
      </c>
      <c r="AN442" s="599">
        <v>21</v>
      </c>
    </row>
    <row r="443" spans="1:40" ht="16.5" customHeight="1">
      <c r="A443" s="598" t="s">
        <v>3307</v>
      </c>
      <c r="B443" s="598" t="s">
        <v>3332</v>
      </c>
      <c r="C443" s="598" t="s">
        <v>62</v>
      </c>
      <c r="D443" s="598" t="s">
        <v>904</v>
      </c>
      <c r="E443" s="598" t="s">
        <v>321</v>
      </c>
      <c r="F443" s="598" t="s">
        <v>3309</v>
      </c>
      <c r="G443" s="598" t="s">
        <v>3309</v>
      </c>
      <c r="H443" s="598" t="s">
        <v>3309</v>
      </c>
      <c r="I443" s="598" t="s">
        <v>3309</v>
      </c>
      <c r="J443" s="598" t="s">
        <v>3309</v>
      </c>
      <c r="K443" s="598" t="s">
        <v>321</v>
      </c>
      <c r="L443" s="598" t="s">
        <v>321</v>
      </c>
      <c r="M443" s="598" t="s">
        <v>3309</v>
      </c>
      <c r="N443" s="598" t="s">
        <v>3309</v>
      </c>
      <c r="O443" s="598" t="s">
        <v>3309</v>
      </c>
      <c r="P443" s="598" t="s">
        <v>3309</v>
      </c>
      <c r="Q443" s="598" t="s">
        <v>3309</v>
      </c>
      <c r="R443" s="598" t="s">
        <v>321</v>
      </c>
      <c r="S443" s="598" t="s">
        <v>321</v>
      </c>
      <c r="T443" s="598" t="s">
        <v>3309</v>
      </c>
      <c r="U443" s="598" t="s">
        <v>3309</v>
      </c>
      <c r="V443" s="598" t="s">
        <v>3309</v>
      </c>
      <c r="W443" s="598" t="s">
        <v>3309</v>
      </c>
      <c r="X443" s="598" t="s">
        <v>3309</v>
      </c>
      <c r="Y443" s="598" t="s">
        <v>321</v>
      </c>
      <c r="Z443" s="598" t="s">
        <v>321</v>
      </c>
      <c r="AA443" s="598" t="s">
        <v>3309</v>
      </c>
      <c r="AB443" s="598" t="s">
        <v>3309</v>
      </c>
      <c r="AC443" s="598" t="s">
        <v>3309</v>
      </c>
      <c r="AD443" s="598" t="s">
        <v>3309</v>
      </c>
      <c r="AE443" s="598" t="s">
        <v>3309</v>
      </c>
      <c r="AF443" s="598" t="s">
        <v>321</v>
      </c>
      <c r="AG443" s="598" t="s">
        <v>321</v>
      </c>
      <c r="AH443" s="598" t="s">
        <v>3309</v>
      </c>
      <c r="AI443" s="598" t="s">
        <v>321</v>
      </c>
      <c r="AJ443" s="599">
        <v>21</v>
      </c>
      <c r="AK443" s="600">
        <v>21</v>
      </c>
      <c r="AL443" s="601">
        <v>0</v>
      </c>
      <c r="AM443" s="601">
        <v>0</v>
      </c>
      <c r="AN443" s="599">
        <v>21</v>
      </c>
    </row>
    <row r="444" spans="1:40" ht="16.5" customHeight="1">
      <c r="A444" s="598" t="s">
        <v>3307</v>
      </c>
      <c r="B444" s="598" t="s">
        <v>3332</v>
      </c>
      <c r="C444" s="598" t="s">
        <v>1137</v>
      </c>
      <c r="D444" s="598" t="s">
        <v>1138</v>
      </c>
      <c r="E444" s="598" t="s">
        <v>321</v>
      </c>
      <c r="F444" s="598" t="s">
        <v>3309</v>
      </c>
      <c r="G444" s="598" t="s">
        <v>3309</v>
      </c>
      <c r="H444" s="598" t="s">
        <v>3309</v>
      </c>
      <c r="I444" s="598" t="s">
        <v>3309</v>
      </c>
      <c r="J444" s="598" t="s">
        <v>3309</v>
      </c>
      <c r="K444" s="598" t="s">
        <v>321</v>
      </c>
      <c r="L444" s="598" t="s">
        <v>321</v>
      </c>
      <c r="M444" s="598" t="s">
        <v>3309</v>
      </c>
      <c r="N444" s="598" t="s">
        <v>3309</v>
      </c>
      <c r="O444" s="598" t="s">
        <v>3309</v>
      </c>
      <c r="P444" s="598" t="s">
        <v>3309</v>
      </c>
      <c r="Q444" s="598" t="s">
        <v>3309</v>
      </c>
      <c r="R444" s="598" t="s">
        <v>321</v>
      </c>
      <c r="S444" s="598" t="s">
        <v>321</v>
      </c>
      <c r="T444" s="598" t="s">
        <v>3309</v>
      </c>
      <c r="U444" s="598" t="s">
        <v>3309</v>
      </c>
      <c r="V444" s="598" t="s">
        <v>3309</v>
      </c>
      <c r="W444" s="598" t="s">
        <v>3309</v>
      </c>
      <c r="X444" s="598" t="s">
        <v>3309</v>
      </c>
      <c r="Y444" s="598" t="s">
        <v>321</v>
      </c>
      <c r="Z444" s="598" t="s">
        <v>321</v>
      </c>
      <c r="AA444" s="598" t="s">
        <v>3309</v>
      </c>
      <c r="AB444" s="598" t="s">
        <v>3309</v>
      </c>
      <c r="AC444" s="598" t="s">
        <v>3309</v>
      </c>
      <c r="AD444" s="598" t="s">
        <v>3309</v>
      </c>
      <c r="AE444" s="598" t="s">
        <v>3309</v>
      </c>
      <c r="AF444" s="598" t="s">
        <v>321</v>
      </c>
      <c r="AG444" s="598" t="s">
        <v>321</v>
      </c>
      <c r="AH444" s="598" t="s">
        <v>3309</v>
      </c>
      <c r="AI444" s="598" t="s">
        <v>321</v>
      </c>
      <c r="AJ444" s="599">
        <v>21</v>
      </c>
      <c r="AK444" s="600">
        <v>21</v>
      </c>
      <c r="AL444" s="601">
        <v>0</v>
      </c>
      <c r="AM444" s="601">
        <v>0</v>
      </c>
      <c r="AN444" s="599">
        <v>21</v>
      </c>
    </row>
    <row r="445" spans="1:40" ht="16.5" customHeight="1">
      <c r="A445" s="598" t="s">
        <v>3307</v>
      </c>
      <c r="B445" s="598" t="s">
        <v>3332</v>
      </c>
      <c r="C445" s="598" t="s">
        <v>687</v>
      </c>
      <c r="D445" s="598" t="s">
        <v>688</v>
      </c>
      <c r="E445" s="598" t="s">
        <v>321</v>
      </c>
      <c r="F445" s="598" t="s">
        <v>3309</v>
      </c>
      <c r="G445" s="598" t="s">
        <v>3309</v>
      </c>
      <c r="H445" s="598" t="s">
        <v>3309</v>
      </c>
      <c r="I445" s="598" t="s">
        <v>3309</v>
      </c>
      <c r="J445" s="598" t="s">
        <v>3309</v>
      </c>
      <c r="K445" s="598" t="s">
        <v>321</v>
      </c>
      <c r="L445" s="598" t="s">
        <v>321</v>
      </c>
      <c r="M445" s="598" t="s">
        <v>3309</v>
      </c>
      <c r="N445" s="598" t="s">
        <v>3309</v>
      </c>
      <c r="O445" s="598" t="s">
        <v>3309</v>
      </c>
      <c r="P445" s="598" t="s">
        <v>3309</v>
      </c>
      <c r="Q445" s="598" t="s">
        <v>3309</v>
      </c>
      <c r="R445" s="598" t="s">
        <v>321</v>
      </c>
      <c r="S445" s="598" t="s">
        <v>321</v>
      </c>
      <c r="T445" s="598" t="s">
        <v>3309</v>
      </c>
      <c r="U445" s="598" t="s">
        <v>3309</v>
      </c>
      <c r="V445" s="598" t="s">
        <v>3309</v>
      </c>
      <c r="W445" s="598" t="s">
        <v>3309</v>
      </c>
      <c r="X445" s="598" t="s">
        <v>3309</v>
      </c>
      <c r="Y445" s="598" t="s">
        <v>321</v>
      </c>
      <c r="Z445" s="598" t="s">
        <v>321</v>
      </c>
      <c r="AA445" s="598" t="s">
        <v>3309</v>
      </c>
      <c r="AB445" s="598" t="s">
        <v>3309</v>
      </c>
      <c r="AC445" s="598" t="s">
        <v>3309</v>
      </c>
      <c r="AD445" s="598" t="s">
        <v>3309</v>
      </c>
      <c r="AE445" s="598" t="s">
        <v>3312</v>
      </c>
      <c r="AF445" s="598" t="s">
        <v>321</v>
      </c>
      <c r="AG445" s="598" t="s">
        <v>321</v>
      </c>
      <c r="AH445" s="598" t="s">
        <v>3309</v>
      </c>
      <c r="AI445" s="598" t="s">
        <v>321</v>
      </c>
      <c r="AJ445" s="599">
        <v>21</v>
      </c>
      <c r="AK445" s="600">
        <v>20</v>
      </c>
      <c r="AL445" s="602">
        <v>1</v>
      </c>
      <c r="AM445" s="601">
        <v>0</v>
      </c>
      <c r="AN445" s="599">
        <v>21</v>
      </c>
    </row>
    <row r="446" spans="1:40" ht="16.5" customHeight="1">
      <c r="A446" s="598" t="s">
        <v>3307</v>
      </c>
      <c r="B446" s="598" t="s">
        <v>3332</v>
      </c>
      <c r="C446" s="598" t="s">
        <v>78</v>
      </c>
      <c r="D446" s="598" t="s">
        <v>952</v>
      </c>
      <c r="E446" s="598" t="s">
        <v>321</v>
      </c>
      <c r="F446" s="598" t="s">
        <v>3309</v>
      </c>
      <c r="G446" s="598" t="s">
        <v>3309</v>
      </c>
      <c r="H446" s="598" t="s">
        <v>3309</v>
      </c>
      <c r="I446" s="598" t="s">
        <v>3309</v>
      </c>
      <c r="J446" s="598" t="s">
        <v>3309</v>
      </c>
      <c r="K446" s="598" t="s">
        <v>321</v>
      </c>
      <c r="L446" s="598" t="s">
        <v>321</v>
      </c>
      <c r="M446" s="598" t="s">
        <v>3309</v>
      </c>
      <c r="N446" s="598" t="s">
        <v>3309</v>
      </c>
      <c r="O446" s="598" t="s">
        <v>3309</v>
      </c>
      <c r="P446" s="598" t="s">
        <v>3309</v>
      </c>
      <c r="Q446" s="598" t="s">
        <v>3309</v>
      </c>
      <c r="R446" s="598" t="s">
        <v>321</v>
      </c>
      <c r="S446" s="598" t="s">
        <v>321</v>
      </c>
      <c r="T446" s="598" t="s">
        <v>3312</v>
      </c>
      <c r="U446" s="598" t="s">
        <v>3309</v>
      </c>
      <c r="V446" s="598" t="s">
        <v>3309</v>
      </c>
      <c r="W446" s="598" t="s">
        <v>3309</v>
      </c>
      <c r="X446" s="598" t="s">
        <v>3309</v>
      </c>
      <c r="Y446" s="598" t="s">
        <v>321</v>
      </c>
      <c r="Z446" s="598" t="s">
        <v>321</v>
      </c>
      <c r="AA446" s="598" t="s">
        <v>3309</v>
      </c>
      <c r="AB446" s="598" t="s">
        <v>3309</v>
      </c>
      <c r="AC446" s="598" t="s">
        <v>3309</v>
      </c>
      <c r="AD446" s="598" t="s">
        <v>3309</v>
      </c>
      <c r="AE446" s="598" t="s">
        <v>3309</v>
      </c>
      <c r="AF446" s="598" t="s">
        <v>321</v>
      </c>
      <c r="AG446" s="598" t="s">
        <v>321</v>
      </c>
      <c r="AH446" s="598" t="s">
        <v>3309</v>
      </c>
      <c r="AI446" s="598" t="s">
        <v>321</v>
      </c>
      <c r="AJ446" s="599">
        <v>21</v>
      </c>
      <c r="AK446" s="600">
        <v>20</v>
      </c>
      <c r="AL446" s="602">
        <v>1</v>
      </c>
      <c r="AM446" s="601">
        <v>0</v>
      </c>
      <c r="AN446" s="599">
        <v>21</v>
      </c>
    </row>
    <row r="447" spans="1:40" ht="16.5" customHeight="1">
      <c r="A447" s="598" t="s">
        <v>3307</v>
      </c>
      <c r="B447" s="598" t="s">
        <v>3332</v>
      </c>
      <c r="C447" s="598" t="s">
        <v>1023</v>
      </c>
      <c r="D447" s="598" t="s">
        <v>1024</v>
      </c>
      <c r="E447" s="598" t="s">
        <v>321</v>
      </c>
      <c r="F447" s="598" t="s">
        <v>3309</v>
      </c>
      <c r="G447" s="598" t="s">
        <v>3309</v>
      </c>
      <c r="H447" s="598" t="s">
        <v>3309</v>
      </c>
      <c r="I447" s="598" t="s">
        <v>3309</v>
      </c>
      <c r="J447" s="598" t="s">
        <v>3309</v>
      </c>
      <c r="K447" s="598" t="s">
        <v>321</v>
      </c>
      <c r="L447" s="598" t="s">
        <v>321</v>
      </c>
      <c r="M447" s="598" t="s">
        <v>3309</v>
      </c>
      <c r="N447" s="598" t="s">
        <v>3309</v>
      </c>
      <c r="O447" s="598" t="s">
        <v>3309</v>
      </c>
      <c r="P447" s="598" t="s">
        <v>3309</v>
      </c>
      <c r="Q447" s="598" t="s">
        <v>3309</v>
      </c>
      <c r="R447" s="598" t="s">
        <v>321</v>
      </c>
      <c r="S447" s="598" t="s">
        <v>321</v>
      </c>
      <c r="T447" s="598" t="s">
        <v>3309</v>
      </c>
      <c r="U447" s="598" t="s">
        <v>3309</v>
      </c>
      <c r="V447" s="598" t="s">
        <v>3309</v>
      </c>
      <c r="W447" s="598" t="s">
        <v>3309</v>
      </c>
      <c r="X447" s="598" t="s">
        <v>3309</v>
      </c>
      <c r="Y447" s="598" t="s">
        <v>321</v>
      </c>
      <c r="Z447" s="598" t="s">
        <v>321</v>
      </c>
      <c r="AA447" s="598" t="s">
        <v>3309</v>
      </c>
      <c r="AB447" s="598" t="s">
        <v>3309</v>
      </c>
      <c r="AC447" s="598" t="s">
        <v>3309</v>
      </c>
      <c r="AD447" s="598" t="s">
        <v>3309</v>
      </c>
      <c r="AE447" s="598" t="s">
        <v>3309</v>
      </c>
      <c r="AF447" s="598" t="s">
        <v>321</v>
      </c>
      <c r="AG447" s="598" t="s">
        <v>321</v>
      </c>
      <c r="AH447" s="598" t="s">
        <v>3309</v>
      </c>
      <c r="AI447" s="598" t="s">
        <v>321</v>
      </c>
      <c r="AJ447" s="599">
        <v>21</v>
      </c>
      <c r="AK447" s="600">
        <v>21</v>
      </c>
      <c r="AL447" s="601">
        <v>0</v>
      </c>
      <c r="AM447" s="601">
        <v>0</v>
      </c>
      <c r="AN447" s="599">
        <v>21</v>
      </c>
    </row>
    <row r="448" spans="1:40" ht="16.5" customHeight="1">
      <c r="A448" s="598" t="s">
        <v>3307</v>
      </c>
      <c r="B448" s="598" t="s">
        <v>3332</v>
      </c>
      <c r="C448" s="598" t="s">
        <v>1095</v>
      </c>
      <c r="D448" s="598" t="s">
        <v>1096</v>
      </c>
      <c r="E448" s="598" t="s">
        <v>321</v>
      </c>
      <c r="F448" s="598" t="s">
        <v>3309</v>
      </c>
      <c r="G448" s="598" t="s">
        <v>3309</v>
      </c>
      <c r="H448" s="598" t="s">
        <v>3309</v>
      </c>
      <c r="I448" s="598" t="s">
        <v>3309</v>
      </c>
      <c r="J448" s="598" t="s">
        <v>3309</v>
      </c>
      <c r="K448" s="598" t="s">
        <v>321</v>
      </c>
      <c r="L448" s="598" t="s">
        <v>321</v>
      </c>
      <c r="M448" s="598" t="s">
        <v>3309</v>
      </c>
      <c r="N448" s="598" t="s">
        <v>3309</v>
      </c>
      <c r="O448" s="598" t="s">
        <v>3309</v>
      </c>
      <c r="P448" s="598" t="s">
        <v>3309</v>
      </c>
      <c r="Q448" s="598" t="s">
        <v>3314</v>
      </c>
      <c r="R448" s="598" t="s">
        <v>321</v>
      </c>
      <c r="S448" s="598" t="s">
        <v>321</v>
      </c>
      <c r="T448" s="598" t="s">
        <v>3309</v>
      </c>
      <c r="U448" s="598" t="s">
        <v>3309</v>
      </c>
      <c r="V448" s="598" t="s">
        <v>3309</v>
      </c>
      <c r="W448" s="598" t="s">
        <v>3309</v>
      </c>
      <c r="X448" s="598" t="s">
        <v>3309</v>
      </c>
      <c r="Y448" s="598" t="s">
        <v>321</v>
      </c>
      <c r="Z448" s="598" t="s">
        <v>321</v>
      </c>
      <c r="AA448" s="598" t="s">
        <v>3309</v>
      </c>
      <c r="AB448" s="598" t="s">
        <v>3309</v>
      </c>
      <c r="AC448" s="598" t="s">
        <v>3309</v>
      </c>
      <c r="AD448" s="598" t="s">
        <v>3309</v>
      </c>
      <c r="AE448" s="598" t="s">
        <v>3309</v>
      </c>
      <c r="AF448" s="598" t="s">
        <v>321</v>
      </c>
      <c r="AG448" s="598" t="s">
        <v>321</v>
      </c>
      <c r="AH448" s="598" t="s">
        <v>3309</v>
      </c>
      <c r="AI448" s="598" t="s">
        <v>321</v>
      </c>
      <c r="AJ448" s="599">
        <v>21</v>
      </c>
      <c r="AK448" s="603">
        <v>20.5</v>
      </c>
      <c r="AL448" s="604">
        <v>0.5</v>
      </c>
      <c r="AM448" s="601">
        <v>0</v>
      </c>
      <c r="AN448" s="599">
        <v>21</v>
      </c>
    </row>
    <row r="449" spans="1:40" ht="16.5" customHeight="1">
      <c r="A449" s="598" t="s">
        <v>3307</v>
      </c>
      <c r="B449" s="598" t="s">
        <v>3332</v>
      </c>
      <c r="C449" s="598" t="s">
        <v>2057</v>
      </c>
      <c r="D449" s="598" t="s">
        <v>2058</v>
      </c>
      <c r="E449" s="598" t="s">
        <v>321</v>
      </c>
      <c r="F449" s="598" t="s">
        <v>3309</v>
      </c>
      <c r="G449" s="598" t="s">
        <v>3309</v>
      </c>
      <c r="H449" s="598" t="s">
        <v>3309</v>
      </c>
      <c r="I449" s="598" t="s">
        <v>3309</v>
      </c>
      <c r="J449" s="598" t="s">
        <v>3309</v>
      </c>
      <c r="K449" s="598" t="s">
        <v>321</v>
      </c>
      <c r="L449" s="598" t="s">
        <v>321</v>
      </c>
      <c r="M449" s="598" t="s">
        <v>3309</v>
      </c>
      <c r="N449" s="598" t="s">
        <v>3309</v>
      </c>
      <c r="O449" s="598" t="s">
        <v>3309</v>
      </c>
      <c r="P449" s="598" t="s">
        <v>3309</v>
      </c>
      <c r="Q449" s="598" t="s">
        <v>3309</v>
      </c>
      <c r="R449" s="598" t="s">
        <v>321</v>
      </c>
      <c r="S449" s="598" t="s">
        <v>321</v>
      </c>
      <c r="T449" s="598" t="s">
        <v>3309</v>
      </c>
      <c r="U449" s="598" t="s">
        <v>3309</v>
      </c>
      <c r="V449" s="598" t="s">
        <v>3309</v>
      </c>
      <c r="W449" s="598" t="s">
        <v>3309</v>
      </c>
      <c r="X449" s="598" t="s">
        <v>3309</v>
      </c>
      <c r="Y449" s="598" t="s">
        <v>321</v>
      </c>
      <c r="Z449" s="598" t="s">
        <v>321</v>
      </c>
      <c r="AA449" s="598" t="s">
        <v>3309</v>
      </c>
      <c r="AB449" s="598" t="s">
        <v>3309</v>
      </c>
      <c r="AC449" s="598" t="s">
        <v>3309</v>
      </c>
      <c r="AD449" s="598" t="s">
        <v>3309</v>
      </c>
      <c r="AE449" s="598" t="s">
        <v>3309</v>
      </c>
      <c r="AF449" s="598" t="s">
        <v>321</v>
      </c>
      <c r="AG449" s="598" t="s">
        <v>321</v>
      </c>
      <c r="AH449" s="598" t="s">
        <v>3309</v>
      </c>
      <c r="AI449" s="598" t="s">
        <v>321</v>
      </c>
      <c r="AJ449" s="599">
        <v>21</v>
      </c>
      <c r="AK449" s="600">
        <v>21</v>
      </c>
      <c r="AL449" s="601">
        <v>0</v>
      </c>
      <c r="AM449" s="601">
        <v>0</v>
      </c>
      <c r="AN449" s="599">
        <v>21</v>
      </c>
    </row>
    <row r="450" spans="1:40" ht="16.5" customHeight="1">
      <c r="A450" s="598" t="s">
        <v>3307</v>
      </c>
      <c r="B450" s="598" t="s">
        <v>3332</v>
      </c>
      <c r="C450" s="598" t="s">
        <v>1705</v>
      </c>
      <c r="D450" s="598" t="s">
        <v>1706</v>
      </c>
      <c r="E450" s="598" t="s">
        <v>321</v>
      </c>
      <c r="F450" s="598" t="s">
        <v>3309</v>
      </c>
      <c r="G450" s="598" t="s">
        <v>3309</v>
      </c>
      <c r="H450" s="598" t="s">
        <v>3309</v>
      </c>
      <c r="I450" s="598" t="s">
        <v>3309</v>
      </c>
      <c r="J450" s="598" t="s">
        <v>3309</v>
      </c>
      <c r="K450" s="598" t="s">
        <v>321</v>
      </c>
      <c r="L450" s="598" t="s">
        <v>321</v>
      </c>
      <c r="M450" s="598" t="s">
        <v>3309</v>
      </c>
      <c r="N450" s="598" t="s">
        <v>3309</v>
      </c>
      <c r="O450" s="598" t="s">
        <v>3309</v>
      </c>
      <c r="P450" s="598" t="s">
        <v>3309</v>
      </c>
      <c r="Q450" s="598" t="s">
        <v>3309</v>
      </c>
      <c r="R450" s="598" t="s">
        <v>321</v>
      </c>
      <c r="S450" s="598" t="s">
        <v>321</v>
      </c>
      <c r="T450" s="598" t="s">
        <v>3309</v>
      </c>
      <c r="U450" s="598" t="s">
        <v>3309</v>
      </c>
      <c r="V450" s="598" t="s">
        <v>3309</v>
      </c>
      <c r="W450" s="598" t="s">
        <v>3309</v>
      </c>
      <c r="X450" s="598" t="s">
        <v>3309</v>
      </c>
      <c r="Y450" s="598" t="s">
        <v>321</v>
      </c>
      <c r="Z450" s="598" t="s">
        <v>321</v>
      </c>
      <c r="AA450" s="598" t="s">
        <v>3309</v>
      </c>
      <c r="AB450" s="598" t="s">
        <v>3309</v>
      </c>
      <c r="AC450" s="598" t="s">
        <v>3309</v>
      </c>
      <c r="AD450" s="598" t="s">
        <v>3309</v>
      </c>
      <c r="AE450" s="598" t="s">
        <v>3314</v>
      </c>
      <c r="AF450" s="598" t="s">
        <v>321</v>
      </c>
      <c r="AG450" s="598" t="s">
        <v>321</v>
      </c>
      <c r="AH450" s="598" t="s">
        <v>3309</v>
      </c>
      <c r="AI450" s="598" t="s">
        <v>321</v>
      </c>
      <c r="AJ450" s="599">
        <v>21</v>
      </c>
      <c r="AK450" s="603">
        <v>20.5</v>
      </c>
      <c r="AL450" s="604">
        <v>0.5</v>
      </c>
      <c r="AM450" s="601">
        <v>0</v>
      </c>
      <c r="AN450" s="599">
        <v>21</v>
      </c>
    </row>
    <row r="451" spans="1:40" ht="16.5" customHeight="1">
      <c r="A451" s="598" t="s">
        <v>3307</v>
      </c>
      <c r="B451" s="598" t="s">
        <v>3332</v>
      </c>
      <c r="C451" s="598" t="s">
        <v>2132</v>
      </c>
      <c r="D451" s="598" t="s">
        <v>2133</v>
      </c>
      <c r="E451" s="598" t="s">
        <v>321</v>
      </c>
      <c r="F451" s="598" t="s">
        <v>3309</v>
      </c>
      <c r="G451" s="598" t="s">
        <v>3309</v>
      </c>
      <c r="H451" s="598" t="s">
        <v>3309</v>
      </c>
      <c r="I451" s="598" t="s">
        <v>3309</v>
      </c>
      <c r="J451" s="598" t="s">
        <v>3309</v>
      </c>
      <c r="K451" s="598" t="s">
        <v>321</v>
      </c>
      <c r="L451" s="598" t="s">
        <v>321</v>
      </c>
      <c r="M451" s="598" t="s">
        <v>3309</v>
      </c>
      <c r="N451" s="598" t="s">
        <v>3309</v>
      </c>
      <c r="O451" s="598" t="s">
        <v>3309</v>
      </c>
      <c r="P451" s="598" t="s">
        <v>3309</v>
      </c>
      <c r="Q451" s="598" t="s">
        <v>3309</v>
      </c>
      <c r="R451" s="598" t="s">
        <v>321</v>
      </c>
      <c r="S451" s="598" t="s">
        <v>321</v>
      </c>
      <c r="T451" s="598" t="s">
        <v>3309</v>
      </c>
      <c r="U451" s="598" t="s">
        <v>3309</v>
      </c>
      <c r="V451" s="598" t="s">
        <v>3309</v>
      </c>
      <c r="W451" s="598" t="s">
        <v>3309</v>
      </c>
      <c r="X451" s="598" t="s">
        <v>3309</v>
      </c>
      <c r="Y451" s="598" t="s">
        <v>321</v>
      </c>
      <c r="Z451" s="598" t="s">
        <v>321</v>
      </c>
      <c r="AA451" s="598" t="s">
        <v>3309</v>
      </c>
      <c r="AB451" s="598" t="s">
        <v>3309</v>
      </c>
      <c r="AC451" s="598" t="s">
        <v>3309</v>
      </c>
      <c r="AD451" s="598" t="s">
        <v>3309</v>
      </c>
      <c r="AE451" s="598" t="s">
        <v>3309</v>
      </c>
      <c r="AF451" s="598" t="s">
        <v>321</v>
      </c>
      <c r="AG451" s="598" t="s">
        <v>321</v>
      </c>
      <c r="AH451" s="598" t="s">
        <v>3309</v>
      </c>
      <c r="AI451" s="598" t="s">
        <v>321</v>
      </c>
      <c r="AJ451" s="599">
        <v>21</v>
      </c>
      <c r="AK451" s="600">
        <v>21</v>
      </c>
      <c r="AL451" s="601">
        <v>0</v>
      </c>
      <c r="AM451" s="601">
        <v>0</v>
      </c>
      <c r="AN451" s="599">
        <v>21</v>
      </c>
    </row>
    <row r="452" spans="1:40" ht="16.5" customHeight="1">
      <c r="A452" s="598" t="s">
        <v>3307</v>
      </c>
      <c r="B452" s="598" t="s">
        <v>3332</v>
      </c>
      <c r="C452" s="598" t="s">
        <v>2104</v>
      </c>
      <c r="D452" s="598" t="s">
        <v>2105</v>
      </c>
      <c r="E452" s="598" t="s">
        <v>321</v>
      </c>
      <c r="F452" s="598" t="s">
        <v>3309</v>
      </c>
      <c r="G452" s="598" t="s">
        <v>3309</v>
      </c>
      <c r="H452" s="598" t="s">
        <v>3309</v>
      </c>
      <c r="I452" s="598" t="s">
        <v>3309</v>
      </c>
      <c r="J452" s="598" t="s">
        <v>3309</v>
      </c>
      <c r="K452" s="598" t="s">
        <v>321</v>
      </c>
      <c r="L452" s="598" t="s">
        <v>321</v>
      </c>
      <c r="M452" s="598" t="s">
        <v>3309</v>
      </c>
      <c r="N452" s="598" t="s">
        <v>3309</v>
      </c>
      <c r="O452" s="598" t="s">
        <v>3309</v>
      </c>
      <c r="P452" s="598" t="s">
        <v>3309</v>
      </c>
      <c r="Q452" s="598" t="s">
        <v>3309</v>
      </c>
      <c r="R452" s="598" t="s">
        <v>321</v>
      </c>
      <c r="S452" s="598" t="s">
        <v>321</v>
      </c>
      <c r="T452" s="598" t="s">
        <v>3309</v>
      </c>
      <c r="U452" s="598" t="s">
        <v>3309</v>
      </c>
      <c r="V452" s="598" t="s">
        <v>3309</v>
      </c>
      <c r="W452" s="598" t="s">
        <v>3309</v>
      </c>
      <c r="X452" s="598" t="s">
        <v>3309</v>
      </c>
      <c r="Y452" s="598" t="s">
        <v>321</v>
      </c>
      <c r="Z452" s="598" t="s">
        <v>321</v>
      </c>
      <c r="AA452" s="598" t="s">
        <v>3309</v>
      </c>
      <c r="AB452" s="598" t="s">
        <v>3309</v>
      </c>
      <c r="AC452" s="598" t="s">
        <v>3309</v>
      </c>
      <c r="AD452" s="598" t="s">
        <v>3309</v>
      </c>
      <c r="AE452" s="598" t="s">
        <v>3309</v>
      </c>
      <c r="AF452" s="598" t="s">
        <v>321</v>
      </c>
      <c r="AG452" s="598" t="s">
        <v>321</v>
      </c>
      <c r="AH452" s="598" t="s">
        <v>3309</v>
      </c>
      <c r="AI452" s="598" t="s">
        <v>321</v>
      </c>
      <c r="AJ452" s="599">
        <v>21</v>
      </c>
      <c r="AK452" s="600">
        <v>21</v>
      </c>
      <c r="AL452" s="601">
        <v>0</v>
      </c>
      <c r="AM452" s="601">
        <v>0</v>
      </c>
      <c r="AN452" s="599">
        <v>21</v>
      </c>
    </row>
    <row r="453" spans="1:40" ht="16.5" customHeight="1">
      <c r="A453" s="598" t="s">
        <v>3307</v>
      </c>
      <c r="B453" s="598" t="s">
        <v>3332</v>
      </c>
      <c r="C453" s="598" t="s">
        <v>1614</v>
      </c>
      <c r="D453" s="598" t="s">
        <v>1615</v>
      </c>
      <c r="E453" s="598" t="s">
        <v>321</v>
      </c>
      <c r="F453" s="598" t="s">
        <v>3309</v>
      </c>
      <c r="G453" s="598" t="s">
        <v>3309</v>
      </c>
      <c r="H453" s="598" t="s">
        <v>3309</v>
      </c>
      <c r="I453" s="598" t="s">
        <v>3309</v>
      </c>
      <c r="J453" s="598" t="s">
        <v>3309</v>
      </c>
      <c r="K453" s="598" t="s">
        <v>321</v>
      </c>
      <c r="L453" s="598" t="s">
        <v>321</v>
      </c>
      <c r="M453" s="598" t="s">
        <v>3309</v>
      </c>
      <c r="N453" s="598" t="s">
        <v>3309</v>
      </c>
      <c r="O453" s="598" t="s">
        <v>3309</v>
      </c>
      <c r="P453" s="598" t="s">
        <v>3309</v>
      </c>
      <c r="Q453" s="598" t="s">
        <v>3309</v>
      </c>
      <c r="R453" s="598" t="s">
        <v>321</v>
      </c>
      <c r="S453" s="598" t="s">
        <v>321</v>
      </c>
      <c r="T453" s="598" t="s">
        <v>3309</v>
      </c>
      <c r="U453" s="598" t="s">
        <v>3309</v>
      </c>
      <c r="V453" s="598" t="s">
        <v>3309</v>
      </c>
      <c r="W453" s="598" t="s">
        <v>3309</v>
      </c>
      <c r="X453" s="598" t="s">
        <v>3309</v>
      </c>
      <c r="Y453" s="598" t="s">
        <v>321</v>
      </c>
      <c r="Z453" s="598" t="s">
        <v>321</v>
      </c>
      <c r="AA453" s="598" t="s">
        <v>3309</v>
      </c>
      <c r="AB453" s="598" t="s">
        <v>3309</v>
      </c>
      <c r="AC453" s="598" t="s">
        <v>3309</v>
      </c>
      <c r="AD453" s="598" t="s">
        <v>3309</v>
      </c>
      <c r="AE453" s="598" t="s">
        <v>3309</v>
      </c>
      <c r="AF453" s="598" t="s">
        <v>321</v>
      </c>
      <c r="AG453" s="598" t="s">
        <v>321</v>
      </c>
      <c r="AH453" s="598" t="s">
        <v>3309</v>
      </c>
      <c r="AI453" s="598" t="s">
        <v>321</v>
      </c>
      <c r="AJ453" s="599">
        <v>21</v>
      </c>
      <c r="AK453" s="600">
        <v>21</v>
      </c>
      <c r="AL453" s="601">
        <v>0</v>
      </c>
      <c r="AM453" s="601">
        <v>0</v>
      </c>
      <c r="AN453" s="599">
        <v>21</v>
      </c>
    </row>
    <row r="454" spans="1:40" ht="16.5" customHeight="1">
      <c r="A454" s="598" t="s">
        <v>3307</v>
      </c>
      <c r="B454" s="598" t="s">
        <v>3332</v>
      </c>
      <c r="C454" s="598" t="s">
        <v>1506</v>
      </c>
      <c r="D454" s="598" t="s">
        <v>1507</v>
      </c>
      <c r="E454" s="598" t="s">
        <v>321</v>
      </c>
      <c r="F454" s="598" t="s">
        <v>3309</v>
      </c>
      <c r="G454" s="598" t="s">
        <v>3309</v>
      </c>
      <c r="H454" s="598" t="s">
        <v>3309</v>
      </c>
      <c r="I454" s="598" t="s">
        <v>3312</v>
      </c>
      <c r="J454" s="598" t="s">
        <v>3312</v>
      </c>
      <c r="K454" s="598" t="s">
        <v>321</v>
      </c>
      <c r="L454" s="598" t="s">
        <v>321</v>
      </c>
      <c r="M454" s="598" t="s">
        <v>3309</v>
      </c>
      <c r="N454" s="598" t="s">
        <v>3309</v>
      </c>
      <c r="O454" s="598" t="s">
        <v>3309</v>
      </c>
      <c r="P454" s="598" t="s">
        <v>3309</v>
      </c>
      <c r="Q454" s="598" t="s">
        <v>3309</v>
      </c>
      <c r="R454" s="598" t="s">
        <v>321</v>
      </c>
      <c r="S454" s="598" t="s">
        <v>321</v>
      </c>
      <c r="T454" s="598" t="s">
        <v>3309</v>
      </c>
      <c r="U454" s="598" t="s">
        <v>3309</v>
      </c>
      <c r="V454" s="598" t="s">
        <v>3309</v>
      </c>
      <c r="W454" s="598" t="s">
        <v>3309</v>
      </c>
      <c r="X454" s="598" t="s">
        <v>3309</v>
      </c>
      <c r="Y454" s="598" t="s">
        <v>321</v>
      </c>
      <c r="Z454" s="598" t="s">
        <v>321</v>
      </c>
      <c r="AA454" s="598" t="s">
        <v>3309</v>
      </c>
      <c r="AB454" s="598" t="s">
        <v>3309</v>
      </c>
      <c r="AC454" s="598" t="s">
        <v>3309</v>
      </c>
      <c r="AD454" s="598" t="s">
        <v>3309</v>
      </c>
      <c r="AE454" s="598" t="s">
        <v>3309</v>
      </c>
      <c r="AF454" s="598" t="s">
        <v>321</v>
      </c>
      <c r="AG454" s="598" t="s">
        <v>321</v>
      </c>
      <c r="AH454" s="598" t="s">
        <v>3309</v>
      </c>
      <c r="AI454" s="598" t="s">
        <v>321</v>
      </c>
      <c r="AJ454" s="599">
        <v>21</v>
      </c>
      <c r="AK454" s="600">
        <v>19</v>
      </c>
      <c r="AL454" s="602">
        <v>2</v>
      </c>
      <c r="AM454" s="601">
        <v>0</v>
      </c>
      <c r="AN454" s="599">
        <v>21</v>
      </c>
    </row>
    <row r="455" spans="1:40" ht="16.5" customHeight="1">
      <c r="A455" s="598" t="s">
        <v>3307</v>
      </c>
      <c r="B455" s="598" t="s">
        <v>3332</v>
      </c>
      <c r="C455" s="598" t="s">
        <v>1328</v>
      </c>
      <c r="D455" s="598" t="s">
        <v>1329</v>
      </c>
      <c r="E455" s="598" t="s">
        <v>321</v>
      </c>
      <c r="F455" s="598" t="s">
        <v>3309</v>
      </c>
      <c r="G455" s="598" t="s">
        <v>3314</v>
      </c>
      <c r="H455" s="598" t="s">
        <v>3309</v>
      </c>
      <c r="I455" s="598" t="s">
        <v>3309</v>
      </c>
      <c r="J455" s="598" t="s">
        <v>3309</v>
      </c>
      <c r="K455" s="598" t="s">
        <v>321</v>
      </c>
      <c r="L455" s="598" t="s">
        <v>321</v>
      </c>
      <c r="M455" s="598" t="s">
        <v>3309</v>
      </c>
      <c r="N455" s="598" t="s">
        <v>3309</v>
      </c>
      <c r="O455" s="598" t="s">
        <v>3309</v>
      </c>
      <c r="P455" s="598" t="s">
        <v>3309</v>
      </c>
      <c r="Q455" s="598" t="s">
        <v>3314</v>
      </c>
      <c r="R455" s="598" t="s">
        <v>321</v>
      </c>
      <c r="S455" s="598" t="s">
        <v>321</v>
      </c>
      <c r="T455" s="598" t="s">
        <v>3312</v>
      </c>
      <c r="U455" s="598" t="s">
        <v>3312</v>
      </c>
      <c r="V455" s="598" t="s">
        <v>3309</v>
      </c>
      <c r="W455" s="598" t="s">
        <v>3309</v>
      </c>
      <c r="X455" s="598" t="s">
        <v>3309</v>
      </c>
      <c r="Y455" s="598" t="s">
        <v>321</v>
      </c>
      <c r="Z455" s="598" t="s">
        <v>321</v>
      </c>
      <c r="AA455" s="598" t="s">
        <v>3309</v>
      </c>
      <c r="AB455" s="598" t="s">
        <v>3309</v>
      </c>
      <c r="AC455" s="598" t="s">
        <v>3309</v>
      </c>
      <c r="AD455" s="598" t="s">
        <v>3309</v>
      </c>
      <c r="AE455" s="598" t="s">
        <v>3309</v>
      </c>
      <c r="AF455" s="598" t="s">
        <v>321</v>
      </c>
      <c r="AG455" s="598" t="s">
        <v>321</v>
      </c>
      <c r="AH455" s="598" t="s">
        <v>3309</v>
      </c>
      <c r="AI455" s="598" t="s">
        <v>321</v>
      </c>
      <c r="AJ455" s="599">
        <v>21</v>
      </c>
      <c r="AK455" s="600">
        <v>18</v>
      </c>
      <c r="AL455" s="602">
        <v>3</v>
      </c>
      <c r="AM455" s="601">
        <v>0</v>
      </c>
      <c r="AN455" s="599">
        <v>21</v>
      </c>
    </row>
    <row r="456" spans="1:40" ht="16.5" customHeight="1">
      <c r="A456" s="598" t="s">
        <v>3307</v>
      </c>
      <c r="B456" s="598" t="s">
        <v>3332</v>
      </c>
      <c r="C456" s="598" t="s">
        <v>2268</v>
      </c>
      <c r="D456" s="598" t="s">
        <v>1041</v>
      </c>
      <c r="E456" s="598" t="s">
        <v>321</v>
      </c>
      <c r="F456" s="598" t="s">
        <v>3309</v>
      </c>
      <c r="G456" s="598" t="s">
        <v>3309</v>
      </c>
      <c r="H456" s="598" t="s">
        <v>3309</v>
      </c>
      <c r="I456" s="598" t="s">
        <v>3309</v>
      </c>
      <c r="J456" s="598" t="s">
        <v>3309</v>
      </c>
      <c r="K456" s="598" t="s">
        <v>321</v>
      </c>
      <c r="L456" s="598" t="s">
        <v>321</v>
      </c>
      <c r="M456" s="598" t="s">
        <v>3309</v>
      </c>
      <c r="N456" s="598" t="s">
        <v>3309</v>
      </c>
      <c r="O456" s="598" t="s">
        <v>3309</v>
      </c>
      <c r="P456" s="598" t="s">
        <v>3309</v>
      </c>
      <c r="Q456" s="598" t="s">
        <v>3309</v>
      </c>
      <c r="R456" s="598" t="s">
        <v>321</v>
      </c>
      <c r="S456" s="598" t="s">
        <v>321</v>
      </c>
      <c r="T456" s="598" t="s">
        <v>3309</v>
      </c>
      <c r="U456" s="598" t="s">
        <v>3309</v>
      </c>
      <c r="V456" s="598" t="s">
        <v>3309</v>
      </c>
      <c r="W456" s="598" t="s">
        <v>3309</v>
      </c>
      <c r="X456" s="598" t="s">
        <v>3309</v>
      </c>
      <c r="Y456" s="598" t="s">
        <v>321</v>
      </c>
      <c r="Z456" s="598" t="s">
        <v>321</v>
      </c>
      <c r="AA456" s="598" t="s">
        <v>3309</v>
      </c>
      <c r="AB456" s="598" t="s">
        <v>3309</v>
      </c>
      <c r="AC456" s="598" t="s">
        <v>3309</v>
      </c>
      <c r="AD456" s="598" t="s">
        <v>3309</v>
      </c>
      <c r="AE456" s="598" t="s">
        <v>3309</v>
      </c>
      <c r="AF456" s="598" t="s">
        <v>321</v>
      </c>
      <c r="AG456" s="598" t="s">
        <v>321</v>
      </c>
      <c r="AH456" s="598" t="s">
        <v>3309</v>
      </c>
      <c r="AI456" s="598" t="s">
        <v>321</v>
      </c>
      <c r="AJ456" s="599">
        <v>21</v>
      </c>
      <c r="AK456" s="600">
        <v>21</v>
      </c>
      <c r="AL456" s="601">
        <v>0</v>
      </c>
      <c r="AM456" s="601">
        <v>0</v>
      </c>
      <c r="AN456" s="599">
        <v>21</v>
      </c>
    </row>
    <row r="457" spans="1:40" ht="16.5" customHeight="1">
      <c r="A457" s="598" t="s">
        <v>3307</v>
      </c>
      <c r="B457" s="598" t="s">
        <v>3332</v>
      </c>
      <c r="C457" s="598" t="s">
        <v>1232</v>
      </c>
      <c r="D457" s="598" t="s">
        <v>1233</v>
      </c>
      <c r="E457" s="598" t="s">
        <v>321</v>
      </c>
      <c r="F457" s="598" t="s">
        <v>3309</v>
      </c>
      <c r="G457" s="598" t="s">
        <v>3309</v>
      </c>
      <c r="H457" s="598" t="s">
        <v>3309</v>
      </c>
      <c r="I457" s="598" t="s">
        <v>3309</v>
      </c>
      <c r="J457" s="598" t="s">
        <v>3309</v>
      </c>
      <c r="K457" s="598" t="s">
        <v>321</v>
      </c>
      <c r="L457" s="598" t="s">
        <v>321</v>
      </c>
      <c r="M457" s="598" t="s">
        <v>3309</v>
      </c>
      <c r="N457" s="598" t="s">
        <v>3309</v>
      </c>
      <c r="O457" s="598" t="s">
        <v>3309</v>
      </c>
      <c r="P457" s="598" t="s">
        <v>3309</v>
      </c>
      <c r="Q457" s="598" t="s">
        <v>3309</v>
      </c>
      <c r="R457" s="598" t="s">
        <v>321</v>
      </c>
      <c r="S457" s="598" t="s">
        <v>321</v>
      </c>
      <c r="T457" s="598" t="s">
        <v>3309</v>
      </c>
      <c r="U457" s="598" t="s">
        <v>3309</v>
      </c>
      <c r="V457" s="598" t="s">
        <v>3309</v>
      </c>
      <c r="W457" s="598" t="s">
        <v>3309</v>
      </c>
      <c r="X457" s="598" t="s">
        <v>3309</v>
      </c>
      <c r="Y457" s="598" t="s">
        <v>321</v>
      </c>
      <c r="Z457" s="598" t="s">
        <v>321</v>
      </c>
      <c r="AA457" s="598" t="s">
        <v>3314</v>
      </c>
      <c r="AB457" s="598" t="s">
        <v>3309</v>
      </c>
      <c r="AC457" s="598" t="s">
        <v>3309</v>
      </c>
      <c r="AD457" s="598" t="s">
        <v>3309</v>
      </c>
      <c r="AE457" s="598" t="s">
        <v>3309</v>
      </c>
      <c r="AF457" s="598" t="s">
        <v>321</v>
      </c>
      <c r="AG457" s="598" t="s">
        <v>321</v>
      </c>
      <c r="AH457" s="598" t="s">
        <v>3309</v>
      </c>
      <c r="AI457" s="598" t="s">
        <v>321</v>
      </c>
      <c r="AJ457" s="599">
        <v>21</v>
      </c>
      <c r="AK457" s="603">
        <v>20.5</v>
      </c>
      <c r="AL457" s="604">
        <v>0.5</v>
      </c>
      <c r="AM457" s="601">
        <v>0</v>
      </c>
      <c r="AN457" s="599">
        <v>21</v>
      </c>
    </row>
    <row r="458" spans="1:40" ht="16.5" customHeight="1">
      <c r="A458" s="598" t="s">
        <v>3307</v>
      </c>
      <c r="B458" s="598" t="s">
        <v>3332</v>
      </c>
      <c r="C458" s="598" t="s">
        <v>1149</v>
      </c>
      <c r="D458" s="598" t="s">
        <v>1150</v>
      </c>
      <c r="E458" s="598" t="s">
        <v>321</v>
      </c>
      <c r="F458" s="598" t="s">
        <v>3309</v>
      </c>
      <c r="G458" s="598" t="s">
        <v>3309</v>
      </c>
      <c r="H458" s="598" t="s">
        <v>3309</v>
      </c>
      <c r="I458" s="598" t="s">
        <v>3309</v>
      </c>
      <c r="J458" s="598" t="s">
        <v>3309</v>
      </c>
      <c r="K458" s="598" t="s">
        <v>321</v>
      </c>
      <c r="L458" s="598" t="s">
        <v>321</v>
      </c>
      <c r="M458" s="598" t="s">
        <v>3309</v>
      </c>
      <c r="N458" s="598" t="s">
        <v>3309</v>
      </c>
      <c r="O458" s="598" t="s">
        <v>3309</v>
      </c>
      <c r="P458" s="598" t="s">
        <v>3309</v>
      </c>
      <c r="Q458" s="598" t="s">
        <v>3309</v>
      </c>
      <c r="R458" s="598" t="s">
        <v>321</v>
      </c>
      <c r="S458" s="598" t="s">
        <v>321</v>
      </c>
      <c r="T458" s="598" t="s">
        <v>3309</v>
      </c>
      <c r="U458" s="598" t="s">
        <v>3309</v>
      </c>
      <c r="V458" s="598" t="s">
        <v>3309</v>
      </c>
      <c r="W458" s="598" t="s">
        <v>3309</v>
      </c>
      <c r="X458" s="598" t="s">
        <v>3309</v>
      </c>
      <c r="Y458" s="598" t="s">
        <v>321</v>
      </c>
      <c r="Z458" s="598" t="s">
        <v>321</v>
      </c>
      <c r="AA458" s="598" t="s">
        <v>3309</v>
      </c>
      <c r="AB458" s="598" t="s">
        <v>3309</v>
      </c>
      <c r="AC458" s="598" t="s">
        <v>3309</v>
      </c>
      <c r="AD458" s="598" t="s">
        <v>3309</v>
      </c>
      <c r="AE458" s="598" t="s">
        <v>3309</v>
      </c>
      <c r="AF458" s="598" t="s">
        <v>321</v>
      </c>
      <c r="AG458" s="598" t="s">
        <v>321</v>
      </c>
      <c r="AH458" s="598" t="s">
        <v>3309</v>
      </c>
      <c r="AI458" s="598" t="s">
        <v>321</v>
      </c>
      <c r="AJ458" s="599">
        <v>21</v>
      </c>
      <c r="AK458" s="600">
        <v>21</v>
      </c>
      <c r="AL458" s="601">
        <v>0</v>
      </c>
      <c r="AM458" s="601">
        <v>0</v>
      </c>
      <c r="AN458" s="599">
        <v>21</v>
      </c>
    </row>
    <row r="459" spans="1:40" ht="16.5" customHeight="1">
      <c r="A459" s="598" t="s">
        <v>3307</v>
      </c>
      <c r="B459" s="598" t="s">
        <v>3332</v>
      </c>
      <c r="C459" s="598" t="s">
        <v>995</v>
      </c>
      <c r="D459" s="598" t="s">
        <v>996</v>
      </c>
      <c r="E459" s="598" t="s">
        <v>321</v>
      </c>
      <c r="F459" s="598" t="s">
        <v>3309</v>
      </c>
      <c r="G459" s="598" t="s">
        <v>3309</v>
      </c>
      <c r="H459" s="598" t="s">
        <v>3309</v>
      </c>
      <c r="I459" s="598" t="s">
        <v>3309</v>
      </c>
      <c r="J459" s="598" t="s">
        <v>3309</v>
      </c>
      <c r="K459" s="598" t="s">
        <v>321</v>
      </c>
      <c r="L459" s="598" t="s">
        <v>321</v>
      </c>
      <c r="M459" s="598" t="s">
        <v>3309</v>
      </c>
      <c r="N459" s="598" t="s">
        <v>3309</v>
      </c>
      <c r="O459" s="598" t="s">
        <v>3309</v>
      </c>
      <c r="P459" s="598" t="s">
        <v>3309</v>
      </c>
      <c r="Q459" s="598" t="s">
        <v>3309</v>
      </c>
      <c r="R459" s="598" t="s">
        <v>321</v>
      </c>
      <c r="S459" s="598" t="s">
        <v>321</v>
      </c>
      <c r="T459" s="598" t="s">
        <v>3312</v>
      </c>
      <c r="U459" s="598" t="s">
        <v>3309</v>
      </c>
      <c r="V459" s="598" t="s">
        <v>3309</v>
      </c>
      <c r="W459" s="598" t="s">
        <v>3309</v>
      </c>
      <c r="X459" s="598" t="s">
        <v>3309</v>
      </c>
      <c r="Y459" s="598" t="s">
        <v>321</v>
      </c>
      <c r="Z459" s="598" t="s">
        <v>321</v>
      </c>
      <c r="AA459" s="598" t="s">
        <v>3309</v>
      </c>
      <c r="AB459" s="598" t="s">
        <v>3309</v>
      </c>
      <c r="AC459" s="598" t="s">
        <v>3309</v>
      </c>
      <c r="AD459" s="598" t="s">
        <v>3309</v>
      </c>
      <c r="AE459" s="598" t="s">
        <v>3309</v>
      </c>
      <c r="AF459" s="598" t="s">
        <v>321</v>
      </c>
      <c r="AG459" s="598" t="s">
        <v>321</v>
      </c>
      <c r="AH459" s="598" t="s">
        <v>3309</v>
      </c>
      <c r="AI459" s="598" t="s">
        <v>321</v>
      </c>
      <c r="AJ459" s="599">
        <v>21</v>
      </c>
      <c r="AK459" s="600">
        <v>20</v>
      </c>
      <c r="AL459" s="602">
        <v>1</v>
      </c>
      <c r="AM459" s="601">
        <v>0</v>
      </c>
      <c r="AN459" s="599">
        <v>21</v>
      </c>
    </row>
    <row r="460" spans="1:40" ht="16.5" customHeight="1">
      <c r="A460" s="598" t="s">
        <v>3307</v>
      </c>
      <c r="B460" s="598" t="s">
        <v>3332</v>
      </c>
      <c r="C460" s="598" t="s">
        <v>2771</v>
      </c>
      <c r="D460" s="598" t="s">
        <v>2772</v>
      </c>
      <c r="E460" s="598" t="s">
        <v>321</v>
      </c>
      <c r="F460" s="598" t="s">
        <v>3309</v>
      </c>
      <c r="G460" s="598" t="s">
        <v>3309</v>
      </c>
      <c r="H460" s="598" t="s">
        <v>3309</v>
      </c>
      <c r="I460" s="598" t="s">
        <v>3309</v>
      </c>
      <c r="J460" s="598" t="s">
        <v>3309</v>
      </c>
      <c r="K460" s="598" t="s">
        <v>321</v>
      </c>
      <c r="L460" s="598" t="s">
        <v>321</v>
      </c>
      <c r="M460" s="598" t="s">
        <v>3309</v>
      </c>
      <c r="N460" s="598" t="s">
        <v>3309</v>
      </c>
      <c r="O460" s="598" t="s">
        <v>3309</v>
      </c>
      <c r="P460" s="598" t="s">
        <v>3309</v>
      </c>
      <c r="Q460" s="598" t="s">
        <v>3309</v>
      </c>
      <c r="R460" s="598" t="s">
        <v>321</v>
      </c>
      <c r="S460" s="598" t="s">
        <v>321</v>
      </c>
      <c r="T460" s="598" t="s">
        <v>3309</v>
      </c>
      <c r="U460" s="598" t="s">
        <v>3309</v>
      </c>
      <c r="V460" s="598" t="s">
        <v>3309</v>
      </c>
      <c r="W460" s="598" t="s">
        <v>3309</v>
      </c>
      <c r="X460" s="598" t="s">
        <v>3309</v>
      </c>
      <c r="Y460" s="598" t="s">
        <v>321</v>
      </c>
      <c r="Z460" s="598" t="s">
        <v>321</v>
      </c>
      <c r="AA460" s="598" t="s">
        <v>3309</v>
      </c>
      <c r="AB460" s="598" t="s">
        <v>3309</v>
      </c>
      <c r="AC460" s="598" t="s">
        <v>3309</v>
      </c>
      <c r="AD460" s="598" t="s">
        <v>3309</v>
      </c>
      <c r="AE460" s="598" t="s">
        <v>3309</v>
      </c>
      <c r="AF460" s="598" t="s">
        <v>321</v>
      </c>
      <c r="AG460" s="598" t="s">
        <v>321</v>
      </c>
      <c r="AH460" s="598" t="s">
        <v>3309</v>
      </c>
      <c r="AI460" s="598" t="s">
        <v>321</v>
      </c>
      <c r="AJ460" s="599">
        <v>21</v>
      </c>
      <c r="AK460" s="600">
        <v>21</v>
      </c>
      <c r="AL460" s="601">
        <v>0</v>
      </c>
      <c r="AM460" s="601">
        <v>0</v>
      </c>
      <c r="AN460" s="599">
        <v>21</v>
      </c>
    </row>
    <row r="461" spans="1:40" ht="16.5" customHeight="1">
      <c r="A461" s="598" t="s">
        <v>3307</v>
      </c>
      <c r="B461" s="598" t="s">
        <v>3332</v>
      </c>
      <c r="C461" s="598" t="s">
        <v>1562</v>
      </c>
      <c r="D461" s="598" t="s">
        <v>1563</v>
      </c>
      <c r="E461" s="598" t="s">
        <v>321</v>
      </c>
      <c r="F461" s="598" t="s">
        <v>3309</v>
      </c>
      <c r="G461" s="598" t="s">
        <v>3309</v>
      </c>
      <c r="H461" s="598" t="s">
        <v>3309</v>
      </c>
      <c r="I461" s="598" t="s">
        <v>3309</v>
      </c>
      <c r="J461" s="598" t="s">
        <v>3309</v>
      </c>
      <c r="K461" s="598" t="s">
        <v>321</v>
      </c>
      <c r="L461" s="598" t="s">
        <v>321</v>
      </c>
      <c r="M461" s="598" t="s">
        <v>3309</v>
      </c>
      <c r="N461" s="598" t="s">
        <v>3309</v>
      </c>
      <c r="O461" s="598" t="s">
        <v>3309</v>
      </c>
      <c r="P461" s="598" t="s">
        <v>3309</v>
      </c>
      <c r="Q461" s="598" t="s">
        <v>3309</v>
      </c>
      <c r="R461" s="598" t="s">
        <v>321</v>
      </c>
      <c r="S461" s="598" t="s">
        <v>321</v>
      </c>
      <c r="T461" s="598" t="s">
        <v>3309</v>
      </c>
      <c r="U461" s="598" t="s">
        <v>3309</v>
      </c>
      <c r="V461" s="598" t="s">
        <v>3309</v>
      </c>
      <c r="W461" s="598" t="s">
        <v>3309</v>
      </c>
      <c r="X461" s="598" t="s">
        <v>3309</v>
      </c>
      <c r="Y461" s="598" t="s">
        <v>321</v>
      </c>
      <c r="Z461" s="598" t="s">
        <v>321</v>
      </c>
      <c r="AA461" s="598" t="s">
        <v>3309</v>
      </c>
      <c r="AB461" s="598" t="s">
        <v>3309</v>
      </c>
      <c r="AC461" s="598" t="s">
        <v>3309</v>
      </c>
      <c r="AD461" s="598" t="s">
        <v>3309</v>
      </c>
      <c r="AE461" s="598" t="s">
        <v>3309</v>
      </c>
      <c r="AF461" s="598" t="s">
        <v>321</v>
      </c>
      <c r="AG461" s="598" t="s">
        <v>321</v>
      </c>
      <c r="AH461" s="598" t="s">
        <v>3309</v>
      </c>
      <c r="AI461" s="598" t="s">
        <v>321</v>
      </c>
      <c r="AJ461" s="599">
        <v>21</v>
      </c>
      <c r="AK461" s="600">
        <v>21</v>
      </c>
      <c r="AL461" s="601">
        <v>0</v>
      </c>
      <c r="AM461" s="601">
        <v>0</v>
      </c>
      <c r="AN461" s="599">
        <v>21</v>
      </c>
    </row>
    <row r="462" spans="1:40" ht="16.5" customHeight="1">
      <c r="A462" s="598" t="s">
        <v>3307</v>
      </c>
      <c r="B462" s="598" t="s">
        <v>3332</v>
      </c>
      <c r="C462" s="598" t="s">
        <v>2802</v>
      </c>
      <c r="D462" s="598" t="s">
        <v>2803</v>
      </c>
      <c r="E462" s="598" t="s">
        <v>321</v>
      </c>
      <c r="F462" s="598" t="s">
        <v>3309</v>
      </c>
      <c r="G462" s="598" t="s">
        <v>3309</v>
      </c>
      <c r="H462" s="598" t="s">
        <v>3309</v>
      </c>
      <c r="I462" s="598" t="s">
        <v>3309</v>
      </c>
      <c r="J462" s="598" t="s">
        <v>3309</v>
      </c>
      <c r="K462" s="598" t="s">
        <v>321</v>
      </c>
      <c r="L462" s="598" t="s">
        <v>321</v>
      </c>
      <c r="M462" s="598" t="s">
        <v>3309</v>
      </c>
      <c r="N462" s="598" t="s">
        <v>3309</v>
      </c>
      <c r="O462" s="598" t="s">
        <v>3309</v>
      </c>
      <c r="P462" s="598" t="s">
        <v>3309</v>
      </c>
      <c r="Q462" s="598" t="s">
        <v>3309</v>
      </c>
      <c r="R462" s="598" t="s">
        <v>321</v>
      </c>
      <c r="S462" s="598" t="s">
        <v>321</v>
      </c>
      <c r="T462" s="598" t="s">
        <v>3309</v>
      </c>
      <c r="U462" s="598" t="s">
        <v>3309</v>
      </c>
      <c r="V462" s="598" t="s">
        <v>3309</v>
      </c>
      <c r="W462" s="598" t="s">
        <v>3309</v>
      </c>
      <c r="X462" s="598" t="s">
        <v>3309</v>
      </c>
      <c r="Y462" s="598" t="s">
        <v>321</v>
      </c>
      <c r="Z462" s="598" t="s">
        <v>321</v>
      </c>
      <c r="AA462" s="598" t="s">
        <v>3309</v>
      </c>
      <c r="AB462" s="598" t="s">
        <v>3309</v>
      </c>
      <c r="AC462" s="598" t="s">
        <v>3309</v>
      </c>
      <c r="AD462" s="598" t="s">
        <v>3309</v>
      </c>
      <c r="AE462" s="598" t="s">
        <v>3309</v>
      </c>
      <c r="AF462" s="598" t="s">
        <v>321</v>
      </c>
      <c r="AG462" s="598" t="s">
        <v>321</v>
      </c>
      <c r="AH462" s="598" t="s">
        <v>3309</v>
      </c>
      <c r="AI462" s="598" t="s">
        <v>321</v>
      </c>
      <c r="AJ462" s="599">
        <v>21</v>
      </c>
      <c r="AK462" s="600">
        <v>21</v>
      </c>
      <c r="AL462" s="601">
        <v>0</v>
      </c>
      <c r="AM462" s="601">
        <v>0</v>
      </c>
      <c r="AN462" s="599">
        <v>21</v>
      </c>
    </row>
    <row r="463" spans="1:40" ht="16.5" customHeight="1">
      <c r="A463" s="598" t="s">
        <v>3307</v>
      </c>
      <c r="B463" s="598" t="s">
        <v>3332</v>
      </c>
      <c r="C463" s="598" t="s">
        <v>2462</v>
      </c>
      <c r="D463" s="598" t="s">
        <v>2463</v>
      </c>
      <c r="E463" s="598" t="s">
        <v>321</v>
      </c>
      <c r="F463" s="598" t="s">
        <v>3309</v>
      </c>
      <c r="G463" s="598" t="s">
        <v>3309</v>
      </c>
      <c r="H463" s="598" t="s">
        <v>3309</v>
      </c>
      <c r="I463" s="598" t="s">
        <v>3309</v>
      </c>
      <c r="J463" s="598" t="s">
        <v>3309</v>
      </c>
      <c r="K463" s="598" t="s">
        <v>321</v>
      </c>
      <c r="L463" s="598" t="s">
        <v>321</v>
      </c>
      <c r="M463" s="598" t="s">
        <v>3309</v>
      </c>
      <c r="N463" s="598" t="s">
        <v>3309</v>
      </c>
      <c r="O463" s="598" t="s">
        <v>3309</v>
      </c>
      <c r="P463" s="598" t="s">
        <v>3309</v>
      </c>
      <c r="Q463" s="598" t="s">
        <v>3309</v>
      </c>
      <c r="R463" s="598" t="s">
        <v>321</v>
      </c>
      <c r="S463" s="598" t="s">
        <v>321</v>
      </c>
      <c r="T463" s="598" t="s">
        <v>3309</v>
      </c>
      <c r="U463" s="598" t="s">
        <v>3309</v>
      </c>
      <c r="V463" s="598" t="s">
        <v>3309</v>
      </c>
      <c r="W463" s="598" t="s">
        <v>3309</v>
      </c>
      <c r="X463" s="598" t="s">
        <v>3309</v>
      </c>
      <c r="Y463" s="598" t="s">
        <v>321</v>
      </c>
      <c r="Z463" s="598" t="s">
        <v>321</v>
      </c>
      <c r="AA463" s="598" t="s">
        <v>3309</v>
      </c>
      <c r="AB463" s="598" t="s">
        <v>3309</v>
      </c>
      <c r="AC463" s="598" t="s">
        <v>3309</v>
      </c>
      <c r="AD463" s="598" t="s">
        <v>3309</v>
      </c>
      <c r="AE463" s="598" t="s">
        <v>3309</v>
      </c>
      <c r="AF463" s="598" t="s">
        <v>321</v>
      </c>
      <c r="AG463" s="598" t="s">
        <v>321</v>
      </c>
      <c r="AH463" s="598" t="s">
        <v>3309</v>
      </c>
      <c r="AI463" s="598" t="s">
        <v>321</v>
      </c>
      <c r="AJ463" s="599">
        <v>21</v>
      </c>
      <c r="AK463" s="600">
        <v>21</v>
      </c>
      <c r="AL463" s="601">
        <v>0</v>
      </c>
      <c r="AM463" s="601">
        <v>0</v>
      </c>
      <c r="AN463" s="599">
        <v>21</v>
      </c>
    </row>
    <row r="464" spans="1:40" ht="16.5" customHeight="1">
      <c r="A464" s="598" t="s">
        <v>3307</v>
      </c>
      <c r="B464" s="598" t="s">
        <v>3332</v>
      </c>
      <c r="C464" s="598" t="s">
        <v>2406</v>
      </c>
      <c r="D464" s="598" t="s">
        <v>2407</v>
      </c>
      <c r="E464" s="598" t="s">
        <v>321</v>
      </c>
      <c r="F464" s="598" t="s">
        <v>3309</v>
      </c>
      <c r="G464" s="598" t="s">
        <v>3309</v>
      </c>
      <c r="H464" s="598" t="s">
        <v>3309</v>
      </c>
      <c r="I464" s="598" t="s">
        <v>3309</v>
      </c>
      <c r="J464" s="598" t="s">
        <v>3309</v>
      </c>
      <c r="K464" s="598" t="s">
        <v>321</v>
      </c>
      <c r="L464" s="598" t="s">
        <v>321</v>
      </c>
      <c r="M464" s="598" t="s">
        <v>3309</v>
      </c>
      <c r="N464" s="598" t="s">
        <v>3309</v>
      </c>
      <c r="O464" s="598" t="s">
        <v>3309</v>
      </c>
      <c r="P464" s="598" t="s">
        <v>3309</v>
      </c>
      <c r="Q464" s="598" t="s">
        <v>3309</v>
      </c>
      <c r="R464" s="598" t="s">
        <v>321</v>
      </c>
      <c r="S464" s="598" t="s">
        <v>321</v>
      </c>
      <c r="T464" s="598" t="s">
        <v>3309</v>
      </c>
      <c r="U464" s="598" t="s">
        <v>3309</v>
      </c>
      <c r="V464" s="598" t="s">
        <v>3309</v>
      </c>
      <c r="W464" s="598" t="s">
        <v>3309</v>
      </c>
      <c r="X464" s="598" t="s">
        <v>3309</v>
      </c>
      <c r="Y464" s="598" t="s">
        <v>321</v>
      </c>
      <c r="Z464" s="598" t="s">
        <v>321</v>
      </c>
      <c r="AA464" s="598" t="s">
        <v>3309</v>
      </c>
      <c r="AB464" s="598" t="s">
        <v>3309</v>
      </c>
      <c r="AC464" s="598" t="s">
        <v>3309</v>
      </c>
      <c r="AD464" s="598" t="s">
        <v>3309</v>
      </c>
      <c r="AE464" s="598" t="s">
        <v>3309</v>
      </c>
      <c r="AF464" s="598" t="s">
        <v>321</v>
      </c>
      <c r="AG464" s="598" t="s">
        <v>321</v>
      </c>
      <c r="AH464" s="598" t="s">
        <v>3309</v>
      </c>
      <c r="AI464" s="598" t="s">
        <v>321</v>
      </c>
      <c r="AJ464" s="599">
        <v>21</v>
      </c>
      <c r="AK464" s="600">
        <v>21</v>
      </c>
      <c r="AL464" s="601">
        <v>0</v>
      </c>
      <c r="AM464" s="601">
        <v>0</v>
      </c>
      <c r="AN464" s="599">
        <v>21</v>
      </c>
    </row>
    <row r="465" spans="1:40" ht="16.5" customHeight="1">
      <c r="A465" s="598" t="s">
        <v>3307</v>
      </c>
      <c r="B465" s="598" t="s">
        <v>3332</v>
      </c>
      <c r="C465" s="598" t="s">
        <v>1666</v>
      </c>
      <c r="D465" s="598" t="s">
        <v>1667</v>
      </c>
      <c r="E465" s="598" t="s">
        <v>321</v>
      </c>
      <c r="F465" s="598" t="s">
        <v>3309</v>
      </c>
      <c r="G465" s="598" t="s">
        <v>3309</v>
      </c>
      <c r="H465" s="598" t="s">
        <v>3309</v>
      </c>
      <c r="I465" s="598" t="s">
        <v>3309</v>
      </c>
      <c r="J465" s="598" t="s">
        <v>3309</v>
      </c>
      <c r="K465" s="598" t="s">
        <v>321</v>
      </c>
      <c r="L465" s="598" t="s">
        <v>321</v>
      </c>
      <c r="M465" s="598" t="s">
        <v>3309</v>
      </c>
      <c r="N465" s="598" t="s">
        <v>3309</v>
      </c>
      <c r="O465" s="598" t="s">
        <v>3309</v>
      </c>
      <c r="P465" s="598" t="s">
        <v>3309</v>
      </c>
      <c r="Q465" s="598" t="s">
        <v>3309</v>
      </c>
      <c r="R465" s="598" t="s">
        <v>321</v>
      </c>
      <c r="S465" s="598" t="s">
        <v>321</v>
      </c>
      <c r="T465" s="598" t="s">
        <v>3309</v>
      </c>
      <c r="U465" s="598" t="s">
        <v>3309</v>
      </c>
      <c r="V465" s="598" t="s">
        <v>3309</v>
      </c>
      <c r="W465" s="598" t="s">
        <v>3309</v>
      </c>
      <c r="X465" s="598" t="s">
        <v>3309</v>
      </c>
      <c r="Y465" s="598" t="s">
        <v>321</v>
      </c>
      <c r="Z465" s="598" t="s">
        <v>321</v>
      </c>
      <c r="AA465" s="598" t="s">
        <v>3309</v>
      </c>
      <c r="AB465" s="598" t="s">
        <v>3309</v>
      </c>
      <c r="AC465" s="598" t="s">
        <v>3309</v>
      </c>
      <c r="AD465" s="598" t="s">
        <v>3309</v>
      </c>
      <c r="AE465" s="598" t="s">
        <v>3309</v>
      </c>
      <c r="AF465" s="598" t="s">
        <v>321</v>
      </c>
      <c r="AG465" s="598" t="s">
        <v>321</v>
      </c>
      <c r="AH465" s="598" t="s">
        <v>3309</v>
      </c>
      <c r="AI465" s="598" t="s">
        <v>321</v>
      </c>
      <c r="AJ465" s="599">
        <v>21</v>
      </c>
      <c r="AK465" s="600">
        <v>21</v>
      </c>
      <c r="AL465" s="601">
        <v>0</v>
      </c>
      <c r="AM465" s="601">
        <v>0</v>
      </c>
      <c r="AN465" s="599">
        <v>21</v>
      </c>
    </row>
    <row r="466" spans="1:40" ht="16.5" customHeight="1">
      <c r="A466" s="598" t="s">
        <v>3307</v>
      </c>
      <c r="B466" s="598" t="s">
        <v>3332</v>
      </c>
      <c r="C466" s="598" t="s">
        <v>963</v>
      </c>
      <c r="D466" s="598" t="s">
        <v>964</v>
      </c>
      <c r="E466" s="598" t="s">
        <v>321</v>
      </c>
      <c r="F466" s="598" t="s">
        <v>3309</v>
      </c>
      <c r="G466" s="598" t="s">
        <v>3309</v>
      </c>
      <c r="H466" s="598" t="s">
        <v>3309</v>
      </c>
      <c r="I466" s="598" t="s">
        <v>3309</v>
      </c>
      <c r="J466" s="598" t="s">
        <v>3309</v>
      </c>
      <c r="K466" s="598" t="s">
        <v>321</v>
      </c>
      <c r="L466" s="598" t="s">
        <v>321</v>
      </c>
      <c r="M466" s="598" t="s">
        <v>3309</v>
      </c>
      <c r="N466" s="598" t="s">
        <v>3309</v>
      </c>
      <c r="O466" s="598" t="s">
        <v>3309</v>
      </c>
      <c r="P466" s="598" t="s">
        <v>3309</v>
      </c>
      <c r="Q466" s="598" t="s">
        <v>3309</v>
      </c>
      <c r="R466" s="598" t="s">
        <v>321</v>
      </c>
      <c r="S466" s="598" t="s">
        <v>321</v>
      </c>
      <c r="T466" s="598" t="s">
        <v>3309</v>
      </c>
      <c r="U466" s="598" t="s">
        <v>3309</v>
      </c>
      <c r="V466" s="598" t="s">
        <v>3309</v>
      </c>
      <c r="W466" s="598" t="s">
        <v>3309</v>
      </c>
      <c r="X466" s="598" t="s">
        <v>3309</v>
      </c>
      <c r="Y466" s="598" t="s">
        <v>321</v>
      </c>
      <c r="Z466" s="598" t="s">
        <v>321</v>
      </c>
      <c r="AA466" s="598" t="s">
        <v>3309</v>
      </c>
      <c r="AB466" s="598" t="s">
        <v>3309</v>
      </c>
      <c r="AC466" s="598" t="s">
        <v>3309</v>
      </c>
      <c r="AD466" s="598" t="s">
        <v>3309</v>
      </c>
      <c r="AE466" s="598" t="s">
        <v>3309</v>
      </c>
      <c r="AF466" s="598" t="s">
        <v>321</v>
      </c>
      <c r="AG466" s="598" t="s">
        <v>321</v>
      </c>
      <c r="AH466" s="598" t="s">
        <v>3309</v>
      </c>
      <c r="AI466" s="598" t="s">
        <v>321</v>
      </c>
      <c r="AJ466" s="599">
        <v>21</v>
      </c>
      <c r="AK466" s="600">
        <v>21</v>
      </c>
      <c r="AL466" s="601">
        <v>0</v>
      </c>
      <c r="AM466" s="601">
        <v>0</v>
      </c>
      <c r="AN466" s="599">
        <v>21</v>
      </c>
    </row>
    <row r="467" spans="1:40" ht="16.5" customHeight="1">
      <c r="A467" s="598" t="s">
        <v>3307</v>
      </c>
      <c r="B467" s="598" t="s">
        <v>3332</v>
      </c>
      <c r="C467" s="598" t="s">
        <v>1626</v>
      </c>
      <c r="D467" s="598" t="s">
        <v>1627</v>
      </c>
      <c r="E467" s="598" t="s">
        <v>321</v>
      </c>
      <c r="F467" s="598" t="s">
        <v>3309</v>
      </c>
      <c r="G467" s="598" t="s">
        <v>3309</v>
      </c>
      <c r="H467" s="598" t="s">
        <v>3309</v>
      </c>
      <c r="I467" s="598" t="s">
        <v>3309</v>
      </c>
      <c r="J467" s="598" t="s">
        <v>3309</v>
      </c>
      <c r="K467" s="598" t="s">
        <v>321</v>
      </c>
      <c r="L467" s="598" t="s">
        <v>321</v>
      </c>
      <c r="M467" s="598" t="s">
        <v>3309</v>
      </c>
      <c r="N467" s="598" t="s">
        <v>3309</v>
      </c>
      <c r="O467" s="598" t="s">
        <v>3309</v>
      </c>
      <c r="P467" s="598" t="s">
        <v>3309</v>
      </c>
      <c r="Q467" s="598" t="s">
        <v>3309</v>
      </c>
      <c r="R467" s="598" t="s">
        <v>321</v>
      </c>
      <c r="S467" s="598" t="s">
        <v>321</v>
      </c>
      <c r="T467" s="598" t="s">
        <v>3309</v>
      </c>
      <c r="U467" s="598" t="s">
        <v>3309</v>
      </c>
      <c r="V467" s="598" t="s">
        <v>3309</v>
      </c>
      <c r="W467" s="598" t="s">
        <v>3309</v>
      </c>
      <c r="X467" s="598" t="s">
        <v>3309</v>
      </c>
      <c r="Y467" s="598" t="s">
        <v>321</v>
      </c>
      <c r="Z467" s="598" t="s">
        <v>321</v>
      </c>
      <c r="AA467" s="598" t="s">
        <v>3309</v>
      </c>
      <c r="AB467" s="598" t="s">
        <v>3309</v>
      </c>
      <c r="AC467" s="598" t="s">
        <v>3309</v>
      </c>
      <c r="AD467" s="598" t="s">
        <v>3309</v>
      </c>
      <c r="AE467" s="598" t="s">
        <v>3309</v>
      </c>
      <c r="AF467" s="598" t="s">
        <v>321</v>
      </c>
      <c r="AG467" s="598" t="s">
        <v>321</v>
      </c>
      <c r="AH467" s="598" t="s">
        <v>3309</v>
      </c>
      <c r="AI467" s="598" t="s">
        <v>321</v>
      </c>
      <c r="AJ467" s="599">
        <v>21</v>
      </c>
      <c r="AK467" s="600">
        <v>21</v>
      </c>
      <c r="AL467" s="601">
        <v>0</v>
      </c>
      <c r="AM467" s="601">
        <v>0</v>
      </c>
      <c r="AN467" s="599">
        <v>21</v>
      </c>
    </row>
    <row r="468" spans="1:40" ht="16.5" customHeight="1">
      <c r="A468" s="598" t="s">
        <v>3307</v>
      </c>
      <c r="B468" s="598" t="s">
        <v>3332</v>
      </c>
      <c r="C468" s="598" t="s">
        <v>1237</v>
      </c>
      <c r="D468" s="598" t="s">
        <v>1238</v>
      </c>
      <c r="E468" s="598" t="s">
        <v>321</v>
      </c>
      <c r="F468" s="598" t="s">
        <v>3309</v>
      </c>
      <c r="G468" s="598" t="s">
        <v>3309</v>
      </c>
      <c r="H468" s="598" t="s">
        <v>3309</v>
      </c>
      <c r="I468" s="598" t="s">
        <v>3309</v>
      </c>
      <c r="J468" s="598" t="s">
        <v>3309</v>
      </c>
      <c r="K468" s="598" t="s">
        <v>321</v>
      </c>
      <c r="L468" s="598" t="s">
        <v>321</v>
      </c>
      <c r="M468" s="598" t="s">
        <v>3309</v>
      </c>
      <c r="N468" s="598" t="s">
        <v>3309</v>
      </c>
      <c r="O468" s="598" t="s">
        <v>3309</v>
      </c>
      <c r="P468" s="598" t="s">
        <v>3309</v>
      </c>
      <c r="Q468" s="598" t="s">
        <v>3309</v>
      </c>
      <c r="R468" s="598" t="s">
        <v>321</v>
      </c>
      <c r="S468" s="598" t="s">
        <v>321</v>
      </c>
      <c r="T468" s="598" t="s">
        <v>3309</v>
      </c>
      <c r="U468" s="598" t="s">
        <v>3309</v>
      </c>
      <c r="V468" s="598" t="s">
        <v>3309</v>
      </c>
      <c r="W468" s="598" t="s">
        <v>3309</v>
      </c>
      <c r="X468" s="598" t="s">
        <v>3309</v>
      </c>
      <c r="Y468" s="598" t="s">
        <v>321</v>
      </c>
      <c r="Z468" s="598" t="s">
        <v>321</v>
      </c>
      <c r="AA468" s="598" t="s">
        <v>3309</v>
      </c>
      <c r="AB468" s="598" t="s">
        <v>3309</v>
      </c>
      <c r="AC468" s="598" t="s">
        <v>3309</v>
      </c>
      <c r="AD468" s="598" t="s">
        <v>3309</v>
      </c>
      <c r="AE468" s="598" t="s">
        <v>3309</v>
      </c>
      <c r="AF468" s="598" t="s">
        <v>321</v>
      </c>
      <c r="AG468" s="598" t="s">
        <v>321</v>
      </c>
      <c r="AH468" s="598" t="s">
        <v>3309</v>
      </c>
      <c r="AI468" s="598" t="s">
        <v>321</v>
      </c>
      <c r="AJ468" s="599">
        <v>21</v>
      </c>
      <c r="AK468" s="600">
        <v>21</v>
      </c>
      <c r="AL468" s="601">
        <v>0</v>
      </c>
      <c r="AM468" s="601">
        <v>0</v>
      </c>
      <c r="AN468" s="599">
        <v>21</v>
      </c>
    </row>
    <row r="469" spans="1:40" ht="16.5" customHeight="1">
      <c r="A469" s="598" t="s">
        <v>3307</v>
      </c>
      <c r="B469" s="598" t="s">
        <v>3332</v>
      </c>
      <c r="C469" s="598" t="s">
        <v>1494</v>
      </c>
      <c r="D469" s="598" t="s">
        <v>1495</v>
      </c>
      <c r="E469" s="598" t="s">
        <v>321</v>
      </c>
      <c r="F469" s="598" t="s">
        <v>3309</v>
      </c>
      <c r="G469" s="598" t="s">
        <v>3309</v>
      </c>
      <c r="H469" s="598" t="s">
        <v>3309</v>
      </c>
      <c r="I469" s="598" t="s">
        <v>3309</v>
      </c>
      <c r="J469" s="598" t="s">
        <v>3309</v>
      </c>
      <c r="K469" s="598" t="s">
        <v>321</v>
      </c>
      <c r="L469" s="598" t="s">
        <v>321</v>
      </c>
      <c r="M469" s="598" t="s">
        <v>3309</v>
      </c>
      <c r="N469" s="598" t="s">
        <v>3309</v>
      </c>
      <c r="O469" s="598" t="s">
        <v>3309</v>
      </c>
      <c r="P469" s="598" t="s">
        <v>3309</v>
      </c>
      <c r="Q469" s="598" t="s">
        <v>3309</v>
      </c>
      <c r="R469" s="598" t="s">
        <v>321</v>
      </c>
      <c r="S469" s="598" t="s">
        <v>321</v>
      </c>
      <c r="T469" s="598" t="s">
        <v>3312</v>
      </c>
      <c r="U469" s="598" t="s">
        <v>3309</v>
      </c>
      <c r="V469" s="598" t="s">
        <v>3309</v>
      </c>
      <c r="W469" s="598" t="s">
        <v>3309</v>
      </c>
      <c r="X469" s="598" t="s">
        <v>3309</v>
      </c>
      <c r="Y469" s="598" t="s">
        <v>321</v>
      </c>
      <c r="Z469" s="598" t="s">
        <v>321</v>
      </c>
      <c r="AA469" s="598" t="s">
        <v>3309</v>
      </c>
      <c r="AB469" s="598" t="s">
        <v>3309</v>
      </c>
      <c r="AC469" s="598" t="s">
        <v>3309</v>
      </c>
      <c r="AD469" s="598" t="s">
        <v>3313</v>
      </c>
      <c r="AE469" s="598" t="s">
        <v>3313</v>
      </c>
      <c r="AF469" s="598" t="s">
        <v>321</v>
      </c>
      <c r="AG469" s="598" t="s">
        <v>321</v>
      </c>
      <c r="AH469" s="598" t="s">
        <v>3313</v>
      </c>
      <c r="AI469" s="598" t="s">
        <v>321</v>
      </c>
      <c r="AJ469" s="599">
        <v>21</v>
      </c>
      <c r="AK469" s="600">
        <v>20</v>
      </c>
      <c r="AL469" s="602">
        <v>1</v>
      </c>
      <c r="AM469" s="601">
        <v>0</v>
      </c>
      <c r="AN469" s="599">
        <v>21</v>
      </c>
    </row>
    <row r="470" spans="1:40" ht="16.5" customHeight="1">
      <c r="A470" s="598" t="s">
        <v>3307</v>
      </c>
      <c r="B470" s="598" t="s">
        <v>3332</v>
      </c>
      <c r="C470" s="598" t="s">
        <v>1175</v>
      </c>
      <c r="D470" s="598" t="s">
        <v>1176</v>
      </c>
      <c r="E470" s="598" t="s">
        <v>321</v>
      </c>
      <c r="F470" s="598" t="s">
        <v>3309</v>
      </c>
      <c r="G470" s="598" t="s">
        <v>3309</v>
      </c>
      <c r="H470" s="598" t="s">
        <v>3309</v>
      </c>
      <c r="I470" s="598" t="s">
        <v>3309</v>
      </c>
      <c r="J470" s="598" t="s">
        <v>3309</v>
      </c>
      <c r="K470" s="598" t="s">
        <v>321</v>
      </c>
      <c r="L470" s="598" t="s">
        <v>321</v>
      </c>
      <c r="M470" s="598" t="s">
        <v>3309</v>
      </c>
      <c r="N470" s="598" t="s">
        <v>3309</v>
      </c>
      <c r="O470" s="598" t="s">
        <v>3309</v>
      </c>
      <c r="P470" s="598" t="s">
        <v>3309</v>
      </c>
      <c r="Q470" s="598" t="s">
        <v>3309</v>
      </c>
      <c r="R470" s="598" t="s">
        <v>321</v>
      </c>
      <c r="S470" s="598" t="s">
        <v>321</v>
      </c>
      <c r="T470" s="598" t="s">
        <v>3309</v>
      </c>
      <c r="U470" s="598" t="s">
        <v>3309</v>
      </c>
      <c r="V470" s="598" t="s">
        <v>3309</v>
      </c>
      <c r="W470" s="598" t="s">
        <v>3309</v>
      </c>
      <c r="X470" s="598" t="s">
        <v>3309</v>
      </c>
      <c r="Y470" s="598" t="s">
        <v>321</v>
      </c>
      <c r="Z470" s="598" t="s">
        <v>321</v>
      </c>
      <c r="AA470" s="598" t="s">
        <v>3309</v>
      </c>
      <c r="AB470" s="598" t="s">
        <v>3309</v>
      </c>
      <c r="AC470" s="598" t="s">
        <v>3309</v>
      </c>
      <c r="AD470" s="598" t="s">
        <v>3309</v>
      </c>
      <c r="AE470" s="598" t="s">
        <v>3309</v>
      </c>
      <c r="AF470" s="598" t="s">
        <v>321</v>
      </c>
      <c r="AG470" s="598" t="s">
        <v>321</v>
      </c>
      <c r="AH470" s="598" t="s">
        <v>3309</v>
      </c>
      <c r="AI470" s="598" t="s">
        <v>321</v>
      </c>
      <c r="AJ470" s="599">
        <v>21</v>
      </c>
      <c r="AK470" s="600">
        <v>21</v>
      </c>
      <c r="AL470" s="601">
        <v>0</v>
      </c>
      <c r="AM470" s="601">
        <v>0</v>
      </c>
      <c r="AN470" s="599">
        <v>21</v>
      </c>
    </row>
    <row r="471" spans="1:40" ht="16.5" customHeight="1">
      <c r="A471" s="598" t="s">
        <v>3307</v>
      </c>
      <c r="B471" s="598" t="s">
        <v>3332</v>
      </c>
      <c r="C471" s="598" t="s">
        <v>1471</v>
      </c>
      <c r="D471" s="598" t="s">
        <v>1472</v>
      </c>
      <c r="E471" s="598" t="s">
        <v>321</v>
      </c>
      <c r="F471" s="598" t="s">
        <v>3309</v>
      </c>
      <c r="G471" s="598" t="s">
        <v>3309</v>
      </c>
      <c r="H471" s="598" t="s">
        <v>3309</v>
      </c>
      <c r="I471" s="598" t="s">
        <v>3309</v>
      </c>
      <c r="J471" s="598" t="s">
        <v>3309</v>
      </c>
      <c r="K471" s="598" t="s">
        <v>321</v>
      </c>
      <c r="L471" s="598" t="s">
        <v>321</v>
      </c>
      <c r="M471" s="598" t="s">
        <v>3309</v>
      </c>
      <c r="N471" s="598" t="s">
        <v>3309</v>
      </c>
      <c r="O471" s="598" t="s">
        <v>3309</v>
      </c>
      <c r="P471" s="598" t="s">
        <v>3309</v>
      </c>
      <c r="Q471" s="598" t="s">
        <v>3309</v>
      </c>
      <c r="R471" s="598" t="s">
        <v>321</v>
      </c>
      <c r="S471" s="598" t="s">
        <v>321</v>
      </c>
      <c r="T471" s="598" t="s">
        <v>3309</v>
      </c>
      <c r="U471" s="598" t="s">
        <v>3309</v>
      </c>
      <c r="V471" s="598" t="s">
        <v>3309</v>
      </c>
      <c r="W471" s="598" t="s">
        <v>3309</v>
      </c>
      <c r="X471" s="598" t="s">
        <v>3309</v>
      </c>
      <c r="Y471" s="598" t="s">
        <v>321</v>
      </c>
      <c r="Z471" s="598" t="s">
        <v>321</v>
      </c>
      <c r="AA471" s="598" t="s">
        <v>3309</v>
      </c>
      <c r="AB471" s="598" t="s">
        <v>3309</v>
      </c>
      <c r="AC471" s="598" t="s">
        <v>3309</v>
      </c>
      <c r="AD471" s="598" t="s">
        <v>3309</v>
      </c>
      <c r="AE471" s="598" t="s">
        <v>3309</v>
      </c>
      <c r="AF471" s="598" t="s">
        <v>321</v>
      </c>
      <c r="AG471" s="598" t="s">
        <v>321</v>
      </c>
      <c r="AH471" s="598" t="s">
        <v>3309</v>
      </c>
      <c r="AI471" s="598" t="s">
        <v>321</v>
      </c>
      <c r="AJ471" s="599">
        <v>21</v>
      </c>
      <c r="AK471" s="600">
        <v>21</v>
      </c>
      <c r="AL471" s="601">
        <v>0</v>
      </c>
      <c r="AM471" s="601">
        <v>0</v>
      </c>
      <c r="AN471" s="599">
        <v>21</v>
      </c>
    </row>
    <row r="472" spans="1:40" ht="16.5" customHeight="1">
      <c r="A472" s="598" t="s">
        <v>3307</v>
      </c>
      <c r="B472" s="598" t="s">
        <v>3332</v>
      </c>
      <c r="C472" s="598" t="s">
        <v>2083</v>
      </c>
      <c r="D472" s="598" t="s">
        <v>2084</v>
      </c>
      <c r="E472" s="598" t="s">
        <v>321</v>
      </c>
      <c r="F472" s="598" t="s">
        <v>3309</v>
      </c>
      <c r="G472" s="598" t="s">
        <v>3309</v>
      </c>
      <c r="H472" s="598" t="s">
        <v>3309</v>
      </c>
      <c r="I472" s="598" t="s">
        <v>3309</v>
      </c>
      <c r="J472" s="598" t="s">
        <v>3309</v>
      </c>
      <c r="K472" s="598" t="s">
        <v>321</v>
      </c>
      <c r="L472" s="598" t="s">
        <v>321</v>
      </c>
      <c r="M472" s="598" t="s">
        <v>3309</v>
      </c>
      <c r="N472" s="598" t="s">
        <v>3309</v>
      </c>
      <c r="O472" s="598" t="s">
        <v>3309</v>
      </c>
      <c r="P472" s="598" t="s">
        <v>3309</v>
      </c>
      <c r="Q472" s="598" t="s">
        <v>3309</v>
      </c>
      <c r="R472" s="598" t="s">
        <v>321</v>
      </c>
      <c r="S472" s="598" t="s">
        <v>321</v>
      </c>
      <c r="T472" s="598" t="s">
        <v>3309</v>
      </c>
      <c r="U472" s="598" t="s">
        <v>3309</v>
      </c>
      <c r="V472" s="598" t="s">
        <v>3309</v>
      </c>
      <c r="W472" s="598" t="s">
        <v>3309</v>
      </c>
      <c r="X472" s="598" t="s">
        <v>3309</v>
      </c>
      <c r="Y472" s="598" t="s">
        <v>321</v>
      </c>
      <c r="Z472" s="598" t="s">
        <v>321</v>
      </c>
      <c r="AA472" s="598" t="s">
        <v>3309</v>
      </c>
      <c r="AB472" s="598" t="s">
        <v>3309</v>
      </c>
      <c r="AC472" s="598" t="s">
        <v>3309</v>
      </c>
      <c r="AD472" s="598" t="s">
        <v>3309</v>
      </c>
      <c r="AE472" s="598" t="s">
        <v>3312</v>
      </c>
      <c r="AF472" s="598" t="s">
        <v>321</v>
      </c>
      <c r="AG472" s="598" t="s">
        <v>321</v>
      </c>
      <c r="AH472" s="598" t="s">
        <v>3309</v>
      </c>
      <c r="AI472" s="598" t="s">
        <v>321</v>
      </c>
      <c r="AJ472" s="599">
        <v>21</v>
      </c>
      <c r="AK472" s="600">
        <v>20</v>
      </c>
      <c r="AL472" s="602">
        <v>1</v>
      </c>
      <c r="AM472" s="601">
        <v>0</v>
      </c>
      <c r="AN472" s="599">
        <v>21</v>
      </c>
    </row>
    <row r="473" spans="1:40" ht="16.5" customHeight="1">
      <c r="A473" s="598" t="s">
        <v>3307</v>
      </c>
      <c r="B473" s="598" t="s">
        <v>3332</v>
      </c>
      <c r="C473" s="598" t="s">
        <v>1711</v>
      </c>
      <c r="D473" s="598" t="s">
        <v>1712</v>
      </c>
      <c r="E473" s="598" t="s">
        <v>321</v>
      </c>
      <c r="F473" s="598" t="s">
        <v>3309</v>
      </c>
      <c r="G473" s="598" t="s">
        <v>3309</v>
      </c>
      <c r="H473" s="598" t="s">
        <v>3309</v>
      </c>
      <c r="I473" s="598" t="s">
        <v>3309</v>
      </c>
      <c r="J473" s="598" t="s">
        <v>3309</v>
      </c>
      <c r="K473" s="598" t="s">
        <v>321</v>
      </c>
      <c r="L473" s="598" t="s">
        <v>321</v>
      </c>
      <c r="M473" s="598" t="s">
        <v>3309</v>
      </c>
      <c r="N473" s="598" t="s">
        <v>3309</v>
      </c>
      <c r="O473" s="598" t="s">
        <v>3309</v>
      </c>
      <c r="P473" s="598" t="s">
        <v>3309</v>
      </c>
      <c r="Q473" s="598" t="s">
        <v>3309</v>
      </c>
      <c r="R473" s="598" t="s">
        <v>321</v>
      </c>
      <c r="S473" s="598" t="s">
        <v>321</v>
      </c>
      <c r="T473" s="598" t="s">
        <v>3309</v>
      </c>
      <c r="U473" s="598" t="s">
        <v>3309</v>
      </c>
      <c r="V473" s="598" t="s">
        <v>3309</v>
      </c>
      <c r="W473" s="598" t="s">
        <v>3309</v>
      </c>
      <c r="X473" s="598" t="s">
        <v>3309</v>
      </c>
      <c r="Y473" s="598" t="s">
        <v>321</v>
      </c>
      <c r="Z473" s="598" t="s">
        <v>321</v>
      </c>
      <c r="AA473" s="598" t="s">
        <v>3309</v>
      </c>
      <c r="AB473" s="598" t="s">
        <v>3309</v>
      </c>
      <c r="AC473" s="598" t="s">
        <v>3309</v>
      </c>
      <c r="AD473" s="598" t="s">
        <v>3309</v>
      </c>
      <c r="AE473" s="598" t="s">
        <v>3309</v>
      </c>
      <c r="AF473" s="598" t="s">
        <v>321</v>
      </c>
      <c r="AG473" s="598" t="s">
        <v>321</v>
      </c>
      <c r="AH473" s="598" t="s">
        <v>3309</v>
      </c>
      <c r="AI473" s="598" t="s">
        <v>321</v>
      </c>
      <c r="AJ473" s="599">
        <v>21</v>
      </c>
      <c r="AK473" s="600">
        <v>21</v>
      </c>
      <c r="AL473" s="601">
        <v>0</v>
      </c>
      <c r="AM473" s="601">
        <v>0</v>
      </c>
      <c r="AN473" s="599">
        <v>21</v>
      </c>
    </row>
    <row r="474" spans="1:40" ht="16.5" customHeight="1">
      <c r="A474" s="598" t="s">
        <v>3307</v>
      </c>
      <c r="B474" s="598" t="s">
        <v>3332</v>
      </c>
      <c r="C474" s="598" t="s">
        <v>2203</v>
      </c>
      <c r="D474" s="598" t="s">
        <v>2204</v>
      </c>
      <c r="E474" s="598" t="s">
        <v>321</v>
      </c>
      <c r="F474" s="598" t="s">
        <v>3309</v>
      </c>
      <c r="G474" s="598" t="s">
        <v>3309</v>
      </c>
      <c r="H474" s="598" t="s">
        <v>3309</v>
      </c>
      <c r="I474" s="598" t="s">
        <v>3309</v>
      </c>
      <c r="J474" s="598" t="s">
        <v>3309</v>
      </c>
      <c r="K474" s="598" t="s">
        <v>321</v>
      </c>
      <c r="L474" s="598" t="s">
        <v>321</v>
      </c>
      <c r="M474" s="598" t="s">
        <v>3309</v>
      </c>
      <c r="N474" s="598" t="s">
        <v>3309</v>
      </c>
      <c r="O474" s="598" t="s">
        <v>3309</v>
      </c>
      <c r="P474" s="598" t="s">
        <v>3309</v>
      </c>
      <c r="Q474" s="598" t="s">
        <v>3309</v>
      </c>
      <c r="R474" s="598" t="s">
        <v>321</v>
      </c>
      <c r="S474" s="598" t="s">
        <v>321</v>
      </c>
      <c r="T474" s="598" t="s">
        <v>3309</v>
      </c>
      <c r="U474" s="598" t="s">
        <v>3309</v>
      </c>
      <c r="V474" s="598" t="s">
        <v>3309</v>
      </c>
      <c r="W474" s="598" t="s">
        <v>3309</v>
      </c>
      <c r="X474" s="598" t="s">
        <v>3309</v>
      </c>
      <c r="Y474" s="598" t="s">
        <v>321</v>
      </c>
      <c r="Z474" s="598" t="s">
        <v>321</v>
      </c>
      <c r="AA474" s="598" t="s">
        <v>3309</v>
      </c>
      <c r="AB474" s="598" t="s">
        <v>3309</v>
      </c>
      <c r="AC474" s="598" t="s">
        <v>3309</v>
      </c>
      <c r="AD474" s="598" t="s">
        <v>3309</v>
      </c>
      <c r="AE474" s="598" t="s">
        <v>3309</v>
      </c>
      <c r="AF474" s="598" t="s">
        <v>321</v>
      </c>
      <c r="AG474" s="598" t="s">
        <v>321</v>
      </c>
      <c r="AH474" s="598" t="s">
        <v>3309</v>
      </c>
      <c r="AI474" s="598" t="s">
        <v>321</v>
      </c>
      <c r="AJ474" s="599">
        <v>21</v>
      </c>
      <c r="AK474" s="600">
        <v>21</v>
      </c>
      <c r="AL474" s="601">
        <v>0</v>
      </c>
      <c r="AM474" s="601">
        <v>0</v>
      </c>
      <c r="AN474" s="599">
        <v>21</v>
      </c>
    </row>
    <row r="475" spans="1:40" ht="16.5" customHeight="1">
      <c r="A475" s="598" t="s">
        <v>3307</v>
      </c>
      <c r="B475" s="598" t="s">
        <v>3332</v>
      </c>
      <c r="C475" s="598" t="s">
        <v>2006</v>
      </c>
      <c r="D475" s="598" t="s">
        <v>2007</v>
      </c>
      <c r="E475" s="598" t="s">
        <v>321</v>
      </c>
      <c r="F475" s="598" t="s">
        <v>3309</v>
      </c>
      <c r="G475" s="598" t="s">
        <v>3309</v>
      </c>
      <c r="H475" s="598" t="s">
        <v>3309</v>
      </c>
      <c r="I475" s="598" t="s">
        <v>3312</v>
      </c>
      <c r="J475" s="598" t="s">
        <v>3309</v>
      </c>
      <c r="K475" s="598" t="s">
        <v>321</v>
      </c>
      <c r="L475" s="598" t="s">
        <v>321</v>
      </c>
      <c r="M475" s="598" t="s">
        <v>3309</v>
      </c>
      <c r="N475" s="598" t="s">
        <v>3309</v>
      </c>
      <c r="O475" s="598" t="s">
        <v>3309</v>
      </c>
      <c r="P475" s="598" t="s">
        <v>3309</v>
      </c>
      <c r="Q475" s="598" t="s">
        <v>3309</v>
      </c>
      <c r="R475" s="598" t="s">
        <v>321</v>
      </c>
      <c r="S475" s="598" t="s">
        <v>321</v>
      </c>
      <c r="T475" s="598" t="s">
        <v>3309</v>
      </c>
      <c r="U475" s="598" t="s">
        <v>3309</v>
      </c>
      <c r="V475" s="598" t="s">
        <v>3309</v>
      </c>
      <c r="W475" s="598" t="s">
        <v>3309</v>
      </c>
      <c r="X475" s="598" t="s">
        <v>3309</v>
      </c>
      <c r="Y475" s="598" t="s">
        <v>321</v>
      </c>
      <c r="Z475" s="598" t="s">
        <v>321</v>
      </c>
      <c r="AA475" s="598" t="s">
        <v>3309</v>
      </c>
      <c r="AB475" s="598" t="s">
        <v>3309</v>
      </c>
      <c r="AC475" s="598" t="s">
        <v>3309</v>
      </c>
      <c r="AD475" s="598" t="s">
        <v>3309</v>
      </c>
      <c r="AE475" s="598" t="s">
        <v>3309</v>
      </c>
      <c r="AF475" s="598" t="s">
        <v>321</v>
      </c>
      <c r="AG475" s="598" t="s">
        <v>321</v>
      </c>
      <c r="AH475" s="598" t="s">
        <v>3309</v>
      </c>
      <c r="AI475" s="598" t="s">
        <v>321</v>
      </c>
      <c r="AJ475" s="599">
        <v>21</v>
      </c>
      <c r="AK475" s="600">
        <v>20</v>
      </c>
      <c r="AL475" s="602">
        <v>1</v>
      </c>
      <c r="AM475" s="601">
        <v>0</v>
      </c>
      <c r="AN475" s="599">
        <v>21</v>
      </c>
    </row>
    <row r="476" spans="1:40" ht="16.5" customHeight="1">
      <c r="A476" s="598" t="s">
        <v>3307</v>
      </c>
      <c r="B476" s="598" t="s">
        <v>3332</v>
      </c>
      <c r="C476" s="598" t="s">
        <v>2633</v>
      </c>
      <c r="D476" s="598" t="s">
        <v>2634</v>
      </c>
      <c r="E476" s="598" t="s">
        <v>321</v>
      </c>
      <c r="F476" s="598" t="s">
        <v>3309</v>
      </c>
      <c r="G476" s="598" t="s">
        <v>3309</v>
      </c>
      <c r="H476" s="598" t="s">
        <v>3309</v>
      </c>
      <c r="I476" s="598" t="s">
        <v>3309</v>
      </c>
      <c r="J476" s="598" t="s">
        <v>3309</v>
      </c>
      <c r="K476" s="598" t="s">
        <v>321</v>
      </c>
      <c r="L476" s="598" t="s">
        <v>321</v>
      </c>
      <c r="M476" s="598" t="s">
        <v>3309</v>
      </c>
      <c r="N476" s="598" t="s">
        <v>3309</v>
      </c>
      <c r="O476" s="598" t="s">
        <v>3309</v>
      </c>
      <c r="P476" s="598" t="s">
        <v>3309</v>
      </c>
      <c r="Q476" s="598" t="s">
        <v>3309</v>
      </c>
      <c r="R476" s="598" t="s">
        <v>321</v>
      </c>
      <c r="S476" s="598" t="s">
        <v>321</v>
      </c>
      <c r="T476" s="598" t="s">
        <v>3309</v>
      </c>
      <c r="U476" s="598" t="s">
        <v>3309</v>
      </c>
      <c r="V476" s="598" t="s">
        <v>3309</v>
      </c>
      <c r="W476" s="598" t="s">
        <v>3309</v>
      </c>
      <c r="X476" s="598" t="s">
        <v>3309</v>
      </c>
      <c r="Y476" s="598" t="s">
        <v>321</v>
      </c>
      <c r="Z476" s="598" t="s">
        <v>321</v>
      </c>
      <c r="AA476" s="598" t="s">
        <v>3309</v>
      </c>
      <c r="AB476" s="598" t="s">
        <v>3309</v>
      </c>
      <c r="AC476" s="598" t="s">
        <v>3309</v>
      </c>
      <c r="AD476" s="598" t="s">
        <v>3309</v>
      </c>
      <c r="AE476" s="598" t="s">
        <v>3309</v>
      </c>
      <c r="AF476" s="598" t="s">
        <v>321</v>
      </c>
      <c r="AG476" s="598" t="s">
        <v>321</v>
      </c>
      <c r="AH476" s="598" t="s">
        <v>3309</v>
      </c>
      <c r="AI476" s="598" t="s">
        <v>321</v>
      </c>
      <c r="AJ476" s="599">
        <v>21</v>
      </c>
      <c r="AK476" s="600">
        <v>21</v>
      </c>
      <c r="AL476" s="601">
        <v>0</v>
      </c>
      <c r="AM476" s="601">
        <v>0</v>
      </c>
      <c r="AN476" s="599">
        <v>21</v>
      </c>
    </row>
    <row r="477" spans="1:40" ht="16.5" customHeight="1">
      <c r="A477" s="598" t="s">
        <v>3307</v>
      </c>
      <c r="B477" s="598" t="s">
        <v>3332</v>
      </c>
      <c r="C477" s="598" t="s">
        <v>807</v>
      </c>
      <c r="D477" s="598" t="s">
        <v>808</v>
      </c>
      <c r="E477" s="598" t="s">
        <v>321</v>
      </c>
      <c r="F477" s="598" t="s">
        <v>3309</v>
      </c>
      <c r="G477" s="598" t="s">
        <v>3309</v>
      </c>
      <c r="H477" s="598" t="s">
        <v>3309</v>
      </c>
      <c r="I477" s="598" t="s">
        <v>3309</v>
      </c>
      <c r="J477" s="598" t="s">
        <v>3309</v>
      </c>
      <c r="K477" s="598" t="s">
        <v>321</v>
      </c>
      <c r="L477" s="598" t="s">
        <v>321</v>
      </c>
      <c r="M477" s="598" t="s">
        <v>3309</v>
      </c>
      <c r="N477" s="598" t="s">
        <v>3309</v>
      </c>
      <c r="O477" s="598" t="s">
        <v>3309</v>
      </c>
      <c r="P477" s="598" t="s">
        <v>3309</v>
      </c>
      <c r="Q477" s="598" t="s">
        <v>3309</v>
      </c>
      <c r="R477" s="598" t="s">
        <v>321</v>
      </c>
      <c r="S477" s="598" t="s">
        <v>321</v>
      </c>
      <c r="T477" s="598" t="s">
        <v>3309</v>
      </c>
      <c r="U477" s="598" t="s">
        <v>3309</v>
      </c>
      <c r="V477" s="598" t="s">
        <v>3309</v>
      </c>
      <c r="W477" s="598" t="s">
        <v>3309</v>
      </c>
      <c r="X477" s="598" t="s">
        <v>3309</v>
      </c>
      <c r="Y477" s="598" t="s">
        <v>321</v>
      </c>
      <c r="Z477" s="598" t="s">
        <v>321</v>
      </c>
      <c r="AA477" s="598" t="s">
        <v>3309</v>
      </c>
      <c r="AB477" s="598" t="s">
        <v>3309</v>
      </c>
      <c r="AC477" s="598" t="s">
        <v>3309</v>
      </c>
      <c r="AD477" s="598" t="s">
        <v>3309</v>
      </c>
      <c r="AE477" s="598" t="s">
        <v>3309</v>
      </c>
      <c r="AF477" s="598" t="s">
        <v>321</v>
      </c>
      <c r="AG477" s="598" t="s">
        <v>321</v>
      </c>
      <c r="AH477" s="598" t="s">
        <v>3309</v>
      </c>
      <c r="AI477" s="598" t="s">
        <v>321</v>
      </c>
      <c r="AJ477" s="599">
        <v>21</v>
      </c>
      <c r="AK477" s="600">
        <v>21</v>
      </c>
      <c r="AL477" s="601">
        <v>0</v>
      </c>
      <c r="AM477" s="601">
        <v>0</v>
      </c>
      <c r="AN477" s="599">
        <v>21</v>
      </c>
    </row>
    <row r="478" spans="1:40" ht="16.5" customHeight="1">
      <c r="A478" s="598" t="s">
        <v>3307</v>
      </c>
      <c r="B478" s="598" t="s">
        <v>3332</v>
      </c>
      <c r="C478" s="598" t="s">
        <v>1508</v>
      </c>
      <c r="D478" s="598" t="s">
        <v>1509</v>
      </c>
      <c r="E478" s="598" t="s">
        <v>321</v>
      </c>
      <c r="F478" s="598" t="s">
        <v>3309</v>
      </c>
      <c r="G478" s="598" t="s">
        <v>3309</v>
      </c>
      <c r="H478" s="598" t="s">
        <v>3309</v>
      </c>
      <c r="I478" s="598" t="s">
        <v>3309</v>
      </c>
      <c r="J478" s="598" t="s">
        <v>3309</v>
      </c>
      <c r="K478" s="598" t="s">
        <v>321</v>
      </c>
      <c r="L478" s="598" t="s">
        <v>321</v>
      </c>
      <c r="M478" s="598" t="s">
        <v>3309</v>
      </c>
      <c r="N478" s="598" t="s">
        <v>3309</v>
      </c>
      <c r="O478" s="598" t="s">
        <v>3309</v>
      </c>
      <c r="P478" s="598" t="s">
        <v>3309</v>
      </c>
      <c r="Q478" s="598" t="s">
        <v>3313</v>
      </c>
      <c r="R478" s="598" t="s">
        <v>321</v>
      </c>
      <c r="S478" s="598" t="s">
        <v>321</v>
      </c>
      <c r="T478" s="598" t="s">
        <v>3309</v>
      </c>
      <c r="U478" s="598" t="s">
        <v>3309</v>
      </c>
      <c r="V478" s="598" t="s">
        <v>3309</v>
      </c>
      <c r="W478" s="598" t="s">
        <v>3309</v>
      </c>
      <c r="X478" s="598" t="s">
        <v>3309</v>
      </c>
      <c r="Y478" s="598" t="s">
        <v>321</v>
      </c>
      <c r="Z478" s="598" t="s">
        <v>321</v>
      </c>
      <c r="AA478" s="598" t="s">
        <v>3309</v>
      </c>
      <c r="AB478" s="598" t="s">
        <v>3309</v>
      </c>
      <c r="AC478" s="598" t="s">
        <v>3309</v>
      </c>
      <c r="AD478" s="598" t="s">
        <v>3309</v>
      </c>
      <c r="AE478" s="598" t="s">
        <v>3309</v>
      </c>
      <c r="AF478" s="598" t="s">
        <v>321</v>
      </c>
      <c r="AG478" s="598" t="s">
        <v>321</v>
      </c>
      <c r="AH478" s="598" t="s">
        <v>3309</v>
      </c>
      <c r="AI478" s="598" t="s">
        <v>321</v>
      </c>
      <c r="AJ478" s="599">
        <v>21</v>
      </c>
      <c r="AK478" s="600">
        <v>21</v>
      </c>
      <c r="AL478" s="601">
        <v>0</v>
      </c>
      <c r="AM478" s="601">
        <v>0</v>
      </c>
      <c r="AN478" s="599">
        <v>21</v>
      </c>
    </row>
    <row r="479" spans="1:40" ht="16.5" customHeight="1">
      <c r="A479" s="598" t="s">
        <v>3307</v>
      </c>
      <c r="B479" s="598" t="s">
        <v>3332</v>
      </c>
      <c r="C479" s="598" t="s">
        <v>1183</v>
      </c>
      <c r="D479" s="598" t="s">
        <v>1184</v>
      </c>
      <c r="E479" s="598" t="s">
        <v>321</v>
      </c>
      <c r="F479" s="598" t="s">
        <v>3309</v>
      </c>
      <c r="G479" s="598" t="s">
        <v>3309</v>
      </c>
      <c r="H479" s="598" t="s">
        <v>3312</v>
      </c>
      <c r="I479" s="598" t="s">
        <v>3312</v>
      </c>
      <c r="J479" s="598" t="s">
        <v>3309</v>
      </c>
      <c r="K479" s="598" t="s">
        <v>321</v>
      </c>
      <c r="L479" s="598" t="s">
        <v>321</v>
      </c>
      <c r="M479" s="598" t="s">
        <v>3309</v>
      </c>
      <c r="N479" s="598" t="s">
        <v>3309</v>
      </c>
      <c r="O479" s="598" t="s">
        <v>3309</v>
      </c>
      <c r="P479" s="598" t="s">
        <v>3309</v>
      </c>
      <c r="Q479" s="598" t="s">
        <v>3309</v>
      </c>
      <c r="R479" s="598" t="s">
        <v>321</v>
      </c>
      <c r="S479" s="598" t="s">
        <v>321</v>
      </c>
      <c r="T479" s="598" t="s">
        <v>3309</v>
      </c>
      <c r="U479" s="598" t="s">
        <v>3309</v>
      </c>
      <c r="V479" s="598" t="s">
        <v>3309</v>
      </c>
      <c r="W479" s="598" t="s">
        <v>3309</v>
      </c>
      <c r="X479" s="598" t="s">
        <v>3309</v>
      </c>
      <c r="Y479" s="598" t="s">
        <v>321</v>
      </c>
      <c r="Z479" s="598" t="s">
        <v>321</v>
      </c>
      <c r="AA479" s="598" t="s">
        <v>3309</v>
      </c>
      <c r="AB479" s="598" t="s">
        <v>3309</v>
      </c>
      <c r="AC479" s="598" t="s">
        <v>3309</v>
      </c>
      <c r="AD479" s="598" t="s">
        <v>3309</v>
      </c>
      <c r="AE479" s="598" t="s">
        <v>3309</v>
      </c>
      <c r="AF479" s="598" t="s">
        <v>321</v>
      </c>
      <c r="AG479" s="598" t="s">
        <v>321</v>
      </c>
      <c r="AH479" s="598" t="s">
        <v>3309</v>
      </c>
      <c r="AI479" s="598" t="s">
        <v>321</v>
      </c>
      <c r="AJ479" s="599">
        <v>21</v>
      </c>
      <c r="AK479" s="600">
        <v>19</v>
      </c>
      <c r="AL479" s="602">
        <v>2</v>
      </c>
      <c r="AM479" s="601">
        <v>0</v>
      </c>
      <c r="AN479" s="599">
        <v>21</v>
      </c>
    </row>
    <row r="480" spans="1:40" ht="16.5" customHeight="1">
      <c r="A480" s="598" t="s">
        <v>3307</v>
      </c>
      <c r="B480" s="598" t="s">
        <v>3332</v>
      </c>
      <c r="C480" s="598" t="s">
        <v>1793</v>
      </c>
      <c r="D480" s="598" t="s">
        <v>1794</v>
      </c>
      <c r="E480" s="598" t="s">
        <v>321</v>
      </c>
      <c r="F480" s="598" t="s">
        <v>3309</v>
      </c>
      <c r="G480" s="598" t="s">
        <v>3309</v>
      </c>
      <c r="H480" s="598" t="s">
        <v>3309</v>
      </c>
      <c r="I480" s="598" t="s">
        <v>3309</v>
      </c>
      <c r="J480" s="598" t="s">
        <v>3309</v>
      </c>
      <c r="K480" s="598" t="s">
        <v>321</v>
      </c>
      <c r="L480" s="598" t="s">
        <v>321</v>
      </c>
      <c r="M480" s="598" t="s">
        <v>3309</v>
      </c>
      <c r="N480" s="598" t="s">
        <v>3309</v>
      </c>
      <c r="O480" s="598" t="s">
        <v>3309</v>
      </c>
      <c r="P480" s="598" t="s">
        <v>3309</v>
      </c>
      <c r="Q480" s="598" t="s">
        <v>3309</v>
      </c>
      <c r="R480" s="598" t="s">
        <v>321</v>
      </c>
      <c r="S480" s="598" t="s">
        <v>321</v>
      </c>
      <c r="T480" s="598" t="s">
        <v>3309</v>
      </c>
      <c r="U480" s="598" t="s">
        <v>3309</v>
      </c>
      <c r="V480" s="598" t="s">
        <v>3309</v>
      </c>
      <c r="W480" s="598" t="s">
        <v>3309</v>
      </c>
      <c r="X480" s="598" t="s">
        <v>3309</v>
      </c>
      <c r="Y480" s="598" t="s">
        <v>321</v>
      </c>
      <c r="Z480" s="598" t="s">
        <v>321</v>
      </c>
      <c r="AA480" s="598" t="s">
        <v>3309</v>
      </c>
      <c r="AB480" s="598" t="s">
        <v>3309</v>
      </c>
      <c r="AC480" s="598" t="s">
        <v>3309</v>
      </c>
      <c r="AD480" s="598" t="s">
        <v>3309</v>
      </c>
      <c r="AE480" s="598" t="s">
        <v>3309</v>
      </c>
      <c r="AF480" s="598" t="s">
        <v>321</v>
      </c>
      <c r="AG480" s="598" t="s">
        <v>321</v>
      </c>
      <c r="AH480" s="598" t="s">
        <v>3309</v>
      </c>
      <c r="AI480" s="598" t="s">
        <v>321</v>
      </c>
      <c r="AJ480" s="599">
        <v>21</v>
      </c>
      <c r="AK480" s="600">
        <v>21</v>
      </c>
      <c r="AL480" s="601">
        <v>0</v>
      </c>
      <c r="AM480" s="601">
        <v>0</v>
      </c>
      <c r="AN480" s="599">
        <v>21</v>
      </c>
    </row>
    <row r="481" spans="1:40" ht="16.5" customHeight="1">
      <c r="A481" s="598" t="s">
        <v>3307</v>
      </c>
      <c r="B481" s="598" t="s">
        <v>3332</v>
      </c>
      <c r="C481" s="598" t="s">
        <v>1058</v>
      </c>
      <c r="D481" s="598" t="s">
        <v>1059</v>
      </c>
      <c r="E481" s="598" t="s">
        <v>321</v>
      </c>
      <c r="F481" s="598" t="s">
        <v>3309</v>
      </c>
      <c r="G481" s="598" t="s">
        <v>3309</v>
      </c>
      <c r="H481" s="598" t="s">
        <v>3309</v>
      </c>
      <c r="I481" s="598" t="s">
        <v>3313</v>
      </c>
      <c r="J481" s="598" t="s">
        <v>3313</v>
      </c>
      <c r="K481" s="598" t="s">
        <v>321</v>
      </c>
      <c r="L481" s="598" t="s">
        <v>321</v>
      </c>
      <c r="M481" s="598" t="s">
        <v>3309</v>
      </c>
      <c r="N481" s="598" t="s">
        <v>3309</v>
      </c>
      <c r="O481" s="598" t="s">
        <v>3309</v>
      </c>
      <c r="P481" s="598" t="s">
        <v>3309</v>
      </c>
      <c r="Q481" s="598" t="s">
        <v>3309</v>
      </c>
      <c r="R481" s="598" t="s">
        <v>321</v>
      </c>
      <c r="S481" s="598" t="s">
        <v>321</v>
      </c>
      <c r="T481" s="598" t="s">
        <v>3309</v>
      </c>
      <c r="U481" s="598" t="s">
        <v>3309</v>
      </c>
      <c r="V481" s="598" t="s">
        <v>3309</v>
      </c>
      <c r="W481" s="598" t="s">
        <v>3309</v>
      </c>
      <c r="X481" s="598" t="s">
        <v>3309</v>
      </c>
      <c r="Y481" s="598" t="s">
        <v>321</v>
      </c>
      <c r="Z481" s="598" t="s">
        <v>321</v>
      </c>
      <c r="AA481" s="598" t="s">
        <v>3309</v>
      </c>
      <c r="AB481" s="598" t="s">
        <v>3309</v>
      </c>
      <c r="AC481" s="598" t="s">
        <v>3309</v>
      </c>
      <c r="AD481" s="598" t="s">
        <v>3309</v>
      </c>
      <c r="AE481" s="598" t="s">
        <v>3309</v>
      </c>
      <c r="AF481" s="598" t="s">
        <v>321</v>
      </c>
      <c r="AG481" s="598" t="s">
        <v>321</v>
      </c>
      <c r="AH481" s="598" t="s">
        <v>3309</v>
      </c>
      <c r="AI481" s="598" t="s">
        <v>321</v>
      </c>
      <c r="AJ481" s="599">
        <v>21</v>
      </c>
      <c r="AK481" s="600">
        <v>21</v>
      </c>
      <c r="AL481" s="601">
        <v>0</v>
      </c>
      <c r="AM481" s="601">
        <v>0</v>
      </c>
      <c r="AN481" s="599">
        <v>21</v>
      </c>
    </row>
    <row r="482" spans="1:40" ht="16.5" customHeight="1">
      <c r="A482" s="598" t="s">
        <v>3307</v>
      </c>
      <c r="B482" s="598" t="s">
        <v>3332</v>
      </c>
      <c r="C482" s="598" t="s">
        <v>659</v>
      </c>
      <c r="D482" s="598" t="s">
        <v>660</v>
      </c>
      <c r="E482" s="598" t="s">
        <v>321</v>
      </c>
      <c r="F482" s="598" t="s">
        <v>3309</v>
      </c>
      <c r="G482" s="598" t="s">
        <v>3309</v>
      </c>
      <c r="H482" s="598" t="s">
        <v>3309</v>
      </c>
      <c r="I482" s="598" t="s">
        <v>3313</v>
      </c>
      <c r="J482" s="598" t="s">
        <v>3313</v>
      </c>
      <c r="K482" s="598" t="s">
        <v>321</v>
      </c>
      <c r="L482" s="598" t="s">
        <v>321</v>
      </c>
      <c r="M482" s="598" t="s">
        <v>3309</v>
      </c>
      <c r="N482" s="598" t="s">
        <v>3309</v>
      </c>
      <c r="O482" s="598" t="s">
        <v>3309</v>
      </c>
      <c r="P482" s="598" t="s">
        <v>3309</v>
      </c>
      <c r="Q482" s="598" t="s">
        <v>3309</v>
      </c>
      <c r="R482" s="598" t="s">
        <v>321</v>
      </c>
      <c r="S482" s="598" t="s">
        <v>321</v>
      </c>
      <c r="T482" s="598" t="s">
        <v>3309</v>
      </c>
      <c r="U482" s="598" t="s">
        <v>3309</v>
      </c>
      <c r="V482" s="598" t="s">
        <v>3309</v>
      </c>
      <c r="W482" s="598" t="s">
        <v>3309</v>
      </c>
      <c r="X482" s="598" t="s">
        <v>3309</v>
      </c>
      <c r="Y482" s="598" t="s">
        <v>321</v>
      </c>
      <c r="Z482" s="598" t="s">
        <v>321</v>
      </c>
      <c r="AA482" s="598" t="s">
        <v>3309</v>
      </c>
      <c r="AB482" s="598" t="s">
        <v>3309</v>
      </c>
      <c r="AC482" s="598" t="s">
        <v>3309</v>
      </c>
      <c r="AD482" s="598" t="s">
        <v>3309</v>
      </c>
      <c r="AE482" s="598" t="s">
        <v>3309</v>
      </c>
      <c r="AF482" s="598" t="s">
        <v>321</v>
      </c>
      <c r="AG482" s="598" t="s">
        <v>321</v>
      </c>
      <c r="AH482" s="598" t="s">
        <v>3309</v>
      </c>
      <c r="AI482" s="598" t="s">
        <v>321</v>
      </c>
      <c r="AJ482" s="599">
        <v>21</v>
      </c>
      <c r="AK482" s="600">
        <v>21</v>
      </c>
      <c r="AL482" s="601">
        <v>0</v>
      </c>
      <c r="AM482" s="601">
        <v>0</v>
      </c>
      <c r="AN482" s="599">
        <v>21</v>
      </c>
    </row>
    <row r="483" spans="1:40" ht="16.5" customHeight="1">
      <c r="A483" s="598" t="s">
        <v>3307</v>
      </c>
      <c r="B483" s="598" t="s">
        <v>3332</v>
      </c>
      <c r="C483" s="598" t="s">
        <v>1622</v>
      </c>
      <c r="D483" s="598" t="s">
        <v>1623</v>
      </c>
      <c r="E483" s="598" t="s">
        <v>321</v>
      </c>
      <c r="F483" s="598" t="s">
        <v>3309</v>
      </c>
      <c r="G483" s="598" t="s">
        <v>3309</v>
      </c>
      <c r="H483" s="598" t="s">
        <v>3309</v>
      </c>
      <c r="I483" s="598" t="s">
        <v>3309</v>
      </c>
      <c r="J483" s="598" t="s">
        <v>3309</v>
      </c>
      <c r="K483" s="598" t="s">
        <v>321</v>
      </c>
      <c r="L483" s="598" t="s">
        <v>321</v>
      </c>
      <c r="M483" s="598" t="s">
        <v>3309</v>
      </c>
      <c r="N483" s="598" t="s">
        <v>3309</v>
      </c>
      <c r="O483" s="598" t="s">
        <v>3309</v>
      </c>
      <c r="P483" s="598" t="s">
        <v>3309</v>
      </c>
      <c r="Q483" s="598" t="s">
        <v>3309</v>
      </c>
      <c r="R483" s="598" t="s">
        <v>321</v>
      </c>
      <c r="S483" s="598" t="s">
        <v>321</v>
      </c>
      <c r="T483" s="598" t="s">
        <v>3309</v>
      </c>
      <c r="U483" s="598" t="s">
        <v>3309</v>
      </c>
      <c r="V483" s="598" t="s">
        <v>3309</v>
      </c>
      <c r="W483" s="598" t="s">
        <v>3309</v>
      </c>
      <c r="X483" s="598" t="s">
        <v>3309</v>
      </c>
      <c r="Y483" s="598" t="s">
        <v>321</v>
      </c>
      <c r="Z483" s="598" t="s">
        <v>321</v>
      </c>
      <c r="AA483" s="598" t="s">
        <v>3309</v>
      </c>
      <c r="AB483" s="598" t="s">
        <v>3309</v>
      </c>
      <c r="AC483" s="598" t="s">
        <v>3309</v>
      </c>
      <c r="AD483" s="598" t="s">
        <v>3312</v>
      </c>
      <c r="AE483" s="598" t="s">
        <v>3312</v>
      </c>
      <c r="AF483" s="598" t="s">
        <v>321</v>
      </c>
      <c r="AG483" s="598" t="s">
        <v>321</v>
      </c>
      <c r="AH483" s="598" t="s">
        <v>3309</v>
      </c>
      <c r="AI483" s="598" t="s">
        <v>321</v>
      </c>
      <c r="AJ483" s="599">
        <v>21</v>
      </c>
      <c r="AK483" s="600">
        <v>19</v>
      </c>
      <c r="AL483" s="602">
        <v>2</v>
      </c>
      <c r="AM483" s="601">
        <v>0</v>
      </c>
      <c r="AN483" s="599">
        <v>21</v>
      </c>
    </row>
    <row r="484" spans="1:40" ht="16.5" customHeight="1">
      <c r="A484" s="598" t="s">
        <v>3307</v>
      </c>
      <c r="B484" s="598" t="s">
        <v>3332</v>
      </c>
      <c r="C484" s="598" t="s">
        <v>971</v>
      </c>
      <c r="D484" s="598" t="s">
        <v>972</v>
      </c>
      <c r="E484" s="598" t="s">
        <v>321</v>
      </c>
      <c r="F484" s="598" t="s">
        <v>3309</v>
      </c>
      <c r="G484" s="598" t="s">
        <v>3309</v>
      </c>
      <c r="H484" s="598" t="s">
        <v>3309</v>
      </c>
      <c r="I484" s="598" t="s">
        <v>3309</v>
      </c>
      <c r="J484" s="598" t="s">
        <v>3309</v>
      </c>
      <c r="K484" s="598" t="s">
        <v>321</v>
      </c>
      <c r="L484" s="598" t="s">
        <v>321</v>
      </c>
      <c r="M484" s="598" t="s">
        <v>3309</v>
      </c>
      <c r="N484" s="598" t="s">
        <v>3309</v>
      </c>
      <c r="O484" s="598" t="s">
        <v>3309</v>
      </c>
      <c r="P484" s="598" t="s">
        <v>3309</v>
      </c>
      <c r="Q484" s="598" t="s">
        <v>3309</v>
      </c>
      <c r="R484" s="598" t="s">
        <v>321</v>
      </c>
      <c r="S484" s="598" t="s">
        <v>321</v>
      </c>
      <c r="T484" s="598" t="s">
        <v>3309</v>
      </c>
      <c r="U484" s="598" t="s">
        <v>3309</v>
      </c>
      <c r="V484" s="598" t="s">
        <v>3309</v>
      </c>
      <c r="W484" s="598" t="s">
        <v>3309</v>
      </c>
      <c r="X484" s="598" t="s">
        <v>3309</v>
      </c>
      <c r="Y484" s="598" t="s">
        <v>321</v>
      </c>
      <c r="Z484" s="598" t="s">
        <v>321</v>
      </c>
      <c r="AA484" s="598" t="s">
        <v>3309</v>
      </c>
      <c r="AB484" s="598" t="s">
        <v>3309</v>
      </c>
      <c r="AC484" s="598" t="s">
        <v>3309</v>
      </c>
      <c r="AD484" s="598" t="s">
        <v>3309</v>
      </c>
      <c r="AE484" s="598" t="s">
        <v>3309</v>
      </c>
      <c r="AF484" s="598" t="s">
        <v>321</v>
      </c>
      <c r="AG484" s="598" t="s">
        <v>321</v>
      </c>
      <c r="AH484" s="598" t="s">
        <v>3309</v>
      </c>
      <c r="AI484" s="598" t="s">
        <v>321</v>
      </c>
      <c r="AJ484" s="599">
        <v>21</v>
      </c>
      <c r="AK484" s="600">
        <v>21</v>
      </c>
      <c r="AL484" s="601">
        <v>0</v>
      </c>
      <c r="AM484" s="601">
        <v>0</v>
      </c>
      <c r="AN484" s="599">
        <v>21</v>
      </c>
    </row>
    <row r="485" spans="1:40" ht="16.5" customHeight="1">
      <c r="A485" s="598" t="s">
        <v>3307</v>
      </c>
      <c r="B485" s="598" t="s">
        <v>3332</v>
      </c>
      <c r="C485" s="598" t="s">
        <v>1431</v>
      </c>
      <c r="D485" s="598" t="s">
        <v>1432</v>
      </c>
      <c r="E485" s="598" t="s">
        <v>321</v>
      </c>
      <c r="F485" s="598" t="s">
        <v>3309</v>
      </c>
      <c r="G485" s="598" t="s">
        <v>3309</v>
      </c>
      <c r="H485" s="598" t="s">
        <v>3309</v>
      </c>
      <c r="I485" s="598" t="s">
        <v>3309</v>
      </c>
      <c r="J485" s="598" t="s">
        <v>3309</v>
      </c>
      <c r="K485" s="598" t="s">
        <v>321</v>
      </c>
      <c r="L485" s="598" t="s">
        <v>321</v>
      </c>
      <c r="M485" s="598" t="s">
        <v>3309</v>
      </c>
      <c r="N485" s="598" t="s">
        <v>3309</v>
      </c>
      <c r="O485" s="598" t="s">
        <v>3309</v>
      </c>
      <c r="P485" s="598" t="s">
        <v>3309</v>
      </c>
      <c r="Q485" s="598" t="s">
        <v>3309</v>
      </c>
      <c r="R485" s="598" t="s">
        <v>321</v>
      </c>
      <c r="S485" s="598" t="s">
        <v>321</v>
      </c>
      <c r="T485" s="598" t="s">
        <v>3309</v>
      </c>
      <c r="U485" s="598" t="s">
        <v>3309</v>
      </c>
      <c r="V485" s="598" t="s">
        <v>3309</v>
      </c>
      <c r="W485" s="598" t="s">
        <v>3309</v>
      </c>
      <c r="X485" s="598" t="s">
        <v>3309</v>
      </c>
      <c r="Y485" s="598" t="s">
        <v>321</v>
      </c>
      <c r="Z485" s="598" t="s">
        <v>321</v>
      </c>
      <c r="AA485" s="598" t="s">
        <v>3309</v>
      </c>
      <c r="AB485" s="598" t="s">
        <v>3309</v>
      </c>
      <c r="AC485" s="598" t="s">
        <v>3309</v>
      </c>
      <c r="AD485" s="598" t="s">
        <v>3309</v>
      </c>
      <c r="AE485" s="598" t="s">
        <v>3309</v>
      </c>
      <c r="AF485" s="598" t="s">
        <v>321</v>
      </c>
      <c r="AG485" s="598" t="s">
        <v>321</v>
      </c>
      <c r="AH485" s="598" t="s">
        <v>3312</v>
      </c>
      <c r="AI485" s="598" t="s">
        <v>321</v>
      </c>
      <c r="AJ485" s="599">
        <v>21</v>
      </c>
      <c r="AK485" s="600">
        <v>20</v>
      </c>
      <c r="AL485" s="602">
        <v>1</v>
      </c>
      <c r="AM485" s="601">
        <v>0</v>
      </c>
      <c r="AN485" s="599">
        <v>21</v>
      </c>
    </row>
    <row r="486" spans="1:40" ht="16.5" customHeight="1">
      <c r="A486" s="598" t="s">
        <v>3307</v>
      </c>
      <c r="B486" s="598" t="s">
        <v>3332</v>
      </c>
      <c r="C486" s="598" t="s">
        <v>717</v>
      </c>
      <c r="D486" s="598" t="s">
        <v>718</v>
      </c>
      <c r="E486" s="598" t="s">
        <v>321</v>
      </c>
      <c r="F486" s="598" t="s">
        <v>3309</v>
      </c>
      <c r="G486" s="598" t="s">
        <v>3309</v>
      </c>
      <c r="H486" s="598" t="s">
        <v>3309</v>
      </c>
      <c r="I486" s="598" t="s">
        <v>3309</v>
      </c>
      <c r="J486" s="598" t="s">
        <v>3309</v>
      </c>
      <c r="K486" s="598" t="s">
        <v>321</v>
      </c>
      <c r="L486" s="598" t="s">
        <v>321</v>
      </c>
      <c r="M486" s="598" t="s">
        <v>3309</v>
      </c>
      <c r="N486" s="598" t="s">
        <v>3309</v>
      </c>
      <c r="O486" s="598" t="s">
        <v>3309</v>
      </c>
      <c r="P486" s="598" t="s">
        <v>3309</v>
      </c>
      <c r="Q486" s="598" t="s">
        <v>3309</v>
      </c>
      <c r="R486" s="598" t="s">
        <v>321</v>
      </c>
      <c r="S486" s="598" t="s">
        <v>321</v>
      </c>
      <c r="T486" s="598" t="s">
        <v>3309</v>
      </c>
      <c r="U486" s="598" t="s">
        <v>3309</v>
      </c>
      <c r="V486" s="598" t="s">
        <v>3309</v>
      </c>
      <c r="W486" s="598" t="s">
        <v>3309</v>
      </c>
      <c r="X486" s="598" t="s">
        <v>3309</v>
      </c>
      <c r="Y486" s="598" t="s">
        <v>321</v>
      </c>
      <c r="Z486" s="598" t="s">
        <v>321</v>
      </c>
      <c r="AA486" s="598" t="s">
        <v>3309</v>
      </c>
      <c r="AB486" s="598" t="s">
        <v>3309</v>
      </c>
      <c r="AC486" s="598" t="s">
        <v>3309</v>
      </c>
      <c r="AD486" s="598" t="s">
        <v>3309</v>
      </c>
      <c r="AE486" s="598" t="s">
        <v>3309</v>
      </c>
      <c r="AF486" s="598" t="s">
        <v>321</v>
      </c>
      <c r="AG486" s="598" t="s">
        <v>321</v>
      </c>
      <c r="AH486" s="598" t="s">
        <v>3309</v>
      </c>
      <c r="AI486" s="598" t="s">
        <v>321</v>
      </c>
      <c r="AJ486" s="599">
        <v>21</v>
      </c>
      <c r="AK486" s="600">
        <v>21</v>
      </c>
      <c r="AL486" s="601">
        <v>0</v>
      </c>
      <c r="AM486" s="601">
        <v>0</v>
      </c>
      <c r="AN486" s="599">
        <v>21</v>
      </c>
    </row>
    <row r="487" spans="1:40" ht="16.5" customHeight="1">
      <c r="A487" s="598" t="s">
        <v>3307</v>
      </c>
      <c r="B487" s="598" t="s">
        <v>3332</v>
      </c>
      <c r="C487" s="598" t="s">
        <v>2972</v>
      </c>
      <c r="D487" s="598" t="s">
        <v>2973</v>
      </c>
      <c r="E487" s="598" t="s">
        <v>321</v>
      </c>
      <c r="F487" s="598" t="s">
        <v>3309</v>
      </c>
      <c r="G487" s="598" t="s">
        <v>3309</v>
      </c>
      <c r="H487" s="598" t="s">
        <v>3309</v>
      </c>
      <c r="I487" s="598" t="s">
        <v>3309</v>
      </c>
      <c r="J487" s="598" t="s">
        <v>3309</v>
      </c>
      <c r="K487" s="598" t="s">
        <v>321</v>
      </c>
      <c r="L487" s="598" t="s">
        <v>321</v>
      </c>
      <c r="M487" s="598" t="s">
        <v>3309</v>
      </c>
      <c r="N487" s="598" t="s">
        <v>3309</v>
      </c>
      <c r="O487" s="598" t="s">
        <v>3309</v>
      </c>
      <c r="P487" s="598" t="s">
        <v>3309</v>
      </c>
      <c r="Q487" s="598" t="s">
        <v>3309</v>
      </c>
      <c r="R487" s="598" t="s">
        <v>321</v>
      </c>
      <c r="S487" s="598" t="s">
        <v>321</v>
      </c>
      <c r="T487" s="598" t="s">
        <v>3309</v>
      </c>
      <c r="U487" s="598" t="s">
        <v>3309</v>
      </c>
      <c r="V487" s="598" t="s">
        <v>3309</v>
      </c>
      <c r="W487" s="598" t="s">
        <v>3309</v>
      </c>
      <c r="X487" s="598" t="s">
        <v>3309</v>
      </c>
      <c r="Y487" s="598" t="s">
        <v>321</v>
      </c>
      <c r="Z487" s="598" t="s">
        <v>321</v>
      </c>
      <c r="AA487" s="598" t="s">
        <v>3309</v>
      </c>
      <c r="AB487" s="598" t="s">
        <v>3309</v>
      </c>
      <c r="AC487" s="598" t="s">
        <v>3309</v>
      </c>
      <c r="AD487" s="598" t="s">
        <v>3309</v>
      </c>
      <c r="AE487" s="598" t="s">
        <v>3309</v>
      </c>
      <c r="AF487" s="598" t="s">
        <v>321</v>
      </c>
      <c r="AG487" s="598" t="s">
        <v>321</v>
      </c>
      <c r="AH487" s="598" t="s">
        <v>3309</v>
      </c>
      <c r="AI487" s="598" t="s">
        <v>321</v>
      </c>
      <c r="AJ487" s="599">
        <v>21</v>
      </c>
      <c r="AK487" s="600">
        <v>21</v>
      </c>
      <c r="AL487" s="601">
        <v>0</v>
      </c>
      <c r="AM487" s="601">
        <v>0</v>
      </c>
      <c r="AN487" s="599">
        <v>21</v>
      </c>
    </row>
    <row r="488" spans="1:40" ht="16.5" customHeight="1">
      <c r="A488" s="598" t="s">
        <v>3307</v>
      </c>
      <c r="B488" s="598" t="s">
        <v>3332</v>
      </c>
      <c r="C488" s="598" t="s">
        <v>1695</v>
      </c>
      <c r="D488" s="598" t="s">
        <v>1696</v>
      </c>
      <c r="E488" s="598" t="s">
        <v>321</v>
      </c>
      <c r="F488" s="598" t="s">
        <v>3309</v>
      </c>
      <c r="G488" s="598" t="s">
        <v>3309</v>
      </c>
      <c r="H488" s="598" t="s">
        <v>3309</v>
      </c>
      <c r="I488" s="598" t="s">
        <v>3309</v>
      </c>
      <c r="J488" s="598" t="s">
        <v>3309</v>
      </c>
      <c r="K488" s="598" t="s">
        <v>321</v>
      </c>
      <c r="L488" s="598" t="s">
        <v>321</v>
      </c>
      <c r="M488" s="598" t="s">
        <v>3309</v>
      </c>
      <c r="N488" s="598" t="s">
        <v>3309</v>
      </c>
      <c r="O488" s="598" t="s">
        <v>3309</v>
      </c>
      <c r="P488" s="598" t="s">
        <v>3309</v>
      </c>
      <c r="Q488" s="598" t="s">
        <v>3309</v>
      </c>
      <c r="R488" s="598" t="s">
        <v>321</v>
      </c>
      <c r="S488" s="598" t="s">
        <v>321</v>
      </c>
      <c r="T488" s="598" t="s">
        <v>3309</v>
      </c>
      <c r="U488" s="598" t="s">
        <v>3309</v>
      </c>
      <c r="V488" s="598" t="s">
        <v>3309</v>
      </c>
      <c r="W488" s="598" t="s">
        <v>3309</v>
      </c>
      <c r="X488" s="598" t="s">
        <v>3309</v>
      </c>
      <c r="Y488" s="598" t="s">
        <v>321</v>
      </c>
      <c r="Z488" s="598" t="s">
        <v>321</v>
      </c>
      <c r="AA488" s="598" t="s">
        <v>3309</v>
      </c>
      <c r="AB488" s="598" t="s">
        <v>3309</v>
      </c>
      <c r="AC488" s="598" t="s">
        <v>3309</v>
      </c>
      <c r="AD488" s="598" t="s">
        <v>3309</v>
      </c>
      <c r="AE488" s="598" t="s">
        <v>3309</v>
      </c>
      <c r="AF488" s="598" t="s">
        <v>321</v>
      </c>
      <c r="AG488" s="598" t="s">
        <v>321</v>
      </c>
      <c r="AH488" s="598" t="s">
        <v>3309</v>
      </c>
      <c r="AI488" s="598" t="s">
        <v>321</v>
      </c>
      <c r="AJ488" s="599">
        <v>21</v>
      </c>
      <c r="AK488" s="600">
        <v>21</v>
      </c>
      <c r="AL488" s="601">
        <v>0</v>
      </c>
      <c r="AM488" s="601">
        <v>0</v>
      </c>
      <c r="AN488" s="599">
        <v>21</v>
      </c>
    </row>
    <row r="489" spans="1:40" ht="16.5" customHeight="1">
      <c r="A489" s="598" t="s">
        <v>3307</v>
      </c>
      <c r="B489" s="598" t="s">
        <v>3332</v>
      </c>
      <c r="C489" s="598" t="s">
        <v>2982</v>
      </c>
      <c r="D489" s="598" t="s">
        <v>2983</v>
      </c>
      <c r="E489" s="598" t="s">
        <v>321</v>
      </c>
      <c r="F489" s="598" t="s">
        <v>3309</v>
      </c>
      <c r="G489" s="598" t="s">
        <v>3309</v>
      </c>
      <c r="H489" s="598" t="s">
        <v>3309</v>
      </c>
      <c r="I489" s="598" t="s">
        <v>3309</v>
      </c>
      <c r="J489" s="598" t="s">
        <v>3309</v>
      </c>
      <c r="K489" s="598" t="s">
        <v>321</v>
      </c>
      <c r="L489" s="598" t="s">
        <v>321</v>
      </c>
      <c r="M489" s="598" t="s">
        <v>3309</v>
      </c>
      <c r="N489" s="598" t="s">
        <v>3309</v>
      </c>
      <c r="O489" s="598" t="s">
        <v>3309</v>
      </c>
      <c r="P489" s="598" t="s">
        <v>3309</v>
      </c>
      <c r="Q489" s="598" t="s">
        <v>3309</v>
      </c>
      <c r="R489" s="598" t="s">
        <v>321</v>
      </c>
      <c r="S489" s="598" t="s">
        <v>321</v>
      </c>
      <c r="T489" s="598" t="s">
        <v>3309</v>
      </c>
      <c r="U489" s="598" t="s">
        <v>3309</v>
      </c>
      <c r="V489" s="598" t="s">
        <v>3309</v>
      </c>
      <c r="W489" s="598" t="s">
        <v>3309</v>
      </c>
      <c r="X489" s="598" t="s">
        <v>3309</v>
      </c>
      <c r="Y489" s="598" t="s">
        <v>321</v>
      </c>
      <c r="Z489" s="598" t="s">
        <v>321</v>
      </c>
      <c r="AA489" s="598" t="s">
        <v>3309</v>
      </c>
      <c r="AB489" s="598" t="s">
        <v>3309</v>
      </c>
      <c r="AC489" s="598" t="s">
        <v>3309</v>
      </c>
      <c r="AD489" s="598" t="s">
        <v>3309</v>
      </c>
      <c r="AE489" s="598" t="s">
        <v>3309</v>
      </c>
      <c r="AF489" s="598" t="s">
        <v>321</v>
      </c>
      <c r="AG489" s="598" t="s">
        <v>321</v>
      </c>
      <c r="AH489" s="598" t="s">
        <v>3309</v>
      </c>
      <c r="AI489" s="598" t="s">
        <v>321</v>
      </c>
      <c r="AJ489" s="599">
        <v>21</v>
      </c>
      <c r="AK489" s="600">
        <v>21</v>
      </c>
      <c r="AL489" s="601">
        <v>0</v>
      </c>
      <c r="AM489" s="601">
        <v>0</v>
      </c>
      <c r="AN489" s="599">
        <v>21</v>
      </c>
    </row>
    <row r="490" spans="1:40" ht="16.5" customHeight="1">
      <c r="A490" s="598" t="s">
        <v>3307</v>
      </c>
      <c r="B490" s="598" t="s">
        <v>3332</v>
      </c>
      <c r="C490" s="598" t="s">
        <v>2968</v>
      </c>
      <c r="D490" s="598" t="s">
        <v>2969</v>
      </c>
      <c r="E490" s="598" t="s">
        <v>321</v>
      </c>
      <c r="F490" s="598" t="s">
        <v>3309</v>
      </c>
      <c r="G490" s="598" t="s">
        <v>3309</v>
      </c>
      <c r="H490" s="598" t="s">
        <v>3309</v>
      </c>
      <c r="I490" s="598" t="s">
        <v>3309</v>
      </c>
      <c r="J490" s="598" t="s">
        <v>3309</v>
      </c>
      <c r="K490" s="598" t="s">
        <v>321</v>
      </c>
      <c r="L490" s="598" t="s">
        <v>321</v>
      </c>
      <c r="M490" s="598" t="s">
        <v>3309</v>
      </c>
      <c r="N490" s="598" t="s">
        <v>3309</v>
      </c>
      <c r="O490" s="598" t="s">
        <v>3309</v>
      </c>
      <c r="P490" s="598" t="s">
        <v>3309</v>
      </c>
      <c r="Q490" s="598" t="s">
        <v>3309</v>
      </c>
      <c r="R490" s="598" t="s">
        <v>321</v>
      </c>
      <c r="S490" s="598" t="s">
        <v>321</v>
      </c>
      <c r="T490" s="598" t="s">
        <v>3309</v>
      </c>
      <c r="U490" s="598" t="s">
        <v>3309</v>
      </c>
      <c r="V490" s="598" t="s">
        <v>3309</v>
      </c>
      <c r="W490" s="598" t="s">
        <v>3309</v>
      </c>
      <c r="X490" s="598" t="s">
        <v>3309</v>
      </c>
      <c r="Y490" s="598" t="s">
        <v>321</v>
      </c>
      <c r="Z490" s="598" t="s">
        <v>321</v>
      </c>
      <c r="AA490" s="598" t="s">
        <v>3309</v>
      </c>
      <c r="AB490" s="598" t="s">
        <v>3309</v>
      </c>
      <c r="AC490" s="598" t="s">
        <v>3309</v>
      </c>
      <c r="AD490" s="598" t="s">
        <v>3309</v>
      </c>
      <c r="AE490" s="598" t="s">
        <v>3309</v>
      </c>
      <c r="AF490" s="598" t="s">
        <v>321</v>
      </c>
      <c r="AG490" s="598" t="s">
        <v>321</v>
      </c>
      <c r="AH490" s="598" t="s">
        <v>3309</v>
      </c>
      <c r="AI490" s="598" t="s">
        <v>321</v>
      </c>
      <c r="AJ490" s="599">
        <v>21</v>
      </c>
      <c r="AK490" s="600">
        <v>21</v>
      </c>
      <c r="AL490" s="601">
        <v>0</v>
      </c>
      <c r="AM490" s="601">
        <v>0</v>
      </c>
      <c r="AN490" s="599">
        <v>21</v>
      </c>
    </row>
    <row r="491" spans="1:40" ht="16.5" customHeight="1">
      <c r="A491" s="598" t="s">
        <v>3307</v>
      </c>
      <c r="B491" s="598" t="s">
        <v>3332</v>
      </c>
      <c r="C491" s="598" t="s">
        <v>685</v>
      </c>
      <c r="D491" s="598" t="s">
        <v>686</v>
      </c>
      <c r="E491" s="598" t="s">
        <v>321</v>
      </c>
      <c r="F491" s="598" t="s">
        <v>3309</v>
      </c>
      <c r="G491" s="598" t="s">
        <v>3309</v>
      </c>
      <c r="H491" s="598" t="s">
        <v>3309</v>
      </c>
      <c r="I491" s="598" t="s">
        <v>3309</v>
      </c>
      <c r="J491" s="598" t="s">
        <v>3309</v>
      </c>
      <c r="K491" s="598" t="s">
        <v>321</v>
      </c>
      <c r="L491" s="598" t="s">
        <v>321</v>
      </c>
      <c r="M491" s="598" t="s">
        <v>3309</v>
      </c>
      <c r="N491" s="598" t="s">
        <v>3309</v>
      </c>
      <c r="O491" s="598" t="s">
        <v>3309</v>
      </c>
      <c r="P491" s="598" t="s">
        <v>3309</v>
      </c>
      <c r="Q491" s="598" t="s">
        <v>3309</v>
      </c>
      <c r="R491" s="598" t="s">
        <v>321</v>
      </c>
      <c r="S491" s="598" t="s">
        <v>321</v>
      </c>
      <c r="T491" s="598" t="s">
        <v>3309</v>
      </c>
      <c r="U491" s="598" t="s">
        <v>3309</v>
      </c>
      <c r="V491" s="598" t="s">
        <v>3309</v>
      </c>
      <c r="W491" s="598" t="s">
        <v>3309</v>
      </c>
      <c r="X491" s="598" t="s">
        <v>3309</v>
      </c>
      <c r="Y491" s="598" t="s">
        <v>321</v>
      </c>
      <c r="Z491" s="598" t="s">
        <v>321</v>
      </c>
      <c r="AA491" s="598" t="s">
        <v>3309</v>
      </c>
      <c r="AB491" s="598" t="s">
        <v>3309</v>
      </c>
      <c r="AC491" s="598" t="s">
        <v>3309</v>
      </c>
      <c r="AD491" s="598" t="s">
        <v>3309</v>
      </c>
      <c r="AE491" s="598" t="s">
        <v>3312</v>
      </c>
      <c r="AF491" s="598" t="s">
        <v>321</v>
      </c>
      <c r="AG491" s="598" t="s">
        <v>321</v>
      </c>
      <c r="AH491" s="598" t="s">
        <v>3309</v>
      </c>
      <c r="AI491" s="598" t="s">
        <v>321</v>
      </c>
      <c r="AJ491" s="599">
        <v>21</v>
      </c>
      <c r="AK491" s="600">
        <v>20</v>
      </c>
      <c r="AL491" s="602">
        <v>1</v>
      </c>
      <c r="AM491" s="601">
        <v>0</v>
      </c>
      <c r="AN491" s="599">
        <v>21</v>
      </c>
    </row>
    <row r="492" spans="1:40" ht="16.5" customHeight="1">
      <c r="A492" s="598" t="s">
        <v>3307</v>
      </c>
      <c r="B492" s="598" t="s">
        <v>3333</v>
      </c>
      <c r="C492" s="598" t="s">
        <v>1269</v>
      </c>
      <c r="D492" s="598" t="s">
        <v>1270</v>
      </c>
      <c r="E492" s="598" t="s">
        <v>321</v>
      </c>
      <c r="F492" s="598" t="s">
        <v>3309</v>
      </c>
      <c r="G492" s="598" t="s">
        <v>3309</v>
      </c>
      <c r="H492" s="598" t="s">
        <v>3309</v>
      </c>
      <c r="I492" s="598" t="s">
        <v>3313</v>
      </c>
      <c r="J492" s="598" t="s">
        <v>3313</v>
      </c>
      <c r="K492" s="598" t="s">
        <v>321</v>
      </c>
      <c r="L492" s="598" t="s">
        <v>321</v>
      </c>
      <c r="M492" s="598" t="s">
        <v>3309</v>
      </c>
      <c r="N492" s="598" t="s">
        <v>3309</v>
      </c>
      <c r="O492" s="598" t="s">
        <v>3309</v>
      </c>
      <c r="P492" s="598" t="s">
        <v>3309</v>
      </c>
      <c r="Q492" s="598" t="s">
        <v>3309</v>
      </c>
      <c r="R492" s="598" t="s">
        <v>321</v>
      </c>
      <c r="S492" s="598" t="s">
        <v>321</v>
      </c>
      <c r="T492" s="598" t="s">
        <v>3309</v>
      </c>
      <c r="U492" s="598" t="s">
        <v>3309</v>
      </c>
      <c r="V492" s="598" t="s">
        <v>3309</v>
      </c>
      <c r="W492" s="598" t="s">
        <v>3309</v>
      </c>
      <c r="X492" s="598" t="s">
        <v>3309</v>
      </c>
      <c r="Y492" s="598" t="s">
        <v>321</v>
      </c>
      <c r="Z492" s="598" t="s">
        <v>321</v>
      </c>
      <c r="AA492" s="598" t="s">
        <v>3309</v>
      </c>
      <c r="AB492" s="598" t="s">
        <v>3309</v>
      </c>
      <c r="AC492" s="598" t="s">
        <v>3312</v>
      </c>
      <c r="AD492" s="598" t="s">
        <v>3312</v>
      </c>
      <c r="AE492" s="598" t="s">
        <v>3312</v>
      </c>
      <c r="AF492" s="598" t="s">
        <v>321</v>
      </c>
      <c r="AG492" s="598" t="s">
        <v>321</v>
      </c>
      <c r="AH492" s="598" t="s">
        <v>3309</v>
      </c>
      <c r="AI492" s="598" t="s">
        <v>321</v>
      </c>
      <c r="AJ492" s="599">
        <v>21</v>
      </c>
      <c r="AK492" s="600">
        <v>18</v>
      </c>
      <c r="AL492" s="602">
        <v>3</v>
      </c>
      <c r="AM492" s="601">
        <v>0</v>
      </c>
      <c r="AN492" s="599">
        <v>21</v>
      </c>
    </row>
    <row r="493" spans="1:40" ht="16.5" customHeight="1">
      <c r="A493" s="598" t="s">
        <v>3307</v>
      </c>
      <c r="B493" s="598" t="s">
        <v>3333</v>
      </c>
      <c r="C493" s="598" t="s">
        <v>1502</v>
      </c>
      <c r="D493" s="598" t="s">
        <v>1503</v>
      </c>
      <c r="E493" s="598" t="s">
        <v>321</v>
      </c>
      <c r="F493" s="598" t="s">
        <v>3309</v>
      </c>
      <c r="G493" s="598" t="s">
        <v>3309</v>
      </c>
      <c r="H493" s="598" t="s">
        <v>3309</v>
      </c>
      <c r="I493" s="598" t="s">
        <v>3313</v>
      </c>
      <c r="J493" s="598" t="s">
        <v>3313</v>
      </c>
      <c r="K493" s="598" t="s">
        <v>321</v>
      </c>
      <c r="L493" s="598" t="s">
        <v>321</v>
      </c>
      <c r="M493" s="598" t="s">
        <v>3309</v>
      </c>
      <c r="N493" s="598" t="s">
        <v>3309</v>
      </c>
      <c r="O493" s="598" t="s">
        <v>3309</v>
      </c>
      <c r="P493" s="598" t="s">
        <v>3309</v>
      </c>
      <c r="Q493" s="598" t="s">
        <v>3309</v>
      </c>
      <c r="R493" s="598" t="s">
        <v>321</v>
      </c>
      <c r="S493" s="598" t="s">
        <v>321</v>
      </c>
      <c r="T493" s="598" t="s">
        <v>3309</v>
      </c>
      <c r="U493" s="598" t="s">
        <v>3309</v>
      </c>
      <c r="V493" s="598" t="s">
        <v>3309</v>
      </c>
      <c r="W493" s="598" t="s">
        <v>3309</v>
      </c>
      <c r="X493" s="598" t="s">
        <v>3309</v>
      </c>
      <c r="Y493" s="598" t="s">
        <v>321</v>
      </c>
      <c r="Z493" s="598" t="s">
        <v>321</v>
      </c>
      <c r="AA493" s="598" t="s">
        <v>3309</v>
      </c>
      <c r="AB493" s="598" t="s">
        <v>3309</v>
      </c>
      <c r="AC493" s="598" t="s">
        <v>3309</v>
      </c>
      <c r="AD493" s="598" t="s">
        <v>3309</v>
      </c>
      <c r="AE493" s="598" t="s">
        <v>3309</v>
      </c>
      <c r="AF493" s="598" t="s">
        <v>321</v>
      </c>
      <c r="AG493" s="598" t="s">
        <v>321</v>
      </c>
      <c r="AH493" s="598" t="s">
        <v>3309</v>
      </c>
      <c r="AI493" s="598" t="s">
        <v>321</v>
      </c>
      <c r="AJ493" s="599">
        <v>21</v>
      </c>
      <c r="AK493" s="600">
        <v>21</v>
      </c>
      <c r="AL493" s="601">
        <v>0</v>
      </c>
      <c r="AM493" s="601">
        <v>0</v>
      </c>
      <c r="AN493" s="599">
        <v>21</v>
      </c>
    </row>
    <row r="494" spans="1:40" ht="16.5" customHeight="1">
      <c r="A494" s="598" t="s">
        <v>3307</v>
      </c>
      <c r="B494" s="598" t="s">
        <v>3333</v>
      </c>
      <c r="C494" s="598" t="s">
        <v>1867</v>
      </c>
      <c r="D494" s="598" t="s">
        <v>1868</v>
      </c>
      <c r="E494" s="598" t="s">
        <v>321</v>
      </c>
      <c r="F494" s="598" t="s">
        <v>3309</v>
      </c>
      <c r="G494" s="598" t="s">
        <v>3309</v>
      </c>
      <c r="H494" s="598" t="s">
        <v>3309</v>
      </c>
      <c r="I494" s="598" t="s">
        <v>3313</v>
      </c>
      <c r="J494" s="598" t="s">
        <v>3313</v>
      </c>
      <c r="K494" s="598" t="s">
        <v>321</v>
      </c>
      <c r="L494" s="598" t="s">
        <v>321</v>
      </c>
      <c r="M494" s="598" t="s">
        <v>3309</v>
      </c>
      <c r="N494" s="598" t="s">
        <v>3309</v>
      </c>
      <c r="O494" s="598" t="s">
        <v>3309</v>
      </c>
      <c r="P494" s="598" t="s">
        <v>3309</v>
      </c>
      <c r="Q494" s="598" t="s">
        <v>3309</v>
      </c>
      <c r="R494" s="598" t="s">
        <v>321</v>
      </c>
      <c r="S494" s="598" t="s">
        <v>321</v>
      </c>
      <c r="T494" s="598" t="s">
        <v>3309</v>
      </c>
      <c r="U494" s="598" t="s">
        <v>3309</v>
      </c>
      <c r="V494" s="598" t="s">
        <v>3309</v>
      </c>
      <c r="W494" s="598" t="s">
        <v>3309</v>
      </c>
      <c r="X494" s="598" t="s">
        <v>3309</v>
      </c>
      <c r="Y494" s="598" t="s">
        <v>321</v>
      </c>
      <c r="Z494" s="598" t="s">
        <v>321</v>
      </c>
      <c r="AA494" s="598" t="s">
        <v>3309</v>
      </c>
      <c r="AB494" s="598" t="s">
        <v>3309</v>
      </c>
      <c r="AC494" s="598" t="s">
        <v>3309</v>
      </c>
      <c r="AD494" s="598" t="s">
        <v>3309</v>
      </c>
      <c r="AE494" s="598" t="s">
        <v>3309</v>
      </c>
      <c r="AF494" s="598" t="s">
        <v>321</v>
      </c>
      <c r="AG494" s="598" t="s">
        <v>321</v>
      </c>
      <c r="AH494" s="598" t="s">
        <v>3309</v>
      </c>
      <c r="AI494" s="598" t="s">
        <v>321</v>
      </c>
      <c r="AJ494" s="599">
        <v>21</v>
      </c>
      <c r="AK494" s="600">
        <v>21</v>
      </c>
      <c r="AL494" s="601">
        <v>0</v>
      </c>
      <c r="AM494" s="601">
        <v>0</v>
      </c>
      <c r="AN494" s="599">
        <v>21</v>
      </c>
    </row>
    <row r="495" spans="1:40" ht="16.5" customHeight="1">
      <c r="A495" s="598" t="s">
        <v>3307</v>
      </c>
      <c r="B495" s="598" t="s">
        <v>3333</v>
      </c>
      <c r="C495" s="598" t="s">
        <v>2218</v>
      </c>
      <c r="D495" s="598" t="s">
        <v>2219</v>
      </c>
      <c r="E495" s="598" t="s">
        <v>321</v>
      </c>
      <c r="F495" s="598" t="s">
        <v>3309</v>
      </c>
      <c r="G495" s="598" t="s">
        <v>3309</v>
      </c>
      <c r="H495" s="598" t="s">
        <v>3309</v>
      </c>
      <c r="I495" s="598" t="s">
        <v>3313</v>
      </c>
      <c r="J495" s="598" t="s">
        <v>3313</v>
      </c>
      <c r="K495" s="598" t="s">
        <v>321</v>
      </c>
      <c r="L495" s="598" t="s">
        <v>321</v>
      </c>
      <c r="M495" s="598" t="s">
        <v>3309</v>
      </c>
      <c r="N495" s="598" t="s">
        <v>3309</v>
      </c>
      <c r="O495" s="598" t="s">
        <v>3309</v>
      </c>
      <c r="P495" s="598" t="s">
        <v>3309</v>
      </c>
      <c r="Q495" s="598" t="s">
        <v>3309</v>
      </c>
      <c r="R495" s="598" t="s">
        <v>321</v>
      </c>
      <c r="S495" s="598" t="s">
        <v>321</v>
      </c>
      <c r="T495" s="598" t="s">
        <v>3309</v>
      </c>
      <c r="U495" s="598" t="s">
        <v>3309</v>
      </c>
      <c r="V495" s="598" t="s">
        <v>3309</v>
      </c>
      <c r="W495" s="598" t="s">
        <v>3309</v>
      </c>
      <c r="X495" s="598" t="s">
        <v>3309</v>
      </c>
      <c r="Y495" s="598" t="s">
        <v>321</v>
      </c>
      <c r="Z495" s="598" t="s">
        <v>321</v>
      </c>
      <c r="AA495" s="598" t="s">
        <v>3309</v>
      </c>
      <c r="AB495" s="598" t="s">
        <v>3309</v>
      </c>
      <c r="AC495" s="598" t="s">
        <v>3309</v>
      </c>
      <c r="AD495" s="598" t="s">
        <v>3309</v>
      </c>
      <c r="AE495" s="598" t="s">
        <v>3309</v>
      </c>
      <c r="AF495" s="598" t="s">
        <v>321</v>
      </c>
      <c r="AG495" s="598" t="s">
        <v>321</v>
      </c>
      <c r="AH495" s="598" t="s">
        <v>3309</v>
      </c>
      <c r="AI495" s="598" t="s">
        <v>321</v>
      </c>
      <c r="AJ495" s="599">
        <v>21</v>
      </c>
      <c r="AK495" s="600">
        <v>21</v>
      </c>
      <c r="AL495" s="601">
        <v>0</v>
      </c>
      <c r="AM495" s="601">
        <v>0</v>
      </c>
      <c r="AN495" s="599">
        <v>21</v>
      </c>
    </row>
    <row r="496" spans="1:40" ht="16.5" customHeight="1">
      <c r="A496" s="598" t="s">
        <v>3307</v>
      </c>
      <c r="B496" s="598" t="s">
        <v>3333</v>
      </c>
      <c r="C496" s="598" t="s">
        <v>848</v>
      </c>
      <c r="D496" s="598" t="s">
        <v>849</v>
      </c>
      <c r="E496" s="598" t="s">
        <v>321</v>
      </c>
      <c r="F496" s="598" t="s">
        <v>3309</v>
      </c>
      <c r="G496" s="598" t="s">
        <v>3309</v>
      </c>
      <c r="H496" s="598" t="s">
        <v>3309</v>
      </c>
      <c r="I496" s="598" t="s">
        <v>3313</v>
      </c>
      <c r="J496" s="598" t="s">
        <v>3313</v>
      </c>
      <c r="K496" s="598" t="s">
        <v>321</v>
      </c>
      <c r="L496" s="598" t="s">
        <v>321</v>
      </c>
      <c r="M496" s="598" t="s">
        <v>3309</v>
      </c>
      <c r="N496" s="598" t="s">
        <v>3309</v>
      </c>
      <c r="O496" s="598" t="s">
        <v>3309</v>
      </c>
      <c r="P496" s="598" t="s">
        <v>3309</v>
      </c>
      <c r="Q496" s="598" t="s">
        <v>3309</v>
      </c>
      <c r="R496" s="598" t="s">
        <v>321</v>
      </c>
      <c r="S496" s="598" t="s">
        <v>321</v>
      </c>
      <c r="T496" s="598" t="s">
        <v>3309</v>
      </c>
      <c r="U496" s="598" t="s">
        <v>3309</v>
      </c>
      <c r="V496" s="598" t="s">
        <v>3309</v>
      </c>
      <c r="W496" s="598" t="s">
        <v>3309</v>
      </c>
      <c r="X496" s="598" t="s">
        <v>3309</v>
      </c>
      <c r="Y496" s="598" t="s">
        <v>321</v>
      </c>
      <c r="Z496" s="598" t="s">
        <v>321</v>
      </c>
      <c r="AA496" s="598" t="s">
        <v>3309</v>
      </c>
      <c r="AB496" s="598" t="s">
        <v>3309</v>
      </c>
      <c r="AC496" s="598" t="s">
        <v>3309</v>
      </c>
      <c r="AD496" s="598" t="s">
        <v>3309</v>
      </c>
      <c r="AE496" s="598" t="s">
        <v>3309</v>
      </c>
      <c r="AF496" s="598" t="s">
        <v>321</v>
      </c>
      <c r="AG496" s="598" t="s">
        <v>321</v>
      </c>
      <c r="AH496" s="598" t="s">
        <v>3309</v>
      </c>
      <c r="AI496" s="598" t="s">
        <v>321</v>
      </c>
      <c r="AJ496" s="599">
        <v>21</v>
      </c>
      <c r="AK496" s="600">
        <v>21</v>
      </c>
      <c r="AL496" s="601">
        <v>0</v>
      </c>
      <c r="AM496" s="601">
        <v>0</v>
      </c>
      <c r="AN496" s="599">
        <v>21</v>
      </c>
    </row>
    <row r="497" spans="1:40" ht="16.5" customHeight="1">
      <c r="A497" s="598" t="s">
        <v>3307</v>
      </c>
      <c r="B497" s="598" t="s">
        <v>3333</v>
      </c>
      <c r="C497" s="598" t="s">
        <v>1648</v>
      </c>
      <c r="D497" s="598" t="s">
        <v>1649</v>
      </c>
      <c r="E497" s="598" t="s">
        <v>321</v>
      </c>
      <c r="F497" s="598" t="s">
        <v>3309</v>
      </c>
      <c r="G497" s="598" t="s">
        <v>3309</v>
      </c>
      <c r="H497" s="598" t="s">
        <v>3309</v>
      </c>
      <c r="I497" s="598" t="s">
        <v>3312</v>
      </c>
      <c r="J497" s="598" t="s">
        <v>3312</v>
      </c>
      <c r="K497" s="598" t="s">
        <v>321</v>
      </c>
      <c r="L497" s="598" t="s">
        <v>321</v>
      </c>
      <c r="M497" s="598" t="s">
        <v>3309</v>
      </c>
      <c r="N497" s="598" t="s">
        <v>3309</v>
      </c>
      <c r="O497" s="598" t="s">
        <v>3309</v>
      </c>
      <c r="P497" s="598" t="s">
        <v>3309</v>
      </c>
      <c r="Q497" s="598" t="s">
        <v>3309</v>
      </c>
      <c r="R497" s="598" t="s">
        <v>321</v>
      </c>
      <c r="S497" s="598" t="s">
        <v>321</v>
      </c>
      <c r="T497" s="598" t="s">
        <v>3312</v>
      </c>
      <c r="U497" s="598" t="s">
        <v>3312</v>
      </c>
      <c r="V497" s="598" t="s">
        <v>3309</v>
      </c>
      <c r="W497" s="598" t="s">
        <v>3309</v>
      </c>
      <c r="X497" s="598" t="s">
        <v>3309</v>
      </c>
      <c r="Y497" s="598" t="s">
        <v>321</v>
      </c>
      <c r="Z497" s="598" t="s">
        <v>321</v>
      </c>
      <c r="AA497" s="598" t="s">
        <v>3309</v>
      </c>
      <c r="AB497" s="598" t="s">
        <v>3309</v>
      </c>
      <c r="AC497" s="598" t="s">
        <v>3309</v>
      </c>
      <c r="AD497" s="598" t="s">
        <v>3309</v>
      </c>
      <c r="AE497" s="598" t="s">
        <v>3309</v>
      </c>
      <c r="AF497" s="598" t="s">
        <v>321</v>
      </c>
      <c r="AG497" s="598" t="s">
        <v>321</v>
      </c>
      <c r="AH497" s="598" t="s">
        <v>3309</v>
      </c>
      <c r="AI497" s="598" t="s">
        <v>321</v>
      </c>
      <c r="AJ497" s="599">
        <v>21</v>
      </c>
      <c r="AK497" s="600">
        <v>17</v>
      </c>
      <c r="AL497" s="602">
        <v>4</v>
      </c>
      <c r="AM497" s="601">
        <v>0</v>
      </c>
      <c r="AN497" s="599">
        <v>21</v>
      </c>
    </row>
    <row r="498" spans="1:40" ht="16.5" customHeight="1">
      <c r="A498" s="598" t="s">
        <v>3307</v>
      </c>
      <c r="B498" s="598" t="s">
        <v>3333</v>
      </c>
      <c r="C498" s="598" t="s">
        <v>2081</v>
      </c>
      <c r="D498" s="598" t="s">
        <v>2082</v>
      </c>
      <c r="E498" s="598" t="s">
        <v>321</v>
      </c>
      <c r="F498" s="598" t="s">
        <v>3309</v>
      </c>
      <c r="G498" s="598" t="s">
        <v>3309</v>
      </c>
      <c r="H498" s="598" t="s">
        <v>3309</v>
      </c>
      <c r="I498" s="598" t="s">
        <v>3313</v>
      </c>
      <c r="J498" s="598" t="s">
        <v>3313</v>
      </c>
      <c r="K498" s="598" t="s">
        <v>321</v>
      </c>
      <c r="L498" s="598" t="s">
        <v>321</v>
      </c>
      <c r="M498" s="598" t="s">
        <v>3309</v>
      </c>
      <c r="N498" s="598" t="s">
        <v>3309</v>
      </c>
      <c r="O498" s="598" t="s">
        <v>3309</v>
      </c>
      <c r="P498" s="598" t="s">
        <v>3309</v>
      </c>
      <c r="Q498" s="598" t="s">
        <v>3309</v>
      </c>
      <c r="R498" s="598" t="s">
        <v>321</v>
      </c>
      <c r="S498" s="598" t="s">
        <v>321</v>
      </c>
      <c r="T498" s="598" t="s">
        <v>3309</v>
      </c>
      <c r="U498" s="598" t="s">
        <v>3309</v>
      </c>
      <c r="V498" s="598" t="s">
        <v>3309</v>
      </c>
      <c r="W498" s="598" t="s">
        <v>3309</v>
      </c>
      <c r="X498" s="598" t="s">
        <v>3309</v>
      </c>
      <c r="Y498" s="598" t="s">
        <v>321</v>
      </c>
      <c r="Z498" s="598" t="s">
        <v>321</v>
      </c>
      <c r="AA498" s="598" t="s">
        <v>3309</v>
      </c>
      <c r="AB498" s="598" t="s">
        <v>3309</v>
      </c>
      <c r="AC498" s="598" t="s">
        <v>3309</v>
      </c>
      <c r="AD498" s="598" t="s">
        <v>3309</v>
      </c>
      <c r="AE498" s="598" t="s">
        <v>3309</v>
      </c>
      <c r="AF498" s="598" t="s">
        <v>321</v>
      </c>
      <c r="AG498" s="598" t="s">
        <v>321</v>
      </c>
      <c r="AH498" s="598" t="s">
        <v>3309</v>
      </c>
      <c r="AI498" s="598" t="s">
        <v>321</v>
      </c>
      <c r="AJ498" s="599">
        <v>21</v>
      </c>
      <c r="AK498" s="600">
        <v>21</v>
      </c>
      <c r="AL498" s="601">
        <v>0</v>
      </c>
      <c r="AM498" s="601">
        <v>0</v>
      </c>
      <c r="AN498" s="599">
        <v>21</v>
      </c>
    </row>
    <row r="499" spans="1:40" ht="16.5" customHeight="1">
      <c r="A499" s="598" t="s">
        <v>3307</v>
      </c>
      <c r="B499" s="598" t="s">
        <v>3333</v>
      </c>
      <c r="C499" s="598" t="s">
        <v>2096</v>
      </c>
      <c r="D499" s="598" t="s">
        <v>2097</v>
      </c>
      <c r="E499" s="598" t="s">
        <v>321</v>
      </c>
      <c r="F499" s="598" t="s">
        <v>3309</v>
      </c>
      <c r="G499" s="598" t="s">
        <v>3309</v>
      </c>
      <c r="H499" s="598" t="s">
        <v>3309</v>
      </c>
      <c r="I499" s="598" t="s">
        <v>3312</v>
      </c>
      <c r="J499" s="598" t="s">
        <v>3312</v>
      </c>
      <c r="K499" s="598" t="s">
        <v>321</v>
      </c>
      <c r="L499" s="598" t="s">
        <v>321</v>
      </c>
      <c r="M499" s="598" t="s">
        <v>3309</v>
      </c>
      <c r="N499" s="598" t="s">
        <v>3309</v>
      </c>
      <c r="O499" s="598" t="s">
        <v>3309</v>
      </c>
      <c r="P499" s="598" t="s">
        <v>3309</v>
      </c>
      <c r="Q499" s="598" t="s">
        <v>3309</v>
      </c>
      <c r="R499" s="598" t="s">
        <v>321</v>
      </c>
      <c r="S499" s="598" t="s">
        <v>321</v>
      </c>
      <c r="T499" s="598" t="s">
        <v>3309</v>
      </c>
      <c r="U499" s="598" t="s">
        <v>3309</v>
      </c>
      <c r="V499" s="598" t="s">
        <v>3309</v>
      </c>
      <c r="W499" s="598" t="s">
        <v>3309</v>
      </c>
      <c r="X499" s="598" t="s">
        <v>3309</v>
      </c>
      <c r="Y499" s="598" t="s">
        <v>321</v>
      </c>
      <c r="Z499" s="598" t="s">
        <v>321</v>
      </c>
      <c r="AA499" s="598" t="s">
        <v>3309</v>
      </c>
      <c r="AB499" s="598" t="s">
        <v>3309</v>
      </c>
      <c r="AC499" s="598" t="s">
        <v>3309</v>
      </c>
      <c r="AD499" s="598" t="s">
        <v>3309</v>
      </c>
      <c r="AE499" s="598" t="s">
        <v>3309</v>
      </c>
      <c r="AF499" s="598" t="s">
        <v>321</v>
      </c>
      <c r="AG499" s="598" t="s">
        <v>321</v>
      </c>
      <c r="AH499" s="598" t="s">
        <v>3309</v>
      </c>
      <c r="AI499" s="598" t="s">
        <v>321</v>
      </c>
      <c r="AJ499" s="599">
        <v>21</v>
      </c>
      <c r="AK499" s="600">
        <v>19</v>
      </c>
      <c r="AL499" s="602">
        <v>2</v>
      </c>
      <c r="AM499" s="601">
        <v>0</v>
      </c>
      <c r="AN499" s="599">
        <v>21</v>
      </c>
    </row>
    <row r="500" spans="1:40" ht="16.5" customHeight="1">
      <c r="A500" s="598" t="s">
        <v>3307</v>
      </c>
      <c r="B500" s="598" t="s">
        <v>3333</v>
      </c>
      <c r="C500" s="598" t="s">
        <v>2828</v>
      </c>
      <c r="D500" s="598" t="s">
        <v>2829</v>
      </c>
      <c r="E500" s="598" t="s">
        <v>321</v>
      </c>
      <c r="F500" s="598" t="s">
        <v>3309</v>
      </c>
      <c r="G500" s="598" t="s">
        <v>3309</v>
      </c>
      <c r="H500" s="598" t="s">
        <v>3309</v>
      </c>
      <c r="I500" s="598" t="s">
        <v>3313</v>
      </c>
      <c r="J500" s="598" t="s">
        <v>3313</v>
      </c>
      <c r="K500" s="598" t="s">
        <v>321</v>
      </c>
      <c r="L500" s="598" t="s">
        <v>321</v>
      </c>
      <c r="M500" s="598" t="s">
        <v>3309</v>
      </c>
      <c r="N500" s="598" t="s">
        <v>3309</v>
      </c>
      <c r="O500" s="598" t="s">
        <v>3309</v>
      </c>
      <c r="P500" s="598" t="s">
        <v>3309</v>
      </c>
      <c r="Q500" s="598" t="s">
        <v>3309</v>
      </c>
      <c r="R500" s="598" t="s">
        <v>321</v>
      </c>
      <c r="S500" s="598" t="s">
        <v>321</v>
      </c>
      <c r="T500" s="598" t="s">
        <v>3309</v>
      </c>
      <c r="U500" s="598" t="s">
        <v>3309</v>
      </c>
      <c r="V500" s="598" t="s">
        <v>3309</v>
      </c>
      <c r="W500" s="598" t="s">
        <v>3309</v>
      </c>
      <c r="X500" s="598" t="s">
        <v>3309</v>
      </c>
      <c r="Y500" s="598" t="s">
        <v>321</v>
      </c>
      <c r="Z500" s="598" t="s">
        <v>321</v>
      </c>
      <c r="AA500" s="598" t="s">
        <v>3309</v>
      </c>
      <c r="AB500" s="598" t="s">
        <v>3309</v>
      </c>
      <c r="AC500" s="598" t="s">
        <v>3309</v>
      </c>
      <c r="AD500" s="598" t="s">
        <v>3309</v>
      </c>
      <c r="AE500" s="598" t="s">
        <v>3309</v>
      </c>
      <c r="AF500" s="598" t="s">
        <v>321</v>
      </c>
      <c r="AG500" s="598" t="s">
        <v>321</v>
      </c>
      <c r="AH500" s="598" t="s">
        <v>3309</v>
      </c>
      <c r="AI500" s="598" t="s">
        <v>321</v>
      </c>
      <c r="AJ500" s="599">
        <v>21</v>
      </c>
      <c r="AK500" s="600">
        <v>21</v>
      </c>
      <c r="AL500" s="601">
        <v>0</v>
      </c>
      <c r="AM500" s="601">
        <v>0</v>
      </c>
      <c r="AN500" s="599">
        <v>21</v>
      </c>
    </row>
    <row r="501" spans="1:40" ht="16.5" customHeight="1">
      <c r="A501" s="598" t="s">
        <v>3307</v>
      </c>
      <c r="B501" s="598" t="s">
        <v>3333</v>
      </c>
      <c r="C501" s="598" t="s">
        <v>2108</v>
      </c>
      <c r="D501" s="598" t="s">
        <v>2109</v>
      </c>
      <c r="E501" s="598" t="s">
        <v>321</v>
      </c>
      <c r="F501" s="598" t="s">
        <v>3309</v>
      </c>
      <c r="G501" s="598" t="s">
        <v>3309</v>
      </c>
      <c r="H501" s="598" t="s">
        <v>3309</v>
      </c>
      <c r="I501" s="598" t="s">
        <v>3313</v>
      </c>
      <c r="J501" s="598" t="s">
        <v>3313</v>
      </c>
      <c r="K501" s="598" t="s">
        <v>321</v>
      </c>
      <c r="L501" s="598" t="s">
        <v>321</v>
      </c>
      <c r="M501" s="598" t="s">
        <v>3309</v>
      </c>
      <c r="N501" s="598" t="s">
        <v>3309</v>
      </c>
      <c r="O501" s="598" t="s">
        <v>3309</v>
      </c>
      <c r="P501" s="598" t="s">
        <v>3309</v>
      </c>
      <c r="Q501" s="598" t="s">
        <v>3309</v>
      </c>
      <c r="R501" s="598" t="s">
        <v>321</v>
      </c>
      <c r="S501" s="598" t="s">
        <v>321</v>
      </c>
      <c r="T501" s="598" t="s">
        <v>3309</v>
      </c>
      <c r="U501" s="598" t="s">
        <v>3309</v>
      </c>
      <c r="V501" s="598" t="s">
        <v>3309</v>
      </c>
      <c r="W501" s="598" t="s">
        <v>3309</v>
      </c>
      <c r="X501" s="598" t="s">
        <v>3309</v>
      </c>
      <c r="Y501" s="598" t="s">
        <v>321</v>
      </c>
      <c r="Z501" s="598" t="s">
        <v>321</v>
      </c>
      <c r="AA501" s="598" t="s">
        <v>3309</v>
      </c>
      <c r="AB501" s="598" t="s">
        <v>3309</v>
      </c>
      <c r="AC501" s="598" t="s">
        <v>3309</v>
      </c>
      <c r="AD501" s="598" t="s">
        <v>3309</v>
      </c>
      <c r="AE501" s="598" t="s">
        <v>3309</v>
      </c>
      <c r="AF501" s="598" t="s">
        <v>321</v>
      </c>
      <c r="AG501" s="598" t="s">
        <v>321</v>
      </c>
      <c r="AH501" s="598" t="s">
        <v>3309</v>
      </c>
      <c r="AI501" s="598" t="s">
        <v>321</v>
      </c>
      <c r="AJ501" s="599">
        <v>21</v>
      </c>
      <c r="AK501" s="600">
        <v>21</v>
      </c>
      <c r="AL501" s="601">
        <v>0</v>
      </c>
      <c r="AM501" s="601">
        <v>0</v>
      </c>
      <c r="AN501" s="599">
        <v>21</v>
      </c>
    </row>
    <row r="502" spans="1:40" ht="16.5" customHeight="1">
      <c r="A502" s="598" t="s">
        <v>3307</v>
      </c>
      <c r="B502" s="598" t="s">
        <v>3333</v>
      </c>
      <c r="C502" s="598" t="s">
        <v>2521</v>
      </c>
      <c r="D502" s="598" t="s">
        <v>2522</v>
      </c>
      <c r="E502" s="598" t="s">
        <v>321</v>
      </c>
      <c r="F502" s="598" t="s">
        <v>3309</v>
      </c>
      <c r="G502" s="598" t="s">
        <v>3309</v>
      </c>
      <c r="H502" s="598" t="s">
        <v>3309</v>
      </c>
      <c r="I502" s="598" t="s">
        <v>3313</v>
      </c>
      <c r="J502" s="598" t="s">
        <v>3313</v>
      </c>
      <c r="K502" s="598" t="s">
        <v>321</v>
      </c>
      <c r="L502" s="598" t="s">
        <v>321</v>
      </c>
      <c r="M502" s="598" t="s">
        <v>3309</v>
      </c>
      <c r="N502" s="598" t="s">
        <v>3309</v>
      </c>
      <c r="O502" s="598" t="s">
        <v>3309</v>
      </c>
      <c r="P502" s="598" t="s">
        <v>3309</v>
      </c>
      <c r="Q502" s="598" t="s">
        <v>3309</v>
      </c>
      <c r="R502" s="598" t="s">
        <v>321</v>
      </c>
      <c r="S502" s="598" t="s">
        <v>321</v>
      </c>
      <c r="T502" s="598" t="s">
        <v>3309</v>
      </c>
      <c r="U502" s="598" t="s">
        <v>3309</v>
      </c>
      <c r="V502" s="598" t="s">
        <v>3309</v>
      </c>
      <c r="W502" s="598" t="s">
        <v>3309</v>
      </c>
      <c r="X502" s="598" t="s">
        <v>3309</v>
      </c>
      <c r="Y502" s="598" t="s">
        <v>321</v>
      </c>
      <c r="Z502" s="598" t="s">
        <v>321</v>
      </c>
      <c r="AA502" s="598" t="s">
        <v>3309</v>
      </c>
      <c r="AB502" s="598" t="s">
        <v>3309</v>
      </c>
      <c r="AC502" s="598" t="s">
        <v>3309</v>
      </c>
      <c r="AD502" s="598" t="s">
        <v>3309</v>
      </c>
      <c r="AE502" s="598" t="s">
        <v>3309</v>
      </c>
      <c r="AF502" s="598" t="s">
        <v>321</v>
      </c>
      <c r="AG502" s="598" t="s">
        <v>321</v>
      </c>
      <c r="AH502" s="598" t="s">
        <v>3309</v>
      </c>
      <c r="AI502" s="598" t="s">
        <v>321</v>
      </c>
      <c r="AJ502" s="599">
        <v>21</v>
      </c>
      <c r="AK502" s="600">
        <v>21</v>
      </c>
      <c r="AL502" s="601">
        <v>0</v>
      </c>
      <c r="AM502" s="601">
        <v>0</v>
      </c>
      <c r="AN502" s="599">
        <v>21</v>
      </c>
    </row>
    <row r="503" spans="1:40" ht="16.5" customHeight="1">
      <c r="A503" s="598" t="s">
        <v>3307</v>
      </c>
      <c r="B503" s="598" t="s">
        <v>3333</v>
      </c>
      <c r="C503" s="598" t="s">
        <v>2724</v>
      </c>
      <c r="D503" s="598" t="s">
        <v>2725</v>
      </c>
      <c r="E503" s="598" t="s">
        <v>321</v>
      </c>
      <c r="F503" s="598" t="s">
        <v>3309</v>
      </c>
      <c r="G503" s="598" t="s">
        <v>3309</v>
      </c>
      <c r="H503" s="598" t="s">
        <v>3309</v>
      </c>
      <c r="I503" s="598" t="s">
        <v>3313</v>
      </c>
      <c r="J503" s="598" t="s">
        <v>3313</v>
      </c>
      <c r="K503" s="598" t="s">
        <v>321</v>
      </c>
      <c r="L503" s="598" t="s">
        <v>321</v>
      </c>
      <c r="M503" s="598" t="s">
        <v>3309</v>
      </c>
      <c r="N503" s="598" t="s">
        <v>3309</v>
      </c>
      <c r="O503" s="598" t="s">
        <v>3309</v>
      </c>
      <c r="P503" s="598" t="s">
        <v>3309</v>
      </c>
      <c r="Q503" s="598" t="s">
        <v>3309</v>
      </c>
      <c r="R503" s="598" t="s">
        <v>321</v>
      </c>
      <c r="S503" s="598" t="s">
        <v>321</v>
      </c>
      <c r="T503" s="598" t="s">
        <v>3309</v>
      </c>
      <c r="U503" s="598" t="s">
        <v>3309</v>
      </c>
      <c r="V503" s="598" t="s">
        <v>3309</v>
      </c>
      <c r="W503" s="598" t="s">
        <v>3309</v>
      </c>
      <c r="X503" s="598" t="s">
        <v>3309</v>
      </c>
      <c r="Y503" s="598" t="s">
        <v>321</v>
      </c>
      <c r="Z503" s="598" t="s">
        <v>321</v>
      </c>
      <c r="AA503" s="598" t="s">
        <v>3309</v>
      </c>
      <c r="AB503" s="598" t="s">
        <v>3309</v>
      </c>
      <c r="AC503" s="598" t="s">
        <v>3309</v>
      </c>
      <c r="AD503" s="598" t="s">
        <v>3309</v>
      </c>
      <c r="AE503" s="598" t="s">
        <v>3309</v>
      </c>
      <c r="AF503" s="598" t="s">
        <v>321</v>
      </c>
      <c r="AG503" s="598" t="s">
        <v>321</v>
      </c>
      <c r="AH503" s="598" t="s">
        <v>3309</v>
      </c>
      <c r="AI503" s="598" t="s">
        <v>321</v>
      </c>
      <c r="AJ503" s="599">
        <v>21</v>
      </c>
      <c r="AK503" s="600">
        <v>21</v>
      </c>
      <c r="AL503" s="601">
        <v>0</v>
      </c>
      <c r="AM503" s="601">
        <v>0</v>
      </c>
      <c r="AN503" s="599">
        <v>21</v>
      </c>
    </row>
    <row r="504" spans="1:40" ht="16.5" customHeight="1">
      <c r="A504" s="598" t="s">
        <v>3307</v>
      </c>
      <c r="B504" s="598" t="s">
        <v>3333</v>
      </c>
      <c r="C504" s="598" t="s">
        <v>2191</v>
      </c>
      <c r="D504" s="598" t="s">
        <v>2192</v>
      </c>
      <c r="E504" s="598" t="s">
        <v>321</v>
      </c>
      <c r="F504" s="598" t="s">
        <v>3312</v>
      </c>
      <c r="G504" s="598" t="s">
        <v>3309</v>
      </c>
      <c r="H504" s="598" t="s">
        <v>3309</v>
      </c>
      <c r="I504" s="598" t="s">
        <v>3309</v>
      </c>
      <c r="J504" s="598" t="s">
        <v>3309</v>
      </c>
      <c r="K504" s="598" t="s">
        <v>321</v>
      </c>
      <c r="L504" s="598" t="s">
        <v>321</v>
      </c>
      <c r="M504" s="598" t="s">
        <v>3309</v>
      </c>
      <c r="N504" s="598" t="s">
        <v>3309</v>
      </c>
      <c r="O504" s="598" t="s">
        <v>3309</v>
      </c>
      <c r="P504" s="598" t="s">
        <v>3309</v>
      </c>
      <c r="Q504" s="598" t="s">
        <v>3309</v>
      </c>
      <c r="R504" s="598" t="s">
        <v>321</v>
      </c>
      <c r="S504" s="598" t="s">
        <v>321</v>
      </c>
      <c r="T504" s="598" t="s">
        <v>3309</v>
      </c>
      <c r="U504" s="598" t="s">
        <v>3309</v>
      </c>
      <c r="V504" s="598" t="s">
        <v>3309</v>
      </c>
      <c r="W504" s="598" t="s">
        <v>3309</v>
      </c>
      <c r="X504" s="598" t="s">
        <v>3309</v>
      </c>
      <c r="Y504" s="598" t="s">
        <v>321</v>
      </c>
      <c r="Z504" s="598" t="s">
        <v>321</v>
      </c>
      <c r="AA504" s="598" t="s">
        <v>3309</v>
      </c>
      <c r="AB504" s="598" t="s">
        <v>3309</v>
      </c>
      <c r="AC504" s="598" t="s">
        <v>3309</v>
      </c>
      <c r="AD504" s="598" t="s">
        <v>3312</v>
      </c>
      <c r="AE504" s="598" t="s">
        <v>3309</v>
      </c>
      <c r="AF504" s="598" t="s">
        <v>321</v>
      </c>
      <c r="AG504" s="598" t="s">
        <v>321</v>
      </c>
      <c r="AH504" s="598" t="s">
        <v>3309</v>
      </c>
      <c r="AI504" s="598" t="s">
        <v>321</v>
      </c>
      <c r="AJ504" s="599">
        <v>21</v>
      </c>
      <c r="AK504" s="600">
        <v>19</v>
      </c>
      <c r="AL504" s="602">
        <v>2</v>
      </c>
      <c r="AM504" s="601">
        <v>0</v>
      </c>
      <c r="AN504" s="599">
        <v>21</v>
      </c>
    </row>
    <row r="505" spans="1:40" ht="16.5" customHeight="1">
      <c r="A505" s="598" t="s">
        <v>3307</v>
      </c>
      <c r="B505" s="598" t="s">
        <v>3333</v>
      </c>
      <c r="C505" s="598" t="s">
        <v>661</v>
      </c>
      <c r="D505" s="598" t="s">
        <v>662</v>
      </c>
      <c r="E505" s="598" t="s">
        <v>321</v>
      </c>
      <c r="F505" s="598" t="s">
        <v>3309</v>
      </c>
      <c r="G505" s="598" t="s">
        <v>3309</v>
      </c>
      <c r="H505" s="598" t="s">
        <v>3309</v>
      </c>
      <c r="I505" s="598" t="s">
        <v>3313</v>
      </c>
      <c r="J505" s="598" t="s">
        <v>3313</v>
      </c>
      <c r="K505" s="598" t="s">
        <v>321</v>
      </c>
      <c r="L505" s="598" t="s">
        <v>321</v>
      </c>
      <c r="M505" s="598" t="s">
        <v>3309</v>
      </c>
      <c r="N505" s="598" t="s">
        <v>3309</v>
      </c>
      <c r="O505" s="598" t="s">
        <v>3309</v>
      </c>
      <c r="P505" s="598" t="s">
        <v>3309</v>
      </c>
      <c r="Q505" s="598" t="s">
        <v>3309</v>
      </c>
      <c r="R505" s="598" t="s">
        <v>321</v>
      </c>
      <c r="S505" s="598" t="s">
        <v>321</v>
      </c>
      <c r="T505" s="598" t="s">
        <v>3309</v>
      </c>
      <c r="U505" s="598" t="s">
        <v>3309</v>
      </c>
      <c r="V505" s="598" t="s">
        <v>3309</v>
      </c>
      <c r="W505" s="598" t="s">
        <v>3309</v>
      </c>
      <c r="X505" s="598" t="s">
        <v>3309</v>
      </c>
      <c r="Y505" s="598" t="s">
        <v>321</v>
      </c>
      <c r="Z505" s="598" t="s">
        <v>321</v>
      </c>
      <c r="AA505" s="598" t="s">
        <v>3312</v>
      </c>
      <c r="AB505" s="598" t="s">
        <v>3313</v>
      </c>
      <c r="AC505" s="598" t="s">
        <v>3309</v>
      </c>
      <c r="AD505" s="598" t="s">
        <v>3309</v>
      </c>
      <c r="AE505" s="598" t="s">
        <v>3309</v>
      </c>
      <c r="AF505" s="598" t="s">
        <v>321</v>
      </c>
      <c r="AG505" s="598" t="s">
        <v>321</v>
      </c>
      <c r="AH505" s="598" t="s">
        <v>3309</v>
      </c>
      <c r="AI505" s="598" t="s">
        <v>321</v>
      </c>
      <c r="AJ505" s="599">
        <v>21</v>
      </c>
      <c r="AK505" s="600">
        <v>20</v>
      </c>
      <c r="AL505" s="602">
        <v>1</v>
      </c>
      <c r="AM505" s="601">
        <v>0</v>
      </c>
      <c r="AN505" s="599">
        <v>21</v>
      </c>
    </row>
    <row r="506" spans="1:40" ht="16.5" customHeight="1">
      <c r="A506" s="598" t="s">
        <v>3307</v>
      </c>
      <c r="B506" s="598" t="s">
        <v>3333</v>
      </c>
      <c r="C506" s="598" t="s">
        <v>764</v>
      </c>
      <c r="D506" s="598" t="s">
        <v>765</v>
      </c>
      <c r="E506" s="598" t="s">
        <v>321</v>
      </c>
      <c r="F506" s="598" t="s">
        <v>3312</v>
      </c>
      <c r="G506" s="598" t="s">
        <v>3312</v>
      </c>
      <c r="H506" s="598" t="s">
        <v>3312</v>
      </c>
      <c r="I506" s="598" t="s">
        <v>3313</v>
      </c>
      <c r="J506" s="598" t="s">
        <v>3313</v>
      </c>
      <c r="K506" s="598" t="s">
        <v>321</v>
      </c>
      <c r="L506" s="598" t="s">
        <v>321</v>
      </c>
      <c r="M506" s="598" t="s">
        <v>3309</v>
      </c>
      <c r="N506" s="598" t="s">
        <v>3309</v>
      </c>
      <c r="O506" s="598" t="s">
        <v>3309</v>
      </c>
      <c r="P506" s="598" t="s">
        <v>3309</v>
      </c>
      <c r="Q506" s="598" t="s">
        <v>3309</v>
      </c>
      <c r="R506" s="598" t="s">
        <v>321</v>
      </c>
      <c r="S506" s="598" t="s">
        <v>321</v>
      </c>
      <c r="T506" s="598" t="s">
        <v>3309</v>
      </c>
      <c r="U506" s="598" t="s">
        <v>3309</v>
      </c>
      <c r="V506" s="598" t="s">
        <v>3309</v>
      </c>
      <c r="W506" s="598" t="s">
        <v>3309</v>
      </c>
      <c r="X506" s="598" t="s">
        <v>3309</v>
      </c>
      <c r="Y506" s="598" t="s">
        <v>321</v>
      </c>
      <c r="Z506" s="598" t="s">
        <v>321</v>
      </c>
      <c r="AA506" s="598" t="s">
        <v>3309</v>
      </c>
      <c r="AB506" s="598" t="s">
        <v>3309</v>
      </c>
      <c r="AC506" s="598" t="s">
        <v>3309</v>
      </c>
      <c r="AD506" s="598" t="s">
        <v>3309</v>
      </c>
      <c r="AE506" s="598" t="s">
        <v>3309</v>
      </c>
      <c r="AF506" s="598" t="s">
        <v>321</v>
      </c>
      <c r="AG506" s="598" t="s">
        <v>321</v>
      </c>
      <c r="AH506" s="598" t="s">
        <v>3309</v>
      </c>
      <c r="AI506" s="598" t="s">
        <v>321</v>
      </c>
      <c r="AJ506" s="599">
        <v>21</v>
      </c>
      <c r="AK506" s="600">
        <v>18</v>
      </c>
      <c r="AL506" s="602">
        <v>3</v>
      </c>
      <c r="AM506" s="601">
        <v>0</v>
      </c>
      <c r="AN506" s="599">
        <v>21</v>
      </c>
    </row>
    <row r="507" spans="1:40" ht="16.5" customHeight="1">
      <c r="A507" s="598" t="s">
        <v>3307</v>
      </c>
      <c r="B507" s="598" t="s">
        <v>3333</v>
      </c>
      <c r="C507" s="598" t="s">
        <v>1734</v>
      </c>
      <c r="D507" s="598" t="s">
        <v>1735</v>
      </c>
      <c r="E507" s="598" t="s">
        <v>321</v>
      </c>
      <c r="F507" s="598" t="s">
        <v>3309</v>
      </c>
      <c r="G507" s="598" t="s">
        <v>3309</v>
      </c>
      <c r="H507" s="598" t="s">
        <v>3309</v>
      </c>
      <c r="I507" s="598" t="s">
        <v>3313</v>
      </c>
      <c r="J507" s="598" t="s">
        <v>3313</v>
      </c>
      <c r="K507" s="598" t="s">
        <v>321</v>
      </c>
      <c r="L507" s="598" t="s">
        <v>321</v>
      </c>
      <c r="M507" s="598" t="s">
        <v>3309</v>
      </c>
      <c r="N507" s="598" t="s">
        <v>3309</v>
      </c>
      <c r="O507" s="598" t="s">
        <v>3309</v>
      </c>
      <c r="P507" s="598" t="s">
        <v>3309</v>
      </c>
      <c r="Q507" s="598" t="s">
        <v>3309</v>
      </c>
      <c r="R507" s="598" t="s">
        <v>321</v>
      </c>
      <c r="S507" s="598" t="s">
        <v>321</v>
      </c>
      <c r="T507" s="598" t="s">
        <v>3309</v>
      </c>
      <c r="U507" s="598" t="s">
        <v>3309</v>
      </c>
      <c r="V507" s="598" t="s">
        <v>3309</v>
      </c>
      <c r="W507" s="598" t="s">
        <v>3309</v>
      </c>
      <c r="X507" s="598" t="s">
        <v>3309</v>
      </c>
      <c r="Y507" s="598" t="s">
        <v>321</v>
      </c>
      <c r="Z507" s="598" t="s">
        <v>321</v>
      </c>
      <c r="AA507" s="598" t="s">
        <v>3309</v>
      </c>
      <c r="AB507" s="598" t="s">
        <v>3309</v>
      </c>
      <c r="AC507" s="598" t="s">
        <v>3309</v>
      </c>
      <c r="AD507" s="598" t="s">
        <v>3309</v>
      </c>
      <c r="AE507" s="598" t="s">
        <v>3309</v>
      </c>
      <c r="AF507" s="598" t="s">
        <v>321</v>
      </c>
      <c r="AG507" s="598" t="s">
        <v>321</v>
      </c>
      <c r="AH507" s="598" t="s">
        <v>3309</v>
      </c>
      <c r="AI507" s="598" t="s">
        <v>321</v>
      </c>
      <c r="AJ507" s="599">
        <v>21</v>
      </c>
      <c r="AK507" s="600">
        <v>21</v>
      </c>
      <c r="AL507" s="601">
        <v>0</v>
      </c>
      <c r="AM507" s="601">
        <v>0</v>
      </c>
      <c r="AN507" s="599">
        <v>21</v>
      </c>
    </row>
    <row r="508" spans="1:40" ht="16.5" customHeight="1">
      <c r="A508" s="598" t="s">
        <v>3307</v>
      </c>
      <c r="B508" s="598" t="s">
        <v>3333</v>
      </c>
      <c r="C508" s="598" t="s">
        <v>2789</v>
      </c>
      <c r="D508" s="598" t="s">
        <v>1386</v>
      </c>
      <c r="E508" s="598" t="s">
        <v>321</v>
      </c>
      <c r="F508" s="598" t="s">
        <v>3309</v>
      </c>
      <c r="G508" s="598" t="s">
        <v>3309</v>
      </c>
      <c r="H508" s="598" t="s">
        <v>3312</v>
      </c>
      <c r="I508" s="598" t="s">
        <v>3313</v>
      </c>
      <c r="J508" s="598" t="s">
        <v>3313</v>
      </c>
      <c r="K508" s="598" t="s">
        <v>321</v>
      </c>
      <c r="L508" s="598" t="s">
        <v>321</v>
      </c>
      <c r="M508" s="598" t="s">
        <v>3309</v>
      </c>
      <c r="N508" s="598" t="s">
        <v>3309</v>
      </c>
      <c r="O508" s="598" t="s">
        <v>3309</v>
      </c>
      <c r="P508" s="598" t="s">
        <v>3312</v>
      </c>
      <c r="Q508" s="598" t="s">
        <v>3309</v>
      </c>
      <c r="R508" s="598" t="s">
        <v>321</v>
      </c>
      <c r="S508" s="598" t="s">
        <v>321</v>
      </c>
      <c r="T508" s="598" t="s">
        <v>3309</v>
      </c>
      <c r="U508" s="598" t="s">
        <v>3309</v>
      </c>
      <c r="V508" s="598" t="s">
        <v>3309</v>
      </c>
      <c r="W508" s="598" t="s">
        <v>3309</v>
      </c>
      <c r="X508" s="598" t="s">
        <v>3309</v>
      </c>
      <c r="Y508" s="598" t="s">
        <v>321</v>
      </c>
      <c r="Z508" s="598" t="s">
        <v>321</v>
      </c>
      <c r="AA508" s="598" t="s">
        <v>321</v>
      </c>
      <c r="AB508" s="598" t="s">
        <v>321</v>
      </c>
      <c r="AC508" s="598" t="s">
        <v>321</v>
      </c>
      <c r="AD508" s="598" t="s">
        <v>321</v>
      </c>
      <c r="AE508" s="598" t="s">
        <v>321</v>
      </c>
      <c r="AF508" s="598" t="s">
        <v>321</v>
      </c>
      <c r="AG508" s="598" t="s">
        <v>321</v>
      </c>
      <c r="AH508" s="598" t="s">
        <v>321</v>
      </c>
      <c r="AI508" s="598" t="s">
        <v>321</v>
      </c>
      <c r="AJ508" s="599">
        <v>21</v>
      </c>
      <c r="AK508" s="600">
        <v>13</v>
      </c>
      <c r="AL508" s="602">
        <v>2</v>
      </c>
      <c r="AM508" s="601">
        <v>0</v>
      </c>
      <c r="AN508" s="599">
        <v>15</v>
      </c>
    </row>
    <row r="509" spans="1:40" ht="16.5" customHeight="1">
      <c r="A509" s="598" t="s">
        <v>3307</v>
      </c>
      <c r="B509" s="598" t="s">
        <v>3333</v>
      </c>
      <c r="C509" s="598" t="s">
        <v>2241</v>
      </c>
      <c r="D509" s="598" t="s">
        <v>2242</v>
      </c>
      <c r="E509" s="598" t="s">
        <v>321</v>
      </c>
      <c r="F509" s="598" t="s">
        <v>3309</v>
      </c>
      <c r="G509" s="598" t="s">
        <v>3309</v>
      </c>
      <c r="H509" s="598" t="s">
        <v>3309</v>
      </c>
      <c r="I509" s="598" t="s">
        <v>3309</v>
      </c>
      <c r="J509" s="598" t="s">
        <v>3309</v>
      </c>
      <c r="K509" s="598" t="s">
        <v>321</v>
      </c>
      <c r="L509" s="598" t="s">
        <v>321</v>
      </c>
      <c r="M509" s="598" t="s">
        <v>3309</v>
      </c>
      <c r="N509" s="598" t="s">
        <v>3309</v>
      </c>
      <c r="O509" s="598" t="s">
        <v>3309</v>
      </c>
      <c r="P509" s="598" t="s">
        <v>3309</v>
      </c>
      <c r="Q509" s="598" t="s">
        <v>3309</v>
      </c>
      <c r="R509" s="598" t="s">
        <v>321</v>
      </c>
      <c r="S509" s="598" t="s">
        <v>321</v>
      </c>
      <c r="T509" s="598" t="s">
        <v>3309</v>
      </c>
      <c r="U509" s="598" t="s">
        <v>3309</v>
      </c>
      <c r="V509" s="598" t="s">
        <v>3309</v>
      </c>
      <c r="W509" s="598" t="s">
        <v>3309</v>
      </c>
      <c r="X509" s="598" t="s">
        <v>3309</v>
      </c>
      <c r="Y509" s="598" t="s">
        <v>321</v>
      </c>
      <c r="Z509" s="598" t="s">
        <v>321</v>
      </c>
      <c r="AA509" s="598" t="s">
        <v>3309</v>
      </c>
      <c r="AB509" s="598" t="s">
        <v>3309</v>
      </c>
      <c r="AC509" s="598" t="s">
        <v>3309</v>
      </c>
      <c r="AD509" s="598" t="s">
        <v>3312</v>
      </c>
      <c r="AE509" s="598" t="s">
        <v>3312</v>
      </c>
      <c r="AF509" s="598" t="s">
        <v>321</v>
      </c>
      <c r="AG509" s="598" t="s">
        <v>321</v>
      </c>
      <c r="AH509" s="598" t="s">
        <v>3309</v>
      </c>
      <c r="AI509" s="598" t="s">
        <v>321</v>
      </c>
      <c r="AJ509" s="599">
        <v>21</v>
      </c>
      <c r="AK509" s="600">
        <v>19</v>
      </c>
      <c r="AL509" s="602">
        <v>2</v>
      </c>
      <c r="AM509" s="601">
        <v>0</v>
      </c>
      <c r="AN509" s="599">
        <v>21</v>
      </c>
    </row>
    <row r="510" spans="1:40" ht="16.5" customHeight="1">
      <c r="A510" s="598" t="s">
        <v>3307</v>
      </c>
      <c r="B510" s="598" t="s">
        <v>3333</v>
      </c>
      <c r="C510" s="598" t="s">
        <v>2285</v>
      </c>
      <c r="D510" s="598" t="s">
        <v>2286</v>
      </c>
      <c r="E510" s="598" t="s">
        <v>321</v>
      </c>
      <c r="F510" s="598" t="s">
        <v>3309</v>
      </c>
      <c r="G510" s="598" t="s">
        <v>3309</v>
      </c>
      <c r="H510" s="598" t="s">
        <v>3309</v>
      </c>
      <c r="I510" s="598" t="s">
        <v>3313</v>
      </c>
      <c r="J510" s="598" t="s">
        <v>3313</v>
      </c>
      <c r="K510" s="598" t="s">
        <v>321</v>
      </c>
      <c r="L510" s="598" t="s">
        <v>321</v>
      </c>
      <c r="M510" s="598" t="s">
        <v>3309</v>
      </c>
      <c r="N510" s="598" t="s">
        <v>3309</v>
      </c>
      <c r="O510" s="598" t="s">
        <v>3309</v>
      </c>
      <c r="P510" s="598" t="s">
        <v>3309</v>
      </c>
      <c r="Q510" s="598" t="s">
        <v>3309</v>
      </c>
      <c r="R510" s="598" t="s">
        <v>321</v>
      </c>
      <c r="S510" s="598" t="s">
        <v>321</v>
      </c>
      <c r="T510" s="598" t="s">
        <v>3309</v>
      </c>
      <c r="U510" s="598" t="s">
        <v>3309</v>
      </c>
      <c r="V510" s="598" t="s">
        <v>3309</v>
      </c>
      <c r="W510" s="598" t="s">
        <v>3309</v>
      </c>
      <c r="X510" s="598" t="s">
        <v>3309</v>
      </c>
      <c r="Y510" s="598" t="s">
        <v>321</v>
      </c>
      <c r="Z510" s="598" t="s">
        <v>321</v>
      </c>
      <c r="AA510" s="598" t="s">
        <v>3309</v>
      </c>
      <c r="AB510" s="598" t="s">
        <v>3309</v>
      </c>
      <c r="AC510" s="598" t="s">
        <v>3309</v>
      </c>
      <c r="AD510" s="598" t="s">
        <v>3309</v>
      </c>
      <c r="AE510" s="598" t="s">
        <v>3309</v>
      </c>
      <c r="AF510" s="598" t="s">
        <v>321</v>
      </c>
      <c r="AG510" s="598" t="s">
        <v>321</v>
      </c>
      <c r="AH510" s="598" t="s">
        <v>3309</v>
      </c>
      <c r="AI510" s="598" t="s">
        <v>321</v>
      </c>
      <c r="AJ510" s="599">
        <v>21</v>
      </c>
      <c r="AK510" s="600">
        <v>21</v>
      </c>
      <c r="AL510" s="601">
        <v>0</v>
      </c>
      <c r="AM510" s="601">
        <v>0</v>
      </c>
      <c r="AN510" s="599">
        <v>21</v>
      </c>
    </row>
    <row r="511" spans="1:40" ht="16.5" customHeight="1">
      <c r="A511" s="598" t="s">
        <v>3307</v>
      </c>
      <c r="B511" s="598" t="s">
        <v>3333</v>
      </c>
      <c r="C511" s="598" t="s">
        <v>1856</v>
      </c>
      <c r="D511" s="598" t="s">
        <v>1857</v>
      </c>
      <c r="E511" s="598" t="s">
        <v>321</v>
      </c>
      <c r="F511" s="598" t="s">
        <v>3309</v>
      </c>
      <c r="G511" s="598" t="s">
        <v>3309</v>
      </c>
      <c r="H511" s="598" t="s">
        <v>3309</v>
      </c>
      <c r="I511" s="598" t="s">
        <v>3313</v>
      </c>
      <c r="J511" s="598" t="s">
        <v>3313</v>
      </c>
      <c r="K511" s="598" t="s">
        <v>321</v>
      </c>
      <c r="L511" s="598" t="s">
        <v>321</v>
      </c>
      <c r="M511" s="598" t="s">
        <v>3309</v>
      </c>
      <c r="N511" s="598" t="s">
        <v>3309</v>
      </c>
      <c r="O511" s="598" t="s">
        <v>3309</v>
      </c>
      <c r="P511" s="598" t="s">
        <v>3309</v>
      </c>
      <c r="Q511" s="598" t="s">
        <v>3309</v>
      </c>
      <c r="R511" s="598" t="s">
        <v>321</v>
      </c>
      <c r="S511" s="598" t="s">
        <v>321</v>
      </c>
      <c r="T511" s="598" t="s">
        <v>3309</v>
      </c>
      <c r="U511" s="598" t="s">
        <v>3309</v>
      </c>
      <c r="V511" s="598" t="s">
        <v>3309</v>
      </c>
      <c r="W511" s="598" t="s">
        <v>3309</v>
      </c>
      <c r="X511" s="598" t="s">
        <v>3309</v>
      </c>
      <c r="Y511" s="598" t="s">
        <v>321</v>
      </c>
      <c r="Z511" s="598" t="s">
        <v>321</v>
      </c>
      <c r="AA511" s="598" t="s">
        <v>3309</v>
      </c>
      <c r="AB511" s="598" t="s">
        <v>3309</v>
      </c>
      <c r="AC511" s="598" t="s">
        <v>3312</v>
      </c>
      <c r="AD511" s="598" t="s">
        <v>3309</v>
      </c>
      <c r="AE511" s="598" t="s">
        <v>3309</v>
      </c>
      <c r="AF511" s="598" t="s">
        <v>321</v>
      </c>
      <c r="AG511" s="598" t="s">
        <v>321</v>
      </c>
      <c r="AH511" s="598" t="s">
        <v>3309</v>
      </c>
      <c r="AI511" s="598" t="s">
        <v>321</v>
      </c>
      <c r="AJ511" s="599">
        <v>21</v>
      </c>
      <c r="AK511" s="600">
        <v>20</v>
      </c>
      <c r="AL511" s="602">
        <v>1</v>
      </c>
      <c r="AM511" s="601">
        <v>0</v>
      </c>
      <c r="AN511" s="599">
        <v>21</v>
      </c>
    </row>
    <row r="512" spans="1:40" ht="16.5" customHeight="1">
      <c r="A512" s="598" t="s">
        <v>3307</v>
      </c>
      <c r="B512" s="598" t="s">
        <v>3333</v>
      </c>
      <c r="C512" s="598" t="s">
        <v>2421</v>
      </c>
      <c r="D512" s="598" t="s">
        <v>2111</v>
      </c>
      <c r="E512" s="598" t="s">
        <v>321</v>
      </c>
      <c r="F512" s="598" t="s">
        <v>3309</v>
      </c>
      <c r="G512" s="598" t="s">
        <v>3309</v>
      </c>
      <c r="H512" s="598" t="s">
        <v>3309</v>
      </c>
      <c r="I512" s="598" t="s">
        <v>3309</v>
      </c>
      <c r="J512" s="598" t="s">
        <v>3309</v>
      </c>
      <c r="K512" s="598" t="s">
        <v>321</v>
      </c>
      <c r="L512" s="598" t="s">
        <v>321</v>
      </c>
      <c r="M512" s="598" t="s">
        <v>3309</v>
      </c>
      <c r="N512" s="598" t="s">
        <v>3309</v>
      </c>
      <c r="O512" s="598" t="s">
        <v>3309</v>
      </c>
      <c r="P512" s="598" t="s">
        <v>3309</v>
      </c>
      <c r="Q512" s="598" t="s">
        <v>3309</v>
      </c>
      <c r="R512" s="598" t="s">
        <v>321</v>
      </c>
      <c r="S512" s="598" t="s">
        <v>321</v>
      </c>
      <c r="T512" s="598" t="s">
        <v>3309</v>
      </c>
      <c r="U512" s="598" t="s">
        <v>3309</v>
      </c>
      <c r="V512" s="598" t="s">
        <v>3309</v>
      </c>
      <c r="W512" s="598" t="s">
        <v>3309</v>
      </c>
      <c r="X512" s="598" t="s">
        <v>3309</v>
      </c>
      <c r="Y512" s="598" t="s">
        <v>321</v>
      </c>
      <c r="Z512" s="598" t="s">
        <v>321</v>
      </c>
      <c r="AA512" s="598" t="s">
        <v>3309</v>
      </c>
      <c r="AB512" s="598" t="s">
        <v>3309</v>
      </c>
      <c r="AC512" s="598" t="s">
        <v>3309</v>
      </c>
      <c r="AD512" s="598" t="s">
        <v>3312</v>
      </c>
      <c r="AE512" s="598" t="s">
        <v>3312</v>
      </c>
      <c r="AF512" s="598" t="s">
        <v>321</v>
      </c>
      <c r="AG512" s="598" t="s">
        <v>321</v>
      </c>
      <c r="AH512" s="598" t="s">
        <v>3309</v>
      </c>
      <c r="AI512" s="598" t="s">
        <v>321</v>
      </c>
      <c r="AJ512" s="599">
        <v>21</v>
      </c>
      <c r="AK512" s="600">
        <v>19</v>
      </c>
      <c r="AL512" s="602">
        <v>2</v>
      </c>
      <c r="AM512" s="601">
        <v>0</v>
      </c>
      <c r="AN512" s="599">
        <v>21</v>
      </c>
    </row>
    <row r="513" spans="1:40" ht="16.5" customHeight="1">
      <c r="A513" s="598" t="s">
        <v>3307</v>
      </c>
      <c r="B513" s="598" t="s">
        <v>3333</v>
      </c>
      <c r="C513" s="598" t="s">
        <v>2604</v>
      </c>
      <c r="D513" s="598" t="s">
        <v>2461</v>
      </c>
      <c r="E513" s="598" t="s">
        <v>321</v>
      </c>
      <c r="F513" s="598" t="s">
        <v>3309</v>
      </c>
      <c r="G513" s="598" t="s">
        <v>3309</v>
      </c>
      <c r="H513" s="598" t="s">
        <v>3309</v>
      </c>
      <c r="I513" s="598" t="s">
        <v>3313</v>
      </c>
      <c r="J513" s="598" t="s">
        <v>3313</v>
      </c>
      <c r="K513" s="598" t="s">
        <v>321</v>
      </c>
      <c r="L513" s="598" t="s">
        <v>321</v>
      </c>
      <c r="M513" s="598" t="s">
        <v>3309</v>
      </c>
      <c r="N513" s="598" t="s">
        <v>3309</v>
      </c>
      <c r="O513" s="598" t="s">
        <v>3309</v>
      </c>
      <c r="P513" s="598" t="s">
        <v>3309</v>
      </c>
      <c r="Q513" s="598" t="s">
        <v>3309</v>
      </c>
      <c r="R513" s="598" t="s">
        <v>321</v>
      </c>
      <c r="S513" s="598" t="s">
        <v>321</v>
      </c>
      <c r="T513" s="598" t="s">
        <v>3309</v>
      </c>
      <c r="U513" s="598" t="s">
        <v>3309</v>
      </c>
      <c r="V513" s="598" t="s">
        <v>3309</v>
      </c>
      <c r="W513" s="598" t="s">
        <v>3309</v>
      </c>
      <c r="X513" s="598" t="s">
        <v>3309</v>
      </c>
      <c r="Y513" s="598" t="s">
        <v>321</v>
      </c>
      <c r="Z513" s="598" t="s">
        <v>321</v>
      </c>
      <c r="AA513" s="598" t="s">
        <v>3309</v>
      </c>
      <c r="AB513" s="598" t="s">
        <v>3309</v>
      </c>
      <c r="AC513" s="598" t="s">
        <v>3309</v>
      </c>
      <c r="AD513" s="598" t="s">
        <v>3309</v>
      </c>
      <c r="AE513" s="598" t="s">
        <v>3309</v>
      </c>
      <c r="AF513" s="598" t="s">
        <v>321</v>
      </c>
      <c r="AG513" s="598" t="s">
        <v>321</v>
      </c>
      <c r="AH513" s="598" t="s">
        <v>3309</v>
      </c>
      <c r="AI513" s="598" t="s">
        <v>321</v>
      </c>
      <c r="AJ513" s="599">
        <v>21</v>
      </c>
      <c r="AK513" s="600">
        <v>21</v>
      </c>
      <c r="AL513" s="601">
        <v>0</v>
      </c>
      <c r="AM513" s="601">
        <v>0</v>
      </c>
      <c r="AN513" s="599">
        <v>21</v>
      </c>
    </row>
    <row r="514" spans="1:40" ht="16.5" customHeight="1">
      <c r="A514" s="598" t="s">
        <v>3307</v>
      </c>
      <c r="B514" s="598" t="s">
        <v>3333</v>
      </c>
      <c r="C514" s="598" t="s">
        <v>1721</v>
      </c>
      <c r="D514" s="598" t="s">
        <v>1722</v>
      </c>
      <c r="E514" s="598" t="s">
        <v>321</v>
      </c>
      <c r="F514" s="598" t="s">
        <v>3309</v>
      </c>
      <c r="G514" s="598" t="s">
        <v>3309</v>
      </c>
      <c r="H514" s="598" t="s">
        <v>3309</v>
      </c>
      <c r="I514" s="598" t="s">
        <v>3309</v>
      </c>
      <c r="J514" s="598" t="s">
        <v>3309</v>
      </c>
      <c r="K514" s="598" t="s">
        <v>321</v>
      </c>
      <c r="L514" s="598" t="s">
        <v>321</v>
      </c>
      <c r="M514" s="598" t="s">
        <v>3309</v>
      </c>
      <c r="N514" s="598" t="s">
        <v>3309</v>
      </c>
      <c r="O514" s="598" t="s">
        <v>3309</v>
      </c>
      <c r="P514" s="598" t="s">
        <v>3309</v>
      </c>
      <c r="Q514" s="598" t="s">
        <v>3309</v>
      </c>
      <c r="R514" s="598" t="s">
        <v>321</v>
      </c>
      <c r="S514" s="598" t="s">
        <v>321</v>
      </c>
      <c r="T514" s="598" t="s">
        <v>3309</v>
      </c>
      <c r="U514" s="598" t="s">
        <v>3309</v>
      </c>
      <c r="V514" s="598" t="s">
        <v>3309</v>
      </c>
      <c r="W514" s="598" t="s">
        <v>3309</v>
      </c>
      <c r="X514" s="598" t="s">
        <v>3309</v>
      </c>
      <c r="Y514" s="598" t="s">
        <v>321</v>
      </c>
      <c r="Z514" s="598" t="s">
        <v>321</v>
      </c>
      <c r="AA514" s="598" t="s">
        <v>3309</v>
      </c>
      <c r="AB514" s="598" t="s">
        <v>3309</v>
      </c>
      <c r="AC514" s="598" t="s">
        <v>3309</v>
      </c>
      <c r="AD514" s="598" t="s">
        <v>3309</v>
      </c>
      <c r="AE514" s="598" t="s">
        <v>3309</v>
      </c>
      <c r="AF514" s="598" t="s">
        <v>321</v>
      </c>
      <c r="AG514" s="598" t="s">
        <v>321</v>
      </c>
      <c r="AH514" s="598" t="s">
        <v>3309</v>
      </c>
      <c r="AI514" s="598" t="s">
        <v>321</v>
      </c>
      <c r="AJ514" s="599">
        <v>21</v>
      </c>
      <c r="AK514" s="600">
        <v>21</v>
      </c>
      <c r="AL514" s="601">
        <v>0</v>
      </c>
      <c r="AM514" s="601">
        <v>0</v>
      </c>
      <c r="AN514" s="599">
        <v>21</v>
      </c>
    </row>
    <row r="515" spans="1:40" ht="16.5" customHeight="1">
      <c r="A515" s="598" t="s">
        <v>3307</v>
      </c>
      <c r="B515" s="598" t="s">
        <v>3333</v>
      </c>
      <c r="C515" s="598" t="s">
        <v>719</v>
      </c>
      <c r="D515" s="598" t="s">
        <v>720</v>
      </c>
      <c r="E515" s="598" t="s">
        <v>321</v>
      </c>
      <c r="F515" s="598" t="s">
        <v>3309</v>
      </c>
      <c r="G515" s="598" t="s">
        <v>3309</v>
      </c>
      <c r="H515" s="598" t="s">
        <v>3309</v>
      </c>
      <c r="I515" s="598" t="s">
        <v>3313</v>
      </c>
      <c r="J515" s="598" t="s">
        <v>3313</v>
      </c>
      <c r="K515" s="598" t="s">
        <v>321</v>
      </c>
      <c r="L515" s="598" t="s">
        <v>321</v>
      </c>
      <c r="M515" s="598" t="s">
        <v>3309</v>
      </c>
      <c r="N515" s="598" t="s">
        <v>3309</v>
      </c>
      <c r="O515" s="598" t="s">
        <v>3309</v>
      </c>
      <c r="P515" s="598" t="s">
        <v>3309</v>
      </c>
      <c r="Q515" s="598" t="s">
        <v>3309</v>
      </c>
      <c r="R515" s="598" t="s">
        <v>321</v>
      </c>
      <c r="S515" s="598" t="s">
        <v>321</v>
      </c>
      <c r="T515" s="598" t="s">
        <v>3309</v>
      </c>
      <c r="U515" s="598" t="s">
        <v>3309</v>
      </c>
      <c r="V515" s="598" t="s">
        <v>3309</v>
      </c>
      <c r="W515" s="598" t="s">
        <v>3309</v>
      </c>
      <c r="X515" s="598" t="s">
        <v>3309</v>
      </c>
      <c r="Y515" s="598" t="s">
        <v>321</v>
      </c>
      <c r="Z515" s="598" t="s">
        <v>321</v>
      </c>
      <c r="AA515" s="598" t="s">
        <v>3309</v>
      </c>
      <c r="AB515" s="598" t="s">
        <v>3309</v>
      </c>
      <c r="AC515" s="598" t="s">
        <v>3309</v>
      </c>
      <c r="AD515" s="598" t="s">
        <v>3309</v>
      </c>
      <c r="AE515" s="598" t="s">
        <v>3309</v>
      </c>
      <c r="AF515" s="598" t="s">
        <v>321</v>
      </c>
      <c r="AG515" s="598" t="s">
        <v>321</v>
      </c>
      <c r="AH515" s="598" t="s">
        <v>3309</v>
      </c>
      <c r="AI515" s="598" t="s">
        <v>321</v>
      </c>
      <c r="AJ515" s="599">
        <v>21</v>
      </c>
      <c r="AK515" s="600">
        <v>21</v>
      </c>
      <c r="AL515" s="601">
        <v>0</v>
      </c>
      <c r="AM515" s="601">
        <v>0</v>
      </c>
      <c r="AN515" s="599">
        <v>21</v>
      </c>
    </row>
    <row r="516" spans="1:40" ht="16.5" customHeight="1">
      <c r="A516" s="598" t="s">
        <v>3307</v>
      </c>
      <c r="B516" s="598" t="s">
        <v>3333</v>
      </c>
      <c r="C516" s="598" t="s">
        <v>1216</v>
      </c>
      <c r="D516" s="598" t="s">
        <v>1217</v>
      </c>
      <c r="E516" s="598" t="s">
        <v>321</v>
      </c>
      <c r="F516" s="598" t="s">
        <v>3309</v>
      </c>
      <c r="G516" s="598" t="s">
        <v>3309</v>
      </c>
      <c r="H516" s="598" t="s">
        <v>3309</v>
      </c>
      <c r="I516" s="598" t="s">
        <v>3309</v>
      </c>
      <c r="J516" s="598" t="s">
        <v>3309</v>
      </c>
      <c r="K516" s="598" t="s">
        <v>321</v>
      </c>
      <c r="L516" s="598" t="s">
        <v>321</v>
      </c>
      <c r="M516" s="598" t="s">
        <v>3309</v>
      </c>
      <c r="N516" s="598" t="s">
        <v>3309</v>
      </c>
      <c r="O516" s="598" t="s">
        <v>3309</v>
      </c>
      <c r="P516" s="598" t="s">
        <v>3309</v>
      </c>
      <c r="Q516" s="598" t="s">
        <v>3309</v>
      </c>
      <c r="R516" s="598" t="s">
        <v>321</v>
      </c>
      <c r="S516" s="598" t="s">
        <v>321</v>
      </c>
      <c r="T516" s="598" t="s">
        <v>3309</v>
      </c>
      <c r="U516" s="598" t="s">
        <v>3309</v>
      </c>
      <c r="V516" s="598" t="s">
        <v>3309</v>
      </c>
      <c r="W516" s="598" t="s">
        <v>3309</v>
      </c>
      <c r="X516" s="598" t="s">
        <v>3309</v>
      </c>
      <c r="Y516" s="598" t="s">
        <v>321</v>
      </c>
      <c r="Z516" s="598" t="s">
        <v>321</v>
      </c>
      <c r="AA516" s="598" t="s">
        <v>3309</v>
      </c>
      <c r="AB516" s="598" t="s">
        <v>3309</v>
      </c>
      <c r="AC516" s="598" t="s">
        <v>3313</v>
      </c>
      <c r="AD516" s="598" t="s">
        <v>3313</v>
      </c>
      <c r="AE516" s="598" t="s">
        <v>3313</v>
      </c>
      <c r="AF516" s="598" t="s">
        <v>321</v>
      </c>
      <c r="AG516" s="598" t="s">
        <v>321</v>
      </c>
      <c r="AH516" s="598" t="s">
        <v>3309</v>
      </c>
      <c r="AI516" s="598" t="s">
        <v>321</v>
      </c>
      <c r="AJ516" s="599">
        <v>21</v>
      </c>
      <c r="AK516" s="600">
        <v>21</v>
      </c>
      <c r="AL516" s="601">
        <v>0</v>
      </c>
      <c r="AM516" s="601">
        <v>0</v>
      </c>
      <c r="AN516" s="599">
        <v>21</v>
      </c>
    </row>
    <row r="517" spans="1:40" ht="16.5" customHeight="1">
      <c r="A517" s="598" t="s">
        <v>3307</v>
      </c>
      <c r="B517" s="598" t="s">
        <v>3333</v>
      </c>
      <c r="C517" s="598" t="s">
        <v>2753</v>
      </c>
      <c r="D517" s="598" t="s">
        <v>1863</v>
      </c>
      <c r="E517" s="598" t="s">
        <v>321</v>
      </c>
      <c r="F517" s="598" t="s">
        <v>3309</v>
      </c>
      <c r="G517" s="598" t="s">
        <v>3309</v>
      </c>
      <c r="H517" s="598" t="s">
        <v>3309</v>
      </c>
      <c r="I517" s="598" t="s">
        <v>3313</v>
      </c>
      <c r="J517" s="598" t="s">
        <v>3313</v>
      </c>
      <c r="K517" s="598" t="s">
        <v>321</v>
      </c>
      <c r="L517" s="598" t="s">
        <v>321</v>
      </c>
      <c r="M517" s="598" t="s">
        <v>3309</v>
      </c>
      <c r="N517" s="598" t="s">
        <v>3309</v>
      </c>
      <c r="O517" s="598" t="s">
        <v>3309</v>
      </c>
      <c r="P517" s="598" t="s">
        <v>3309</v>
      </c>
      <c r="Q517" s="598" t="s">
        <v>3309</v>
      </c>
      <c r="R517" s="598" t="s">
        <v>321</v>
      </c>
      <c r="S517" s="598" t="s">
        <v>321</v>
      </c>
      <c r="T517" s="598" t="s">
        <v>3309</v>
      </c>
      <c r="U517" s="598" t="s">
        <v>3309</v>
      </c>
      <c r="V517" s="598" t="s">
        <v>3309</v>
      </c>
      <c r="W517" s="598" t="s">
        <v>3309</v>
      </c>
      <c r="X517" s="598" t="s">
        <v>3309</v>
      </c>
      <c r="Y517" s="598" t="s">
        <v>321</v>
      </c>
      <c r="Z517" s="598" t="s">
        <v>321</v>
      </c>
      <c r="AA517" s="598" t="s">
        <v>3309</v>
      </c>
      <c r="AB517" s="598" t="s">
        <v>3309</v>
      </c>
      <c r="AC517" s="598" t="s">
        <v>3309</v>
      </c>
      <c r="AD517" s="598" t="s">
        <v>3309</v>
      </c>
      <c r="AE517" s="598" t="s">
        <v>3309</v>
      </c>
      <c r="AF517" s="598" t="s">
        <v>321</v>
      </c>
      <c r="AG517" s="598" t="s">
        <v>321</v>
      </c>
      <c r="AH517" s="598" t="s">
        <v>3309</v>
      </c>
      <c r="AI517" s="598" t="s">
        <v>321</v>
      </c>
      <c r="AJ517" s="599">
        <v>21</v>
      </c>
      <c r="AK517" s="600">
        <v>21</v>
      </c>
      <c r="AL517" s="601">
        <v>0</v>
      </c>
      <c r="AM517" s="601">
        <v>0</v>
      </c>
      <c r="AN517" s="599">
        <v>21</v>
      </c>
    </row>
    <row r="518" spans="1:40" ht="16.5" customHeight="1">
      <c r="A518" s="598" t="s">
        <v>3307</v>
      </c>
      <c r="B518" s="598" t="s">
        <v>3333</v>
      </c>
      <c r="C518" s="598" t="s">
        <v>2169</v>
      </c>
      <c r="D518" s="598" t="s">
        <v>2170</v>
      </c>
      <c r="E518" s="598" t="s">
        <v>321</v>
      </c>
      <c r="F518" s="598" t="s">
        <v>3309</v>
      </c>
      <c r="G518" s="598" t="s">
        <v>3309</v>
      </c>
      <c r="H518" s="598" t="s">
        <v>3309</v>
      </c>
      <c r="I518" s="598" t="s">
        <v>3309</v>
      </c>
      <c r="J518" s="598" t="s">
        <v>3309</v>
      </c>
      <c r="K518" s="598" t="s">
        <v>321</v>
      </c>
      <c r="L518" s="598" t="s">
        <v>321</v>
      </c>
      <c r="M518" s="598" t="s">
        <v>3309</v>
      </c>
      <c r="N518" s="598" t="s">
        <v>3309</v>
      </c>
      <c r="O518" s="598" t="s">
        <v>3309</v>
      </c>
      <c r="P518" s="598" t="s">
        <v>3309</v>
      </c>
      <c r="Q518" s="598" t="s">
        <v>3309</v>
      </c>
      <c r="R518" s="598" t="s">
        <v>321</v>
      </c>
      <c r="S518" s="598" t="s">
        <v>321</v>
      </c>
      <c r="T518" s="598" t="s">
        <v>3309</v>
      </c>
      <c r="U518" s="598" t="s">
        <v>3309</v>
      </c>
      <c r="V518" s="598" t="s">
        <v>3309</v>
      </c>
      <c r="W518" s="598" t="s">
        <v>3309</v>
      </c>
      <c r="X518" s="598" t="s">
        <v>3309</v>
      </c>
      <c r="Y518" s="598" t="s">
        <v>321</v>
      </c>
      <c r="Z518" s="598" t="s">
        <v>321</v>
      </c>
      <c r="AA518" s="598" t="s">
        <v>3309</v>
      </c>
      <c r="AB518" s="598" t="s">
        <v>3309</v>
      </c>
      <c r="AC518" s="598" t="s">
        <v>3309</v>
      </c>
      <c r="AD518" s="598" t="s">
        <v>3309</v>
      </c>
      <c r="AE518" s="598" t="s">
        <v>3309</v>
      </c>
      <c r="AF518" s="598" t="s">
        <v>321</v>
      </c>
      <c r="AG518" s="598" t="s">
        <v>321</v>
      </c>
      <c r="AH518" s="598" t="s">
        <v>3309</v>
      </c>
      <c r="AI518" s="598" t="s">
        <v>321</v>
      </c>
      <c r="AJ518" s="599">
        <v>21</v>
      </c>
      <c r="AK518" s="600">
        <v>21</v>
      </c>
      <c r="AL518" s="601">
        <v>0</v>
      </c>
      <c r="AM518" s="601">
        <v>0</v>
      </c>
      <c r="AN518" s="599">
        <v>21</v>
      </c>
    </row>
    <row r="519" spans="1:40" ht="16.5" customHeight="1">
      <c r="A519" s="598" t="s">
        <v>3307</v>
      </c>
      <c r="B519" s="598" t="s">
        <v>3333</v>
      </c>
      <c r="C519" s="598" t="s">
        <v>1692</v>
      </c>
      <c r="D519" s="598" t="s">
        <v>1693</v>
      </c>
      <c r="E519" s="598" t="s">
        <v>321</v>
      </c>
      <c r="F519" s="598" t="s">
        <v>3309</v>
      </c>
      <c r="G519" s="598" t="s">
        <v>3314</v>
      </c>
      <c r="H519" s="598" t="s">
        <v>3309</v>
      </c>
      <c r="I519" s="598" t="s">
        <v>3313</v>
      </c>
      <c r="J519" s="598" t="s">
        <v>3313</v>
      </c>
      <c r="K519" s="598" t="s">
        <v>321</v>
      </c>
      <c r="L519" s="598" t="s">
        <v>321</v>
      </c>
      <c r="M519" s="598" t="s">
        <v>3309</v>
      </c>
      <c r="N519" s="598" t="s">
        <v>3309</v>
      </c>
      <c r="O519" s="598" t="s">
        <v>3309</v>
      </c>
      <c r="P519" s="598" t="s">
        <v>3309</v>
      </c>
      <c r="Q519" s="598" t="s">
        <v>3309</v>
      </c>
      <c r="R519" s="598" t="s">
        <v>321</v>
      </c>
      <c r="S519" s="598" t="s">
        <v>321</v>
      </c>
      <c r="T519" s="598" t="s">
        <v>3309</v>
      </c>
      <c r="U519" s="598" t="s">
        <v>3309</v>
      </c>
      <c r="V519" s="598" t="s">
        <v>3309</v>
      </c>
      <c r="W519" s="598" t="s">
        <v>3309</v>
      </c>
      <c r="X519" s="598" t="s">
        <v>3309</v>
      </c>
      <c r="Y519" s="598" t="s">
        <v>321</v>
      </c>
      <c r="Z519" s="598" t="s">
        <v>321</v>
      </c>
      <c r="AA519" s="598" t="s">
        <v>3309</v>
      </c>
      <c r="AB519" s="598" t="s">
        <v>3309</v>
      </c>
      <c r="AC519" s="598" t="s">
        <v>3309</v>
      </c>
      <c r="AD519" s="598" t="s">
        <v>3309</v>
      </c>
      <c r="AE519" s="598" t="s">
        <v>3309</v>
      </c>
      <c r="AF519" s="598" t="s">
        <v>321</v>
      </c>
      <c r="AG519" s="598" t="s">
        <v>321</v>
      </c>
      <c r="AH519" s="598" t="s">
        <v>3309</v>
      </c>
      <c r="AI519" s="598" t="s">
        <v>321</v>
      </c>
      <c r="AJ519" s="599">
        <v>21</v>
      </c>
      <c r="AK519" s="603">
        <v>20.5</v>
      </c>
      <c r="AL519" s="604">
        <v>0.5</v>
      </c>
      <c r="AM519" s="601">
        <v>0</v>
      </c>
      <c r="AN519" s="599">
        <v>21</v>
      </c>
    </row>
    <row r="520" spans="1:40" ht="16.5" customHeight="1">
      <c r="A520" s="598" t="s">
        <v>3307</v>
      </c>
      <c r="B520" s="598" t="s">
        <v>3333</v>
      </c>
      <c r="C520" s="598" t="s">
        <v>1548</v>
      </c>
      <c r="D520" s="598" t="s">
        <v>1549</v>
      </c>
      <c r="E520" s="598" t="s">
        <v>321</v>
      </c>
      <c r="F520" s="598" t="s">
        <v>3309</v>
      </c>
      <c r="G520" s="598" t="s">
        <v>3309</v>
      </c>
      <c r="H520" s="598" t="s">
        <v>3309</v>
      </c>
      <c r="I520" s="598" t="s">
        <v>3313</v>
      </c>
      <c r="J520" s="598" t="s">
        <v>3313</v>
      </c>
      <c r="K520" s="598" t="s">
        <v>321</v>
      </c>
      <c r="L520" s="598" t="s">
        <v>321</v>
      </c>
      <c r="M520" s="598" t="s">
        <v>3309</v>
      </c>
      <c r="N520" s="598" t="s">
        <v>3309</v>
      </c>
      <c r="O520" s="598" t="s">
        <v>3309</v>
      </c>
      <c r="P520" s="598" t="s">
        <v>3309</v>
      </c>
      <c r="Q520" s="598" t="s">
        <v>3312</v>
      </c>
      <c r="R520" s="598" t="s">
        <v>321</v>
      </c>
      <c r="S520" s="598" t="s">
        <v>321</v>
      </c>
      <c r="T520" s="598" t="s">
        <v>3309</v>
      </c>
      <c r="U520" s="598" t="s">
        <v>3309</v>
      </c>
      <c r="V520" s="598" t="s">
        <v>3309</v>
      </c>
      <c r="W520" s="598" t="s">
        <v>3309</v>
      </c>
      <c r="X520" s="598" t="s">
        <v>3309</v>
      </c>
      <c r="Y520" s="598" t="s">
        <v>321</v>
      </c>
      <c r="Z520" s="598" t="s">
        <v>321</v>
      </c>
      <c r="AA520" s="598" t="s">
        <v>3309</v>
      </c>
      <c r="AB520" s="598" t="s">
        <v>3309</v>
      </c>
      <c r="AC520" s="598" t="s">
        <v>3309</v>
      </c>
      <c r="AD520" s="598" t="s">
        <v>3309</v>
      </c>
      <c r="AE520" s="598" t="s">
        <v>3309</v>
      </c>
      <c r="AF520" s="598" t="s">
        <v>321</v>
      </c>
      <c r="AG520" s="598" t="s">
        <v>321</v>
      </c>
      <c r="AH520" s="598" t="s">
        <v>3309</v>
      </c>
      <c r="AI520" s="598" t="s">
        <v>321</v>
      </c>
      <c r="AJ520" s="599">
        <v>21</v>
      </c>
      <c r="AK520" s="600">
        <v>20</v>
      </c>
      <c r="AL520" s="602">
        <v>1</v>
      </c>
      <c r="AM520" s="601">
        <v>0</v>
      </c>
      <c r="AN520" s="599">
        <v>21</v>
      </c>
    </row>
    <row r="521" spans="1:40" ht="16.5" customHeight="1">
      <c r="A521" s="598" t="s">
        <v>3307</v>
      </c>
      <c r="B521" s="598" t="s">
        <v>3333</v>
      </c>
      <c r="C521" s="598" t="s">
        <v>2765</v>
      </c>
      <c r="D521" s="598" t="s">
        <v>2766</v>
      </c>
      <c r="E521" s="598" t="s">
        <v>321</v>
      </c>
      <c r="F521" s="598" t="s">
        <v>3309</v>
      </c>
      <c r="G521" s="598" t="s">
        <v>3309</v>
      </c>
      <c r="H521" s="598" t="s">
        <v>3309</v>
      </c>
      <c r="I521" s="598" t="s">
        <v>3313</v>
      </c>
      <c r="J521" s="598" t="s">
        <v>3313</v>
      </c>
      <c r="K521" s="598" t="s">
        <v>321</v>
      </c>
      <c r="L521" s="598" t="s">
        <v>321</v>
      </c>
      <c r="M521" s="598" t="s">
        <v>3309</v>
      </c>
      <c r="N521" s="598" t="s">
        <v>3309</v>
      </c>
      <c r="O521" s="598" t="s">
        <v>3309</v>
      </c>
      <c r="P521" s="598" t="s">
        <v>3309</v>
      </c>
      <c r="Q521" s="598" t="s">
        <v>3309</v>
      </c>
      <c r="R521" s="598" t="s">
        <v>321</v>
      </c>
      <c r="S521" s="598" t="s">
        <v>321</v>
      </c>
      <c r="T521" s="598" t="s">
        <v>3309</v>
      </c>
      <c r="U521" s="598" t="s">
        <v>3309</v>
      </c>
      <c r="V521" s="598" t="s">
        <v>3309</v>
      </c>
      <c r="W521" s="598" t="s">
        <v>3309</v>
      </c>
      <c r="X521" s="598" t="s">
        <v>3309</v>
      </c>
      <c r="Y521" s="598" t="s">
        <v>321</v>
      </c>
      <c r="Z521" s="598" t="s">
        <v>321</v>
      </c>
      <c r="AA521" s="598" t="s">
        <v>3309</v>
      </c>
      <c r="AB521" s="598" t="s">
        <v>3309</v>
      </c>
      <c r="AC521" s="598" t="s">
        <v>3309</v>
      </c>
      <c r="AD521" s="598" t="s">
        <v>3309</v>
      </c>
      <c r="AE521" s="598" t="s">
        <v>3312</v>
      </c>
      <c r="AF521" s="598" t="s">
        <v>321</v>
      </c>
      <c r="AG521" s="598" t="s">
        <v>321</v>
      </c>
      <c r="AH521" s="598" t="s">
        <v>3309</v>
      </c>
      <c r="AI521" s="598" t="s">
        <v>321</v>
      </c>
      <c r="AJ521" s="599">
        <v>21</v>
      </c>
      <c r="AK521" s="600">
        <v>20</v>
      </c>
      <c r="AL521" s="602">
        <v>1</v>
      </c>
      <c r="AM521" s="601">
        <v>0</v>
      </c>
      <c r="AN521" s="599">
        <v>21</v>
      </c>
    </row>
    <row r="522" spans="1:40" ht="16.5" customHeight="1">
      <c r="A522" s="598" t="s">
        <v>3307</v>
      </c>
      <c r="B522" s="598" t="s">
        <v>3333</v>
      </c>
      <c r="C522" s="598" t="s">
        <v>2746</v>
      </c>
      <c r="D522" s="598" t="s">
        <v>2747</v>
      </c>
      <c r="E522" s="598" t="s">
        <v>321</v>
      </c>
      <c r="F522" s="598" t="s">
        <v>3309</v>
      </c>
      <c r="G522" s="598" t="s">
        <v>3309</v>
      </c>
      <c r="H522" s="598" t="s">
        <v>3309</v>
      </c>
      <c r="I522" s="598" t="s">
        <v>3313</v>
      </c>
      <c r="J522" s="598" t="s">
        <v>3313</v>
      </c>
      <c r="K522" s="598" t="s">
        <v>321</v>
      </c>
      <c r="L522" s="598" t="s">
        <v>321</v>
      </c>
      <c r="M522" s="598" t="s">
        <v>3309</v>
      </c>
      <c r="N522" s="598" t="s">
        <v>3309</v>
      </c>
      <c r="O522" s="598" t="s">
        <v>3309</v>
      </c>
      <c r="P522" s="598" t="s">
        <v>3309</v>
      </c>
      <c r="Q522" s="598" t="s">
        <v>3309</v>
      </c>
      <c r="R522" s="598" t="s">
        <v>321</v>
      </c>
      <c r="S522" s="598" t="s">
        <v>321</v>
      </c>
      <c r="T522" s="598" t="s">
        <v>3309</v>
      </c>
      <c r="U522" s="598" t="s">
        <v>3309</v>
      </c>
      <c r="V522" s="598" t="s">
        <v>3309</v>
      </c>
      <c r="W522" s="598" t="s">
        <v>3309</v>
      </c>
      <c r="X522" s="598" t="s">
        <v>3309</v>
      </c>
      <c r="Y522" s="598" t="s">
        <v>321</v>
      </c>
      <c r="Z522" s="598" t="s">
        <v>321</v>
      </c>
      <c r="AA522" s="598" t="s">
        <v>3309</v>
      </c>
      <c r="AB522" s="598" t="s">
        <v>3309</v>
      </c>
      <c r="AC522" s="598" t="s">
        <v>3309</v>
      </c>
      <c r="AD522" s="598" t="s">
        <v>3309</v>
      </c>
      <c r="AE522" s="598" t="s">
        <v>3309</v>
      </c>
      <c r="AF522" s="598" t="s">
        <v>321</v>
      </c>
      <c r="AG522" s="598" t="s">
        <v>321</v>
      </c>
      <c r="AH522" s="598" t="s">
        <v>3309</v>
      </c>
      <c r="AI522" s="598" t="s">
        <v>321</v>
      </c>
      <c r="AJ522" s="599">
        <v>21</v>
      </c>
      <c r="AK522" s="600">
        <v>21</v>
      </c>
      <c r="AL522" s="601">
        <v>0</v>
      </c>
      <c r="AM522" s="601">
        <v>0</v>
      </c>
      <c r="AN522" s="599">
        <v>21</v>
      </c>
    </row>
    <row r="523" spans="1:40" ht="16.5" customHeight="1">
      <c r="A523" s="598" t="s">
        <v>3307</v>
      </c>
      <c r="B523" s="598" t="s">
        <v>3333</v>
      </c>
      <c r="C523" s="598" t="s">
        <v>1042</v>
      </c>
      <c r="D523" s="598" t="s">
        <v>1043</v>
      </c>
      <c r="E523" s="598" t="s">
        <v>321</v>
      </c>
      <c r="F523" s="598" t="s">
        <v>3309</v>
      </c>
      <c r="G523" s="598" t="s">
        <v>3309</v>
      </c>
      <c r="H523" s="598" t="s">
        <v>3309</v>
      </c>
      <c r="I523" s="598" t="s">
        <v>3313</v>
      </c>
      <c r="J523" s="598" t="s">
        <v>3313</v>
      </c>
      <c r="K523" s="598" t="s">
        <v>321</v>
      </c>
      <c r="L523" s="598" t="s">
        <v>321</v>
      </c>
      <c r="M523" s="598" t="s">
        <v>3309</v>
      </c>
      <c r="N523" s="598" t="s">
        <v>3309</v>
      </c>
      <c r="O523" s="598" t="s">
        <v>3309</v>
      </c>
      <c r="P523" s="598" t="s">
        <v>3309</v>
      </c>
      <c r="Q523" s="598" t="s">
        <v>3309</v>
      </c>
      <c r="R523" s="598" t="s">
        <v>321</v>
      </c>
      <c r="S523" s="598" t="s">
        <v>321</v>
      </c>
      <c r="T523" s="598" t="s">
        <v>3309</v>
      </c>
      <c r="U523" s="598" t="s">
        <v>3309</v>
      </c>
      <c r="V523" s="598" t="s">
        <v>3309</v>
      </c>
      <c r="W523" s="598" t="s">
        <v>3309</v>
      </c>
      <c r="X523" s="598" t="s">
        <v>3309</v>
      </c>
      <c r="Y523" s="598" t="s">
        <v>321</v>
      </c>
      <c r="Z523" s="598" t="s">
        <v>321</v>
      </c>
      <c r="AA523" s="598" t="s">
        <v>3309</v>
      </c>
      <c r="AB523" s="598" t="s">
        <v>3309</v>
      </c>
      <c r="AC523" s="598" t="s">
        <v>3309</v>
      </c>
      <c r="AD523" s="598" t="s">
        <v>3309</v>
      </c>
      <c r="AE523" s="598" t="s">
        <v>3309</v>
      </c>
      <c r="AF523" s="598" t="s">
        <v>321</v>
      </c>
      <c r="AG523" s="598" t="s">
        <v>321</v>
      </c>
      <c r="AH523" s="598" t="s">
        <v>3309</v>
      </c>
      <c r="AI523" s="598" t="s">
        <v>321</v>
      </c>
      <c r="AJ523" s="599">
        <v>21</v>
      </c>
      <c r="AK523" s="600">
        <v>21</v>
      </c>
      <c r="AL523" s="601">
        <v>0</v>
      </c>
      <c r="AM523" s="601">
        <v>0</v>
      </c>
      <c r="AN523" s="599">
        <v>21</v>
      </c>
    </row>
    <row r="524" spans="1:40" ht="16.5" customHeight="1">
      <c r="A524" s="598" t="s">
        <v>3307</v>
      </c>
      <c r="B524" s="598" t="s">
        <v>3333</v>
      </c>
      <c r="C524" s="598" t="s">
        <v>1591</v>
      </c>
      <c r="D524" s="598" t="s">
        <v>1592</v>
      </c>
      <c r="E524" s="598" t="s">
        <v>321</v>
      </c>
      <c r="F524" s="598" t="s">
        <v>3309</v>
      </c>
      <c r="G524" s="598" t="s">
        <v>3309</v>
      </c>
      <c r="H524" s="598" t="s">
        <v>3309</v>
      </c>
      <c r="I524" s="598" t="s">
        <v>3313</v>
      </c>
      <c r="J524" s="598" t="s">
        <v>3313</v>
      </c>
      <c r="K524" s="598" t="s">
        <v>321</v>
      </c>
      <c r="L524" s="598" t="s">
        <v>321</v>
      </c>
      <c r="M524" s="598" t="s">
        <v>3309</v>
      </c>
      <c r="N524" s="598" t="s">
        <v>3309</v>
      </c>
      <c r="O524" s="598" t="s">
        <v>3309</v>
      </c>
      <c r="P524" s="598" t="s">
        <v>3309</v>
      </c>
      <c r="Q524" s="598" t="s">
        <v>3309</v>
      </c>
      <c r="R524" s="598" t="s">
        <v>321</v>
      </c>
      <c r="S524" s="598" t="s">
        <v>321</v>
      </c>
      <c r="T524" s="598" t="s">
        <v>3309</v>
      </c>
      <c r="U524" s="598" t="s">
        <v>3309</v>
      </c>
      <c r="V524" s="598" t="s">
        <v>3309</v>
      </c>
      <c r="W524" s="598" t="s">
        <v>3309</v>
      </c>
      <c r="X524" s="598" t="s">
        <v>3309</v>
      </c>
      <c r="Y524" s="598" t="s">
        <v>321</v>
      </c>
      <c r="Z524" s="598" t="s">
        <v>321</v>
      </c>
      <c r="AA524" s="598" t="s">
        <v>3309</v>
      </c>
      <c r="AB524" s="598" t="s">
        <v>3309</v>
      </c>
      <c r="AC524" s="598" t="s">
        <v>3309</v>
      </c>
      <c r="AD524" s="598" t="s">
        <v>3309</v>
      </c>
      <c r="AE524" s="598" t="s">
        <v>3309</v>
      </c>
      <c r="AF524" s="598" t="s">
        <v>321</v>
      </c>
      <c r="AG524" s="598" t="s">
        <v>321</v>
      </c>
      <c r="AH524" s="598" t="s">
        <v>3309</v>
      </c>
      <c r="AI524" s="598" t="s">
        <v>321</v>
      </c>
      <c r="AJ524" s="599">
        <v>21</v>
      </c>
      <c r="AK524" s="600">
        <v>21</v>
      </c>
      <c r="AL524" s="601">
        <v>0</v>
      </c>
      <c r="AM524" s="601">
        <v>0</v>
      </c>
      <c r="AN524" s="599">
        <v>21</v>
      </c>
    </row>
    <row r="525" spans="1:40" ht="16.5" customHeight="1">
      <c r="A525" s="598" t="s">
        <v>3307</v>
      </c>
      <c r="B525" s="598" t="s">
        <v>3333</v>
      </c>
      <c r="C525" s="598" t="s">
        <v>1983</v>
      </c>
      <c r="D525" s="598" t="s">
        <v>1984</v>
      </c>
      <c r="E525" s="598" t="s">
        <v>321</v>
      </c>
      <c r="F525" s="598" t="s">
        <v>3309</v>
      </c>
      <c r="G525" s="598" t="s">
        <v>3309</v>
      </c>
      <c r="H525" s="598" t="s">
        <v>3309</v>
      </c>
      <c r="I525" s="598" t="s">
        <v>3309</v>
      </c>
      <c r="J525" s="598" t="s">
        <v>3309</v>
      </c>
      <c r="K525" s="598" t="s">
        <v>321</v>
      </c>
      <c r="L525" s="598" t="s">
        <v>321</v>
      </c>
      <c r="M525" s="598" t="s">
        <v>3309</v>
      </c>
      <c r="N525" s="598" t="s">
        <v>3309</v>
      </c>
      <c r="O525" s="598" t="s">
        <v>3312</v>
      </c>
      <c r="P525" s="598" t="s">
        <v>3309</v>
      </c>
      <c r="Q525" s="598" t="s">
        <v>3309</v>
      </c>
      <c r="R525" s="598" t="s">
        <v>321</v>
      </c>
      <c r="S525" s="598" t="s">
        <v>321</v>
      </c>
      <c r="T525" s="598" t="s">
        <v>3309</v>
      </c>
      <c r="U525" s="598" t="s">
        <v>3309</v>
      </c>
      <c r="V525" s="598" t="s">
        <v>3309</v>
      </c>
      <c r="W525" s="598" t="s">
        <v>3309</v>
      </c>
      <c r="X525" s="598" t="s">
        <v>3309</v>
      </c>
      <c r="Y525" s="598" t="s">
        <v>321</v>
      </c>
      <c r="Z525" s="598" t="s">
        <v>321</v>
      </c>
      <c r="AA525" s="598" t="s">
        <v>3309</v>
      </c>
      <c r="AB525" s="598" t="s">
        <v>3309</v>
      </c>
      <c r="AC525" s="598" t="s">
        <v>3309</v>
      </c>
      <c r="AD525" s="598" t="s">
        <v>3309</v>
      </c>
      <c r="AE525" s="598" t="s">
        <v>3309</v>
      </c>
      <c r="AF525" s="598" t="s">
        <v>321</v>
      </c>
      <c r="AG525" s="598" t="s">
        <v>321</v>
      </c>
      <c r="AH525" s="598" t="s">
        <v>3309</v>
      </c>
      <c r="AI525" s="598" t="s">
        <v>321</v>
      </c>
      <c r="AJ525" s="599">
        <v>21</v>
      </c>
      <c r="AK525" s="600">
        <v>20</v>
      </c>
      <c r="AL525" s="602">
        <v>1</v>
      </c>
      <c r="AM525" s="601">
        <v>0</v>
      </c>
      <c r="AN525" s="599">
        <v>21</v>
      </c>
    </row>
    <row r="526" spans="1:40" ht="16.5" customHeight="1">
      <c r="A526" s="598" t="s">
        <v>3307</v>
      </c>
      <c r="B526" s="598" t="s">
        <v>3333</v>
      </c>
      <c r="C526" s="598" t="s">
        <v>961</v>
      </c>
      <c r="D526" s="598" t="s">
        <v>962</v>
      </c>
      <c r="E526" s="598" t="s">
        <v>321</v>
      </c>
      <c r="F526" s="598" t="s">
        <v>3309</v>
      </c>
      <c r="G526" s="598" t="s">
        <v>3309</v>
      </c>
      <c r="H526" s="598" t="s">
        <v>3309</v>
      </c>
      <c r="I526" s="598" t="s">
        <v>3312</v>
      </c>
      <c r="J526" s="598" t="s">
        <v>3312</v>
      </c>
      <c r="K526" s="598" t="s">
        <v>321</v>
      </c>
      <c r="L526" s="598" t="s">
        <v>321</v>
      </c>
      <c r="M526" s="598" t="s">
        <v>3309</v>
      </c>
      <c r="N526" s="598" t="s">
        <v>3309</v>
      </c>
      <c r="O526" s="598" t="s">
        <v>3309</v>
      </c>
      <c r="P526" s="598" t="s">
        <v>3309</v>
      </c>
      <c r="Q526" s="598" t="s">
        <v>3309</v>
      </c>
      <c r="R526" s="598" t="s">
        <v>321</v>
      </c>
      <c r="S526" s="598" t="s">
        <v>321</v>
      </c>
      <c r="T526" s="598" t="s">
        <v>3309</v>
      </c>
      <c r="U526" s="598" t="s">
        <v>3309</v>
      </c>
      <c r="V526" s="598" t="s">
        <v>3309</v>
      </c>
      <c r="W526" s="598" t="s">
        <v>3309</v>
      </c>
      <c r="X526" s="598" t="s">
        <v>3309</v>
      </c>
      <c r="Y526" s="598" t="s">
        <v>321</v>
      </c>
      <c r="Z526" s="598" t="s">
        <v>321</v>
      </c>
      <c r="AA526" s="598" t="s">
        <v>3309</v>
      </c>
      <c r="AB526" s="598" t="s">
        <v>3309</v>
      </c>
      <c r="AC526" s="598" t="s">
        <v>3309</v>
      </c>
      <c r="AD526" s="598" t="s">
        <v>3309</v>
      </c>
      <c r="AE526" s="598" t="s">
        <v>3309</v>
      </c>
      <c r="AF526" s="598" t="s">
        <v>321</v>
      </c>
      <c r="AG526" s="598" t="s">
        <v>321</v>
      </c>
      <c r="AH526" s="598" t="s">
        <v>3309</v>
      </c>
      <c r="AI526" s="598" t="s">
        <v>321</v>
      </c>
      <c r="AJ526" s="599">
        <v>21</v>
      </c>
      <c r="AK526" s="600">
        <v>19</v>
      </c>
      <c r="AL526" s="602">
        <v>2</v>
      </c>
      <c r="AM526" s="601">
        <v>0</v>
      </c>
      <c r="AN526" s="599">
        <v>21</v>
      </c>
    </row>
    <row r="527" spans="1:40" ht="16.5" customHeight="1">
      <c r="A527" s="598" t="s">
        <v>3307</v>
      </c>
      <c r="B527" s="598" t="s">
        <v>3333</v>
      </c>
      <c r="C527" s="598" t="s">
        <v>1682</v>
      </c>
      <c r="D527" s="598" t="s">
        <v>1683</v>
      </c>
      <c r="E527" s="598" t="s">
        <v>321</v>
      </c>
      <c r="F527" s="598" t="s">
        <v>3309</v>
      </c>
      <c r="G527" s="598" t="s">
        <v>3309</v>
      </c>
      <c r="H527" s="598" t="s">
        <v>3309</v>
      </c>
      <c r="I527" s="598" t="s">
        <v>3309</v>
      </c>
      <c r="J527" s="598" t="s">
        <v>3309</v>
      </c>
      <c r="K527" s="598" t="s">
        <v>321</v>
      </c>
      <c r="L527" s="598" t="s">
        <v>321</v>
      </c>
      <c r="M527" s="598" t="s">
        <v>3309</v>
      </c>
      <c r="N527" s="598" t="s">
        <v>3309</v>
      </c>
      <c r="O527" s="598" t="s">
        <v>3309</v>
      </c>
      <c r="P527" s="598" t="s">
        <v>3309</v>
      </c>
      <c r="Q527" s="598" t="s">
        <v>3309</v>
      </c>
      <c r="R527" s="598" t="s">
        <v>321</v>
      </c>
      <c r="S527" s="598" t="s">
        <v>321</v>
      </c>
      <c r="T527" s="598" t="s">
        <v>3309</v>
      </c>
      <c r="U527" s="598" t="s">
        <v>3309</v>
      </c>
      <c r="V527" s="598" t="s">
        <v>3309</v>
      </c>
      <c r="W527" s="598" t="s">
        <v>3309</v>
      </c>
      <c r="X527" s="598" t="s">
        <v>3309</v>
      </c>
      <c r="Y527" s="598" t="s">
        <v>321</v>
      </c>
      <c r="Z527" s="598" t="s">
        <v>321</v>
      </c>
      <c r="AA527" s="598" t="s">
        <v>3309</v>
      </c>
      <c r="AB527" s="598" t="s">
        <v>3309</v>
      </c>
      <c r="AC527" s="598" t="s">
        <v>3309</v>
      </c>
      <c r="AD527" s="598" t="s">
        <v>3309</v>
      </c>
      <c r="AE527" s="598" t="s">
        <v>3309</v>
      </c>
      <c r="AF527" s="598" t="s">
        <v>321</v>
      </c>
      <c r="AG527" s="598" t="s">
        <v>321</v>
      </c>
      <c r="AH527" s="598" t="s">
        <v>3309</v>
      </c>
      <c r="AI527" s="598" t="s">
        <v>321</v>
      </c>
      <c r="AJ527" s="599">
        <v>21</v>
      </c>
      <c r="AK527" s="600">
        <v>21</v>
      </c>
      <c r="AL527" s="601">
        <v>0</v>
      </c>
      <c r="AM527" s="601">
        <v>0</v>
      </c>
      <c r="AN527" s="599">
        <v>21</v>
      </c>
    </row>
    <row r="528" spans="1:40" ht="16.5" customHeight="1">
      <c r="A528" s="598" t="s">
        <v>3307</v>
      </c>
      <c r="B528" s="598" t="s">
        <v>3333</v>
      </c>
      <c r="C528" s="598" t="s">
        <v>2759</v>
      </c>
      <c r="D528" s="598" t="s">
        <v>2760</v>
      </c>
      <c r="E528" s="598" t="s">
        <v>321</v>
      </c>
      <c r="F528" s="598" t="s">
        <v>3309</v>
      </c>
      <c r="G528" s="598" t="s">
        <v>3309</v>
      </c>
      <c r="H528" s="598" t="s">
        <v>3309</v>
      </c>
      <c r="I528" s="598" t="s">
        <v>3313</v>
      </c>
      <c r="J528" s="598" t="s">
        <v>3313</v>
      </c>
      <c r="K528" s="598" t="s">
        <v>321</v>
      </c>
      <c r="L528" s="598" t="s">
        <v>321</v>
      </c>
      <c r="M528" s="598" t="s">
        <v>3309</v>
      </c>
      <c r="N528" s="598" t="s">
        <v>3309</v>
      </c>
      <c r="O528" s="598" t="s">
        <v>3309</v>
      </c>
      <c r="P528" s="598" t="s">
        <v>3309</v>
      </c>
      <c r="Q528" s="598" t="s">
        <v>3309</v>
      </c>
      <c r="R528" s="598" t="s">
        <v>321</v>
      </c>
      <c r="S528" s="598" t="s">
        <v>321</v>
      </c>
      <c r="T528" s="598" t="s">
        <v>3309</v>
      </c>
      <c r="U528" s="598" t="s">
        <v>3309</v>
      </c>
      <c r="V528" s="598" t="s">
        <v>3309</v>
      </c>
      <c r="W528" s="598" t="s">
        <v>3309</v>
      </c>
      <c r="X528" s="598" t="s">
        <v>3309</v>
      </c>
      <c r="Y528" s="598" t="s">
        <v>321</v>
      </c>
      <c r="Z528" s="598" t="s">
        <v>321</v>
      </c>
      <c r="AA528" s="598" t="s">
        <v>3309</v>
      </c>
      <c r="AB528" s="598" t="s">
        <v>3309</v>
      </c>
      <c r="AC528" s="598" t="s">
        <v>3309</v>
      </c>
      <c r="AD528" s="598" t="s">
        <v>3309</v>
      </c>
      <c r="AE528" s="598" t="s">
        <v>3309</v>
      </c>
      <c r="AF528" s="598" t="s">
        <v>321</v>
      </c>
      <c r="AG528" s="598" t="s">
        <v>321</v>
      </c>
      <c r="AH528" s="598" t="s">
        <v>3309</v>
      </c>
      <c r="AI528" s="598" t="s">
        <v>321</v>
      </c>
      <c r="AJ528" s="599">
        <v>21</v>
      </c>
      <c r="AK528" s="600">
        <v>21</v>
      </c>
      <c r="AL528" s="601">
        <v>0</v>
      </c>
      <c r="AM528" s="601">
        <v>0</v>
      </c>
      <c r="AN528" s="599">
        <v>21</v>
      </c>
    </row>
    <row r="529" spans="1:40" ht="16.5" customHeight="1">
      <c r="A529" s="598" t="s">
        <v>3307</v>
      </c>
      <c r="B529" s="598" t="s">
        <v>3333</v>
      </c>
      <c r="C529" s="598" t="s">
        <v>2004</v>
      </c>
      <c r="D529" s="598" t="s">
        <v>2005</v>
      </c>
      <c r="E529" s="598" t="s">
        <v>321</v>
      </c>
      <c r="F529" s="598" t="s">
        <v>3309</v>
      </c>
      <c r="G529" s="598" t="s">
        <v>3309</v>
      </c>
      <c r="H529" s="598" t="s">
        <v>3309</v>
      </c>
      <c r="I529" s="598" t="s">
        <v>3313</v>
      </c>
      <c r="J529" s="598" t="s">
        <v>3313</v>
      </c>
      <c r="K529" s="598" t="s">
        <v>321</v>
      </c>
      <c r="L529" s="598" t="s">
        <v>321</v>
      </c>
      <c r="M529" s="598" t="s">
        <v>3309</v>
      </c>
      <c r="N529" s="598" t="s">
        <v>3309</v>
      </c>
      <c r="O529" s="598" t="s">
        <v>3309</v>
      </c>
      <c r="P529" s="598" t="s">
        <v>3309</v>
      </c>
      <c r="Q529" s="598" t="s">
        <v>3309</v>
      </c>
      <c r="R529" s="598" t="s">
        <v>321</v>
      </c>
      <c r="S529" s="598" t="s">
        <v>321</v>
      </c>
      <c r="T529" s="598" t="s">
        <v>3309</v>
      </c>
      <c r="U529" s="598" t="s">
        <v>3309</v>
      </c>
      <c r="V529" s="598" t="s">
        <v>3309</v>
      </c>
      <c r="W529" s="598" t="s">
        <v>3309</v>
      </c>
      <c r="X529" s="598" t="s">
        <v>3309</v>
      </c>
      <c r="Y529" s="598" t="s">
        <v>321</v>
      </c>
      <c r="Z529" s="598" t="s">
        <v>321</v>
      </c>
      <c r="AA529" s="598" t="s">
        <v>3309</v>
      </c>
      <c r="AB529" s="598" t="s">
        <v>3312</v>
      </c>
      <c r="AC529" s="598" t="s">
        <v>3309</v>
      </c>
      <c r="AD529" s="598" t="s">
        <v>3309</v>
      </c>
      <c r="AE529" s="598" t="s">
        <v>3309</v>
      </c>
      <c r="AF529" s="598" t="s">
        <v>321</v>
      </c>
      <c r="AG529" s="598" t="s">
        <v>321</v>
      </c>
      <c r="AH529" s="598" t="s">
        <v>3309</v>
      </c>
      <c r="AI529" s="598" t="s">
        <v>321</v>
      </c>
      <c r="AJ529" s="599">
        <v>21</v>
      </c>
      <c r="AK529" s="600">
        <v>20</v>
      </c>
      <c r="AL529" s="602">
        <v>1</v>
      </c>
      <c r="AM529" s="601">
        <v>0</v>
      </c>
      <c r="AN529" s="599">
        <v>21</v>
      </c>
    </row>
    <row r="530" spans="1:40" ht="16.5" customHeight="1">
      <c r="A530" s="598" t="s">
        <v>3307</v>
      </c>
      <c r="B530" s="598" t="s">
        <v>3333</v>
      </c>
      <c r="C530" s="598" t="s">
        <v>2126</v>
      </c>
      <c r="D530" s="598" t="s">
        <v>2127</v>
      </c>
      <c r="E530" s="598" t="s">
        <v>321</v>
      </c>
      <c r="F530" s="598" t="s">
        <v>3314</v>
      </c>
      <c r="G530" s="598" t="s">
        <v>3309</v>
      </c>
      <c r="H530" s="598" t="s">
        <v>3309</v>
      </c>
      <c r="I530" s="598" t="s">
        <v>3313</v>
      </c>
      <c r="J530" s="598" t="s">
        <v>3313</v>
      </c>
      <c r="K530" s="598" t="s">
        <v>321</v>
      </c>
      <c r="L530" s="598" t="s">
        <v>321</v>
      </c>
      <c r="M530" s="598" t="s">
        <v>3309</v>
      </c>
      <c r="N530" s="598" t="s">
        <v>3309</v>
      </c>
      <c r="O530" s="598" t="s">
        <v>3309</v>
      </c>
      <c r="P530" s="598" t="s">
        <v>3309</v>
      </c>
      <c r="Q530" s="598" t="s">
        <v>3309</v>
      </c>
      <c r="R530" s="598" t="s">
        <v>321</v>
      </c>
      <c r="S530" s="598" t="s">
        <v>321</v>
      </c>
      <c r="T530" s="598" t="s">
        <v>3309</v>
      </c>
      <c r="U530" s="598" t="s">
        <v>3309</v>
      </c>
      <c r="V530" s="598" t="s">
        <v>3309</v>
      </c>
      <c r="W530" s="598" t="s">
        <v>3309</v>
      </c>
      <c r="X530" s="598" t="s">
        <v>3309</v>
      </c>
      <c r="Y530" s="598" t="s">
        <v>321</v>
      </c>
      <c r="Z530" s="598" t="s">
        <v>321</v>
      </c>
      <c r="AA530" s="598" t="s">
        <v>3309</v>
      </c>
      <c r="AB530" s="598" t="s">
        <v>3309</v>
      </c>
      <c r="AC530" s="598" t="s">
        <v>3309</v>
      </c>
      <c r="AD530" s="598" t="s">
        <v>3309</v>
      </c>
      <c r="AE530" s="598" t="s">
        <v>3309</v>
      </c>
      <c r="AF530" s="598" t="s">
        <v>321</v>
      </c>
      <c r="AG530" s="598" t="s">
        <v>321</v>
      </c>
      <c r="AH530" s="598" t="s">
        <v>3309</v>
      </c>
      <c r="AI530" s="598" t="s">
        <v>321</v>
      </c>
      <c r="AJ530" s="599">
        <v>21</v>
      </c>
      <c r="AK530" s="603">
        <v>20.5</v>
      </c>
      <c r="AL530" s="604">
        <v>0.5</v>
      </c>
      <c r="AM530" s="601">
        <v>0</v>
      </c>
      <c r="AN530" s="599">
        <v>21</v>
      </c>
    </row>
    <row r="531" spans="1:40" ht="16.5" customHeight="1">
      <c r="A531" s="598" t="s">
        <v>3307</v>
      </c>
      <c r="B531" s="598" t="s">
        <v>3333</v>
      </c>
      <c r="C531" s="598" t="s">
        <v>1650</v>
      </c>
      <c r="D531" s="598" t="s">
        <v>1651</v>
      </c>
      <c r="E531" s="598" t="s">
        <v>321</v>
      </c>
      <c r="F531" s="598" t="s">
        <v>3309</v>
      </c>
      <c r="G531" s="598" t="s">
        <v>3309</v>
      </c>
      <c r="H531" s="598" t="s">
        <v>3309</v>
      </c>
      <c r="I531" s="598" t="s">
        <v>3313</v>
      </c>
      <c r="J531" s="598" t="s">
        <v>3313</v>
      </c>
      <c r="K531" s="598" t="s">
        <v>321</v>
      </c>
      <c r="L531" s="598" t="s">
        <v>321</v>
      </c>
      <c r="M531" s="598" t="s">
        <v>3309</v>
      </c>
      <c r="N531" s="598" t="s">
        <v>3312</v>
      </c>
      <c r="O531" s="598" t="s">
        <v>3309</v>
      </c>
      <c r="P531" s="598" t="s">
        <v>3309</v>
      </c>
      <c r="Q531" s="598" t="s">
        <v>3309</v>
      </c>
      <c r="R531" s="598" t="s">
        <v>321</v>
      </c>
      <c r="S531" s="598" t="s">
        <v>321</v>
      </c>
      <c r="T531" s="598" t="s">
        <v>3309</v>
      </c>
      <c r="U531" s="598" t="s">
        <v>3309</v>
      </c>
      <c r="V531" s="598" t="s">
        <v>3309</v>
      </c>
      <c r="W531" s="598" t="s">
        <v>3309</v>
      </c>
      <c r="X531" s="598" t="s">
        <v>3309</v>
      </c>
      <c r="Y531" s="598" t="s">
        <v>321</v>
      </c>
      <c r="Z531" s="598" t="s">
        <v>321</v>
      </c>
      <c r="AA531" s="598" t="s">
        <v>3309</v>
      </c>
      <c r="AB531" s="598" t="s">
        <v>3309</v>
      </c>
      <c r="AC531" s="598" t="s">
        <v>3309</v>
      </c>
      <c r="AD531" s="598" t="s">
        <v>3309</v>
      </c>
      <c r="AE531" s="598" t="s">
        <v>3309</v>
      </c>
      <c r="AF531" s="598" t="s">
        <v>321</v>
      </c>
      <c r="AG531" s="598" t="s">
        <v>321</v>
      </c>
      <c r="AH531" s="598" t="s">
        <v>3309</v>
      </c>
      <c r="AI531" s="598" t="s">
        <v>321</v>
      </c>
      <c r="AJ531" s="599">
        <v>21</v>
      </c>
      <c r="AK531" s="600">
        <v>20</v>
      </c>
      <c r="AL531" s="602">
        <v>1</v>
      </c>
      <c r="AM531" s="601">
        <v>0</v>
      </c>
      <c r="AN531" s="599">
        <v>21</v>
      </c>
    </row>
    <row r="532" spans="1:40" ht="16.5" customHeight="1">
      <c r="A532" s="598" t="s">
        <v>3307</v>
      </c>
      <c r="B532" s="598" t="s">
        <v>3333</v>
      </c>
      <c r="C532" s="598" t="s">
        <v>1048</v>
      </c>
      <c r="D532" s="598" t="s">
        <v>1049</v>
      </c>
      <c r="E532" s="598" t="s">
        <v>321</v>
      </c>
      <c r="F532" s="598" t="s">
        <v>3309</v>
      </c>
      <c r="G532" s="598" t="s">
        <v>3309</v>
      </c>
      <c r="H532" s="598" t="s">
        <v>3309</v>
      </c>
      <c r="I532" s="598" t="s">
        <v>3309</v>
      </c>
      <c r="J532" s="598" t="s">
        <v>3309</v>
      </c>
      <c r="K532" s="598" t="s">
        <v>321</v>
      </c>
      <c r="L532" s="598" t="s">
        <v>321</v>
      </c>
      <c r="M532" s="598" t="s">
        <v>3309</v>
      </c>
      <c r="N532" s="598" t="s">
        <v>3309</v>
      </c>
      <c r="O532" s="598" t="s">
        <v>3309</v>
      </c>
      <c r="P532" s="598" t="s">
        <v>3309</v>
      </c>
      <c r="Q532" s="598" t="s">
        <v>3309</v>
      </c>
      <c r="R532" s="598" t="s">
        <v>321</v>
      </c>
      <c r="S532" s="598" t="s">
        <v>321</v>
      </c>
      <c r="T532" s="598" t="s">
        <v>3309</v>
      </c>
      <c r="U532" s="598" t="s">
        <v>3309</v>
      </c>
      <c r="V532" s="598" t="s">
        <v>3309</v>
      </c>
      <c r="W532" s="598" t="s">
        <v>3309</v>
      </c>
      <c r="X532" s="598" t="s">
        <v>3309</v>
      </c>
      <c r="Y532" s="598" t="s">
        <v>321</v>
      </c>
      <c r="Z532" s="598" t="s">
        <v>321</v>
      </c>
      <c r="AA532" s="598" t="s">
        <v>3309</v>
      </c>
      <c r="AB532" s="598" t="s">
        <v>3309</v>
      </c>
      <c r="AC532" s="598" t="s">
        <v>3309</v>
      </c>
      <c r="AD532" s="598" t="s">
        <v>3309</v>
      </c>
      <c r="AE532" s="598" t="s">
        <v>3309</v>
      </c>
      <c r="AF532" s="598" t="s">
        <v>321</v>
      </c>
      <c r="AG532" s="598" t="s">
        <v>321</v>
      </c>
      <c r="AH532" s="598" t="s">
        <v>3309</v>
      </c>
      <c r="AI532" s="598" t="s">
        <v>321</v>
      </c>
      <c r="AJ532" s="599">
        <v>21</v>
      </c>
      <c r="AK532" s="600">
        <v>21</v>
      </c>
      <c r="AL532" s="601">
        <v>0</v>
      </c>
      <c r="AM532" s="601">
        <v>0</v>
      </c>
      <c r="AN532" s="599">
        <v>21</v>
      </c>
    </row>
    <row r="533" spans="1:40" ht="16.5" customHeight="1">
      <c r="A533" s="598" t="s">
        <v>3307</v>
      </c>
      <c r="B533" s="598" t="s">
        <v>3333</v>
      </c>
      <c r="C533" s="598" t="s">
        <v>2077</v>
      </c>
      <c r="D533" s="598" t="s">
        <v>2078</v>
      </c>
      <c r="E533" s="598" t="s">
        <v>321</v>
      </c>
      <c r="F533" s="598" t="s">
        <v>3309</v>
      </c>
      <c r="G533" s="598" t="s">
        <v>3309</v>
      </c>
      <c r="H533" s="598" t="s">
        <v>3309</v>
      </c>
      <c r="I533" s="598" t="s">
        <v>3309</v>
      </c>
      <c r="J533" s="598" t="s">
        <v>3309</v>
      </c>
      <c r="K533" s="598" t="s">
        <v>321</v>
      </c>
      <c r="L533" s="598" t="s">
        <v>321</v>
      </c>
      <c r="M533" s="598" t="s">
        <v>3309</v>
      </c>
      <c r="N533" s="598" t="s">
        <v>3309</v>
      </c>
      <c r="O533" s="598" t="s">
        <v>3309</v>
      </c>
      <c r="P533" s="598" t="s">
        <v>3309</v>
      </c>
      <c r="Q533" s="598" t="s">
        <v>3309</v>
      </c>
      <c r="R533" s="598" t="s">
        <v>321</v>
      </c>
      <c r="S533" s="598" t="s">
        <v>321</v>
      </c>
      <c r="T533" s="598" t="s">
        <v>3309</v>
      </c>
      <c r="U533" s="598" t="s">
        <v>3309</v>
      </c>
      <c r="V533" s="598" t="s">
        <v>3309</v>
      </c>
      <c r="W533" s="598" t="s">
        <v>3309</v>
      </c>
      <c r="X533" s="598" t="s">
        <v>3309</v>
      </c>
      <c r="Y533" s="598" t="s">
        <v>321</v>
      </c>
      <c r="Z533" s="598" t="s">
        <v>321</v>
      </c>
      <c r="AA533" s="598" t="s">
        <v>3309</v>
      </c>
      <c r="AB533" s="598" t="s">
        <v>3309</v>
      </c>
      <c r="AC533" s="598" t="s">
        <v>3309</v>
      </c>
      <c r="AD533" s="598" t="s">
        <v>3309</v>
      </c>
      <c r="AE533" s="598" t="s">
        <v>3309</v>
      </c>
      <c r="AF533" s="598" t="s">
        <v>321</v>
      </c>
      <c r="AG533" s="598" t="s">
        <v>321</v>
      </c>
      <c r="AH533" s="598" t="s">
        <v>3309</v>
      </c>
      <c r="AI533" s="598" t="s">
        <v>321</v>
      </c>
      <c r="AJ533" s="599">
        <v>21</v>
      </c>
      <c r="AK533" s="600">
        <v>21</v>
      </c>
      <c r="AL533" s="601">
        <v>0</v>
      </c>
      <c r="AM533" s="601">
        <v>0</v>
      </c>
      <c r="AN533" s="599">
        <v>21</v>
      </c>
    </row>
    <row r="534" spans="1:40" ht="16.5" customHeight="1">
      <c r="A534" s="598" t="s">
        <v>3307</v>
      </c>
      <c r="B534" s="598" t="s">
        <v>3333</v>
      </c>
      <c r="C534" s="598" t="s">
        <v>2906</v>
      </c>
      <c r="D534" s="598" t="s">
        <v>2907</v>
      </c>
      <c r="E534" s="598" t="s">
        <v>321</v>
      </c>
      <c r="F534" s="598" t="s">
        <v>3312</v>
      </c>
      <c r="G534" s="598" t="s">
        <v>3309</v>
      </c>
      <c r="H534" s="598" t="s">
        <v>3309</v>
      </c>
      <c r="I534" s="598" t="s">
        <v>3309</v>
      </c>
      <c r="J534" s="598" t="s">
        <v>3309</v>
      </c>
      <c r="K534" s="598" t="s">
        <v>321</v>
      </c>
      <c r="L534" s="598" t="s">
        <v>321</v>
      </c>
      <c r="M534" s="598" t="s">
        <v>3309</v>
      </c>
      <c r="N534" s="598" t="s">
        <v>3309</v>
      </c>
      <c r="O534" s="598" t="s">
        <v>3309</v>
      </c>
      <c r="P534" s="598" t="s">
        <v>3309</v>
      </c>
      <c r="Q534" s="598" t="s">
        <v>3309</v>
      </c>
      <c r="R534" s="598" t="s">
        <v>321</v>
      </c>
      <c r="S534" s="598" t="s">
        <v>321</v>
      </c>
      <c r="T534" s="598" t="s">
        <v>3309</v>
      </c>
      <c r="U534" s="598" t="s">
        <v>3309</v>
      </c>
      <c r="V534" s="598" t="s">
        <v>3309</v>
      </c>
      <c r="W534" s="598" t="s">
        <v>3309</v>
      </c>
      <c r="X534" s="598" t="s">
        <v>3309</v>
      </c>
      <c r="Y534" s="598" t="s">
        <v>321</v>
      </c>
      <c r="Z534" s="598" t="s">
        <v>321</v>
      </c>
      <c r="AA534" s="598" t="s">
        <v>3309</v>
      </c>
      <c r="AB534" s="598" t="s">
        <v>3309</v>
      </c>
      <c r="AC534" s="598" t="s">
        <v>3309</v>
      </c>
      <c r="AD534" s="598" t="s">
        <v>3309</v>
      </c>
      <c r="AE534" s="598" t="s">
        <v>3309</v>
      </c>
      <c r="AF534" s="598" t="s">
        <v>321</v>
      </c>
      <c r="AG534" s="598" t="s">
        <v>321</v>
      </c>
      <c r="AH534" s="598" t="s">
        <v>3309</v>
      </c>
      <c r="AI534" s="598" t="s">
        <v>321</v>
      </c>
      <c r="AJ534" s="599">
        <v>21</v>
      </c>
      <c r="AK534" s="600">
        <v>20</v>
      </c>
      <c r="AL534" s="602">
        <v>1</v>
      </c>
      <c r="AM534" s="601">
        <v>0</v>
      </c>
      <c r="AN534" s="599">
        <v>21</v>
      </c>
    </row>
    <row r="535" spans="1:40" ht="16.5" customHeight="1">
      <c r="A535" s="598" t="s">
        <v>3307</v>
      </c>
      <c r="B535" s="598" t="s">
        <v>3333</v>
      </c>
      <c r="C535" s="598" t="s">
        <v>985</v>
      </c>
      <c r="D535" s="598" t="s">
        <v>986</v>
      </c>
      <c r="E535" s="598" t="s">
        <v>321</v>
      </c>
      <c r="F535" s="598" t="s">
        <v>3309</v>
      </c>
      <c r="G535" s="598" t="s">
        <v>3309</v>
      </c>
      <c r="H535" s="598" t="s">
        <v>3309</v>
      </c>
      <c r="I535" s="598" t="s">
        <v>3313</v>
      </c>
      <c r="J535" s="598" t="s">
        <v>3313</v>
      </c>
      <c r="K535" s="598" t="s">
        <v>321</v>
      </c>
      <c r="L535" s="598" t="s">
        <v>321</v>
      </c>
      <c r="M535" s="598" t="s">
        <v>3309</v>
      </c>
      <c r="N535" s="598" t="s">
        <v>3309</v>
      </c>
      <c r="O535" s="598" t="s">
        <v>3309</v>
      </c>
      <c r="P535" s="598" t="s">
        <v>3309</v>
      </c>
      <c r="Q535" s="598" t="s">
        <v>3313</v>
      </c>
      <c r="R535" s="598" t="s">
        <v>321</v>
      </c>
      <c r="S535" s="598" t="s">
        <v>321</v>
      </c>
      <c r="T535" s="598" t="s">
        <v>3309</v>
      </c>
      <c r="U535" s="598" t="s">
        <v>3309</v>
      </c>
      <c r="V535" s="598" t="s">
        <v>3309</v>
      </c>
      <c r="W535" s="598" t="s">
        <v>3309</v>
      </c>
      <c r="X535" s="598" t="s">
        <v>3309</v>
      </c>
      <c r="Y535" s="598" t="s">
        <v>321</v>
      </c>
      <c r="Z535" s="598" t="s">
        <v>321</v>
      </c>
      <c r="AA535" s="598" t="s">
        <v>3309</v>
      </c>
      <c r="AB535" s="598" t="s">
        <v>3312</v>
      </c>
      <c r="AC535" s="598" t="s">
        <v>3309</v>
      </c>
      <c r="AD535" s="598" t="s">
        <v>3309</v>
      </c>
      <c r="AE535" s="598" t="s">
        <v>3309</v>
      </c>
      <c r="AF535" s="598" t="s">
        <v>321</v>
      </c>
      <c r="AG535" s="598" t="s">
        <v>321</v>
      </c>
      <c r="AH535" s="598" t="s">
        <v>3309</v>
      </c>
      <c r="AI535" s="598" t="s">
        <v>321</v>
      </c>
      <c r="AJ535" s="599">
        <v>21</v>
      </c>
      <c r="AK535" s="600">
        <v>20</v>
      </c>
      <c r="AL535" s="602">
        <v>1</v>
      </c>
      <c r="AM535" s="601">
        <v>0</v>
      </c>
      <c r="AN535" s="599">
        <v>21</v>
      </c>
    </row>
    <row r="536" spans="1:40" ht="16.5" customHeight="1">
      <c r="A536" s="598" t="s">
        <v>3307</v>
      </c>
      <c r="B536" s="598" t="s">
        <v>3333</v>
      </c>
      <c r="C536" s="598" t="s">
        <v>969</v>
      </c>
      <c r="D536" s="598" t="s">
        <v>970</v>
      </c>
      <c r="E536" s="598" t="s">
        <v>321</v>
      </c>
      <c r="F536" s="598" t="s">
        <v>3309</v>
      </c>
      <c r="G536" s="598" t="s">
        <v>3309</v>
      </c>
      <c r="H536" s="598" t="s">
        <v>3309</v>
      </c>
      <c r="I536" s="598" t="s">
        <v>3312</v>
      </c>
      <c r="J536" s="598" t="s">
        <v>3312</v>
      </c>
      <c r="K536" s="598" t="s">
        <v>321</v>
      </c>
      <c r="L536" s="598" t="s">
        <v>321</v>
      </c>
      <c r="M536" s="598" t="s">
        <v>3309</v>
      </c>
      <c r="N536" s="598" t="s">
        <v>3309</v>
      </c>
      <c r="O536" s="598" t="s">
        <v>3309</v>
      </c>
      <c r="P536" s="598" t="s">
        <v>3309</v>
      </c>
      <c r="Q536" s="598" t="s">
        <v>3309</v>
      </c>
      <c r="R536" s="598" t="s">
        <v>321</v>
      </c>
      <c r="S536" s="598" t="s">
        <v>321</v>
      </c>
      <c r="T536" s="598" t="s">
        <v>3309</v>
      </c>
      <c r="U536" s="598" t="s">
        <v>3309</v>
      </c>
      <c r="V536" s="598" t="s">
        <v>3309</v>
      </c>
      <c r="W536" s="598" t="s">
        <v>3309</v>
      </c>
      <c r="X536" s="598" t="s">
        <v>3309</v>
      </c>
      <c r="Y536" s="598" t="s">
        <v>321</v>
      </c>
      <c r="Z536" s="598" t="s">
        <v>321</v>
      </c>
      <c r="AA536" s="598" t="s">
        <v>3309</v>
      </c>
      <c r="AB536" s="598" t="s">
        <v>3309</v>
      </c>
      <c r="AC536" s="598" t="s">
        <v>3309</v>
      </c>
      <c r="AD536" s="598" t="s">
        <v>3309</v>
      </c>
      <c r="AE536" s="598" t="s">
        <v>3309</v>
      </c>
      <c r="AF536" s="598" t="s">
        <v>321</v>
      </c>
      <c r="AG536" s="598" t="s">
        <v>321</v>
      </c>
      <c r="AH536" s="598" t="s">
        <v>3309</v>
      </c>
      <c r="AI536" s="598" t="s">
        <v>321</v>
      </c>
      <c r="AJ536" s="599">
        <v>21</v>
      </c>
      <c r="AK536" s="600">
        <v>19</v>
      </c>
      <c r="AL536" s="602">
        <v>2</v>
      </c>
      <c r="AM536" s="601">
        <v>0</v>
      </c>
      <c r="AN536" s="599">
        <v>21</v>
      </c>
    </row>
    <row r="537" spans="1:40" ht="16.5" customHeight="1">
      <c r="A537" s="598" t="s">
        <v>3307</v>
      </c>
      <c r="B537" s="598" t="s">
        <v>3333</v>
      </c>
      <c r="C537" s="598" t="s">
        <v>2128</v>
      </c>
      <c r="D537" s="598" t="s">
        <v>2129</v>
      </c>
      <c r="E537" s="598" t="s">
        <v>321</v>
      </c>
      <c r="F537" s="598" t="s">
        <v>3309</v>
      </c>
      <c r="G537" s="598" t="s">
        <v>3309</v>
      </c>
      <c r="H537" s="598" t="s">
        <v>3309</v>
      </c>
      <c r="I537" s="598" t="s">
        <v>3309</v>
      </c>
      <c r="J537" s="598" t="s">
        <v>3312</v>
      </c>
      <c r="K537" s="598" t="s">
        <v>321</v>
      </c>
      <c r="L537" s="598" t="s">
        <v>321</v>
      </c>
      <c r="M537" s="598" t="s">
        <v>3309</v>
      </c>
      <c r="N537" s="598" t="s">
        <v>3309</v>
      </c>
      <c r="O537" s="598" t="s">
        <v>3309</v>
      </c>
      <c r="P537" s="598" t="s">
        <v>3309</v>
      </c>
      <c r="Q537" s="598" t="s">
        <v>3309</v>
      </c>
      <c r="R537" s="598" t="s">
        <v>321</v>
      </c>
      <c r="S537" s="598" t="s">
        <v>321</v>
      </c>
      <c r="T537" s="598" t="s">
        <v>3309</v>
      </c>
      <c r="U537" s="598" t="s">
        <v>3309</v>
      </c>
      <c r="V537" s="598" t="s">
        <v>3309</v>
      </c>
      <c r="W537" s="598" t="s">
        <v>3309</v>
      </c>
      <c r="X537" s="598" t="s">
        <v>3309</v>
      </c>
      <c r="Y537" s="598" t="s">
        <v>321</v>
      </c>
      <c r="Z537" s="598" t="s">
        <v>321</v>
      </c>
      <c r="AA537" s="598" t="s">
        <v>3309</v>
      </c>
      <c r="AB537" s="598" t="s">
        <v>3309</v>
      </c>
      <c r="AC537" s="598" t="s">
        <v>3309</v>
      </c>
      <c r="AD537" s="598" t="s">
        <v>3309</v>
      </c>
      <c r="AE537" s="598" t="s">
        <v>3309</v>
      </c>
      <c r="AF537" s="598" t="s">
        <v>321</v>
      </c>
      <c r="AG537" s="598" t="s">
        <v>321</v>
      </c>
      <c r="AH537" s="598" t="s">
        <v>3309</v>
      </c>
      <c r="AI537" s="598" t="s">
        <v>321</v>
      </c>
      <c r="AJ537" s="599">
        <v>21</v>
      </c>
      <c r="AK537" s="600">
        <v>20</v>
      </c>
      <c r="AL537" s="602">
        <v>1</v>
      </c>
      <c r="AM537" s="601">
        <v>0</v>
      </c>
      <c r="AN537" s="599">
        <v>21</v>
      </c>
    </row>
    <row r="538" spans="1:40" ht="16.5" customHeight="1">
      <c r="A538" s="598" t="s">
        <v>3307</v>
      </c>
      <c r="B538" s="598" t="s">
        <v>3333</v>
      </c>
      <c r="C538" s="598" t="s">
        <v>2051</v>
      </c>
      <c r="D538" s="598" t="s">
        <v>2052</v>
      </c>
      <c r="E538" s="598" t="s">
        <v>321</v>
      </c>
      <c r="F538" s="598" t="s">
        <v>3312</v>
      </c>
      <c r="G538" s="598" t="s">
        <v>3309</v>
      </c>
      <c r="H538" s="598" t="s">
        <v>3309</v>
      </c>
      <c r="I538" s="598" t="s">
        <v>3313</v>
      </c>
      <c r="J538" s="598" t="s">
        <v>3313</v>
      </c>
      <c r="K538" s="598" t="s">
        <v>321</v>
      </c>
      <c r="L538" s="598" t="s">
        <v>321</v>
      </c>
      <c r="M538" s="598" t="s">
        <v>3309</v>
      </c>
      <c r="N538" s="598" t="s">
        <v>3309</v>
      </c>
      <c r="O538" s="598" t="s">
        <v>3309</v>
      </c>
      <c r="P538" s="598" t="s">
        <v>3309</v>
      </c>
      <c r="Q538" s="598" t="s">
        <v>3309</v>
      </c>
      <c r="R538" s="598" t="s">
        <v>321</v>
      </c>
      <c r="S538" s="598" t="s">
        <v>321</v>
      </c>
      <c r="T538" s="598" t="s">
        <v>3309</v>
      </c>
      <c r="U538" s="598" t="s">
        <v>3309</v>
      </c>
      <c r="V538" s="598" t="s">
        <v>3309</v>
      </c>
      <c r="W538" s="598" t="s">
        <v>3309</v>
      </c>
      <c r="X538" s="598" t="s">
        <v>3309</v>
      </c>
      <c r="Y538" s="598" t="s">
        <v>321</v>
      </c>
      <c r="Z538" s="598" t="s">
        <v>321</v>
      </c>
      <c r="AA538" s="598" t="s">
        <v>3309</v>
      </c>
      <c r="AB538" s="598" t="s">
        <v>3309</v>
      </c>
      <c r="AC538" s="598" t="s">
        <v>3309</v>
      </c>
      <c r="AD538" s="598" t="s">
        <v>3309</v>
      </c>
      <c r="AE538" s="598" t="s">
        <v>3309</v>
      </c>
      <c r="AF538" s="598" t="s">
        <v>321</v>
      </c>
      <c r="AG538" s="598" t="s">
        <v>321</v>
      </c>
      <c r="AH538" s="598" t="s">
        <v>3309</v>
      </c>
      <c r="AI538" s="598" t="s">
        <v>321</v>
      </c>
      <c r="AJ538" s="599">
        <v>21</v>
      </c>
      <c r="AK538" s="600">
        <v>20</v>
      </c>
      <c r="AL538" s="602">
        <v>1</v>
      </c>
      <c r="AM538" s="601">
        <v>0</v>
      </c>
      <c r="AN538" s="599">
        <v>21</v>
      </c>
    </row>
    <row r="539" spans="1:40" ht="16.5" customHeight="1">
      <c r="A539" s="598" t="s">
        <v>3307</v>
      </c>
      <c r="B539" s="598" t="s">
        <v>3333</v>
      </c>
      <c r="C539" s="598" t="s">
        <v>2763</v>
      </c>
      <c r="D539" s="598" t="s">
        <v>2764</v>
      </c>
      <c r="E539" s="598" t="s">
        <v>321</v>
      </c>
      <c r="F539" s="598" t="s">
        <v>3309</v>
      </c>
      <c r="G539" s="598" t="s">
        <v>3309</v>
      </c>
      <c r="H539" s="598" t="s">
        <v>3309</v>
      </c>
      <c r="I539" s="598" t="s">
        <v>3313</v>
      </c>
      <c r="J539" s="598" t="s">
        <v>3313</v>
      </c>
      <c r="K539" s="598" t="s">
        <v>321</v>
      </c>
      <c r="L539" s="598" t="s">
        <v>321</v>
      </c>
      <c r="M539" s="598" t="s">
        <v>3309</v>
      </c>
      <c r="N539" s="598" t="s">
        <v>3309</v>
      </c>
      <c r="O539" s="598" t="s">
        <v>3309</v>
      </c>
      <c r="P539" s="598" t="s">
        <v>3309</v>
      </c>
      <c r="Q539" s="598" t="s">
        <v>3309</v>
      </c>
      <c r="R539" s="598" t="s">
        <v>321</v>
      </c>
      <c r="S539" s="598" t="s">
        <v>321</v>
      </c>
      <c r="T539" s="598" t="s">
        <v>3309</v>
      </c>
      <c r="U539" s="598" t="s">
        <v>3309</v>
      </c>
      <c r="V539" s="598" t="s">
        <v>3309</v>
      </c>
      <c r="W539" s="598" t="s">
        <v>3309</v>
      </c>
      <c r="X539" s="598" t="s">
        <v>3309</v>
      </c>
      <c r="Y539" s="598" t="s">
        <v>321</v>
      </c>
      <c r="Z539" s="598" t="s">
        <v>321</v>
      </c>
      <c r="AA539" s="598" t="s">
        <v>3309</v>
      </c>
      <c r="AB539" s="598" t="s">
        <v>3309</v>
      </c>
      <c r="AC539" s="598" t="s">
        <v>3309</v>
      </c>
      <c r="AD539" s="598" t="s">
        <v>3309</v>
      </c>
      <c r="AE539" s="598" t="s">
        <v>3309</v>
      </c>
      <c r="AF539" s="598" t="s">
        <v>321</v>
      </c>
      <c r="AG539" s="598" t="s">
        <v>321</v>
      </c>
      <c r="AH539" s="598" t="s">
        <v>3309</v>
      </c>
      <c r="AI539" s="598" t="s">
        <v>321</v>
      </c>
      <c r="AJ539" s="599">
        <v>21</v>
      </c>
      <c r="AK539" s="600">
        <v>21</v>
      </c>
      <c r="AL539" s="601">
        <v>0</v>
      </c>
      <c r="AM539" s="601">
        <v>0</v>
      </c>
      <c r="AN539" s="599">
        <v>21</v>
      </c>
    </row>
    <row r="540" spans="1:40" ht="16.5" customHeight="1">
      <c r="A540" s="598" t="s">
        <v>3307</v>
      </c>
      <c r="B540" s="598" t="s">
        <v>3333</v>
      </c>
      <c r="C540" s="598" t="s">
        <v>2908</v>
      </c>
      <c r="D540" s="598" t="s">
        <v>2909</v>
      </c>
      <c r="E540" s="598" t="s">
        <v>321</v>
      </c>
      <c r="F540" s="598" t="s">
        <v>3309</v>
      </c>
      <c r="G540" s="598" t="s">
        <v>3309</v>
      </c>
      <c r="H540" s="598" t="s">
        <v>3309</v>
      </c>
      <c r="I540" s="598" t="s">
        <v>3313</v>
      </c>
      <c r="J540" s="598" t="s">
        <v>3313</v>
      </c>
      <c r="K540" s="598" t="s">
        <v>321</v>
      </c>
      <c r="L540" s="598" t="s">
        <v>321</v>
      </c>
      <c r="M540" s="598" t="s">
        <v>3309</v>
      </c>
      <c r="N540" s="598" t="s">
        <v>3309</v>
      </c>
      <c r="O540" s="598" t="s">
        <v>3309</v>
      </c>
      <c r="P540" s="598" t="s">
        <v>3309</v>
      </c>
      <c r="Q540" s="598" t="s">
        <v>3309</v>
      </c>
      <c r="R540" s="598" t="s">
        <v>321</v>
      </c>
      <c r="S540" s="598" t="s">
        <v>321</v>
      </c>
      <c r="T540" s="598" t="s">
        <v>3309</v>
      </c>
      <c r="U540" s="598" t="s">
        <v>3309</v>
      </c>
      <c r="V540" s="598" t="s">
        <v>3309</v>
      </c>
      <c r="W540" s="598" t="s">
        <v>3309</v>
      </c>
      <c r="X540" s="598" t="s">
        <v>3309</v>
      </c>
      <c r="Y540" s="598" t="s">
        <v>321</v>
      </c>
      <c r="Z540" s="598" t="s">
        <v>321</v>
      </c>
      <c r="AA540" s="598" t="s">
        <v>3312</v>
      </c>
      <c r="AB540" s="598" t="s">
        <v>3309</v>
      </c>
      <c r="AC540" s="598" t="s">
        <v>3309</v>
      </c>
      <c r="AD540" s="598" t="s">
        <v>3309</v>
      </c>
      <c r="AE540" s="598" t="s">
        <v>3309</v>
      </c>
      <c r="AF540" s="598" t="s">
        <v>321</v>
      </c>
      <c r="AG540" s="598" t="s">
        <v>321</v>
      </c>
      <c r="AH540" s="598" t="s">
        <v>3309</v>
      </c>
      <c r="AI540" s="598" t="s">
        <v>321</v>
      </c>
      <c r="AJ540" s="599">
        <v>21</v>
      </c>
      <c r="AK540" s="600">
        <v>20</v>
      </c>
      <c r="AL540" s="602">
        <v>1</v>
      </c>
      <c r="AM540" s="601">
        <v>0</v>
      </c>
      <c r="AN540" s="599">
        <v>21</v>
      </c>
    </row>
    <row r="541" spans="1:40" ht="16.5" customHeight="1">
      <c r="A541" s="598" t="s">
        <v>3307</v>
      </c>
      <c r="B541" s="598" t="s">
        <v>3333</v>
      </c>
      <c r="C541" s="598" t="s">
        <v>1909</v>
      </c>
      <c r="D541" s="598" t="s">
        <v>1910</v>
      </c>
      <c r="E541" s="598" t="s">
        <v>321</v>
      </c>
      <c r="F541" s="598" t="s">
        <v>3309</v>
      </c>
      <c r="G541" s="598" t="s">
        <v>3309</v>
      </c>
      <c r="H541" s="598" t="s">
        <v>3309</v>
      </c>
      <c r="I541" s="598" t="s">
        <v>3313</v>
      </c>
      <c r="J541" s="598" t="s">
        <v>3313</v>
      </c>
      <c r="K541" s="598" t="s">
        <v>321</v>
      </c>
      <c r="L541" s="598" t="s">
        <v>321</v>
      </c>
      <c r="M541" s="598" t="s">
        <v>3309</v>
      </c>
      <c r="N541" s="598" t="s">
        <v>3309</v>
      </c>
      <c r="O541" s="598" t="s">
        <v>3309</v>
      </c>
      <c r="P541" s="598" t="s">
        <v>3309</v>
      </c>
      <c r="Q541" s="598" t="s">
        <v>3309</v>
      </c>
      <c r="R541" s="598" t="s">
        <v>321</v>
      </c>
      <c r="S541" s="598" t="s">
        <v>321</v>
      </c>
      <c r="T541" s="598" t="s">
        <v>3309</v>
      </c>
      <c r="U541" s="598" t="s">
        <v>3309</v>
      </c>
      <c r="V541" s="598" t="s">
        <v>3309</v>
      </c>
      <c r="W541" s="598" t="s">
        <v>3312</v>
      </c>
      <c r="X541" s="598" t="s">
        <v>3309</v>
      </c>
      <c r="Y541" s="598" t="s">
        <v>321</v>
      </c>
      <c r="Z541" s="598" t="s">
        <v>321</v>
      </c>
      <c r="AA541" s="598" t="s">
        <v>3309</v>
      </c>
      <c r="AB541" s="598" t="s">
        <v>3309</v>
      </c>
      <c r="AC541" s="598" t="s">
        <v>3309</v>
      </c>
      <c r="AD541" s="598" t="s">
        <v>3309</v>
      </c>
      <c r="AE541" s="598" t="s">
        <v>3309</v>
      </c>
      <c r="AF541" s="598" t="s">
        <v>321</v>
      </c>
      <c r="AG541" s="598" t="s">
        <v>321</v>
      </c>
      <c r="AH541" s="598" t="s">
        <v>3309</v>
      </c>
      <c r="AI541" s="598" t="s">
        <v>321</v>
      </c>
      <c r="AJ541" s="599">
        <v>21</v>
      </c>
      <c r="AK541" s="600">
        <v>20</v>
      </c>
      <c r="AL541" s="602">
        <v>1</v>
      </c>
      <c r="AM541" s="601">
        <v>0</v>
      </c>
      <c r="AN541" s="599">
        <v>21</v>
      </c>
    </row>
    <row r="542" spans="1:40" ht="16.5" customHeight="1">
      <c r="A542" s="598" t="s">
        <v>3307</v>
      </c>
      <c r="B542" s="598" t="s">
        <v>3333</v>
      </c>
      <c r="C542" s="598" t="s">
        <v>1791</v>
      </c>
      <c r="D542" s="598" t="s">
        <v>1792</v>
      </c>
      <c r="E542" s="598" t="s">
        <v>321</v>
      </c>
      <c r="F542" s="598" t="s">
        <v>3309</v>
      </c>
      <c r="G542" s="598" t="s">
        <v>3309</v>
      </c>
      <c r="H542" s="598" t="s">
        <v>3309</v>
      </c>
      <c r="I542" s="598" t="s">
        <v>3312</v>
      </c>
      <c r="J542" s="598" t="s">
        <v>3312</v>
      </c>
      <c r="K542" s="598" t="s">
        <v>321</v>
      </c>
      <c r="L542" s="598" t="s">
        <v>321</v>
      </c>
      <c r="M542" s="598" t="s">
        <v>3309</v>
      </c>
      <c r="N542" s="598" t="s">
        <v>3309</v>
      </c>
      <c r="O542" s="598" t="s">
        <v>3309</v>
      </c>
      <c r="P542" s="598" t="s">
        <v>3309</v>
      </c>
      <c r="Q542" s="598" t="s">
        <v>3309</v>
      </c>
      <c r="R542" s="598" t="s">
        <v>321</v>
      </c>
      <c r="S542" s="598" t="s">
        <v>321</v>
      </c>
      <c r="T542" s="598" t="s">
        <v>3309</v>
      </c>
      <c r="U542" s="598" t="s">
        <v>3309</v>
      </c>
      <c r="V542" s="598" t="s">
        <v>3309</v>
      </c>
      <c r="W542" s="598" t="s">
        <v>3309</v>
      </c>
      <c r="X542" s="598" t="s">
        <v>3309</v>
      </c>
      <c r="Y542" s="598" t="s">
        <v>321</v>
      </c>
      <c r="Z542" s="598" t="s">
        <v>321</v>
      </c>
      <c r="AA542" s="598" t="s">
        <v>3309</v>
      </c>
      <c r="AB542" s="598" t="s">
        <v>3309</v>
      </c>
      <c r="AC542" s="598" t="s">
        <v>3309</v>
      </c>
      <c r="AD542" s="598" t="s">
        <v>3309</v>
      </c>
      <c r="AE542" s="598" t="s">
        <v>3309</v>
      </c>
      <c r="AF542" s="598" t="s">
        <v>321</v>
      </c>
      <c r="AG542" s="598" t="s">
        <v>321</v>
      </c>
      <c r="AH542" s="598" t="s">
        <v>3309</v>
      </c>
      <c r="AI542" s="598" t="s">
        <v>321</v>
      </c>
      <c r="AJ542" s="599">
        <v>21</v>
      </c>
      <c r="AK542" s="600">
        <v>19</v>
      </c>
      <c r="AL542" s="602">
        <v>2</v>
      </c>
      <c r="AM542" s="601">
        <v>0</v>
      </c>
      <c r="AN542" s="599">
        <v>21</v>
      </c>
    </row>
    <row r="543" spans="1:40" ht="16.5" customHeight="1">
      <c r="A543" s="598" t="s">
        <v>3307</v>
      </c>
      <c r="B543" s="598" t="s">
        <v>3333</v>
      </c>
      <c r="C543" s="598" t="s">
        <v>2130</v>
      </c>
      <c r="D543" s="598" t="s">
        <v>2131</v>
      </c>
      <c r="E543" s="598" t="s">
        <v>321</v>
      </c>
      <c r="F543" s="598" t="s">
        <v>3309</v>
      </c>
      <c r="G543" s="598" t="s">
        <v>3309</v>
      </c>
      <c r="H543" s="598" t="s">
        <v>3309</v>
      </c>
      <c r="I543" s="598" t="s">
        <v>3313</v>
      </c>
      <c r="J543" s="598" t="s">
        <v>3313</v>
      </c>
      <c r="K543" s="598" t="s">
        <v>321</v>
      </c>
      <c r="L543" s="598" t="s">
        <v>321</v>
      </c>
      <c r="M543" s="598" t="s">
        <v>3309</v>
      </c>
      <c r="N543" s="598" t="s">
        <v>3309</v>
      </c>
      <c r="O543" s="598" t="s">
        <v>3309</v>
      </c>
      <c r="P543" s="598" t="s">
        <v>3309</v>
      </c>
      <c r="Q543" s="598" t="s">
        <v>3309</v>
      </c>
      <c r="R543" s="598" t="s">
        <v>321</v>
      </c>
      <c r="S543" s="598" t="s">
        <v>321</v>
      </c>
      <c r="T543" s="598" t="s">
        <v>3309</v>
      </c>
      <c r="U543" s="598" t="s">
        <v>3309</v>
      </c>
      <c r="V543" s="598" t="s">
        <v>3309</v>
      </c>
      <c r="W543" s="598" t="s">
        <v>3309</v>
      </c>
      <c r="X543" s="598" t="s">
        <v>3309</v>
      </c>
      <c r="Y543" s="598" t="s">
        <v>321</v>
      </c>
      <c r="Z543" s="598" t="s">
        <v>321</v>
      </c>
      <c r="AA543" s="598" t="s">
        <v>3309</v>
      </c>
      <c r="AB543" s="598" t="s">
        <v>3309</v>
      </c>
      <c r="AC543" s="598" t="s">
        <v>3309</v>
      </c>
      <c r="AD543" s="598" t="s">
        <v>3309</v>
      </c>
      <c r="AE543" s="598" t="s">
        <v>3309</v>
      </c>
      <c r="AF543" s="598" t="s">
        <v>321</v>
      </c>
      <c r="AG543" s="598" t="s">
        <v>321</v>
      </c>
      <c r="AH543" s="598" t="s">
        <v>3309</v>
      </c>
      <c r="AI543" s="598" t="s">
        <v>321</v>
      </c>
      <c r="AJ543" s="599">
        <v>21</v>
      </c>
      <c r="AK543" s="600">
        <v>21</v>
      </c>
      <c r="AL543" s="601">
        <v>0</v>
      </c>
      <c r="AM543" s="601">
        <v>0</v>
      </c>
      <c r="AN543" s="599">
        <v>21</v>
      </c>
    </row>
    <row r="544" spans="1:40" ht="16.5" customHeight="1">
      <c r="A544" s="598" t="s">
        <v>3307</v>
      </c>
      <c r="B544" s="598" t="s">
        <v>3333</v>
      </c>
      <c r="C544" s="598" t="s">
        <v>2156</v>
      </c>
      <c r="D544" s="598" t="s">
        <v>2157</v>
      </c>
      <c r="E544" s="598" t="s">
        <v>321</v>
      </c>
      <c r="F544" s="598" t="s">
        <v>3309</v>
      </c>
      <c r="G544" s="598" t="s">
        <v>3309</v>
      </c>
      <c r="H544" s="598" t="s">
        <v>3309</v>
      </c>
      <c r="I544" s="598" t="s">
        <v>3313</v>
      </c>
      <c r="J544" s="598" t="s">
        <v>3313</v>
      </c>
      <c r="K544" s="598" t="s">
        <v>321</v>
      </c>
      <c r="L544" s="598" t="s">
        <v>321</v>
      </c>
      <c r="M544" s="598" t="s">
        <v>3309</v>
      </c>
      <c r="N544" s="598" t="s">
        <v>3309</v>
      </c>
      <c r="O544" s="598" t="s">
        <v>3309</v>
      </c>
      <c r="P544" s="598" t="s">
        <v>3309</v>
      </c>
      <c r="Q544" s="598" t="s">
        <v>3309</v>
      </c>
      <c r="R544" s="598" t="s">
        <v>321</v>
      </c>
      <c r="S544" s="598" t="s">
        <v>321</v>
      </c>
      <c r="T544" s="598" t="s">
        <v>3309</v>
      </c>
      <c r="U544" s="598" t="s">
        <v>3309</v>
      </c>
      <c r="V544" s="598" t="s">
        <v>3309</v>
      </c>
      <c r="W544" s="598" t="s">
        <v>3309</v>
      </c>
      <c r="X544" s="598" t="s">
        <v>3309</v>
      </c>
      <c r="Y544" s="598" t="s">
        <v>321</v>
      </c>
      <c r="Z544" s="598" t="s">
        <v>321</v>
      </c>
      <c r="AA544" s="598" t="s">
        <v>3309</v>
      </c>
      <c r="AB544" s="598" t="s">
        <v>3309</v>
      </c>
      <c r="AC544" s="598" t="s">
        <v>3309</v>
      </c>
      <c r="AD544" s="598" t="s">
        <v>3309</v>
      </c>
      <c r="AE544" s="598" t="s">
        <v>3309</v>
      </c>
      <c r="AF544" s="598" t="s">
        <v>321</v>
      </c>
      <c r="AG544" s="598" t="s">
        <v>321</v>
      </c>
      <c r="AH544" s="598" t="s">
        <v>3309</v>
      </c>
      <c r="AI544" s="598" t="s">
        <v>321</v>
      </c>
      <c r="AJ544" s="599">
        <v>21</v>
      </c>
      <c r="AK544" s="600">
        <v>21</v>
      </c>
      <c r="AL544" s="601">
        <v>0</v>
      </c>
      <c r="AM544" s="601">
        <v>0</v>
      </c>
      <c r="AN544" s="599">
        <v>21</v>
      </c>
    </row>
    <row r="545" spans="1:40" ht="16.5" customHeight="1">
      <c r="A545" s="598" t="s">
        <v>3307</v>
      </c>
      <c r="B545" s="598" t="s">
        <v>3333</v>
      </c>
      <c r="C545" s="598" t="s">
        <v>2881</v>
      </c>
      <c r="D545" s="598" t="s">
        <v>2882</v>
      </c>
      <c r="E545" s="598" t="s">
        <v>321</v>
      </c>
      <c r="F545" s="598" t="s">
        <v>3309</v>
      </c>
      <c r="G545" s="598" t="s">
        <v>3309</v>
      </c>
      <c r="H545" s="598" t="s">
        <v>3309</v>
      </c>
      <c r="I545" s="598" t="s">
        <v>3313</v>
      </c>
      <c r="J545" s="598" t="s">
        <v>3313</v>
      </c>
      <c r="K545" s="598" t="s">
        <v>321</v>
      </c>
      <c r="L545" s="598" t="s">
        <v>321</v>
      </c>
      <c r="M545" s="598" t="s">
        <v>3309</v>
      </c>
      <c r="N545" s="598" t="s">
        <v>3309</v>
      </c>
      <c r="O545" s="598" t="s">
        <v>3309</v>
      </c>
      <c r="P545" s="598" t="s">
        <v>3309</v>
      </c>
      <c r="Q545" s="598" t="s">
        <v>3309</v>
      </c>
      <c r="R545" s="598" t="s">
        <v>321</v>
      </c>
      <c r="S545" s="598" t="s">
        <v>321</v>
      </c>
      <c r="T545" s="598" t="s">
        <v>3309</v>
      </c>
      <c r="U545" s="598" t="s">
        <v>3309</v>
      </c>
      <c r="V545" s="598" t="s">
        <v>3309</v>
      </c>
      <c r="W545" s="598" t="s">
        <v>3309</v>
      </c>
      <c r="X545" s="598" t="s">
        <v>3309</v>
      </c>
      <c r="Y545" s="598" t="s">
        <v>321</v>
      </c>
      <c r="Z545" s="598" t="s">
        <v>321</v>
      </c>
      <c r="AA545" s="598" t="s">
        <v>3309</v>
      </c>
      <c r="AB545" s="598" t="s">
        <v>3309</v>
      </c>
      <c r="AC545" s="598" t="s">
        <v>3309</v>
      </c>
      <c r="AD545" s="598" t="s">
        <v>3309</v>
      </c>
      <c r="AE545" s="598" t="s">
        <v>3309</v>
      </c>
      <c r="AF545" s="598" t="s">
        <v>321</v>
      </c>
      <c r="AG545" s="598" t="s">
        <v>321</v>
      </c>
      <c r="AH545" s="598" t="s">
        <v>3309</v>
      </c>
      <c r="AI545" s="598" t="s">
        <v>321</v>
      </c>
      <c r="AJ545" s="599">
        <v>21</v>
      </c>
      <c r="AK545" s="600">
        <v>21</v>
      </c>
      <c r="AL545" s="601">
        <v>0</v>
      </c>
      <c r="AM545" s="601">
        <v>0</v>
      </c>
      <c r="AN545" s="599">
        <v>21</v>
      </c>
    </row>
    <row r="546" spans="1:40" ht="16.5" customHeight="1">
      <c r="A546" s="598" t="s">
        <v>3307</v>
      </c>
      <c r="B546" s="598" t="s">
        <v>3333</v>
      </c>
      <c r="C546" s="598" t="s">
        <v>1854</v>
      </c>
      <c r="D546" s="598" t="s">
        <v>1855</v>
      </c>
      <c r="E546" s="598" t="s">
        <v>321</v>
      </c>
      <c r="F546" s="598" t="s">
        <v>3309</v>
      </c>
      <c r="G546" s="598" t="s">
        <v>3309</v>
      </c>
      <c r="H546" s="598" t="s">
        <v>3309</v>
      </c>
      <c r="I546" s="598" t="s">
        <v>3313</v>
      </c>
      <c r="J546" s="598" t="s">
        <v>3313</v>
      </c>
      <c r="K546" s="598" t="s">
        <v>321</v>
      </c>
      <c r="L546" s="598" t="s">
        <v>321</v>
      </c>
      <c r="M546" s="598" t="s">
        <v>3309</v>
      </c>
      <c r="N546" s="598" t="s">
        <v>3309</v>
      </c>
      <c r="O546" s="598" t="s">
        <v>3312</v>
      </c>
      <c r="P546" s="598" t="s">
        <v>3312</v>
      </c>
      <c r="Q546" s="598" t="s">
        <v>3312</v>
      </c>
      <c r="R546" s="598" t="s">
        <v>321</v>
      </c>
      <c r="S546" s="598" t="s">
        <v>321</v>
      </c>
      <c r="T546" s="598" t="s">
        <v>321</v>
      </c>
      <c r="U546" s="598" t="s">
        <v>321</v>
      </c>
      <c r="V546" s="598" t="s">
        <v>321</v>
      </c>
      <c r="W546" s="598" t="s">
        <v>321</v>
      </c>
      <c r="X546" s="598" t="s">
        <v>321</v>
      </c>
      <c r="Y546" s="598" t="s">
        <v>321</v>
      </c>
      <c r="Z546" s="598" t="s">
        <v>321</v>
      </c>
      <c r="AA546" s="598" t="s">
        <v>321</v>
      </c>
      <c r="AB546" s="598" t="s">
        <v>321</v>
      </c>
      <c r="AC546" s="598" t="s">
        <v>321</v>
      </c>
      <c r="AD546" s="598" t="s">
        <v>321</v>
      </c>
      <c r="AE546" s="598" t="s">
        <v>321</v>
      </c>
      <c r="AF546" s="598" t="s">
        <v>321</v>
      </c>
      <c r="AG546" s="598" t="s">
        <v>321</v>
      </c>
      <c r="AH546" s="598" t="s">
        <v>321</v>
      </c>
      <c r="AI546" s="598" t="s">
        <v>321</v>
      </c>
      <c r="AJ546" s="599">
        <v>21</v>
      </c>
      <c r="AK546" s="602">
        <v>7</v>
      </c>
      <c r="AL546" s="602">
        <v>3</v>
      </c>
      <c r="AM546" s="601">
        <v>0</v>
      </c>
      <c r="AN546" s="599">
        <v>10</v>
      </c>
    </row>
    <row r="547" spans="1:40" ht="16.5" customHeight="1">
      <c r="A547" s="598" t="s">
        <v>3307</v>
      </c>
      <c r="B547" s="598" t="s">
        <v>3333</v>
      </c>
      <c r="C547" s="598" t="s">
        <v>1419</v>
      </c>
      <c r="D547" s="598" t="s">
        <v>1420</v>
      </c>
      <c r="E547" s="598" t="s">
        <v>321</v>
      </c>
      <c r="F547" s="598" t="s">
        <v>3309</v>
      </c>
      <c r="G547" s="598" t="s">
        <v>3309</v>
      </c>
      <c r="H547" s="598" t="s">
        <v>3309</v>
      </c>
      <c r="I547" s="598" t="s">
        <v>3313</v>
      </c>
      <c r="J547" s="598" t="s">
        <v>3313</v>
      </c>
      <c r="K547" s="598" t="s">
        <v>321</v>
      </c>
      <c r="L547" s="598" t="s">
        <v>321</v>
      </c>
      <c r="M547" s="598" t="s">
        <v>3309</v>
      </c>
      <c r="N547" s="598" t="s">
        <v>3309</v>
      </c>
      <c r="O547" s="598" t="s">
        <v>3309</v>
      </c>
      <c r="P547" s="598" t="s">
        <v>3309</v>
      </c>
      <c r="Q547" s="598" t="s">
        <v>3309</v>
      </c>
      <c r="R547" s="598" t="s">
        <v>321</v>
      </c>
      <c r="S547" s="598" t="s">
        <v>321</v>
      </c>
      <c r="T547" s="598" t="s">
        <v>3309</v>
      </c>
      <c r="U547" s="598" t="s">
        <v>3309</v>
      </c>
      <c r="V547" s="598" t="s">
        <v>3309</v>
      </c>
      <c r="W547" s="598" t="s">
        <v>3309</v>
      </c>
      <c r="X547" s="598" t="s">
        <v>3309</v>
      </c>
      <c r="Y547" s="598" t="s">
        <v>321</v>
      </c>
      <c r="Z547" s="598" t="s">
        <v>321</v>
      </c>
      <c r="AA547" s="598" t="s">
        <v>3309</v>
      </c>
      <c r="AB547" s="598" t="s">
        <v>3309</v>
      </c>
      <c r="AC547" s="598" t="s">
        <v>3309</v>
      </c>
      <c r="AD547" s="598" t="s">
        <v>3309</v>
      </c>
      <c r="AE547" s="598" t="s">
        <v>3309</v>
      </c>
      <c r="AF547" s="598" t="s">
        <v>321</v>
      </c>
      <c r="AG547" s="598" t="s">
        <v>321</v>
      </c>
      <c r="AH547" s="598" t="s">
        <v>3309</v>
      </c>
      <c r="AI547" s="598" t="s">
        <v>321</v>
      </c>
      <c r="AJ547" s="599">
        <v>21</v>
      </c>
      <c r="AK547" s="600">
        <v>21</v>
      </c>
      <c r="AL547" s="601">
        <v>0</v>
      </c>
      <c r="AM547" s="601">
        <v>0</v>
      </c>
      <c r="AN547" s="599">
        <v>21</v>
      </c>
    </row>
    <row r="548" spans="1:40" ht="16.5" customHeight="1">
      <c r="A548" s="598" t="s">
        <v>3307</v>
      </c>
      <c r="B548" s="598" t="s">
        <v>3334</v>
      </c>
      <c r="C548" s="598" t="s">
        <v>1155</v>
      </c>
      <c r="D548" s="598" t="s">
        <v>1156</v>
      </c>
      <c r="E548" s="598" t="s">
        <v>321</v>
      </c>
      <c r="F548" s="598" t="s">
        <v>3309</v>
      </c>
      <c r="G548" s="598" t="s">
        <v>3309</v>
      </c>
      <c r="H548" s="598" t="s">
        <v>3309</v>
      </c>
      <c r="I548" s="598" t="s">
        <v>3309</v>
      </c>
      <c r="J548" s="598" t="s">
        <v>3309</v>
      </c>
      <c r="K548" s="598" t="s">
        <v>321</v>
      </c>
      <c r="L548" s="598" t="s">
        <v>321</v>
      </c>
      <c r="M548" s="598" t="s">
        <v>3309</v>
      </c>
      <c r="N548" s="598" t="s">
        <v>3309</v>
      </c>
      <c r="O548" s="598" t="s">
        <v>3309</v>
      </c>
      <c r="P548" s="598" t="s">
        <v>3309</v>
      </c>
      <c r="Q548" s="598" t="s">
        <v>3309</v>
      </c>
      <c r="R548" s="598" t="s">
        <v>321</v>
      </c>
      <c r="S548" s="598" t="s">
        <v>321</v>
      </c>
      <c r="T548" s="598" t="s">
        <v>3309</v>
      </c>
      <c r="U548" s="598" t="s">
        <v>3309</v>
      </c>
      <c r="V548" s="598" t="s">
        <v>3309</v>
      </c>
      <c r="W548" s="598" t="s">
        <v>3309</v>
      </c>
      <c r="X548" s="598" t="s">
        <v>3309</v>
      </c>
      <c r="Y548" s="598" t="s">
        <v>321</v>
      </c>
      <c r="Z548" s="598" t="s">
        <v>321</v>
      </c>
      <c r="AA548" s="598" t="s">
        <v>3312</v>
      </c>
      <c r="AB548" s="598" t="s">
        <v>3312</v>
      </c>
      <c r="AC548" s="598" t="s">
        <v>3309</v>
      </c>
      <c r="AD548" s="598" t="s">
        <v>3309</v>
      </c>
      <c r="AE548" s="598" t="s">
        <v>3309</v>
      </c>
      <c r="AF548" s="598" t="s">
        <v>321</v>
      </c>
      <c r="AG548" s="598" t="s">
        <v>321</v>
      </c>
      <c r="AH548" s="598" t="s">
        <v>3309</v>
      </c>
      <c r="AI548" s="598" t="s">
        <v>321</v>
      </c>
      <c r="AJ548" s="599">
        <v>21</v>
      </c>
      <c r="AK548" s="600">
        <v>19</v>
      </c>
      <c r="AL548" s="602">
        <v>2</v>
      </c>
      <c r="AM548" s="601">
        <v>0</v>
      </c>
      <c r="AN548" s="599">
        <v>21</v>
      </c>
    </row>
    <row r="549" spans="1:40" ht="16.5" customHeight="1">
      <c r="A549" s="598" t="s">
        <v>3307</v>
      </c>
      <c r="B549" s="598" t="s">
        <v>3334</v>
      </c>
      <c r="C549" s="598" t="s">
        <v>543</v>
      </c>
      <c r="D549" s="598" t="s">
        <v>544</v>
      </c>
      <c r="E549" s="598" t="s">
        <v>321</v>
      </c>
      <c r="F549" s="598" t="s">
        <v>3309</v>
      </c>
      <c r="G549" s="598" t="s">
        <v>3309</v>
      </c>
      <c r="H549" s="598" t="s">
        <v>3309</v>
      </c>
      <c r="I549" s="598" t="s">
        <v>3309</v>
      </c>
      <c r="J549" s="598" t="s">
        <v>3309</v>
      </c>
      <c r="K549" s="598" t="s">
        <v>321</v>
      </c>
      <c r="L549" s="598" t="s">
        <v>321</v>
      </c>
      <c r="M549" s="598" t="s">
        <v>3309</v>
      </c>
      <c r="N549" s="598" t="s">
        <v>3309</v>
      </c>
      <c r="O549" s="598" t="s">
        <v>3309</v>
      </c>
      <c r="P549" s="598" t="s">
        <v>3309</v>
      </c>
      <c r="Q549" s="598" t="s">
        <v>3309</v>
      </c>
      <c r="R549" s="598" t="s">
        <v>321</v>
      </c>
      <c r="S549" s="598" t="s">
        <v>321</v>
      </c>
      <c r="T549" s="598" t="s">
        <v>3309</v>
      </c>
      <c r="U549" s="598" t="s">
        <v>3309</v>
      </c>
      <c r="V549" s="598" t="s">
        <v>3309</v>
      </c>
      <c r="W549" s="598" t="s">
        <v>3309</v>
      </c>
      <c r="X549" s="598" t="s">
        <v>3309</v>
      </c>
      <c r="Y549" s="598" t="s">
        <v>321</v>
      </c>
      <c r="Z549" s="598" t="s">
        <v>321</v>
      </c>
      <c r="AA549" s="598" t="s">
        <v>3309</v>
      </c>
      <c r="AB549" s="598" t="s">
        <v>3309</v>
      </c>
      <c r="AC549" s="598" t="s">
        <v>3309</v>
      </c>
      <c r="AD549" s="598" t="s">
        <v>3309</v>
      </c>
      <c r="AE549" s="598" t="s">
        <v>3309</v>
      </c>
      <c r="AF549" s="598" t="s">
        <v>321</v>
      </c>
      <c r="AG549" s="598" t="s">
        <v>321</v>
      </c>
      <c r="AH549" s="598" t="s">
        <v>3309</v>
      </c>
      <c r="AI549" s="598" t="s">
        <v>321</v>
      </c>
      <c r="AJ549" s="599">
        <v>21</v>
      </c>
      <c r="AK549" s="600">
        <v>21</v>
      </c>
      <c r="AL549" s="601">
        <v>0</v>
      </c>
      <c r="AM549" s="601">
        <v>0</v>
      </c>
      <c r="AN549" s="599">
        <v>21</v>
      </c>
    </row>
    <row r="550" spans="1:40" ht="16.5" customHeight="1">
      <c r="A550" s="598" t="s">
        <v>3307</v>
      </c>
      <c r="B550" s="598" t="s">
        <v>3334</v>
      </c>
      <c r="C550" s="598" t="s">
        <v>1177</v>
      </c>
      <c r="D550" s="598" t="s">
        <v>1178</v>
      </c>
      <c r="E550" s="598" t="s">
        <v>321</v>
      </c>
      <c r="F550" s="598" t="s">
        <v>3309</v>
      </c>
      <c r="G550" s="598" t="s">
        <v>3309</v>
      </c>
      <c r="H550" s="598" t="s">
        <v>3309</v>
      </c>
      <c r="I550" s="598" t="s">
        <v>3309</v>
      </c>
      <c r="J550" s="598" t="s">
        <v>3309</v>
      </c>
      <c r="K550" s="598" t="s">
        <v>321</v>
      </c>
      <c r="L550" s="598" t="s">
        <v>321</v>
      </c>
      <c r="M550" s="598" t="s">
        <v>3309</v>
      </c>
      <c r="N550" s="598" t="s">
        <v>3309</v>
      </c>
      <c r="O550" s="598" t="s">
        <v>3309</v>
      </c>
      <c r="P550" s="598" t="s">
        <v>3309</v>
      </c>
      <c r="Q550" s="598" t="s">
        <v>3309</v>
      </c>
      <c r="R550" s="598" t="s">
        <v>321</v>
      </c>
      <c r="S550" s="598" t="s">
        <v>321</v>
      </c>
      <c r="T550" s="598" t="s">
        <v>3309</v>
      </c>
      <c r="U550" s="598" t="s">
        <v>3309</v>
      </c>
      <c r="V550" s="598" t="s">
        <v>3309</v>
      </c>
      <c r="W550" s="598" t="s">
        <v>3309</v>
      </c>
      <c r="X550" s="598" t="s">
        <v>3309</v>
      </c>
      <c r="Y550" s="598" t="s">
        <v>321</v>
      </c>
      <c r="Z550" s="598" t="s">
        <v>321</v>
      </c>
      <c r="AA550" s="598" t="s">
        <v>3309</v>
      </c>
      <c r="AB550" s="598" t="s">
        <v>3309</v>
      </c>
      <c r="AC550" s="598" t="s">
        <v>3309</v>
      </c>
      <c r="AD550" s="598" t="s">
        <v>3309</v>
      </c>
      <c r="AE550" s="598" t="s">
        <v>3309</v>
      </c>
      <c r="AF550" s="598" t="s">
        <v>321</v>
      </c>
      <c r="AG550" s="598" t="s">
        <v>321</v>
      </c>
      <c r="AH550" s="598" t="s">
        <v>3309</v>
      </c>
      <c r="AI550" s="598" t="s">
        <v>321</v>
      </c>
      <c r="AJ550" s="599">
        <v>21</v>
      </c>
      <c r="AK550" s="600">
        <v>21</v>
      </c>
      <c r="AL550" s="601">
        <v>0</v>
      </c>
      <c r="AM550" s="601">
        <v>0</v>
      </c>
      <c r="AN550" s="599">
        <v>21</v>
      </c>
    </row>
    <row r="551" spans="1:40" ht="16.5" customHeight="1">
      <c r="A551" s="598" t="s">
        <v>3307</v>
      </c>
      <c r="B551" s="598" t="s">
        <v>3334</v>
      </c>
      <c r="C551" s="598" t="s">
        <v>793</v>
      </c>
      <c r="D551" s="598" t="s">
        <v>794</v>
      </c>
      <c r="E551" s="598" t="s">
        <v>321</v>
      </c>
      <c r="F551" s="598" t="s">
        <v>3309</v>
      </c>
      <c r="G551" s="598" t="s">
        <v>3309</v>
      </c>
      <c r="H551" s="598" t="s">
        <v>3309</v>
      </c>
      <c r="I551" s="598" t="s">
        <v>3309</v>
      </c>
      <c r="J551" s="598" t="s">
        <v>3309</v>
      </c>
      <c r="K551" s="598" t="s">
        <v>321</v>
      </c>
      <c r="L551" s="598" t="s">
        <v>321</v>
      </c>
      <c r="M551" s="598" t="s">
        <v>3309</v>
      </c>
      <c r="N551" s="598" t="s">
        <v>3309</v>
      </c>
      <c r="O551" s="598" t="s">
        <v>3309</v>
      </c>
      <c r="P551" s="598" t="s">
        <v>3309</v>
      </c>
      <c r="Q551" s="598" t="s">
        <v>3309</v>
      </c>
      <c r="R551" s="598" t="s">
        <v>321</v>
      </c>
      <c r="S551" s="598" t="s">
        <v>321</v>
      </c>
      <c r="T551" s="598" t="s">
        <v>3309</v>
      </c>
      <c r="U551" s="598" t="s">
        <v>3309</v>
      </c>
      <c r="V551" s="598" t="s">
        <v>3309</v>
      </c>
      <c r="W551" s="598" t="s">
        <v>3309</v>
      </c>
      <c r="X551" s="598" t="s">
        <v>3309</v>
      </c>
      <c r="Y551" s="598" t="s">
        <v>321</v>
      </c>
      <c r="Z551" s="598" t="s">
        <v>321</v>
      </c>
      <c r="AA551" s="598" t="s">
        <v>3309</v>
      </c>
      <c r="AB551" s="598" t="s">
        <v>3309</v>
      </c>
      <c r="AC551" s="598" t="s">
        <v>3309</v>
      </c>
      <c r="AD551" s="598" t="s">
        <v>3309</v>
      </c>
      <c r="AE551" s="598" t="s">
        <v>3309</v>
      </c>
      <c r="AF551" s="598" t="s">
        <v>321</v>
      </c>
      <c r="AG551" s="598" t="s">
        <v>321</v>
      </c>
      <c r="AH551" s="598" t="s">
        <v>3309</v>
      </c>
      <c r="AI551" s="598" t="s">
        <v>321</v>
      </c>
      <c r="AJ551" s="599">
        <v>21</v>
      </c>
      <c r="AK551" s="600">
        <v>21</v>
      </c>
      <c r="AL551" s="601">
        <v>0</v>
      </c>
      <c r="AM551" s="601">
        <v>0</v>
      </c>
      <c r="AN551" s="599">
        <v>21</v>
      </c>
    </row>
    <row r="552" spans="1:40" ht="16.5" customHeight="1">
      <c r="A552" s="598" t="s">
        <v>3307</v>
      </c>
      <c r="B552" s="598" t="s">
        <v>3334</v>
      </c>
      <c r="C552" s="598" t="s">
        <v>1370</v>
      </c>
      <c r="D552" s="598" t="s">
        <v>1371</v>
      </c>
      <c r="E552" s="598" t="s">
        <v>321</v>
      </c>
      <c r="F552" s="598" t="s">
        <v>3309</v>
      </c>
      <c r="G552" s="598" t="s">
        <v>3309</v>
      </c>
      <c r="H552" s="598" t="s">
        <v>3309</v>
      </c>
      <c r="I552" s="598" t="s">
        <v>3309</v>
      </c>
      <c r="J552" s="598" t="s">
        <v>3309</v>
      </c>
      <c r="K552" s="598" t="s">
        <v>321</v>
      </c>
      <c r="L552" s="598" t="s">
        <v>321</v>
      </c>
      <c r="M552" s="598" t="s">
        <v>3309</v>
      </c>
      <c r="N552" s="598" t="s">
        <v>3309</v>
      </c>
      <c r="O552" s="598" t="s">
        <v>3309</v>
      </c>
      <c r="P552" s="598" t="s">
        <v>3309</v>
      </c>
      <c r="Q552" s="598" t="s">
        <v>3309</v>
      </c>
      <c r="R552" s="598" t="s">
        <v>321</v>
      </c>
      <c r="S552" s="598" t="s">
        <v>321</v>
      </c>
      <c r="T552" s="598" t="s">
        <v>3309</v>
      </c>
      <c r="U552" s="598" t="s">
        <v>3309</v>
      </c>
      <c r="V552" s="598" t="s">
        <v>3309</v>
      </c>
      <c r="W552" s="598" t="s">
        <v>3309</v>
      </c>
      <c r="X552" s="598" t="s">
        <v>3309</v>
      </c>
      <c r="Y552" s="598" t="s">
        <v>321</v>
      </c>
      <c r="Z552" s="598" t="s">
        <v>321</v>
      </c>
      <c r="AA552" s="598" t="s">
        <v>3309</v>
      </c>
      <c r="AB552" s="598" t="s">
        <v>3309</v>
      </c>
      <c r="AC552" s="598" t="s">
        <v>3309</v>
      </c>
      <c r="AD552" s="598" t="s">
        <v>3309</v>
      </c>
      <c r="AE552" s="598" t="s">
        <v>3309</v>
      </c>
      <c r="AF552" s="598" t="s">
        <v>321</v>
      </c>
      <c r="AG552" s="598" t="s">
        <v>321</v>
      </c>
      <c r="AH552" s="598" t="s">
        <v>3309</v>
      </c>
      <c r="AI552" s="598" t="s">
        <v>321</v>
      </c>
      <c r="AJ552" s="599">
        <v>21</v>
      </c>
      <c r="AK552" s="600">
        <v>21</v>
      </c>
      <c r="AL552" s="601">
        <v>0</v>
      </c>
      <c r="AM552" s="601">
        <v>0</v>
      </c>
      <c r="AN552" s="599">
        <v>21</v>
      </c>
    </row>
    <row r="553" spans="1:40" ht="16.5" customHeight="1">
      <c r="A553" s="598" t="s">
        <v>3307</v>
      </c>
      <c r="B553" s="598" t="s">
        <v>3334</v>
      </c>
      <c r="C553" s="598" t="s">
        <v>789</v>
      </c>
      <c r="D553" s="598" t="s">
        <v>790</v>
      </c>
      <c r="E553" s="598" t="s">
        <v>321</v>
      </c>
      <c r="F553" s="598" t="s">
        <v>3309</v>
      </c>
      <c r="G553" s="598" t="s">
        <v>3309</v>
      </c>
      <c r="H553" s="598" t="s">
        <v>3309</v>
      </c>
      <c r="I553" s="598" t="s">
        <v>3309</v>
      </c>
      <c r="J553" s="598" t="s">
        <v>3309</v>
      </c>
      <c r="K553" s="598" t="s">
        <v>321</v>
      </c>
      <c r="L553" s="598" t="s">
        <v>321</v>
      </c>
      <c r="M553" s="598" t="s">
        <v>3309</v>
      </c>
      <c r="N553" s="598" t="s">
        <v>3309</v>
      </c>
      <c r="O553" s="598" t="s">
        <v>3309</v>
      </c>
      <c r="P553" s="598" t="s">
        <v>3309</v>
      </c>
      <c r="Q553" s="598" t="s">
        <v>3309</v>
      </c>
      <c r="R553" s="598" t="s">
        <v>321</v>
      </c>
      <c r="S553" s="598" t="s">
        <v>321</v>
      </c>
      <c r="T553" s="598" t="s">
        <v>3309</v>
      </c>
      <c r="U553" s="598" t="s">
        <v>3309</v>
      </c>
      <c r="V553" s="598" t="s">
        <v>3309</v>
      </c>
      <c r="W553" s="598" t="s">
        <v>3309</v>
      </c>
      <c r="X553" s="598" t="s">
        <v>3309</v>
      </c>
      <c r="Y553" s="598" t="s">
        <v>321</v>
      </c>
      <c r="Z553" s="598" t="s">
        <v>321</v>
      </c>
      <c r="AA553" s="598" t="s">
        <v>3309</v>
      </c>
      <c r="AB553" s="598" t="s">
        <v>3309</v>
      </c>
      <c r="AC553" s="598" t="s">
        <v>3309</v>
      </c>
      <c r="AD553" s="598" t="s">
        <v>3309</v>
      </c>
      <c r="AE553" s="598" t="s">
        <v>3309</v>
      </c>
      <c r="AF553" s="598" t="s">
        <v>321</v>
      </c>
      <c r="AG553" s="598" t="s">
        <v>321</v>
      </c>
      <c r="AH553" s="598" t="s">
        <v>3309</v>
      </c>
      <c r="AI553" s="598" t="s">
        <v>321</v>
      </c>
      <c r="AJ553" s="599">
        <v>21</v>
      </c>
      <c r="AK553" s="600">
        <v>21</v>
      </c>
      <c r="AL553" s="601">
        <v>0</v>
      </c>
      <c r="AM553" s="601">
        <v>0</v>
      </c>
      <c r="AN553" s="599">
        <v>21</v>
      </c>
    </row>
    <row r="554" spans="1:40" ht="16.5" customHeight="1">
      <c r="A554" s="598" t="s">
        <v>3307</v>
      </c>
      <c r="B554" s="598" t="s">
        <v>3334</v>
      </c>
      <c r="C554" s="598" t="s">
        <v>2475</v>
      </c>
      <c r="D554" s="598" t="s">
        <v>2476</v>
      </c>
      <c r="E554" s="598" t="s">
        <v>321</v>
      </c>
      <c r="F554" s="598" t="s">
        <v>3309</v>
      </c>
      <c r="G554" s="598" t="s">
        <v>3309</v>
      </c>
      <c r="H554" s="598" t="s">
        <v>3309</v>
      </c>
      <c r="I554" s="598" t="s">
        <v>3309</v>
      </c>
      <c r="J554" s="598" t="s">
        <v>3309</v>
      </c>
      <c r="K554" s="598" t="s">
        <v>321</v>
      </c>
      <c r="L554" s="598" t="s">
        <v>321</v>
      </c>
      <c r="M554" s="598" t="s">
        <v>3309</v>
      </c>
      <c r="N554" s="598" t="s">
        <v>3309</v>
      </c>
      <c r="O554" s="598" t="s">
        <v>3309</v>
      </c>
      <c r="P554" s="598" t="s">
        <v>3309</v>
      </c>
      <c r="Q554" s="598" t="s">
        <v>3309</v>
      </c>
      <c r="R554" s="598" t="s">
        <v>321</v>
      </c>
      <c r="S554" s="598" t="s">
        <v>321</v>
      </c>
      <c r="T554" s="598" t="s">
        <v>3309</v>
      </c>
      <c r="U554" s="598" t="s">
        <v>3309</v>
      </c>
      <c r="V554" s="598" t="s">
        <v>3309</v>
      </c>
      <c r="W554" s="598" t="s">
        <v>3309</v>
      </c>
      <c r="X554" s="598" t="s">
        <v>3309</v>
      </c>
      <c r="Y554" s="598" t="s">
        <v>321</v>
      </c>
      <c r="Z554" s="598" t="s">
        <v>321</v>
      </c>
      <c r="AA554" s="598" t="s">
        <v>3309</v>
      </c>
      <c r="AB554" s="598" t="s">
        <v>3309</v>
      </c>
      <c r="AC554" s="598" t="s">
        <v>3309</v>
      </c>
      <c r="AD554" s="598" t="s">
        <v>3309</v>
      </c>
      <c r="AE554" s="598" t="s">
        <v>3309</v>
      </c>
      <c r="AF554" s="598" t="s">
        <v>321</v>
      </c>
      <c r="AG554" s="598" t="s">
        <v>321</v>
      </c>
      <c r="AH554" s="598" t="s">
        <v>3309</v>
      </c>
      <c r="AI554" s="598" t="s">
        <v>321</v>
      </c>
      <c r="AJ554" s="599">
        <v>21</v>
      </c>
      <c r="AK554" s="600">
        <v>21</v>
      </c>
      <c r="AL554" s="601">
        <v>0</v>
      </c>
      <c r="AM554" s="601">
        <v>0</v>
      </c>
      <c r="AN554" s="599">
        <v>21</v>
      </c>
    </row>
    <row r="555" spans="1:40" ht="16.5" customHeight="1">
      <c r="A555" s="598" t="s">
        <v>3307</v>
      </c>
      <c r="B555" s="598" t="s">
        <v>3334</v>
      </c>
      <c r="C555" s="598" t="s">
        <v>2891</v>
      </c>
      <c r="D555" s="598" t="s">
        <v>2892</v>
      </c>
      <c r="E555" s="598" t="s">
        <v>321</v>
      </c>
      <c r="F555" s="598" t="s">
        <v>3309</v>
      </c>
      <c r="G555" s="598" t="s">
        <v>3309</v>
      </c>
      <c r="H555" s="598" t="s">
        <v>3309</v>
      </c>
      <c r="I555" s="598" t="s">
        <v>3309</v>
      </c>
      <c r="J555" s="598" t="s">
        <v>3309</v>
      </c>
      <c r="K555" s="598" t="s">
        <v>321</v>
      </c>
      <c r="L555" s="598" t="s">
        <v>321</v>
      </c>
      <c r="M555" s="598" t="s">
        <v>3309</v>
      </c>
      <c r="N555" s="598" t="s">
        <v>3309</v>
      </c>
      <c r="O555" s="598" t="s">
        <v>3309</v>
      </c>
      <c r="P555" s="598" t="s">
        <v>3309</v>
      </c>
      <c r="Q555" s="598" t="s">
        <v>3309</v>
      </c>
      <c r="R555" s="598" t="s">
        <v>321</v>
      </c>
      <c r="S555" s="598" t="s">
        <v>321</v>
      </c>
      <c r="T555" s="598" t="s">
        <v>3309</v>
      </c>
      <c r="U555" s="598" t="s">
        <v>3309</v>
      </c>
      <c r="V555" s="598" t="s">
        <v>3309</v>
      </c>
      <c r="W555" s="598" t="s">
        <v>3309</v>
      </c>
      <c r="X555" s="598" t="s">
        <v>3309</v>
      </c>
      <c r="Y555" s="598" t="s">
        <v>321</v>
      </c>
      <c r="Z555" s="598" t="s">
        <v>321</v>
      </c>
      <c r="AA555" s="598" t="s">
        <v>3309</v>
      </c>
      <c r="AB555" s="598" t="s">
        <v>3309</v>
      </c>
      <c r="AC555" s="598" t="s">
        <v>3309</v>
      </c>
      <c r="AD555" s="598" t="s">
        <v>3309</v>
      </c>
      <c r="AE555" s="598" t="s">
        <v>3309</v>
      </c>
      <c r="AF555" s="598" t="s">
        <v>321</v>
      </c>
      <c r="AG555" s="598" t="s">
        <v>321</v>
      </c>
      <c r="AH555" s="598" t="s">
        <v>3309</v>
      </c>
      <c r="AI555" s="598" t="s">
        <v>321</v>
      </c>
      <c r="AJ555" s="599">
        <v>21</v>
      </c>
      <c r="AK555" s="600">
        <v>21</v>
      </c>
      <c r="AL555" s="601">
        <v>0</v>
      </c>
      <c r="AM555" s="601">
        <v>0</v>
      </c>
      <c r="AN555" s="599">
        <v>21</v>
      </c>
    </row>
    <row r="556" spans="1:40" ht="16.5" customHeight="1">
      <c r="A556" s="598" t="s">
        <v>3307</v>
      </c>
      <c r="B556" s="598" t="s">
        <v>3334</v>
      </c>
      <c r="C556" s="598" t="s">
        <v>1320</v>
      </c>
      <c r="D556" s="598" t="s">
        <v>1321</v>
      </c>
      <c r="E556" s="598" t="s">
        <v>321</v>
      </c>
      <c r="F556" s="598" t="s">
        <v>3309</v>
      </c>
      <c r="G556" s="598" t="s">
        <v>3309</v>
      </c>
      <c r="H556" s="598" t="s">
        <v>3309</v>
      </c>
      <c r="I556" s="598" t="s">
        <v>3309</v>
      </c>
      <c r="J556" s="598" t="s">
        <v>3309</v>
      </c>
      <c r="K556" s="598" t="s">
        <v>321</v>
      </c>
      <c r="L556" s="598" t="s">
        <v>321</v>
      </c>
      <c r="M556" s="598" t="s">
        <v>3309</v>
      </c>
      <c r="N556" s="598" t="s">
        <v>3309</v>
      </c>
      <c r="O556" s="598" t="s">
        <v>3309</v>
      </c>
      <c r="P556" s="598" t="s">
        <v>3309</v>
      </c>
      <c r="Q556" s="598" t="s">
        <v>3309</v>
      </c>
      <c r="R556" s="598" t="s">
        <v>321</v>
      </c>
      <c r="S556" s="598" t="s">
        <v>321</v>
      </c>
      <c r="T556" s="598" t="s">
        <v>3309</v>
      </c>
      <c r="U556" s="598" t="s">
        <v>3309</v>
      </c>
      <c r="V556" s="598" t="s">
        <v>3309</v>
      </c>
      <c r="W556" s="598" t="s">
        <v>3309</v>
      </c>
      <c r="X556" s="598" t="s">
        <v>3309</v>
      </c>
      <c r="Y556" s="598" t="s">
        <v>321</v>
      </c>
      <c r="Z556" s="598" t="s">
        <v>321</v>
      </c>
      <c r="AA556" s="598" t="s">
        <v>3309</v>
      </c>
      <c r="AB556" s="598" t="s">
        <v>3309</v>
      </c>
      <c r="AC556" s="598" t="s">
        <v>3309</v>
      </c>
      <c r="AD556" s="598" t="s">
        <v>3309</v>
      </c>
      <c r="AE556" s="598" t="s">
        <v>3309</v>
      </c>
      <c r="AF556" s="598" t="s">
        <v>321</v>
      </c>
      <c r="AG556" s="598" t="s">
        <v>321</v>
      </c>
      <c r="AH556" s="598" t="s">
        <v>3309</v>
      </c>
      <c r="AI556" s="598" t="s">
        <v>321</v>
      </c>
      <c r="AJ556" s="599">
        <v>21</v>
      </c>
      <c r="AK556" s="600">
        <v>21</v>
      </c>
      <c r="AL556" s="601">
        <v>0</v>
      </c>
      <c r="AM556" s="601">
        <v>0</v>
      </c>
      <c r="AN556" s="599">
        <v>21</v>
      </c>
    </row>
    <row r="557" spans="1:40" ht="16.5" customHeight="1">
      <c r="A557" s="598" t="s">
        <v>3307</v>
      </c>
      <c r="B557" s="598" t="s">
        <v>3334</v>
      </c>
      <c r="C557" s="598" t="s">
        <v>629</v>
      </c>
      <c r="D557" s="598" t="s">
        <v>630</v>
      </c>
      <c r="E557" s="598" t="s">
        <v>321</v>
      </c>
      <c r="F557" s="598" t="s">
        <v>3309</v>
      </c>
      <c r="G557" s="598" t="s">
        <v>3309</v>
      </c>
      <c r="H557" s="598" t="s">
        <v>3309</v>
      </c>
      <c r="I557" s="598" t="s">
        <v>3309</v>
      </c>
      <c r="J557" s="598" t="s">
        <v>3309</v>
      </c>
      <c r="K557" s="598" t="s">
        <v>321</v>
      </c>
      <c r="L557" s="598" t="s">
        <v>321</v>
      </c>
      <c r="M557" s="598" t="s">
        <v>3309</v>
      </c>
      <c r="N557" s="598" t="s">
        <v>3309</v>
      </c>
      <c r="O557" s="598" t="s">
        <v>3309</v>
      </c>
      <c r="P557" s="598" t="s">
        <v>3309</v>
      </c>
      <c r="Q557" s="598" t="s">
        <v>3309</v>
      </c>
      <c r="R557" s="598" t="s">
        <v>321</v>
      </c>
      <c r="S557" s="598" t="s">
        <v>321</v>
      </c>
      <c r="T557" s="598" t="s">
        <v>3309</v>
      </c>
      <c r="U557" s="598" t="s">
        <v>3309</v>
      </c>
      <c r="V557" s="598" t="s">
        <v>3309</v>
      </c>
      <c r="W557" s="598" t="s">
        <v>3309</v>
      </c>
      <c r="X557" s="598" t="s">
        <v>3309</v>
      </c>
      <c r="Y557" s="598" t="s">
        <v>321</v>
      </c>
      <c r="Z557" s="598" t="s">
        <v>321</v>
      </c>
      <c r="AA557" s="598" t="s">
        <v>3309</v>
      </c>
      <c r="AB557" s="598" t="s">
        <v>3309</v>
      </c>
      <c r="AC557" s="598" t="s">
        <v>3309</v>
      </c>
      <c r="AD557" s="598" t="s">
        <v>3309</v>
      </c>
      <c r="AE557" s="598" t="s">
        <v>3309</v>
      </c>
      <c r="AF557" s="598" t="s">
        <v>321</v>
      </c>
      <c r="AG557" s="598" t="s">
        <v>321</v>
      </c>
      <c r="AH557" s="598" t="s">
        <v>3309</v>
      </c>
      <c r="AI557" s="598" t="s">
        <v>321</v>
      </c>
      <c r="AJ557" s="599">
        <v>21</v>
      </c>
      <c r="AK557" s="600">
        <v>21</v>
      </c>
      <c r="AL557" s="601">
        <v>0</v>
      </c>
      <c r="AM557" s="601">
        <v>0</v>
      </c>
      <c r="AN557" s="599">
        <v>21</v>
      </c>
    </row>
    <row r="558" spans="1:40" ht="16.5" customHeight="1">
      <c r="A558" s="598" t="s">
        <v>3307</v>
      </c>
      <c r="B558" s="598" t="s">
        <v>3334</v>
      </c>
      <c r="C558" s="598" t="s">
        <v>2517</v>
      </c>
      <c r="D558" s="598" t="s">
        <v>2518</v>
      </c>
      <c r="E558" s="598" t="s">
        <v>321</v>
      </c>
      <c r="F558" s="598" t="s">
        <v>3309</v>
      </c>
      <c r="G558" s="598" t="s">
        <v>3309</v>
      </c>
      <c r="H558" s="598" t="s">
        <v>3309</v>
      </c>
      <c r="I558" s="598" t="s">
        <v>3309</v>
      </c>
      <c r="J558" s="598" t="s">
        <v>3309</v>
      </c>
      <c r="K558" s="598" t="s">
        <v>321</v>
      </c>
      <c r="L558" s="598" t="s">
        <v>321</v>
      </c>
      <c r="M558" s="598" t="s">
        <v>3309</v>
      </c>
      <c r="N558" s="598" t="s">
        <v>3309</v>
      </c>
      <c r="O558" s="598" t="s">
        <v>3309</v>
      </c>
      <c r="P558" s="598" t="s">
        <v>3309</v>
      </c>
      <c r="Q558" s="598" t="s">
        <v>3309</v>
      </c>
      <c r="R558" s="598" t="s">
        <v>321</v>
      </c>
      <c r="S558" s="598" t="s">
        <v>321</v>
      </c>
      <c r="T558" s="598" t="s">
        <v>3309</v>
      </c>
      <c r="U558" s="598" t="s">
        <v>3309</v>
      </c>
      <c r="V558" s="598" t="s">
        <v>3309</v>
      </c>
      <c r="W558" s="598" t="s">
        <v>3309</v>
      </c>
      <c r="X558" s="598" t="s">
        <v>3309</v>
      </c>
      <c r="Y558" s="598" t="s">
        <v>321</v>
      </c>
      <c r="Z558" s="598" t="s">
        <v>321</v>
      </c>
      <c r="AA558" s="598" t="s">
        <v>3309</v>
      </c>
      <c r="AB558" s="598" t="s">
        <v>3309</v>
      </c>
      <c r="AC558" s="598" t="s">
        <v>3309</v>
      </c>
      <c r="AD558" s="598" t="s">
        <v>3309</v>
      </c>
      <c r="AE558" s="598" t="s">
        <v>3309</v>
      </c>
      <c r="AF558" s="598" t="s">
        <v>321</v>
      </c>
      <c r="AG558" s="598" t="s">
        <v>321</v>
      </c>
      <c r="AH558" s="598" t="s">
        <v>3309</v>
      </c>
      <c r="AI558" s="598" t="s">
        <v>321</v>
      </c>
      <c r="AJ558" s="599">
        <v>21</v>
      </c>
      <c r="AK558" s="600">
        <v>21</v>
      </c>
      <c r="AL558" s="601">
        <v>0</v>
      </c>
      <c r="AM558" s="601">
        <v>0</v>
      </c>
      <c r="AN558" s="599">
        <v>21</v>
      </c>
    </row>
    <row r="559" spans="1:40" ht="16.5" customHeight="1">
      <c r="A559" s="598" t="s">
        <v>3307</v>
      </c>
      <c r="B559" s="598" t="s">
        <v>3334</v>
      </c>
      <c r="C559" s="598" t="s">
        <v>1326</v>
      </c>
      <c r="D559" s="598" t="s">
        <v>1327</v>
      </c>
      <c r="E559" s="598" t="s">
        <v>321</v>
      </c>
      <c r="F559" s="598" t="s">
        <v>3309</v>
      </c>
      <c r="G559" s="598" t="s">
        <v>3309</v>
      </c>
      <c r="H559" s="598" t="s">
        <v>3309</v>
      </c>
      <c r="I559" s="598" t="s">
        <v>3309</v>
      </c>
      <c r="J559" s="598" t="s">
        <v>3312</v>
      </c>
      <c r="K559" s="598" t="s">
        <v>321</v>
      </c>
      <c r="L559" s="598" t="s">
        <v>321</v>
      </c>
      <c r="M559" s="598" t="s">
        <v>3309</v>
      </c>
      <c r="N559" s="598" t="s">
        <v>3309</v>
      </c>
      <c r="O559" s="598" t="s">
        <v>3309</v>
      </c>
      <c r="P559" s="598" t="s">
        <v>3309</v>
      </c>
      <c r="Q559" s="598" t="s">
        <v>3309</v>
      </c>
      <c r="R559" s="598" t="s">
        <v>321</v>
      </c>
      <c r="S559" s="598" t="s">
        <v>321</v>
      </c>
      <c r="T559" s="598" t="s">
        <v>3309</v>
      </c>
      <c r="U559" s="598" t="s">
        <v>3309</v>
      </c>
      <c r="V559" s="598" t="s">
        <v>3309</v>
      </c>
      <c r="W559" s="598" t="s">
        <v>3309</v>
      </c>
      <c r="X559" s="598" t="s">
        <v>3309</v>
      </c>
      <c r="Y559" s="598" t="s">
        <v>321</v>
      </c>
      <c r="Z559" s="598" t="s">
        <v>321</v>
      </c>
      <c r="AA559" s="598" t="s">
        <v>3309</v>
      </c>
      <c r="AB559" s="598" t="s">
        <v>3309</v>
      </c>
      <c r="AC559" s="598" t="s">
        <v>3309</v>
      </c>
      <c r="AD559" s="598" t="s">
        <v>3309</v>
      </c>
      <c r="AE559" s="598" t="s">
        <v>3309</v>
      </c>
      <c r="AF559" s="598" t="s">
        <v>321</v>
      </c>
      <c r="AG559" s="598" t="s">
        <v>321</v>
      </c>
      <c r="AH559" s="598" t="s">
        <v>3313</v>
      </c>
      <c r="AI559" s="598" t="s">
        <v>321</v>
      </c>
      <c r="AJ559" s="599">
        <v>21</v>
      </c>
      <c r="AK559" s="600">
        <v>20</v>
      </c>
      <c r="AL559" s="602">
        <v>1</v>
      </c>
      <c r="AM559" s="601">
        <v>0</v>
      </c>
      <c r="AN559" s="599">
        <v>21</v>
      </c>
    </row>
    <row r="560" spans="1:40" ht="16.5" customHeight="1">
      <c r="A560" s="598" t="s">
        <v>3307</v>
      </c>
      <c r="B560" s="598" t="s">
        <v>3334</v>
      </c>
      <c r="C560" s="598" t="s">
        <v>405</v>
      </c>
      <c r="D560" s="598" t="s">
        <v>406</v>
      </c>
      <c r="E560" s="598" t="s">
        <v>321</v>
      </c>
      <c r="F560" s="598" t="s">
        <v>3309</v>
      </c>
      <c r="G560" s="598" t="s">
        <v>3309</v>
      </c>
      <c r="H560" s="598" t="s">
        <v>3309</v>
      </c>
      <c r="I560" s="598" t="s">
        <v>3309</v>
      </c>
      <c r="J560" s="598" t="s">
        <v>3309</v>
      </c>
      <c r="K560" s="598" t="s">
        <v>321</v>
      </c>
      <c r="L560" s="598" t="s">
        <v>321</v>
      </c>
      <c r="M560" s="598" t="s">
        <v>3309</v>
      </c>
      <c r="N560" s="598" t="s">
        <v>3309</v>
      </c>
      <c r="O560" s="598" t="s">
        <v>3309</v>
      </c>
      <c r="P560" s="598" t="s">
        <v>3309</v>
      </c>
      <c r="Q560" s="598" t="s">
        <v>3309</v>
      </c>
      <c r="R560" s="598" t="s">
        <v>321</v>
      </c>
      <c r="S560" s="598" t="s">
        <v>321</v>
      </c>
      <c r="T560" s="598" t="s">
        <v>3309</v>
      </c>
      <c r="U560" s="598" t="s">
        <v>3309</v>
      </c>
      <c r="V560" s="598" t="s">
        <v>3309</v>
      </c>
      <c r="W560" s="598" t="s">
        <v>3309</v>
      </c>
      <c r="X560" s="598" t="s">
        <v>3309</v>
      </c>
      <c r="Y560" s="598" t="s">
        <v>321</v>
      </c>
      <c r="Z560" s="598" t="s">
        <v>321</v>
      </c>
      <c r="AA560" s="598" t="s">
        <v>3309</v>
      </c>
      <c r="AB560" s="598" t="s">
        <v>3309</v>
      </c>
      <c r="AC560" s="598" t="s">
        <v>3312</v>
      </c>
      <c r="AD560" s="598" t="s">
        <v>3312</v>
      </c>
      <c r="AE560" s="598" t="s">
        <v>3312</v>
      </c>
      <c r="AF560" s="598" t="s">
        <v>321</v>
      </c>
      <c r="AG560" s="598" t="s">
        <v>321</v>
      </c>
      <c r="AH560" s="598" t="s">
        <v>3309</v>
      </c>
      <c r="AI560" s="598" t="s">
        <v>321</v>
      </c>
      <c r="AJ560" s="599">
        <v>21</v>
      </c>
      <c r="AK560" s="600">
        <v>18</v>
      </c>
      <c r="AL560" s="602">
        <v>3</v>
      </c>
      <c r="AM560" s="601">
        <v>0</v>
      </c>
      <c r="AN560" s="599">
        <v>21</v>
      </c>
    </row>
    <row r="561" spans="1:40" ht="16.5" customHeight="1">
      <c r="A561" s="598" t="s">
        <v>3307</v>
      </c>
      <c r="B561" s="598" t="s">
        <v>3334</v>
      </c>
      <c r="C561" s="598" t="s">
        <v>693</v>
      </c>
      <c r="D561" s="598" t="s">
        <v>694</v>
      </c>
      <c r="E561" s="598" t="s">
        <v>321</v>
      </c>
      <c r="F561" s="598" t="s">
        <v>3309</v>
      </c>
      <c r="G561" s="598" t="s">
        <v>3309</v>
      </c>
      <c r="H561" s="598" t="s">
        <v>3309</v>
      </c>
      <c r="I561" s="598" t="s">
        <v>3309</v>
      </c>
      <c r="J561" s="598" t="s">
        <v>3309</v>
      </c>
      <c r="K561" s="598" t="s">
        <v>321</v>
      </c>
      <c r="L561" s="598" t="s">
        <v>321</v>
      </c>
      <c r="M561" s="598" t="s">
        <v>3309</v>
      </c>
      <c r="N561" s="598" t="s">
        <v>3309</v>
      </c>
      <c r="O561" s="598" t="s">
        <v>3309</v>
      </c>
      <c r="P561" s="598" t="s">
        <v>3309</v>
      </c>
      <c r="Q561" s="598" t="s">
        <v>3309</v>
      </c>
      <c r="R561" s="598" t="s">
        <v>321</v>
      </c>
      <c r="S561" s="598" t="s">
        <v>321</v>
      </c>
      <c r="T561" s="598" t="s">
        <v>3309</v>
      </c>
      <c r="U561" s="598" t="s">
        <v>3309</v>
      </c>
      <c r="V561" s="598" t="s">
        <v>3309</v>
      </c>
      <c r="W561" s="598" t="s">
        <v>3309</v>
      </c>
      <c r="X561" s="598" t="s">
        <v>3309</v>
      </c>
      <c r="Y561" s="598" t="s">
        <v>321</v>
      </c>
      <c r="Z561" s="598" t="s">
        <v>321</v>
      </c>
      <c r="AA561" s="598" t="s">
        <v>3309</v>
      </c>
      <c r="AB561" s="598" t="s">
        <v>3309</v>
      </c>
      <c r="AC561" s="598" t="s">
        <v>3309</v>
      </c>
      <c r="AD561" s="598" t="s">
        <v>3309</v>
      </c>
      <c r="AE561" s="598" t="s">
        <v>3309</v>
      </c>
      <c r="AF561" s="598" t="s">
        <v>321</v>
      </c>
      <c r="AG561" s="598" t="s">
        <v>321</v>
      </c>
      <c r="AH561" s="598" t="s">
        <v>3309</v>
      </c>
      <c r="AI561" s="598" t="s">
        <v>321</v>
      </c>
      <c r="AJ561" s="599">
        <v>21</v>
      </c>
      <c r="AK561" s="600">
        <v>21</v>
      </c>
      <c r="AL561" s="601">
        <v>0</v>
      </c>
      <c r="AM561" s="601">
        <v>0</v>
      </c>
      <c r="AN561" s="599">
        <v>21</v>
      </c>
    </row>
    <row r="562" spans="1:40" ht="16.5" customHeight="1">
      <c r="A562" s="598" t="s">
        <v>3307</v>
      </c>
      <c r="B562" s="598" t="s">
        <v>3334</v>
      </c>
      <c r="C562" s="598" t="s">
        <v>1165</v>
      </c>
      <c r="D562" s="598" t="s">
        <v>1166</v>
      </c>
      <c r="E562" s="598" t="s">
        <v>321</v>
      </c>
      <c r="F562" s="598" t="s">
        <v>3309</v>
      </c>
      <c r="G562" s="598" t="s">
        <v>3309</v>
      </c>
      <c r="H562" s="598" t="s">
        <v>3309</v>
      </c>
      <c r="I562" s="598" t="s">
        <v>3309</v>
      </c>
      <c r="J562" s="598" t="s">
        <v>3309</v>
      </c>
      <c r="K562" s="598" t="s">
        <v>321</v>
      </c>
      <c r="L562" s="598" t="s">
        <v>321</v>
      </c>
      <c r="M562" s="598" t="s">
        <v>3309</v>
      </c>
      <c r="N562" s="598" t="s">
        <v>3309</v>
      </c>
      <c r="O562" s="598" t="s">
        <v>3309</v>
      </c>
      <c r="P562" s="598" t="s">
        <v>3309</v>
      </c>
      <c r="Q562" s="598" t="s">
        <v>3309</v>
      </c>
      <c r="R562" s="598" t="s">
        <v>321</v>
      </c>
      <c r="S562" s="598" t="s">
        <v>321</v>
      </c>
      <c r="T562" s="598" t="s">
        <v>3309</v>
      </c>
      <c r="U562" s="598" t="s">
        <v>3309</v>
      </c>
      <c r="V562" s="598" t="s">
        <v>3309</v>
      </c>
      <c r="W562" s="598" t="s">
        <v>3309</v>
      </c>
      <c r="X562" s="598" t="s">
        <v>3309</v>
      </c>
      <c r="Y562" s="598" t="s">
        <v>321</v>
      </c>
      <c r="Z562" s="598" t="s">
        <v>321</v>
      </c>
      <c r="AA562" s="598" t="s">
        <v>3309</v>
      </c>
      <c r="AB562" s="598" t="s">
        <v>3309</v>
      </c>
      <c r="AC562" s="598" t="s">
        <v>3309</v>
      </c>
      <c r="AD562" s="598" t="s">
        <v>3309</v>
      </c>
      <c r="AE562" s="598" t="s">
        <v>3309</v>
      </c>
      <c r="AF562" s="598" t="s">
        <v>321</v>
      </c>
      <c r="AG562" s="598" t="s">
        <v>321</v>
      </c>
      <c r="AH562" s="598" t="s">
        <v>3309</v>
      </c>
      <c r="AI562" s="598" t="s">
        <v>321</v>
      </c>
      <c r="AJ562" s="599">
        <v>21</v>
      </c>
      <c r="AK562" s="600">
        <v>21</v>
      </c>
      <c r="AL562" s="601">
        <v>0</v>
      </c>
      <c r="AM562" s="601">
        <v>0</v>
      </c>
      <c r="AN562" s="599">
        <v>21</v>
      </c>
    </row>
    <row r="563" spans="1:40" ht="16.5" customHeight="1">
      <c r="A563" s="598" t="s">
        <v>3307</v>
      </c>
      <c r="B563" s="598" t="s">
        <v>3334</v>
      </c>
      <c r="C563" s="598" t="s">
        <v>1809</v>
      </c>
      <c r="D563" s="598" t="s">
        <v>1041</v>
      </c>
      <c r="E563" s="598" t="s">
        <v>321</v>
      </c>
      <c r="F563" s="598" t="s">
        <v>3309</v>
      </c>
      <c r="G563" s="598" t="s">
        <v>3309</v>
      </c>
      <c r="H563" s="598" t="s">
        <v>3309</v>
      </c>
      <c r="I563" s="598" t="s">
        <v>3309</v>
      </c>
      <c r="J563" s="598" t="s">
        <v>3312</v>
      </c>
      <c r="K563" s="598" t="s">
        <v>321</v>
      </c>
      <c r="L563" s="598" t="s">
        <v>321</v>
      </c>
      <c r="M563" s="598" t="s">
        <v>3309</v>
      </c>
      <c r="N563" s="598" t="s">
        <v>3309</v>
      </c>
      <c r="O563" s="598" t="s">
        <v>3309</v>
      </c>
      <c r="P563" s="598" t="s">
        <v>3309</v>
      </c>
      <c r="Q563" s="598" t="s">
        <v>3309</v>
      </c>
      <c r="R563" s="598" t="s">
        <v>321</v>
      </c>
      <c r="S563" s="598" t="s">
        <v>321</v>
      </c>
      <c r="T563" s="598" t="s">
        <v>3309</v>
      </c>
      <c r="U563" s="598" t="s">
        <v>3309</v>
      </c>
      <c r="V563" s="598" t="s">
        <v>3309</v>
      </c>
      <c r="W563" s="598" t="s">
        <v>3309</v>
      </c>
      <c r="X563" s="598" t="s">
        <v>3309</v>
      </c>
      <c r="Y563" s="598" t="s">
        <v>321</v>
      </c>
      <c r="Z563" s="598" t="s">
        <v>321</v>
      </c>
      <c r="AA563" s="598" t="s">
        <v>3309</v>
      </c>
      <c r="AB563" s="598" t="s">
        <v>3309</v>
      </c>
      <c r="AC563" s="598" t="s">
        <v>3309</v>
      </c>
      <c r="AD563" s="598" t="s">
        <v>3309</v>
      </c>
      <c r="AE563" s="598" t="s">
        <v>3309</v>
      </c>
      <c r="AF563" s="598" t="s">
        <v>321</v>
      </c>
      <c r="AG563" s="598" t="s">
        <v>321</v>
      </c>
      <c r="AH563" s="598" t="s">
        <v>3309</v>
      </c>
      <c r="AI563" s="598" t="s">
        <v>321</v>
      </c>
      <c r="AJ563" s="599">
        <v>21</v>
      </c>
      <c r="AK563" s="600">
        <v>20</v>
      </c>
      <c r="AL563" s="602">
        <v>1</v>
      </c>
      <c r="AM563" s="601">
        <v>0</v>
      </c>
      <c r="AN563" s="599">
        <v>21</v>
      </c>
    </row>
    <row r="564" spans="1:40" ht="16.5" customHeight="1">
      <c r="A564" s="598" t="s">
        <v>3307</v>
      </c>
      <c r="B564" s="598" t="s">
        <v>3334</v>
      </c>
      <c r="C564" s="598" t="s">
        <v>525</v>
      </c>
      <c r="D564" s="598" t="s">
        <v>526</v>
      </c>
      <c r="E564" s="598" t="s">
        <v>321</v>
      </c>
      <c r="F564" s="598" t="s">
        <v>3309</v>
      </c>
      <c r="G564" s="598" t="s">
        <v>3309</v>
      </c>
      <c r="H564" s="598" t="s">
        <v>3309</v>
      </c>
      <c r="I564" s="598" t="s">
        <v>3309</v>
      </c>
      <c r="J564" s="598" t="s">
        <v>3309</v>
      </c>
      <c r="K564" s="598" t="s">
        <v>321</v>
      </c>
      <c r="L564" s="598" t="s">
        <v>321</v>
      </c>
      <c r="M564" s="598" t="s">
        <v>3309</v>
      </c>
      <c r="N564" s="598" t="s">
        <v>3309</v>
      </c>
      <c r="O564" s="598" t="s">
        <v>3309</v>
      </c>
      <c r="P564" s="598" t="s">
        <v>3309</v>
      </c>
      <c r="Q564" s="598" t="s">
        <v>3309</v>
      </c>
      <c r="R564" s="598" t="s">
        <v>321</v>
      </c>
      <c r="S564" s="598" t="s">
        <v>321</v>
      </c>
      <c r="T564" s="598" t="s">
        <v>3309</v>
      </c>
      <c r="U564" s="598" t="s">
        <v>3309</v>
      </c>
      <c r="V564" s="598" t="s">
        <v>3309</v>
      </c>
      <c r="W564" s="598" t="s">
        <v>3309</v>
      </c>
      <c r="X564" s="598" t="s">
        <v>3309</v>
      </c>
      <c r="Y564" s="598" t="s">
        <v>321</v>
      </c>
      <c r="Z564" s="598" t="s">
        <v>321</v>
      </c>
      <c r="AA564" s="598" t="s">
        <v>3309</v>
      </c>
      <c r="AB564" s="598" t="s">
        <v>3309</v>
      </c>
      <c r="AC564" s="598" t="s">
        <v>3309</v>
      </c>
      <c r="AD564" s="598" t="s">
        <v>3309</v>
      </c>
      <c r="AE564" s="598" t="s">
        <v>3309</v>
      </c>
      <c r="AF564" s="598" t="s">
        <v>321</v>
      </c>
      <c r="AG564" s="598" t="s">
        <v>321</v>
      </c>
      <c r="AH564" s="598" t="s">
        <v>3309</v>
      </c>
      <c r="AI564" s="598" t="s">
        <v>321</v>
      </c>
      <c r="AJ564" s="599">
        <v>21</v>
      </c>
      <c r="AK564" s="600">
        <v>21</v>
      </c>
      <c r="AL564" s="601">
        <v>0</v>
      </c>
      <c r="AM564" s="601">
        <v>0</v>
      </c>
      <c r="AN564" s="599">
        <v>21</v>
      </c>
    </row>
    <row r="565" spans="1:40" ht="16.5" customHeight="1">
      <c r="A565" s="598" t="s">
        <v>3307</v>
      </c>
      <c r="B565" s="598" t="s">
        <v>3334</v>
      </c>
      <c r="C565" s="598" t="s">
        <v>1612</v>
      </c>
      <c r="D565" s="598" t="s">
        <v>1613</v>
      </c>
      <c r="E565" s="598" t="s">
        <v>321</v>
      </c>
      <c r="F565" s="598" t="s">
        <v>3309</v>
      </c>
      <c r="G565" s="598" t="s">
        <v>3309</v>
      </c>
      <c r="H565" s="598" t="s">
        <v>3312</v>
      </c>
      <c r="I565" s="598" t="s">
        <v>3309</v>
      </c>
      <c r="J565" s="598" t="s">
        <v>3309</v>
      </c>
      <c r="K565" s="598" t="s">
        <v>321</v>
      </c>
      <c r="L565" s="598" t="s">
        <v>321</v>
      </c>
      <c r="M565" s="598" t="s">
        <v>3309</v>
      </c>
      <c r="N565" s="598" t="s">
        <v>3309</v>
      </c>
      <c r="O565" s="598" t="s">
        <v>3309</v>
      </c>
      <c r="P565" s="598" t="s">
        <v>3309</v>
      </c>
      <c r="Q565" s="598" t="s">
        <v>3309</v>
      </c>
      <c r="R565" s="598" t="s">
        <v>321</v>
      </c>
      <c r="S565" s="598" t="s">
        <v>321</v>
      </c>
      <c r="T565" s="598" t="s">
        <v>3309</v>
      </c>
      <c r="U565" s="598" t="s">
        <v>3309</v>
      </c>
      <c r="V565" s="598" t="s">
        <v>3309</v>
      </c>
      <c r="W565" s="598" t="s">
        <v>3309</v>
      </c>
      <c r="X565" s="598" t="s">
        <v>3309</v>
      </c>
      <c r="Y565" s="598" t="s">
        <v>321</v>
      </c>
      <c r="Z565" s="598" t="s">
        <v>321</v>
      </c>
      <c r="AA565" s="598" t="s">
        <v>3309</v>
      </c>
      <c r="AB565" s="598" t="s">
        <v>3309</v>
      </c>
      <c r="AC565" s="598" t="s">
        <v>3309</v>
      </c>
      <c r="AD565" s="598" t="s">
        <v>3309</v>
      </c>
      <c r="AE565" s="598" t="s">
        <v>3309</v>
      </c>
      <c r="AF565" s="598" t="s">
        <v>321</v>
      </c>
      <c r="AG565" s="598" t="s">
        <v>321</v>
      </c>
      <c r="AH565" s="598" t="s">
        <v>3309</v>
      </c>
      <c r="AI565" s="598" t="s">
        <v>321</v>
      </c>
      <c r="AJ565" s="599">
        <v>21</v>
      </c>
      <c r="AK565" s="600">
        <v>20</v>
      </c>
      <c r="AL565" s="602">
        <v>1</v>
      </c>
      <c r="AM565" s="601">
        <v>0</v>
      </c>
      <c r="AN565" s="599">
        <v>21</v>
      </c>
    </row>
    <row r="566" spans="1:40" ht="16.5" customHeight="1">
      <c r="A566" s="598" t="s">
        <v>3307</v>
      </c>
      <c r="B566" s="598" t="s">
        <v>3334</v>
      </c>
      <c r="C566" s="598" t="s">
        <v>527</v>
      </c>
      <c r="D566" s="598" t="s">
        <v>528</v>
      </c>
      <c r="E566" s="598" t="s">
        <v>321</v>
      </c>
      <c r="F566" s="598" t="s">
        <v>3309</v>
      </c>
      <c r="G566" s="598" t="s">
        <v>3309</v>
      </c>
      <c r="H566" s="598" t="s">
        <v>3309</v>
      </c>
      <c r="I566" s="598" t="s">
        <v>3309</v>
      </c>
      <c r="J566" s="598" t="s">
        <v>3309</v>
      </c>
      <c r="K566" s="598" t="s">
        <v>321</v>
      </c>
      <c r="L566" s="598" t="s">
        <v>321</v>
      </c>
      <c r="M566" s="598" t="s">
        <v>3309</v>
      </c>
      <c r="N566" s="598" t="s">
        <v>3309</v>
      </c>
      <c r="O566" s="598" t="s">
        <v>3309</v>
      </c>
      <c r="P566" s="598" t="s">
        <v>3309</v>
      </c>
      <c r="Q566" s="598" t="s">
        <v>3309</v>
      </c>
      <c r="R566" s="598" t="s">
        <v>321</v>
      </c>
      <c r="S566" s="598" t="s">
        <v>321</v>
      </c>
      <c r="T566" s="598" t="s">
        <v>3309</v>
      </c>
      <c r="U566" s="598" t="s">
        <v>3309</v>
      </c>
      <c r="V566" s="598" t="s">
        <v>3309</v>
      </c>
      <c r="W566" s="598" t="s">
        <v>3309</v>
      </c>
      <c r="X566" s="598" t="s">
        <v>3309</v>
      </c>
      <c r="Y566" s="598" t="s">
        <v>321</v>
      </c>
      <c r="Z566" s="598" t="s">
        <v>321</v>
      </c>
      <c r="AA566" s="598" t="s">
        <v>3309</v>
      </c>
      <c r="AB566" s="598" t="s">
        <v>3309</v>
      </c>
      <c r="AC566" s="598" t="s">
        <v>3309</v>
      </c>
      <c r="AD566" s="598" t="s">
        <v>3309</v>
      </c>
      <c r="AE566" s="598" t="s">
        <v>3309</v>
      </c>
      <c r="AF566" s="598" t="s">
        <v>321</v>
      </c>
      <c r="AG566" s="598" t="s">
        <v>321</v>
      </c>
      <c r="AH566" s="598" t="s">
        <v>3309</v>
      </c>
      <c r="AI566" s="598" t="s">
        <v>321</v>
      </c>
      <c r="AJ566" s="599">
        <v>21</v>
      </c>
      <c r="AK566" s="600">
        <v>21</v>
      </c>
      <c r="AL566" s="601">
        <v>0</v>
      </c>
      <c r="AM566" s="601">
        <v>0</v>
      </c>
      <c r="AN566" s="599">
        <v>21</v>
      </c>
    </row>
    <row r="567" spans="1:40" ht="16.5" customHeight="1">
      <c r="A567" s="598" t="s">
        <v>3307</v>
      </c>
      <c r="B567" s="598" t="s">
        <v>3334</v>
      </c>
      <c r="C567" s="598" t="s">
        <v>888</v>
      </c>
      <c r="D567" s="598" t="s">
        <v>889</v>
      </c>
      <c r="E567" s="598" t="s">
        <v>321</v>
      </c>
      <c r="F567" s="598" t="s">
        <v>3309</v>
      </c>
      <c r="G567" s="598" t="s">
        <v>3309</v>
      </c>
      <c r="H567" s="598" t="s">
        <v>3309</v>
      </c>
      <c r="I567" s="598" t="s">
        <v>3309</v>
      </c>
      <c r="J567" s="598" t="s">
        <v>3312</v>
      </c>
      <c r="K567" s="598" t="s">
        <v>321</v>
      </c>
      <c r="L567" s="598" t="s">
        <v>321</v>
      </c>
      <c r="M567" s="598" t="s">
        <v>3309</v>
      </c>
      <c r="N567" s="598" t="s">
        <v>3309</v>
      </c>
      <c r="O567" s="598" t="s">
        <v>3309</v>
      </c>
      <c r="P567" s="598" t="s">
        <v>3309</v>
      </c>
      <c r="Q567" s="598" t="s">
        <v>3309</v>
      </c>
      <c r="R567" s="598" t="s">
        <v>321</v>
      </c>
      <c r="S567" s="598" t="s">
        <v>321</v>
      </c>
      <c r="T567" s="598" t="s">
        <v>3309</v>
      </c>
      <c r="U567" s="598" t="s">
        <v>3309</v>
      </c>
      <c r="V567" s="598" t="s">
        <v>3309</v>
      </c>
      <c r="W567" s="598" t="s">
        <v>3312</v>
      </c>
      <c r="X567" s="598" t="s">
        <v>3312</v>
      </c>
      <c r="Y567" s="598" t="s">
        <v>321</v>
      </c>
      <c r="Z567" s="598" t="s">
        <v>321</v>
      </c>
      <c r="AA567" s="598" t="s">
        <v>3309</v>
      </c>
      <c r="AB567" s="598" t="s">
        <v>3309</v>
      </c>
      <c r="AC567" s="598" t="s">
        <v>3309</v>
      </c>
      <c r="AD567" s="598" t="s">
        <v>3309</v>
      </c>
      <c r="AE567" s="598" t="s">
        <v>3309</v>
      </c>
      <c r="AF567" s="598" t="s">
        <v>321</v>
      </c>
      <c r="AG567" s="598" t="s">
        <v>321</v>
      </c>
      <c r="AH567" s="598" t="s">
        <v>3309</v>
      </c>
      <c r="AI567" s="598" t="s">
        <v>321</v>
      </c>
      <c r="AJ567" s="599">
        <v>21</v>
      </c>
      <c r="AK567" s="600">
        <v>18</v>
      </c>
      <c r="AL567" s="602">
        <v>3</v>
      </c>
      <c r="AM567" s="601">
        <v>0</v>
      </c>
      <c r="AN567" s="599">
        <v>21</v>
      </c>
    </row>
    <row r="568" spans="1:40" ht="16.5" customHeight="1">
      <c r="A568" s="598" t="s">
        <v>3307</v>
      </c>
      <c r="B568" s="598" t="s">
        <v>3334</v>
      </c>
      <c r="C568" s="598" t="s">
        <v>1198</v>
      </c>
      <c r="D568" s="598" t="s">
        <v>1199</v>
      </c>
      <c r="E568" s="598" t="s">
        <v>321</v>
      </c>
      <c r="F568" s="598" t="s">
        <v>3309</v>
      </c>
      <c r="G568" s="598" t="s">
        <v>3309</v>
      </c>
      <c r="H568" s="598" t="s">
        <v>3309</v>
      </c>
      <c r="I568" s="598" t="s">
        <v>3309</v>
      </c>
      <c r="J568" s="598" t="s">
        <v>3309</v>
      </c>
      <c r="K568" s="598" t="s">
        <v>321</v>
      </c>
      <c r="L568" s="598" t="s">
        <v>321</v>
      </c>
      <c r="M568" s="598" t="s">
        <v>3309</v>
      </c>
      <c r="N568" s="598" t="s">
        <v>3309</v>
      </c>
      <c r="O568" s="598" t="s">
        <v>3309</v>
      </c>
      <c r="P568" s="598" t="s">
        <v>3309</v>
      </c>
      <c r="Q568" s="598" t="s">
        <v>3309</v>
      </c>
      <c r="R568" s="598" t="s">
        <v>321</v>
      </c>
      <c r="S568" s="598" t="s">
        <v>321</v>
      </c>
      <c r="T568" s="598" t="s">
        <v>3309</v>
      </c>
      <c r="U568" s="598" t="s">
        <v>3309</v>
      </c>
      <c r="V568" s="598" t="s">
        <v>3309</v>
      </c>
      <c r="W568" s="598" t="s">
        <v>3309</v>
      </c>
      <c r="X568" s="598" t="s">
        <v>3309</v>
      </c>
      <c r="Y568" s="598" t="s">
        <v>321</v>
      </c>
      <c r="Z568" s="598" t="s">
        <v>321</v>
      </c>
      <c r="AA568" s="598" t="s">
        <v>3309</v>
      </c>
      <c r="AB568" s="598" t="s">
        <v>3309</v>
      </c>
      <c r="AC568" s="598" t="s">
        <v>3309</v>
      </c>
      <c r="AD568" s="598" t="s">
        <v>3309</v>
      </c>
      <c r="AE568" s="598" t="s">
        <v>3309</v>
      </c>
      <c r="AF568" s="598" t="s">
        <v>321</v>
      </c>
      <c r="AG568" s="598" t="s">
        <v>321</v>
      </c>
      <c r="AH568" s="598" t="s">
        <v>3309</v>
      </c>
      <c r="AI568" s="598" t="s">
        <v>321</v>
      </c>
      <c r="AJ568" s="599">
        <v>21</v>
      </c>
      <c r="AK568" s="600">
        <v>21</v>
      </c>
      <c r="AL568" s="601">
        <v>0</v>
      </c>
      <c r="AM568" s="601">
        <v>0</v>
      </c>
      <c r="AN568" s="599">
        <v>21</v>
      </c>
    </row>
    <row r="569" spans="1:40" ht="16.5" customHeight="1">
      <c r="A569" s="598" t="s">
        <v>3307</v>
      </c>
      <c r="B569" s="598" t="s">
        <v>3334</v>
      </c>
      <c r="C569" s="598" t="s">
        <v>738</v>
      </c>
      <c r="D569" s="598" t="s">
        <v>739</v>
      </c>
      <c r="E569" s="598" t="s">
        <v>321</v>
      </c>
      <c r="F569" s="598" t="s">
        <v>3309</v>
      </c>
      <c r="G569" s="598" t="s">
        <v>3309</v>
      </c>
      <c r="H569" s="598" t="s">
        <v>3309</v>
      </c>
      <c r="I569" s="598" t="s">
        <v>3309</v>
      </c>
      <c r="J569" s="598" t="s">
        <v>3309</v>
      </c>
      <c r="K569" s="598" t="s">
        <v>321</v>
      </c>
      <c r="L569" s="598" t="s">
        <v>321</v>
      </c>
      <c r="M569" s="598" t="s">
        <v>3309</v>
      </c>
      <c r="N569" s="598" t="s">
        <v>3309</v>
      </c>
      <c r="O569" s="598" t="s">
        <v>3309</v>
      </c>
      <c r="P569" s="598" t="s">
        <v>3309</v>
      </c>
      <c r="Q569" s="598" t="s">
        <v>3309</v>
      </c>
      <c r="R569" s="598" t="s">
        <v>321</v>
      </c>
      <c r="S569" s="598" t="s">
        <v>321</v>
      </c>
      <c r="T569" s="598" t="s">
        <v>3309</v>
      </c>
      <c r="U569" s="598" t="s">
        <v>3309</v>
      </c>
      <c r="V569" s="598" t="s">
        <v>3309</v>
      </c>
      <c r="W569" s="598" t="s">
        <v>3309</v>
      </c>
      <c r="X569" s="598" t="s">
        <v>3309</v>
      </c>
      <c r="Y569" s="598" t="s">
        <v>321</v>
      </c>
      <c r="Z569" s="598" t="s">
        <v>321</v>
      </c>
      <c r="AA569" s="598" t="s">
        <v>3309</v>
      </c>
      <c r="AB569" s="598" t="s">
        <v>3309</v>
      </c>
      <c r="AC569" s="598" t="s">
        <v>3309</v>
      </c>
      <c r="AD569" s="598" t="s">
        <v>3309</v>
      </c>
      <c r="AE569" s="598" t="s">
        <v>3309</v>
      </c>
      <c r="AF569" s="598" t="s">
        <v>321</v>
      </c>
      <c r="AG569" s="598" t="s">
        <v>321</v>
      </c>
      <c r="AH569" s="598" t="s">
        <v>3309</v>
      </c>
      <c r="AI569" s="598" t="s">
        <v>321</v>
      </c>
      <c r="AJ569" s="599">
        <v>21</v>
      </c>
      <c r="AK569" s="600">
        <v>21</v>
      </c>
      <c r="AL569" s="601">
        <v>0</v>
      </c>
      <c r="AM569" s="601">
        <v>0</v>
      </c>
      <c r="AN569" s="599">
        <v>21</v>
      </c>
    </row>
    <row r="570" spans="1:40" ht="16.5" customHeight="1">
      <c r="A570" s="598" t="s">
        <v>3307</v>
      </c>
      <c r="B570" s="598" t="s">
        <v>3334</v>
      </c>
      <c r="C570" s="598" t="s">
        <v>830</v>
      </c>
      <c r="D570" s="598" t="s">
        <v>831</v>
      </c>
      <c r="E570" s="598" t="s">
        <v>321</v>
      </c>
      <c r="F570" s="598" t="s">
        <v>3309</v>
      </c>
      <c r="G570" s="598" t="s">
        <v>3309</v>
      </c>
      <c r="H570" s="598" t="s">
        <v>3309</v>
      </c>
      <c r="I570" s="598" t="s">
        <v>3309</v>
      </c>
      <c r="J570" s="598" t="s">
        <v>3309</v>
      </c>
      <c r="K570" s="598" t="s">
        <v>321</v>
      </c>
      <c r="L570" s="598" t="s">
        <v>321</v>
      </c>
      <c r="M570" s="598" t="s">
        <v>3309</v>
      </c>
      <c r="N570" s="598" t="s">
        <v>3309</v>
      </c>
      <c r="O570" s="598" t="s">
        <v>3309</v>
      </c>
      <c r="P570" s="598" t="s">
        <v>3309</v>
      </c>
      <c r="Q570" s="598" t="s">
        <v>3309</v>
      </c>
      <c r="R570" s="598" t="s">
        <v>321</v>
      </c>
      <c r="S570" s="598" t="s">
        <v>321</v>
      </c>
      <c r="T570" s="598" t="s">
        <v>3309</v>
      </c>
      <c r="U570" s="598" t="s">
        <v>3309</v>
      </c>
      <c r="V570" s="598" t="s">
        <v>3309</v>
      </c>
      <c r="W570" s="598" t="s">
        <v>3309</v>
      </c>
      <c r="X570" s="598" t="s">
        <v>3309</v>
      </c>
      <c r="Y570" s="598" t="s">
        <v>321</v>
      </c>
      <c r="Z570" s="598" t="s">
        <v>321</v>
      </c>
      <c r="AA570" s="598" t="s">
        <v>3309</v>
      </c>
      <c r="AB570" s="598" t="s">
        <v>3309</v>
      </c>
      <c r="AC570" s="598" t="s">
        <v>3309</v>
      </c>
      <c r="AD570" s="598" t="s">
        <v>3309</v>
      </c>
      <c r="AE570" s="598" t="s">
        <v>3309</v>
      </c>
      <c r="AF570" s="598" t="s">
        <v>321</v>
      </c>
      <c r="AG570" s="598" t="s">
        <v>321</v>
      </c>
      <c r="AH570" s="598" t="s">
        <v>3309</v>
      </c>
      <c r="AI570" s="598" t="s">
        <v>321</v>
      </c>
      <c r="AJ570" s="599">
        <v>21</v>
      </c>
      <c r="AK570" s="600">
        <v>21</v>
      </c>
      <c r="AL570" s="601">
        <v>0</v>
      </c>
      <c r="AM570" s="601">
        <v>0</v>
      </c>
      <c r="AN570" s="599">
        <v>21</v>
      </c>
    </row>
    <row r="571" spans="1:40" ht="16.5" customHeight="1">
      <c r="A571" s="598" t="s">
        <v>3307</v>
      </c>
      <c r="B571" s="598" t="s">
        <v>3335</v>
      </c>
      <c r="C571" s="598" t="s">
        <v>776</v>
      </c>
      <c r="D571" s="598" t="s">
        <v>777</v>
      </c>
      <c r="E571" s="598" t="s">
        <v>321</v>
      </c>
      <c r="F571" s="598" t="s">
        <v>3309</v>
      </c>
      <c r="G571" s="598" t="s">
        <v>3309</v>
      </c>
      <c r="H571" s="598" t="s">
        <v>3309</v>
      </c>
      <c r="I571" s="598" t="s">
        <v>3309</v>
      </c>
      <c r="J571" s="598" t="s">
        <v>3309</v>
      </c>
      <c r="K571" s="598" t="s">
        <v>321</v>
      </c>
      <c r="L571" s="598" t="s">
        <v>321</v>
      </c>
      <c r="M571" s="598" t="s">
        <v>3309</v>
      </c>
      <c r="N571" s="598" t="s">
        <v>3309</v>
      </c>
      <c r="O571" s="598" t="s">
        <v>3309</v>
      </c>
      <c r="P571" s="598" t="s">
        <v>3309</v>
      </c>
      <c r="Q571" s="598" t="s">
        <v>3309</v>
      </c>
      <c r="R571" s="598" t="s">
        <v>321</v>
      </c>
      <c r="S571" s="598" t="s">
        <v>321</v>
      </c>
      <c r="T571" s="598" t="s">
        <v>3309</v>
      </c>
      <c r="U571" s="598" t="s">
        <v>3309</v>
      </c>
      <c r="V571" s="598" t="s">
        <v>3309</v>
      </c>
      <c r="W571" s="598" t="s">
        <v>3309</v>
      </c>
      <c r="X571" s="598" t="s">
        <v>3309</v>
      </c>
      <c r="Y571" s="598" t="s">
        <v>321</v>
      </c>
      <c r="Z571" s="598" t="s">
        <v>321</v>
      </c>
      <c r="AA571" s="598" t="s">
        <v>3309</v>
      </c>
      <c r="AB571" s="598" t="s">
        <v>3309</v>
      </c>
      <c r="AC571" s="598" t="s">
        <v>3309</v>
      </c>
      <c r="AD571" s="598" t="s">
        <v>3309</v>
      </c>
      <c r="AE571" s="598" t="s">
        <v>3309</v>
      </c>
      <c r="AF571" s="598" t="s">
        <v>321</v>
      </c>
      <c r="AG571" s="598" t="s">
        <v>321</v>
      </c>
      <c r="AH571" s="598" t="s">
        <v>3309</v>
      </c>
      <c r="AI571" s="598" t="s">
        <v>321</v>
      </c>
      <c r="AJ571" s="599">
        <v>21</v>
      </c>
      <c r="AK571" s="600">
        <v>21</v>
      </c>
      <c r="AL571" s="601">
        <v>0</v>
      </c>
      <c r="AM571" s="601">
        <v>0</v>
      </c>
      <c r="AN571" s="599">
        <v>21</v>
      </c>
    </row>
    <row r="572" spans="1:40" ht="16.5" customHeight="1">
      <c r="A572" s="598" t="s">
        <v>3307</v>
      </c>
      <c r="B572" s="598" t="s">
        <v>3335</v>
      </c>
      <c r="C572" s="598" t="s">
        <v>1444</v>
      </c>
      <c r="D572" s="598" t="s">
        <v>1445</v>
      </c>
      <c r="E572" s="598" t="s">
        <v>321</v>
      </c>
      <c r="F572" s="598" t="s">
        <v>3309</v>
      </c>
      <c r="G572" s="598" t="s">
        <v>3309</v>
      </c>
      <c r="H572" s="598" t="s">
        <v>3309</v>
      </c>
      <c r="I572" s="598" t="s">
        <v>3309</v>
      </c>
      <c r="J572" s="598" t="s">
        <v>3309</v>
      </c>
      <c r="K572" s="598" t="s">
        <v>321</v>
      </c>
      <c r="L572" s="598" t="s">
        <v>321</v>
      </c>
      <c r="M572" s="598" t="s">
        <v>3309</v>
      </c>
      <c r="N572" s="598" t="s">
        <v>3309</v>
      </c>
      <c r="O572" s="598" t="s">
        <v>3309</v>
      </c>
      <c r="P572" s="598" t="s">
        <v>3309</v>
      </c>
      <c r="Q572" s="598" t="s">
        <v>3309</v>
      </c>
      <c r="R572" s="598" t="s">
        <v>321</v>
      </c>
      <c r="S572" s="598" t="s">
        <v>321</v>
      </c>
      <c r="T572" s="598" t="s">
        <v>3309</v>
      </c>
      <c r="U572" s="598" t="s">
        <v>3309</v>
      </c>
      <c r="V572" s="598" t="s">
        <v>3309</v>
      </c>
      <c r="W572" s="598" t="s">
        <v>3309</v>
      </c>
      <c r="X572" s="598" t="s">
        <v>3309</v>
      </c>
      <c r="Y572" s="598" t="s">
        <v>321</v>
      </c>
      <c r="Z572" s="598" t="s">
        <v>321</v>
      </c>
      <c r="AA572" s="598" t="s">
        <v>3309</v>
      </c>
      <c r="AB572" s="598" t="s">
        <v>3309</v>
      </c>
      <c r="AC572" s="598" t="s">
        <v>3309</v>
      </c>
      <c r="AD572" s="598" t="s">
        <v>3309</v>
      </c>
      <c r="AE572" s="598" t="s">
        <v>3309</v>
      </c>
      <c r="AF572" s="598" t="s">
        <v>321</v>
      </c>
      <c r="AG572" s="598" t="s">
        <v>321</v>
      </c>
      <c r="AH572" s="598" t="s">
        <v>3309</v>
      </c>
      <c r="AI572" s="598" t="s">
        <v>321</v>
      </c>
      <c r="AJ572" s="599">
        <v>21</v>
      </c>
      <c r="AK572" s="600">
        <v>21</v>
      </c>
      <c r="AL572" s="601">
        <v>0</v>
      </c>
      <c r="AM572" s="601">
        <v>0</v>
      </c>
      <c r="AN572" s="599">
        <v>21</v>
      </c>
    </row>
    <row r="573" spans="1:40" ht="16.5" customHeight="1">
      <c r="A573" s="598" t="s">
        <v>3307</v>
      </c>
      <c r="B573" s="598" t="s">
        <v>3335</v>
      </c>
      <c r="C573" s="598" t="s">
        <v>1970</v>
      </c>
      <c r="D573" s="598" t="s">
        <v>1971</v>
      </c>
      <c r="E573" s="598" t="s">
        <v>321</v>
      </c>
      <c r="F573" s="598" t="s">
        <v>3309</v>
      </c>
      <c r="G573" s="598" t="s">
        <v>3309</v>
      </c>
      <c r="H573" s="598" t="s">
        <v>3309</v>
      </c>
      <c r="I573" s="598" t="s">
        <v>3309</v>
      </c>
      <c r="J573" s="598" t="s">
        <v>3309</v>
      </c>
      <c r="K573" s="598" t="s">
        <v>321</v>
      </c>
      <c r="L573" s="598" t="s">
        <v>321</v>
      </c>
      <c r="M573" s="598" t="s">
        <v>3309</v>
      </c>
      <c r="N573" s="598" t="s">
        <v>3309</v>
      </c>
      <c r="O573" s="598" t="s">
        <v>3309</v>
      </c>
      <c r="P573" s="598" t="s">
        <v>3309</v>
      </c>
      <c r="Q573" s="598" t="s">
        <v>3309</v>
      </c>
      <c r="R573" s="598" t="s">
        <v>321</v>
      </c>
      <c r="S573" s="598" t="s">
        <v>321</v>
      </c>
      <c r="T573" s="598" t="s">
        <v>3309</v>
      </c>
      <c r="U573" s="598" t="s">
        <v>3309</v>
      </c>
      <c r="V573" s="598" t="s">
        <v>3309</v>
      </c>
      <c r="W573" s="598" t="s">
        <v>3309</v>
      </c>
      <c r="X573" s="598" t="s">
        <v>3309</v>
      </c>
      <c r="Y573" s="598" t="s">
        <v>321</v>
      </c>
      <c r="Z573" s="598" t="s">
        <v>321</v>
      </c>
      <c r="AA573" s="598" t="s">
        <v>3309</v>
      </c>
      <c r="AB573" s="598" t="s">
        <v>3309</v>
      </c>
      <c r="AC573" s="598" t="s">
        <v>3309</v>
      </c>
      <c r="AD573" s="598" t="s">
        <v>3309</v>
      </c>
      <c r="AE573" s="598" t="s">
        <v>3309</v>
      </c>
      <c r="AF573" s="598" t="s">
        <v>321</v>
      </c>
      <c r="AG573" s="598" t="s">
        <v>321</v>
      </c>
      <c r="AH573" s="598" t="s">
        <v>3309</v>
      </c>
      <c r="AI573" s="598" t="s">
        <v>321</v>
      </c>
      <c r="AJ573" s="599">
        <v>21</v>
      </c>
      <c r="AK573" s="600">
        <v>21</v>
      </c>
      <c r="AL573" s="601">
        <v>0</v>
      </c>
      <c r="AM573" s="601">
        <v>0</v>
      </c>
      <c r="AN573" s="599">
        <v>21</v>
      </c>
    </row>
    <row r="574" spans="1:40" ht="16.5" customHeight="1">
      <c r="A574" s="598" t="s">
        <v>3307</v>
      </c>
      <c r="B574" s="598" t="s">
        <v>3335</v>
      </c>
      <c r="C574" s="598" t="s">
        <v>1341</v>
      </c>
      <c r="D574" s="598" t="s">
        <v>1342</v>
      </c>
      <c r="E574" s="598" t="s">
        <v>321</v>
      </c>
      <c r="F574" s="598" t="s">
        <v>3309</v>
      </c>
      <c r="G574" s="598" t="s">
        <v>3309</v>
      </c>
      <c r="H574" s="598" t="s">
        <v>3309</v>
      </c>
      <c r="I574" s="598" t="s">
        <v>3309</v>
      </c>
      <c r="J574" s="598" t="s">
        <v>3309</v>
      </c>
      <c r="K574" s="598" t="s">
        <v>321</v>
      </c>
      <c r="L574" s="598" t="s">
        <v>321</v>
      </c>
      <c r="M574" s="598" t="s">
        <v>3309</v>
      </c>
      <c r="N574" s="598" t="s">
        <v>3309</v>
      </c>
      <c r="O574" s="598" t="s">
        <v>3309</v>
      </c>
      <c r="P574" s="598" t="s">
        <v>3309</v>
      </c>
      <c r="Q574" s="598" t="s">
        <v>3309</v>
      </c>
      <c r="R574" s="598" t="s">
        <v>321</v>
      </c>
      <c r="S574" s="598" t="s">
        <v>321</v>
      </c>
      <c r="T574" s="598" t="s">
        <v>3309</v>
      </c>
      <c r="U574" s="598" t="s">
        <v>3309</v>
      </c>
      <c r="V574" s="598" t="s">
        <v>3309</v>
      </c>
      <c r="W574" s="598" t="s">
        <v>3309</v>
      </c>
      <c r="X574" s="598" t="s">
        <v>3309</v>
      </c>
      <c r="Y574" s="598" t="s">
        <v>321</v>
      </c>
      <c r="Z574" s="598" t="s">
        <v>321</v>
      </c>
      <c r="AA574" s="598" t="s">
        <v>3309</v>
      </c>
      <c r="AB574" s="598" t="s">
        <v>3309</v>
      </c>
      <c r="AC574" s="598" t="s">
        <v>3309</v>
      </c>
      <c r="AD574" s="598" t="s">
        <v>3309</v>
      </c>
      <c r="AE574" s="598" t="s">
        <v>3309</v>
      </c>
      <c r="AF574" s="598" t="s">
        <v>321</v>
      </c>
      <c r="AG574" s="598" t="s">
        <v>321</v>
      </c>
      <c r="AH574" s="598" t="s">
        <v>3309</v>
      </c>
      <c r="AI574" s="598" t="s">
        <v>321</v>
      </c>
      <c r="AJ574" s="599">
        <v>21</v>
      </c>
      <c r="AK574" s="600">
        <v>21</v>
      </c>
      <c r="AL574" s="601">
        <v>0</v>
      </c>
      <c r="AM574" s="601">
        <v>0</v>
      </c>
      <c r="AN574" s="599">
        <v>21</v>
      </c>
    </row>
    <row r="575" spans="1:40" ht="16.5" customHeight="1">
      <c r="A575" s="598" t="s">
        <v>3307</v>
      </c>
      <c r="B575" s="598" t="s">
        <v>3335</v>
      </c>
      <c r="C575" s="598" t="s">
        <v>746</v>
      </c>
      <c r="D575" s="598" t="s">
        <v>747</v>
      </c>
      <c r="E575" s="598" t="s">
        <v>321</v>
      </c>
      <c r="F575" s="598" t="s">
        <v>3314</v>
      </c>
      <c r="G575" s="598" t="s">
        <v>3309</v>
      </c>
      <c r="H575" s="598" t="s">
        <v>3309</v>
      </c>
      <c r="I575" s="598" t="s">
        <v>3309</v>
      </c>
      <c r="J575" s="598" t="s">
        <v>3312</v>
      </c>
      <c r="K575" s="598" t="s">
        <v>321</v>
      </c>
      <c r="L575" s="598" t="s">
        <v>321</v>
      </c>
      <c r="M575" s="598" t="s">
        <v>3314</v>
      </c>
      <c r="N575" s="598" t="s">
        <v>3309</v>
      </c>
      <c r="O575" s="598" t="s">
        <v>3309</v>
      </c>
      <c r="P575" s="598" t="s">
        <v>3309</v>
      </c>
      <c r="Q575" s="598" t="s">
        <v>3309</v>
      </c>
      <c r="R575" s="598" t="s">
        <v>321</v>
      </c>
      <c r="S575" s="598" t="s">
        <v>321</v>
      </c>
      <c r="T575" s="598" t="s">
        <v>3313</v>
      </c>
      <c r="U575" s="598" t="s">
        <v>3313</v>
      </c>
      <c r="V575" s="598" t="s">
        <v>3313</v>
      </c>
      <c r="W575" s="598" t="s">
        <v>3309</v>
      </c>
      <c r="X575" s="598" t="s">
        <v>3309</v>
      </c>
      <c r="Y575" s="598" t="s">
        <v>321</v>
      </c>
      <c r="Z575" s="598" t="s">
        <v>321</v>
      </c>
      <c r="AA575" s="598" t="s">
        <v>3309</v>
      </c>
      <c r="AB575" s="598" t="s">
        <v>3309</v>
      </c>
      <c r="AC575" s="598" t="s">
        <v>3312</v>
      </c>
      <c r="AD575" s="598" t="s">
        <v>3312</v>
      </c>
      <c r="AE575" s="598" t="s">
        <v>3312</v>
      </c>
      <c r="AF575" s="598" t="s">
        <v>321</v>
      </c>
      <c r="AG575" s="598" t="s">
        <v>321</v>
      </c>
      <c r="AH575" s="598" t="s">
        <v>3309</v>
      </c>
      <c r="AI575" s="598" t="s">
        <v>321</v>
      </c>
      <c r="AJ575" s="599">
        <v>21</v>
      </c>
      <c r="AK575" s="600">
        <v>16</v>
      </c>
      <c r="AL575" s="602">
        <v>5</v>
      </c>
      <c r="AM575" s="601">
        <v>0</v>
      </c>
      <c r="AN575" s="599">
        <v>21</v>
      </c>
    </row>
    <row r="576" spans="1:40" ht="16.5" customHeight="1">
      <c r="A576" s="598" t="s">
        <v>3307</v>
      </c>
      <c r="B576" s="598" t="s">
        <v>3335</v>
      </c>
      <c r="C576" s="598" t="s">
        <v>1094</v>
      </c>
      <c r="D576" s="598" t="s">
        <v>522</v>
      </c>
      <c r="E576" s="598" t="s">
        <v>321</v>
      </c>
      <c r="F576" s="598" t="s">
        <v>3309</v>
      </c>
      <c r="G576" s="598" t="s">
        <v>3309</v>
      </c>
      <c r="H576" s="598" t="s">
        <v>3309</v>
      </c>
      <c r="I576" s="598" t="s">
        <v>3309</v>
      </c>
      <c r="J576" s="598" t="s">
        <v>3309</v>
      </c>
      <c r="K576" s="598" t="s">
        <v>321</v>
      </c>
      <c r="L576" s="598" t="s">
        <v>321</v>
      </c>
      <c r="M576" s="598" t="s">
        <v>3309</v>
      </c>
      <c r="N576" s="598" t="s">
        <v>3309</v>
      </c>
      <c r="O576" s="598" t="s">
        <v>3309</v>
      </c>
      <c r="P576" s="598" t="s">
        <v>3309</v>
      </c>
      <c r="Q576" s="598" t="s">
        <v>3309</v>
      </c>
      <c r="R576" s="598" t="s">
        <v>321</v>
      </c>
      <c r="S576" s="598" t="s">
        <v>321</v>
      </c>
      <c r="T576" s="598" t="s">
        <v>3309</v>
      </c>
      <c r="U576" s="598" t="s">
        <v>3309</v>
      </c>
      <c r="V576" s="598" t="s">
        <v>3309</v>
      </c>
      <c r="W576" s="598" t="s">
        <v>3309</v>
      </c>
      <c r="X576" s="598" t="s">
        <v>3309</v>
      </c>
      <c r="Y576" s="598" t="s">
        <v>321</v>
      </c>
      <c r="Z576" s="598" t="s">
        <v>321</v>
      </c>
      <c r="AA576" s="598" t="s">
        <v>3309</v>
      </c>
      <c r="AB576" s="598" t="s">
        <v>3309</v>
      </c>
      <c r="AC576" s="598" t="s">
        <v>3309</v>
      </c>
      <c r="AD576" s="598" t="s">
        <v>3309</v>
      </c>
      <c r="AE576" s="598" t="s">
        <v>3309</v>
      </c>
      <c r="AF576" s="598" t="s">
        <v>321</v>
      </c>
      <c r="AG576" s="598" t="s">
        <v>321</v>
      </c>
      <c r="AH576" s="598" t="s">
        <v>3309</v>
      </c>
      <c r="AI576" s="598" t="s">
        <v>321</v>
      </c>
      <c r="AJ576" s="599">
        <v>21</v>
      </c>
      <c r="AK576" s="600">
        <v>21</v>
      </c>
      <c r="AL576" s="601">
        <v>0</v>
      </c>
      <c r="AM576" s="601">
        <v>0</v>
      </c>
      <c r="AN576" s="599">
        <v>21</v>
      </c>
    </row>
    <row r="577" spans="1:40" ht="16.5" customHeight="1">
      <c r="A577" s="598" t="s">
        <v>3307</v>
      </c>
      <c r="B577" s="598" t="s">
        <v>3335</v>
      </c>
      <c r="C577" s="598" t="s">
        <v>1602</v>
      </c>
      <c r="D577" s="598" t="s">
        <v>1603</v>
      </c>
      <c r="E577" s="598" t="s">
        <v>321</v>
      </c>
      <c r="F577" s="598" t="s">
        <v>3309</v>
      </c>
      <c r="G577" s="598" t="s">
        <v>3309</v>
      </c>
      <c r="H577" s="598" t="s">
        <v>3309</v>
      </c>
      <c r="I577" s="598" t="s">
        <v>3309</v>
      </c>
      <c r="J577" s="598" t="s">
        <v>3309</v>
      </c>
      <c r="K577" s="598" t="s">
        <v>321</v>
      </c>
      <c r="L577" s="598" t="s">
        <v>321</v>
      </c>
      <c r="M577" s="598" t="s">
        <v>3309</v>
      </c>
      <c r="N577" s="598" t="s">
        <v>3309</v>
      </c>
      <c r="O577" s="598" t="s">
        <v>3309</v>
      </c>
      <c r="P577" s="598" t="s">
        <v>3309</v>
      </c>
      <c r="Q577" s="598" t="s">
        <v>3309</v>
      </c>
      <c r="R577" s="598" t="s">
        <v>321</v>
      </c>
      <c r="S577" s="598" t="s">
        <v>321</v>
      </c>
      <c r="T577" s="598" t="s">
        <v>3309</v>
      </c>
      <c r="U577" s="598" t="s">
        <v>3309</v>
      </c>
      <c r="V577" s="598" t="s">
        <v>3309</v>
      </c>
      <c r="W577" s="598" t="s">
        <v>3309</v>
      </c>
      <c r="X577" s="598" t="s">
        <v>3309</v>
      </c>
      <c r="Y577" s="598" t="s">
        <v>321</v>
      </c>
      <c r="Z577" s="598" t="s">
        <v>321</v>
      </c>
      <c r="AA577" s="598" t="s">
        <v>3309</v>
      </c>
      <c r="AB577" s="598" t="s">
        <v>3309</v>
      </c>
      <c r="AC577" s="598" t="s">
        <v>3309</v>
      </c>
      <c r="AD577" s="598" t="s">
        <v>3309</v>
      </c>
      <c r="AE577" s="598" t="s">
        <v>3309</v>
      </c>
      <c r="AF577" s="598" t="s">
        <v>321</v>
      </c>
      <c r="AG577" s="598" t="s">
        <v>321</v>
      </c>
      <c r="AH577" s="598" t="s">
        <v>3313</v>
      </c>
      <c r="AI577" s="598" t="s">
        <v>321</v>
      </c>
      <c r="AJ577" s="599">
        <v>21</v>
      </c>
      <c r="AK577" s="600">
        <v>21</v>
      </c>
      <c r="AL577" s="601">
        <v>0</v>
      </c>
      <c r="AM577" s="601">
        <v>0</v>
      </c>
      <c r="AN577" s="599">
        <v>21</v>
      </c>
    </row>
    <row r="578" spans="1:40" ht="16.5" customHeight="1">
      <c r="A578" s="598" t="s">
        <v>3307</v>
      </c>
      <c r="B578" s="598" t="s">
        <v>3335</v>
      </c>
      <c r="C578" s="598" t="s">
        <v>2445</v>
      </c>
      <c r="D578" s="598" t="s">
        <v>2446</v>
      </c>
      <c r="E578" s="598" t="s">
        <v>321</v>
      </c>
      <c r="F578" s="598" t="s">
        <v>3309</v>
      </c>
      <c r="G578" s="598" t="s">
        <v>3309</v>
      </c>
      <c r="H578" s="598" t="s">
        <v>3309</v>
      </c>
      <c r="I578" s="598" t="s">
        <v>3309</v>
      </c>
      <c r="J578" s="598" t="s">
        <v>3309</v>
      </c>
      <c r="K578" s="598" t="s">
        <v>321</v>
      </c>
      <c r="L578" s="598" t="s">
        <v>321</v>
      </c>
      <c r="M578" s="598" t="s">
        <v>3309</v>
      </c>
      <c r="N578" s="598" t="s">
        <v>3309</v>
      </c>
      <c r="O578" s="598" t="s">
        <v>3309</v>
      </c>
      <c r="P578" s="598" t="s">
        <v>3309</v>
      </c>
      <c r="Q578" s="598" t="s">
        <v>3309</v>
      </c>
      <c r="R578" s="598" t="s">
        <v>321</v>
      </c>
      <c r="S578" s="598" t="s">
        <v>321</v>
      </c>
      <c r="T578" s="598" t="s">
        <v>3309</v>
      </c>
      <c r="U578" s="598" t="s">
        <v>3309</v>
      </c>
      <c r="V578" s="598" t="s">
        <v>3309</v>
      </c>
      <c r="W578" s="598" t="s">
        <v>3309</v>
      </c>
      <c r="X578" s="598" t="s">
        <v>3309</v>
      </c>
      <c r="Y578" s="598" t="s">
        <v>321</v>
      </c>
      <c r="Z578" s="598" t="s">
        <v>321</v>
      </c>
      <c r="AA578" s="598" t="s">
        <v>3309</v>
      </c>
      <c r="AB578" s="598" t="s">
        <v>3309</v>
      </c>
      <c r="AC578" s="598" t="s">
        <v>3309</v>
      </c>
      <c r="AD578" s="598" t="s">
        <v>3309</v>
      </c>
      <c r="AE578" s="598" t="s">
        <v>3309</v>
      </c>
      <c r="AF578" s="598" t="s">
        <v>321</v>
      </c>
      <c r="AG578" s="598" t="s">
        <v>321</v>
      </c>
      <c r="AH578" s="598" t="s">
        <v>3309</v>
      </c>
      <c r="AI578" s="598" t="s">
        <v>321</v>
      </c>
      <c r="AJ578" s="599">
        <v>21</v>
      </c>
      <c r="AK578" s="600">
        <v>21</v>
      </c>
      <c r="AL578" s="601">
        <v>0</v>
      </c>
      <c r="AM578" s="601">
        <v>0</v>
      </c>
      <c r="AN578" s="599">
        <v>21</v>
      </c>
    </row>
    <row r="579" spans="1:40" ht="16.5" customHeight="1">
      <c r="A579" s="598" t="s">
        <v>3307</v>
      </c>
      <c r="B579" s="598" t="s">
        <v>3335</v>
      </c>
      <c r="C579" s="598" t="s">
        <v>2065</v>
      </c>
      <c r="D579" s="598" t="s">
        <v>2066</v>
      </c>
      <c r="E579" s="598" t="s">
        <v>321</v>
      </c>
      <c r="F579" s="598" t="s">
        <v>3309</v>
      </c>
      <c r="G579" s="598" t="s">
        <v>3309</v>
      </c>
      <c r="H579" s="598" t="s">
        <v>3309</v>
      </c>
      <c r="I579" s="598" t="s">
        <v>3309</v>
      </c>
      <c r="J579" s="598" t="s">
        <v>3309</v>
      </c>
      <c r="K579" s="598" t="s">
        <v>321</v>
      </c>
      <c r="L579" s="598" t="s">
        <v>321</v>
      </c>
      <c r="M579" s="598" t="s">
        <v>3309</v>
      </c>
      <c r="N579" s="598" t="s">
        <v>3309</v>
      </c>
      <c r="O579" s="598" t="s">
        <v>3309</v>
      </c>
      <c r="P579" s="598" t="s">
        <v>3309</v>
      </c>
      <c r="Q579" s="598" t="s">
        <v>3309</v>
      </c>
      <c r="R579" s="598" t="s">
        <v>321</v>
      </c>
      <c r="S579" s="598" t="s">
        <v>321</v>
      </c>
      <c r="T579" s="598" t="s">
        <v>3309</v>
      </c>
      <c r="U579" s="598" t="s">
        <v>3309</v>
      </c>
      <c r="V579" s="598" t="s">
        <v>3309</v>
      </c>
      <c r="W579" s="598" t="s">
        <v>3309</v>
      </c>
      <c r="X579" s="598" t="s">
        <v>3309</v>
      </c>
      <c r="Y579" s="598" t="s">
        <v>321</v>
      </c>
      <c r="Z579" s="598" t="s">
        <v>321</v>
      </c>
      <c r="AA579" s="598" t="s">
        <v>3309</v>
      </c>
      <c r="AB579" s="598" t="s">
        <v>3309</v>
      </c>
      <c r="AC579" s="598" t="s">
        <v>3309</v>
      </c>
      <c r="AD579" s="598" t="s">
        <v>3309</v>
      </c>
      <c r="AE579" s="598" t="s">
        <v>3309</v>
      </c>
      <c r="AF579" s="598" t="s">
        <v>321</v>
      </c>
      <c r="AG579" s="598" t="s">
        <v>321</v>
      </c>
      <c r="AH579" s="598" t="s">
        <v>3309</v>
      </c>
      <c r="AI579" s="598" t="s">
        <v>321</v>
      </c>
      <c r="AJ579" s="599">
        <v>21</v>
      </c>
      <c r="AK579" s="600">
        <v>21</v>
      </c>
      <c r="AL579" s="601">
        <v>0</v>
      </c>
      <c r="AM579" s="601">
        <v>0</v>
      </c>
      <c r="AN579" s="599">
        <v>21</v>
      </c>
    </row>
    <row r="580" spans="1:40" ht="16.5" customHeight="1">
      <c r="A580" s="598" t="s">
        <v>3307</v>
      </c>
      <c r="B580" s="598" t="s">
        <v>3335</v>
      </c>
      <c r="C580" s="598" t="s">
        <v>2563</v>
      </c>
      <c r="D580" s="598" t="s">
        <v>2564</v>
      </c>
      <c r="E580" s="598" t="s">
        <v>321</v>
      </c>
      <c r="F580" s="598" t="s">
        <v>3309</v>
      </c>
      <c r="G580" s="598" t="s">
        <v>3309</v>
      </c>
      <c r="H580" s="598" t="s">
        <v>3309</v>
      </c>
      <c r="I580" s="598" t="s">
        <v>3309</v>
      </c>
      <c r="J580" s="598" t="s">
        <v>3309</v>
      </c>
      <c r="K580" s="598" t="s">
        <v>321</v>
      </c>
      <c r="L580" s="598" t="s">
        <v>321</v>
      </c>
      <c r="M580" s="598" t="s">
        <v>3309</v>
      </c>
      <c r="N580" s="598" t="s">
        <v>3309</v>
      </c>
      <c r="O580" s="598" t="s">
        <v>3309</v>
      </c>
      <c r="P580" s="598" t="s">
        <v>3309</v>
      </c>
      <c r="Q580" s="598" t="s">
        <v>3309</v>
      </c>
      <c r="R580" s="598" t="s">
        <v>321</v>
      </c>
      <c r="S580" s="598" t="s">
        <v>321</v>
      </c>
      <c r="T580" s="598" t="s">
        <v>3309</v>
      </c>
      <c r="U580" s="598" t="s">
        <v>3309</v>
      </c>
      <c r="V580" s="598" t="s">
        <v>3309</v>
      </c>
      <c r="W580" s="598" t="s">
        <v>3309</v>
      </c>
      <c r="X580" s="598" t="s">
        <v>3309</v>
      </c>
      <c r="Y580" s="598" t="s">
        <v>321</v>
      </c>
      <c r="Z580" s="598" t="s">
        <v>321</v>
      </c>
      <c r="AA580" s="598" t="s">
        <v>3309</v>
      </c>
      <c r="AB580" s="598" t="s">
        <v>3309</v>
      </c>
      <c r="AC580" s="598" t="s">
        <v>3309</v>
      </c>
      <c r="AD580" s="598" t="s">
        <v>3309</v>
      </c>
      <c r="AE580" s="598" t="s">
        <v>3309</v>
      </c>
      <c r="AF580" s="598" t="s">
        <v>321</v>
      </c>
      <c r="AG580" s="598" t="s">
        <v>321</v>
      </c>
      <c r="AH580" s="598" t="s">
        <v>3309</v>
      </c>
      <c r="AI580" s="598" t="s">
        <v>321</v>
      </c>
      <c r="AJ580" s="599">
        <v>21</v>
      </c>
      <c r="AK580" s="600">
        <v>21</v>
      </c>
      <c r="AL580" s="601">
        <v>0</v>
      </c>
      <c r="AM580" s="601">
        <v>0</v>
      </c>
      <c r="AN580" s="599">
        <v>21</v>
      </c>
    </row>
    <row r="581" spans="1:40" ht="16.5" customHeight="1">
      <c r="A581" s="598" t="s">
        <v>3307</v>
      </c>
      <c r="B581" s="598" t="s">
        <v>3335</v>
      </c>
      <c r="C581" s="598" t="s">
        <v>2209</v>
      </c>
      <c r="D581" s="598" t="s">
        <v>1087</v>
      </c>
      <c r="E581" s="598" t="s">
        <v>321</v>
      </c>
      <c r="F581" s="598" t="s">
        <v>3309</v>
      </c>
      <c r="G581" s="598" t="s">
        <v>3309</v>
      </c>
      <c r="H581" s="598" t="s">
        <v>3309</v>
      </c>
      <c r="I581" s="598" t="s">
        <v>3309</v>
      </c>
      <c r="J581" s="598" t="s">
        <v>3309</v>
      </c>
      <c r="K581" s="598" t="s">
        <v>321</v>
      </c>
      <c r="L581" s="598" t="s">
        <v>321</v>
      </c>
      <c r="M581" s="598" t="s">
        <v>3309</v>
      </c>
      <c r="N581" s="598" t="s">
        <v>3309</v>
      </c>
      <c r="O581" s="598" t="s">
        <v>3309</v>
      </c>
      <c r="P581" s="598" t="s">
        <v>3309</v>
      </c>
      <c r="Q581" s="598" t="s">
        <v>3309</v>
      </c>
      <c r="R581" s="598" t="s">
        <v>321</v>
      </c>
      <c r="S581" s="598" t="s">
        <v>321</v>
      </c>
      <c r="T581" s="598" t="s">
        <v>3309</v>
      </c>
      <c r="U581" s="598" t="s">
        <v>3309</v>
      </c>
      <c r="V581" s="598" t="s">
        <v>3309</v>
      </c>
      <c r="W581" s="598" t="s">
        <v>3309</v>
      </c>
      <c r="X581" s="598" t="s">
        <v>3309</v>
      </c>
      <c r="Y581" s="598" t="s">
        <v>321</v>
      </c>
      <c r="Z581" s="598" t="s">
        <v>321</v>
      </c>
      <c r="AA581" s="598" t="s">
        <v>3309</v>
      </c>
      <c r="AB581" s="598" t="s">
        <v>3309</v>
      </c>
      <c r="AC581" s="598" t="s">
        <v>3309</v>
      </c>
      <c r="AD581" s="598" t="s">
        <v>3309</v>
      </c>
      <c r="AE581" s="598" t="s">
        <v>3309</v>
      </c>
      <c r="AF581" s="598" t="s">
        <v>321</v>
      </c>
      <c r="AG581" s="598" t="s">
        <v>321</v>
      </c>
      <c r="AH581" s="598" t="s">
        <v>3309</v>
      </c>
      <c r="AI581" s="598" t="s">
        <v>321</v>
      </c>
      <c r="AJ581" s="599">
        <v>21</v>
      </c>
      <c r="AK581" s="600">
        <v>21</v>
      </c>
      <c r="AL581" s="601">
        <v>0</v>
      </c>
      <c r="AM581" s="601">
        <v>0</v>
      </c>
      <c r="AN581" s="599">
        <v>21</v>
      </c>
    </row>
    <row r="582" spans="1:40" ht="16.5" customHeight="1">
      <c r="A582" s="598" t="s">
        <v>3307</v>
      </c>
      <c r="B582" s="598" t="s">
        <v>3335</v>
      </c>
      <c r="C582" s="598" t="s">
        <v>537</v>
      </c>
      <c r="D582" s="598" t="s">
        <v>538</v>
      </c>
      <c r="E582" s="598" t="s">
        <v>321</v>
      </c>
      <c r="F582" s="598" t="s">
        <v>3309</v>
      </c>
      <c r="G582" s="598" t="s">
        <v>3309</v>
      </c>
      <c r="H582" s="598" t="s">
        <v>3309</v>
      </c>
      <c r="I582" s="598" t="s">
        <v>3309</v>
      </c>
      <c r="J582" s="598" t="s">
        <v>3309</v>
      </c>
      <c r="K582" s="598" t="s">
        <v>321</v>
      </c>
      <c r="L582" s="598" t="s">
        <v>321</v>
      </c>
      <c r="M582" s="598" t="s">
        <v>3309</v>
      </c>
      <c r="N582" s="598" t="s">
        <v>3309</v>
      </c>
      <c r="O582" s="598" t="s">
        <v>3309</v>
      </c>
      <c r="P582" s="598" t="s">
        <v>3309</v>
      </c>
      <c r="Q582" s="598" t="s">
        <v>3309</v>
      </c>
      <c r="R582" s="598" t="s">
        <v>321</v>
      </c>
      <c r="S582" s="598" t="s">
        <v>321</v>
      </c>
      <c r="T582" s="598" t="s">
        <v>3309</v>
      </c>
      <c r="U582" s="598" t="s">
        <v>3309</v>
      </c>
      <c r="V582" s="598" t="s">
        <v>3309</v>
      </c>
      <c r="W582" s="598" t="s">
        <v>3309</v>
      </c>
      <c r="X582" s="598" t="s">
        <v>3309</v>
      </c>
      <c r="Y582" s="598" t="s">
        <v>321</v>
      </c>
      <c r="Z582" s="598" t="s">
        <v>321</v>
      </c>
      <c r="AA582" s="598" t="s">
        <v>3309</v>
      </c>
      <c r="AB582" s="598" t="s">
        <v>3309</v>
      </c>
      <c r="AC582" s="598" t="s">
        <v>3309</v>
      </c>
      <c r="AD582" s="598" t="s">
        <v>3309</v>
      </c>
      <c r="AE582" s="598" t="s">
        <v>3309</v>
      </c>
      <c r="AF582" s="598" t="s">
        <v>321</v>
      </c>
      <c r="AG582" s="598" t="s">
        <v>321</v>
      </c>
      <c r="AH582" s="598" t="s">
        <v>3309</v>
      </c>
      <c r="AI582" s="598" t="s">
        <v>321</v>
      </c>
      <c r="AJ582" s="599">
        <v>21</v>
      </c>
      <c r="AK582" s="600">
        <v>21</v>
      </c>
      <c r="AL582" s="601">
        <v>0</v>
      </c>
      <c r="AM582" s="601">
        <v>0</v>
      </c>
      <c r="AN582" s="599">
        <v>21</v>
      </c>
    </row>
    <row r="583" spans="1:40" ht="16.5" customHeight="1">
      <c r="A583" s="598" t="s">
        <v>3307</v>
      </c>
      <c r="B583" s="598" t="s">
        <v>3335</v>
      </c>
      <c r="C583" s="598" t="s">
        <v>1891</v>
      </c>
      <c r="D583" s="598" t="s">
        <v>1892</v>
      </c>
      <c r="E583" s="598" t="s">
        <v>321</v>
      </c>
      <c r="F583" s="598" t="s">
        <v>3309</v>
      </c>
      <c r="G583" s="598" t="s">
        <v>3309</v>
      </c>
      <c r="H583" s="598" t="s">
        <v>3309</v>
      </c>
      <c r="I583" s="598" t="s">
        <v>3309</v>
      </c>
      <c r="J583" s="598" t="s">
        <v>3309</v>
      </c>
      <c r="K583" s="598" t="s">
        <v>321</v>
      </c>
      <c r="L583" s="598" t="s">
        <v>321</v>
      </c>
      <c r="M583" s="598" t="s">
        <v>3309</v>
      </c>
      <c r="N583" s="598" t="s">
        <v>3309</v>
      </c>
      <c r="O583" s="598" t="s">
        <v>3309</v>
      </c>
      <c r="P583" s="598" t="s">
        <v>3309</v>
      </c>
      <c r="Q583" s="598" t="s">
        <v>3309</v>
      </c>
      <c r="R583" s="598" t="s">
        <v>321</v>
      </c>
      <c r="S583" s="598" t="s">
        <v>321</v>
      </c>
      <c r="T583" s="598" t="s">
        <v>3309</v>
      </c>
      <c r="U583" s="598" t="s">
        <v>3309</v>
      </c>
      <c r="V583" s="598" t="s">
        <v>3309</v>
      </c>
      <c r="W583" s="598" t="s">
        <v>3309</v>
      </c>
      <c r="X583" s="598" t="s">
        <v>3309</v>
      </c>
      <c r="Y583" s="598" t="s">
        <v>321</v>
      </c>
      <c r="Z583" s="598" t="s">
        <v>321</v>
      </c>
      <c r="AA583" s="598" t="s">
        <v>3309</v>
      </c>
      <c r="AB583" s="598" t="s">
        <v>3309</v>
      </c>
      <c r="AC583" s="598" t="s">
        <v>3313</v>
      </c>
      <c r="AD583" s="598" t="s">
        <v>3313</v>
      </c>
      <c r="AE583" s="598" t="s">
        <v>3313</v>
      </c>
      <c r="AF583" s="598" t="s">
        <v>321</v>
      </c>
      <c r="AG583" s="598" t="s">
        <v>321</v>
      </c>
      <c r="AH583" s="598" t="s">
        <v>3309</v>
      </c>
      <c r="AI583" s="598" t="s">
        <v>321</v>
      </c>
      <c r="AJ583" s="599">
        <v>21</v>
      </c>
      <c r="AK583" s="600">
        <v>21</v>
      </c>
      <c r="AL583" s="601">
        <v>0</v>
      </c>
      <c r="AM583" s="601">
        <v>0</v>
      </c>
      <c r="AN583" s="599">
        <v>21</v>
      </c>
    </row>
    <row r="584" spans="1:40" ht="16.5" customHeight="1">
      <c r="A584" s="598" t="s">
        <v>3307</v>
      </c>
      <c r="B584" s="598" t="s">
        <v>3335</v>
      </c>
      <c r="C584" s="598" t="s">
        <v>2364</v>
      </c>
      <c r="D584" s="598" t="s">
        <v>2365</v>
      </c>
      <c r="E584" s="598" t="s">
        <v>321</v>
      </c>
      <c r="F584" s="598" t="s">
        <v>3309</v>
      </c>
      <c r="G584" s="598" t="s">
        <v>3309</v>
      </c>
      <c r="H584" s="598" t="s">
        <v>3309</v>
      </c>
      <c r="I584" s="598" t="s">
        <v>3309</v>
      </c>
      <c r="J584" s="598" t="s">
        <v>3309</v>
      </c>
      <c r="K584" s="598" t="s">
        <v>321</v>
      </c>
      <c r="L584" s="598" t="s">
        <v>321</v>
      </c>
      <c r="M584" s="598" t="s">
        <v>3309</v>
      </c>
      <c r="N584" s="598" t="s">
        <v>3309</v>
      </c>
      <c r="O584" s="598" t="s">
        <v>3309</v>
      </c>
      <c r="P584" s="598" t="s">
        <v>3309</v>
      </c>
      <c r="Q584" s="598" t="s">
        <v>3309</v>
      </c>
      <c r="R584" s="598" t="s">
        <v>321</v>
      </c>
      <c r="S584" s="598" t="s">
        <v>321</v>
      </c>
      <c r="T584" s="598" t="s">
        <v>3309</v>
      </c>
      <c r="U584" s="598" t="s">
        <v>3309</v>
      </c>
      <c r="V584" s="598" t="s">
        <v>3309</v>
      </c>
      <c r="W584" s="598" t="s">
        <v>3309</v>
      </c>
      <c r="X584" s="598" t="s">
        <v>3309</v>
      </c>
      <c r="Y584" s="598" t="s">
        <v>321</v>
      </c>
      <c r="Z584" s="598" t="s">
        <v>321</v>
      </c>
      <c r="AA584" s="598" t="s">
        <v>3312</v>
      </c>
      <c r="AB584" s="598" t="s">
        <v>3312</v>
      </c>
      <c r="AC584" s="598" t="s">
        <v>3309</v>
      </c>
      <c r="AD584" s="598" t="s">
        <v>3309</v>
      </c>
      <c r="AE584" s="598" t="s">
        <v>3309</v>
      </c>
      <c r="AF584" s="598" t="s">
        <v>321</v>
      </c>
      <c r="AG584" s="598" t="s">
        <v>321</v>
      </c>
      <c r="AH584" s="598" t="s">
        <v>3309</v>
      </c>
      <c r="AI584" s="598" t="s">
        <v>321</v>
      </c>
      <c r="AJ584" s="599">
        <v>21</v>
      </c>
      <c r="AK584" s="600">
        <v>19</v>
      </c>
      <c r="AL584" s="602">
        <v>2</v>
      </c>
      <c r="AM584" s="601">
        <v>0</v>
      </c>
      <c r="AN584" s="599">
        <v>21</v>
      </c>
    </row>
    <row r="585" spans="1:40" ht="16.5" customHeight="1">
      <c r="A585" s="598" t="s">
        <v>3307</v>
      </c>
      <c r="B585" s="598" t="s">
        <v>3335</v>
      </c>
      <c r="C585" s="598" t="s">
        <v>1459</v>
      </c>
      <c r="D585" s="598" t="s">
        <v>1460</v>
      </c>
      <c r="E585" s="598" t="s">
        <v>321</v>
      </c>
      <c r="F585" s="598" t="s">
        <v>3309</v>
      </c>
      <c r="G585" s="598" t="s">
        <v>3309</v>
      </c>
      <c r="H585" s="598" t="s">
        <v>3309</v>
      </c>
      <c r="I585" s="598" t="s">
        <v>3309</v>
      </c>
      <c r="J585" s="598" t="s">
        <v>3309</v>
      </c>
      <c r="K585" s="598" t="s">
        <v>321</v>
      </c>
      <c r="L585" s="598" t="s">
        <v>321</v>
      </c>
      <c r="M585" s="598" t="s">
        <v>3309</v>
      </c>
      <c r="N585" s="598" t="s">
        <v>3309</v>
      </c>
      <c r="O585" s="598" t="s">
        <v>3309</v>
      </c>
      <c r="P585" s="598" t="s">
        <v>3309</v>
      </c>
      <c r="Q585" s="598" t="s">
        <v>3309</v>
      </c>
      <c r="R585" s="598" t="s">
        <v>321</v>
      </c>
      <c r="S585" s="598" t="s">
        <v>321</v>
      </c>
      <c r="T585" s="598" t="s">
        <v>3309</v>
      </c>
      <c r="U585" s="598" t="s">
        <v>3309</v>
      </c>
      <c r="V585" s="598" t="s">
        <v>3309</v>
      </c>
      <c r="W585" s="598" t="s">
        <v>3309</v>
      </c>
      <c r="X585" s="598" t="s">
        <v>3309</v>
      </c>
      <c r="Y585" s="598" t="s">
        <v>321</v>
      </c>
      <c r="Z585" s="598" t="s">
        <v>321</v>
      </c>
      <c r="AA585" s="598" t="s">
        <v>3309</v>
      </c>
      <c r="AB585" s="598" t="s">
        <v>3309</v>
      </c>
      <c r="AC585" s="598" t="s">
        <v>3309</v>
      </c>
      <c r="AD585" s="598" t="s">
        <v>3312</v>
      </c>
      <c r="AE585" s="598" t="s">
        <v>3309</v>
      </c>
      <c r="AF585" s="598" t="s">
        <v>321</v>
      </c>
      <c r="AG585" s="598" t="s">
        <v>321</v>
      </c>
      <c r="AH585" s="598" t="s">
        <v>3309</v>
      </c>
      <c r="AI585" s="598" t="s">
        <v>321</v>
      </c>
      <c r="AJ585" s="599">
        <v>21</v>
      </c>
      <c r="AK585" s="600">
        <v>20</v>
      </c>
      <c r="AL585" s="602">
        <v>1</v>
      </c>
      <c r="AM585" s="601">
        <v>0</v>
      </c>
      <c r="AN585" s="599">
        <v>21</v>
      </c>
    </row>
    <row r="586" spans="1:40" ht="16.5" customHeight="1">
      <c r="A586" s="598" t="s">
        <v>3307</v>
      </c>
      <c r="B586" s="598" t="s">
        <v>3335</v>
      </c>
      <c r="C586" s="598" t="s">
        <v>709</v>
      </c>
      <c r="D586" s="598" t="s">
        <v>710</v>
      </c>
      <c r="E586" s="598" t="s">
        <v>321</v>
      </c>
      <c r="F586" s="598" t="s">
        <v>3309</v>
      </c>
      <c r="G586" s="598" t="s">
        <v>3309</v>
      </c>
      <c r="H586" s="598" t="s">
        <v>3309</v>
      </c>
      <c r="I586" s="598" t="s">
        <v>3309</v>
      </c>
      <c r="J586" s="598" t="s">
        <v>3309</v>
      </c>
      <c r="K586" s="598" t="s">
        <v>321</v>
      </c>
      <c r="L586" s="598" t="s">
        <v>321</v>
      </c>
      <c r="M586" s="598" t="s">
        <v>3309</v>
      </c>
      <c r="N586" s="598" t="s">
        <v>3309</v>
      </c>
      <c r="O586" s="598" t="s">
        <v>3309</v>
      </c>
      <c r="P586" s="598" t="s">
        <v>3309</v>
      </c>
      <c r="Q586" s="598" t="s">
        <v>3309</v>
      </c>
      <c r="R586" s="598" t="s">
        <v>321</v>
      </c>
      <c r="S586" s="598" t="s">
        <v>321</v>
      </c>
      <c r="T586" s="598" t="s">
        <v>3309</v>
      </c>
      <c r="U586" s="598" t="s">
        <v>3309</v>
      </c>
      <c r="V586" s="598" t="s">
        <v>3309</v>
      </c>
      <c r="W586" s="598" t="s">
        <v>3309</v>
      </c>
      <c r="X586" s="598" t="s">
        <v>3312</v>
      </c>
      <c r="Y586" s="598" t="s">
        <v>321</v>
      </c>
      <c r="Z586" s="598" t="s">
        <v>321</v>
      </c>
      <c r="AA586" s="598" t="s">
        <v>3309</v>
      </c>
      <c r="AB586" s="598" t="s">
        <v>3309</v>
      </c>
      <c r="AC586" s="598" t="s">
        <v>3313</v>
      </c>
      <c r="AD586" s="598" t="s">
        <v>3313</v>
      </c>
      <c r="AE586" s="598" t="s">
        <v>3313</v>
      </c>
      <c r="AF586" s="598" t="s">
        <v>321</v>
      </c>
      <c r="AG586" s="598" t="s">
        <v>321</v>
      </c>
      <c r="AH586" s="598" t="s">
        <v>3309</v>
      </c>
      <c r="AI586" s="598" t="s">
        <v>321</v>
      </c>
      <c r="AJ586" s="599">
        <v>21</v>
      </c>
      <c r="AK586" s="600">
        <v>20</v>
      </c>
      <c r="AL586" s="602">
        <v>1</v>
      </c>
      <c r="AM586" s="601">
        <v>0</v>
      </c>
      <c r="AN586" s="599">
        <v>21</v>
      </c>
    </row>
    <row r="587" spans="1:40" ht="16.5" customHeight="1">
      <c r="A587" s="598" t="s">
        <v>3307</v>
      </c>
      <c r="B587" s="598" t="s">
        <v>3335</v>
      </c>
      <c r="C587" s="598" t="s">
        <v>2189</v>
      </c>
      <c r="D587" s="598" t="s">
        <v>2190</v>
      </c>
      <c r="E587" s="598" t="s">
        <v>321</v>
      </c>
      <c r="F587" s="598" t="s">
        <v>3316</v>
      </c>
      <c r="G587" s="598" t="s">
        <v>3316</v>
      </c>
      <c r="H587" s="598" t="s">
        <v>3316</v>
      </c>
      <c r="I587" s="598" t="s">
        <v>3316</v>
      </c>
      <c r="J587" s="598" t="s">
        <v>3316</v>
      </c>
      <c r="K587" s="598" t="s">
        <v>321</v>
      </c>
      <c r="L587" s="598" t="s">
        <v>321</v>
      </c>
      <c r="M587" s="598" t="s">
        <v>3309</v>
      </c>
      <c r="N587" s="598" t="s">
        <v>3309</v>
      </c>
      <c r="O587" s="598" t="s">
        <v>3309</v>
      </c>
      <c r="P587" s="598" t="s">
        <v>3309</v>
      </c>
      <c r="Q587" s="598" t="s">
        <v>3309</v>
      </c>
      <c r="R587" s="598" t="s">
        <v>321</v>
      </c>
      <c r="S587" s="598" t="s">
        <v>321</v>
      </c>
      <c r="T587" s="598" t="s">
        <v>3309</v>
      </c>
      <c r="U587" s="598" t="s">
        <v>3309</v>
      </c>
      <c r="V587" s="598" t="s">
        <v>3309</v>
      </c>
      <c r="W587" s="598" t="s">
        <v>3309</v>
      </c>
      <c r="X587" s="598" t="s">
        <v>3309</v>
      </c>
      <c r="Y587" s="598" t="s">
        <v>321</v>
      </c>
      <c r="Z587" s="598" t="s">
        <v>321</v>
      </c>
      <c r="AA587" s="598" t="s">
        <v>3309</v>
      </c>
      <c r="AB587" s="598" t="s">
        <v>3309</v>
      </c>
      <c r="AC587" s="598" t="s">
        <v>3309</v>
      </c>
      <c r="AD587" s="598" t="s">
        <v>3314</v>
      </c>
      <c r="AE587" s="598" t="s">
        <v>3309</v>
      </c>
      <c r="AF587" s="598" t="s">
        <v>321</v>
      </c>
      <c r="AG587" s="598" t="s">
        <v>321</v>
      </c>
      <c r="AH587" s="598" t="s">
        <v>3309</v>
      </c>
      <c r="AI587" s="598" t="s">
        <v>321</v>
      </c>
      <c r="AJ587" s="599">
        <v>21</v>
      </c>
      <c r="AK587" s="603">
        <v>15.5</v>
      </c>
      <c r="AL587" s="604">
        <v>0.5</v>
      </c>
      <c r="AM587" s="601">
        <v>0</v>
      </c>
      <c r="AN587" s="599">
        <v>16</v>
      </c>
    </row>
    <row r="588" spans="1:40" ht="16.5" customHeight="1">
      <c r="A588" s="598" t="s">
        <v>3307</v>
      </c>
      <c r="B588" s="598" t="s">
        <v>3335</v>
      </c>
      <c r="C588" s="598" t="s">
        <v>1157</v>
      </c>
      <c r="D588" s="598" t="s">
        <v>1158</v>
      </c>
      <c r="E588" s="598" t="s">
        <v>321</v>
      </c>
      <c r="F588" s="598" t="s">
        <v>3309</v>
      </c>
      <c r="G588" s="598" t="s">
        <v>3309</v>
      </c>
      <c r="H588" s="598" t="s">
        <v>3309</v>
      </c>
      <c r="I588" s="598" t="s">
        <v>3309</v>
      </c>
      <c r="J588" s="598" t="s">
        <v>3314</v>
      </c>
      <c r="K588" s="598" t="s">
        <v>321</v>
      </c>
      <c r="L588" s="598" t="s">
        <v>321</v>
      </c>
      <c r="M588" s="598" t="s">
        <v>3309</v>
      </c>
      <c r="N588" s="598" t="s">
        <v>3309</v>
      </c>
      <c r="O588" s="598" t="s">
        <v>3309</v>
      </c>
      <c r="P588" s="598" t="s">
        <v>3309</v>
      </c>
      <c r="Q588" s="598" t="s">
        <v>3309</v>
      </c>
      <c r="R588" s="598" t="s">
        <v>321</v>
      </c>
      <c r="S588" s="598" t="s">
        <v>321</v>
      </c>
      <c r="T588" s="598" t="s">
        <v>3309</v>
      </c>
      <c r="U588" s="598" t="s">
        <v>3309</v>
      </c>
      <c r="V588" s="598" t="s">
        <v>3309</v>
      </c>
      <c r="W588" s="598" t="s">
        <v>3309</v>
      </c>
      <c r="X588" s="598" t="s">
        <v>3309</v>
      </c>
      <c r="Y588" s="598" t="s">
        <v>321</v>
      </c>
      <c r="Z588" s="598" t="s">
        <v>321</v>
      </c>
      <c r="AA588" s="598" t="s">
        <v>3309</v>
      </c>
      <c r="AB588" s="598" t="s">
        <v>3309</v>
      </c>
      <c r="AC588" s="598" t="s">
        <v>3309</v>
      </c>
      <c r="AD588" s="598" t="s">
        <v>3309</v>
      </c>
      <c r="AE588" s="598" t="s">
        <v>3309</v>
      </c>
      <c r="AF588" s="598" t="s">
        <v>321</v>
      </c>
      <c r="AG588" s="598" t="s">
        <v>321</v>
      </c>
      <c r="AH588" s="598" t="s">
        <v>3309</v>
      </c>
      <c r="AI588" s="598" t="s">
        <v>321</v>
      </c>
      <c r="AJ588" s="599">
        <v>21</v>
      </c>
      <c r="AK588" s="603">
        <v>20.5</v>
      </c>
      <c r="AL588" s="604">
        <v>0.5</v>
      </c>
      <c r="AM588" s="601">
        <v>0</v>
      </c>
      <c r="AN588" s="599">
        <v>21</v>
      </c>
    </row>
    <row r="589" spans="1:40" ht="16.5" customHeight="1">
      <c r="A589" s="598" t="s">
        <v>3307</v>
      </c>
      <c r="B589" s="598" t="s">
        <v>3335</v>
      </c>
      <c r="C589" s="598" t="s">
        <v>1600</v>
      </c>
      <c r="D589" s="598" t="s">
        <v>1601</v>
      </c>
      <c r="E589" s="598" t="s">
        <v>321</v>
      </c>
      <c r="F589" s="598" t="s">
        <v>3309</v>
      </c>
      <c r="G589" s="598" t="s">
        <v>3309</v>
      </c>
      <c r="H589" s="598" t="s">
        <v>3309</v>
      </c>
      <c r="I589" s="598" t="s">
        <v>3309</v>
      </c>
      <c r="J589" s="598" t="s">
        <v>3309</v>
      </c>
      <c r="K589" s="598" t="s">
        <v>321</v>
      </c>
      <c r="L589" s="598" t="s">
        <v>321</v>
      </c>
      <c r="M589" s="598" t="s">
        <v>3309</v>
      </c>
      <c r="N589" s="598" t="s">
        <v>3309</v>
      </c>
      <c r="O589" s="598" t="s">
        <v>3309</v>
      </c>
      <c r="P589" s="598" t="s">
        <v>3309</v>
      </c>
      <c r="Q589" s="598" t="s">
        <v>3309</v>
      </c>
      <c r="R589" s="598" t="s">
        <v>321</v>
      </c>
      <c r="S589" s="598" t="s">
        <v>321</v>
      </c>
      <c r="T589" s="598" t="s">
        <v>3309</v>
      </c>
      <c r="U589" s="598" t="s">
        <v>3309</v>
      </c>
      <c r="V589" s="598" t="s">
        <v>3309</v>
      </c>
      <c r="W589" s="598" t="s">
        <v>3309</v>
      </c>
      <c r="X589" s="598" t="s">
        <v>3309</v>
      </c>
      <c r="Y589" s="598" t="s">
        <v>321</v>
      </c>
      <c r="Z589" s="598" t="s">
        <v>321</v>
      </c>
      <c r="AA589" s="598" t="s">
        <v>3309</v>
      </c>
      <c r="AB589" s="598" t="s">
        <v>3309</v>
      </c>
      <c r="AC589" s="598" t="s">
        <v>3309</v>
      </c>
      <c r="AD589" s="598" t="s">
        <v>3309</v>
      </c>
      <c r="AE589" s="598" t="s">
        <v>3309</v>
      </c>
      <c r="AF589" s="598" t="s">
        <v>321</v>
      </c>
      <c r="AG589" s="598" t="s">
        <v>321</v>
      </c>
      <c r="AH589" s="598" t="s">
        <v>3309</v>
      </c>
      <c r="AI589" s="598" t="s">
        <v>321</v>
      </c>
      <c r="AJ589" s="599">
        <v>21</v>
      </c>
      <c r="AK589" s="600">
        <v>21</v>
      </c>
      <c r="AL589" s="601">
        <v>0</v>
      </c>
      <c r="AM589" s="601">
        <v>0</v>
      </c>
      <c r="AN589" s="599">
        <v>21</v>
      </c>
    </row>
    <row r="590" spans="1:40" ht="16.5" customHeight="1">
      <c r="A590" s="598" t="s">
        <v>3307</v>
      </c>
      <c r="B590" s="598" t="s">
        <v>3335</v>
      </c>
      <c r="C590" s="598" t="s">
        <v>1050</v>
      </c>
      <c r="D590" s="598" t="s">
        <v>1051</v>
      </c>
      <c r="E590" s="598" t="s">
        <v>321</v>
      </c>
      <c r="F590" s="598" t="s">
        <v>3309</v>
      </c>
      <c r="G590" s="598" t="s">
        <v>3309</v>
      </c>
      <c r="H590" s="598" t="s">
        <v>3309</v>
      </c>
      <c r="I590" s="598" t="s">
        <v>3309</v>
      </c>
      <c r="J590" s="598" t="s">
        <v>3309</v>
      </c>
      <c r="K590" s="598" t="s">
        <v>321</v>
      </c>
      <c r="L590" s="598" t="s">
        <v>321</v>
      </c>
      <c r="M590" s="598" t="s">
        <v>3309</v>
      </c>
      <c r="N590" s="598" t="s">
        <v>3309</v>
      </c>
      <c r="O590" s="598" t="s">
        <v>3309</v>
      </c>
      <c r="P590" s="598" t="s">
        <v>3309</v>
      </c>
      <c r="Q590" s="598" t="s">
        <v>3309</v>
      </c>
      <c r="R590" s="598" t="s">
        <v>321</v>
      </c>
      <c r="S590" s="598" t="s">
        <v>321</v>
      </c>
      <c r="T590" s="598" t="s">
        <v>3309</v>
      </c>
      <c r="U590" s="598" t="s">
        <v>3309</v>
      </c>
      <c r="V590" s="598" t="s">
        <v>3309</v>
      </c>
      <c r="W590" s="598" t="s">
        <v>3309</v>
      </c>
      <c r="X590" s="598" t="s">
        <v>3309</v>
      </c>
      <c r="Y590" s="598" t="s">
        <v>321</v>
      </c>
      <c r="Z590" s="598" t="s">
        <v>321</v>
      </c>
      <c r="AA590" s="598" t="s">
        <v>3309</v>
      </c>
      <c r="AB590" s="598" t="s">
        <v>3309</v>
      </c>
      <c r="AC590" s="598" t="s">
        <v>3309</v>
      </c>
      <c r="AD590" s="598" t="s">
        <v>3309</v>
      </c>
      <c r="AE590" s="598" t="s">
        <v>3309</v>
      </c>
      <c r="AF590" s="598" t="s">
        <v>321</v>
      </c>
      <c r="AG590" s="598" t="s">
        <v>321</v>
      </c>
      <c r="AH590" s="598" t="s">
        <v>3309</v>
      </c>
      <c r="AI590" s="598" t="s">
        <v>321</v>
      </c>
      <c r="AJ590" s="599">
        <v>21</v>
      </c>
      <c r="AK590" s="600">
        <v>21</v>
      </c>
      <c r="AL590" s="601">
        <v>0</v>
      </c>
      <c r="AM590" s="601">
        <v>0</v>
      </c>
      <c r="AN590" s="599">
        <v>21</v>
      </c>
    </row>
    <row r="591" spans="1:40" ht="16.5" customHeight="1">
      <c r="A591" s="598" t="s">
        <v>3307</v>
      </c>
      <c r="B591" s="598" t="s">
        <v>3335</v>
      </c>
      <c r="C591" s="598" t="s">
        <v>1271</v>
      </c>
      <c r="D591" s="598" t="s">
        <v>1272</v>
      </c>
      <c r="E591" s="598" t="s">
        <v>321</v>
      </c>
      <c r="F591" s="598" t="s">
        <v>3309</v>
      </c>
      <c r="G591" s="598" t="s">
        <v>3309</v>
      </c>
      <c r="H591" s="598" t="s">
        <v>3309</v>
      </c>
      <c r="I591" s="598" t="s">
        <v>3309</v>
      </c>
      <c r="J591" s="598" t="s">
        <v>3309</v>
      </c>
      <c r="K591" s="598" t="s">
        <v>321</v>
      </c>
      <c r="L591" s="598" t="s">
        <v>321</v>
      </c>
      <c r="M591" s="598" t="s">
        <v>3309</v>
      </c>
      <c r="N591" s="598" t="s">
        <v>3309</v>
      </c>
      <c r="O591" s="598" t="s">
        <v>3309</v>
      </c>
      <c r="P591" s="598" t="s">
        <v>3309</v>
      </c>
      <c r="Q591" s="598" t="s">
        <v>3309</v>
      </c>
      <c r="R591" s="598" t="s">
        <v>321</v>
      </c>
      <c r="S591" s="598" t="s">
        <v>321</v>
      </c>
      <c r="T591" s="598" t="s">
        <v>3309</v>
      </c>
      <c r="U591" s="598" t="s">
        <v>3309</v>
      </c>
      <c r="V591" s="598" t="s">
        <v>3309</v>
      </c>
      <c r="W591" s="598" t="s">
        <v>3309</v>
      </c>
      <c r="X591" s="598" t="s">
        <v>3312</v>
      </c>
      <c r="Y591" s="598" t="s">
        <v>321</v>
      </c>
      <c r="Z591" s="598" t="s">
        <v>321</v>
      </c>
      <c r="AA591" s="598" t="s">
        <v>3312</v>
      </c>
      <c r="AB591" s="598" t="s">
        <v>3312</v>
      </c>
      <c r="AC591" s="598" t="s">
        <v>3313</v>
      </c>
      <c r="AD591" s="598" t="s">
        <v>3313</v>
      </c>
      <c r="AE591" s="598" t="s">
        <v>3313</v>
      </c>
      <c r="AF591" s="598" t="s">
        <v>321</v>
      </c>
      <c r="AG591" s="598" t="s">
        <v>321</v>
      </c>
      <c r="AH591" s="598" t="s">
        <v>3309</v>
      </c>
      <c r="AI591" s="598" t="s">
        <v>321</v>
      </c>
      <c r="AJ591" s="599">
        <v>21</v>
      </c>
      <c r="AK591" s="600">
        <v>18</v>
      </c>
      <c r="AL591" s="602">
        <v>3</v>
      </c>
      <c r="AM591" s="601">
        <v>0</v>
      </c>
      <c r="AN591" s="599">
        <v>21</v>
      </c>
    </row>
    <row r="592" spans="1:40" ht="16.5" customHeight="1">
      <c r="A592" s="598" t="s">
        <v>3307</v>
      </c>
      <c r="B592" s="598" t="s">
        <v>3336</v>
      </c>
      <c r="C592" s="598" t="s">
        <v>1913</v>
      </c>
      <c r="D592" s="598" t="s">
        <v>1914</v>
      </c>
      <c r="E592" s="598" t="s">
        <v>321</v>
      </c>
      <c r="F592" s="598" t="s">
        <v>3317</v>
      </c>
      <c r="G592" s="598" t="s">
        <v>3317</v>
      </c>
      <c r="H592" s="598" t="s">
        <v>3317</v>
      </c>
      <c r="I592" s="598" t="s">
        <v>3317</v>
      </c>
      <c r="J592" s="598" t="s">
        <v>3317</v>
      </c>
      <c r="K592" s="598" t="s">
        <v>321</v>
      </c>
      <c r="L592" s="598" t="s">
        <v>321</v>
      </c>
      <c r="M592" s="598" t="s">
        <v>3317</v>
      </c>
      <c r="N592" s="598" t="s">
        <v>3317</v>
      </c>
      <c r="O592" s="598" t="s">
        <v>3317</v>
      </c>
      <c r="P592" s="598" t="s">
        <v>3317</v>
      </c>
      <c r="Q592" s="598" t="s">
        <v>3317</v>
      </c>
      <c r="R592" s="598" t="s">
        <v>321</v>
      </c>
      <c r="S592" s="598" t="s">
        <v>321</v>
      </c>
      <c r="T592" s="598" t="s">
        <v>3317</v>
      </c>
      <c r="U592" s="598" t="s">
        <v>3317</v>
      </c>
      <c r="V592" s="598" t="s">
        <v>3317</v>
      </c>
      <c r="W592" s="598" t="s">
        <v>3317</v>
      </c>
      <c r="X592" s="598" t="s">
        <v>3317</v>
      </c>
      <c r="Y592" s="598" t="s">
        <v>321</v>
      </c>
      <c r="Z592" s="598" t="s">
        <v>321</v>
      </c>
      <c r="AA592" s="598" t="s">
        <v>3317</v>
      </c>
      <c r="AB592" s="598" t="s">
        <v>3317</v>
      </c>
      <c r="AC592" s="598" t="s">
        <v>3317</v>
      </c>
      <c r="AD592" s="598" t="s">
        <v>3317</v>
      </c>
      <c r="AE592" s="598" t="s">
        <v>3317</v>
      </c>
      <c r="AF592" s="598" t="s">
        <v>321</v>
      </c>
      <c r="AG592" s="598" t="s">
        <v>321</v>
      </c>
      <c r="AH592" s="598" t="s">
        <v>3317</v>
      </c>
      <c r="AI592" s="598" t="s">
        <v>321</v>
      </c>
      <c r="AJ592" s="599">
        <v>21</v>
      </c>
      <c r="AK592" s="601">
        <v>0</v>
      </c>
      <c r="AL592" s="601">
        <v>0</v>
      </c>
      <c r="AM592" s="601">
        <v>0</v>
      </c>
      <c r="AN592" s="605">
        <v>0</v>
      </c>
    </row>
    <row r="593" spans="1:40" ht="16.5" customHeight="1">
      <c r="A593" s="598" t="s">
        <v>3307</v>
      </c>
      <c r="B593" s="598" t="s">
        <v>3336</v>
      </c>
      <c r="C593" s="598" t="s">
        <v>828</v>
      </c>
      <c r="D593" s="598" t="s">
        <v>829</v>
      </c>
      <c r="E593" s="598" t="s">
        <v>321</v>
      </c>
      <c r="F593" s="598" t="s">
        <v>3309</v>
      </c>
      <c r="G593" s="598" t="s">
        <v>3309</v>
      </c>
      <c r="H593" s="598" t="s">
        <v>3309</v>
      </c>
      <c r="I593" s="598" t="s">
        <v>3309</v>
      </c>
      <c r="J593" s="598" t="s">
        <v>3309</v>
      </c>
      <c r="K593" s="598" t="s">
        <v>321</v>
      </c>
      <c r="L593" s="598" t="s">
        <v>321</v>
      </c>
      <c r="M593" s="598" t="s">
        <v>3309</v>
      </c>
      <c r="N593" s="598" t="s">
        <v>3309</v>
      </c>
      <c r="O593" s="598" t="s">
        <v>3309</v>
      </c>
      <c r="P593" s="598" t="s">
        <v>3309</v>
      </c>
      <c r="Q593" s="598" t="s">
        <v>3309</v>
      </c>
      <c r="R593" s="598" t="s">
        <v>321</v>
      </c>
      <c r="S593" s="598" t="s">
        <v>321</v>
      </c>
      <c r="T593" s="598" t="s">
        <v>3309</v>
      </c>
      <c r="U593" s="598" t="s">
        <v>3309</v>
      </c>
      <c r="V593" s="598" t="s">
        <v>3309</v>
      </c>
      <c r="W593" s="598" t="s">
        <v>3309</v>
      </c>
      <c r="X593" s="598" t="s">
        <v>3309</v>
      </c>
      <c r="Y593" s="598" t="s">
        <v>321</v>
      </c>
      <c r="Z593" s="598" t="s">
        <v>321</v>
      </c>
      <c r="AA593" s="598" t="s">
        <v>3309</v>
      </c>
      <c r="AB593" s="598" t="s">
        <v>3309</v>
      </c>
      <c r="AC593" s="598" t="s">
        <v>3309</v>
      </c>
      <c r="AD593" s="598" t="s">
        <v>3309</v>
      </c>
      <c r="AE593" s="598" t="s">
        <v>3309</v>
      </c>
      <c r="AF593" s="598" t="s">
        <v>321</v>
      </c>
      <c r="AG593" s="598" t="s">
        <v>321</v>
      </c>
      <c r="AH593" s="598" t="s">
        <v>3309</v>
      </c>
      <c r="AI593" s="598" t="s">
        <v>321</v>
      </c>
      <c r="AJ593" s="599">
        <v>21</v>
      </c>
      <c r="AK593" s="600">
        <v>21</v>
      </c>
      <c r="AL593" s="601">
        <v>0</v>
      </c>
      <c r="AM593" s="601">
        <v>0</v>
      </c>
      <c r="AN593" s="599">
        <v>21</v>
      </c>
    </row>
    <row r="594" spans="1:40" ht="16.5" customHeight="1">
      <c r="A594" s="598" t="s">
        <v>3307</v>
      </c>
      <c r="B594" s="598" t="s">
        <v>3336</v>
      </c>
      <c r="C594" s="598" t="s">
        <v>1179</v>
      </c>
      <c r="D594" s="598" t="s">
        <v>1180</v>
      </c>
      <c r="E594" s="598" t="s">
        <v>321</v>
      </c>
      <c r="F594" s="598" t="s">
        <v>3309</v>
      </c>
      <c r="G594" s="598" t="s">
        <v>3309</v>
      </c>
      <c r="H594" s="598" t="s">
        <v>3309</v>
      </c>
      <c r="I594" s="598" t="s">
        <v>3309</v>
      </c>
      <c r="J594" s="598" t="s">
        <v>3309</v>
      </c>
      <c r="K594" s="598" t="s">
        <v>321</v>
      </c>
      <c r="L594" s="598" t="s">
        <v>321</v>
      </c>
      <c r="M594" s="598" t="s">
        <v>3309</v>
      </c>
      <c r="N594" s="598" t="s">
        <v>3309</v>
      </c>
      <c r="O594" s="598" t="s">
        <v>3309</v>
      </c>
      <c r="P594" s="598" t="s">
        <v>3309</v>
      </c>
      <c r="Q594" s="598" t="s">
        <v>3309</v>
      </c>
      <c r="R594" s="598" t="s">
        <v>321</v>
      </c>
      <c r="S594" s="598" t="s">
        <v>321</v>
      </c>
      <c r="T594" s="598" t="s">
        <v>3309</v>
      </c>
      <c r="U594" s="598" t="s">
        <v>3309</v>
      </c>
      <c r="V594" s="598" t="s">
        <v>3309</v>
      </c>
      <c r="W594" s="598" t="s">
        <v>3309</v>
      </c>
      <c r="X594" s="598" t="s">
        <v>3309</v>
      </c>
      <c r="Y594" s="598" t="s">
        <v>321</v>
      </c>
      <c r="Z594" s="598" t="s">
        <v>321</v>
      </c>
      <c r="AA594" s="598" t="s">
        <v>3309</v>
      </c>
      <c r="AB594" s="598" t="s">
        <v>3309</v>
      </c>
      <c r="AC594" s="598" t="s">
        <v>3309</v>
      </c>
      <c r="AD594" s="598" t="s">
        <v>3309</v>
      </c>
      <c r="AE594" s="598" t="s">
        <v>3309</v>
      </c>
      <c r="AF594" s="598" t="s">
        <v>321</v>
      </c>
      <c r="AG594" s="598" t="s">
        <v>321</v>
      </c>
      <c r="AH594" s="598" t="s">
        <v>3309</v>
      </c>
      <c r="AI594" s="598" t="s">
        <v>321</v>
      </c>
      <c r="AJ594" s="599">
        <v>21</v>
      </c>
      <c r="AK594" s="600">
        <v>21</v>
      </c>
      <c r="AL594" s="601">
        <v>0</v>
      </c>
      <c r="AM594" s="601">
        <v>0</v>
      </c>
      <c r="AN594" s="599">
        <v>21</v>
      </c>
    </row>
    <row r="595" spans="1:40" ht="16.5" customHeight="1">
      <c r="A595" s="598" t="s">
        <v>3307</v>
      </c>
      <c r="B595" s="598" t="s">
        <v>3336</v>
      </c>
      <c r="C595" s="598" t="s">
        <v>1587</v>
      </c>
      <c r="D595" s="598" t="s">
        <v>1588</v>
      </c>
      <c r="E595" s="598" t="s">
        <v>321</v>
      </c>
      <c r="F595" s="598" t="s">
        <v>3309</v>
      </c>
      <c r="G595" s="598" t="s">
        <v>3309</v>
      </c>
      <c r="H595" s="598" t="s">
        <v>3309</v>
      </c>
      <c r="I595" s="598" t="s">
        <v>3309</v>
      </c>
      <c r="J595" s="598" t="s">
        <v>3309</v>
      </c>
      <c r="K595" s="598" t="s">
        <v>321</v>
      </c>
      <c r="L595" s="598" t="s">
        <v>321</v>
      </c>
      <c r="M595" s="598" t="s">
        <v>3309</v>
      </c>
      <c r="N595" s="598" t="s">
        <v>3309</v>
      </c>
      <c r="O595" s="598" t="s">
        <v>3309</v>
      </c>
      <c r="P595" s="598" t="s">
        <v>3309</v>
      </c>
      <c r="Q595" s="598" t="s">
        <v>3309</v>
      </c>
      <c r="R595" s="598" t="s">
        <v>321</v>
      </c>
      <c r="S595" s="598" t="s">
        <v>321</v>
      </c>
      <c r="T595" s="598" t="s">
        <v>3309</v>
      </c>
      <c r="U595" s="598" t="s">
        <v>3309</v>
      </c>
      <c r="V595" s="598" t="s">
        <v>3309</v>
      </c>
      <c r="W595" s="598" t="s">
        <v>3309</v>
      </c>
      <c r="X595" s="598" t="s">
        <v>3309</v>
      </c>
      <c r="Y595" s="598" t="s">
        <v>321</v>
      </c>
      <c r="Z595" s="598" t="s">
        <v>321</v>
      </c>
      <c r="AA595" s="598" t="s">
        <v>3309</v>
      </c>
      <c r="AB595" s="598" t="s">
        <v>3309</v>
      </c>
      <c r="AC595" s="598" t="s">
        <v>3309</v>
      </c>
      <c r="AD595" s="598" t="s">
        <v>3309</v>
      </c>
      <c r="AE595" s="598" t="s">
        <v>3309</v>
      </c>
      <c r="AF595" s="598" t="s">
        <v>321</v>
      </c>
      <c r="AG595" s="598" t="s">
        <v>321</v>
      </c>
      <c r="AH595" s="598" t="s">
        <v>3309</v>
      </c>
      <c r="AI595" s="598" t="s">
        <v>321</v>
      </c>
      <c r="AJ595" s="599">
        <v>21</v>
      </c>
      <c r="AK595" s="600">
        <v>21</v>
      </c>
      <c r="AL595" s="601">
        <v>0</v>
      </c>
      <c r="AM595" s="601">
        <v>0</v>
      </c>
      <c r="AN595" s="599">
        <v>21</v>
      </c>
    </row>
    <row r="596" spans="1:40" ht="16.5" customHeight="1">
      <c r="A596" s="598" t="s">
        <v>3307</v>
      </c>
      <c r="B596" s="598" t="s">
        <v>3336</v>
      </c>
      <c r="C596" s="598" t="s">
        <v>1824</v>
      </c>
      <c r="D596" s="598" t="s">
        <v>1825</v>
      </c>
      <c r="E596" s="598" t="s">
        <v>321</v>
      </c>
      <c r="F596" s="598" t="s">
        <v>3312</v>
      </c>
      <c r="G596" s="598" t="s">
        <v>3309</v>
      </c>
      <c r="H596" s="598" t="s">
        <v>3309</v>
      </c>
      <c r="I596" s="598" t="s">
        <v>3309</v>
      </c>
      <c r="J596" s="598" t="s">
        <v>3309</v>
      </c>
      <c r="K596" s="598" t="s">
        <v>321</v>
      </c>
      <c r="L596" s="598" t="s">
        <v>321</v>
      </c>
      <c r="M596" s="598" t="s">
        <v>3309</v>
      </c>
      <c r="N596" s="598" t="s">
        <v>3309</v>
      </c>
      <c r="O596" s="598" t="s">
        <v>3309</v>
      </c>
      <c r="P596" s="598" t="s">
        <v>3309</v>
      </c>
      <c r="Q596" s="598" t="s">
        <v>3309</v>
      </c>
      <c r="R596" s="598" t="s">
        <v>321</v>
      </c>
      <c r="S596" s="598" t="s">
        <v>321</v>
      </c>
      <c r="T596" s="598" t="s">
        <v>3309</v>
      </c>
      <c r="U596" s="598" t="s">
        <v>3309</v>
      </c>
      <c r="V596" s="598" t="s">
        <v>3309</v>
      </c>
      <c r="W596" s="598" t="s">
        <v>3309</v>
      </c>
      <c r="X596" s="598" t="s">
        <v>3309</v>
      </c>
      <c r="Y596" s="598" t="s">
        <v>321</v>
      </c>
      <c r="Z596" s="598" t="s">
        <v>321</v>
      </c>
      <c r="AA596" s="598" t="s">
        <v>3309</v>
      </c>
      <c r="AB596" s="598" t="s">
        <v>3309</v>
      </c>
      <c r="AC596" s="598" t="s">
        <v>3309</v>
      </c>
      <c r="AD596" s="598" t="s">
        <v>3309</v>
      </c>
      <c r="AE596" s="598" t="s">
        <v>3309</v>
      </c>
      <c r="AF596" s="598" t="s">
        <v>321</v>
      </c>
      <c r="AG596" s="598" t="s">
        <v>321</v>
      </c>
      <c r="AH596" s="598" t="s">
        <v>3309</v>
      </c>
      <c r="AI596" s="598" t="s">
        <v>321</v>
      </c>
      <c r="AJ596" s="599">
        <v>21</v>
      </c>
      <c r="AK596" s="600">
        <v>20</v>
      </c>
      <c r="AL596" s="602">
        <v>1</v>
      </c>
      <c r="AM596" s="601">
        <v>0</v>
      </c>
      <c r="AN596" s="599">
        <v>21</v>
      </c>
    </row>
    <row r="597" spans="1:40" ht="16.5" customHeight="1">
      <c r="A597" s="598" t="s">
        <v>3307</v>
      </c>
      <c r="B597" s="598" t="s">
        <v>3336</v>
      </c>
      <c r="C597" s="598" t="s">
        <v>2939</v>
      </c>
      <c r="D597" s="598" t="s">
        <v>2940</v>
      </c>
      <c r="E597" s="598" t="s">
        <v>321</v>
      </c>
      <c r="F597" s="598" t="s">
        <v>3309</v>
      </c>
      <c r="G597" s="598" t="s">
        <v>3309</v>
      </c>
      <c r="H597" s="598" t="s">
        <v>3309</v>
      </c>
      <c r="I597" s="598" t="s">
        <v>3309</v>
      </c>
      <c r="J597" s="598" t="s">
        <v>3309</v>
      </c>
      <c r="K597" s="598" t="s">
        <v>321</v>
      </c>
      <c r="L597" s="598" t="s">
        <v>321</v>
      </c>
      <c r="M597" s="598" t="s">
        <v>3309</v>
      </c>
      <c r="N597" s="598" t="s">
        <v>3309</v>
      </c>
      <c r="O597" s="598" t="s">
        <v>3309</v>
      </c>
      <c r="P597" s="598" t="s">
        <v>3309</v>
      </c>
      <c r="Q597" s="598" t="s">
        <v>3309</v>
      </c>
      <c r="R597" s="598" t="s">
        <v>321</v>
      </c>
      <c r="S597" s="598" t="s">
        <v>321</v>
      </c>
      <c r="T597" s="598" t="s">
        <v>3309</v>
      </c>
      <c r="U597" s="598" t="s">
        <v>3309</v>
      </c>
      <c r="V597" s="598" t="s">
        <v>3309</v>
      </c>
      <c r="W597" s="598" t="s">
        <v>3309</v>
      </c>
      <c r="X597" s="598" t="s">
        <v>3309</v>
      </c>
      <c r="Y597" s="598" t="s">
        <v>321</v>
      </c>
      <c r="Z597" s="598" t="s">
        <v>321</v>
      </c>
      <c r="AA597" s="598" t="s">
        <v>3309</v>
      </c>
      <c r="AB597" s="598" t="s">
        <v>3309</v>
      </c>
      <c r="AC597" s="598" t="s">
        <v>3309</v>
      </c>
      <c r="AD597" s="598" t="s">
        <v>3309</v>
      </c>
      <c r="AE597" s="598" t="s">
        <v>3309</v>
      </c>
      <c r="AF597" s="598" t="s">
        <v>321</v>
      </c>
      <c r="AG597" s="598" t="s">
        <v>321</v>
      </c>
      <c r="AH597" s="598" t="s">
        <v>3309</v>
      </c>
      <c r="AI597" s="598" t="s">
        <v>321</v>
      </c>
      <c r="AJ597" s="599">
        <v>21</v>
      </c>
      <c r="AK597" s="600">
        <v>21</v>
      </c>
      <c r="AL597" s="601">
        <v>0</v>
      </c>
      <c r="AM597" s="601">
        <v>0</v>
      </c>
      <c r="AN597" s="599">
        <v>21</v>
      </c>
    </row>
    <row r="598" spans="1:40" ht="16.5" customHeight="1">
      <c r="A598" s="598" t="s">
        <v>3307</v>
      </c>
      <c r="B598" s="598" t="s">
        <v>3336</v>
      </c>
      <c r="C598" s="598" t="s">
        <v>1697</v>
      </c>
      <c r="D598" s="598" t="s">
        <v>1698</v>
      </c>
      <c r="E598" s="598" t="s">
        <v>321</v>
      </c>
      <c r="F598" s="598" t="s">
        <v>3317</v>
      </c>
      <c r="G598" s="598" t="s">
        <v>3317</v>
      </c>
      <c r="H598" s="598" t="s">
        <v>3317</v>
      </c>
      <c r="I598" s="598" t="s">
        <v>3317</v>
      </c>
      <c r="J598" s="598" t="s">
        <v>3317</v>
      </c>
      <c r="K598" s="598" t="s">
        <v>321</v>
      </c>
      <c r="L598" s="598" t="s">
        <v>321</v>
      </c>
      <c r="M598" s="598" t="s">
        <v>3317</v>
      </c>
      <c r="N598" s="598" t="s">
        <v>3317</v>
      </c>
      <c r="O598" s="598" t="s">
        <v>3317</v>
      </c>
      <c r="P598" s="598" t="s">
        <v>3317</v>
      </c>
      <c r="Q598" s="598" t="s">
        <v>3317</v>
      </c>
      <c r="R598" s="598" t="s">
        <v>321</v>
      </c>
      <c r="S598" s="598" t="s">
        <v>321</v>
      </c>
      <c r="T598" s="598" t="s">
        <v>3317</v>
      </c>
      <c r="U598" s="598" t="s">
        <v>3317</v>
      </c>
      <c r="V598" s="598" t="s">
        <v>3317</v>
      </c>
      <c r="W598" s="598" t="s">
        <v>3317</v>
      </c>
      <c r="X598" s="598" t="s">
        <v>3317</v>
      </c>
      <c r="Y598" s="598" t="s">
        <v>321</v>
      </c>
      <c r="Z598" s="598" t="s">
        <v>321</v>
      </c>
      <c r="AA598" s="598" t="s">
        <v>3317</v>
      </c>
      <c r="AB598" s="598" t="s">
        <v>3317</v>
      </c>
      <c r="AC598" s="598" t="s">
        <v>3317</v>
      </c>
      <c r="AD598" s="598" t="s">
        <v>3317</v>
      </c>
      <c r="AE598" s="598" t="s">
        <v>3317</v>
      </c>
      <c r="AF598" s="598" t="s">
        <v>321</v>
      </c>
      <c r="AG598" s="598" t="s">
        <v>321</v>
      </c>
      <c r="AH598" s="598" t="s">
        <v>3317</v>
      </c>
      <c r="AI598" s="598" t="s">
        <v>321</v>
      </c>
      <c r="AJ598" s="599">
        <v>21</v>
      </c>
      <c r="AK598" s="601">
        <v>0</v>
      </c>
      <c r="AL598" s="601">
        <v>0</v>
      </c>
      <c r="AM598" s="601">
        <v>0</v>
      </c>
      <c r="AN598" s="605">
        <v>0</v>
      </c>
    </row>
    <row r="599" spans="1:40" ht="16.5" customHeight="1">
      <c r="A599" s="598" t="s">
        <v>3307</v>
      </c>
      <c r="B599" s="598" t="s">
        <v>3336</v>
      </c>
      <c r="C599" s="598" t="s">
        <v>535</v>
      </c>
      <c r="D599" s="598" t="s">
        <v>536</v>
      </c>
      <c r="E599" s="598" t="s">
        <v>321</v>
      </c>
      <c r="F599" s="598" t="s">
        <v>3309</v>
      </c>
      <c r="G599" s="598" t="s">
        <v>3309</v>
      </c>
      <c r="H599" s="598" t="s">
        <v>3309</v>
      </c>
      <c r="I599" s="598" t="s">
        <v>3309</v>
      </c>
      <c r="J599" s="598" t="s">
        <v>3309</v>
      </c>
      <c r="K599" s="598" t="s">
        <v>321</v>
      </c>
      <c r="L599" s="598" t="s">
        <v>321</v>
      </c>
      <c r="M599" s="598" t="s">
        <v>3309</v>
      </c>
      <c r="N599" s="598" t="s">
        <v>3309</v>
      </c>
      <c r="O599" s="598" t="s">
        <v>3309</v>
      </c>
      <c r="P599" s="598" t="s">
        <v>3309</v>
      </c>
      <c r="Q599" s="598" t="s">
        <v>3309</v>
      </c>
      <c r="R599" s="598" t="s">
        <v>321</v>
      </c>
      <c r="S599" s="598" t="s">
        <v>321</v>
      </c>
      <c r="T599" s="598" t="s">
        <v>3309</v>
      </c>
      <c r="U599" s="598" t="s">
        <v>3309</v>
      </c>
      <c r="V599" s="598" t="s">
        <v>3309</v>
      </c>
      <c r="W599" s="598" t="s">
        <v>3309</v>
      </c>
      <c r="X599" s="598" t="s">
        <v>3309</v>
      </c>
      <c r="Y599" s="598" t="s">
        <v>321</v>
      </c>
      <c r="Z599" s="598" t="s">
        <v>321</v>
      </c>
      <c r="AA599" s="598" t="s">
        <v>3309</v>
      </c>
      <c r="AB599" s="598" t="s">
        <v>3309</v>
      </c>
      <c r="AC599" s="598" t="s">
        <v>3309</v>
      </c>
      <c r="AD599" s="598" t="s">
        <v>3309</v>
      </c>
      <c r="AE599" s="598" t="s">
        <v>3309</v>
      </c>
      <c r="AF599" s="598" t="s">
        <v>321</v>
      </c>
      <c r="AG599" s="598" t="s">
        <v>321</v>
      </c>
      <c r="AH599" s="598" t="s">
        <v>3309</v>
      </c>
      <c r="AI599" s="598" t="s">
        <v>321</v>
      </c>
      <c r="AJ599" s="599">
        <v>21</v>
      </c>
      <c r="AK599" s="600">
        <v>21</v>
      </c>
      <c r="AL599" s="601">
        <v>0</v>
      </c>
      <c r="AM599" s="601">
        <v>0</v>
      </c>
      <c r="AN599" s="599">
        <v>21</v>
      </c>
    </row>
    <row r="600" spans="1:40" ht="16.5" customHeight="1">
      <c r="A600" s="598" t="s">
        <v>3307</v>
      </c>
      <c r="B600" s="598" t="s">
        <v>3336</v>
      </c>
      <c r="C600" s="598" t="s">
        <v>1699</v>
      </c>
      <c r="D600" s="598" t="s">
        <v>1700</v>
      </c>
      <c r="E600" s="598" t="s">
        <v>321</v>
      </c>
      <c r="F600" s="598" t="s">
        <v>3309</v>
      </c>
      <c r="G600" s="598" t="s">
        <v>3309</v>
      </c>
      <c r="H600" s="598" t="s">
        <v>3309</v>
      </c>
      <c r="I600" s="598" t="s">
        <v>3309</v>
      </c>
      <c r="J600" s="598" t="s">
        <v>3309</v>
      </c>
      <c r="K600" s="598" t="s">
        <v>321</v>
      </c>
      <c r="L600" s="598" t="s">
        <v>321</v>
      </c>
      <c r="M600" s="598" t="s">
        <v>3309</v>
      </c>
      <c r="N600" s="598" t="s">
        <v>3309</v>
      </c>
      <c r="O600" s="598" t="s">
        <v>3309</v>
      </c>
      <c r="P600" s="598" t="s">
        <v>3309</v>
      </c>
      <c r="Q600" s="598" t="s">
        <v>3314</v>
      </c>
      <c r="R600" s="598" t="s">
        <v>321</v>
      </c>
      <c r="S600" s="598" t="s">
        <v>321</v>
      </c>
      <c r="T600" s="598" t="s">
        <v>3309</v>
      </c>
      <c r="U600" s="598" t="s">
        <v>3309</v>
      </c>
      <c r="V600" s="598" t="s">
        <v>3309</v>
      </c>
      <c r="W600" s="598" t="s">
        <v>3309</v>
      </c>
      <c r="X600" s="598" t="s">
        <v>3309</v>
      </c>
      <c r="Y600" s="598" t="s">
        <v>321</v>
      </c>
      <c r="Z600" s="598" t="s">
        <v>321</v>
      </c>
      <c r="AA600" s="598" t="s">
        <v>3309</v>
      </c>
      <c r="AB600" s="598" t="s">
        <v>3309</v>
      </c>
      <c r="AC600" s="598" t="s">
        <v>3309</v>
      </c>
      <c r="AD600" s="598" t="s">
        <v>3309</v>
      </c>
      <c r="AE600" s="598" t="s">
        <v>3309</v>
      </c>
      <c r="AF600" s="598" t="s">
        <v>321</v>
      </c>
      <c r="AG600" s="598" t="s">
        <v>321</v>
      </c>
      <c r="AH600" s="598" t="s">
        <v>3309</v>
      </c>
      <c r="AI600" s="598" t="s">
        <v>321</v>
      </c>
      <c r="AJ600" s="599">
        <v>21</v>
      </c>
      <c r="AK600" s="603">
        <v>20.5</v>
      </c>
      <c r="AL600" s="604">
        <v>0.5</v>
      </c>
      <c r="AM600" s="601">
        <v>0</v>
      </c>
      <c r="AN600" s="599">
        <v>21</v>
      </c>
    </row>
    <row r="601" spans="1:40" ht="16.5" customHeight="1">
      <c r="A601" s="598" t="s">
        <v>3307</v>
      </c>
      <c r="B601" s="598" t="s">
        <v>3336</v>
      </c>
      <c r="C601" s="598" t="s">
        <v>1115</v>
      </c>
      <c r="D601" s="598" t="s">
        <v>1116</v>
      </c>
      <c r="E601" s="598" t="s">
        <v>321</v>
      </c>
      <c r="F601" s="598" t="s">
        <v>3309</v>
      </c>
      <c r="G601" s="598" t="s">
        <v>3309</v>
      </c>
      <c r="H601" s="598" t="s">
        <v>3309</v>
      </c>
      <c r="I601" s="598" t="s">
        <v>3309</v>
      </c>
      <c r="J601" s="598" t="s">
        <v>3309</v>
      </c>
      <c r="K601" s="598" t="s">
        <v>321</v>
      </c>
      <c r="L601" s="598" t="s">
        <v>321</v>
      </c>
      <c r="M601" s="598" t="s">
        <v>3309</v>
      </c>
      <c r="N601" s="598" t="s">
        <v>3309</v>
      </c>
      <c r="O601" s="598" t="s">
        <v>3309</v>
      </c>
      <c r="P601" s="598" t="s">
        <v>3309</v>
      </c>
      <c r="Q601" s="598" t="s">
        <v>3309</v>
      </c>
      <c r="R601" s="598" t="s">
        <v>321</v>
      </c>
      <c r="S601" s="598" t="s">
        <v>321</v>
      </c>
      <c r="T601" s="598" t="s">
        <v>3309</v>
      </c>
      <c r="U601" s="598" t="s">
        <v>3309</v>
      </c>
      <c r="V601" s="598" t="s">
        <v>3309</v>
      </c>
      <c r="W601" s="598" t="s">
        <v>3309</v>
      </c>
      <c r="X601" s="598" t="s">
        <v>3309</v>
      </c>
      <c r="Y601" s="598" t="s">
        <v>321</v>
      </c>
      <c r="Z601" s="598" t="s">
        <v>321</v>
      </c>
      <c r="AA601" s="598" t="s">
        <v>3309</v>
      </c>
      <c r="AB601" s="598" t="s">
        <v>3309</v>
      </c>
      <c r="AC601" s="598" t="s">
        <v>3309</v>
      </c>
      <c r="AD601" s="598" t="s">
        <v>3309</v>
      </c>
      <c r="AE601" s="598" t="s">
        <v>3309</v>
      </c>
      <c r="AF601" s="598" t="s">
        <v>321</v>
      </c>
      <c r="AG601" s="598" t="s">
        <v>321</v>
      </c>
      <c r="AH601" s="598" t="s">
        <v>3309</v>
      </c>
      <c r="AI601" s="598" t="s">
        <v>321</v>
      </c>
      <c r="AJ601" s="599">
        <v>21</v>
      </c>
      <c r="AK601" s="600">
        <v>21</v>
      </c>
      <c r="AL601" s="601">
        <v>0</v>
      </c>
      <c r="AM601" s="601">
        <v>0</v>
      </c>
      <c r="AN601" s="599">
        <v>21</v>
      </c>
    </row>
    <row r="602" spans="1:40" ht="16.5" customHeight="1">
      <c r="A602" s="598" t="s">
        <v>3307</v>
      </c>
      <c r="B602" s="598" t="s">
        <v>3336</v>
      </c>
      <c r="C602" s="598" t="s">
        <v>1636</v>
      </c>
      <c r="D602" s="598" t="s">
        <v>1637</v>
      </c>
      <c r="E602" s="598" t="s">
        <v>321</v>
      </c>
      <c r="F602" s="598" t="s">
        <v>3309</v>
      </c>
      <c r="G602" s="598" t="s">
        <v>3309</v>
      </c>
      <c r="H602" s="598" t="s">
        <v>3309</v>
      </c>
      <c r="I602" s="598" t="s">
        <v>3309</v>
      </c>
      <c r="J602" s="598" t="s">
        <v>3309</v>
      </c>
      <c r="K602" s="598" t="s">
        <v>321</v>
      </c>
      <c r="L602" s="598" t="s">
        <v>321</v>
      </c>
      <c r="M602" s="598" t="s">
        <v>3309</v>
      </c>
      <c r="N602" s="598" t="s">
        <v>3309</v>
      </c>
      <c r="O602" s="598" t="s">
        <v>3309</v>
      </c>
      <c r="P602" s="598" t="s">
        <v>3309</v>
      </c>
      <c r="Q602" s="598" t="s">
        <v>3309</v>
      </c>
      <c r="R602" s="598" t="s">
        <v>321</v>
      </c>
      <c r="S602" s="598" t="s">
        <v>321</v>
      </c>
      <c r="T602" s="598" t="s">
        <v>3309</v>
      </c>
      <c r="U602" s="598" t="s">
        <v>3309</v>
      </c>
      <c r="V602" s="598" t="s">
        <v>3309</v>
      </c>
      <c r="W602" s="598" t="s">
        <v>3309</v>
      </c>
      <c r="X602" s="598" t="s">
        <v>3309</v>
      </c>
      <c r="Y602" s="598" t="s">
        <v>321</v>
      </c>
      <c r="Z602" s="598" t="s">
        <v>321</v>
      </c>
      <c r="AA602" s="598" t="s">
        <v>3309</v>
      </c>
      <c r="AB602" s="598" t="s">
        <v>3309</v>
      </c>
      <c r="AC602" s="598" t="s">
        <v>3309</v>
      </c>
      <c r="AD602" s="598" t="s">
        <v>3309</v>
      </c>
      <c r="AE602" s="598" t="s">
        <v>3309</v>
      </c>
      <c r="AF602" s="598" t="s">
        <v>321</v>
      </c>
      <c r="AG602" s="598" t="s">
        <v>321</v>
      </c>
      <c r="AH602" s="598" t="s">
        <v>3309</v>
      </c>
      <c r="AI602" s="598" t="s">
        <v>321</v>
      </c>
      <c r="AJ602" s="599">
        <v>21</v>
      </c>
      <c r="AK602" s="600">
        <v>21</v>
      </c>
      <c r="AL602" s="601">
        <v>0</v>
      </c>
      <c r="AM602" s="601">
        <v>0</v>
      </c>
      <c r="AN602" s="599">
        <v>21</v>
      </c>
    </row>
    <row r="603" spans="1:40" ht="16.5" customHeight="1">
      <c r="A603" s="598" t="s">
        <v>3307</v>
      </c>
      <c r="B603" s="598" t="s">
        <v>3336</v>
      </c>
      <c r="C603" s="598" t="s">
        <v>1749</v>
      </c>
      <c r="D603" s="598" t="s">
        <v>1750</v>
      </c>
      <c r="E603" s="598" t="s">
        <v>321</v>
      </c>
      <c r="F603" s="598" t="s">
        <v>3312</v>
      </c>
      <c r="G603" s="598" t="s">
        <v>3309</v>
      </c>
      <c r="H603" s="598" t="s">
        <v>3309</v>
      </c>
      <c r="I603" s="598" t="s">
        <v>3309</v>
      </c>
      <c r="J603" s="598" t="s">
        <v>3309</v>
      </c>
      <c r="K603" s="598" t="s">
        <v>321</v>
      </c>
      <c r="L603" s="598" t="s">
        <v>321</v>
      </c>
      <c r="M603" s="598" t="s">
        <v>3309</v>
      </c>
      <c r="N603" s="598" t="s">
        <v>3309</v>
      </c>
      <c r="O603" s="598" t="s">
        <v>3309</v>
      </c>
      <c r="P603" s="598" t="s">
        <v>3309</v>
      </c>
      <c r="Q603" s="598" t="s">
        <v>3309</v>
      </c>
      <c r="R603" s="598" t="s">
        <v>321</v>
      </c>
      <c r="S603" s="598" t="s">
        <v>321</v>
      </c>
      <c r="T603" s="598" t="s">
        <v>3309</v>
      </c>
      <c r="U603" s="598" t="s">
        <v>3309</v>
      </c>
      <c r="V603" s="598" t="s">
        <v>3309</v>
      </c>
      <c r="W603" s="598" t="s">
        <v>3309</v>
      </c>
      <c r="X603" s="598" t="s">
        <v>3309</v>
      </c>
      <c r="Y603" s="598" t="s">
        <v>321</v>
      </c>
      <c r="Z603" s="598" t="s">
        <v>321</v>
      </c>
      <c r="AA603" s="598" t="s">
        <v>3309</v>
      </c>
      <c r="AB603" s="598" t="s">
        <v>3309</v>
      </c>
      <c r="AC603" s="598" t="s">
        <v>3309</v>
      </c>
      <c r="AD603" s="598" t="s">
        <v>3309</v>
      </c>
      <c r="AE603" s="598" t="s">
        <v>3309</v>
      </c>
      <c r="AF603" s="598" t="s">
        <v>321</v>
      </c>
      <c r="AG603" s="598" t="s">
        <v>321</v>
      </c>
      <c r="AH603" s="598" t="s">
        <v>3309</v>
      </c>
      <c r="AI603" s="598" t="s">
        <v>321</v>
      </c>
      <c r="AJ603" s="599">
        <v>21</v>
      </c>
      <c r="AK603" s="600">
        <v>20</v>
      </c>
      <c r="AL603" s="602">
        <v>1</v>
      </c>
      <c r="AM603" s="601">
        <v>0</v>
      </c>
      <c r="AN603" s="599">
        <v>21</v>
      </c>
    </row>
    <row r="604" spans="1:40" ht="16.5" customHeight="1">
      <c r="A604" s="598" t="s">
        <v>3307</v>
      </c>
      <c r="B604" s="598" t="s">
        <v>3336</v>
      </c>
      <c r="C604" s="598" t="s">
        <v>2274</v>
      </c>
      <c r="D604" s="598" t="s">
        <v>2275</v>
      </c>
      <c r="E604" s="598" t="s">
        <v>321</v>
      </c>
      <c r="F604" s="598" t="s">
        <v>3309</v>
      </c>
      <c r="G604" s="598" t="s">
        <v>3309</v>
      </c>
      <c r="H604" s="598" t="s">
        <v>3309</v>
      </c>
      <c r="I604" s="598" t="s">
        <v>3309</v>
      </c>
      <c r="J604" s="598" t="s">
        <v>3309</v>
      </c>
      <c r="K604" s="598" t="s">
        <v>321</v>
      </c>
      <c r="L604" s="598" t="s">
        <v>321</v>
      </c>
      <c r="M604" s="598" t="s">
        <v>3309</v>
      </c>
      <c r="N604" s="598" t="s">
        <v>3309</v>
      </c>
      <c r="O604" s="598" t="s">
        <v>3309</v>
      </c>
      <c r="P604" s="598" t="s">
        <v>3309</v>
      </c>
      <c r="Q604" s="598" t="s">
        <v>3309</v>
      </c>
      <c r="R604" s="598" t="s">
        <v>321</v>
      </c>
      <c r="S604" s="598" t="s">
        <v>321</v>
      </c>
      <c r="T604" s="598" t="s">
        <v>3309</v>
      </c>
      <c r="U604" s="598" t="s">
        <v>3309</v>
      </c>
      <c r="V604" s="598" t="s">
        <v>3309</v>
      </c>
      <c r="W604" s="598" t="s">
        <v>3309</v>
      </c>
      <c r="X604" s="598" t="s">
        <v>3309</v>
      </c>
      <c r="Y604" s="598" t="s">
        <v>321</v>
      </c>
      <c r="Z604" s="598" t="s">
        <v>321</v>
      </c>
      <c r="AA604" s="598" t="s">
        <v>3309</v>
      </c>
      <c r="AB604" s="598" t="s">
        <v>3309</v>
      </c>
      <c r="AC604" s="598" t="s">
        <v>3309</v>
      </c>
      <c r="AD604" s="598" t="s">
        <v>3309</v>
      </c>
      <c r="AE604" s="598" t="s">
        <v>3309</v>
      </c>
      <c r="AF604" s="598" t="s">
        <v>321</v>
      </c>
      <c r="AG604" s="598" t="s">
        <v>321</v>
      </c>
      <c r="AH604" s="598" t="s">
        <v>3309</v>
      </c>
      <c r="AI604" s="598" t="s">
        <v>321</v>
      </c>
      <c r="AJ604" s="599">
        <v>21</v>
      </c>
      <c r="AK604" s="600">
        <v>21</v>
      </c>
      <c r="AL604" s="601">
        <v>0</v>
      </c>
      <c r="AM604" s="601">
        <v>0</v>
      </c>
      <c r="AN604" s="599">
        <v>21</v>
      </c>
    </row>
    <row r="605" spans="1:40" ht="16.5" customHeight="1">
      <c r="A605" s="598" t="s">
        <v>3307</v>
      </c>
      <c r="B605" s="598" t="s">
        <v>3336</v>
      </c>
      <c r="C605" s="598" t="s">
        <v>1610</v>
      </c>
      <c r="D605" s="598" t="s">
        <v>1611</v>
      </c>
      <c r="E605" s="598" t="s">
        <v>321</v>
      </c>
      <c r="F605" s="598" t="s">
        <v>3309</v>
      </c>
      <c r="G605" s="598" t="s">
        <v>3309</v>
      </c>
      <c r="H605" s="598" t="s">
        <v>3309</v>
      </c>
      <c r="I605" s="598" t="s">
        <v>3309</v>
      </c>
      <c r="J605" s="598" t="s">
        <v>3312</v>
      </c>
      <c r="K605" s="598" t="s">
        <v>321</v>
      </c>
      <c r="L605" s="598" t="s">
        <v>321</v>
      </c>
      <c r="M605" s="598" t="s">
        <v>3309</v>
      </c>
      <c r="N605" s="598" t="s">
        <v>3309</v>
      </c>
      <c r="O605" s="598" t="s">
        <v>3309</v>
      </c>
      <c r="P605" s="598" t="s">
        <v>3309</v>
      </c>
      <c r="Q605" s="598" t="s">
        <v>3309</v>
      </c>
      <c r="R605" s="598" t="s">
        <v>321</v>
      </c>
      <c r="S605" s="598" t="s">
        <v>321</v>
      </c>
      <c r="T605" s="598" t="s">
        <v>3309</v>
      </c>
      <c r="U605" s="598" t="s">
        <v>3309</v>
      </c>
      <c r="V605" s="598" t="s">
        <v>3309</v>
      </c>
      <c r="W605" s="598" t="s">
        <v>3309</v>
      </c>
      <c r="X605" s="598" t="s">
        <v>3309</v>
      </c>
      <c r="Y605" s="598" t="s">
        <v>321</v>
      </c>
      <c r="Z605" s="598" t="s">
        <v>321</v>
      </c>
      <c r="AA605" s="598" t="s">
        <v>3309</v>
      </c>
      <c r="AB605" s="598" t="s">
        <v>3309</v>
      </c>
      <c r="AC605" s="598" t="s">
        <v>3309</v>
      </c>
      <c r="AD605" s="598" t="s">
        <v>3309</v>
      </c>
      <c r="AE605" s="598" t="s">
        <v>3309</v>
      </c>
      <c r="AF605" s="598" t="s">
        <v>321</v>
      </c>
      <c r="AG605" s="598" t="s">
        <v>321</v>
      </c>
      <c r="AH605" s="598" t="s">
        <v>3309</v>
      </c>
      <c r="AI605" s="598" t="s">
        <v>321</v>
      </c>
      <c r="AJ605" s="599">
        <v>21</v>
      </c>
      <c r="AK605" s="600">
        <v>20</v>
      </c>
      <c r="AL605" s="602">
        <v>1</v>
      </c>
      <c r="AM605" s="601">
        <v>0</v>
      </c>
      <c r="AN605" s="599">
        <v>21</v>
      </c>
    </row>
    <row r="606" spans="1:40" ht="16.5" customHeight="1">
      <c r="A606" s="598" t="s">
        <v>3307</v>
      </c>
      <c r="B606" s="598" t="s">
        <v>3336</v>
      </c>
      <c r="C606" s="598" t="s">
        <v>2264</v>
      </c>
      <c r="D606" s="598" t="s">
        <v>2265</v>
      </c>
      <c r="E606" s="598" t="s">
        <v>321</v>
      </c>
      <c r="F606" s="598" t="s">
        <v>3317</v>
      </c>
      <c r="G606" s="598" t="s">
        <v>3317</v>
      </c>
      <c r="H606" s="598" t="s">
        <v>3317</v>
      </c>
      <c r="I606" s="598" t="s">
        <v>3317</v>
      </c>
      <c r="J606" s="598" t="s">
        <v>3317</v>
      </c>
      <c r="K606" s="598" t="s">
        <v>321</v>
      </c>
      <c r="L606" s="598" t="s">
        <v>321</v>
      </c>
      <c r="M606" s="598" t="s">
        <v>3317</v>
      </c>
      <c r="N606" s="598" t="s">
        <v>3317</v>
      </c>
      <c r="O606" s="598" t="s">
        <v>3317</v>
      </c>
      <c r="P606" s="598" t="s">
        <v>3317</v>
      </c>
      <c r="Q606" s="598" t="s">
        <v>3317</v>
      </c>
      <c r="R606" s="598" t="s">
        <v>321</v>
      </c>
      <c r="S606" s="598" t="s">
        <v>321</v>
      </c>
      <c r="T606" s="598" t="s">
        <v>3317</v>
      </c>
      <c r="U606" s="598" t="s">
        <v>3317</v>
      </c>
      <c r="V606" s="598" t="s">
        <v>3317</v>
      </c>
      <c r="W606" s="598" t="s">
        <v>3317</v>
      </c>
      <c r="X606" s="598" t="s">
        <v>3317</v>
      </c>
      <c r="Y606" s="598" t="s">
        <v>321</v>
      </c>
      <c r="Z606" s="598" t="s">
        <v>321</v>
      </c>
      <c r="AA606" s="598" t="s">
        <v>3317</v>
      </c>
      <c r="AB606" s="598" t="s">
        <v>3317</v>
      </c>
      <c r="AC606" s="598" t="s">
        <v>3317</v>
      </c>
      <c r="AD606" s="598" t="s">
        <v>3317</v>
      </c>
      <c r="AE606" s="598" t="s">
        <v>3317</v>
      </c>
      <c r="AF606" s="598" t="s">
        <v>321</v>
      </c>
      <c r="AG606" s="598" t="s">
        <v>321</v>
      </c>
      <c r="AH606" s="598" t="s">
        <v>3317</v>
      </c>
      <c r="AI606" s="598" t="s">
        <v>321</v>
      </c>
      <c r="AJ606" s="599">
        <v>21</v>
      </c>
      <c r="AK606" s="601">
        <v>0</v>
      </c>
      <c r="AL606" s="601">
        <v>0</v>
      </c>
      <c r="AM606" s="601">
        <v>0</v>
      </c>
      <c r="AN606" s="605">
        <v>0</v>
      </c>
    </row>
    <row r="607" spans="1:40" ht="16.5" customHeight="1">
      <c r="A607" s="598" t="s">
        <v>3307</v>
      </c>
      <c r="B607" s="598" t="s">
        <v>3336</v>
      </c>
      <c r="C607" s="598" t="s">
        <v>2523</v>
      </c>
      <c r="D607" s="598" t="s">
        <v>2434</v>
      </c>
      <c r="E607" s="598" t="s">
        <v>321</v>
      </c>
      <c r="F607" s="598" t="s">
        <v>3309</v>
      </c>
      <c r="G607" s="598" t="s">
        <v>3309</v>
      </c>
      <c r="H607" s="598" t="s">
        <v>3309</v>
      </c>
      <c r="I607" s="598" t="s">
        <v>3309</v>
      </c>
      <c r="J607" s="598" t="s">
        <v>3309</v>
      </c>
      <c r="K607" s="598" t="s">
        <v>321</v>
      </c>
      <c r="L607" s="598" t="s">
        <v>321</v>
      </c>
      <c r="M607" s="598" t="s">
        <v>3309</v>
      </c>
      <c r="N607" s="598" t="s">
        <v>3309</v>
      </c>
      <c r="O607" s="598" t="s">
        <v>3309</v>
      </c>
      <c r="P607" s="598" t="s">
        <v>3309</v>
      </c>
      <c r="Q607" s="598" t="s">
        <v>3309</v>
      </c>
      <c r="R607" s="598" t="s">
        <v>321</v>
      </c>
      <c r="S607" s="598" t="s">
        <v>321</v>
      </c>
      <c r="T607" s="598" t="s">
        <v>3309</v>
      </c>
      <c r="U607" s="598" t="s">
        <v>3309</v>
      </c>
      <c r="V607" s="598" t="s">
        <v>3309</v>
      </c>
      <c r="W607" s="598" t="s">
        <v>3309</v>
      </c>
      <c r="X607" s="598" t="s">
        <v>3309</v>
      </c>
      <c r="Y607" s="598" t="s">
        <v>321</v>
      </c>
      <c r="Z607" s="598" t="s">
        <v>321</v>
      </c>
      <c r="AA607" s="598" t="s">
        <v>3309</v>
      </c>
      <c r="AB607" s="598" t="s">
        <v>3309</v>
      </c>
      <c r="AC607" s="598" t="s">
        <v>3309</v>
      </c>
      <c r="AD607" s="598" t="s">
        <v>3309</v>
      </c>
      <c r="AE607" s="598" t="s">
        <v>3309</v>
      </c>
      <c r="AF607" s="598" t="s">
        <v>321</v>
      </c>
      <c r="AG607" s="598" t="s">
        <v>321</v>
      </c>
      <c r="AH607" s="598" t="s">
        <v>3309</v>
      </c>
      <c r="AI607" s="598" t="s">
        <v>321</v>
      </c>
      <c r="AJ607" s="599">
        <v>21</v>
      </c>
      <c r="AK607" s="600">
        <v>21</v>
      </c>
      <c r="AL607" s="601">
        <v>0</v>
      </c>
      <c r="AM607" s="601">
        <v>0</v>
      </c>
      <c r="AN607" s="599">
        <v>21</v>
      </c>
    </row>
    <row r="608" spans="1:40" ht="16.5" customHeight="1">
      <c r="A608" s="598" t="s">
        <v>3307</v>
      </c>
      <c r="B608" s="598" t="s">
        <v>3336</v>
      </c>
      <c r="C608" s="598" t="s">
        <v>2297</v>
      </c>
      <c r="D608" s="598" t="s">
        <v>2298</v>
      </c>
      <c r="E608" s="598" t="s">
        <v>321</v>
      </c>
      <c r="F608" s="598" t="s">
        <v>3309</v>
      </c>
      <c r="G608" s="598" t="s">
        <v>3309</v>
      </c>
      <c r="H608" s="598" t="s">
        <v>3309</v>
      </c>
      <c r="I608" s="598" t="s">
        <v>3309</v>
      </c>
      <c r="J608" s="598" t="s">
        <v>3309</v>
      </c>
      <c r="K608" s="598" t="s">
        <v>321</v>
      </c>
      <c r="L608" s="598" t="s">
        <v>321</v>
      </c>
      <c r="M608" s="598" t="s">
        <v>3309</v>
      </c>
      <c r="N608" s="598" t="s">
        <v>3309</v>
      </c>
      <c r="O608" s="598" t="s">
        <v>3309</v>
      </c>
      <c r="P608" s="598" t="s">
        <v>3309</v>
      </c>
      <c r="Q608" s="598" t="s">
        <v>3309</v>
      </c>
      <c r="R608" s="598" t="s">
        <v>321</v>
      </c>
      <c r="S608" s="598" t="s">
        <v>321</v>
      </c>
      <c r="T608" s="598" t="s">
        <v>3309</v>
      </c>
      <c r="U608" s="598" t="s">
        <v>3309</v>
      </c>
      <c r="V608" s="598" t="s">
        <v>3309</v>
      </c>
      <c r="W608" s="598" t="s">
        <v>3309</v>
      </c>
      <c r="X608" s="598" t="s">
        <v>3309</v>
      </c>
      <c r="Y608" s="598" t="s">
        <v>321</v>
      </c>
      <c r="Z608" s="598" t="s">
        <v>321</v>
      </c>
      <c r="AA608" s="598" t="s">
        <v>3309</v>
      </c>
      <c r="AB608" s="598" t="s">
        <v>3309</v>
      </c>
      <c r="AC608" s="598" t="s">
        <v>3309</v>
      </c>
      <c r="AD608" s="598" t="s">
        <v>3309</v>
      </c>
      <c r="AE608" s="598" t="s">
        <v>3309</v>
      </c>
      <c r="AF608" s="598" t="s">
        <v>321</v>
      </c>
      <c r="AG608" s="598" t="s">
        <v>321</v>
      </c>
      <c r="AH608" s="598" t="s">
        <v>3309</v>
      </c>
      <c r="AI608" s="598" t="s">
        <v>321</v>
      </c>
      <c r="AJ608" s="599">
        <v>21</v>
      </c>
      <c r="AK608" s="600">
        <v>21</v>
      </c>
      <c r="AL608" s="601">
        <v>0</v>
      </c>
      <c r="AM608" s="601">
        <v>0</v>
      </c>
      <c r="AN608" s="599">
        <v>21</v>
      </c>
    </row>
    <row r="609" spans="1:40" ht="16.5" customHeight="1">
      <c r="A609" s="598" t="s">
        <v>3307</v>
      </c>
      <c r="B609" s="598" t="s">
        <v>3336</v>
      </c>
      <c r="C609" s="598" t="s">
        <v>2672</v>
      </c>
      <c r="D609" s="598" t="s">
        <v>2673</v>
      </c>
      <c r="E609" s="598" t="s">
        <v>321</v>
      </c>
      <c r="F609" s="598" t="s">
        <v>3309</v>
      </c>
      <c r="G609" s="598" t="s">
        <v>3309</v>
      </c>
      <c r="H609" s="598" t="s">
        <v>3309</v>
      </c>
      <c r="I609" s="598" t="s">
        <v>3309</v>
      </c>
      <c r="J609" s="598" t="s">
        <v>3309</v>
      </c>
      <c r="K609" s="598" t="s">
        <v>321</v>
      </c>
      <c r="L609" s="598" t="s">
        <v>321</v>
      </c>
      <c r="M609" s="598" t="s">
        <v>3309</v>
      </c>
      <c r="N609" s="598" t="s">
        <v>3309</v>
      </c>
      <c r="O609" s="598" t="s">
        <v>3309</v>
      </c>
      <c r="P609" s="598" t="s">
        <v>3312</v>
      </c>
      <c r="Q609" s="598" t="s">
        <v>3312</v>
      </c>
      <c r="R609" s="598" t="s">
        <v>321</v>
      </c>
      <c r="S609" s="598" t="s">
        <v>321</v>
      </c>
      <c r="T609" s="598" t="s">
        <v>3312</v>
      </c>
      <c r="U609" s="598" t="s">
        <v>3312</v>
      </c>
      <c r="V609" s="598" t="s">
        <v>3312</v>
      </c>
      <c r="W609" s="598" t="s">
        <v>3309</v>
      </c>
      <c r="X609" s="598" t="s">
        <v>3309</v>
      </c>
      <c r="Y609" s="598" t="s">
        <v>321</v>
      </c>
      <c r="Z609" s="598" t="s">
        <v>321</v>
      </c>
      <c r="AA609" s="598" t="s">
        <v>3309</v>
      </c>
      <c r="AB609" s="598" t="s">
        <v>3309</v>
      </c>
      <c r="AC609" s="598" t="s">
        <v>3309</v>
      </c>
      <c r="AD609" s="598" t="s">
        <v>3309</v>
      </c>
      <c r="AE609" s="598" t="s">
        <v>3309</v>
      </c>
      <c r="AF609" s="598" t="s">
        <v>321</v>
      </c>
      <c r="AG609" s="598" t="s">
        <v>321</v>
      </c>
      <c r="AH609" s="598" t="s">
        <v>3309</v>
      </c>
      <c r="AI609" s="598" t="s">
        <v>321</v>
      </c>
      <c r="AJ609" s="599">
        <v>21</v>
      </c>
      <c r="AK609" s="600">
        <v>16</v>
      </c>
      <c r="AL609" s="602">
        <v>5</v>
      </c>
      <c r="AM609" s="601">
        <v>0</v>
      </c>
      <c r="AN609" s="599">
        <v>21</v>
      </c>
    </row>
    <row r="610" spans="1:40" ht="16.5" customHeight="1">
      <c r="A610" s="598" t="s">
        <v>3307</v>
      </c>
      <c r="B610" s="598" t="s">
        <v>3336</v>
      </c>
      <c r="C610" s="598" t="s">
        <v>332</v>
      </c>
      <c r="D610" s="598" t="s">
        <v>333</v>
      </c>
      <c r="E610" s="598" t="s">
        <v>321</v>
      </c>
      <c r="F610" s="598" t="s">
        <v>3309</v>
      </c>
      <c r="G610" s="598" t="s">
        <v>3309</v>
      </c>
      <c r="H610" s="598" t="s">
        <v>3309</v>
      </c>
      <c r="I610" s="598" t="s">
        <v>3309</v>
      </c>
      <c r="J610" s="598" t="s">
        <v>3309</v>
      </c>
      <c r="K610" s="598" t="s">
        <v>321</v>
      </c>
      <c r="L610" s="598" t="s">
        <v>321</v>
      </c>
      <c r="M610" s="598" t="s">
        <v>3309</v>
      </c>
      <c r="N610" s="598" t="s">
        <v>3309</v>
      </c>
      <c r="O610" s="598" t="s">
        <v>3309</v>
      </c>
      <c r="P610" s="598" t="s">
        <v>3309</v>
      </c>
      <c r="Q610" s="598" t="s">
        <v>3309</v>
      </c>
      <c r="R610" s="598" t="s">
        <v>321</v>
      </c>
      <c r="S610" s="598" t="s">
        <v>321</v>
      </c>
      <c r="T610" s="598" t="s">
        <v>3309</v>
      </c>
      <c r="U610" s="598" t="s">
        <v>3309</v>
      </c>
      <c r="V610" s="598" t="s">
        <v>3309</v>
      </c>
      <c r="W610" s="598" t="s">
        <v>3309</v>
      </c>
      <c r="X610" s="598" t="s">
        <v>3309</v>
      </c>
      <c r="Y610" s="598" t="s">
        <v>321</v>
      </c>
      <c r="Z610" s="598" t="s">
        <v>321</v>
      </c>
      <c r="AA610" s="598" t="s">
        <v>3309</v>
      </c>
      <c r="AB610" s="598" t="s">
        <v>3309</v>
      </c>
      <c r="AC610" s="598" t="s">
        <v>3309</v>
      </c>
      <c r="AD610" s="598" t="s">
        <v>3309</v>
      </c>
      <c r="AE610" s="598" t="s">
        <v>3309</v>
      </c>
      <c r="AF610" s="598" t="s">
        <v>321</v>
      </c>
      <c r="AG610" s="598" t="s">
        <v>321</v>
      </c>
      <c r="AH610" s="598" t="s">
        <v>3309</v>
      </c>
      <c r="AI610" s="598" t="s">
        <v>321</v>
      </c>
      <c r="AJ610" s="599">
        <v>21</v>
      </c>
      <c r="AK610" s="600">
        <v>21</v>
      </c>
      <c r="AL610" s="601">
        <v>0</v>
      </c>
      <c r="AM610" s="601">
        <v>0</v>
      </c>
      <c r="AN610" s="599">
        <v>21</v>
      </c>
    </row>
    <row r="611" spans="1:40" ht="16.5" customHeight="1">
      <c r="A611" s="598" t="s">
        <v>3307</v>
      </c>
      <c r="B611" s="598" t="s">
        <v>3336</v>
      </c>
      <c r="C611" s="598" t="s">
        <v>1017</v>
      </c>
      <c r="D611" s="598" t="s">
        <v>1018</v>
      </c>
      <c r="E611" s="598" t="s">
        <v>321</v>
      </c>
      <c r="F611" s="598" t="s">
        <v>3309</v>
      </c>
      <c r="G611" s="598" t="s">
        <v>3309</v>
      </c>
      <c r="H611" s="598" t="s">
        <v>3309</v>
      </c>
      <c r="I611" s="598" t="s">
        <v>3309</v>
      </c>
      <c r="J611" s="598" t="s">
        <v>3309</v>
      </c>
      <c r="K611" s="598" t="s">
        <v>321</v>
      </c>
      <c r="L611" s="598" t="s">
        <v>321</v>
      </c>
      <c r="M611" s="598" t="s">
        <v>3309</v>
      </c>
      <c r="N611" s="598" t="s">
        <v>3309</v>
      </c>
      <c r="O611" s="598" t="s">
        <v>3309</v>
      </c>
      <c r="P611" s="598" t="s">
        <v>3309</v>
      </c>
      <c r="Q611" s="598" t="s">
        <v>3309</v>
      </c>
      <c r="R611" s="598" t="s">
        <v>321</v>
      </c>
      <c r="S611" s="598" t="s">
        <v>321</v>
      </c>
      <c r="T611" s="598" t="s">
        <v>3309</v>
      </c>
      <c r="U611" s="598" t="s">
        <v>3309</v>
      </c>
      <c r="V611" s="598" t="s">
        <v>3309</v>
      </c>
      <c r="W611" s="598" t="s">
        <v>3309</v>
      </c>
      <c r="X611" s="598" t="s">
        <v>3309</v>
      </c>
      <c r="Y611" s="598" t="s">
        <v>321</v>
      </c>
      <c r="Z611" s="598" t="s">
        <v>321</v>
      </c>
      <c r="AA611" s="598" t="s">
        <v>3309</v>
      </c>
      <c r="AB611" s="598" t="s">
        <v>3309</v>
      </c>
      <c r="AC611" s="598" t="s">
        <v>3309</v>
      </c>
      <c r="AD611" s="598" t="s">
        <v>3309</v>
      </c>
      <c r="AE611" s="598" t="s">
        <v>3309</v>
      </c>
      <c r="AF611" s="598" t="s">
        <v>321</v>
      </c>
      <c r="AG611" s="598" t="s">
        <v>321</v>
      </c>
      <c r="AH611" s="598" t="s">
        <v>3309</v>
      </c>
      <c r="AI611" s="598" t="s">
        <v>321</v>
      </c>
      <c r="AJ611" s="599">
        <v>21</v>
      </c>
      <c r="AK611" s="600">
        <v>21</v>
      </c>
      <c r="AL611" s="601">
        <v>0</v>
      </c>
      <c r="AM611" s="601">
        <v>0</v>
      </c>
      <c r="AN611" s="599">
        <v>21</v>
      </c>
    </row>
    <row r="612" spans="1:40" ht="16.5" customHeight="1">
      <c r="A612" s="598" t="s">
        <v>3307</v>
      </c>
      <c r="B612" s="598" t="s">
        <v>3336</v>
      </c>
      <c r="C612" s="598" t="s">
        <v>2949</v>
      </c>
      <c r="D612" s="598" t="s">
        <v>2950</v>
      </c>
      <c r="E612" s="598" t="s">
        <v>321</v>
      </c>
      <c r="F612" s="598" t="s">
        <v>3309</v>
      </c>
      <c r="G612" s="598" t="s">
        <v>3309</v>
      </c>
      <c r="H612" s="598" t="s">
        <v>3309</v>
      </c>
      <c r="I612" s="598" t="s">
        <v>3309</v>
      </c>
      <c r="J612" s="598" t="s">
        <v>3309</v>
      </c>
      <c r="K612" s="598" t="s">
        <v>321</v>
      </c>
      <c r="L612" s="598" t="s">
        <v>321</v>
      </c>
      <c r="M612" s="598" t="s">
        <v>3309</v>
      </c>
      <c r="N612" s="598" t="s">
        <v>3309</v>
      </c>
      <c r="O612" s="598" t="s">
        <v>3309</v>
      </c>
      <c r="P612" s="598" t="s">
        <v>3309</v>
      </c>
      <c r="Q612" s="598" t="s">
        <v>3309</v>
      </c>
      <c r="R612" s="598" t="s">
        <v>321</v>
      </c>
      <c r="S612" s="598" t="s">
        <v>321</v>
      </c>
      <c r="T612" s="598" t="s">
        <v>3309</v>
      </c>
      <c r="U612" s="598" t="s">
        <v>3309</v>
      </c>
      <c r="V612" s="598" t="s">
        <v>3309</v>
      </c>
      <c r="W612" s="598" t="s">
        <v>3309</v>
      </c>
      <c r="X612" s="598" t="s">
        <v>3309</v>
      </c>
      <c r="Y612" s="598" t="s">
        <v>321</v>
      </c>
      <c r="Z612" s="598" t="s">
        <v>321</v>
      </c>
      <c r="AA612" s="598" t="s">
        <v>3309</v>
      </c>
      <c r="AB612" s="598" t="s">
        <v>3309</v>
      </c>
      <c r="AC612" s="598" t="s">
        <v>3309</v>
      </c>
      <c r="AD612" s="598" t="s">
        <v>3309</v>
      </c>
      <c r="AE612" s="598" t="s">
        <v>3309</v>
      </c>
      <c r="AF612" s="598" t="s">
        <v>321</v>
      </c>
      <c r="AG612" s="598" t="s">
        <v>321</v>
      </c>
      <c r="AH612" s="598" t="s">
        <v>3309</v>
      </c>
      <c r="AI612" s="598" t="s">
        <v>321</v>
      </c>
      <c r="AJ612" s="599">
        <v>21</v>
      </c>
      <c r="AK612" s="600">
        <v>21</v>
      </c>
      <c r="AL612" s="601">
        <v>0</v>
      </c>
      <c r="AM612" s="601">
        <v>0</v>
      </c>
      <c r="AN612" s="599">
        <v>21</v>
      </c>
    </row>
    <row r="613" spans="1:40" ht="16.5" customHeight="1">
      <c r="A613" s="598" t="s">
        <v>3307</v>
      </c>
      <c r="B613" s="598" t="s">
        <v>3336</v>
      </c>
      <c r="C613" s="598" t="s">
        <v>2613</v>
      </c>
      <c r="D613" s="598" t="s">
        <v>2614</v>
      </c>
      <c r="E613" s="598" t="s">
        <v>321</v>
      </c>
      <c r="F613" s="598" t="s">
        <v>3309</v>
      </c>
      <c r="G613" s="598" t="s">
        <v>3309</v>
      </c>
      <c r="H613" s="598" t="s">
        <v>3309</v>
      </c>
      <c r="I613" s="598" t="s">
        <v>3309</v>
      </c>
      <c r="J613" s="598" t="s">
        <v>3309</v>
      </c>
      <c r="K613" s="598" t="s">
        <v>321</v>
      </c>
      <c r="L613" s="598" t="s">
        <v>321</v>
      </c>
      <c r="M613" s="598" t="s">
        <v>3309</v>
      </c>
      <c r="N613" s="598" t="s">
        <v>3309</v>
      </c>
      <c r="O613" s="598" t="s">
        <v>3309</v>
      </c>
      <c r="P613" s="598" t="s">
        <v>3312</v>
      </c>
      <c r="Q613" s="598" t="s">
        <v>3312</v>
      </c>
      <c r="R613" s="598" t="s">
        <v>321</v>
      </c>
      <c r="S613" s="598" t="s">
        <v>321</v>
      </c>
      <c r="T613" s="598" t="s">
        <v>3309</v>
      </c>
      <c r="U613" s="598" t="s">
        <v>3309</v>
      </c>
      <c r="V613" s="598" t="s">
        <v>3309</v>
      </c>
      <c r="W613" s="598" t="s">
        <v>3309</v>
      </c>
      <c r="X613" s="598" t="s">
        <v>3309</v>
      </c>
      <c r="Y613" s="598" t="s">
        <v>321</v>
      </c>
      <c r="Z613" s="598" t="s">
        <v>321</v>
      </c>
      <c r="AA613" s="598" t="s">
        <v>3309</v>
      </c>
      <c r="AB613" s="598" t="s">
        <v>3309</v>
      </c>
      <c r="AC613" s="598" t="s">
        <v>3309</v>
      </c>
      <c r="AD613" s="598" t="s">
        <v>3309</v>
      </c>
      <c r="AE613" s="598" t="s">
        <v>3309</v>
      </c>
      <c r="AF613" s="598" t="s">
        <v>321</v>
      </c>
      <c r="AG613" s="598" t="s">
        <v>321</v>
      </c>
      <c r="AH613" s="598" t="s">
        <v>3309</v>
      </c>
      <c r="AI613" s="598" t="s">
        <v>321</v>
      </c>
      <c r="AJ613" s="599">
        <v>21</v>
      </c>
      <c r="AK613" s="600">
        <v>19</v>
      </c>
      <c r="AL613" s="602">
        <v>2</v>
      </c>
      <c r="AM613" s="601">
        <v>0</v>
      </c>
      <c r="AN613" s="599">
        <v>21</v>
      </c>
    </row>
    <row r="614" spans="1:40" ht="16.5" customHeight="1">
      <c r="A614" s="598" t="s">
        <v>3307</v>
      </c>
      <c r="B614" s="598" t="s">
        <v>3336</v>
      </c>
      <c r="C614" s="598" t="s">
        <v>2090</v>
      </c>
      <c r="D614" s="598" t="s">
        <v>2091</v>
      </c>
      <c r="E614" s="598" t="s">
        <v>321</v>
      </c>
      <c r="F614" s="598" t="s">
        <v>3309</v>
      </c>
      <c r="G614" s="598" t="s">
        <v>3309</v>
      </c>
      <c r="H614" s="598" t="s">
        <v>3309</v>
      </c>
      <c r="I614" s="598" t="s">
        <v>3309</v>
      </c>
      <c r="J614" s="598" t="s">
        <v>3309</v>
      </c>
      <c r="K614" s="598" t="s">
        <v>321</v>
      </c>
      <c r="L614" s="598" t="s">
        <v>321</v>
      </c>
      <c r="M614" s="598" t="s">
        <v>3309</v>
      </c>
      <c r="N614" s="598" t="s">
        <v>3309</v>
      </c>
      <c r="O614" s="598" t="s">
        <v>3309</v>
      </c>
      <c r="P614" s="598" t="s">
        <v>3309</v>
      </c>
      <c r="Q614" s="598" t="s">
        <v>3309</v>
      </c>
      <c r="R614" s="598" t="s">
        <v>321</v>
      </c>
      <c r="S614" s="598" t="s">
        <v>321</v>
      </c>
      <c r="T614" s="598" t="s">
        <v>3309</v>
      </c>
      <c r="U614" s="598" t="s">
        <v>3309</v>
      </c>
      <c r="V614" s="598" t="s">
        <v>3309</v>
      </c>
      <c r="W614" s="598" t="s">
        <v>3309</v>
      </c>
      <c r="X614" s="598" t="s">
        <v>3309</v>
      </c>
      <c r="Y614" s="598" t="s">
        <v>321</v>
      </c>
      <c r="Z614" s="598" t="s">
        <v>321</v>
      </c>
      <c r="AA614" s="598" t="s">
        <v>3309</v>
      </c>
      <c r="AB614" s="598" t="s">
        <v>3309</v>
      </c>
      <c r="AC614" s="598" t="s">
        <v>3309</v>
      </c>
      <c r="AD614" s="598" t="s">
        <v>3309</v>
      </c>
      <c r="AE614" s="598" t="s">
        <v>3309</v>
      </c>
      <c r="AF614" s="598" t="s">
        <v>321</v>
      </c>
      <c r="AG614" s="598" t="s">
        <v>321</v>
      </c>
      <c r="AH614" s="598" t="s">
        <v>3309</v>
      </c>
      <c r="AI614" s="598" t="s">
        <v>321</v>
      </c>
      <c r="AJ614" s="599">
        <v>21</v>
      </c>
      <c r="AK614" s="600">
        <v>21</v>
      </c>
      <c r="AL614" s="601">
        <v>0</v>
      </c>
      <c r="AM614" s="601">
        <v>0</v>
      </c>
      <c r="AN614" s="599">
        <v>21</v>
      </c>
    </row>
    <row r="615" spans="1:40" ht="16.5" customHeight="1">
      <c r="A615" s="598" t="s">
        <v>3307</v>
      </c>
      <c r="B615" s="598" t="s">
        <v>3336</v>
      </c>
      <c r="C615" s="598" t="s">
        <v>820</v>
      </c>
      <c r="D615" s="598" t="s">
        <v>821</v>
      </c>
      <c r="E615" s="598" t="s">
        <v>321</v>
      </c>
      <c r="F615" s="598" t="s">
        <v>3309</v>
      </c>
      <c r="G615" s="598" t="s">
        <v>3309</v>
      </c>
      <c r="H615" s="598" t="s">
        <v>3309</v>
      </c>
      <c r="I615" s="598" t="s">
        <v>3309</v>
      </c>
      <c r="J615" s="598" t="s">
        <v>3309</v>
      </c>
      <c r="K615" s="598" t="s">
        <v>321</v>
      </c>
      <c r="L615" s="598" t="s">
        <v>321</v>
      </c>
      <c r="M615" s="598" t="s">
        <v>3309</v>
      </c>
      <c r="N615" s="598" t="s">
        <v>3309</v>
      </c>
      <c r="O615" s="598" t="s">
        <v>3309</v>
      </c>
      <c r="P615" s="598" t="s">
        <v>3309</v>
      </c>
      <c r="Q615" s="598" t="s">
        <v>3309</v>
      </c>
      <c r="R615" s="598" t="s">
        <v>321</v>
      </c>
      <c r="S615" s="598" t="s">
        <v>321</v>
      </c>
      <c r="T615" s="598" t="s">
        <v>3309</v>
      </c>
      <c r="U615" s="598" t="s">
        <v>3309</v>
      </c>
      <c r="V615" s="598" t="s">
        <v>3309</v>
      </c>
      <c r="W615" s="598" t="s">
        <v>3309</v>
      </c>
      <c r="X615" s="598" t="s">
        <v>3309</v>
      </c>
      <c r="Y615" s="598" t="s">
        <v>321</v>
      </c>
      <c r="Z615" s="598" t="s">
        <v>321</v>
      </c>
      <c r="AA615" s="598" t="s">
        <v>3309</v>
      </c>
      <c r="AB615" s="598" t="s">
        <v>3309</v>
      </c>
      <c r="AC615" s="598" t="s">
        <v>3309</v>
      </c>
      <c r="AD615" s="598" t="s">
        <v>3309</v>
      </c>
      <c r="AE615" s="598" t="s">
        <v>3309</v>
      </c>
      <c r="AF615" s="598" t="s">
        <v>321</v>
      </c>
      <c r="AG615" s="598" t="s">
        <v>321</v>
      </c>
      <c r="AH615" s="598" t="s">
        <v>3309</v>
      </c>
      <c r="AI615" s="598" t="s">
        <v>321</v>
      </c>
      <c r="AJ615" s="599">
        <v>21</v>
      </c>
      <c r="AK615" s="600">
        <v>21</v>
      </c>
      <c r="AL615" s="601">
        <v>0</v>
      </c>
      <c r="AM615" s="601">
        <v>0</v>
      </c>
      <c r="AN615" s="599">
        <v>21</v>
      </c>
    </row>
    <row r="616" spans="1:40" ht="16.5" customHeight="1">
      <c r="A616" s="598" t="s">
        <v>3307</v>
      </c>
      <c r="B616" s="598" t="s">
        <v>3336</v>
      </c>
      <c r="C616" s="598" t="s">
        <v>1921</v>
      </c>
      <c r="D616" s="598" t="s">
        <v>1922</v>
      </c>
      <c r="E616" s="598" t="s">
        <v>321</v>
      </c>
      <c r="F616" s="598" t="s">
        <v>3309</v>
      </c>
      <c r="G616" s="598" t="s">
        <v>3309</v>
      </c>
      <c r="H616" s="598" t="s">
        <v>3309</v>
      </c>
      <c r="I616" s="598" t="s">
        <v>3309</v>
      </c>
      <c r="J616" s="598" t="s">
        <v>3309</v>
      </c>
      <c r="K616" s="598" t="s">
        <v>321</v>
      </c>
      <c r="L616" s="598" t="s">
        <v>321</v>
      </c>
      <c r="M616" s="598" t="s">
        <v>3309</v>
      </c>
      <c r="N616" s="598" t="s">
        <v>3309</v>
      </c>
      <c r="O616" s="598" t="s">
        <v>3309</v>
      </c>
      <c r="P616" s="598" t="s">
        <v>3309</v>
      </c>
      <c r="Q616" s="598" t="s">
        <v>3309</v>
      </c>
      <c r="R616" s="598" t="s">
        <v>321</v>
      </c>
      <c r="S616" s="598" t="s">
        <v>321</v>
      </c>
      <c r="T616" s="598" t="s">
        <v>3309</v>
      </c>
      <c r="U616" s="598" t="s">
        <v>3309</v>
      </c>
      <c r="V616" s="598" t="s">
        <v>3309</v>
      </c>
      <c r="W616" s="598" t="s">
        <v>3309</v>
      </c>
      <c r="X616" s="598" t="s">
        <v>3309</v>
      </c>
      <c r="Y616" s="598" t="s">
        <v>321</v>
      </c>
      <c r="Z616" s="598" t="s">
        <v>321</v>
      </c>
      <c r="AA616" s="598" t="s">
        <v>3309</v>
      </c>
      <c r="AB616" s="598" t="s">
        <v>3309</v>
      </c>
      <c r="AC616" s="598" t="s">
        <v>3309</v>
      </c>
      <c r="AD616" s="598" t="s">
        <v>3309</v>
      </c>
      <c r="AE616" s="598" t="s">
        <v>3309</v>
      </c>
      <c r="AF616" s="598" t="s">
        <v>321</v>
      </c>
      <c r="AG616" s="598" t="s">
        <v>321</v>
      </c>
      <c r="AH616" s="598" t="s">
        <v>3309</v>
      </c>
      <c r="AI616" s="598" t="s">
        <v>321</v>
      </c>
      <c r="AJ616" s="599">
        <v>21</v>
      </c>
      <c r="AK616" s="600">
        <v>21</v>
      </c>
      <c r="AL616" s="601">
        <v>0</v>
      </c>
      <c r="AM616" s="601">
        <v>0</v>
      </c>
      <c r="AN616" s="599">
        <v>21</v>
      </c>
    </row>
    <row r="617" spans="1:40" ht="16.5" customHeight="1">
      <c r="A617" s="598" t="s">
        <v>3307</v>
      </c>
      <c r="B617" s="598" t="s">
        <v>3336</v>
      </c>
      <c r="C617" s="598" t="s">
        <v>795</v>
      </c>
      <c r="D617" s="598" t="s">
        <v>796</v>
      </c>
      <c r="E617" s="598" t="s">
        <v>321</v>
      </c>
      <c r="F617" s="598" t="s">
        <v>3309</v>
      </c>
      <c r="G617" s="598" t="s">
        <v>3309</v>
      </c>
      <c r="H617" s="598" t="s">
        <v>3313</v>
      </c>
      <c r="I617" s="598" t="s">
        <v>3313</v>
      </c>
      <c r="J617" s="598" t="s">
        <v>3313</v>
      </c>
      <c r="K617" s="598" t="s">
        <v>321</v>
      </c>
      <c r="L617" s="598" t="s">
        <v>321</v>
      </c>
      <c r="M617" s="598" t="s">
        <v>3309</v>
      </c>
      <c r="N617" s="598" t="s">
        <v>3309</v>
      </c>
      <c r="O617" s="598" t="s">
        <v>3309</v>
      </c>
      <c r="P617" s="598" t="s">
        <v>3309</v>
      </c>
      <c r="Q617" s="598" t="s">
        <v>3309</v>
      </c>
      <c r="R617" s="598" t="s">
        <v>321</v>
      </c>
      <c r="S617" s="598" t="s">
        <v>321</v>
      </c>
      <c r="T617" s="598" t="s">
        <v>3309</v>
      </c>
      <c r="U617" s="598" t="s">
        <v>3309</v>
      </c>
      <c r="V617" s="598" t="s">
        <v>3309</v>
      </c>
      <c r="W617" s="598" t="s">
        <v>3309</v>
      </c>
      <c r="X617" s="598" t="s">
        <v>3309</v>
      </c>
      <c r="Y617" s="598" t="s">
        <v>321</v>
      </c>
      <c r="Z617" s="598" t="s">
        <v>321</v>
      </c>
      <c r="AA617" s="598" t="s">
        <v>3309</v>
      </c>
      <c r="AB617" s="598" t="s">
        <v>3309</v>
      </c>
      <c r="AC617" s="598" t="s">
        <v>3309</v>
      </c>
      <c r="AD617" s="598" t="s">
        <v>3309</v>
      </c>
      <c r="AE617" s="598" t="s">
        <v>3309</v>
      </c>
      <c r="AF617" s="598" t="s">
        <v>321</v>
      </c>
      <c r="AG617" s="598" t="s">
        <v>321</v>
      </c>
      <c r="AH617" s="598" t="s">
        <v>3309</v>
      </c>
      <c r="AI617" s="598" t="s">
        <v>321</v>
      </c>
      <c r="AJ617" s="599">
        <v>21</v>
      </c>
      <c r="AK617" s="600">
        <v>21</v>
      </c>
      <c r="AL617" s="601">
        <v>0</v>
      </c>
      <c r="AM617" s="601">
        <v>0</v>
      </c>
      <c r="AN617" s="599">
        <v>21</v>
      </c>
    </row>
    <row r="618" spans="1:40" ht="16.5" customHeight="1">
      <c r="A618" s="598" t="s">
        <v>3307</v>
      </c>
      <c r="B618" s="598" t="s">
        <v>3336</v>
      </c>
      <c r="C618" s="598" t="s">
        <v>2164</v>
      </c>
      <c r="D618" s="598" t="s">
        <v>2165</v>
      </c>
      <c r="E618" s="598" t="s">
        <v>321</v>
      </c>
      <c r="F618" s="598" t="s">
        <v>3309</v>
      </c>
      <c r="G618" s="598" t="s">
        <v>3309</v>
      </c>
      <c r="H618" s="598" t="s">
        <v>3309</v>
      </c>
      <c r="I618" s="598" t="s">
        <v>3309</v>
      </c>
      <c r="J618" s="598" t="s">
        <v>3312</v>
      </c>
      <c r="K618" s="598" t="s">
        <v>321</v>
      </c>
      <c r="L618" s="598" t="s">
        <v>321</v>
      </c>
      <c r="M618" s="598" t="s">
        <v>3309</v>
      </c>
      <c r="N618" s="598" t="s">
        <v>3309</v>
      </c>
      <c r="O618" s="598" t="s">
        <v>3309</v>
      </c>
      <c r="P618" s="598" t="s">
        <v>3314</v>
      </c>
      <c r="Q618" s="598" t="s">
        <v>3312</v>
      </c>
      <c r="R618" s="598" t="s">
        <v>321</v>
      </c>
      <c r="S618" s="598" t="s">
        <v>321</v>
      </c>
      <c r="T618" s="598" t="s">
        <v>3313</v>
      </c>
      <c r="U618" s="598" t="s">
        <v>3309</v>
      </c>
      <c r="V618" s="598" t="s">
        <v>3309</v>
      </c>
      <c r="W618" s="598" t="s">
        <v>3309</v>
      </c>
      <c r="X618" s="598" t="s">
        <v>3309</v>
      </c>
      <c r="Y618" s="598" t="s">
        <v>321</v>
      </c>
      <c r="Z618" s="598" t="s">
        <v>321</v>
      </c>
      <c r="AA618" s="598" t="s">
        <v>3309</v>
      </c>
      <c r="AB618" s="598" t="s">
        <v>3309</v>
      </c>
      <c r="AC618" s="598" t="s">
        <v>3309</v>
      </c>
      <c r="AD618" s="598" t="s">
        <v>3309</v>
      </c>
      <c r="AE618" s="598" t="s">
        <v>3309</v>
      </c>
      <c r="AF618" s="598" t="s">
        <v>321</v>
      </c>
      <c r="AG618" s="598" t="s">
        <v>321</v>
      </c>
      <c r="AH618" s="598" t="s">
        <v>3309</v>
      </c>
      <c r="AI618" s="598" t="s">
        <v>321</v>
      </c>
      <c r="AJ618" s="599">
        <v>21</v>
      </c>
      <c r="AK618" s="603">
        <v>18.5</v>
      </c>
      <c r="AL618" s="603">
        <v>2.5</v>
      </c>
      <c r="AM618" s="601">
        <v>0</v>
      </c>
      <c r="AN618" s="599">
        <v>21</v>
      </c>
    </row>
    <row r="619" spans="1:40" ht="16.5" customHeight="1">
      <c r="A619" s="598" t="s">
        <v>3307</v>
      </c>
      <c r="B619" s="598" t="s">
        <v>3336</v>
      </c>
      <c r="C619" s="598" t="s">
        <v>2028</v>
      </c>
      <c r="D619" s="598" t="s">
        <v>2029</v>
      </c>
      <c r="E619" s="598" t="s">
        <v>321</v>
      </c>
      <c r="F619" s="598" t="s">
        <v>3309</v>
      </c>
      <c r="G619" s="598" t="s">
        <v>3309</v>
      </c>
      <c r="H619" s="598" t="s">
        <v>3309</v>
      </c>
      <c r="I619" s="598" t="s">
        <v>3309</v>
      </c>
      <c r="J619" s="598" t="s">
        <v>3309</v>
      </c>
      <c r="K619" s="598" t="s">
        <v>321</v>
      </c>
      <c r="L619" s="598" t="s">
        <v>321</v>
      </c>
      <c r="M619" s="598" t="s">
        <v>3309</v>
      </c>
      <c r="N619" s="598" t="s">
        <v>3309</v>
      </c>
      <c r="O619" s="598" t="s">
        <v>3309</v>
      </c>
      <c r="P619" s="598" t="s">
        <v>3309</v>
      </c>
      <c r="Q619" s="598" t="s">
        <v>3309</v>
      </c>
      <c r="R619" s="598" t="s">
        <v>321</v>
      </c>
      <c r="S619" s="598" t="s">
        <v>321</v>
      </c>
      <c r="T619" s="598" t="s">
        <v>3309</v>
      </c>
      <c r="U619" s="598" t="s">
        <v>3309</v>
      </c>
      <c r="V619" s="598" t="s">
        <v>3309</v>
      </c>
      <c r="W619" s="598" t="s">
        <v>3309</v>
      </c>
      <c r="X619" s="598" t="s">
        <v>3309</v>
      </c>
      <c r="Y619" s="598" t="s">
        <v>321</v>
      </c>
      <c r="Z619" s="598" t="s">
        <v>321</v>
      </c>
      <c r="AA619" s="598" t="s">
        <v>3309</v>
      </c>
      <c r="AB619" s="598" t="s">
        <v>3309</v>
      </c>
      <c r="AC619" s="598" t="s">
        <v>3309</v>
      </c>
      <c r="AD619" s="598" t="s">
        <v>3309</v>
      </c>
      <c r="AE619" s="598" t="s">
        <v>3309</v>
      </c>
      <c r="AF619" s="598" t="s">
        <v>321</v>
      </c>
      <c r="AG619" s="598" t="s">
        <v>321</v>
      </c>
      <c r="AH619" s="598" t="s">
        <v>3309</v>
      </c>
      <c r="AI619" s="598" t="s">
        <v>321</v>
      </c>
      <c r="AJ619" s="599">
        <v>21</v>
      </c>
      <c r="AK619" s="600">
        <v>21</v>
      </c>
      <c r="AL619" s="601">
        <v>0</v>
      </c>
      <c r="AM619" s="601">
        <v>0</v>
      </c>
      <c r="AN619" s="599">
        <v>21</v>
      </c>
    </row>
    <row r="620" spans="1:40" ht="16.5" customHeight="1">
      <c r="A620" s="598" t="s">
        <v>3307</v>
      </c>
      <c r="B620" s="598" t="s">
        <v>3336</v>
      </c>
      <c r="C620" s="598" t="s">
        <v>2012</v>
      </c>
      <c r="D620" s="598" t="s">
        <v>2013</v>
      </c>
      <c r="E620" s="598" t="s">
        <v>321</v>
      </c>
      <c r="F620" s="598" t="s">
        <v>3309</v>
      </c>
      <c r="G620" s="598" t="s">
        <v>3309</v>
      </c>
      <c r="H620" s="598" t="s">
        <v>3309</v>
      </c>
      <c r="I620" s="598" t="s">
        <v>3309</v>
      </c>
      <c r="J620" s="598" t="s">
        <v>3309</v>
      </c>
      <c r="K620" s="598" t="s">
        <v>321</v>
      </c>
      <c r="L620" s="598" t="s">
        <v>321</v>
      </c>
      <c r="M620" s="598" t="s">
        <v>3309</v>
      </c>
      <c r="N620" s="598" t="s">
        <v>3309</v>
      </c>
      <c r="O620" s="598" t="s">
        <v>3309</v>
      </c>
      <c r="P620" s="598" t="s">
        <v>3309</v>
      </c>
      <c r="Q620" s="598" t="s">
        <v>3309</v>
      </c>
      <c r="R620" s="598" t="s">
        <v>321</v>
      </c>
      <c r="S620" s="598" t="s">
        <v>321</v>
      </c>
      <c r="T620" s="598" t="s">
        <v>3309</v>
      </c>
      <c r="U620" s="598" t="s">
        <v>3309</v>
      </c>
      <c r="V620" s="598" t="s">
        <v>3309</v>
      </c>
      <c r="W620" s="598" t="s">
        <v>3309</v>
      </c>
      <c r="X620" s="598" t="s">
        <v>3309</v>
      </c>
      <c r="Y620" s="598" t="s">
        <v>321</v>
      </c>
      <c r="Z620" s="598" t="s">
        <v>321</v>
      </c>
      <c r="AA620" s="598" t="s">
        <v>3309</v>
      </c>
      <c r="AB620" s="598" t="s">
        <v>3309</v>
      </c>
      <c r="AC620" s="598" t="s">
        <v>3309</v>
      </c>
      <c r="AD620" s="598" t="s">
        <v>3309</v>
      </c>
      <c r="AE620" s="598" t="s">
        <v>3309</v>
      </c>
      <c r="AF620" s="598" t="s">
        <v>321</v>
      </c>
      <c r="AG620" s="598" t="s">
        <v>321</v>
      </c>
      <c r="AH620" s="598" t="s">
        <v>3309</v>
      </c>
      <c r="AI620" s="598" t="s">
        <v>321</v>
      </c>
      <c r="AJ620" s="599">
        <v>21</v>
      </c>
      <c r="AK620" s="600">
        <v>21</v>
      </c>
      <c r="AL620" s="601">
        <v>0</v>
      </c>
      <c r="AM620" s="601">
        <v>0</v>
      </c>
      <c r="AN620" s="599">
        <v>21</v>
      </c>
    </row>
    <row r="621" spans="1:40" ht="16.5" customHeight="1">
      <c r="A621" s="598" t="s">
        <v>3337</v>
      </c>
      <c r="B621" s="598" t="s">
        <v>3338</v>
      </c>
      <c r="C621" s="598" t="s">
        <v>499</v>
      </c>
      <c r="D621" s="598" t="s">
        <v>500</v>
      </c>
      <c r="E621" s="598" t="s">
        <v>321</v>
      </c>
      <c r="F621" s="598" t="s">
        <v>3309</v>
      </c>
      <c r="G621" s="598" t="s">
        <v>3309</v>
      </c>
      <c r="H621" s="598" t="s">
        <v>3309</v>
      </c>
      <c r="I621" s="598" t="s">
        <v>3309</v>
      </c>
      <c r="J621" s="598" t="s">
        <v>3309</v>
      </c>
      <c r="K621" s="598" t="s">
        <v>321</v>
      </c>
      <c r="L621" s="598" t="s">
        <v>321</v>
      </c>
      <c r="M621" s="598" t="s">
        <v>3309</v>
      </c>
      <c r="N621" s="598" t="s">
        <v>3309</v>
      </c>
      <c r="O621" s="598" t="s">
        <v>3309</v>
      </c>
      <c r="P621" s="598" t="s">
        <v>3309</v>
      </c>
      <c r="Q621" s="598" t="s">
        <v>3309</v>
      </c>
      <c r="R621" s="598" t="s">
        <v>321</v>
      </c>
      <c r="S621" s="598" t="s">
        <v>321</v>
      </c>
      <c r="T621" s="598" t="s">
        <v>3309</v>
      </c>
      <c r="U621" s="598" t="s">
        <v>3309</v>
      </c>
      <c r="V621" s="598" t="s">
        <v>3309</v>
      </c>
      <c r="W621" s="598" t="s">
        <v>3309</v>
      </c>
      <c r="X621" s="598" t="s">
        <v>3309</v>
      </c>
      <c r="Y621" s="598" t="s">
        <v>321</v>
      </c>
      <c r="Z621" s="598" t="s">
        <v>321</v>
      </c>
      <c r="AA621" s="598" t="s">
        <v>3309</v>
      </c>
      <c r="AB621" s="598" t="s">
        <v>3309</v>
      </c>
      <c r="AC621" s="598" t="s">
        <v>3309</v>
      </c>
      <c r="AD621" s="598" t="s">
        <v>3309</v>
      </c>
      <c r="AE621" s="598" t="s">
        <v>3309</v>
      </c>
      <c r="AF621" s="598" t="s">
        <v>321</v>
      </c>
      <c r="AG621" s="598" t="s">
        <v>321</v>
      </c>
      <c r="AH621" s="598" t="s">
        <v>3309</v>
      </c>
      <c r="AI621" s="598" t="s">
        <v>321</v>
      </c>
      <c r="AJ621" s="599">
        <v>21</v>
      </c>
      <c r="AK621" s="600">
        <v>21</v>
      </c>
      <c r="AL621" s="601">
        <v>0</v>
      </c>
      <c r="AM621" s="601">
        <v>0</v>
      </c>
      <c r="AN621" s="599">
        <v>21</v>
      </c>
    </row>
    <row r="622" spans="1:40" ht="16.5" customHeight="1">
      <c r="A622" s="598" t="s">
        <v>3337</v>
      </c>
      <c r="B622" s="598" t="s">
        <v>3338</v>
      </c>
      <c r="C622" s="598" t="s">
        <v>417</v>
      </c>
      <c r="D622" s="598" t="s">
        <v>418</v>
      </c>
      <c r="E622" s="598" t="s">
        <v>321</v>
      </c>
      <c r="F622" s="598" t="s">
        <v>3309</v>
      </c>
      <c r="G622" s="598" t="s">
        <v>3309</v>
      </c>
      <c r="H622" s="598" t="s">
        <v>3309</v>
      </c>
      <c r="I622" s="598" t="s">
        <v>3309</v>
      </c>
      <c r="J622" s="598" t="s">
        <v>3309</v>
      </c>
      <c r="K622" s="598" t="s">
        <v>321</v>
      </c>
      <c r="L622" s="598" t="s">
        <v>321</v>
      </c>
      <c r="M622" s="598" t="s">
        <v>3309</v>
      </c>
      <c r="N622" s="598" t="s">
        <v>3309</v>
      </c>
      <c r="O622" s="598" t="s">
        <v>3309</v>
      </c>
      <c r="P622" s="598" t="s">
        <v>3309</v>
      </c>
      <c r="Q622" s="598" t="s">
        <v>3309</v>
      </c>
      <c r="R622" s="598" t="s">
        <v>321</v>
      </c>
      <c r="S622" s="598" t="s">
        <v>321</v>
      </c>
      <c r="T622" s="598" t="s">
        <v>3309</v>
      </c>
      <c r="U622" s="598" t="s">
        <v>3309</v>
      </c>
      <c r="V622" s="598" t="s">
        <v>3309</v>
      </c>
      <c r="W622" s="598" t="s">
        <v>3309</v>
      </c>
      <c r="X622" s="598" t="s">
        <v>3309</v>
      </c>
      <c r="Y622" s="598" t="s">
        <v>321</v>
      </c>
      <c r="Z622" s="598" t="s">
        <v>321</v>
      </c>
      <c r="AA622" s="598" t="s">
        <v>3309</v>
      </c>
      <c r="AB622" s="598" t="s">
        <v>3309</v>
      </c>
      <c r="AC622" s="598" t="s">
        <v>3309</v>
      </c>
      <c r="AD622" s="598" t="s">
        <v>3309</v>
      </c>
      <c r="AE622" s="598" t="s">
        <v>3309</v>
      </c>
      <c r="AF622" s="598" t="s">
        <v>321</v>
      </c>
      <c r="AG622" s="598" t="s">
        <v>321</v>
      </c>
      <c r="AH622" s="598" t="s">
        <v>3309</v>
      </c>
      <c r="AI622" s="598" t="s">
        <v>321</v>
      </c>
      <c r="AJ622" s="599">
        <v>21</v>
      </c>
      <c r="AK622" s="600">
        <v>21</v>
      </c>
      <c r="AL622" s="601">
        <v>0</v>
      </c>
      <c r="AM622" s="601">
        <v>0</v>
      </c>
      <c r="AN622" s="599">
        <v>21</v>
      </c>
    </row>
    <row r="623" spans="1:40" ht="16.5" customHeight="1">
      <c r="A623" s="598" t="s">
        <v>3337</v>
      </c>
      <c r="B623" s="598" t="s">
        <v>3339</v>
      </c>
      <c r="C623" s="598" t="s">
        <v>3013</v>
      </c>
      <c r="D623" s="598" t="s">
        <v>3014</v>
      </c>
      <c r="E623" s="598" t="s">
        <v>321</v>
      </c>
      <c r="F623" s="598" t="s">
        <v>3309</v>
      </c>
      <c r="G623" s="598" t="s">
        <v>3309</v>
      </c>
      <c r="H623" s="598" t="s">
        <v>3309</v>
      </c>
      <c r="I623" s="598" t="s">
        <v>3309</v>
      </c>
      <c r="J623" s="598" t="s">
        <v>3309</v>
      </c>
      <c r="K623" s="598" t="s">
        <v>321</v>
      </c>
      <c r="L623" s="598" t="s">
        <v>321</v>
      </c>
      <c r="M623" s="598" t="s">
        <v>3309</v>
      </c>
      <c r="N623" s="598" t="s">
        <v>3309</v>
      </c>
      <c r="O623" s="598" t="s">
        <v>3309</v>
      </c>
      <c r="P623" s="598" t="s">
        <v>3309</v>
      </c>
      <c r="Q623" s="598" t="s">
        <v>3309</v>
      </c>
      <c r="R623" s="598" t="s">
        <v>321</v>
      </c>
      <c r="S623" s="598" t="s">
        <v>321</v>
      </c>
      <c r="T623" s="598" t="s">
        <v>3309</v>
      </c>
      <c r="U623" s="598" t="s">
        <v>3309</v>
      </c>
      <c r="V623" s="598" t="s">
        <v>3309</v>
      </c>
      <c r="W623" s="598" t="s">
        <v>3309</v>
      </c>
      <c r="X623" s="598" t="s">
        <v>3309</v>
      </c>
      <c r="Y623" s="598" t="s">
        <v>321</v>
      </c>
      <c r="Z623" s="598" t="s">
        <v>321</v>
      </c>
      <c r="AA623" s="598" t="s">
        <v>3309</v>
      </c>
      <c r="AB623" s="598" t="s">
        <v>3309</v>
      </c>
      <c r="AC623" s="598" t="s">
        <v>3309</v>
      </c>
      <c r="AD623" s="598" t="s">
        <v>3309</v>
      </c>
      <c r="AE623" s="598" t="s">
        <v>3309</v>
      </c>
      <c r="AF623" s="598" t="s">
        <v>321</v>
      </c>
      <c r="AG623" s="598" t="s">
        <v>321</v>
      </c>
      <c r="AH623" s="598" t="s">
        <v>3309</v>
      </c>
      <c r="AI623" s="598" t="s">
        <v>321</v>
      </c>
      <c r="AJ623" s="599">
        <v>21</v>
      </c>
      <c r="AK623" s="600">
        <v>21</v>
      </c>
      <c r="AL623" s="601">
        <v>0</v>
      </c>
      <c r="AM623" s="601">
        <v>0</v>
      </c>
      <c r="AN623" s="599">
        <v>21</v>
      </c>
    </row>
    <row r="624" spans="1:40" ht="16.5" customHeight="1">
      <c r="A624" s="598" t="s">
        <v>3337</v>
      </c>
      <c r="B624" s="598" t="s">
        <v>3339</v>
      </c>
      <c r="C624" s="598" t="s">
        <v>583</v>
      </c>
      <c r="D624" s="598" t="s">
        <v>584</v>
      </c>
      <c r="E624" s="598" t="s">
        <v>321</v>
      </c>
      <c r="F624" s="598" t="s">
        <v>3309</v>
      </c>
      <c r="G624" s="598" t="s">
        <v>3309</v>
      </c>
      <c r="H624" s="598" t="s">
        <v>3309</v>
      </c>
      <c r="I624" s="598" t="s">
        <v>3309</v>
      </c>
      <c r="J624" s="598" t="s">
        <v>3309</v>
      </c>
      <c r="K624" s="598" t="s">
        <v>321</v>
      </c>
      <c r="L624" s="598" t="s">
        <v>321</v>
      </c>
      <c r="M624" s="598" t="s">
        <v>3309</v>
      </c>
      <c r="N624" s="598" t="s">
        <v>3309</v>
      </c>
      <c r="O624" s="598" t="s">
        <v>3309</v>
      </c>
      <c r="P624" s="598" t="s">
        <v>3309</v>
      </c>
      <c r="Q624" s="598" t="s">
        <v>3309</v>
      </c>
      <c r="R624" s="598" t="s">
        <v>321</v>
      </c>
      <c r="S624" s="598" t="s">
        <v>321</v>
      </c>
      <c r="T624" s="598" t="s">
        <v>3309</v>
      </c>
      <c r="U624" s="598" t="s">
        <v>3309</v>
      </c>
      <c r="V624" s="598" t="s">
        <v>3309</v>
      </c>
      <c r="W624" s="598" t="s">
        <v>3309</v>
      </c>
      <c r="X624" s="598" t="s">
        <v>3309</v>
      </c>
      <c r="Y624" s="598" t="s">
        <v>321</v>
      </c>
      <c r="Z624" s="598" t="s">
        <v>321</v>
      </c>
      <c r="AA624" s="598" t="s">
        <v>3309</v>
      </c>
      <c r="AB624" s="598" t="s">
        <v>3309</v>
      </c>
      <c r="AC624" s="598" t="s">
        <v>3309</v>
      </c>
      <c r="AD624" s="598" t="s">
        <v>3309</v>
      </c>
      <c r="AE624" s="598" t="s">
        <v>3309</v>
      </c>
      <c r="AF624" s="598" t="s">
        <v>321</v>
      </c>
      <c r="AG624" s="598" t="s">
        <v>321</v>
      </c>
      <c r="AH624" s="598" t="s">
        <v>3309</v>
      </c>
      <c r="AI624" s="598" t="s">
        <v>321</v>
      </c>
      <c r="AJ624" s="599">
        <v>21</v>
      </c>
      <c r="AK624" s="600">
        <v>21</v>
      </c>
      <c r="AL624" s="601">
        <v>0</v>
      </c>
      <c r="AM624" s="601">
        <v>0</v>
      </c>
      <c r="AN624" s="599">
        <v>21</v>
      </c>
    </row>
    <row r="625" spans="1:40" ht="16.5" customHeight="1">
      <c r="A625" s="598" t="s">
        <v>3337</v>
      </c>
      <c r="B625" s="598" t="s">
        <v>3339</v>
      </c>
      <c r="C625" s="598" t="s">
        <v>1099</v>
      </c>
      <c r="D625" s="598" t="s">
        <v>1100</v>
      </c>
      <c r="E625" s="598" t="s">
        <v>321</v>
      </c>
      <c r="F625" s="598" t="s">
        <v>3309</v>
      </c>
      <c r="G625" s="598" t="s">
        <v>3309</v>
      </c>
      <c r="H625" s="598" t="s">
        <v>3309</v>
      </c>
      <c r="I625" s="598" t="s">
        <v>3309</v>
      </c>
      <c r="J625" s="598" t="s">
        <v>3309</v>
      </c>
      <c r="K625" s="598" t="s">
        <v>321</v>
      </c>
      <c r="L625" s="598" t="s">
        <v>321</v>
      </c>
      <c r="M625" s="598" t="s">
        <v>3309</v>
      </c>
      <c r="N625" s="598" t="s">
        <v>3309</v>
      </c>
      <c r="O625" s="598" t="s">
        <v>3309</v>
      </c>
      <c r="P625" s="598" t="s">
        <v>3309</v>
      </c>
      <c r="Q625" s="598" t="s">
        <v>3309</v>
      </c>
      <c r="R625" s="598" t="s">
        <v>321</v>
      </c>
      <c r="S625" s="598" t="s">
        <v>321</v>
      </c>
      <c r="T625" s="598" t="s">
        <v>3309</v>
      </c>
      <c r="U625" s="598" t="s">
        <v>3309</v>
      </c>
      <c r="V625" s="598" t="s">
        <v>3309</v>
      </c>
      <c r="W625" s="598" t="s">
        <v>3309</v>
      </c>
      <c r="X625" s="598" t="s">
        <v>3309</v>
      </c>
      <c r="Y625" s="598" t="s">
        <v>321</v>
      </c>
      <c r="Z625" s="598" t="s">
        <v>321</v>
      </c>
      <c r="AA625" s="598" t="s">
        <v>3309</v>
      </c>
      <c r="AB625" s="598" t="s">
        <v>3309</v>
      </c>
      <c r="AC625" s="598" t="s">
        <v>3309</v>
      </c>
      <c r="AD625" s="598" t="s">
        <v>3309</v>
      </c>
      <c r="AE625" s="598" t="s">
        <v>3309</v>
      </c>
      <c r="AF625" s="598" t="s">
        <v>321</v>
      </c>
      <c r="AG625" s="598" t="s">
        <v>321</v>
      </c>
      <c r="AH625" s="598" t="s">
        <v>3309</v>
      </c>
      <c r="AI625" s="598" t="s">
        <v>321</v>
      </c>
      <c r="AJ625" s="599">
        <v>21</v>
      </c>
      <c r="AK625" s="600">
        <v>21</v>
      </c>
      <c r="AL625" s="601">
        <v>0</v>
      </c>
      <c r="AM625" s="601">
        <v>0</v>
      </c>
      <c r="AN625" s="599">
        <v>21</v>
      </c>
    </row>
    <row r="626" spans="1:40" ht="16.5" customHeight="1">
      <c r="A626" s="598" t="s">
        <v>3337</v>
      </c>
      <c r="B626" s="598" t="s">
        <v>3339</v>
      </c>
      <c r="C626" s="598" t="s">
        <v>671</v>
      </c>
      <c r="D626" s="598" t="s">
        <v>672</v>
      </c>
      <c r="E626" s="598" t="s">
        <v>321</v>
      </c>
      <c r="F626" s="598" t="s">
        <v>3309</v>
      </c>
      <c r="G626" s="598" t="s">
        <v>3309</v>
      </c>
      <c r="H626" s="598" t="s">
        <v>3309</v>
      </c>
      <c r="I626" s="598" t="s">
        <v>3309</v>
      </c>
      <c r="J626" s="598" t="s">
        <v>3309</v>
      </c>
      <c r="K626" s="598" t="s">
        <v>321</v>
      </c>
      <c r="L626" s="598" t="s">
        <v>321</v>
      </c>
      <c r="M626" s="598" t="s">
        <v>3309</v>
      </c>
      <c r="N626" s="598" t="s">
        <v>3309</v>
      </c>
      <c r="O626" s="598" t="s">
        <v>3309</v>
      </c>
      <c r="P626" s="598" t="s">
        <v>3309</v>
      </c>
      <c r="Q626" s="598" t="s">
        <v>3309</v>
      </c>
      <c r="R626" s="598" t="s">
        <v>321</v>
      </c>
      <c r="S626" s="598" t="s">
        <v>321</v>
      </c>
      <c r="T626" s="598" t="s">
        <v>3309</v>
      </c>
      <c r="U626" s="598" t="s">
        <v>3309</v>
      </c>
      <c r="V626" s="598" t="s">
        <v>3309</v>
      </c>
      <c r="W626" s="598" t="s">
        <v>3309</v>
      </c>
      <c r="X626" s="598" t="s">
        <v>3309</v>
      </c>
      <c r="Y626" s="598" t="s">
        <v>321</v>
      </c>
      <c r="Z626" s="598" t="s">
        <v>321</v>
      </c>
      <c r="AA626" s="598" t="s">
        <v>3309</v>
      </c>
      <c r="AB626" s="598" t="s">
        <v>3309</v>
      </c>
      <c r="AC626" s="598" t="s">
        <v>3309</v>
      </c>
      <c r="AD626" s="598" t="s">
        <v>3309</v>
      </c>
      <c r="AE626" s="598" t="s">
        <v>3309</v>
      </c>
      <c r="AF626" s="598" t="s">
        <v>321</v>
      </c>
      <c r="AG626" s="598" t="s">
        <v>321</v>
      </c>
      <c r="AH626" s="598" t="s">
        <v>3309</v>
      </c>
      <c r="AI626" s="598" t="s">
        <v>321</v>
      </c>
      <c r="AJ626" s="599">
        <v>21</v>
      </c>
      <c r="AK626" s="600">
        <v>21</v>
      </c>
      <c r="AL626" s="601">
        <v>0</v>
      </c>
      <c r="AM626" s="601">
        <v>0</v>
      </c>
      <c r="AN626" s="599">
        <v>21</v>
      </c>
    </row>
    <row r="627" spans="1:40" ht="16.5" customHeight="1">
      <c r="A627" s="598" t="s">
        <v>3337</v>
      </c>
      <c r="B627" s="598" t="s">
        <v>3340</v>
      </c>
      <c r="C627" s="598" t="s">
        <v>1897</v>
      </c>
      <c r="D627" s="598" t="s">
        <v>1898</v>
      </c>
      <c r="E627" s="598" t="s">
        <v>321</v>
      </c>
      <c r="F627" s="598" t="s">
        <v>3309</v>
      </c>
      <c r="G627" s="598" t="s">
        <v>3309</v>
      </c>
      <c r="H627" s="598" t="s">
        <v>3309</v>
      </c>
      <c r="I627" s="598" t="s">
        <v>3309</v>
      </c>
      <c r="J627" s="598" t="s">
        <v>3309</v>
      </c>
      <c r="K627" s="598" t="s">
        <v>321</v>
      </c>
      <c r="L627" s="598" t="s">
        <v>321</v>
      </c>
      <c r="M627" s="598" t="s">
        <v>3309</v>
      </c>
      <c r="N627" s="598" t="s">
        <v>3309</v>
      </c>
      <c r="O627" s="598" t="s">
        <v>3309</v>
      </c>
      <c r="P627" s="598" t="s">
        <v>3309</v>
      </c>
      <c r="Q627" s="598" t="s">
        <v>3309</v>
      </c>
      <c r="R627" s="598" t="s">
        <v>321</v>
      </c>
      <c r="S627" s="598" t="s">
        <v>321</v>
      </c>
      <c r="T627" s="598" t="s">
        <v>3309</v>
      </c>
      <c r="U627" s="598" t="s">
        <v>3309</v>
      </c>
      <c r="V627" s="598" t="s">
        <v>3309</v>
      </c>
      <c r="W627" s="598" t="s">
        <v>3309</v>
      </c>
      <c r="X627" s="598" t="s">
        <v>3309</v>
      </c>
      <c r="Y627" s="598" t="s">
        <v>321</v>
      </c>
      <c r="Z627" s="598" t="s">
        <v>321</v>
      </c>
      <c r="AA627" s="598" t="s">
        <v>3312</v>
      </c>
      <c r="AB627" s="598" t="s">
        <v>3312</v>
      </c>
      <c r="AC627" s="598" t="s">
        <v>3312</v>
      </c>
      <c r="AD627" s="598" t="s">
        <v>3312</v>
      </c>
      <c r="AE627" s="598" t="s">
        <v>3309</v>
      </c>
      <c r="AF627" s="598" t="s">
        <v>321</v>
      </c>
      <c r="AG627" s="598" t="s">
        <v>321</v>
      </c>
      <c r="AH627" s="598" t="s">
        <v>3309</v>
      </c>
      <c r="AI627" s="598" t="s">
        <v>321</v>
      </c>
      <c r="AJ627" s="599">
        <v>21</v>
      </c>
      <c r="AK627" s="600">
        <v>17</v>
      </c>
      <c r="AL627" s="602">
        <v>4</v>
      </c>
      <c r="AM627" s="601">
        <v>0</v>
      </c>
      <c r="AN627" s="599">
        <v>21</v>
      </c>
    </row>
    <row r="628" spans="1:40" ht="16.5" customHeight="1">
      <c r="A628" s="598" t="s">
        <v>3337</v>
      </c>
      <c r="B628" s="598" t="s">
        <v>3340</v>
      </c>
      <c r="C628" s="598" t="s">
        <v>1832</v>
      </c>
      <c r="D628" s="598" t="s">
        <v>1833</v>
      </c>
      <c r="E628" s="598" t="s">
        <v>321</v>
      </c>
      <c r="F628" s="598" t="s">
        <v>3309</v>
      </c>
      <c r="G628" s="598" t="s">
        <v>3309</v>
      </c>
      <c r="H628" s="598" t="s">
        <v>3309</v>
      </c>
      <c r="I628" s="598" t="s">
        <v>3309</v>
      </c>
      <c r="J628" s="598" t="s">
        <v>3309</v>
      </c>
      <c r="K628" s="598" t="s">
        <v>321</v>
      </c>
      <c r="L628" s="598" t="s">
        <v>321</v>
      </c>
      <c r="M628" s="598" t="s">
        <v>3309</v>
      </c>
      <c r="N628" s="598" t="s">
        <v>3309</v>
      </c>
      <c r="O628" s="598" t="s">
        <v>3309</v>
      </c>
      <c r="P628" s="598" t="s">
        <v>3309</v>
      </c>
      <c r="Q628" s="598" t="s">
        <v>3309</v>
      </c>
      <c r="R628" s="598" t="s">
        <v>321</v>
      </c>
      <c r="S628" s="598" t="s">
        <v>321</v>
      </c>
      <c r="T628" s="598" t="s">
        <v>3309</v>
      </c>
      <c r="U628" s="598" t="s">
        <v>3309</v>
      </c>
      <c r="V628" s="598" t="s">
        <v>3309</v>
      </c>
      <c r="W628" s="598" t="s">
        <v>3309</v>
      </c>
      <c r="X628" s="598" t="s">
        <v>3309</v>
      </c>
      <c r="Y628" s="598" t="s">
        <v>321</v>
      </c>
      <c r="Z628" s="598" t="s">
        <v>321</v>
      </c>
      <c r="AA628" s="598" t="s">
        <v>3309</v>
      </c>
      <c r="AB628" s="598" t="s">
        <v>3309</v>
      </c>
      <c r="AC628" s="598" t="s">
        <v>3309</v>
      </c>
      <c r="AD628" s="598" t="s">
        <v>3309</v>
      </c>
      <c r="AE628" s="598" t="s">
        <v>3309</v>
      </c>
      <c r="AF628" s="598" t="s">
        <v>321</v>
      </c>
      <c r="AG628" s="598" t="s">
        <v>321</v>
      </c>
      <c r="AH628" s="598" t="s">
        <v>3309</v>
      </c>
      <c r="AI628" s="598" t="s">
        <v>321</v>
      </c>
      <c r="AJ628" s="599">
        <v>21</v>
      </c>
      <c r="AK628" s="600">
        <v>21</v>
      </c>
      <c r="AL628" s="601">
        <v>0</v>
      </c>
      <c r="AM628" s="601">
        <v>0</v>
      </c>
      <c r="AN628" s="599">
        <v>21</v>
      </c>
    </row>
    <row r="629" spans="1:40" ht="16.5" customHeight="1">
      <c r="A629" s="598" t="s">
        <v>3337</v>
      </c>
      <c r="B629" s="598" t="s">
        <v>3340</v>
      </c>
      <c r="C629" s="598" t="s">
        <v>2160</v>
      </c>
      <c r="D629" s="598" t="s">
        <v>2161</v>
      </c>
      <c r="E629" s="598" t="s">
        <v>321</v>
      </c>
      <c r="F629" s="598" t="s">
        <v>3309</v>
      </c>
      <c r="G629" s="598" t="s">
        <v>3309</v>
      </c>
      <c r="H629" s="598" t="s">
        <v>3309</v>
      </c>
      <c r="I629" s="598" t="s">
        <v>3309</v>
      </c>
      <c r="J629" s="598" t="s">
        <v>3309</v>
      </c>
      <c r="K629" s="598" t="s">
        <v>321</v>
      </c>
      <c r="L629" s="598" t="s">
        <v>321</v>
      </c>
      <c r="M629" s="598" t="s">
        <v>3309</v>
      </c>
      <c r="N629" s="598" t="s">
        <v>3309</v>
      </c>
      <c r="O629" s="598" t="s">
        <v>3309</v>
      </c>
      <c r="P629" s="598" t="s">
        <v>3309</v>
      </c>
      <c r="Q629" s="598" t="s">
        <v>3309</v>
      </c>
      <c r="R629" s="598" t="s">
        <v>321</v>
      </c>
      <c r="S629" s="598" t="s">
        <v>321</v>
      </c>
      <c r="T629" s="598" t="s">
        <v>3309</v>
      </c>
      <c r="U629" s="598" t="s">
        <v>3309</v>
      </c>
      <c r="V629" s="598" t="s">
        <v>3309</v>
      </c>
      <c r="W629" s="598" t="s">
        <v>3309</v>
      </c>
      <c r="X629" s="598" t="s">
        <v>3309</v>
      </c>
      <c r="Y629" s="598" t="s">
        <v>321</v>
      </c>
      <c r="Z629" s="598" t="s">
        <v>321</v>
      </c>
      <c r="AA629" s="598" t="s">
        <v>3312</v>
      </c>
      <c r="AB629" s="598" t="s">
        <v>3312</v>
      </c>
      <c r="AC629" s="598" t="s">
        <v>3309</v>
      </c>
      <c r="AD629" s="598" t="s">
        <v>3309</v>
      </c>
      <c r="AE629" s="598" t="s">
        <v>3309</v>
      </c>
      <c r="AF629" s="598" t="s">
        <v>321</v>
      </c>
      <c r="AG629" s="598" t="s">
        <v>321</v>
      </c>
      <c r="AH629" s="598" t="s">
        <v>3309</v>
      </c>
      <c r="AI629" s="598" t="s">
        <v>321</v>
      </c>
      <c r="AJ629" s="599">
        <v>21</v>
      </c>
      <c r="AK629" s="600">
        <v>19</v>
      </c>
      <c r="AL629" s="602">
        <v>2</v>
      </c>
      <c r="AM629" s="601">
        <v>0</v>
      </c>
      <c r="AN629" s="599">
        <v>21</v>
      </c>
    </row>
    <row r="630" spans="1:40" ht="16.5" customHeight="1">
      <c r="A630" s="598" t="s">
        <v>3337</v>
      </c>
      <c r="B630" s="598" t="s">
        <v>3340</v>
      </c>
      <c r="C630" s="598" t="s">
        <v>909</v>
      </c>
      <c r="D630" s="598" t="s">
        <v>910</v>
      </c>
      <c r="E630" s="598" t="s">
        <v>321</v>
      </c>
      <c r="F630" s="598" t="s">
        <v>3309</v>
      </c>
      <c r="G630" s="598" t="s">
        <v>3309</v>
      </c>
      <c r="H630" s="598" t="s">
        <v>3309</v>
      </c>
      <c r="I630" s="598" t="s">
        <v>3309</v>
      </c>
      <c r="J630" s="598" t="s">
        <v>3309</v>
      </c>
      <c r="K630" s="598" t="s">
        <v>321</v>
      </c>
      <c r="L630" s="598" t="s">
        <v>321</v>
      </c>
      <c r="M630" s="598" t="s">
        <v>3309</v>
      </c>
      <c r="N630" s="598" t="s">
        <v>3309</v>
      </c>
      <c r="O630" s="598" t="s">
        <v>3309</v>
      </c>
      <c r="P630" s="598" t="s">
        <v>3309</v>
      </c>
      <c r="Q630" s="598" t="s">
        <v>3309</v>
      </c>
      <c r="R630" s="598" t="s">
        <v>321</v>
      </c>
      <c r="S630" s="598" t="s">
        <v>321</v>
      </c>
      <c r="T630" s="598" t="s">
        <v>3309</v>
      </c>
      <c r="U630" s="598" t="s">
        <v>3309</v>
      </c>
      <c r="V630" s="598" t="s">
        <v>3309</v>
      </c>
      <c r="W630" s="598" t="s">
        <v>3309</v>
      </c>
      <c r="X630" s="598" t="s">
        <v>3309</v>
      </c>
      <c r="Y630" s="598" t="s">
        <v>321</v>
      </c>
      <c r="Z630" s="598" t="s">
        <v>321</v>
      </c>
      <c r="AA630" s="598" t="s">
        <v>3309</v>
      </c>
      <c r="AB630" s="598" t="s">
        <v>3309</v>
      </c>
      <c r="AC630" s="598" t="s">
        <v>3309</v>
      </c>
      <c r="AD630" s="598" t="s">
        <v>3309</v>
      </c>
      <c r="AE630" s="598" t="s">
        <v>3309</v>
      </c>
      <c r="AF630" s="598" t="s">
        <v>321</v>
      </c>
      <c r="AG630" s="598" t="s">
        <v>321</v>
      </c>
      <c r="AH630" s="598" t="s">
        <v>3309</v>
      </c>
      <c r="AI630" s="598" t="s">
        <v>321</v>
      </c>
      <c r="AJ630" s="599">
        <v>21</v>
      </c>
      <c r="AK630" s="600">
        <v>21</v>
      </c>
      <c r="AL630" s="601">
        <v>0</v>
      </c>
      <c r="AM630" s="601">
        <v>0</v>
      </c>
      <c r="AN630" s="599">
        <v>21</v>
      </c>
    </row>
    <row r="631" spans="1:40" ht="16.5" customHeight="1">
      <c r="A631" s="598" t="s">
        <v>3337</v>
      </c>
      <c r="B631" s="598" t="s">
        <v>3340</v>
      </c>
      <c r="C631" s="598" t="s">
        <v>1934</v>
      </c>
      <c r="D631" s="598" t="s">
        <v>1935</v>
      </c>
      <c r="E631" s="598" t="s">
        <v>321</v>
      </c>
      <c r="F631" s="598" t="s">
        <v>3309</v>
      </c>
      <c r="G631" s="598" t="s">
        <v>3309</v>
      </c>
      <c r="H631" s="598" t="s">
        <v>3309</v>
      </c>
      <c r="I631" s="598" t="s">
        <v>3309</v>
      </c>
      <c r="J631" s="598" t="s">
        <v>3309</v>
      </c>
      <c r="K631" s="598" t="s">
        <v>321</v>
      </c>
      <c r="L631" s="598" t="s">
        <v>321</v>
      </c>
      <c r="M631" s="598" t="s">
        <v>3309</v>
      </c>
      <c r="N631" s="598" t="s">
        <v>3309</v>
      </c>
      <c r="O631" s="598" t="s">
        <v>3309</v>
      </c>
      <c r="P631" s="598" t="s">
        <v>3309</v>
      </c>
      <c r="Q631" s="598" t="s">
        <v>3309</v>
      </c>
      <c r="R631" s="598" t="s">
        <v>321</v>
      </c>
      <c r="S631" s="598" t="s">
        <v>321</v>
      </c>
      <c r="T631" s="598" t="s">
        <v>3309</v>
      </c>
      <c r="U631" s="598" t="s">
        <v>3309</v>
      </c>
      <c r="V631" s="598" t="s">
        <v>3309</v>
      </c>
      <c r="W631" s="598" t="s">
        <v>3309</v>
      </c>
      <c r="X631" s="598" t="s">
        <v>3309</v>
      </c>
      <c r="Y631" s="598" t="s">
        <v>321</v>
      </c>
      <c r="Z631" s="598" t="s">
        <v>321</v>
      </c>
      <c r="AA631" s="598" t="s">
        <v>3309</v>
      </c>
      <c r="AB631" s="598" t="s">
        <v>3309</v>
      </c>
      <c r="AC631" s="598" t="s">
        <v>3309</v>
      </c>
      <c r="AD631" s="598" t="s">
        <v>3309</v>
      </c>
      <c r="AE631" s="598" t="s">
        <v>3309</v>
      </c>
      <c r="AF631" s="598" t="s">
        <v>321</v>
      </c>
      <c r="AG631" s="598" t="s">
        <v>321</v>
      </c>
      <c r="AH631" s="598" t="s">
        <v>3309</v>
      </c>
      <c r="AI631" s="598" t="s">
        <v>321</v>
      </c>
      <c r="AJ631" s="599">
        <v>21</v>
      </c>
      <c r="AK631" s="600">
        <v>21</v>
      </c>
      <c r="AL631" s="601">
        <v>0</v>
      </c>
      <c r="AM631" s="601">
        <v>0</v>
      </c>
      <c r="AN631" s="599">
        <v>21</v>
      </c>
    </row>
    <row r="632" spans="1:40" ht="16.5" customHeight="1">
      <c r="A632" s="598" t="s">
        <v>3337</v>
      </c>
      <c r="B632" s="598" t="s">
        <v>3340</v>
      </c>
      <c r="C632" s="598" t="s">
        <v>2422</v>
      </c>
      <c r="D632" s="598" t="s">
        <v>2413</v>
      </c>
      <c r="E632" s="598" t="s">
        <v>321</v>
      </c>
      <c r="F632" s="598" t="s">
        <v>3309</v>
      </c>
      <c r="G632" s="598" t="s">
        <v>3309</v>
      </c>
      <c r="H632" s="598" t="s">
        <v>3309</v>
      </c>
      <c r="I632" s="598" t="s">
        <v>3309</v>
      </c>
      <c r="J632" s="598" t="s">
        <v>3309</v>
      </c>
      <c r="K632" s="598" t="s">
        <v>321</v>
      </c>
      <c r="L632" s="598" t="s">
        <v>321</v>
      </c>
      <c r="M632" s="598" t="s">
        <v>3309</v>
      </c>
      <c r="N632" s="598" t="s">
        <v>3309</v>
      </c>
      <c r="O632" s="598" t="s">
        <v>3309</v>
      </c>
      <c r="P632" s="598" t="s">
        <v>3309</v>
      </c>
      <c r="Q632" s="598" t="s">
        <v>3309</v>
      </c>
      <c r="R632" s="598" t="s">
        <v>321</v>
      </c>
      <c r="S632" s="598" t="s">
        <v>321</v>
      </c>
      <c r="T632" s="598" t="s">
        <v>3309</v>
      </c>
      <c r="U632" s="598" t="s">
        <v>3309</v>
      </c>
      <c r="V632" s="598" t="s">
        <v>3309</v>
      </c>
      <c r="W632" s="598" t="s">
        <v>3309</v>
      </c>
      <c r="X632" s="598" t="s">
        <v>3309</v>
      </c>
      <c r="Y632" s="598" t="s">
        <v>321</v>
      </c>
      <c r="Z632" s="598" t="s">
        <v>321</v>
      </c>
      <c r="AA632" s="598" t="s">
        <v>3309</v>
      </c>
      <c r="AB632" s="598" t="s">
        <v>3309</v>
      </c>
      <c r="AC632" s="598" t="s">
        <v>3309</v>
      </c>
      <c r="AD632" s="598" t="s">
        <v>3309</v>
      </c>
      <c r="AE632" s="598" t="s">
        <v>3309</v>
      </c>
      <c r="AF632" s="598" t="s">
        <v>321</v>
      </c>
      <c r="AG632" s="598" t="s">
        <v>321</v>
      </c>
      <c r="AH632" s="598" t="s">
        <v>3309</v>
      </c>
      <c r="AI632" s="598" t="s">
        <v>321</v>
      </c>
      <c r="AJ632" s="599">
        <v>21</v>
      </c>
      <c r="AK632" s="600">
        <v>21</v>
      </c>
      <c r="AL632" s="601">
        <v>0</v>
      </c>
      <c r="AM632" s="601">
        <v>0</v>
      </c>
      <c r="AN632" s="599">
        <v>21</v>
      </c>
    </row>
    <row r="633" spans="1:40" ht="16.5" customHeight="1">
      <c r="A633" s="598" t="s">
        <v>3337</v>
      </c>
      <c r="B633" s="598" t="s">
        <v>3340</v>
      </c>
      <c r="C633" s="598" t="s">
        <v>1960</v>
      </c>
      <c r="D633" s="598" t="s">
        <v>1961</v>
      </c>
      <c r="E633" s="598" t="s">
        <v>321</v>
      </c>
      <c r="F633" s="598" t="s">
        <v>3309</v>
      </c>
      <c r="G633" s="598" t="s">
        <v>3309</v>
      </c>
      <c r="H633" s="598" t="s">
        <v>3309</v>
      </c>
      <c r="I633" s="598" t="s">
        <v>3309</v>
      </c>
      <c r="J633" s="598" t="s">
        <v>3309</v>
      </c>
      <c r="K633" s="598" t="s">
        <v>321</v>
      </c>
      <c r="L633" s="598" t="s">
        <v>321</v>
      </c>
      <c r="M633" s="598" t="s">
        <v>3309</v>
      </c>
      <c r="N633" s="598" t="s">
        <v>3309</v>
      </c>
      <c r="O633" s="598" t="s">
        <v>3309</v>
      </c>
      <c r="P633" s="598" t="s">
        <v>3309</v>
      </c>
      <c r="Q633" s="598" t="s">
        <v>3309</v>
      </c>
      <c r="R633" s="598" t="s">
        <v>321</v>
      </c>
      <c r="S633" s="598" t="s">
        <v>321</v>
      </c>
      <c r="T633" s="598" t="s">
        <v>3309</v>
      </c>
      <c r="U633" s="598" t="s">
        <v>3309</v>
      </c>
      <c r="V633" s="598" t="s">
        <v>3309</v>
      </c>
      <c r="W633" s="598" t="s">
        <v>3309</v>
      </c>
      <c r="X633" s="598" t="s">
        <v>3309</v>
      </c>
      <c r="Y633" s="598" t="s">
        <v>321</v>
      </c>
      <c r="Z633" s="598" t="s">
        <v>321</v>
      </c>
      <c r="AA633" s="598" t="s">
        <v>3309</v>
      </c>
      <c r="AB633" s="598" t="s">
        <v>3309</v>
      </c>
      <c r="AC633" s="598" t="s">
        <v>3309</v>
      </c>
      <c r="AD633" s="598" t="s">
        <v>3309</v>
      </c>
      <c r="AE633" s="598" t="s">
        <v>3312</v>
      </c>
      <c r="AF633" s="598" t="s">
        <v>321</v>
      </c>
      <c r="AG633" s="598" t="s">
        <v>321</v>
      </c>
      <c r="AH633" s="598" t="s">
        <v>3312</v>
      </c>
      <c r="AI633" s="598" t="s">
        <v>321</v>
      </c>
      <c r="AJ633" s="599">
        <v>21</v>
      </c>
      <c r="AK633" s="600">
        <v>19</v>
      </c>
      <c r="AL633" s="602">
        <v>2</v>
      </c>
      <c r="AM633" s="601">
        <v>0</v>
      </c>
      <c r="AN633" s="599">
        <v>21</v>
      </c>
    </row>
    <row r="634" spans="1:40" ht="16.5" customHeight="1">
      <c r="A634" s="598" t="s">
        <v>3337</v>
      </c>
      <c r="B634" s="598" t="s">
        <v>3340</v>
      </c>
      <c r="C634" s="598" t="s">
        <v>801</v>
      </c>
      <c r="D634" s="598" t="s">
        <v>802</v>
      </c>
      <c r="E634" s="598" t="s">
        <v>321</v>
      </c>
      <c r="F634" s="598" t="s">
        <v>3309</v>
      </c>
      <c r="G634" s="598" t="s">
        <v>3309</v>
      </c>
      <c r="H634" s="598" t="s">
        <v>3309</v>
      </c>
      <c r="I634" s="598" t="s">
        <v>3309</v>
      </c>
      <c r="J634" s="598" t="s">
        <v>3309</v>
      </c>
      <c r="K634" s="598" t="s">
        <v>321</v>
      </c>
      <c r="L634" s="598" t="s">
        <v>321</v>
      </c>
      <c r="M634" s="598" t="s">
        <v>3309</v>
      </c>
      <c r="N634" s="598" t="s">
        <v>3309</v>
      </c>
      <c r="O634" s="598" t="s">
        <v>3309</v>
      </c>
      <c r="P634" s="598" t="s">
        <v>3309</v>
      </c>
      <c r="Q634" s="598" t="s">
        <v>3309</v>
      </c>
      <c r="R634" s="598" t="s">
        <v>321</v>
      </c>
      <c r="S634" s="598" t="s">
        <v>321</v>
      </c>
      <c r="T634" s="598" t="s">
        <v>3309</v>
      </c>
      <c r="U634" s="598" t="s">
        <v>3309</v>
      </c>
      <c r="V634" s="598" t="s">
        <v>3309</v>
      </c>
      <c r="W634" s="598" t="s">
        <v>3309</v>
      </c>
      <c r="X634" s="598" t="s">
        <v>3309</v>
      </c>
      <c r="Y634" s="598" t="s">
        <v>321</v>
      </c>
      <c r="Z634" s="598" t="s">
        <v>321</v>
      </c>
      <c r="AA634" s="598" t="s">
        <v>3309</v>
      </c>
      <c r="AB634" s="598" t="s">
        <v>3309</v>
      </c>
      <c r="AC634" s="598" t="s">
        <v>3309</v>
      </c>
      <c r="AD634" s="598" t="s">
        <v>3309</v>
      </c>
      <c r="AE634" s="598" t="s">
        <v>3309</v>
      </c>
      <c r="AF634" s="598" t="s">
        <v>321</v>
      </c>
      <c r="AG634" s="598" t="s">
        <v>321</v>
      </c>
      <c r="AH634" s="598" t="s">
        <v>3309</v>
      </c>
      <c r="AI634" s="598" t="s">
        <v>321</v>
      </c>
      <c r="AJ634" s="599">
        <v>21</v>
      </c>
      <c r="AK634" s="600">
        <v>21</v>
      </c>
      <c r="AL634" s="601">
        <v>0</v>
      </c>
      <c r="AM634" s="601">
        <v>0</v>
      </c>
      <c r="AN634" s="599">
        <v>21</v>
      </c>
    </row>
    <row r="635" spans="1:40" ht="16.5" customHeight="1">
      <c r="A635" s="598" t="s">
        <v>3337</v>
      </c>
      <c r="B635" s="598" t="s">
        <v>3341</v>
      </c>
      <c r="C635" s="598" t="s">
        <v>649</v>
      </c>
      <c r="D635" s="598" t="s">
        <v>650</v>
      </c>
      <c r="E635" s="598" t="s">
        <v>321</v>
      </c>
      <c r="F635" s="598" t="s">
        <v>3309</v>
      </c>
      <c r="G635" s="598" t="s">
        <v>3309</v>
      </c>
      <c r="H635" s="598" t="s">
        <v>3309</v>
      </c>
      <c r="I635" s="598" t="s">
        <v>3309</v>
      </c>
      <c r="J635" s="598" t="s">
        <v>3309</v>
      </c>
      <c r="K635" s="598" t="s">
        <v>321</v>
      </c>
      <c r="L635" s="598" t="s">
        <v>321</v>
      </c>
      <c r="M635" s="598" t="s">
        <v>3309</v>
      </c>
      <c r="N635" s="598" t="s">
        <v>3309</v>
      </c>
      <c r="O635" s="598" t="s">
        <v>3309</v>
      </c>
      <c r="P635" s="598" t="s">
        <v>3309</v>
      </c>
      <c r="Q635" s="598" t="s">
        <v>3312</v>
      </c>
      <c r="R635" s="598" t="s">
        <v>321</v>
      </c>
      <c r="S635" s="598" t="s">
        <v>321</v>
      </c>
      <c r="T635" s="598" t="s">
        <v>3309</v>
      </c>
      <c r="U635" s="598" t="s">
        <v>3309</v>
      </c>
      <c r="V635" s="598" t="s">
        <v>3309</v>
      </c>
      <c r="W635" s="598" t="s">
        <v>3309</v>
      </c>
      <c r="X635" s="598" t="s">
        <v>3309</v>
      </c>
      <c r="Y635" s="598" t="s">
        <v>321</v>
      </c>
      <c r="Z635" s="598" t="s">
        <v>321</v>
      </c>
      <c r="AA635" s="598" t="s">
        <v>3309</v>
      </c>
      <c r="AB635" s="598" t="s">
        <v>3309</v>
      </c>
      <c r="AC635" s="598" t="s">
        <v>3309</v>
      </c>
      <c r="AD635" s="598" t="s">
        <v>3309</v>
      </c>
      <c r="AE635" s="598" t="s">
        <v>3309</v>
      </c>
      <c r="AF635" s="598" t="s">
        <v>321</v>
      </c>
      <c r="AG635" s="598" t="s">
        <v>321</v>
      </c>
      <c r="AH635" s="598" t="s">
        <v>3309</v>
      </c>
      <c r="AI635" s="598" t="s">
        <v>321</v>
      </c>
      <c r="AJ635" s="599">
        <v>21</v>
      </c>
      <c r="AK635" s="600">
        <v>20</v>
      </c>
      <c r="AL635" s="602">
        <v>1</v>
      </c>
      <c r="AM635" s="601">
        <v>0</v>
      </c>
      <c r="AN635" s="599">
        <v>21</v>
      </c>
    </row>
    <row r="636" spans="1:40" ht="16.5" customHeight="1">
      <c r="A636" s="598" t="s">
        <v>3337</v>
      </c>
      <c r="B636" s="598" t="s">
        <v>3341</v>
      </c>
      <c r="C636" s="598" t="s">
        <v>601</v>
      </c>
      <c r="D636" s="598" t="s">
        <v>602</v>
      </c>
      <c r="E636" s="598" t="s">
        <v>321</v>
      </c>
      <c r="F636" s="598" t="s">
        <v>3309</v>
      </c>
      <c r="G636" s="598" t="s">
        <v>3309</v>
      </c>
      <c r="H636" s="598" t="s">
        <v>3309</v>
      </c>
      <c r="I636" s="598" t="s">
        <v>3309</v>
      </c>
      <c r="J636" s="598" t="s">
        <v>3309</v>
      </c>
      <c r="K636" s="598" t="s">
        <v>321</v>
      </c>
      <c r="L636" s="598" t="s">
        <v>321</v>
      </c>
      <c r="M636" s="598" t="s">
        <v>3309</v>
      </c>
      <c r="N636" s="598" t="s">
        <v>3309</v>
      </c>
      <c r="O636" s="598" t="s">
        <v>3309</v>
      </c>
      <c r="P636" s="598" t="s">
        <v>3309</v>
      </c>
      <c r="Q636" s="598" t="s">
        <v>3309</v>
      </c>
      <c r="R636" s="598" t="s">
        <v>321</v>
      </c>
      <c r="S636" s="598" t="s">
        <v>321</v>
      </c>
      <c r="T636" s="598" t="s">
        <v>3313</v>
      </c>
      <c r="U636" s="598" t="s">
        <v>3313</v>
      </c>
      <c r="V636" s="598" t="s">
        <v>3313</v>
      </c>
      <c r="W636" s="598" t="s">
        <v>3312</v>
      </c>
      <c r="X636" s="598" t="s">
        <v>3312</v>
      </c>
      <c r="Y636" s="598" t="s">
        <v>321</v>
      </c>
      <c r="Z636" s="598" t="s">
        <v>321</v>
      </c>
      <c r="AA636" s="598" t="s">
        <v>3309</v>
      </c>
      <c r="AB636" s="598" t="s">
        <v>3309</v>
      </c>
      <c r="AC636" s="598" t="s">
        <v>3309</v>
      </c>
      <c r="AD636" s="598" t="s">
        <v>3309</v>
      </c>
      <c r="AE636" s="598" t="s">
        <v>3309</v>
      </c>
      <c r="AF636" s="598" t="s">
        <v>321</v>
      </c>
      <c r="AG636" s="598" t="s">
        <v>321</v>
      </c>
      <c r="AH636" s="598" t="s">
        <v>3309</v>
      </c>
      <c r="AI636" s="598" t="s">
        <v>321</v>
      </c>
      <c r="AJ636" s="599">
        <v>21</v>
      </c>
      <c r="AK636" s="600">
        <v>19</v>
      </c>
      <c r="AL636" s="602">
        <v>2</v>
      </c>
      <c r="AM636" s="601">
        <v>0</v>
      </c>
      <c r="AN636" s="599">
        <v>21</v>
      </c>
    </row>
    <row r="637" spans="1:40" ht="16.5" customHeight="1">
      <c r="A637" s="598" t="s">
        <v>3337</v>
      </c>
      <c r="B637" s="598" t="s">
        <v>3341</v>
      </c>
      <c r="C637" s="598" t="s">
        <v>1298</v>
      </c>
      <c r="D637" s="598" t="s">
        <v>1299</v>
      </c>
      <c r="E637" s="598" t="s">
        <v>321</v>
      </c>
      <c r="F637" s="598" t="s">
        <v>3309</v>
      </c>
      <c r="G637" s="598" t="s">
        <v>3309</v>
      </c>
      <c r="H637" s="598" t="s">
        <v>3309</v>
      </c>
      <c r="I637" s="598" t="s">
        <v>3309</v>
      </c>
      <c r="J637" s="598" t="s">
        <v>3309</v>
      </c>
      <c r="K637" s="598" t="s">
        <v>321</v>
      </c>
      <c r="L637" s="598" t="s">
        <v>321</v>
      </c>
      <c r="M637" s="598" t="s">
        <v>3309</v>
      </c>
      <c r="N637" s="598" t="s">
        <v>3309</v>
      </c>
      <c r="O637" s="598" t="s">
        <v>3309</v>
      </c>
      <c r="P637" s="598" t="s">
        <v>3309</v>
      </c>
      <c r="Q637" s="598" t="s">
        <v>3309</v>
      </c>
      <c r="R637" s="598" t="s">
        <v>321</v>
      </c>
      <c r="S637" s="598" t="s">
        <v>321</v>
      </c>
      <c r="T637" s="598" t="s">
        <v>3309</v>
      </c>
      <c r="U637" s="598" t="s">
        <v>3309</v>
      </c>
      <c r="V637" s="598" t="s">
        <v>3309</v>
      </c>
      <c r="W637" s="598" t="s">
        <v>3309</v>
      </c>
      <c r="X637" s="598" t="s">
        <v>3309</v>
      </c>
      <c r="Y637" s="598" t="s">
        <v>321</v>
      </c>
      <c r="Z637" s="598" t="s">
        <v>321</v>
      </c>
      <c r="AA637" s="598" t="s">
        <v>3309</v>
      </c>
      <c r="AB637" s="598" t="s">
        <v>3309</v>
      </c>
      <c r="AC637" s="598" t="s">
        <v>3309</v>
      </c>
      <c r="AD637" s="598" t="s">
        <v>3309</v>
      </c>
      <c r="AE637" s="598" t="s">
        <v>3309</v>
      </c>
      <c r="AF637" s="598" t="s">
        <v>321</v>
      </c>
      <c r="AG637" s="598" t="s">
        <v>321</v>
      </c>
      <c r="AH637" s="598" t="s">
        <v>3309</v>
      </c>
      <c r="AI637" s="598" t="s">
        <v>321</v>
      </c>
      <c r="AJ637" s="599">
        <v>21</v>
      </c>
      <c r="AK637" s="600">
        <v>21</v>
      </c>
      <c r="AL637" s="601">
        <v>0</v>
      </c>
      <c r="AM637" s="601">
        <v>0</v>
      </c>
      <c r="AN637" s="599">
        <v>21</v>
      </c>
    </row>
    <row r="638" spans="1:40" ht="16.5" customHeight="1">
      <c r="A638" s="598" t="s">
        <v>3337</v>
      </c>
      <c r="B638" s="598" t="s">
        <v>3341</v>
      </c>
      <c r="C638" s="598" t="s">
        <v>768</v>
      </c>
      <c r="D638" s="598" t="s">
        <v>769</v>
      </c>
      <c r="E638" s="598" t="s">
        <v>321</v>
      </c>
      <c r="F638" s="598" t="s">
        <v>3309</v>
      </c>
      <c r="G638" s="598" t="s">
        <v>3309</v>
      </c>
      <c r="H638" s="598" t="s">
        <v>3309</v>
      </c>
      <c r="I638" s="598" t="s">
        <v>3309</v>
      </c>
      <c r="J638" s="598" t="s">
        <v>3309</v>
      </c>
      <c r="K638" s="598" t="s">
        <v>321</v>
      </c>
      <c r="L638" s="598" t="s">
        <v>321</v>
      </c>
      <c r="M638" s="598" t="s">
        <v>3309</v>
      </c>
      <c r="N638" s="598" t="s">
        <v>3309</v>
      </c>
      <c r="O638" s="598" t="s">
        <v>3309</v>
      </c>
      <c r="P638" s="598" t="s">
        <v>3309</v>
      </c>
      <c r="Q638" s="598" t="s">
        <v>3309</v>
      </c>
      <c r="R638" s="598" t="s">
        <v>321</v>
      </c>
      <c r="S638" s="598" t="s">
        <v>321</v>
      </c>
      <c r="T638" s="598" t="s">
        <v>3309</v>
      </c>
      <c r="U638" s="598" t="s">
        <v>3309</v>
      </c>
      <c r="V638" s="598" t="s">
        <v>3309</v>
      </c>
      <c r="W638" s="598" t="s">
        <v>3309</v>
      </c>
      <c r="X638" s="598" t="s">
        <v>3309</v>
      </c>
      <c r="Y638" s="598" t="s">
        <v>321</v>
      </c>
      <c r="Z638" s="598" t="s">
        <v>321</v>
      </c>
      <c r="AA638" s="598" t="s">
        <v>3309</v>
      </c>
      <c r="AB638" s="598" t="s">
        <v>3309</v>
      </c>
      <c r="AC638" s="598" t="s">
        <v>3309</v>
      </c>
      <c r="AD638" s="598" t="s">
        <v>3309</v>
      </c>
      <c r="AE638" s="598" t="s">
        <v>3309</v>
      </c>
      <c r="AF638" s="598" t="s">
        <v>321</v>
      </c>
      <c r="AG638" s="598" t="s">
        <v>321</v>
      </c>
      <c r="AH638" s="598" t="s">
        <v>3309</v>
      </c>
      <c r="AI638" s="598" t="s">
        <v>321</v>
      </c>
      <c r="AJ638" s="599">
        <v>21</v>
      </c>
      <c r="AK638" s="600">
        <v>21</v>
      </c>
      <c r="AL638" s="601">
        <v>0</v>
      </c>
      <c r="AM638" s="601">
        <v>0</v>
      </c>
      <c r="AN638" s="599">
        <v>21</v>
      </c>
    </row>
    <row r="639" spans="1:40" ht="16.5" customHeight="1">
      <c r="A639" s="598" t="s">
        <v>3337</v>
      </c>
      <c r="B639" s="598" t="s">
        <v>3341</v>
      </c>
      <c r="C639" s="598" t="s">
        <v>930</v>
      </c>
      <c r="D639" s="598" t="s">
        <v>931</v>
      </c>
      <c r="E639" s="598" t="s">
        <v>321</v>
      </c>
      <c r="F639" s="598" t="s">
        <v>3309</v>
      </c>
      <c r="G639" s="598" t="s">
        <v>3309</v>
      </c>
      <c r="H639" s="598" t="s">
        <v>3309</v>
      </c>
      <c r="I639" s="598" t="s">
        <v>3309</v>
      </c>
      <c r="J639" s="598" t="s">
        <v>3313</v>
      </c>
      <c r="K639" s="598" t="s">
        <v>321</v>
      </c>
      <c r="L639" s="598" t="s">
        <v>321</v>
      </c>
      <c r="M639" s="598" t="s">
        <v>3313</v>
      </c>
      <c r="N639" s="598" t="s">
        <v>3313</v>
      </c>
      <c r="O639" s="598" t="s">
        <v>3312</v>
      </c>
      <c r="P639" s="598" t="s">
        <v>3312</v>
      </c>
      <c r="Q639" s="598" t="s">
        <v>3312</v>
      </c>
      <c r="R639" s="598" t="s">
        <v>321</v>
      </c>
      <c r="S639" s="598" t="s">
        <v>321</v>
      </c>
      <c r="T639" s="598" t="s">
        <v>3312</v>
      </c>
      <c r="U639" s="598" t="s">
        <v>3312</v>
      </c>
      <c r="V639" s="598" t="s">
        <v>3312</v>
      </c>
      <c r="W639" s="598" t="s">
        <v>3309</v>
      </c>
      <c r="X639" s="598" t="s">
        <v>3309</v>
      </c>
      <c r="Y639" s="598" t="s">
        <v>321</v>
      </c>
      <c r="Z639" s="598" t="s">
        <v>321</v>
      </c>
      <c r="AA639" s="598" t="s">
        <v>3309</v>
      </c>
      <c r="AB639" s="598" t="s">
        <v>3309</v>
      </c>
      <c r="AC639" s="598" t="s">
        <v>3309</v>
      </c>
      <c r="AD639" s="598" t="s">
        <v>3309</v>
      </c>
      <c r="AE639" s="598" t="s">
        <v>3309</v>
      </c>
      <c r="AF639" s="598" t="s">
        <v>321</v>
      </c>
      <c r="AG639" s="598" t="s">
        <v>321</v>
      </c>
      <c r="AH639" s="598" t="s">
        <v>3309</v>
      </c>
      <c r="AI639" s="598" t="s">
        <v>321</v>
      </c>
      <c r="AJ639" s="599">
        <v>21</v>
      </c>
      <c r="AK639" s="600">
        <v>15</v>
      </c>
      <c r="AL639" s="602">
        <v>6</v>
      </c>
      <c r="AM639" s="601">
        <v>0</v>
      </c>
      <c r="AN639" s="599">
        <v>21</v>
      </c>
    </row>
    <row r="640" spans="1:40" ht="16.5" customHeight="1">
      <c r="A640" s="598" t="s">
        <v>3337</v>
      </c>
      <c r="B640" s="598" t="s">
        <v>3341</v>
      </c>
      <c r="C640" s="598" t="s">
        <v>1349</v>
      </c>
      <c r="D640" s="598" t="s">
        <v>1350</v>
      </c>
      <c r="E640" s="598" t="s">
        <v>321</v>
      </c>
      <c r="F640" s="598" t="s">
        <v>3309</v>
      </c>
      <c r="G640" s="598" t="s">
        <v>3309</v>
      </c>
      <c r="H640" s="598" t="s">
        <v>3309</v>
      </c>
      <c r="I640" s="598" t="s">
        <v>3309</v>
      </c>
      <c r="J640" s="598" t="s">
        <v>3309</v>
      </c>
      <c r="K640" s="598" t="s">
        <v>321</v>
      </c>
      <c r="L640" s="598" t="s">
        <v>321</v>
      </c>
      <c r="M640" s="598" t="s">
        <v>3309</v>
      </c>
      <c r="N640" s="598" t="s">
        <v>3309</v>
      </c>
      <c r="O640" s="598" t="s">
        <v>3309</v>
      </c>
      <c r="P640" s="598" t="s">
        <v>3309</v>
      </c>
      <c r="Q640" s="598" t="s">
        <v>3309</v>
      </c>
      <c r="R640" s="598" t="s">
        <v>321</v>
      </c>
      <c r="S640" s="598" t="s">
        <v>321</v>
      </c>
      <c r="T640" s="598" t="s">
        <v>3309</v>
      </c>
      <c r="U640" s="598" t="s">
        <v>3309</v>
      </c>
      <c r="V640" s="598" t="s">
        <v>3309</v>
      </c>
      <c r="W640" s="598" t="s">
        <v>3309</v>
      </c>
      <c r="X640" s="598" t="s">
        <v>3309</v>
      </c>
      <c r="Y640" s="598" t="s">
        <v>321</v>
      </c>
      <c r="Z640" s="598" t="s">
        <v>321</v>
      </c>
      <c r="AA640" s="598" t="s">
        <v>3309</v>
      </c>
      <c r="AB640" s="598" t="s">
        <v>3309</v>
      </c>
      <c r="AC640" s="598" t="s">
        <v>3309</v>
      </c>
      <c r="AD640" s="598" t="s">
        <v>3309</v>
      </c>
      <c r="AE640" s="598" t="s">
        <v>3309</v>
      </c>
      <c r="AF640" s="598" t="s">
        <v>321</v>
      </c>
      <c r="AG640" s="598" t="s">
        <v>321</v>
      </c>
      <c r="AH640" s="598" t="s">
        <v>3309</v>
      </c>
      <c r="AI640" s="598" t="s">
        <v>321</v>
      </c>
      <c r="AJ640" s="599">
        <v>21</v>
      </c>
      <c r="AK640" s="600">
        <v>21</v>
      </c>
      <c r="AL640" s="601">
        <v>0</v>
      </c>
      <c r="AM640" s="601">
        <v>0</v>
      </c>
      <c r="AN640" s="599">
        <v>21</v>
      </c>
    </row>
    <row r="641" spans="1:40" ht="16.5" customHeight="1">
      <c r="A641" s="598" t="s">
        <v>3337</v>
      </c>
      <c r="B641" s="598" t="s">
        <v>3341</v>
      </c>
      <c r="C641" s="598" t="s">
        <v>449</v>
      </c>
      <c r="D641" s="598" t="s">
        <v>450</v>
      </c>
      <c r="E641" s="598" t="s">
        <v>321</v>
      </c>
      <c r="F641" s="598" t="s">
        <v>3309</v>
      </c>
      <c r="G641" s="598" t="s">
        <v>3309</v>
      </c>
      <c r="H641" s="598" t="s">
        <v>3309</v>
      </c>
      <c r="I641" s="598" t="s">
        <v>3309</v>
      </c>
      <c r="J641" s="598" t="s">
        <v>3309</v>
      </c>
      <c r="K641" s="598" t="s">
        <v>321</v>
      </c>
      <c r="L641" s="598" t="s">
        <v>321</v>
      </c>
      <c r="M641" s="598" t="s">
        <v>3309</v>
      </c>
      <c r="N641" s="598" t="s">
        <v>3309</v>
      </c>
      <c r="O641" s="598" t="s">
        <v>3309</v>
      </c>
      <c r="P641" s="598" t="s">
        <v>3309</v>
      </c>
      <c r="Q641" s="598" t="s">
        <v>3309</v>
      </c>
      <c r="R641" s="598" t="s">
        <v>321</v>
      </c>
      <c r="S641" s="598" t="s">
        <v>321</v>
      </c>
      <c r="T641" s="598" t="s">
        <v>3309</v>
      </c>
      <c r="U641" s="598" t="s">
        <v>3309</v>
      </c>
      <c r="V641" s="598" t="s">
        <v>3309</v>
      </c>
      <c r="W641" s="598" t="s">
        <v>3309</v>
      </c>
      <c r="X641" s="598" t="s">
        <v>3309</v>
      </c>
      <c r="Y641" s="598" t="s">
        <v>321</v>
      </c>
      <c r="Z641" s="598" t="s">
        <v>321</v>
      </c>
      <c r="AA641" s="598" t="s">
        <v>3309</v>
      </c>
      <c r="AB641" s="598" t="s">
        <v>3309</v>
      </c>
      <c r="AC641" s="598" t="s">
        <v>3309</v>
      </c>
      <c r="AD641" s="598" t="s">
        <v>3309</v>
      </c>
      <c r="AE641" s="598" t="s">
        <v>3309</v>
      </c>
      <c r="AF641" s="598" t="s">
        <v>321</v>
      </c>
      <c r="AG641" s="598" t="s">
        <v>321</v>
      </c>
      <c r="AH641" s="598" t="s">
        <v>3309</v>
      </c>
      <c r="AI641" s="598" t="s">
        <v>321</v>
      </c>
      <c r="AJ641" s="599">
        <v>21</v>
      </c>
      <c r="AK641" s="600">
        <v>21</v>
      </c>
      <c r="AL641" s="601">
        <v>0</v>
      </c>
      <c r="AM641" s="601">
        <v>0</v>
      </c>
      <c r="AN641" s="599">
        <v>21</v>
      </c>
    </row>
    <row r="642" spans="1:40" ht="16.5" customHeight="1">
      <c r="A642" s="598" t="s">
        <v>3337</v>
      </c>
      <c r="B642" s="598" t="s">
        <v>3341</v>
      </c>
      <c r="C642" s="598" t="s">
        <v>924</v>
      </c>
      <c r="D642" s="598" t="s">
        <v>925</v>
      </c>
      <c r="E642" s="598" t="s">
        <v>321</v>
      </c>
      <c r="F642" s="598" t="s">
        <v>3309</v>
      </c>
      <c r="G642" s="598" t="s">
        <v>3309</v>
      </c>
      <c r="H642" s="598" t="s">
        <v>3309</v>
      </c>
      <c r="I642" s="598" t="s">
        <v>3309</v>
      </c>
      <c r="J642" s="598" t="s">
        <v>3309</v>
      </c>
      <c r="K642" s="598" t="s">
        <v>321</v>
      </c>
      <c r="L642" s="598" t="s">
        <v>321</v>
      </c>
      <c r="M642" s="598" t="s">
        <v>3309</v>
      </c>
      <c r="N642" s="598" t="s">
        <v>3309</v>
      </c>
      <c r="O642" s="598" t="s">
        <v>3309</v>
      </c>
      <c r="P642" s="598" t="s">
        <v>3309</v>
      </c>
      <c r="Q642" s="598" t="s">
        <v>3309</v>
      </c>
      <c r="R642" s="598" t="s">
        <v>321</v>
      </c>
      <c r="S642" s="598" t="s">
        <v>321</v>
      </c>
      <c r="T642" s="598" t="s">
        <v>3309</v>
      </c>
      <c r="U642" s="598" t="s">
        <v>3309</v>
      </c>
      <c r="V642" s="598" t="s">
        <v>3309</v>
      </c>
      <c r="W642" s="598" t="s">
        <v>3309</v>
      </c>
      <c r="X642" s="598" t="s">
        <v>3309</v>
      </c>
      <c r="Y642" s="598" t="s">
        <v>321</v>
      </c>
      <c r="Z642" s="598" t="s">
        <v>321</v>
      </c>
      <c r="AA642" s="598" t="s">
        <v>3309</v>
      </c>
      <c r="AB642" s="598" t="s">
        <v>3309</v>
      </c>
      <c r="AC642" s="598" t="s">
        <v>3309</v>
      </c>
      <c r="AD642" s="598" t="s">
        <v>3309</v>
      </c>
      <c r="AE642" s="598" t="s">
        <v>3309</v>
      </c>
      <c r="AF642" s="598" t="s">
        <v>321</v>
      </c>
      <c r="AG642" s="598" t="s">
        <v>321</v>
      </c>
      <c r="AH642" s="598" t="s">
        <v>3309</v>
      </c>
      <c r="AI642" s="598" t="s">
        <v>321</v>
      </c>
      <c r="AJ642" s="599">
        <v>21</v>
      </c>
      <c r="AK642" s="600">
        <v>21</v>
      </c>
      <c r="AL642" s="601">
        <v>0</v>
      </c>
      <c r="AM642" s="601">
        <v>0</v>
      </c>
      <c r="AN642" s="599">
        <v>21</v>
      </c>
    </row>
    <row r="643" spans="1:40" ht="16.5" customHeight="1">
      <c r="A643" s="598" t="s">
        <v>3337</v>
      </c>
      <c r="B643" s="598" t="s">
        <v>3341</v>
      </c>
      <c r="C643" s="598" t="s">
        <v>1330</v>
      </c>
      <c r="D643" s="598" t="s">
        <v>1331</v>
      </c>
      <c r="E643" s="598" t="s">
        <v>321</v>
      </c>
      <c r="F643" s="598" t="s">
        <v>3309</v>
      </c>
      <c r="G643" s="598" t="s">
        <v>3309</v>
      </c>
      <c r="H643" s="598" t="s">
        <v>3312</v>
      </c>
      <c r="I643" s="598" t="s">
        <v>3312</v>
      </c>
      <c r="J643" s="598" t="s">
        <v>3309</v>
      </c>
      <c r="K643" s="598" t="s">
        <v>321</v>
      </c>
      <c r="L643" s="598" t="s">
        <v>321</v>
      </c>
      <c r="M643" s="598" t="s">
        <v>3309</v>
      </c>
      <c r="N643" s="598" t="s">
        <v>3309</v>
      </c>
      <c r="O643" s="598" t="s">
        <v>3309</v>
      </c>
      <c r="P643" s="598" t="s">
        <v>3309</v>
      </c>
      <c r="Q643" s="598" t="s">
        <v>3309</v>
      </c>
      <c r="R643" s="598" t="s">
        <v>321</v>
      </c>
      <c r="S643" s="598" t="s">
        <v>321</v>
      </c>
      <c r="T643" s="598" t="s">
        <v>3309</v>
      </c>
      <c r="U643" s="598" t="s">
        <v>3309</v>
      </c>
      <c r="V643" s="598" t="s">
        <v>3309</v>
      </c>
      <c r="W643" s="598" t="s">
        <v>3309</v>
      </c>
      <c r="X643" s="598" t="s">
        <v>3309</v>
      </c>
      <c r="Y643" s="598" t="s">
        <v>321</v>
      </c>
      <c r="Z643" s="598" t="s">
        <v>321</v>
      </c>
      <c r="AA643" s="598" t="s">
        <v>3309</v>
      </c>
      <c r="AB643" s="598" t="s">
        <v>3309</v>
      </c>
      <c r="AC643" s="598" t="s">
        <v>3309</v>
      </c>
      <c r="AD643" s="598" t="s">
        <v>3309</v>
      </c>
      <c r="AE643" s="598" t="s">
        <v>3309</v>
      </c>
      <c r="AF643" s="598" t="s">
        <v>321</v>
      </c>
      <c r="AG643" s="598" t="s">
        <v>321</v>
      </c>
      <c r="AH643" s="598" t="s">
        <v>3309</v>
      </c>
      <c r="AI643" s="598" t="s">
        <v>321</v>
      </c>
      <c r="AJ643" s="599">
        <v>21</v>
      </c>
      <c r="AK643" s="600">
        <v>19</v>
      </c>
      <c r="AL643" s="602">
        <v>2</v>
      </c>
      <c r="AM643" s="601">
        <v>0</v>
      </c>
      <c r="AN643" s="599">
        <v>21</v>
      </c>
    </row>
    <row r="644" spans="1:40" ht="16.5" customHeight="1">
      <c r="A644" s="598" t="s">
        <v>3337</v>
      </c>
      <c r="B644" s="598" t="s">
        <v>3342</v>
      </c>
      <c r="C644" s="598" t="s">
        <v>699</v>
      </c>
      <c r="D644" s="598" t="s">
        <v>700</v>
      </c>
      <c r="E644" s="598" t="s">
        <v>321</v>
      </c>
      <c r="F644" s="598" t="s">
        <v>3309</v>
      </c>
      <c r="G644" s="598" t="s">
        <v>3309</v>
      </c>
      <c r="H644" s="598" t="s">
        <v>3309</v>
      </c>
      <c r="I644" s="598" t="s">
        <v>3309</v>
      </c>
      <c r="J644" s="598" t="s">
        <v>3309</v>
      </c>
      <c r="K644" s="598" t="s">
        <v>321</v>
      </c>
      <c r="L644" s="598" t="s">
        <v>321</v>
      </c>
      <c r="M644" s="598" t="s">
        <v>3309</v>
      </c>
      <c r="N644" s="598" t="s">
        <v>3309</v>
      </c>
      <c r="O644" s="598" t="s">
        <v>3309</v>
      </c>
      <c r="P644" s="598" t="s">
        <v>3309</v>
      </c>
      <c r="Q644" s="598" t="s">
        <v>3309</v>
      </c>
      <c r="R644" s="598" t="s">
        <v>321</v>
      </c>
      <c r="S644" s="598" t="s">
        <v>321</v>
      </c>
      <c r="T644" s="598" t="s">
        <v>3312</v>
      </c>
      <c r="U644" s="598" t="s">
        <v>3309</v>
      </c>
      <c r="V644" s="598" t="s">
        <v>3309</v>
      </c>
      <c r="W644" s="598" t="s">
        <v>3309</v>
      </c>
      <c r="X644" s="598" t="s">
        <v>3309</v>
      </c>
      <c r="Y644" s="598" t="s">
        <v>321</v>
      </c>
      <c r="Z644" s="598" t="s">
        <v>321</v>
      </c>
      <c r="AA644" s="598" t="s">
        <v>3309</v>
      </c>
      <c r="AB644" s="598" t="s">
        <v>3309</v>
      </c>
      <c r="AC644" s="598" t="s">
        <v>3309</v>
      </c>
      <c r="AD644" s="598" t="s">
        <v>3309</v>
      </c>
      <c r="AE644" s="598" t="s">
        <v>3309</v>
      </c>
      <c r="AF644" s="598" t="s">
        <v>321</v>
      </c>
      <c r="AG644" s="598" t="s">
        <v>321</v>
      </c>
      <c r="AH644" s="598" t="s">
        <v>3309</v>
      </c>
      <c r="AI644" s="598" t="s">
        <v>321</v>
      </c>
      <c r="AJ644" s="599">
        <v>21</v>
      </c>
      <c r="AK644" s="600">
        <v>20</v>
      </c>
      <c r="AL644" s="602">
        <v>1</v>
      </c>
      <c r="AM644" s="601">
        <v>0</v>
      </c>
      <c r="AN644" s="599">
        <v>21</v>
      </c>
    </row>
    <row r="645" spans="1:40" ht="16.5" customHeight="1">
      <c r="A645" s="598" t="s">
        <v>3337</v>
      </c>
      <c r="B645" s="598" t="s">
        <v>3342</v>
      </c>
      <c r="C645" s="598" t="s">
        <v>2658</v>
      </c>
      <c r="D645" s="598" t="s">
        <v>2659</v>
      </c>
      <c r="E645" s="598" t="s">
        <v>321</v>
      </c>
      <c r="F645" s="598" t="s">
        <v>3309</v>
      </c>
      <c r="G645" s="598" t="s">
        <v>3309</v>
      </c>
      <c r="H645" s="598" t="s">
        <v>3309</v>
      </c>
      <c r="I645" s="598" t="s">
        <v>3309</v>
      </c>
      <c r="J645" s="598" t="s">
        <v>3309</v>
      </c>
      <c r="K645" s="598" t="s">
        <v>321</v>
      </c>
      <c r="L645" s="598" t="s">
        <v>321</v>
      </c>
      <c r="M645" s="598" t="s">
        <v>3309</v>
      </c>
      <c r="N645" s="598" t="s">
        <v>3309</v>
      </c>
      <c r="O645" s="598" t="s">
        <v>3309</v>
      </c>
      <c r="P645" s="598" t="s">
        <v>3309</v>
      </c>
      <c r="Q645" s="598" t="s">
        <v>3309</v>
      </c>
      <c r="R645" s="598" t="s">
        <v>321</v>
      </c>
      <c r="S645" s="598" t="s">
        <v>321</v>
      </c>
      <c r="T645" s="598" t="s">
        <v>3309</v>
      </c>
      <c r="U645" s="598" t="s">
        <v>3309</v>
      </c>
      <c r="V645" s="598" t="s">
        <v>3309</v>
      </c>
      <c r="W645" s="598" t="s">
        <v>3309</v>
      </c>
      <c r="X645" s="598" t="s">
        <v>3309</v>
      </c>
      <c r="Y645" s="598" t="s">
        <v>321</v>
      </c>
      <c r="Z645" s="598" t="s">
        <v>321</v>
      </c>
      <c r="AA645" s="598" t="s">
        <v>3309</v>
      </c>
      <c r="AB645" s="598" t="s">
        <v>3309</v>
      </c>
      <c r="AC645" s="598" t="s">
        <v>3309</v>
      </c>
      <c r="AD645" s="598" t="s">
        <v>3309</v>
      </c>
      <c r="AE645" s="598" t="s">
        <v>3309</v>
      </c>
      <c r="AF645" s="598" t="s">
        <v>321</v>
      </c>
      <c r="AG645" s="598" t="s">
        <v>321</v>
      </c>
      <c r="AH645" s="598" t="s">
        <v>3309</v>
      </c>
      <c r="AI645" s="598" t="s">
        <v>321</v>
      </c>
      <c r="AJ645" s="599">
        <v>21</v>
      </c>
      <c r="AK645" s="600">
        <v>21</v>
      </c>
      <c r="AL645" s="601">
        <v>0</v>
      </c>
      <c r="AM645" s="601">
        <v>0</v>
      </c>
      <c r="AN645" s="599">
        <v>21</v>
      </c>
    </row>
    <row r="646" spans="1:40" ht="16.5" customHeight="1">
      <c r="A646" s="598" t="s">
        <v>3337</v>
      </c>
      <c r="B646" s="598" t="s">
        <v>3342</v>
      </c>
      <c r="C646" s="598" t="s">
        <v>2457</v>
      </c>
      <c r="D646" s="598" t="s">
        <v>2458</v>
      </c>
      <c r="E646" s="598" t="s">
        <v>321</v>
      </c>
      <c r="F646" s="598" t="s">
        <v>3309</v>
      </c>
      <c r="G646" s="598" t="s">
        <v>3309</v>
      </c>
      <c r="H646" s="598" t="s">
        <v>3309</v>
      </c>
      <c r="I646" s="598" t="s">
        <v>3309</v>
      </c>
      <c r="J646" s="598" t="s">
        <v>3309</v>
      </c>
      <c r="K646" s="598" t="s">
        <v>321</v>
      </c>
      <c r="L646" s="598" t="s">
        <v>321</v>
      </c>
      <c r="M646" s="598" t="s">
        <v>3309</v>
      </c>
      <c r="N646" s="598" t="s">
        <v>3309</v>
      </c>
      <c r="O646" s="598" t="s">
        <v>3309</v>
      </c>
      <c r="P646" s="598" t="s">
        <v>3309</v>
      </c>
      <c r="Q646" s="598" t="s">
        <v>3309</v>
      </c>
      <c r="R646" s="598" t="s">
        <v>321</v>
      </c>
      <c r="S646" s="598" t="s">
        <v>321</v>
      </c>
      <c r="T646" s="598" t="s">
        <v>3309</v>
      </c>
      <c r="U646" s="598" t="s">
        <v>3309</v>
      </c>
      <c r="V646" s="598" t="s">
        <v>3309</v>
      </c>
      <c r="W646" s="598" t="s">
        <v>3309</v>
      </c>
      <c r="X646" s="598" t="s">
        <v>3309</v>
      </c>
      <c r="Y646" s="598" t="s">
        <v>321</v>
      </c>
      <c r="Z646" s="598" t="s">
        <v>321</v>
      </c>
      <c r="AA646" s="598" t="s">
        <v>3309</v>
      </c>
      <c r="AB646" s="598" t="s">
        <v>3309</v>
      </c>
      <c r="AC646" s="598" t="s">
        <v>3309</v>
      </c>
      <c r="AD646" s="598" t="s">
        <v>3309</v>
      </c>
      <c r="AE646" s="598" t="s">
        <v>3309</v>
      </c>
      <c r="AF646" s="598" t="s">
        <v>321</v>
      </c>
      <c r="AG646" s="598" t="s">
        <v>321</v>
      </c>
      <c r="AH646" s="598" t="s">
        <v>3309</v>
      </c>
      <c r="AI646" s="598" t="s">
        <v>321</v>
      </c>
      <c r="AJ646" s="599">
        <v>21</v>
      </c>
      <c r="AK646" s="600">
        <v>21</v>
      </c>
      <c r="AL646" s="601">
        <v>0</v>
      </c>
      <c r="AM646" s="601">
        <v>0</v>
      </c>
      <c r="AN646" s="599">
        <v>21</v>
      </c>
    </row>
    <row r="647" spans="1:40" ht="16.5" customHeight="1">
      <c r="A647" s="598" t="s">
        <v>3337</v>
      </c>
      <c r="B647" s="598" t="s">
        <v>3342</v>
      </c>
      <c r="C647" s="598" t="s">
        <v>850</v>
      </c>
      <c r="D647" s="598" t="s">
        <v>851</v>
      </c>
      <c r="E647" s="598" t="s">
        <v>321</v>
      </c>
      <c r="F647" s="598" t="s">
        <v>3312</v>
      </c>
      <c r="G647" s="598" t="s">
        <v>3312</v>
      </c>
      <c r="H647" s="598" t="s">
        <v>3312</v>
      </c>
      <c r="I647" s="598" t="s">
        <v>3312</v>
      </c>
      <c r="J647" s="598" t="s">
        <v>3312</v>
      </c>
      <c r="K647" s="598" t="s">
        <v>321</v>
      </c>
      <c r="L647" s="598" t="s">
        <v>321</v>
      </c>
      <c r="M647" s="598" t="s">
        <v>3309</v>
      </c>
      <c r="N647" s="598" t="s">
        <v>3309</v>
      </c>
      <c r="O647" s="598" t="s">
        <v>3309</v>
      </c>
      <c r="P647" s="598" t="s">
        <v>3309</v>
      </c>
      <c r="Q647" s="598" t="s">
        <v>3309</v>
      </c>
      <c r="R647" s="598" t="s">
        <v>321</v>
      </c>
      <c r="S647" s="598" t="s">
        <v>321</v>
      </c>
      <c r="T647" s="598" t="s">
        <v>3309</v>
      </c>
      <c r="U647" s="598" t="s">
        <v>3309</v>
      </c>
      <c r="V647" s="598" t="s">
        <v>3309</v>
      </c>
      <c r="W647" s="598" t="s">
        <v>3309</v>
      </c>
      <c r="X647" s="598" t="s">
        <v>3309</v>
      </c>
      <c r="Y647" s="598" t="s">
        <v>321</v>
      </c>
      <c r="Z647" s="598" t="s">
        <v>321</v>
      </c>
      <c r="AA647" s="598" t="s">
        <v>3309</v>
      </c>
      <c r="AB647" s="598" t="s">
        <v>3309</v>
      </c>
      <c r="AC647" s="598" t="s">
        <v>3309</v>
      </c>
      <c r="AD647" s="598" t="s">
        <v>3309</v>
      </c>
      <c r="AE647" s="598" t="s">
        <v>3309</v>
      </c>
      <c r="AF647" s="598" t="s">
        <v>321</v>
      </c>
      <c r="AG647" s="598" t="s">
        <v>321</v>
      </c>
      <c r="AH647" s="598" t="s">
        <v>3309</v>
      </c>
      <c r="AI647" s="598" t="s">
        <v>321</v>
      </c>
      <c r="AJ647" s="599">
        <v>21</v>
      </c>
      <c r="AK647" s="600">
        <v>16</v>
      </c>
      <c r="AL647" s="602">
        <v>5</v>
      </c>
      <c r="AM647" s="601">
        <v>0</v>
      </c>
      <c r="AN647" s="599">
        <v>21</v>
      </c>
    </row>
    <row r="648" spans="1:40" ht="16.5" customHeight="1">
      <c r="A648" s="598" t="s">
        <v>3337</v>
      </c>
      <c r="B648" s="598" t="s">
        <v>3342</v>
      </c>
      <c r="C648" s="598" t="s">
        <v>1296</v>
      </c>
      <c r="D648" s="598" t="s">
        <v>1297</v>
      </c>
      <c r="E648" s="598" t="s">
        <v>321</v>
      </c>
      <c r="F648" s="598" t="s">
        <v>3309</v>
      </c>
      <c r="G648" s="598" t="s">
        <v>3309</v>
      </c>
      <c r="H648" s="598" t="s">
        <v>3309</v>
      </c>
      <c r="I648" s="598" t="s">
        <v>3309</v>
      </c>
      <c r="J648" s="598" t="s">
        <v>3312</v>
      </c>
      <c r="K648" s="598" t="s">
        <v>321</v>
      </c>
      <c r="L648" s="598" t="s">
        <v>321</v>
      </c>
      <c r="M648" s="598" t="s">
        <v>3309</v>
      </c>
      <c r="N648" s="598" t="s">
        <v>3309</v>
      </c>
      <c r="O648" s="598" t="s">
        <v>3309</v>
      </c>
      <c r="P648" s="598" t="s">
        <v>3309</v>
      </c>
      <c r="Q648" s="598" t="s">
        <v>3309</v>
      </c>
      <c r="R648" s="598" t="s">
        <v>321</v>
      </c>
      <c r="S648" s="598" t="s">
        <v>321</v>
      </c>
      <c r="T648" s="598" t="s">
        <v>3309</v>
      </c>
      <c r="U648" s="598" t="s">
        <v>3312</v>
      </c>
      <c r="V648" s="598" t="s">
        <v>3309</v>
      </c>
      <c r="W648" s="598" t="s">
        <v>3313</v>
      </c>
      <c r="X648" s="598" t="s">
        <v>3309</v>
      </c>
      <c r="Y648" s="598" t="s">
        <v>321</v>
      </c>
      <c r="Z648" s="598" t="s">
        <v>321</v>
      </c>
      <c r="AA648" s="598" t="s">
        <v>3309</v>
      </c>
      <c r="AB648" s="598" t="s">
        <v>3309</v>
      </c>
      <c r="AC648" s="598" t="s">
        <v>3309</v>
      </c>
      <c r="AD648" s="598" t="s">
        <v>3309</v>
      </c>
      <c r="AE648" s="598" t="s">
        <v>3309</v>
      </c>
      <c r="AF648" s="598" t="s">
        <v>321</v>
      </c>
      <c r="AG648" s="598" t="s">
        <v>321</v>
      </c>
      <c r="AH648" s="598" t="s">
        <v>3309</v>
      </c>
      <c r="AI648" s="598" t="s">
        <v>321</v>
      </c>
      <c r="AJ648" s="599">
        <v>21</v>
      </c>
      <c r="AK648" s="600">
        <v>19</v>
      </c>
      <c r="AL648" s="602">
        <v>2</v>
      </c>
      <c r="AM648" s="601">
        <v>0</v>
      </c>
      <c r="AN648" s="599">
        <v>21</v>
      </c>
    </row>
    <row r="649" spans="1:40" ht="16.5" customHeight="1">
      <c r="A649" s="598" t="s">
        <v>3337</v>
      </c>
      <c r="B649" s="598" t="s">
        <v>3342</v>
      </c>
      <c r="C649" s="598" t="s">
        <v>1996</v>
      </c>
      <c r="D649" s="598" t="s">
        <v>1997</v>
      </c>
      <c r="E649" s="598" t="s">
        <v>321</v>
      </c>
      <c r="F649" s="598" t="s">
        <v>3309</v>
      </c>
      <c r="G649" s="598" t="s">
        <v>3312</v>
      </c>
      <c r="H649" s="598" t="s">
        <v>3312</v>
      </c>
      <c r="I649" s="598" t="s">
        <v>3312</v>
      </c>
      <c r="J649" s="598" t="s">
        <v>3309</v>
      </c>
      <c r="K649" s="598" t="s">
        <v>321</v>
      </c>
      <c r="L649" s="598" t="s">
        <v>321</v>
      </c>
      <c r="M649" s="598" t="s">
        <v>3309</v>
      </c>
      <c r="N649" s="598" t="s">
        <v>3309</v>
      </c>
      <c r="O649" s="598" t="s">
        <v>3309</v>
      </c>
      <c r="P649" s="598" t="s">
        <v>3309</v>
      </c>
      <c r="Q649" s="598" t="s">
        <v>3309</v>
      </c>
      <c r="R649" s="598" t="s">
        <v>321</v>
      </c>
      <c r="S649" s="598" t="s">
        <v>321</v>
      </c>
      <c r="T649" s="598" t="s">
        <v>3309</v>
      </c>
      <c r="U649" s="598" t="s">
        <v>3309</v>
      </c>
      <c r="V649" s="598" t="s">
        <v>3309</v>
      </c>
      <c r="W649" s="598" t="s">
        <v>3309</v>
      </c>
      <c r="X649" s="598" t="s">
        <v>3309</v>
      </c>
      <c r="Y649" s="598" t="s">
        <v>321</v>
      </c>
      <c r="Z649" s="598" t="s">
        <v>321</v>
      </c>
      <c r="AA649" s="598" t="s">
        <v>3309</v>
      </c>
      <c r="AB649" s="598" t="s">
        <v>3309</v>
      </c>
      <c r="AC649" s="598" t="s">
        <v>3309</v>
      </c>
      <c r="AD649" s="598" t="s">
        <v>3309</v>
      </c>
      <c r="AE649" s="598" t="s">
        <v>3309</v>
      </c>
      <c r="AF649" s="598" t="s">
        <v>321</v>
      </c>
      <c r="AG649" s="598" t="s">
        <v>321</v>
      </c>
      <c r="AH649" s="598" t="s">
        <v>3309</v>
      </c>
      <c r="AI649" s="598" t="s">
        <v>321</v>
      </c>
      <c r="AJ649" s="599">
        <v>21</v>
      </c>
      <c r="AK649" s="600">
        <v>18</v>
      </c>
      <c r="AL649" s="602">
        <v>3</v>
      </c>
      <c r="AM649" s="601">
        <v>0</v>
      </c>
      <c r="AN649" s="599">
        <v>21</v>
      </c>
    </row>
    <row r="650" spans="1:40" ht="16.5" customHeight="1">
      <c r="A650" s="598" t="s">
        <v>3337</v>
      </c>
      <c r="B650" s="598" t="s">
        <v>3342</v>
      </c>
      <c r="C650" s="598" t="s">
        <v>758</v>
      </c>
      <c r="D650" s="598" t="s">
        <v>759</v>
      </c>
      <c r="E650" s="598" t="s">
        <v>321</v>
      </c>
      <c r="F650" s="598" t="s">
        <v>3309</v>
      </c>
      <c r="G650" s="598" t="s">
        <v>3309</v>
      </c>
      <c r="H650" s="598" t="s">
        <v>3309</v>
      </c>
      <c r="I650" s="598" t="s">
        <v>3309</v>
      </c>
      <c r="J650" s="598" t="s">
        <v>3309</v>
      </c>
      <c r="K650" s="598" t="s">
        <v>321</v>
      </c>
      <c r="L650" s="598" t="s">
        <v>321</v>
      </c>
      <c r="M650" s="598" t="s">
        <v>3309</v>
      </c>
      <c r="N650" s="598" t="s">
        <v>3309</v>
      </c>
      <c r="O650" s="598" t="s">
        <v>3309</v>
      </c>
      <c r="P650" s="598" t="s">
        <v>3309</v>
      </c>
      <c r="Q650" s="598" t="s">
        <v>3309</v>
      </c>
      <c r="R650" s="598" t="s">
        <v>321</v>
      </c>
      <c r="S650" s="598" t="s">
        <v>321</v>
      </c>
      <c r="T650" s="598" t="s">
        <v>3309</v>
      </c>
      <c r="U650" s="598" t="s">
        <v>3309</v>
      </c>
      <c r="V650" s="598" t="s">
        <v>3309</v>
      </c>
      <c r="W650" s="598" t="s">
        <v>3309</v>
      </c>
      <c r="X650" s="598" t="s">
        <v>3309</v>
      </c>
      <c r="Y650" s="598" t="s">
        <v>321</v>
      </c>
      <c r="Z650" s="598" t="s">
        <v>321</v>
      </c>
      <c r="AA650" s="598" t="s">
        <v>3309</v>
      </c>
      <c r="AB650" s="598" t="s">
        <v>3309</v>
      </c>
      <c r="AC650" s="598" t="s">
        <v>3309</v>
      </c>
      <c r="AD650" s="598" t="s">
        <v>3309</v>
      </c>
      <c r="AE650" s="598" t="s">
        <v>3309</v>
      </c>
      <c r="AF650" s="598" t="s">
        <v>321</v>
      </c>
      <c r="AG650" s="598" t="s">
        <v>321</v>
      </c>
      <c r="AH650" s="598" t="s">
        <v>3309</v>
      </c>
      <c r="AI650" s="598" t="s">
        <v>321</v>
      </c>
      <c r="AJ650" s="599">
        <v>21</v>
      </c>
      <c r="AK650" s="600">
        <v>21</v>
      </c>
      <c r="AL650" s="601">
        <v>0</v>
      </c>
      <c r="AM650" s="601">
        <v>0</v>
      </c>
      <c r="AN650" s="599">
        <v>21</v>
      </c>
    </row>
    <row r="651" spans="1:40" ht="16.5" customHeight="1">
      <c r="A651" s="598" t="s">
        <v>3337</v>
      </c>
      <c r="B651" s="598" t="s">
        <v>3342</v>
      </c>
      <c r="C651" s="598" t="s">
        <v>655</v>
      </c>
      <c r="D651" s="598" t="s">
        <v>656</v>
      </c>
      <c r="E651" s="598" t="s">
        <v>321</v>
      </c>
      <c r="F651" s="598" t="s">
        <v>3309</v>
      </c>
      <c r="G651" s="598" t="s">
        <v>3309</v>
      </c>
      <c r="H651" s="598" t="s">
        <v>3309</v>
      </c>
      <c r="I651" s="598" t="s">
        <v>3309</v>
      </c>
      <c r="J651" s="598" t="s">
        <v>3309</v>
      </c>
      <c r="K651" s="598" t="s">
        <v>321</v>
      </c>
      <c r="L651" s="598" t="s">
        <v>321</v>
      </c>
      <c r="M651" s="598" t="s">
        <v>3309</v>
      </c>
      <c r="N651" s="598" t="s">
        <v>3309</v>
      </c>
      <c r="O651" s="598" t="s">
        <v>3309</v>
      </c>
      <c r="P651" s="598" t="s">
        <v>3309</v>
      </c>
      <c r="Q651" s="598" t="s">
        <v>3309</v>
      </c>
      <c r="R651" s="598" t="s">
        <v>321</v>
      </c>
      <c r="S651" s="598" t="s">
        <v>321</v>
      </c>
      <c r="T651" s="598" t="s">
        <v>3309</v>
      </c>
      <c r="U651" s="598" t="s">
        <v>3309</v>
      </c>
      <c r="V651" s="598" t="s">
        <v>3309</v>
      </c>
      <c r="W651" s="598" t="s">
        <v>3309</v>
      </c>
      <c r="X651" s="598" t="s">
        <v>3309</v>
      </c>
      <c r="Y651" s="598" t="s">
        <v>321</v>
      </c>
      <c r="Z651" s="598" t="s">
        <v>321</v>
      </c>
      <c r="AA651" s="598" t="s">
        <v>3309</v>
      </c>
      <c r="AB651" s="598" t="s">
        <v>3309</v>
      </c>
      <c r="AC651" s="598" t="s">
        <v>3309</v>
      </c>
      <c r="AD651" s="598" t="s">
        <v>3309</v>
      </c>
      <c r="AE651" s="598" t="s">
        <v>3309</v>
      </c>
      <c r="AF651" s="598" t="s">
        <v>321</v>
      </c>
      <c r="AG651" s="598" t="s">
        <v>321</v>
      </c>
      <c r="AH651" s="598" t="s">
        <v>3313</v>
      </c>
      <c r="AI651" s="598" t="s">
        <v>321</v>
      </c>
      <c r="AJ651" s="599">
        <v>21</v>
      </c>
      <c r="AK651" s="600">
        <v>21</v>
      </c>
      <c r="AL651" s="601">
        <v>0</v>
      </c>
      <c r="AM651" s="601">
        <v>0</v>
      </c>
      <c r="AN651" s="599">
        <v>21</v>
      </c>
    </row>
    <row r="652" spans="1:40" ht="16.5" customHeight="1">
      <c r="A652" s="598" t="s">
        <v>3337</v>
      </c>
      <c r="B652" s="598" t="s">
        <v>3342</v>
      </c>
      <c r="C652" s="598" t="s">
        <v>1521</v>
      </c>
      <c r="D652" s="598" t="s">
        <v>1522</v>
      </c>
      <c r="E652" s="598" t="s">
        <v>321</v>
      </c>
      <c r="F652" s="598" t="s">
        <v>3309</v>
      </c>
      <c r="G652" s="598" t="s">
        <v>3309</v>
      </c>
      <c r="H652" s="598" t="s">
        <v>3309</v>
      </c>
      <c r="I652" s="598" t="s">
        <v>3309</v>
      </c>
      <c r="J652" s="598" t="s">
        <v>3309</v>
      </c>
      <c r="K652" s="598" t="s">
        <v>321</v>
      </c>
      <c r="L652" s="598" t="s">
        <v>321</v>
      </c>
      <c r="M652" s="598" t="s">
        <v>3309</v>
      </c>
      <c r="N652" s="598" t="s">
        <v>3309</v>
      </c>
      <c r="O652" s="598" t="s">
        <v>3309</v>
      </c>
      <c r="P652" s="598" t="s">
        <v>3309</v>
      </c>
      <c r="Q652" s="598" t="s">
        <v>3309</v>
      </c>
      <c r="R652" s="598" t="s">
        <v>321</v>
      </c>
      <c r="S652" s="598" t="s">
        <v>321</v>
      </c>
      <c r="T652" s="598" t="s">
        <v>3309</v>
      </c>
      <c r="U652" s="598" t="s">
        <v>3309</v>
      </c>
      <c r="V652" s="598" t="s">
        <v>3309</v>
      </c>
      <c r="W652" s="598" t="s">
        <v>3309</v>
      </c>
      <c r="X652" s="598" t="s">
        <v>3309</v>
      </c>
      <c r="Y652" s="598" t="s">
        <v>321</v>
      </c>
      <c r="Z652" s="598" t="s">
        <v>321</v>
      </c>
      <c r="AA652" s="598" t="s">
        <v>3309</v>
      </c>
      <c r="AB652" s="598" t="s">
        <v>3309</v>
      </c>
      <c r="AC652" s="598" t="s">
        <v>3309</v>
      </c>
      <c r="AD652" s="598" t="s">
        <v>3309</v>
      </c>
      <c r="AE652" s="598" t="s">
        <v>3309</v>
      </c>
      <c r="AF652" s="598" t="s">
        <v>321</v>
      </c>
      <c r="AG652" s="598" t="s">
        <v>321</v>
      </c>
      <c r="AH652" s="598" t="s">
        <v>3309</v>
      </c>
      <c r="AI652" s="598" t="s">
        <v>321</v>
      </c>
      <c r="AJ652" s="599">
        <v>21</v>
      </c>
      <c r="AK652" s="600">
        <v>21</v>
      </c>
      <c r="AL652" s="601">
        <v>0</v>
      </c>
      <c r="AM652" s="601">
        <v>0</v>
      </c>
      <c r="AN652" s="599">
        <v>21</v>
      </c>
    </row>
    <row r="653" spans="1:40" ht="16.5" customHeight="1">
      <c r="A653" s="598" t="s">
        <v>3337</v>
      </c>
      <c r="B653" s="598" t="s">
        <v>3342</v>
      </c>
      <c r="C653" s="598" t="s">
        <v>2984</v>
      </c>
      <c r="D653" s="598" t="s">
        <v>1400</v>
      </c>
      <c r="E653" s="598" t="s">
        <v>321</v>
      </c>
      <c r="F653" s="598" t="s">
        <v>3309</v>
      </c>
      <c r="G653" s="598" t="s">
        <v>3309</v>
      </c>
      <c r="H653" s="598" t="s">
        <v>3309</v>
      </c>
      <c r="I653" s="598" t="s">
        <v>3309</v>
      </c>
      <c r="J653" s="598" t="s">
        <v>3309</v>
      </c>
      <c r="K653" s="598" t="s">
        <v>321</v>
      </c>
      <c r="L653" s="598" t="s">
        <v>321</v>
      </c>
      <c r="M653" s="598" t="s">
        <v>3314</v>
      </c>
      <c r="N653" s="598" t="s">
        <v>3312</v>
      </c>
      <c r="O653" s="598" t="s">
        <v>3309</v>
      </c>
      <c r="P653" s="598" t="s">
        <v>3309</v>
      </c>
      <c r="Q653" s="598" t="s">
        <v>3309</v>
      </c>
      <c r="R653" s="598" t="s">
        <v>321</v>
      </c>
      <c r="S653" s="598" t="s">
        <v>321</v>
      </c>
      <c r="T653" s="598" t="s">
        <v>3309</v>
      </c>
      <c r="U653" s="598" t="s">
        <v>3309</v>
      </c>
      <c r="V653" s="598" t="s">
        <v>3309</v>
      </c>
      <c r="W653" s="598" t="s">
        <v>3309</v>
      </c>
      <c r="X653" s="598" t="s">
        <v>3309</v>
      </c>
      <c r="Y653" s="598" t="s">
        <v>321</v>
      </c>
      <c r="Z653" s="598" t="s">
        <v>321</v>
      </c>
      <c r="AA653" s="598" t="s">
        <v>3309</v>
      </c>
      <c r="AB653" s="598" t="s">
        <v>3309</v>
      </c>
      <c r="AC653" s="598" t="s">
        <v>3309</v>
      </c>
      <c r="AD653" s="598" t="s">
        <v>3309</v>
      </c>
      <c r="AE653" s="598" t="s">
        <v>3312</v>
      </c>
      <c r="AF653" s="598" t="s">
        <v>321</v>
      </c>
      <c r="AG653" s="598" t="s">
        <v>321</v>
      </c>
      <c r="AH653" s="598" t="s">
        <v>3309</v>
      </c>
      <c r="AI653" s="598" t="s">
        <v>321</v>
      </c>
      <c r="AJ653" s="599">
        <v>21</v>
      </c>
      <c r="AK653" s="603">
        <v>18.5</v>
      </c>
      <c r="AL653" s="603">
        <v>2.5</v>
      </c>
      <c r="AM653" s="601">
        <v>0</v>
      </c>
      <c r="AN653" s="599">
        <v>21</v>
      </c>
    </row>
    <row r="654" spans="1:40" ht="16.5" customHeight="1">
      <c r="A654" s="598" t="s">
        <v>3337</v>
      </c>
      <c r="B654" s="598" t="s">
        <v>3342</v>
      </c>
      <c r="C654" s="598" t="s">
        <v>2061</v>
      </c>
      <c r="D654" s="598" t="s">
        <v>2062</v>
      </c>
      <c r="E654" s="598" t="s">
        <v>321</v>
      </c>
      <c r="F654" s="598" t="s">
        <v>3309</v>
      </c>
      <c r="G654" s="598" t="s">
        <v>3309</v>
      </c>
      <c r="H654" s="598" t="s">
        <v>3309</v>
      </c>
      <c r="I654" s="598" t="s">
        <v>3309</v>
      </c>
      <c r="J654" s="598" t="s">
        <v>3309</v>
      </c>
      <c r="K654" s="598" t="s">
        <v>321</v>
      </c>
      <c r="L654" s="598" t="s">
        <v>321</v>
      </c>
      <c r="M654" s="598" t="s">
        <v>3309</v>
      </c>
      <c r="N654" s="598" t="s">
        <v>3309</v>
      </c>
      <c r="O654" s="598" t="s">
        <v>3309</v>
      </c>
      <c r="P654" s="598" t="s">
        <v>3309</v>
      </c>
      <c r="Q654" s="598" t="s">
        <v>3309</v>
      </c>
      <c r="R654" s="598" t="s">
        <v>321</v>
      </c>
      <c r="S654" s="598" t="s">
        <v>321</v>
      </c>
      <c r="T654" s="598" t="s">
        <v>3309</v>
      </c>
      <c r="U654" s="598" t="s">
        <v>3309</v>
      </c>
      <c r="V654" s="598" t="s">
        <v>3309</v>
      </c>
      <c r="W654" s="598" t="s">
        <v>3309</v>
      </c>
      <c r="X654" s="598" t="s">
        <v>3309</v>
      </c>
      <c r="Y654" s="598" t="s">
        <v>321</v>
      </c>
      <c r="Z654" s="598" t="s">
        <v>321</v>
      </c>
      <c r="AA654" s="598" t="s">
        <v>3309</v>
      </c>
      <c r="AB654" s="598" t="s">
        <v>3309</v>
      </c>
      <c r="AC654" s="598" t="s">
        <v>3309</v>
      </c>
      <c r="AD654" s="598" t="s">
        <v>3309</v>
      </c>
      <c r="AE654" s="598" t="s">
        <v>3309</v>
      </c>
      <c r="AF654" s="598" t="s">
        <v>321</v>
      </c>
      <c r="AG654" s="598" t="s">
        <v>321</v>
      </c>
      <c r="AH654" s="598" t="s">
        <v>3309</v>
      </c>
      <c r="AI654" s="598" t="s">
        <v>321</v>
      </c>
      <c r="AJ654" s="599">
        <v>21</v>
      </c>
      <c r="AK654" s="600">
        <v>21</v>
      </c>
      <c r="AL654" s="601">
        <v>0</v>
      </c>
      <c r="AM654" s="601">
        <v>0</v>
      </c>
      <c r="AN654" s="599">
        <v>21</v>
      </c>
    </row>
    <row r="655" spans="1:40" ht="16.5" customHeight="1">
      <c r="A655" s="598" t="s">
        <v>3337</v>
      </c>
      <c r="B655" s="598" t="s">
        <v>3342</v>
      </c>
      <c r="C655" s="598" t="s">
        <v>1964</v>
      </c>
      <c r="D655" s="598" t="s">
        <v>1965</v>
      </c>
      <c r="E655" s="598" t="s">
        <v>321</v>
      </c>
      <c r="F655" s="598" t="s">
        <v>3309</v>
      </c>
      <c r="G655" s="598" t="s">
        <v>3309</v>
      </c>
      <c r="H655" s="598" t="s">
        <v>3309</v>
      </c>
      <c r="I655" s="598" t="s">
        <v>3309</v>
      </c>
      <c r="J655" s="598" t="s">
        <v>3309</v>
      </c>
      <c r="K655" s="598" t="s">
        <v>321</v>
      </c>
      <c r="L655" s="598" t="s">
        <v>321</v>
      </c>
      <c r="M655" s="598" t="s">
        <v>3309</v>
      </c>
      <c r="N655" s="598" t="s">
        <v>3309</v>
      </c>
      <c r="O655" s="598" t="s">
        <v>3309</v>
      </c>
      <c r="P655" s="598" t="s">
        <v>3309</v>
      </c>
      <c r="Q655" s="598" t="s">
        <v>3309</v>
      </c>
      <c r="R655" s="598" t="s">
        <v>321</v>
      </c>
      <c r="S655" s="598" t="s">
        <v>321</v>
      </c>
      <c r="T655" s="598" t="s">
        <v>3309</v>
      </c>
      <c r="U655" s="598" t="s">
        <v>3309</v>
      </c>
      <c r="V655" s="598" t="s">
        <v>3309</v>
      </c>
      <c r="W655" s="598" t="s">
        <v>3309</v>
      </c>
      <c r="X655" s="598" t="s">
        <v>3309</v>
      </c>
      <c r="Y655" s="598" t="s">
        <v>321</v>
      </c>
      <c r="Z655" s="598" t="s">
        <v>321</v>
      </c>
      <c r="AA655" s="598" t="s">
        <v>3309</v>
      </c>
      <c r="AB655" s="598" t="s">
        <v>3309</v>
      </c>
      <c r="AC655" s="598" t="s">
        <v>3309</v>
      </c>
      <c r="AD655" s="598" t="s">
        <v>3309</v>
      </c>
      <c r="AE655" s="598" t="s">
        <v>3309</v>
      </c>
      <c r="AF655" s="598" t="s">
        <v>321</v>
      </c>
      <c r="AG655" s="598" t="s">
        <v>321</v>
      </c>
      <c r="AH655" s="598" t="s">
        <v>3309</v>
      </c>
      <c r="AI655" s="598" t="s">
        <v>321</v>
      </c>
      <c r="AJ655" s="599">
        <v>21</v>
      </c>
      <c r="AK655" s="600">
        <v>21</v>
      </c>
      <c r="AL655" s="601">
        <v>0</v>
      </c>
      <c r="AM655" s="601">
        <v>0</v>
      </c>
      <c r="AN655" s="599">
        <v>21</v>
      </c>
    </row>
    <row r="656" spans="1:40" ht="16.5" customHeight="1">
      <c r="A656" s="598" t="s">
        <v>3337</v>
      </c>
      <c r="B656" s="598" t="s">
        <v>3342</v>
      </c>
      <c r="C656" s="598" t="s">
        <v>2861</v>
      </c>
      <c r="D656" s="598" t="s">
        <v>2862</v>
      </c>
      <c r="E656" s="598" t="s">
        <v>321</v>
      </c>
      <c r="F656" s="598" t="s">
        <v>3309</v>
      </c>
      <c r="G656" s="598" t="s">
        <v>3309</v>
      </c>
      <c r="H656" s="598" t="s">
        <v>3309</v>
      </c>
      <c r="I656" s="598" t="s">
        <v>3309</v>
      </c>
      <c r="J656" s="598" t="s">
        <v>3309</v>
      </c>
      <c r="K656" s="598" t="s">
        <v>321</v>
      </c>
      <c r="L656" s="598" t="s">
        <v>321</v>
      </c>
      <c r="M656" s="598" t="s">
        <v>3309</v>
      </c>
      <c r="N656" s="598" t="s">
        <v>3309</v>
      </c>
      <c r="O656" s="598" t="s">
        <v>3309</v>
      </c>
      <c r="P656" s="598" t="s">
        <v>3309</v>
      </c>
      <c r="Q656" s="598" t="s">
        <v>3309</v>
      </c>
      <c r="R656" s="598" t="s">
        <v>321</v>
      </c>
      <c r="S656" s="598" t="s">
        <v>321</v>
      </c>
      <c r="T656" s="598" t="s">
        <v>3309</v>
      </c>
      <c r="U656" s="598" t="s">
        <v>3309</v>
      </c>
      <c r="V656" s="598" t="s">
        <v>3309</v>
      </c>
      <c r="W656" s="598" t="s">
        <v>3309</v>
      </c>
      <c r="X656" s="598" t="s">
        <v>3309</v>
      </c>
      <c r="Y656" s="598" t="s">
        <v>321</v>
      </c>
      <c r="Z656" s="598" t="s">
        <v>321</v>
      </c>
      <c r="AA656" s="598" t="s">
        <v>3309</v>
      </c>
      <c r="AB656" s="598" t="s">
        <v>3309</v>
      </c>
      <c r="AC656" s="598" t="s">
        <v>3309</v>
      </c>
      <c r="AD656" s="598" t="s">
        <v>3309</v>
      </c>
      <c r="AE656" s="598" t="s">
        <v>3309</v>
      </c>
      <c r="AF656" s="598" t="s">
        <v>321</v>
      </c>
      <c r="AG656" s="598" t="s">
        <v>321</v>
      </c>
      <c r="AH656" s="598" t="s">
        <v>3309</v>
      </c>
      <c r="AI656" s="598" t="s">
        <v>321</v>
      </c>
      <c r="AJ656" s="599">
        <v>21</v>
      </c>
      <c r="AK656" s="600">
        <v>21</v>
      </c>
      <c r="AL656" s="601">
        <v>0</v>
      </c>
      <c r="AM656" s="601">
        <v>0</v>
      </c>
      <c r="AN656" s="599">
        <v>21</v>
      </c>
    </row>
    <row r="657" spans="1:40" ht="16.5" customHeight="1">
      <c r="A657" s="598" t="s">
        <v>3337</v>
      </c>
      <c r="B657" s="598" t="s">
        <v>3342</v>
      </c>
      <c r="C657" s="598" t="s">
        <v>1944</v>
      </c>
      <c r="D657" s="598" t="s">
        <v>1945</v>
      </c>
      <c r="E657" s="598" t="s">
        <v>321</v>
      </c>
      <c r="F657" s="598" t="s">
        <v>3309</v>
      </c>
      <c r="G657" s="598" t="s">
        <v>3309</v>
      </c>
      <c r="H657" s="598" t="s">
        <v>3309</v>
      </c>
      <c r="I657" s="598" t="s">
        <v>3309</v>
      </c>
      <c r="J657" s="598" t="s">
        <v>3309</v>
      </c>
      <c r="K657" s="598" t="s">
        <v>321</v>
      </c>
      <c r="L657" s="598" t="s">
        <v>321</v>
      </c>
      <c r="M657" s="598" t="s">
        <v>3309</v>
      </c>
      <c r="N657" s="598" t="s">
        <v>3309</v>
      </c>
      <c r="O657" s="598" t="s">
        <v>3309</v>
      </c>
      <c r="P657" s="598" t="s">
        <v>3309</v>
      </c>
      <c r="Q657" s="598" t="s">
        <v>3309</v>
      </c>
      <c r="R657" s="598" t="s">
        <v>321</v>
      </c>
      <c r="S657" s="598" t="s">
        <v>321</v>
      </c>
      <c r="T657" s="598" t="s">
        <v>3309</v>
      </c>
      <c r="U657" s="598" t="s">
        <v>3309</v>
      </c>
      <c r="V657" s="598" t="s">
        <v>3309</v>
      </c>
      <c r="W657" s="598" t="s">
        <v>3309</v>
      </c>
      <c r="X657" s="598" t="s">
        <v>3309</v>
      </c>
      <c r="Y657" s="598" t="s">
        <v>321</v>
      </c>
      <c r="Z657" s="598" t="s">
        <v>321</v>
      </c>
      <c r="AA657" s="598" t="s">
        <v>3309</v>
      </c>
      <c r="AB657" s="598" t="s">
        <v>3309</v>
      </c>
      <c r="AC657" s="598" t="s">
        <v>3309</v>
      </c>
      <c r="AD657" s="598" t="s">
        <v>3309</v>
      </c>
      <c r="AE657" s="598" t="s">
        <v>3309</v>
      </c>
      <c r="AF657" s="598" t="s">
        <v>321</v>
      </c>
      <c r="AG657" s="598" t="s">
        <v>321</v>
      </c>
      <c r="AH657" s="598" t="s">
        <v>3309</v>
      </c>
      <c r="AI657" s="598" t="s">
        <v>321</v>
      </c>
      <c r="AJ657" s="599">
        <v>21</v>
      </c>
      <c r="AK657" s="600">
        <v>21</v>
      </c>
      <c r="AL657" s="601">
        <v>0</v>
      </c>
      <c r="AM657" s="601">
        <v>0</v>
      </c>
      <c r="AN657" s="599">
        <v>21</v>
      </c>
    </row>
    <row r="658" spans="1:40" ht="16.5" customHeight="1">
      <c r="A658" s="598" t="s">
        <v>3337</v>
      </c>
      <c r="B658" s="598" t="s">
        <v>3342</v>
      </c>
      <c r="C658" s="598" t="s">
        <v>2578</v>
      </c>
      <c r="D658" s="598" t="s">
        <v>2579</v>
      </c>
      <c r="E658" s="598" t="s">
        <v>321</v>
      </c>
      <c r="F658" s="598" t="s">
        <v>3309</v>
      </c>
      <c r="G658" s="598" t="s">
        <v>3309</v>
      </c>
      <c r="H658" s="598" t="s">
        <v>3309</v>
      </c>
      <c r="I658" s="598" t="s">
        <v>3309</v>
      </c>
      <c r="J658" s="598" t="s">
        <v>3309</v>
      </c>
      <c r="K658" s="598" t="s">
        <v>321</v>
      </c>
      <c r="L658" s="598" t="s">
        <v>321</v>
      </c>
      <c r="M658" s="598" t="s">
        <v>3309</v>
      </c>
      <c r="N658" s="598" t="s">
        <v>3309</v>
      </c>
      <c r="O658" s="598" t="s">
        <v>3309</v>
      </c>
      <c r="P658" s="598" t="s">
        <v>3309</v>
      </c>
      <c r="Q658" s="598" t="s">
        <v>3309</v>
      </c>
      <c r="R658" s="598" t="s">
        <v>321</v>
      </c>
      <c r="S658" s="598" t="s">
        <v>321</v>
      </c>
      <c r="T658" s="598" t="s">
        <v>3309</v>
      </c>
      <c r="U658" s="598" t="s">
        <v>3309</v>
      </c>
      <c r="V658" s="598" t="s">
        <v>3309</v>
      </c>
      <c r="W658" s="598" t="s">
        <v>3309</v>
      </c>
      <c r="X658" s="598" t="s">
        <v>3309</v>
      </c>
      <c r="Y658" s="598" t="s">
        <v>321</v>
      </c>
      <c r="Z658" s="598" t="s">
        <v>321</v>
      </c>
      <c r="AA658" s="598" t="s">
        <v>3309</v>
      </c>
      <c r="AB658" s="598" t="s">
        <v>3309</v>
      </c>
      <c r="AC658" s="598" t="s">
        <v>3309</v>
      </c>
      <c r="AD658" s="598" t="s">
        <v>3309</v>
      </c>
      <c r="AE658" s="598" t="s">
        <v>3309</v>
      </c>
      <c r="AF658" s="598" t="s">
        <v>321</v>
      </c>
      <c r="AG658" s="598" t="s">
        <v>321</v>
      </c>
      <c r="AH658" s="598" t="s">
        <v>3309</v>
      </c>
      <c r="AI658" s="598" t="s">
        <v>321</v>
      </c>
      <c r="AJ658" s="599">
        <v>21</v>
      </c>
      <c r="AK658" s="600">
        <v>21</v>
      </c>
      <c r="AL658" s="601">
        <v>0</v>
      </c>
      <c r="AM658" s="601">
        <v>0</v>
      </c>
      <c r="AN658" s="599">
        <v>21</v>
      </c>
    </row>
    <row r="659" spans="1:40" ht="16.5" customHeight="1">
      <c r="A659" s="598" t="s">
        <v>3337</v>
      </c>
      <c r="B659" s="598" t="s">
        <v>3342</v>
      </c>
      <c r="C659" s="598" t="s">
        <v>623</v>
      </c>
      <c r="D659" s="598" t="s">
        <v>624</v>
      </c>
      <c r="E659" s="598" t="s">
        <v>321</v>
      </c>
      <c r="F659" s="598" t="s">
        <v>3309</v>
      </c>
      <c r="G659" s="598" t="s">
        <v>3309</v>
      </c>
      <c r="H659" s="598" t="s">
        <v>3312</v>
      </c>
      <c r="I659" s="598" t="s">
        <v>3309</v>
      </c>
      <c r="J659" s="598" t="s">
        <v>3309</v>
      </c>
      <c r="K659" s="598" t="s">
        <v>321</v>
      </c>
      <c r="L659" s="598" t="s">
        <v>321</v>
      </c>
      <c r="M659" s="598" t="s">
        <v>3309</v>
      </c>
      <c r="N659" s="598" t="s">
        <v>3309</v>
      </c>
      <c r="O659" s="598" t="s">
        <v>3309</v>
      </c>
      <c r="P659" s="598" t="s">
        <v>3309</v>
      </c>
      <c r="Q659" s="598" t="s">
        <v>3309</v>
      </c>
      <c r="R659" s="598" t="s">
        <v>321</v>
      </c>
      <c r="S659" s="598" t="s">
        <v>321</v>
      </c>
      <c r="T659" s="598" t="s">
        <v>3309</v>
      </c>
      <c r="U659" s="598" t="s">
        <v>3309</v>
      </c>
      <c r="V659" s="598" t="s">
        <v>3309</v>
      </c>
      <c r="W659" s="598" t="s">
        <v>3309</v>
      </c>
      <c r="X659" s="598" t="s">
        <v>3309</v>
      </c>
      <c r="Y659" s="598" t="s">
        <v>321</v>
      </c>
      <c r="Z659" s="598" t="s">
        <v>321</v>
      </c>
      <c r="AA659" s="598" t="s">
        <v>3309</v>
      </c>
      <c r="AB659" s="598" t="s">
        <v>3309</v>
      </c>
      <c r="AC659" s="598" t="s">
        <v>3309</v>
      </c>
      <c r="AD659" s="598" t="s">
        <v>3309</v>
      </c>
      <c r="AE659" s="598" t="s">
        <v>3309</v>
      </c>
      <c r="AF659" s="598" t="s">
        <v>321</v>
      </c>
      <c r="AG659" s="598" t="s">
        <v>321</v>
      </c>
      <c r="AH659" s="598" t="s">
        <v>3312</v>
      </c>
      <c r="AI659" s="598" t="s">
        <v>321</v>
      </c>
      <c r="AJ659" s="599">
        <v>21</v>
      </c>
      <c r="AK659" s="600">
        <v>19</v>
      </c>
      <c r="AL659" s="602">
        <v>2</v>
      </c>
      <c r="AM659" s="601">
        <v>0</v>
      </c>
      <c r="AN659" s="599">
        <v>21</v>
      </c>
    </row>
    <row r="660" spans="1:40" ht="16.5" customHeight="1">
      <c r="A660" s="598" t="s">
        <v>3337</v>
      </c>
      <c r="B660" s="598" t="s">
        <v>3342</v>
      </c>
      <c r="C660" s="598" t="s">
        <v>1415</v>
      </c>
      <c r="D660" s="598" t="s">
        <v>1416</v>
      </c>
      <c r="E660" s="598" t="s">
        <v>321</v>
      </c>
      <c r="F660" s="598" t="s">
        <v>3309</v>
      </c>
      <c r="G660" s="598" t="s">
        <v>3309</v>
      </c>
      <c r="H660" s="598" t="s">
        <v>3309</v>
      </c>
      <c r="I660" s="598" t="s">
        <v>3309</v>
      </c>
      <c r="J660" s="598" t="s">
        <v>3309</v>
      </c>
      <c r="K660" s="598" t="s">
        <v>321</v>
      </c>
      <c r="L660" s="598" t="s">
        <v>321</v>
      </c>
      <c r="M660" s="598" t="s">
        <v>3309</v>
      </c>
      <c r="N660" s="598" t="s">
        <v>3309</v>
      </c>
      <c r="O660" s="598" t="s">
        <v>3309</v>
      </c>
      <c r="P660" s="598" t="s">
        <v>3309</v>
      </c>
      <c r="Q660" s="598" t="s">
        <v>3309</v>
      </c>
      <c r="R660" s="598" t="s">
        <v>321</v>
      </c>
      <c r="S660" s="598" t="s">
        <v>321</v>
      </c>
      <c r="T660" s="598" t="s">
        <v>3309</v>
      </c>
      <c r="U660" s="598" t="s">
        <v>3309</v>
      </c>
      <c r="V660" s="598" t="s">
        <v>3309</v>
      </c>
      <c r="W660" s="598" t="s">
        <v>3309</v>
      </c>
      <c r="X660" s="598" t="s">
        <v>3309</v>
      </c>
      <c r="Y660" s="598" t="s">
        <v>321</v>
      </c>
      <c r="Z660" s="598" t="s">
        <v>321</v>
      </c>
      <c r="AA660" s="598" t="s">
        <v>3309</v>
      </c>
      <c r="AB660" s="598" t="s">
        <v>3309</v>
      </c>
      <c r="AC660" s="598" t="s">
        <v>3309</v>
      </c>
      <c r="AD660" s="598" t="s">
        <v>3309</v>
      </c>
      <c r="AE660" s="598" t="s">
        <v>3309</v>
      </c>
      <c r="AF660" s="598" t="s">
        <v>321</v>
      </c>
      <c r="AG660" s="598" t="s">
        <v>321</v>
      </c>
      <c r="AH660" s="598" t="s">
        <v>3309</v>
      </c>
      <c r="AI660" s="598" t="s">
        <v>321</v>
      </c>
      <c r="AJ660" s="599">
        <v>21</v>
      </c>
      <c r="AK660" s="600">
        <v>21</v>
      </c>
      <c r="AL660" s="601">
        <v>0</v>
      </c>
      <c r="AM660" s="601">
        <v>0</v>
      </c>
      <c r="AN660" s="599">
        <v>21</v>
      </c>
    </row>
    <row r="661" spans="1:40" ht="16.5" customHeight="1">
      <c r="A661" s="598" t="s">
        <v>3337</v>
      </c>
      <c r="B661" s="598" t="s">
        <v>3342</v>
      </c>
      <c r="C661" s="598" t="s">
        <v>2754</v>
      </c>
      <c r="D661" s="598" t="s">
        <v>2755</v>
      </c>
      <c r="E661" s="598" t="s">
        <v>321</v>
      </c>
      <c r="F661" s="598" t="s">
        <v>3309</v>
      </c>
      <c r="G661" s="598" t="s">
        <v>3309</v>
      </c>
      <c r="H661" s="598" t="s">
        <v>3309</v>
      </c>
      <c r="I661" s="598" t="s">
        <v>3309</v>
      </c>
      <c r="J661" s="598" t="s">
        <v>3309</v>
      </c>
      <c r="K661" s="598" t="s">
        <v>321</v>
      </c>
      <c r="L661" s="598" t="s">
        <v>321</v>
      </c>
      <c r="M661" s="598" t="s">
        <v>3309</v>
      </c>
      <c r="N661" s="598" t="s">
        <v>3309</v>
      </c>
      <c r="O661" s="598" t="s">
        <v>3309</v>
      </c>
      <c r="P661" s="598" t="s">
        <v>3309</v>
      </c>
      <c r="Q661" s="598" t="s">
        <v>3309</v>
      </c>
      <c r="R661" s="598" t="s">
        <v>321</v>
      </c>
      <c r="S661" s="598" t="s">
        <v>321</v>
      </c>
      <c r="T661" s="598" t="s">
        <v>3309</v>
      </c>
      <c r="U661" s="598" t="s">
        <v>3309</v>
      </c>
      <c r="V661" s="598" t="s">
        <v>3309</v>
      </c>
      <c r="W661" s="598" t="s">
        <v>3309</v>
      </c>
      <c r="X661" s="598" t="s">
        <v>3309</v>
      </c>
      <c r="Y661" s="598" t="s">
        <v>321</v>
      </c>
      <c r="Z661" s="598" t="s">
        <v>321</v>
      </c>
      <c r="AA661" s="598" t="s">
        <v>3309</v>
      </c>
      <c r="AB661" s="598" t="s">
        <v>3309</v>
      </c>
      <c r="AC661" s="598" t="s">
        <v>3309</v>
      </c>
      <c r="AD661" s="598" t="s">
        <v>3309</v>
      </c>
      <c r="AE661" s="598" t="s">
        <v>3309</v>
      </c>
      <c r="AF661" s="598" t="s">
        <v>321</v>
      </c>
      <c r="AG661" s="598" t="s">
        <v>321</v>
      </c>
      <c r="AH661" s="598" t="s">
        <v>3309</v>
      </c>
      <c r="AI661" s="598" t="s">
        <v>321</v>
      </c>
      <c r="AJ661" s="599">
        <v>21</v>
      </c>
      <c r="AK661" s="600">
        <v>21</v>
      </c>
      <c r="AL661" s="601">
        <v>0</v>
      </c>
      <c r="AM661" s="601">
        <v>0</v>
      </c>
      <c r="AN661" s="599">
        <v>21</v>
      </c>
    </row>
    <row r="662" spans="1:40" ht="16.5" customHeight="1">
      <c r="A662" s="598" t="s">
        <v>3337</v>
      </c>
      <c r="B662" s="598" t="s">
        <v>3342</v>
      </c>
      <c r="C662" s="598" t="s">
        <v>1745</v>
      </c>
      <c r="D662" s="598" t="s">
        <v>1746</v>
      </c>
      <c r="E662" s="598" t="s">
        <v>321</v>
      </c>
      <c r="F662" s="598" t="s">
        <v>3309</v>
      </c>
      <c r="G662" s="598" t="s">
        <v>3309</v>
      </c>
      <c r="H662" s="598" t="s">
        <v>3309</v>
      </c>
      <c r="I662" s="598" t="s">
        <v>3309</v>
      </c>
      <c r="J662" s="598" t="s">
        <v>3309</v>
      </c>
      <c r="K662" s="598" t="s">
        <v>321</v>
      </c>
      <c r="L662" s="598" t="s">
        <v>321</v>
      </c>
      <c r="M662" s="598" t="s">
        <v>3309</v>
      </c>
      <c r="N662" s="598" t="s">
        <v>3309</v>
      </c>
      <c r="O662" s="598" t="s">
        <v>3309</v>
      </c>
      <c r="P662" s="598" t="s">
        <v>3309</v>
      </c>
      <c r="Q662" s="598" t="s">
        <v>3309</v>
      </c>
      <c r="R662" s="598" t="s">
        <v>321</v>
      </c>
      <c r="S662" s="598" t="s">
        <v>321</v>
      </c>
      <c r="T662" s="598" t="s">
        <v>3309</v>
      </c>
      <c r="U662" s="598" t="s">
        <v>3309</v>
      </c>
      <c r="V662" s="598" t="s">
        <v>3309</v>
      </c>
      <c r="W662" s="598" t="s">
        <v>3309</v>
      </c>
      <c r="X662" s="598" t="s">
        <v>3309</v>
      </c>
      <c r="Y662" s="598" t="s">
        <v>321</v>
      </c>
      <c r="Z662" s="598" t="s">
        <v>321</v>
      </c>
      <c r="AA662" s="598" t="s">
        <v>3309</v>
      </c>
      <c r="AB662" s="598" t="s">
        <v>3309</v>
      </c>
      <c r="AC662" s="598" t="s">
        <v>3309</v>
      </c>
      <c r="AD662" s="598" t="s">
        <v>3309</v>
      </c>
      <c r="AE662" s="598" t="s">
        <v>3309</v>
      </c>
      <c r="AF662" s="598" t="s">
        <v>321</v>
      </c>
      <c r="AG662" s="598" t="s">
        <v>321</v>
      </c>
      <c r="AH662" s="598" t="s">
        <v>3309</v>
      </c>
      <c r="AI662" s="598" t="s">
        <v>321</v>
      </c>
      <c r="AJ662" s="599">
        <v>21</v>
      </c>
      <c r="AK662" s="600">
        <v>21</v>
      </c>
      <c r="AL662" s="601">
        <v>0</v>
      </c>
      <c r="AM662" s="601">
        <v>0</v>
      </c>
      <c r="AN662" s="599">
        <v>21</v>
      </c>
    </row>
    <row r="663" spans="1:40" ht="16.5" customHeight="1">
      <c r="A663" s="598" t="s">
        <v>3337</v>
      </c>
      <c r="B663" s="598" t="s">
        <v>3342</v>
      </c>
      <c r="C663" s="598" t="s">
        <v>752</v>
      </c>
      <c r="D663" s="598" t="s">
        <v>753</v>
      </c>
      <c r="E663" s="598" t="s">
        <v>321</v>
      </c>
      <c r="F663" s="598" t="s">
        <v>3309</v>
      </c>
      <c r="G663" s="598" t="s">
        <v>3309</v>
      </c>
      <c r="H663" s="598" t="s">
        <v>3309</v>
      </c>
      <c r="I663" s="598" t="s">
        <v>3309</v>
      </c>
      <c r="J663" s="598" t="s">
        <v>3309</v>
      </c>
      <c r="K663" s="598" t="s">
        <v>321</v>
      </c>
      <c r="L663" s="598" t="s">
        <v>321</v>
      </c>
      <c r="M663" s="598" t="s">
        <v>3309</v>
      </c>
      <c r="N663" s="598" t="s">
        <v>3309</v>
      </c>
      <c r="O663" s="598" t="s">
        <v>3309</v>
      </c>
      <c r="P663" s="598" t="s">
        <v>3309</v>
      </c>
      <c r="Q663" s="598" t="s">
        <v>3309</v>
      </c>
      <c r="R663" s="598" t="s">
        <v>321</v>
      </c>
      <c r="S663" s="598" t="s">
        <v>321</v>
      </c>
      <c r="T663" s="598" t="s">
        <v>3309</v>
      </c>
      <c r="U663" s="598" t="s">
        <v>3309</v>
      </c>
      <c r="V663" s="598" t="s">
        <v>3309</v>
      </c>
      <c r="W663" s="598" t="s">
        <v>3309</v>
      </c>
      <c r="X663" s="598" t="s">
        <v>3309</v>
      </c>
      <c r="Y663" s="598" t="s">
        <v>321</v>
      </c>
      <c r="Z663" s="598" t="s">
        <v>321</v>
      </c>
      <c r="AA663" s="598" t="s">
        <v>3309</v>
      </c>
      <c r="AB663" s="598" t="s">
        <v>3309</v>
      </c>
      <c r="AC663" s="598" t="s">
        <v>3309</v>
      </c>
      <c r="AD663" s="598" t="s">
        <v>3309</v>
      </c>
      <c r="AE663" s="598" t="s">
        <v>3309</v>
      </c>
      <c r="AF663" s="598" t="s">
        <v>321</v>
      </c>
      <c r="AG663" s="598" t="s">
        <v>321</v>
      </c>
      <c r="AH663" s="598" t="s">
        <v>3309</v>
      </c>
      <c r="AI663" s="598" t="s">
        <v>321</v>
      </c>
      <c r="AJ663" s="599">
        <v>21</v>
      </c>
      <c r="AK663" s="600">
        <v>21</v>
      </c>
      <c r="AL663" s="601">
        <v>0</v>
      </c>
      <c r="AM663" s="601">
        <v>0</v>
      </c>
      <c r="AN663" s="599">
        <v>21</v>
      </c>
    </row>
    <row r="664" spans="1:40" ht="16.5" customHeight="1">
      <c r="A664" s="598" t="s">
        <v>3337</v>
      </c>
      <c r="B664" s="598" t="s">
        <v>3342</v>
      </c>
      <c r="C664" s="598" t="s">
        <v>1875</v>
      </c>
      <c r="D664" s="598" t="s">
        <v>1876</v>
      </c>
      <c r="E664" s="598" t="s">
        <v>321</v>
      </c>
      <c r="F664" s="598" t="s">
        <v>3309</v>
      </c>
      <c r="G664" s="598" t="s">
        <v>3309</v>
      </c>
      <c r="H664" s="598" t="s">
        <v>3309</v>
      </c>
      <c r="I664" s="598" t="s">
        <v>3309</v>
      </c>
      <c r="J664" s="598" t="s">
        <v>3314</v>
      </c>
      <c r="K664" s="598" t="s">
        <v>321</v>
      </c>
      <c r="L664" s="598" t="s">
        <v>321</v>
      </c>
      <c r="M664" s="598" t="s">
        <v>3309</v>
      </c>
      <c r="N664" s="598" t="s">
        <v>3309</v>
      </c>
      <c r="O664" s="598" t="s">
        <v>3309</v>
      </c>
      <c r="P664" s="598" t="s">
        <v>3309</v>
      </c>
      <c r="Q664" s="598" t="s">
        <v>3309</v>
      </c>
      <c r="R664" s="598" t="s">
        <v>321</v>
      </c>
      <c r="S664" s="598" t="s">
        <v>321</v>
      </c>
      <c r="T664" s="598" t="s">
        <v>3309</v>
      </c>
      <c r="U664" s="598" t="s">
        <v>3309</v>
      </c>
      <c r="V664" s="598" t="s">
        <v>3309</v>
      </c>
      <c r="W664" s="598" t="s">
        <v>3309</v>
      </c>
      <c r="X664" s="598" t="s">
        <v>3309</v>
      </c>
      <c r="Y664" s="598" t="s">
        <v>321</v>
      </c>
      <c r="Z664" s="598" t="s">
        <v>321</v>
      </c>
      <c r="AA664" s="598" t="s">
        <v>3309</v>
      </c>
      <c r="AB664" s="598" t="s">
        <v>3309</v>
      </c>
      <c r="AC664" s="598" t="s">
        <v>3309</v>
      </c>
      <c r="AD664" s="598" t="s">
        <v>3309</v>
      </c>
      <c r="AE664" s="598" t="s">
        <v>3309</v>
      </c>
      <c r="AF664" s="598" t="s">
        <v>321</v>
      </c>
      <c r="AG664" s="598" t="s">
        <v>321</v>
      </c>
      <c r="AH664" s="598" t="s">
        <v>3309</v>
      </c>
      <c r="AI664" s="598" t="s">
        <v>321</v>
      </c>
      <c r="AJ664" s="599">
        <v>21</v>
      </c>
      <c r="AK664" s="603">
        <v>20.5</v>
      </c>
      <c r="AL664" s="604">
        <v>0.5</v>
      </c>
      <c r="AM664" s="601">
        <v>0</v>
      </c>
      <c r="AN664" s="599">
        <v>21</v>
      </c>
    </row>
    <row r="665" spans="1:40" ht="16.5" customHeight="1">
      <c r="A665" s="598" t="s">
        <v>3337</v>
      </c>
      <c r="B665" s="598" t="s">
        <v>3342</v>
      </c>
      <c r="C665" s="598" t="s">
        <v>1883</v>
      </c>
      <c r="D665" s="598" t="s">
        <v>1884</v>
      </c>
      <c r="E665" s="598" t="s">
        <v>321</v>
      </c>
      <c r="F665" s="598" t="s">
        <v>3309</v>
      </c>
      <c r="G665" s="598" t="s">
        <v>3309</v>
      </c>
      <c r="H665" s="598" t="s">
        <v>3309</v>
      </c>
      <c r="I665" s="598" t="s">
        <v>3309</v>
      </c>
      <c r="J665" s="598" t="s">
        <v>3309</v>
      </c>
      <c r="K665" s="598" t="s">
        <v>321</v>
      </c>
      <c r="L665" s="598" t="s">
        <v>321</v>
      </c>
      <c r="M665" s="598" t="s">
        <v>3309</v>
      </c>
      <c r="N665" s="598" t="s">
        <v>3309</v>
      </c>
      <c r="O665" s="598" t="s">
        <v>3309</v>
      </c>
      <c r="P665" s="598" t="s">
        <v>3309</v>
      </c>
      <c r="Q665" s="598" t="s">
        <v>3309</v>
      </c>
      <c r="R665" s="598" t="s">
        <v>321</v>
      </c>
      <c r="S665" s="598" t="s">
        <v>321</v>
      </c>
      <c r="T665" s="598" t="s">
        <v>3309</v>
      </c>
      <c r="U665" s="598" t="s">
        <v>3309</v>
      </c>
      <c r="V665" s="598" t="s">
        <v>3309</v>
      </c>
      <c r="W665" s="598" t="s">
        <v>3309</v>
      </c>
      <c r="X665" s="598" t="s">
        <v>3309</v>
      </c>
      <c r="Y665" s="598" t="s">
        <v>321</v>
      </c>
      <c r="Z665" s="598" t="s">
        <v>321</v>
      </c>
      <c r="AA665" s="598" t="s">
        <v>3309</v>
      </c>
      <c r="AB665" s="598" t="s">
        <v>3309</v>
      </c>
      <c r="AC665" s="598" t="s">
        <v>3309</v>
      </c>
      <c r="AD665" s="598" t="s">
        <v>3309</v>
      </c>
      <c r="AE665" s="598" t="s">
        <v>3309</v>
      </c>
      <c r="AF665" s="598" t="s">
        <v>321</v>
      </c>
      <c r="AG665" s="598" t="s">
        <v>321</v>
      </c>
      <c r="AH665" s="598" t="s">
        <v>3309</v>
      </c>
      <c r="AI665" s="598" t="s">
        <v>321</v>
      </c>
      <c r="AJ665" s="599">
        <v>21</v>
      </c>
      <c r="AK665" s="600">
        <v>21</v>
      </c>
      <c r="AL665" s="601">
        <v>0</v>
      </c>
      <c r="AM665" s="601">
        <v>0</v>
      </c>
      <c r="AN665" s="599">
        <v>21</v>
      </c>
    </row>
    <row r="666" spans="1:40" ht="16.5" customHeight="1">
      <c r="A666" s="598" t="s">
        <v>3337</v>
      </c>
      <c r="B666" s="598" t="s">
        <v>3342</v>
      </c>
      <c r="C666" s="598" t="s">
        <v>1273</v>
      </c>
      <c r="D666" s="598" t="s">
        <v>1274</v>
      </c>
      <c r="E666" s="598" t="s">
        <v>321</v>
      </c>
      <c r="F666" s="598" t="s">
        <v>3309</v>
      </c>
      <c r="G666" s="598" t="s">
        <v>3309</v>
      </c>
      <c r="H666" s="598" t="s">
        <v>3309</v>
      </c>
      <c r="I666" s="598" t="s">
        <v>3309</v>
      </c>
      <c r="J666" s="598" t="s">
        <v>3309</v>
      </c>
      <c r="K666" s="598" t="s">
        <v>321</v>
      </c>
      <c r="L666" s="598" t="s">
        <v>321</v>
      </c>
      <c r="M666" s="598" t="s">
        <v>3309</v>
      </c>
      <c r="N666" s="598" t="s">
        <v>3313</v>
      </c>
      <c r="O666" s="598" t="s">
        <v>3313</v>
      </c>
      <c r="P666" s="598" t="s">
        <v>3313</v>
      </c>
      <c r="Q666" s="598" t="s">
        <v>3312</v>
      </c>
      <c r="R666" s="598" t="s">
        <v>321</v>
      </c>
      <c r="S666" s="598" t="s">
        <v>321</v>
      </c>
      <c r="T666" s="598" t="s">
        <v>3309</v>
      </c>
      <c r="U666" s="598" t="s">
        <v>3309</v>
      </c>
      <c r="V666" s="598" t="s">
        <v>3309</v>
      </c>
      <c r="W666" s="598" t="s">
        <v>3309</v>
      </c>
      <c r="X666" s="598" t="s">
        <v>3309</v>
      </c>
      <c r="Y666" s="598" t="s">
        <v>321</v>
      </c>
      <c r="Z666" s="598" t="s">
        <v>321</v>
      </c>
      <c r="AA666" s="598" t="s">
        <v>3309</v>
      </c>
      <c r="AB666" s="598" t="s">
        <v>3309</v>
      </c>
      <c r="AC666" s="598" t="s">
        <v>3309</v>
      </c>
      <c r="AD666" s="598" t="s">
        <v>3309</v>
      </c>
      <c r="AE666" s="598" t="s">
        <v>3309</v>
      </c>
      <c r="AF666" s="598" t="s">
        <v>321</v>
      </c>
      <c r="AG666" s="598" t="s">
        <v>321</v>
      </c>
      <c r="AH666" s="598" t="s">
        <v>3309</v>
      </c>
      <c r="AI666" s="598" t="s">
        <v>321</v>
      </c>
      <c r="AJ666" s="599">
        <v>21</v>
      </c>
      <c r="AK666" s="600">
        <v>20</v>
      </c>
      <c r="AL666" s="602">
        <v>1</v>
      </c>
      <c r="AM666" s="601">
        <v>0</v>
      </c>
      <c r="AN666" s="599">
        <v>21</v>
      </c>
    </row>
    <row r="667" spans="1:40" ht="16.5" customHeight="1">
      <c r="A667" s="598" t="s">
        <v>3337</v>
      </c>
      <c r="B667" s="598" t="s">
        <v>3342</v>
      </c>
      <c r="C667" s="598" t="s">
        <v>1351</v>
      </c>
      <c r="D667" s="598" t="s">
        <v>1352</v>
      </c>
      <c r="E667" s="598" t="s">
        <v>321</v>
      </c>
      <c r="F667" s="598" t="s">
        <v>3309</v>
      </c>
      <c r="G667" s="598" t="s">
        <v>3309</v>
      </c>
      <c r="H667" s="598" t="s">
        <v>3309</v>
      </c>
      <c r="I667" s="598" t="s">
        <v>3309</v>
      </c>
      <c r="J667" s="598" t="s">
        <v>3309</v>
      </c>
      <c r="K667" s="598" t="s">
        <v>321</v>
      </c>
      <c r="L667" s="598" t="s">
        <v>321</v>
      </c>
      <c r="M667" s="598" t="s">
        <v>3309</v>
      </c>
      <c r="N667" s="598" t="s">
        <v>3309</v>
      </c>
      <c r="O667" s="598" t="s">
        <v>3309</v>
      </c>
      <c r="P667" s="598" t="s">
        <v>3309</v>
      </c>
      <c r="Q667" s="598" t="s">
        <v>3309</v>
      </c>
      <c r="R667" s="598" t="s">
        <v>321</v>
      </c>
      <c r="S667" s="598" t="s">
        <v>321</v>
      </c>
      <c r="T667" s="598" t="s">
        <v>3309</v>
      </c>
      <c r="U667" s="598" t="s">
        <v>3309</v>
      </c>
      <c r="V667" s="598" t="s">
        <v>3309</v>
      </c>
      <c r="W667" s="598" t="s">
        <v>3309</v>
      </c>
      <c r="X667" s="598" t="s">
        <v>3309</v>
      </c>
      <c r="Y667" s="598" t="s">
        <v>321</v>
      </c>
      <c r="Z667" s="598" t="s">
        <v>321</v>
      </c>
      <c r="AA667" s="598" t="s">
        <v>3309</v>
      </c>
      <c r="AB667" s="598" t="s">
        <v>3309</v>
      </c>
      <c r="AC667" s="598" t="s">
        <v>3309</v>
      </c>
      <c r="AD667" s="598" t="s">
        <v>3309</v>
      </c>
      <c r="AE667" s="598" t="s">
        <v>3309</v>
      </c>
      <c r="AF667" s="598" t="s">
        <v>321</v>
      </c>
      <c r="AG667" s="598" t="s">
        <v>321</v>
      </c>
      <c r="AH667" s="598" t="s">
        <v>3309</v>
      </c>
      <c r="AI667" s="598" t="s">
        <v>321</v>
      </c>
      <c r="AJ667" s="599">
        <v>21</v>
      </c>
      <c r="AK667" s="600">
        <v>21</v>
      </c>
      <c r="AL667" s="601">
        <v>0</v>
      </c>
      <c r="AM667" s="601">
        <v>0</v>
      </c>
      <c r="AN667" s="599">
        <v>21</v>
      </c>
    </row>
    <row r="668" spans="1:40" ht="16.5" customHeight="1">
      <c r="A668" s="598" t="s">
        <v>3337</v>
      </c>
      <c r="B668" s="598" t="s">
        <v>3342</v>
      </c>
      <c r="C668" s="598" t="s">
        <v>1173</v>
      </c>
      <c r="D668" s="598" t="s">
        <v>1174</v>
      </c>
      <c r="E668" s="598" t="s">
        <v>321</v>
      </c>
      <c r="F668" s="598" t="s">
        <v>3309</v>
      </c>
      <c r="G668" s="598" t="s">
        <v>3309</v>
      </c>
      <c r="H668" s="598" t="s">
        <v>3309</v>
      </c>
      <c r="I668" s="598" t="s">
        <v>3309</v>
      </c>
      <c r="J668" s="598" t="s">
        <v>3309</v>
      </c>
      <c r="K668" s="598" t="s">
        <v>321</v>
      </c>
      <c r="L668" s="598" t="s">
        <v>321</v>
      </c>
      <c r="M668" s="598" t="s">
        <v>3309</v>
      </c>
      <c r="N668" s="598" t="s">
        <v>3309</v>
      </c>
      <c r="O668" s="598" t="s">
        <v>3309</v>
      </c>
      <c r="P668" s="598" t="s">
        <v>3309</v>
      </c>
      <c r="Q668" s="598" t="s">
        <v>3309</v>
      </c>
      <c r="R668" s="598" t="s">
        <v>321</v>
      </c>
      <c r="S668" s="598" t="s">
        <v>321</v>
      </c>
      <c r="T668" s="598" t="s">
        <v>3309</v>
      </c>
      <c r="U668" s="598" t="s">
        <v>3309</v>
      </c>
      <c r="V668" s="598" t="s">
        <v>3309</v>
      </c>
      <c r="W668" s="598" t="s">
        <v>3309</v>
      </c>
      <c r="X668" s="598" t="s">
        <v>3309</v>
      </c>
      <c r="Y668" s="598" t="s">
        <v>321</v>
      </c>
      <c r="Z668" s="598" t="s">
        <v>321</v>
      </c>
      <c r="AA668" s="598" t="s">
        <v>3309</v>
      </c>
      <c r="AB668" s="598" t="s">
        <v>3309</v>
      </c>
      <c r="AC668" s="598" t="s">
        <v>3309</v>
      </c>
      <c r="AD668" s="598" t="s">
        <v>3309</v>
      </c>
      <c r="AE668" s="598" t="s">
        <v>3309</v>
      </c>
      <c r="AF668" s="598" t="s">
        <v>321</v>
      </c>
      <c r="AG668" s="598" t="s">
        <v>321</v>
      </c>
      <c r="AH668" s="598" t="s">
        <v>3309</v>
      </c>
      <c r="AI668" s="598" t="s">
        <v>321</v>
      </c>
      <c r="AJ668" s="599">
        <v>21</v>
      </c>
      <c r="AK668" s="600">
        <v>21</v>
      </c>
      <c r="AL668" s="601">
        <v>0</v>
      </c>
      <c r="AM668" s="601">
        <v>0</v>
      </c>
      <c r="AN668" s="599">
        <v>21</v>
      </c>
    </row>
    <row r="669" spans="1:40" ht="16.5" customHeight="1">
      <c r="A669" s="598" t="s">
        <v>3337</v>
      </c>
      <c r="B669" s="598" t="s">
        <v>3342</v>
      </c>
      <c r="C669" s="598" t="s">
        <v>1972</v>
      </c>
      <c r="D669" s="598" t="s">
        <v>1973</v>
      </c>
      <c r="E669" s="598" t="s">
        <v>321</v>
      </c>
      <c r="F669" s="598" t="s">
        <v>3309</v>
      </c>
      <c r="G669" s="598" t="s">
        <v>3309</v>
      </c>
      <c r="H669" s="598" t="s">
        <v>3309</v>
      </c>
      <c r="I669" s="598" t="s">
        <v>3309</v>
      </c>
      <c r="J669" s="598" t="s">
        <v>3309</v>
      </c>
      <c r="K669" s="598" t="s">
        <v>321</v>
      </c>
      <c r="L669" s="598" t="s">
        <v>321</v>
      </c>
      <c r="M669" s="598" t="s">
        <v>3309</v>
      </c>
      <c r="N669" s="598" t="s">
        <v>3309</v>
      </c>
      <c r="O669" s="598" t="s">
        <v>3309</v>
      </c>
      <c r="P669" s="598" t="s">
        <v>3309</v>
      </c>
      <c r="Q669" s="598" t="s">
        <v>3309</v>
      </c>
      <c r="R669" s="598" t="s">
        <v>321</v>
      </c>
      <c r="S669" s="598" t="s">
        <v>321</v>
      </c>
      <c r="T669" s="598" t="s">
        <v>3309</v>
      </c>
      <c r="U669" s="598" t="s">
        <v>3309</v>
      </c>
      <c r="V669" s="598" t="s">
        <v>3309</v>
      </c>
      <c r="W669" s="598" t="s">
        <v>3309</v>
      </c>
      <c r="X669" s="598" t="s">
        <v>3309</v>
      </c>
      <c r="Y669" s="598" t="s">
        <v>321</v>
      </c>
      <c r="Z669" s="598" t="s">
        <v>321</v>
      </c>
      <c r="AA669" s="598" t="s">
        <v>3309</v>
      </c>
      <c r="AB669" s="598" t="s">
        <v>3309</v>
      </c>
      <c r="AC669" s="598" t="s">
        <v>3309</v>
      </c>
      <c r="AD669" s="598" t="s">
        <v>3309</v>
      </c>
      <c r="AE669" s="598" t="s">
        <v>3309</v>
      </c>
      <c r="AF669" s="598" t="s">
        <v>321</v>
      </c>
      <c r="AG669" s="598" t="s">
        <v>321</v>
      </c>
      <c r="AH669" s="598" t="s">
        <v>3309</v>
      </c>
      <c r="AI669" s="598" t="s">
        <v>321</v>
      </c>
      <c r="AJ669" s="599">
        <v>21</v>
      </c>
      <c r="AK669" s="600">
        <v>21</v>
      </c>
      <c r="AL669" s="601">
        <v>0</v>
      </c>
      <c r="AM669" s="601">
        <v>0</v>
      </c>
      <c r="AN669" s="599">
        <v>21</v>
      </c>
    </row>
    <row r="670" spans="1:40" ht="16.5" customHeight="1">
      <c r="A670" s="598" t="s">
        <v>3337</v>
      </c>
      <c r="B670" s="598" t="s">
        <v>3342</v>
      </c>
      <c r="C670" s="598" t="s">
        <v>1290</v>
      </c>
      <c r="D670" s="598" t="s">
        <v>1291</v>
      </c>
      <c r="E670" s="598" t="s">
        <v>321</v>
      </c>
      <c r="F670" s="598" t="s">
        <v>3309</v>
      </c>
      <c r="G670" s="598" t="s">
        <v>3309</v>
      </c>
      <c r="H670" s="598" t="s">
        <v>3309</v>
      </c>
      <c r="I670" s="598" t="s">
        <v>3309</v>
      </c>
      <c r="J670" s="598" t="s">
        <v>3309</v>
      </c>
      <c r="K670" s="598" t="s">
        <v>321</v>
      </c>
      <c r="L670" s="598" t="s">
        <v>321</v>
      </c>
      <c r="M670" s="598" t="s">
        <v>3309</v>
      </c>
      <c r="N670" s="598" t="s">
        <v>3309</v>
      </c>
      <c r="O670" s="598" t="s">
        <v>3309</v>
      </c>
      <c r="P670" s="598" t="s">
        <v>3309</v>
      </c>
      <c r="Q670" s="598" t="s">
        <v>3309</v>
      </c>
      <c r="R670" s="598" t="s">
        <v>321</v>
      </c>
      <c r="S670" s="598" t="s">
        <v>321</v>
      </c>
      <c r="T670" s="598" t="s">
        <v>3309</v>
      </c>
      <c r="U670" s="598" t="s">
        <v>3309</v>
      </c>
      <c r="V670" s="598" t="s">
        <v>3309</v>
      </c>
      <c r="W670" s="598" t="s">
        <v>3309</v>
      </c>
      <c r="X670" s="598" t="s">
        <v>3309</v>
      </c>
      <c r="Y670" s="598" t="s">
        <v>321</v>
      </c>
      <c r="Z670" s="598" t="s">
        <v>321</v>
      </c>
      <c r="AA670" s="598" t="s">
        <v>3309</v>
      </c>
      <c r="AB670" s="598" t="s">
        <v>3309</v>
      </c>
      <c r="AC670" s="598" t="s">
        <v>3309</v>
      </c>
      <c r="AD670" s="598" t="s">
        <v>3309</v>
      </c>
      <c r="AE670" s="598" t="s">
        <v>3309</v>
      </c>
      <c r="AF670" s="598" t="s">
        <v>321</v>
      </c>
      <c r="AG670" s="598" t="s">
        <v>321</v>
      </c>
      <c r="AH670" s="598" t="s">
        <v>3309</v>
      </c>
      <c r="AI670" s="598" t="s">
        <v>321</v>
      </c>
      <c r="AJ670" s="599">
        <v>21</v>
      </c>
      <c r="AK670" s="600">
        <v>21</v>
      </c>
      <c r="AL670" s="601">
        <v>0</v>
      </c>
      <c r="AM670" s="601">
        <v>0</v>
      </c>
      <c r="AN670" s="599">
        <v>21</v>
      </c>
    </row>
    <row r="671" spans="1:40" ht="16.5" customHeight="1">
      <c r="A671" s="598" t="s">
        <v>3337</v>
      </c>
      <c r="B671" s="598" t="s">
        <v>3342</v>
      </c>
      <c r="C671" s="598" t="s">
        <v>1064</v>
      </c>
      <c r="D671" s="598" t="s">
        <v>1065</v>
      </c>
      <c r="E671" s="598" t="s">
        <v>321</v>
      </c>
      <c r="F671" s="598" t="s">
        <v>3309</v>
      </c>
      <c r="G671" s="598" t="s">
        <v>3309</v>
      </c>
      <c r="H671" s="598" t="s">
        <v>3309</v>
      </c>
      <c r="I671" s="598" t="s">
        <v>3309</v>
      </c>
      <c r="J671" s="598" t="s">
        <v>3309</v>
      </c>
      <c r="K671" s="598" t="s">
        <v>321</v>
      </c>
      <c r="L671" s="598" t="s">
        <v>321</v>
      </c>
      <c r="M671" s="598" t="s">
        <v>3309</v>
      </c>
      <c r="N671" s="598" t="s">
        <v>3309</v>
      </c>
      <c r="O671" s="598" t="s">
        <v>3309</v>
      </c>
      <c r="P671" s="598" t="s">
        <v>3309</v>
      </c>
      <c r="Q671" s="598" t="s">
        <v>3309</v>
      </c>
      <c r="R671" s="598" t="s">
        <v>321</v>
      </c>
      <c r="S671" s="598" t="s">
        <v>321</v>
      </c>
      <c r="T671" s="598" t="s">
        <v>3309</v>
      </c>
      <c r="U671" s="598" t="s">
        <v>3309</v>
      </c>
      <c r="V671" s="598" t="s">
        <v>3309</v>
      </c>
      <c r="W671" s="598" t="s">
        <v>3309</v>
      </c>
      <c r="X671" s="598" t="s">
        <v>3309</v>
      </c>
      <c r="Y671" s="598" t="s">
        <v>321</v>
      </c>
      <c r="Z671" s="598" t="s">
        <v>321</v>
      </c>
      <c r="AA671" s="598" t="s">
        <v>3309</v>
      </c>
      <c r="AB671" s="598" t="s">
        <v>3309</v>
      </c>
      <c r="AC671" s="598" t="s">
        <v>3309</v>
      </c>
      <c r="AD671" s="598" t="s">
        <v>3309</v>
      </c>
      <c r="AE671" s="598" t="s">
        <v>3309</v>
      </c>
      <c r="AF671" s="598" t="s">
        <v>321</v>
      </c>
      <c r="AG671" s="598" t="s">
        <v>321</v>
      </c>
      <c r="AH671" s="598" t="s">
        <v>3309</v>
      </c>
      <c r="AI671" s="598" t="s">
        <v>321</v>
      </c>
      <c r="AJ671" s="599">
        <v>21</v>
      </c>
      <c r="AK671" s="600">
        <v>21</v>
      </c>
      <c r="AL671" s="601">
        <v>0</v>
      </c>
      <c r="AM671" s="601">
        <v>0</v>
      </c>
      <c r="AN671" s="599">
        <v>21</v>
      </c>
    </row>
    <row r="672" spans="1:40" ht="16.5" customHeight="1">
      <c r="A672" s="598" t="s">
        <v>3337</v>
      </c>
      <c r="B672" s="598" t="s">
        <v>3342</v>
      </c>
      <c r="C672" s="598" t="s">
        <v>1310</v>
      </c>
      <c r="D672" s="598" t="s">
        <v>1311</v>
      </c>
      <c r="E672" s="598" t="s">
        <v>321</v>
      </c>
      <c r="F672" s="598" t="s">
        <v>3309</v>
      </c>
      <c r="G672" s="598" t="s">
        <v>3309</v>
      </c>
      <c r="H672" s="598" t="s">
        <v>3309</v>
      </c>
      <c r="I672" s="598" t="s">
        <v>3309</v>
      </c>
      <c r="J672" s="598" t="s">
        <v>3309</v>
      </c>
      <c r="K672" s="598" t="s">
        <v>321</v>
      </c>
      <c r="L672" s="598" t="s">
        <v>321</v>
      </c>
      <c r="M672" s="598" t="s">
        <v>3309</v>
      </c>
      <c r="N672" s="598" t="s">
        <v>3309</v>
      </c>
      <c r="O672" s="598" t="s">
        <v>3309</v>
      </c>
      <c r="P672" s="598" t="s">
        <v>3309</v>
      </c>
      <c r="Q672" s="598" t="s">
        <v>3309</v>
      </c>
      <c r="R672" s="598" t="s">
        <v>321</v>
      </c>
      <c r="S672" s="598" t="s">
        <v>321</v>
      </c>
      <c r="T672" s="598" t="s">
        <v>3309</v>
      </c>
      <c r="U672" s="598" t="s">
        <v>3309</v>
      </c>
      <c r="V672" s="598" t="s">
        <v>3309</v>
      </c>
      <c r="W672" s="598" t="s">
        <v>3309</v>
      </c>
      <c r="X672" s="598" t="s">
        <v>3309</v>
      </c>
      <c r="Y672" s="598" t="s">
        <v>321</v>
      </c>
      <c r="Z672" s="598" t="s">
        <v>321</v>
      </c>
      <c r="AA672" s="598" t="s">
        <v>3309</v>
      </c>
      <c r="AB672" s="598" t="s">
        <v>3309</v>
      </c>
      <c r="AC672" s="598" t="s">
        <v>3309</v>
      </c>
      <c r="AD672" s="598" t="s">
        <v>3309</v>
      </c>
      <c r="AE672" s="598" t="s">
        <v>3309</v>
      </c>
      <c r="AF672" s="598" t="s">
        <v>321</v>
      </c>
      <c r="AG672" s="598" t="s">
        <v>321</v>
      </c>
      <c r="AH672" s="598" t="s">
        <v>3309</v>
      </c>
      <c r="AI672" s="598" t="s">
        <v>321</v>
      </c>
      <c r="AJ672" s="599">
        <v>21</v>
      </c>
      <c r="AK672" s="600">
        <v>21</v>
      </c>
      <c r="AL672" s="601">
        <v>0</v>
      </c>
      <c r="AM672" s="601">
        <v>0</v>
      </c>
      <c r="AN672" s="599">
        <v>21</v>
      </c>
    </row>
    <row r="673" spans="1:40" ht="16.5" customHeight="1">
      <c r="A673" s="598" t="s">
        <v>3337</v>
      </c>
      <c r="B673" s="598" t="s">
        <v>3342</v>
      </c>
      <c r="C673" s="598" t="s">
        <v>1484</v>
      </c>
      <c r="D673" s="598" t="s">
        <v>1485</v>
      </c>
      <c r="E673" s="598" t="s">
        <v>321</v>
      </c>
      <c r="F673" s="598" t="s">
        <v>3309</v>
      </c>
      <c r="G673" s="598" t="s">
        <v>3309</v>
      </c>
      <c r="H673" s="598" t="s">
        <v>3309</v>
      </c>
      <c r="I673" s="598" t="s">
        <v>3309</v>
      </c>
      <c r="J673" s="598" t="s">
        <v>3309</v>
      </c>
      <c r="K673" s="598" t="s">
        <v>321</v>
      </c>
      <c r="L673" s="598" t="s">
        <v>321</v>
      </c>
      <c r="M673" s="598" t="s">
        <v>3309</v>
      </c>
      <c r="N673" s="598" t="s">
        <v>3309</v>
      </c>
      <c r="O673" s="598" t="s">
        <v>3309</v>
      </c>
      <c r="P673" s="598" t="s">
        <v>3309</v>
      </c>
      <c r="Q673" s="598" t="s">
        <v>3309</v>
      </c>
      <c r="R673" s="598" t="s">
        <v>321</v>
      </c>
      <c r="S673" s="598" t="s">
        <v>321</v>
      </c>
      <c r="T673" s="598" t="s">
        <v>3309</v>
      </c>
      <c r="U673" s="598" t="s">
        <v>3309</v>
      </c>
      <c r="V673" s="598" t="s">
        <v>3309</v>
      </c>
      <c r="W673" s="598" t="s">
        <v>3309</v>
      </c>
      <c r="X673" s="598" t="s">
        <v>3309</v>
      </c>
      <c r="Y673" s="598" t="s">
        <v>321</v>
      </c>
      <c r="Z673" s="598" t="s">
        <v>321</v>
      </c>
      <c r="AA673" s="598" t="s">
        <v>3309</v>
      </c>
      <c r="AB673" s="598" t="s">
        <v>3309</v>
      </c>
      <c r="AC673" s="598" t="s">
        <v>3309</v>
      </c>
      <c r="AD673" s="598" t="s">
        <v>3309</v>
      </c>
      <c r="AE673" s="598" t="s">
        <v>3309</v>
      </c>
      <c r="AF673" s="598" t="s">
        <v>321</v>
      </c>
      <c r="AG673" s="598" t="s">
        <v>321</v>
      </c>
      <c r="AH673" s="598" t="s">
        <v>3309</v>
      </c>
      <c r="AI673" s="598" t="s">
        <v>321</v>
      </c>
      <c r="AJ673" s="599">
        <v>21</v>
      </c>
      <c r="AK673" s="600">
        <v>21</v>
      </c>
      <c r="AL673" s="601">
        <v>0</v>
      </c>
      <c r="AM673" s="601">
        <v>0</v>
      </c>
      <c r="AN673" s="599">
        <v>21</v>
      </c>
    </row>
    <row r="674" spans="1:40" ht="16.5" customHeight="1">
      <c r="A674" s="598" t="s">
        <v>3337</v>
      </c>
      <c r="B674" s="598" t="s">
        <v>3342</v>
      </c>
      <c r="C674" s="598" t="s">
        <v>2094</v>
      </c>
      <c r="D674" s="598" t="s">
        <v>2095</v>
      </c>
      <c r="E674" s="598" t="s">
        <v>321</v>
      </c>
      <c r="F674" s="598" t="s">
        <v>3309</v>
      </c>
      <c r="G674" s="598" t="s">
        <v>3309</v>
      </c>
      <c r="H674" s="598" t="s">
        <v>3309</v>
      </c>
      <c r="I674" s="598" t="s">
        <v>3309</v>
      </c>
      <c r="J674" s="598" t="s">
        <v>3309</v>
      </c>
      <c r="K674" s="598" t="s">
        <v>321</v>
      </c>
      <c r="L674" s="598" t="s">
        <v>321</v>
      </c>
      <c r="M674" s="598" t="s">
        <v>3309</v>
      </c>
      <c r="N674" s="598" t="s">
        <v>3309</v>
      </c>
      <c r="O674" s="598" t="s">
        <v>3309</v>
      </c>
      <c r="P674" s="598" t="s">
        <v>3309</v>
      </c>
      <c r="Q674" s="598" t="s">
        <v>3309</v>
      </c>
      <c r="R674" s="598" t="s">
        <v>321</v>
      </c>
      <c r="S674" s="598" t="s">
        <v>321</v>
      </c>
      <c r="T674" s="598" t="s">
        <v>3309</v>
      </c>
      <c r="U674" s="598" t="s">
        <v>3309</v>
      </c>
      <c r="V674" s="598" t="s">
        <v>3309</v>
      </c>
      <c r="W674" s="598" t="s">
        <v>3309</v>
      </c>
      <c r="X674" s="598" t="s">
        <v>3309</v>
      </c>
      <c r="Y674" s="598" t="s">
        <v>321</v>
      </c>
      <c r="Z674" s="598" t="s">
        <v>321</v>
      </c>
      <c r="AA674" s="598" t="s">
        <v>3309</v>
      </c>
      <c r="AB674" s="598" t="s">
        <v>3309</v>
      </c>
      <c r="AC674" s="598" t="s">
        <v>3309</v>
      </c>
      <c r="AD674" s="598" t="s">
        <v>3309</v>
      </c>
      <c r="AE674" s="598" t="s">
        <v>3309</v>
      </c>
      <c r="AF674" s="598" t="s">
        <v>321</v>
      </c>
      <c r="AG674" s="598" t="s">
        <v>321</v>
      </c>
      <c r="AH674" s="598" t="s">
        <v>3309</v>
      </c>
      <c r="AI674" s="598" t="s">
        <v>321</v>
      </c>
      <c r="AJ674" s="599">
        <v>21</v>
      </c>
      <c r="AK674" s="600">
        <v>21</v>
      </c>
      <c r="AL674" s="601">
        <v>0</v>
      </c>
      <c r="AM674" s="601">
        <v>0</v>
      </c>
      <c r="AN674" s="599">
        <v>21</v>
      </c>
    </row>
    <row r="675" spans="1:40" ht="16.5" customHeight="1">
      <c r="A675" s="598" t="s">
        <v>3337</v>
      </c>
      <c r="B675" s="598" t="s">
        <v>3342</v>
      </c>
      <c r="C675" s="598" t="s">
        <v>1288</v>
      </c>
      <c r="D675" s="598" t="s">
        <v>1289</v>
      </c>
      <c r="E675" s="598" t="s">
        <v>321</v>
      </c>
      <c r="F675" s="598" t="s">
        <v>3309</v>
      </c>
      <c r="G675" s="598" t="s">
        <v>3309</v>
      </c>
      <c r="H675" s="598" t="s">
        <v>3309</v>
      </c>
      <c r="I675" s="598" t="s">
        <v>3309</v>
      </c>
      <c r="J675" s="598" t="s">
        <v>3309</v>
      </c>
      <c r="K675" s="598" t="s">
        <v>321</v>
      </c>
      <c r="L675" s="598" t="s">
        <v>321</v>
      </c>
      <c r="M675" s="598" t="s">
        <v>3309</v>
      </c>
      <c r="N675" s="598" t="s">
        <v>3309</v>
      </c>
      <c r="O675" s="598" t="s">
        <v>3309</v>
      </c>
      <c r="P675" s="598" t="s">
        <v>3309</v>
      </c>
      <c r="Q675" s="598" t="s">
        <v>3309</v>
      </c>
      <c r="R675" s="598" t="s">
        <v>321</v>
      </c>
      <c r="S675" s="598" t="s">
        <v>321</v>
      </c>
      <c r="T675" s="598" t="s">
        <v>3309</v>
      </c>
      <c r="U675" s="598" t="s">
        <v>3309</v>
      </c>
      <c r="V675" s="598" t="s">
        <v>3309</v>
      </c>
      <c r="W675" s="598" t="s">
        <v>3309</v>
      </c>
      <c r="X675" s="598" t="s">
        <v>3309</v>
      </c>
      <c r="Y675" s="598" t="s">
        <v>321</v>
      </c>
      <c r="Z675" s="598" t="s">
        <v>321</v>
      </c>
      <c r="AA675" s="598" t="s">
        <v>3309</v>
      </c>
      <c r="AB675" s="598" t="s">
        <v>3309</v>
      </c>
      <c r="AC675" s="598" t="s">
        <v>3309</v>
      </c>
      <c r="AD675" s="598" t="s">
        <v>3309</v>
      </c>
      <c r="AE675" s="598" t="s">
        <v>3309</v>
      </c>
      <c r="AF675" s="598" t="s">
        <v>321</v>
      </c>
      <c r="AG675" s="598" t="s">
        <v>321</v>
      </c>
      <c r="AH675" s="598" t="s">
        <v>3309</v>
      </c>
      <c r="AI675" s="598" t="s">
        <v>321</v>
      </c>
      <c r="AJ675" s="599">
        <v>21</v>
      </c>
      <c r="AK675" s="600">
        <v>21</v>
      </c>
      <c r="AL675" s="601">
        <v>0</v>
      </c>
      <c r="AM675" s="601">
        <v>0</v>
      </c>
      <c r="AN675" s="599">
        <v>21</v>
      </c>
    </row>
    <row r="676" spans="1:40" ht="16.5" customHeight="1">
      <c r="A676" s="598" t="s">
        <v>3337</v>
      </c>
      <c r="B676" s="598" t="s">
        <v>3342</v>
      </c>
      <c r="C676" s="598" t="s">
        <v>2114</v>
      </c>
      <c r="D676" s="598" t="s">
        <v>2115</v>
      </c>
      <c r="E676" s="598" t="s">
        <v>321</v>
      </c>
      <c r="F676" s="598" t="s">
        <v>3309</v>
      </c>
      <c r="G676" s="598" t="s">
        <v>3309</v>
      </c>
      <c r="H676" s="598" t="s">
        <v>3309</v>
      </c>
      <c r="I676" s="598" t="s">
        <v>3312</v>
      </c>
      <c r="J676" s="598" t="s">
        <v>3312</v>
      </c>
      <c r="K676" s="598" t="s">
        <v>321</v>
      </c>
      <c r="L676" s="598" t="s">
        <v>321</v>
      </c>
      <c r="M676" s="598" t="s">
        <v>3309</v>
      </c>
      <c r="N676" s="598" t="s">
        <v>3309</v>
      </c>
      <c r="O676" s="598" t="s">
        <v>3309</v>
      </c>
      <c r="P676" s="598" t="s">
        <v>3309</v>
      </c>
      <c r="Q676" s="598" t="s">
        <v>3309</v>
      </c>
      <c r="R676" s="598" t="s">
        <v>321</v>
      </c>
      <c r="S676" s="598" t="s">
        <v>321</v>
      </c>
      <c r="T676" s="598" t="s">
        <v>3309</v>
      </c>
      <c r="U676" s="598" t="s">
        <v>3309</v>
      </c>
      <c r="V676" s="598" t="s">
        <v>3309</v>
      </c>
      <c r="W676" s="598" t="s">
        <v>3309</v>
      </c>
      <c r="X676" s="598" t="s">
        <v>3309</v>
      </c>
      <c r="Y676" s="598" t="s">
        <v>321</v>
      </c>
      <c r="Z676" s="598" t="s">
        <v>321</v>
      </c>
      <c r="AA676" s="598" t="s">
        <v>3309</v>
      </c>
      <c r="AB676" s="598" t="s">
        <v>3309</v>
      </c>
      <c r="AC676" s="598" t="s">
        <v>3309</v>
      </c>
      <c r="AD676" s="598" t="s">
        <v>3309</v>
      </c>
      <c r="AE676" s="598" t="s">
        <v>3309</v>
      </c>
      <c r="AF676" s="598" t="s">
        <v>321</v>
      </c>
      <c r="AG676" s="598" t="s">
        <v>321</v>
      </c>
      <c r="AH676" s="598" t="s">
        <v>3309</v>
      </c>
      <c r="AI676" s="598" t="s">
        <v>321</v>
      </c>
      <c r="AJ676" s="599">
        <v>21</v>
      </c>
      <c r="AK676" s="600">
        <v>19</v>
      </c>
      <c r="AL676" s="602">
        <v>2</v>
      </c>
      <c r="AM676" s="601">
        <v>0</v>
      </c>
      <c r="AN676" s="599">
        <v>21</v>
      </c>
    </row>
    <row r="677" spans="1:40" ht="16.5" customHeight="1">
      <c r="A677" s="598" t="s">
        <v>3337</v>
      </c>
      <c r="B677" s="598" t="s">
        <v>3342</v>
      </c>
      <c r="C677" s="598" t="s">
        <v>2893</v>
      </c>
      <c r="D677" s="598" t="s">
        <v>1872</v>
      </c>
      <c r="E677" s="598" t="s">
        <v>321</v>
      </c>
      <c r="F677" s="598" t="s">
        <v>3309</v>
      </c>
      <c r="G677" s="598" t="s">
        <v>3309</v>
      </c>
      <c r="H677" s="598" t="s">
        <v>3309</v>
      </c>
      <c r="I677" s="598" t="s">
        <v>3309</v>
      </c>
      <c r="J677" s="598" t="s">
        <v>3309</v>
      </c>
      <c r="K677" s="598" t="s">
        <v>321</v>
      </c>
      <c r="L677" s="598" t="s">
        <v>321</v>
      </c>
      <c r="M677" s="598" t="s">
        <v>3309</v>
      </c>
      <c r="N677" s="598" t="s">
        <v>3309</v>
      </c>
      <c r="O677" s="598" t="s">
        <v>3309</v>
      </c>
      <c r="P677" s="598" t="s">
        <v>3309</v>
      </c>
      <c r="Q677" s="598" t="s">
        <v>3309</v>
      </c>
      <c r="R677" s="598" t="s">
        <v>321</v>
      </c>
      <c r="S677" s="598" t="s">
        <v>321</v>
      </c>
      <c r="T677" s="598" t="s">
        <v>3309</v>
      </c>
      <c r="U677" s="598" t="s">
        <v>3309</v>
      </c>
      <c r="V677" s="598" t="s">
        <v>3309</v>
      </c>
      <c r="W677" s="598" t="s">
        <v>3309</v>
      </c>
      <c r="X677" s="598" t="s">
        <v>3309</v>
      </c>
      <c r="Y677" s="598" t="s">
        <v>321</v>
      </c>
      <c r="Z677" s="598" t="s">
        <v>321</v>
      </c>
      <c r="AA677" s="598" t="s">
        <v>3309</v>
      </c>
      <c r="AB677" s="598" t="s">
        <v>3309</v>
      </c>
      <c r="AC677" s="598" t="s">
        <v>3309</v>
      </c>
      <c r="AD677" s="598" t="s">
        <v>3309</v>
      </c>
      <c r="AE677" s="598" t="s">
        <v>3309</v>
      </c>
      <c r="AF677" s="598" t="s">
        <v>321</v>
      </c>
      <c r="AG677" s="598" t="s">
        <v>321</v>
      </c>
      <c r="AH677" s="598" t="s">
        <v>3309</v>
      </c>
      <c r="AI677" s="598" t="s">
        <v>321</v>
      </c>
      <c r="AJ677" s="599">
        <v>21</v>
      </c>
      <c r="AK677" s="600">
        <v>21</v>
      </c>
      <c r="AL677" s="601">
        <v>0</v>
      </c>
      <c r="AM677" s="601">
        <v>0</v>
      </c>
      <c r="AN677" s="599">
        <v>21</v>
      </c>
    </row>
    <row r="678" spans="1:40" ht="16.5" customHeight="1">
      <c r="A678" s="598" t="s">
        <v>3337</v>
      </c>
      <c r="B678" s="598" t="s">
        <v>3342</v>
      </c>
      <c r="C678" s="598" t="s">
        <v>547</v>
      </c>
      <c r="D678" s="598" t="s">
        <v>548</v>
      </c>
      <c r="E678" s="598" t="s">
        <v>321</v>
      </c>
      <c r="F678" s="598" t="s">
        <v>3309</v>
      </c>
      <c r="G678" s="598" t="s">
        <v>3309</v>
      </c>
      <c r="H678" s="598" t="s">
        <v>3309</v>
      </c>
      <c r="I678" s="598" t="s">
        <v>3309</v>
      </c>
      <c r="J678" s="598" t="s">
        <v>3309</v>
      </c>
      <c r="K678" s="598" t="s">
        <v>321</v>
      </c>
      <c r="L678" s="598" t="s">
        <v>321</v>
      </c>
      <c r="M678" s="598" t="s">
        <v>3309</v>
      </c>
      <c r="N678" s="598" t="s">
        <v>3309</v>
      </c>
      <c r="O678" s="598" t="s">
        <v>3309</v>
      </c>
      <c r="P678" s="598" t="s">
        <v>3309</v>
      </c>
      <c r="Q678" s="598" t="s">
        <v>3309</v>
      </c>
      <c r="R678" s="598" t="s">
        <v>321</v>
      </c>
      <c r="S678" s="598" t="s">
        <v>321</v>
      </c>
      <c r="T678" s="598" t="s">
        <v>3312</v>
      </c>
      <c r="U678" s="598" t="s">
        <v>3312</v>
      </c>
      <c r="V678" s="598" t="s">
        <v>3309</v>
      </c>
      <c r="W678" s="598" t="s">
        <v>3309</v>
      </c>
      <c r="X678" s="598" t="s">
        <v>3309</v>
      </c>
      <c r="Y678" s="598" t="s">
        <v>321</v>
      </c>
      <c r="Z678" s="598" t="s">
        <v>321</v>
      </c>
      <c r="AA678" s="598" t="s">
        <v>3309</v>
      </c>
      <c r="AB678" s="598" t="s">
        <v>3309</v>
      </c>
      <c r="AC678" s="598" t="s">
        <v>3309</v>
      </c>
      <c r="AD678" s="598" t="s">
        <v>3309</v>
      </c>
      <c r="AE678" s="598" t="s">
        <v>3309</v>
      </c>
      <c r="AF678" s="598" t="s">
        <v>321</v>
      </c>
      <c r="AG678" s="598" t="s">
        <v>321</v>
      </c>
      <c r="AH678" s="598" t="s">
        <v>3309</v>
      </c>
      <c r="AI678" s="598" t="s">
        <v>321</v>
      </c>
      <c r="AJ678" s="599">
        <v>21</v>
      </c>
      <c r="AK678" s="600">
        <v>19</v>
      </c>
      <c r="AL678" s="602">
        <v>2</v>
      </c>
      <c r="AM678" s="601">
        <v>0</v>
      </c>
      <c r="AN678" s="599">
        <v>21</v>
      </c>
    </row>
    <row r="679" spans="1:40" ht="16.5" customHeight="1">
      <c r="A679" s="598" t="s">
        <v>3337</v>
      </c>
      <c r="B679" s="598" t="s">
        <v>3342</v>
      </c>
      <c r="C679" s="598" t="s">
        <v>1498</v>
      </c>
      <c r="D679" s="598" t="s">
        <v>1499</v>
      </c>
      <c r="E679" s="598" t="s">
        <v>321</v>
      </c>
      <c r="F679" s="598" t="s">
        <v>3309</v>
      </c>
      <c r="G679" s="598" t="s">
        <v>3309</v>
      </c>
      <c r="H679" s="598" t="s">
        <v>3309</v>
      </c>
      <c r="I679" s="598" t="s">
        <v>3309</v>
      </c>
      <c r="J679" s="598" t="s">
        <v>3309</v>
      </c>
      <c r="K679" s="598" t="s">
        <v>321</v>
      </c>
      <c r="L679" s="598" t="s">
        <v>321</v>
      </c>
      <c r="M679" s="598" t="s">
        <v>3309</v>
      </c>
      <c r="N679" s="598" t="s">
        <v>3309</v>
      </c>
      <c r="O679" s="598" t="s">
        <v>3309</v>
      </c>
      <c r="P679" s="598" t="s">
        <v>3309</v>
      </c>
      <c r="Q679" s="598" t="s">
        <v>3309</v>
      </c>
      <c r="R679" s="598" t="s">
        <v>321</v>
      </c>
      <c r="S679" s="598" t="s">
        <v>321</v>
      </c>
      <c r="T679" s="598" t="s">
        <v>3312</v>
      </c>
      <c r="U679" s="598" t="s">
        <v>3309</v>
      </c>
      <c r="V679" s="598" t="s">
        <v>3309</v>
      </c>
      <c r="W679" s="598" t="s">
        <v>3309</v>
      </c>
      <c r="X679" s="598" t="s">
        <v>3309</v>
      </c>
      <c r="Y679" s="598" t="s">
        <v>321</v>
      </c>
      <c r="Z679" s="598" t="s">
        <v>321</v>
      </c>
      <c r="AA679" s="598" t="s">
        <v>3309</v>
      </c>
      <c r="AB679" s="598" t="s">
        <v>3309</v>
      </c>
      <c r="AC679" s="598" t="s">
        <v>3309</v>
      </c>
      <c r="AD679" s="598" t="s">
        <v>3309</v>
      </c>
      <c r="AE679" s="598" t="s">
        <v>3309</v>
      </c>
      <c r="AF679" s="598" t="s">
        <v>321</v>
      </c>
      <c r="AG679" s="598" t="s">
        <v>321</v>
      </c>
      <c r="AH679" s="598" t="s">
        <v>3309</v>
      </c>
      <c r="AI679" s="598" t="s">
        <v>321</v>
      </c>
      <c r="AJ679" s="599">
        <v>21</v>
      </c>
      <c r="AK679" s="600">
        <v>20</v>
      </c>
      <c r="AL679" s="602">
        <v>1</v>
      </c>
      <c r="AM679" s="601">
        <v>0</v>
      </c>
      <c r="AN679" s="599">
        <v>21</v>
      </c>
    </row>
    <row r="680" spans="1:40" ht="16.5" customHeight="1">
      <c r="A680" s="598" t="s">
        <v>3337</v>
      </c>
      <c r="B680" s="598" t="s">
        <v>3342</v>
      </c>
      <c r="C680" s="598" t="s">
        <v>1942</v>
      </c>
      <c r="D680" s="598" t="s">
        <v>1943</v>
      </c>
      <c r="E680" s="598" t="s">
        <v>321</v>
      </c>
      <c r="F680" s="598" t="s">
        <v>3309</v>
      </c>
      <c r="G680" s="598" t="s">
        <v>3309</v>
      </c>
      <c r="H680" s="598" t="s">
        <v>3309</v>
      </c>
      <c r="I680" s="598" t="s">
        <v>3309</v>
      </c>
      <c r="J680" s="598" t="s">
        <v>3309</v>
      </c>
      <c r="K680" s="598" t="s">
        <v>321</v>
      </c>
      <c r="L680" s="598" t="s">
        <v>321</v>
      </c>
      <c r="M680" s="598" t="s">
        <v>3309</v>
      </c>
      <c r="N680" s="598" t="s">
        <v>3309</v>
      </c>
      <c r="O680" s="598" t="s">
        <v>3309</v>
      </c>
      <c r="P680" s="598" t="s">
        <v>3309</v>
      </c>
      <c r="Q680" s="598" t="s">
        <v>3309</v>
      </c>
      <c r="R680" s="598" t="s">
        <v>321</v>
      </c>
      <c r="S680" s="598" t="s">
        <v>321</v>
      </c>
      <c r="T680" s="598" t="s">
        <v>3309</v>
      </c>
      <c r="U680" s="598" t="s">
        <v>3309</v>
      </c>
      <c r="V680" s="598" t="s">
        <v>3309</v>
      </c>
      <c r="W680" s="598" t="s">
        <v>3309</v>
      </c>
      <c r="X680" s="598" t="s">
        <v>3309</v>
      </c>
      <c r="Y680" s="598" t="s">
        <v>321</v>
      </c>
      <c r="Z680" s="598" t="s">
        <v>321</v>
      </c>
      <c r="AA680" s="598" t="s">
        <v>3309</v>
      </c>
      <c r="AB680" s="598" t="s">
        <v>3309</v>
      </c>
      <c r="AC680" s="598" t="s">
        <v>3309</v>
      </c>
      <c r="AD680" s="598" t="s">
        <v>3309</v>
      </c>
      <c r="AE680" s="598" t="s">
        <v>3309</v>
      </c>
      <c r="AF680" s="598" t="s">
        <v>321</v>
      </c>
      <c r="AG680" s="598" t="s">
        <v>321</v>
      </c>
      <c r="AH680" s="598" t="s">
        <v>3309</v>
      </c>
      <c r="AI680" s="598" t="s">
        <v>321</v>
      </c>
      <c r="AJ680" s="599">
        <v>21</v>
      </c>
      <c r="AK680" s="600">
        <v>21</v>
      </c>
      <c r="AL680" s="601">
        <v>0</v>
      </c>
      <c r="AM680" s="601">
        <v>0</v>
      </c>
      <c r="AN680" s="599">
        <v>21</v>
      </c>
    </row>
    <row r="681" spans="1:40" ht="16.5" customHeight="1">
      <c r="A681" s="598" t="s">
        <v>3337</v>
      </c>
      <c r="B681" s="598" t="s">
        <v>3342</v>
      </c>
      <c r="C681" s="598" t="s">
        <v>2643</v>
      </c>
      <c r="D681" s="598" t="s">
        <v>2644</v>
      </c>
      <c r="E681" s="598" t="s">
        <v>321</v>
      </c>
      <c r="F681" s="598" t="s">
        <v>3309</v>
      </c>
      <c r="G681" s="598" t="s">
        <v>3309</v>
      </c>
      <c r="H681" s="598" t="s">
        <v>3309</v>
      </c>
      <c r="I681" s="598" t="s">
        <v>3309</v>
      </c>
      <c r="J681" s="598" t="s">
        <v>3309</v>
      </c>
      <c r="K681" s="598" t="s">
        <v>321</v>
      </c>
      <c r="L681" s="598" t="s">
        <v>321</v>
      </c>
      <c r="M681" s="598" t="s">
        <v>3309</v>
      </c>
      <c r="N681" s="598" t="s">
        <v>3309</v>
      </c>
      <c r="O681" s="598" t="s">
        <v>3309</v>
      </c>
      <c r="P681" s="598" t="s">
        <v>3309</v>
      </c>
      <c r="Q681" s="598" t="s">
        <v>3309</v>
      </c>
      <c r="R681" s="598" t="s">
        <v>321</v>
      </c>
      <c r="S681" s="598" t="s">
        <v>321</v>
      </c>
      <c r="T681" s="598" t="s">
        <v>3309</v>
      </c>
      <c r="U681" s="598" t="s">
        <v>3309</v>
      </c>
      <c r="V681" s="598" t="s">
        <v>3309</v>
      </c>
      <c r="W681" s="598" t="s">
        <v>3309</v>
      </c>
      <c r="X681" s="598" t="s">
        <v>3309</v>
      </c>
      <c r="Y681" s="598" t="s">
        <v>321</v>
      </c>
      <c r="Z681" s="598" t="s">
        <v>321</v>
      </c>
      <c r="AA681" s="598" t="s">
        <v>3309</v>
      </c>
      <c r="AB681" s="598" t="s">
        <v>3309</v>
      </c>
      <c r="AC681" s="598" t="s">
        <v>3309</v>
      </c>
      <c r="AD681" s="598" t="s">
        <v>3309</v>
      </c>
      <c r="AE681" s="598" t="s">
        <v>3309</v>
      </c>
      <c r="AF681" s="598" t="s">
        <v>321</v>
      </c>
      <c r="AG681" s="598" t="s">
        <v>321</v>
      </c>
      <c r="AH681" s="598" t="s">
        <v>3309</v>
      </c>
      <c r="AI681" s="598" t="s">
        <v>321</v>
      </c>
      <c r="AJ681" s="599">
        <v>21</v>
      </c>
      <c r="AK681" s="600">
        <v>21</v>
      </c>
      <c r="AL681" s="601">
        <v>0</v>
      </c>
      <c r="AM681" s="601">
        <v>0</v>
      </c>
      <c r="AN681" s="599">
        <v>21</v>
      </c>
    </row>
    <row r="682" spans="1:40" ht="16.5" customHeight="1">
      <c r="A682" s="598" t="s">
        <v>3337</v>
      </c>
      <c r="B682" s="598" t="s">
        <v>3342</v>
      </c>
      <c r="C682" s="598" t="s">
        <v>1220</v>
      </c>
      <c r="D682" s="598" t="s">
        <v>1221</v>
      </c>
      <c r="E682" s="598" t="s">
        <v>321</v>
      </c>
      <c r="F682" s="598" t="s">
        <v>3309</v>
      </c>
      <c r="G682" s="598" t="s">
        <v>3309</v>
      </c>
      <c r="H682" s="598" t="s">
        <v>3309</v>
      </c>
      <c r="I682" s="598" t="s">
        <v>3309</v>
      </c>
      <c r="J682" s="598" t="s">
        <v>3309</v>
      </c>
      <c r="K682" s="598" t="s">
        <v>321</v>
      </c>
      <c r="L682" s="598" t="s">
        <v>321</v>
      </c>
      <c r="M682" s="598" t="s">
        <v>3309</v>
      </c>
      <c r="N682" s="598" t="s">
        <v>3309</v>
      </c>
      <c r="O682" s="598" t="s">
        <v>3309</v>
      </c>
      <c r="P682" s="598" t="s">
        <v>3309</v>
      </c>
      <c r="Q682" s="598" t="s">
        <v>3309</v>
      </c>
      <c r="R682" s="598" t="s">
        <v>321</v>
      </c>
      <c r="S682" s="598" t="s">
        <v>321</v>
      </c>
      <c r="T682" s="598" t="s">
        <v>3309</v>
      </c>
      <c r="U682" s="598" t="s">
        <v>3309</v>
      </c>
      <c r="V682" s="598" t="s">
        <v>3309</v>
      </c>
      <c r="W682" s="598" t="s">
        <v>3309</v>
      </c>
      <c r="X682" s="598" t="s">
        <v>3309</v>
      </c>
      <c r="Y682" s="598" t="s">
        <v>321</v>
      </c>
      <c r="Z682" s="598" t="s">
        <v>321</v>
      </c>
      <c r="AA682" s="598" t="s">
        <v>3309</v>
      </c>
      <c r="AB682" s="598" t="s">
        <v>3309</v>
      </c>
      <c r="AC682" s="598" t="s">
        <v>3309</v>
      </c>
      <c r="AD682" s="598" t="s">
        <v>3309</v>
      </c>
      <c r="AE682" s="598" t="s">
        <v>3309</v>
      </c>
      <c r="AF682" s="598" t="s">
        <v>321</v>
      </c>
      <c r="AG682" s="598" t="s">
        <v>321</v>
      </c>
      <c r="AH682" s="598" t="s">
        <v>3309</v>
      </c>
      <c r="AI682" s="598" t="s">
        <v>321</v>
      </c>
      <c r="AJ682" s="599">
        <v>21</v>
      </c>
      <c r="AK682" s="600">
        <v>21</v>
      </c>
      <c r="AL682" s="601">
        <v>0</v>
      </c>
      <c r="AM682" s="601">
        <v>0</v>
      </c>
      <c r="AN682" s="599">
        <v>21</v>
      </c>
    </row>
    <row r="683" spans="1:40" ht="16.5" customHeight="1">
      <c r="A683" s="598" t="s">
        <v>3337</v>
      </c>
      <c r="B683" s="598" t="s">
        <v>3342</v>
      </c>
      <c r="C683" s="598" t="s">
        <v>2000</v>
      </c>
      <c r="D683" s="598" t="s">
        <v>2001</v>
      </c>
      <c r="E683" s="598" t="s">
        <v>321</v>
      </c>
      <c r="F683" s="598" t="s">
        <v>3309</v>
      </c>
      <c r="G683" s="598" t="s">
        <v>3309</v>
      </c>
      <c r="H683" s="598" t="s">
        <v>3309</v>
      </c>
      <c r="I683" s="598" t="s">
        <v>3309</v>
      </c>
      <c r="J683" s="598" t="s">
        <v>3309</v>
      </c>
      <c r="K683" s="598" t="s">
        <v>321</v>
      </c>
      <c r="L683" s="598" t="s">
        <v>321</v>
      </c>
      <c r="M683" s="598" t="s">
        <v>3309</v>
      </c>
      <c r="N683" s="598" t="s">
        <v>3309</v>
      </c>
      <c r="O683" s="598" t="s">
        <v>3309</v>
      </c>
      <c r="P683" s="598" t="s">
        <v>3309</v>
      </c>
      <c r="Q683" s="598" t="s">
        <v>3309</v>
      </c>
      <c r="R683" s="598" t="s">
        <v>321</v>
      </c>
      <c r="S683" s="598" t="s">
        <v>321</v>
      </c>
      <c r="T683" s="598" t="s">
        <v>3309</v>
      </c>
      <c r="U683" s="598" t="s">
        <v>3309</v>
      </c>
      <c r="V683" s="598" t="s">
        <v>3309</v>
      </c>
      <c r="W683" s="598" t="s">
        <v>3309</v>
      </c>
      <c r="X683" s="598" t="s">
        <v>3309</v>
      </c>
      <c r="Y683" s="598" t="s">
        <v>321</v>
      </c>
      <c r="Z683" s="598" t="s">
        <v>321</v>
      </c>
      <c r="AA683" s="598" t="s">
        <v>3309</v>
      </c>
      <c r="AB683" s="598" t="s">
        <v>3309</v>
      </c>
      <c r="AC683" s="598" t="s">
        <v>3309</v>
      </c>
      <c r="AD683" s="598" t="s">
        <v>3309</v>
      </c>
      <c r="AE683" s="598" t="s">
        <v>3309</v>
      </c>
      <c r="AF683" s="598" t="s">
        <v>321</v>
      </c>
      <c r="AG683" s="598" t="s">
        <v>321</v>
      </c>
      <c r="AH683" s="598" t="s">
        <v>3309</v>
      </c>
      <c r="AI683" s="598" t="s">
        <v>321</v>
      </c>
      <c r="AJ683" s="599">
        <v>21</v>
      </c>
      <c r="AK683" s="600">
        <v>21</v>
      </c>
      <c r="AL683" s="601">
        <v>0</v>
      </c>
      <c r="AM683" s="601">
        <v>0</v>
      </c>
      <c r="AN683" s="599">
        <v>21</v>
      </c>
    </row>
    <row r="684" spans="1:40" ht="16.5" customHeight="1">
      <c r="A684" s="598" t="s">
        <v>3337</v>
      </c>
      <c r="B684" s="598" t="s">
        <v>3342</v>
      </c>
      <c r="C684" s="598" t="s">
        <v>762</v>
      </c>
      <c r="D684" s="598" t="s">
        <v>763</v>
      </c>
      <c r="E684" s="598" t="s">
        <v>321</v>
      </c>
      <c r="F684" s="598" t="s">
        <v>3309</v>
      </c>
      <c r="G684" s="598" t="s">
        <v>3309</v>
      </c>
      <c r="H684" s="598" t="s">
        <v>3309</v>
      </c>
      <c r="I684" s="598" t="s">
        <v>3309</v>
      </c>
      <c r="J684" s="598" t="s">
        <v>3309</v>
      </c>
      <c r="K684" s="598" t="s">
        <v>321</v>
      </c>
      <c r="L684" s="598" t="s">
        <v>321</v>
      </c>
      <c r="M684" s="598" t="s">
        <v>3309</v>
      </c>
      <c r="N684" s="598" t="s">
        <v>3309</v>
      </c>
      <c r="O684" s="598" t="s">
        <v>3309</v>
      </c>
      <c r="P684" s="598" t="s">
        <v>3314</v>
      </c>
      <c r="Q684" s="598" t="s">
        <v>3309</v>
      </c>
      <c r="R684" s="598" t="s">
        <v>321</v>
      </c>
      <c r="S684" s="598" t="s">
        <v>321</v>
      </c>
      <c r="T684" s="598" t="s">
        <v>3309</v>
      </c>
      <c r="U684" s="598" t="s">
        <v>3309</v>
      </c>
      <c r="V684" s="598" t="s">
        <v>3309</v>
      </c>
      <c r="W684" s="598" t="s">
        <v>3309</v>
      </c>
      <c r="X684" s="598" t="s">
        <v>3309</v>
      </c>
      <c r="Y684" s="598" t="s">
        <v>321</v>
      </c>
      <c r="Z684" s="598" t="s">
        <v>321</v>
      </c>
      <c r="AA684" s="598" t="s">
        <v>3309</v>
      </c>
      <c r="AB684" s="598" t="s">
        <v>3309</v>
      </c>
      <c r="AC684" s="598" t="s">
        <v>3309</v>
      </c>
      <c r="AD684" s="598" t="s">
        <v>3309</v>
      </c>
      <c r="AE684" s="598" t="s">
        <v>3309</v>
      </c>
      <c r="AF684" s="598" t="s">
        <v>321</v>
      </c>
      <c r="AG684" s="598" t="s">
        <v>321</v>
      </c>
      <c r="AH684" s="598" t="s">
        <v>3309</v>
      </c>
      <c r="AI684" s="598" t="s">
        <v>321</v>
      </c>
      <c r="AJ684" s="599">
        <v>21</v>
      </c>
      <c r="AK684" s="603">
        <v>20.5</v>
      </c>
      <c r="AL684" s="604">
        <v>0.5</v>
      </c>
      <c r="AM684" s="601">
        <v>0</v>
      </c>
      <c r="AN684" s="599">
        <v>21</v>
      </c>
    </row>
    <row r="685" spans="1:40" ht="16.5" customHeight="1">
      <c r="A685" s="598" t="s">
        <v>3337</v>
      </c>
      <c r="B685" s="598" t="s">
        <v>3342</v>
      </c>
      <c r="C685" s="598" t="s">
        <v>2312</v>
      </c>
      <c r="D685" s="598" t="s">
        <v>2313</v>
      </c>
      <c r="E685" s="598" t="s">
        <v>321</v>
      </c>
      <c r="F685" s="598" t="s">
        <v>3309</v>
      </c>
      <c r="G685" s="598" t="s">
        <v>3309</v>
      </c>
      <c r="H685" s="598" t="s">
        <v>3309</v>
      </c>
      <c r="I685" s="598" t="s">
        <v>3309</v>
      </c>
      <c r="J685" s="598" t="s">
        <v>3309</v>
      </c>
      <c r="K685" s="598" t="s">
        <v>321</v>
      </c>
      <c r="L685" s="598" t="s">
        <v>321</v>
      </c>
      <c r="M685" s="598" t="s">
        <v>3309</v>
      </c>
      <c r="N685" s="598" t="s">
        <v>3309</v>
      </c>
      <c r="O685" s="598" t="s">
        <v>3309</v>
      </c>
      <c r="P685" s="598" t="s">
        <v>3309</v>
      </c>
      <c r="Q685" s="598" t="s">
        <v>3309</v>
      </c>
      <c r="R685" s="598" t="s">
        <v>321</v>
      </c>
      <c r="S685" s="598" t="s">
        <v>321</v>
      </c>
      <c r="T685" s="598" t="s">
        <v>3309</v>
      </c>
      <c r="U685" s="598" t="s">
        <v>3309</v>
      </c>
      <c r="V685" s="598" t="s">
        <v>3309</v>
      </c>
      <c r="W685" s="598" t="s">
        <v>3309</v>
      </c>
      <c r="X685" s="598" t="s">
        <v>3309</v>
      </c>
      <c r="Y685" s="598" t="s">
        <v>321</v>
      </c>
      <c r="Z685" s="598" t="s">
        <v>321</v>
      </c>
      <c r="AA685" s="598" t="s">
        <v>3309</v>
      </c>
      <c r="AB685" s="598" t="s">
        <v>3309</v>
      </c>
      <c r="AC685" s="598" t="s">
        <v>3309</v>
      </c>
      <c r="AD685" s="598" t="s">
        <v>3309</v>
      </c>
      <c r="AE685" s="598" t="s">
        <v>3309</v>
      </c>
      <c r="AF685" s="598" t="s">
        <v>321</v>
      </c>
      <c r="AG685" s="598" t="s">
        <v>321</v>
      </c>
      <c r="AH685" s="598" t="s">
        <v>3309</v>
      </c>
      <c r="AI685" s="598" t="s">
        <v>321</v>
      </c>
      <c r="AJ685" s="599">
        <v>21</v>
      </c>
      <c r="AK685" s="600">
        <v>21</v>
      </c>
      <c r="AL685" s="601">
        <v>0</v>
      </c>
      <c r="AM685" s="601">
        <v>0</v>
      </c>
      <c r="AN685" s="599">
        <v>21</v>
      </c>
    </row>
    <row r="686" spans="1:40" ht="16.5" customHeight="1">
      <c r="A686" s="598" t="s">
        <v>3337</v>
      </c>
      <c r="B686" s="598" t="s">
        <v>3342</v>
      </c>
      <c r="C686" s="598" t="s">
        <v>1278</v>
      </c>
      <c r="D686" s="598" t="s">
        <v>1279</v>
      </c>
      <c r="E686" s="598" t="s">
        <v>321</v>
      </c>
      <c r="F686" s="598" t="s">
        <v>3309</v>
      </c>
      <c r="G686" s="598" t="s">
        <v>3309</v>
      </c>
      <c r="H686" s="598" t="s">
        <v>3309</v>
      </c>
      <c r="I686" s="598" t="s">
        <v>3309</v>
      </c>
      <c r="J686" s="598" t="s">
        <v>3309</v>
      </c>
      <c r="K686" s="598" t="s">
        <v>321</v>
      </c>
      <c r="L686" s="598" t="s">
        <v>321</v>
      </c>
      <c r="M686" s="598" t="s">
        <v>3309</v>
      </c>
      <c r="N686" s="598" t="s">
        <v>3309</v>
      </c>
      <c r="O686" s="598" t="s">
        <v>3309</v>
      </c>
      <c r="P686" s="598" t="s">
        <v>3309</v>
      </c>
      <c r="Q686" s="598" t="s">
        <v>3309</v>
      </c>
      <c r="R686" s="598" t="s">
        <v>321</v>
      </c>
      <c r="S686" s="598" t="s">
        <v>321</v>
      </c>
      <c r="T686" s="598" t="s">
        <v>3309</v>
      </c>
      <c r="U686" s="598" t="s">
        <v>3309</v>
      </c>
      <c r="V686" s="598" t="s">
        <v>3312</v>
      </c>
      <c r="W686" s="598" t="s">
        <v>3309</v>
      </c>
      <c r="X686" s="598" t="s">
        <v>3309</v>
      </c>
      <c r="Y686" s="598" t="s">
        <v>321</v>
      </c>
      <c r="Z686" s="598" t="s">
        <v>321</v>
      </c>
      <c r="AA686" s="598" t="s">
        <v>3309</v>
      </c>
      <c r="AB686" s="598" t="s">
        <v>3309</v>
      </c>
      <c r="AC686" s="598" t="s">
        <v>3309</v>
      </c>
      <c r="AD686" s="598" t="s">
        <v>3309</v>
      </c>
      <c r="AE686" s="598" t="s">
        <v>3309</v>
      </c>
      <c r="AF686" s="598" t="s">
        <v>321</v>
      </c>
      <c r="AG686" s="598" t="s">
        <v>321</v>
      </c>
      <c r="AH686" s="598" t="s">
        <v>3309</v>
      </c>
      <c r="AI686" s="598" t="s">
        <v>321</v>
      </c>
      <c r="AJ686" s="599">
        <v>21</v>
      </c>
      <c r="AK686" s="600">
        <v>20</v>
      </c>
      <c r="AL686" s="602">
        <v>1</v>
      </c>
      <c r="AM686" s="601">
        <v>0</v>
      </c>
      <c r="AN686" s="599">
        <v>21</v>
      </c>
    </row>
    <row r="687" spans="1:40" ht="16.5" customHeight="1">
      <c r="A687" s="598" t="s">
        <v>3337</v>
      </c>
      <c r="B687" s="598" t="s">
        <v>3342</v>
      </c>
      <c r="C687" s="598" t="s">
        <v>1546</v>
      </c>
      <c r="D687" s="598" t="s">
        <v>1547</v>
      </c>
      <c r="E687" s="598" t="s">
        <v>321</v>
      </c>
      <c r="F687" s="598" t="s">
        <v>3309</v>
      </c>
      <c r="G687" s="598" t="s">
        <v>3309</v>
      </c>
      <c r="H687" s="598" t="s">
        <v>3309</v>
      </c>
      <c r="I687" s="598" t="s">
        <v>3312</v>
      </c>
      <c r="J687" s="598" t="s">
        <v>3309</v>
      </c>
      <c r="K687" s="598" t="s">
        <v>321</v>
      </c>
      <c r="L687" s="598" t="s">
        <v>321</v>
      </c>
      <c r="M687" s="598" t="s">
        <v>3309</v>
      </c>
      <c r="N687" s="598" t="s">
        <v>3309</v>
      </c>
      <c r="O687" s="598" t="s">
        <v>3309</v>
      </c>
      <c r="P687" s="598" t="s">
        <v>3309</v>
      </c>
      <c r="Q687" s="598" t="s">
        <v>3309</v>
      </c>
      <c r="R687" s="598" t="s">
        <v>321</v>
      </c>
      <c r="S687" s="598" t="s">
        <v>321</v>
      </c>
      <c r="T687" s="598" t="s">
        <v>3309</v>
      </c>
      <c r="U687" s="598" t="s">
        <v>3309</v>
      </c>
      <c r="V687" s="598" t="s">
        <v>3309</v>
      </c>
      <c r="W687" s="598" t="s">
        <v>3309</v>
      </c>
      <c r="X687" s="598" t="s">
        <v>3309</v>
      </c>
      <c r="Y687" s="598" t="s">
        <v>321</v>
      </c>
      <c r="Z687" s="598" t="s">
        <v>321</v>
      </c>
      <c r="AA687" s="598" t="s">
        <v>3309</v>
      </c>
      <c r="AB687" s="598" t="s">
        <v>3309</v>
      </c>
      <c r="AC687" s="598" t="s">
        <v>3309</v>
      </c>
      <c r="AD687" s="598" t="s">
        <v>3312</v>
      </c>
      <c r="AE687" s="598" t="s">
        <v>3309</v>
      </c>
      <c r="AF687" s="598" t="s">
        <v>321</v>
      </c>
      <c r="AG687" s="598" t="s">
        <v>321</v>
      </c>
      <c r="AH687" s="598" t="s">
        <v>3309</v>
      </c>
      <c r="AI687" s="598" t="s">
        <v>321</v>
      </c>
      <c r="AJ687" s="599">
        <v>21</v>
      </c>
      <c r="AK687" s="600">
        <v>19</v>
      </c>
      <c r="AL687" s="602">
        <v>2</v>
      </c>
      <c r="AM687" s="601">
        <v>0</v>
      </c>
      <c r="AN687" s="599">
        <v>21</v>
      </c>
    </row>
    <row r="688" spans="1:40" ht="16.5" customHeight="1">
      <c r="A688" s="598" t="s">
        <v>3337</v>
      </c>
      <c r="B688" s="598" t="s">
        <v>3342</v>
      </c>
      <c r="C688" s="598" t="s">
        <v>1979</v>
      </c>
      <c r="D688" s="598" t="s">
        <v>1980</v>
      </c>
      <c r="E688" s="598" t="s">
        <v>321</v>
      </c>
      <c r="F688" s="598" t="s">
        <v>3309</v>
      </c>
      <c r="G688" s="598" t="s">
        <v>3309</v>
      </c>
      <c r="H688" s="598" t="s">
        <v>3309</v>
      </c>
      <c r="I688" s="598" t="s">
        <v>3309</v>
      </c>
      <c r="J688" s="598" t="s">
        <v>3309</v>
      </c>
      <c r="K688" s="598" t="s">
        <v>321</v>
      </c>
      <c r="L688" s="598" t="s">
        <v>321</v>
      </c>
      <c r="M688" s="598" t="s">
        <v>3309</v>
      </c>
      <c r="N688" s="598" t="s">
        <v>3309</v>
      </c>
      <c r="O688" s="598" t="s">
        <v>3309</v>
      </c>
      <c r="P688" s="598" t="s">
        <v>3309</v>
      </c>
      <c r="Q688" s="598" t="s">
        <v>3309</v>
      </c>
      <c r="R688" s="598" t="s">
        <v>321</v>
      </c>
      <c r="S688" s="598" t="s">
        <v>321</v>
      </c>
      <c r="T688" s="598" t="s">
        <v>3309</v>
      </c>
      <c r="U688" s="598" t="s">
        <v>3309</v>
      </c>
      <c r="V688" s="598" t="s">
        <v>3309</v>
      </c>
      <c r="W688" s="598" t="s">
        <v>3309</v>
      </c>
      <c r="X688" s="598" t="s">
        <v>3309</v>
      </c>
      <c r="Y688" s="598" t="s">
        <v>321</v>
      </c>
      <c r="Z688" s="598" t="s">
        <v>321</v>
      </c>
      <c r="AA688" s="598" t="s">
        <v>3309</v>
      </c>
      <c r="AB688" s="598" t="s">
        <v>3309</v>
      </c>
      <c r="AC688" s="598" t="s">
        <v>3309</v>
      </c>
      <c r="AD688" s="598" t="s">
        <v>3309</v>
      </c>
      <c r="AE688" s="598" t="s">
        <v>3309</v>
      </c>
      <c r="AF688" s="598" t="s">
        <v>321</v>
      </c>
      <c r="AG688" s="598" t="s">
        <v>321</v>
      </c>
      <c r="AH688" s="598" t="s">
        <v>3309</v>
      </c>
      <c r="AI688" s="598" t="s">
        <v>321</v>
      </c>
      <c r="AJ688" s="599">
        <v>21</v>
      </c>
      <c r="AK688" s="600">
        <v>21</v>
      </c>
      <c r="AL688" s="601">
        <v>0</v>
      </c>
      <c r="AM688" s="601">
        <v>0</v>
      </c>
      <c r="AN688" s="599">
        <v>21</v>
      </c>
    </row>
    <row r="689" spans="1:40" ht="16.5" customHeight="1">
      <c r="A689" s="598" t="s">
        <v>3337</v>
      </c>
      <c r="B689" s="598" t="s">
        <v>3343</v>
      </c>
      <c r="C689" s="598" t="s">
        <v>1533</v>
      </c>
      <c r="D689" s="598" t="s">
        <v>1534</v>
      </c>
      <c r="E689" s="598" t="s">
        <v>321</v>
      </c>
      <c r="F689" s="598" t="s">
        <v>3309</v>
      </c>
      <c r="G689" s="598" t="s">
        <v>3309</v>
      </c>
      <c r="H689" s="598" t="s">
        <v>3309</v>
      </c>
      <c r="I689" s="598" t="s">
        <v>3309</v>
      </c>
      <c r="J689" s="598" t="s">
        <v>3309</v>
      </c>
      <c r="K689" s="598" t="s">
        <v>321</v>
      </c>
      <c r="L689" s="598" t="s">
        <v>321</v>
      </c>
      <c r="M689" s="598" t="s">
        <v>3309</v>
      </c>
      <c r="N689" s="598" t="s">
        <v>3309</v>
      </c>
      <c r="O689" s="598" t="s">
        <v>3309</v>
      </c>
      <c r="P689" s="598" t="s">
        <v>3309</v>
      </c>
      <c r="Q689" s="598" t="s">
        <v>3309</v>
      </c>
      <c r="R689" s="598" t="s">
        <v>321</v>
      </c>
      <c r="S689" s="598" t="s">
        <v>321</v>
      </c>
      <c r="T689" s="598" t="s">
        <v>3309</v>
      </c>
      <c r="U689" s="598" t="s">
        <v>3309</v>
      </c>
      <c r="V689" s="598" t="s">
        <v>3309</v>
      </c>
      <c r="W689" s="598" t="s">
        <v>3309</v>
      </c>
      <c r="X689" s="598" t="s">
        <v>3309</v>
      </c>
      <c r="Y689" s="598" t="s">
        <v>321</v>
      </c>
      <c r="Z689" s="598" t="s">
        <v>321</v>
      </c>
      <c r="AA689" s="598" t="s">
        <v>3309</v>
      </c>
      <c r="AB689" s="598" t="s">
        <v>3309</v>
      </c>
      <c r="AC689" s="598" t="s">
        <v>3309</v>
      </c>
      <c r="AD689" s="598" t="s">
        <v>3309</v>
      </c>
      <c r="AE689" s="598" t="s">
        <v>3309</v>
      </c>
      <c r="AF689" s="598" t="s">
        <v>321</v>
      </c>
      <c r="AG689" s="598" t="s">
        <v>321</v>
      </c>
      <c r="AH689" s="598" t="s">
        <v>3309</v>
      </c>
      <c r="AI689" s="598" t="s">
        <v>321</v>
      </c>
      <c r="AJ689" s="599">
        <v>21</v>
      </c>
      <c r="AK689" s="600">
        <v>21</v>
      </c>
      <c r="AL689" s="601">
        <v>0</v>
      </c>
      <c r="AM689" s="601">
        <v>0</v>
      </c>
      <c r="AN689" s="599">
        <v>21</v>
      </c>
    </row>
    <row r="690" spans="1:40" ht="16.5" customHeight="1">
      <c r="A690" s="598" t="s">
        <v>3337</v>
      </c>
      <c r="B690" s="598" t="s">
        <v>3343</v>
      </c>
      <c r="C690" s="598" t="s">
        <v>2415</v>
      </c>
      <c r="D690" s="598" t="s">
        <v>2416</v>
      </c>
      <c r="E690" s="598" t="s">
        <v>321</v>
      </c>
      <c r="F690" s="598" t="s">
        <v>3309</v>
      </c>
      <c r="G690" s="598" t="s">
        <v>3309</v>
      </c>
      <c r="H690" s="598" t="s">
        <v>3309</v>
      </c>
      <c r="I690" s="598" t="s">
        <v>3309</v>
      </c>
      <c r="J690" s="598" t="s">
        <v>3312</v>
      </c>
      <c r="K690" s="598" t="s">
        <v>321</v>
      </c>
      <c r="L690" s="598" t="s">
        <v>321</v>
      </c>
      <c r="M690" s="598" t="s">
        <v>3309</v>
      </c>
      <c r="N690" s="598" t="s">
        <v>3309</v>
      </c>
      <c r="O690" s="598" t="s">
        <v>3309</v>
      </c>
      <c r="P690" s="598" t="s">
        <v>3309</v>
      </c>
      <c r="Q690" s="598" t="s">
        <v>3309</v>
      </c>
      <c r="R690" s="598" t="s">
        <v>321</v>
      </c>
      <c r="S690" s="598" t="s">
        <v>321</v>
      </c>
      <c r="T690" s="598" t="s">
        <v>3309</v>
      </c>
      <c r="U690" s="598" t="s">
        <v>3309</v>
      </c>
      <c r="V690" s="598" t="s">
        <v>3309</v>
      </c>
      <c r="W690" s="598" t="s">
        <v>3309</v>
      </c>
      <c r="X690" s="598" t="s">
        <v>3309</v>
      </c>
      <c r="Y690" s="598" t="s">
        <v>321</v>
      </c>
      <c r="Z690" s="598" t="s">
        <v>321</v>
      </c>
      <c r="AA690" s="598" t="s">
        <v>3309</v>
      </c>
      <c r="AB690" s="598" t="s">
        <v>3309</v>
      </c>
      <c r="AC690" s="598" t="s">
        <v>3309</v>
      </c>
      <c r="AD690" s="598" t="s">
        <v>3309</v>
      </c>
      <c r="AE690" s="598" t="s">
        <v>3309</v>
      </c>
      <c r="AF690" s="598" t="s">
        <v>321</v>
      </c>
      <c r="AG690" s="598" t="s">
        <v>321</v>
      </c>
      <c r="AH690" s="598" t="s">
        <v>3309</v>
      </c>
      <c r="AI690" s="598" t="s">
        <v>321</v>
      </c>
      <c r="AJ690" s="599">
        <v>21</v>
      </c>
      <c r="AK690" s="600">
        <v>20</v>
      </c>
      <c r="AL690" s="602">
        <v>1</v>
      </c>
      <c r="AM690" s="601">
        <v>0</v>
      </c>
      <c r="AN690" s="599">
        <v>21</v>
      </c>
    </row>
    <row r="691" spans="1:40" ht="16.5" customHeight="1">
      <c r="A691" s="598" t="s">
        <v>3337</v>
      </c>
      <c r="B691" s="598" t="s">
        <v>3343</v>
      </c>
      <c r="C691" s="598" t="s">
        <v>2360</v>
      </c>
      <c r="D691" s="598" t="s">
        <v>2361</v>
      </c>
      <c r="E691" s="598" t="s">
        <v>321</v>
      </c>
      <c r="F691" s="598" t="s">
        <v>3309</v>
      </c>
      <c r="G691" s="598" t="s">
        <v>3309</v>
      </c>
      <c r="H691" s="598" t="s">
        <v>3309</v>
      </c>
      <c r="I691" s="598" t="s">
        <v>3309</v>
      </c>
      <c r="J691" s="598" t="s">
        <v>3309</v>
      </c>
      <c r="K691" s="598" t="s">
        <v>321</v>
      </c>
      <c r="L691" s="598" t="s">
        <v>321</v>
      </c>
      <c r="M691" s="598" t="s">
        <v>3309</v>
      </c>
      <c r="N691" s="598" t="s">
        <v>3309</v>
      </c>
      <c r="O691" s="598" t="s">
        <v>3309</v>
      </c>
      <c r="P691" s="598" t="s">
        <v>3309</v>
      </c>
      <c r="Q691" s="598" t="s">
        <v>3309</v>
      </c>
      <c r="R691" s="598" t="s">
        <v>321</v>
      </c>
      <c r="S691" s="598" t="s">
        <v>321</v>
      </c>
      <c r="T691" s="598" t="s">
        <v>3309</v>
      </c>
      <c r="U691" s="598" t="s">
        <v>3309</v>
      </c>
      <c r="V691" s="598" t="s">
        <v>3309</v>
      </c>
      <c r="W691" s="598" t="s">
        <v>3309</v>
      </c>
      <c r="X691" s="598" t="s">
        <v>3314</v>
      </c>
      <c r="Y691" s="598" t="s">
        <v>321</v>
      </c>
      <c r="Z691" s="598" t="s">
        <v>321</v>
      </c>
      <c r="AA691" s="598" t="s">
        <v>3309</v>
      </c>
      <c r="AB691" s="598" t="s">
        <v>3309</v>
      </c>
      <c r="AC691" s="598" t="s">
        <v>3309</v>
      </c>
      <c r="AD691" s="598" t="s">
        <v>3309</v>
      </c>
      <c r="AE691" s="598" t="s">
        <v>3309</v>
      </c>
      <c r="AF691" s="598" t="s">
        <v>321</v>
      </c>
      <c r="AG691" s="598" t="s">
        <v>321</v>
      </c>
      <c r="AH691" s="598" t="s">
        <v>3309</v>
      </c>
      <c r="AI691" s="598" t="s">
        <v>321</v>
      </c>
      <c r="AJ691" s="599">
        <v>21</v>
      </c>
      <c r="AK691" s="603">
        <v>20.5</v>
      </c>
      <c r="AL691" s="604">
        <v>0.5</v>
      </c>
      <c r="AM691" s="601">
        <v>0</v>
      </c>
      <c r="AN691" s="599">
        <v>21</v>
      </c>
    </row>
    <row r="692" spans="1:40" ht="16.5" customHeight="1">
      <c r="A692" s="598" t="s">
        <v>3337</v>
      </c>
      <c r="B692" s="598" t="s">
        <v>3343</v>
      </c>
      <c r="C692" s="598" t="s">
        <v>2322</v>
      </c>
      <c r="D692" s="598" t="s">
        <v>2323</v>
      </c>
      <c r="E692" s="598" t="s">
        <v>321</v>
      </c>
      <c r="F692" s="598" t="s">
        <v>3309</v>
      </c>
      <c r="G692" s="598" t="s">
        <v>3309</v>
      </c>
      <c r="H692" s="598" t="s">
        <v>3309</v>
      </c>
      <c r="I692" s="598" t="s">
        <v>3309</v>
      </c>
      <c r="J692" s="598" t="s">
        <v>3309</v>
      </c>
      <c r="K692" s="598" t="s">
        <v>321</v>
      </c>
      <c r="L692" s="598" t="s">
        <v>321</v>
      </c>
      <c r="M692" s="598" t="s">
        <v>3309</v>
      </c>
      <c r="N692" s="598" t="s">
        <v>3309</v>
      </c>
      <c r="O692" s="598" t="s">
        <v>3309</v>
      </c>
      <c r="P692" s="598" t="s">
        <v>3309</v>
      </c>
      <c r="Q692" s="598" t="s">
        <v>3309</v>
      </c>
      <c r="R692" s="598" t="s">
        <v>321</v>
      </c>
      <c r="S692" s="598" t="s">
        <v>321</v>
      </c>
      <c r="T692" s="598" t="s">
        <v>3309</v>
      </c>
      <c r="U692" s="598" t="s">
        <v>3309</v>
      </c>
      <c r="V692" s="598" t="s">
        <v>3309</v>
      </c>
      <c r="W692" s="598" t="s">
        <v>3309</v>
      </c>
      <c r="X692" s="598" t="s">
        <v>3309</v>
      </c>
      <c r="Y692" s="598" t="s">
        <v>321</v>
      </c>
      <c r="Z692" s="598" t="s">
        <v>321</v>
      </c>
      <c r="AA692" s="598" t="s">
        <v>3309</v>
      </c>
      <c r="AB692" s="598" t="s">
        <v>3309</v>
      </c>
      <c r="AC692" s="598" t="s">
        <v>3309</v>
      </c>
      <c r="AD692" s="598" t="s">
        <v>3309</v>
      </c>
      <c r="AE692" s="598" t="s">
        <v>3309</v>
      </c>
      <c r="AF692" s="598" t="s">
        <v>321</v>
      </c>
      <c r="AG692" s="598" t="s">
        <v>321</v>
      </c>
      <c r="AH692" s="598" t="s">
        <v>3309</v>
      </c>
      <c r="AI692" s="598" t="s">
        <v>321</v>
      </c>
      <c r="AJ692" s="599">
        <v>21</v>
      </c>
      <c r="AK692" s="600">
        <v>21</v>
      </c>
      <c r="AL692" s="601">
        <v>0</v>
      </c>
      <c r="AM692" s="601">
        <v>0</v>
      </c>
      <c r="AN692" s="599">
        <v>21</v>
      </c>
    </row>
    <row r="693" spans="1:40" ht="16.5" customHeight="1">
      <c r="A693" s="598" t="s">
        <v>3337</v>
      </c>
      <c r="B693" s="598" t="s">
        <v>3343</v>
      </c>
      <c r="C693" s="598" t="s">
        <v>1765</v>
      </c>
      <c r="D693" s="598" t="s">
        <v>1766</v>
      </c>
      <c r="E693" s="598" t="s">
        <v>321</v>
      </c>
      <c r="F693" s="598" t="s">
        <v>3309</v>
      </c>
      <c r="G693" s="598" t="s">
        <v>3309</v>
      </c>
      <c r="H693" s="598" t="s">
        <v>3309</v>
      </c>
      <c r="I693" s="598" t="s">
        <v>3309</v>
      </c>
      <c r="J693" s="598" t="s">
        <v>3309</v>
      </c>
      <c r="K693" s="598" t="s">
        <v>321</v>
      </c>
      <c r="L693" s="598" t="s">
        <v>321</v>
      </c>
      <c r="M693" s="598" t="s">
        <v>3309</v>
      </c>
      <c r="N693" s="598" t="s">
        <v>3309</v>
      </c>
      <c r="O693" s="598" t="s">
        <v>3309</v>
      </c>
      <c r="P693" s="598" t="s">
        <v>3309</v>
      </c>
      <c r="Q693" s="598" t="s">
        <v>3309</v>
      </c>
      <c r="R693" s="598" t="s">
        <v>321</v>
      </c>
      <c r="S693" s="598" t="s">
        <v>321</v>
      </c>
      <c r="T693" s="598" t="s">
        <v>3309</v>
      </c>
      <c r="U693" s="598" t="s">
        <v>3309</v>
      </c>
      <c r="V693" s="598" t="s">
        <v>3309</v>
      </c>
      <c r="W693" s="598" t="s">
        <v>3309</v>
      </c>
      <c r="X693" s="598" t="s">
        <v>3309</v>
      </c>
      <c r="Y693" s="598" t="s">
        <v>321</v>
      </c>
      <c r="Z693" s="598" t="s">
        <v>321</v>
      </c>
      <c r="AA693" s="598" t="s">
        <v>3309</v>
      </c>
      <c r="AB693" s="598" t="s">
        <v>3309</v>
      </c>
      <c r="AC693" s="598" t="s">
        <v>3309</v>
      </c>
      <c r="AD693" s="598" t="s">
        <v>3309</v>
      </c>
      <c r="AE693" s="598" t="s">
        <v>3309</v>
      </c>
      <c r="AF693" s="598" t="s">
        <v>321</v>
      </c>
      <c r="AG693" s="598" t="s">
        <v>321</v>
      </c>
      <c r="AH693" s="598" t="s">
        <v>3309</v>
      </c>
      <c r="AI693" s="598" t="s">
        <v>321</v>
      </c>
      <c r="AJ693" s="599">
        <v>21</v>
      </c>
      <c r="AK693" s="600">
        <v>21</v>
      </c>
      <c r="AL693" s="601">
        <v>0</v>
      </c>
      <c r="AM693" s="601">
        <v>0</v>
      </c>
      <c r="AN693" s="599">
        <v>21</v>
      </c>
    </row>
    <row r="694" spans="1:40" ht="16.5" customHeight="1">
      <c r="A694" s="598" t="s">
        <v>3337</v>
      </c>
      <c r="B694" s="598" t="s">
        <v>3343</v>
      </c>
      <c r="C694" s="598" t="s">
        <v>1143</v>
      </c>
      <c r="D694" s="598" t="s">
        <v>1144</v>
      </c>
      <c r="E694" s="598" t="s">
        <v>321</v>
      </c>
      <c r="F694" s="598" t="s">
        <v>3309</v>
      </c>
      <c r="G694" s="598" t="s">
        <v>3309</v>
      </c>
      <c r="H694" s="598" t="s">
        <v>3309</v>
      </c>
      <c r="I694" s="598" t="s">
        <v>3309</v>
      </c>
      <c r="J694" s="598" t="s">
        <v>3309</v>
      </c>
      <c r="K694" s="598" t="s">
        <v>321</v>
      </c>
      <c r="L694" s="598" t="s">
        <v>321</v>
      </c>
      <c r="M694" s="598" t="s">
        <v>3309</v>
      </c>
      <c r="N694" s="598" t="s">
        <v>3309</v>
      </c>
      <c r="O694" s="598" t="s">
        <v>3309</v>
      </c>
      <c r="P694" s="598" t="s">
        <v>3309</v>
      </c>
      <c r="Q694" s="598" t="s">
        <v>3309</v>
      </c>
      <c r="R694" s="598" t="s">
        <v>321</v>
      </c>
      <c r="S694" s="598" t="s">
        <v>321</v>
      </c>
      <c r="T694" s="598" t="s">
        <v>3309</v>
      </c>
      <c r="U694" s="598" t="s">
        <v>3309</v>
      </c>
      <c r="V694" s="598" t="s">
        <v>3309</v>
      </c>
      <c r="W694" s="598" t="s">
        <v>3309</v>
      </c>
      <c r="X694" s="598" t="s">
        <v>3309</v>
      </c>
      <c r="Y694" s="598" t="s">
        <v>321</v>
      </c>
      <c r="Z694" s="598" t="s">
        <v>321</v>
      </c>
      <c r="AA694" s="598" t="s">
        <v>3309</v>
      </c>
      <c r="AB694" s="598" t="s">
        <v>3309</v>
      </c>
      <c r="AC694" s="598" t="s">
        <v>3312</v>
      </c>
      <c r="AD694" s="598" t="s">
        <v>3309</v>
      </c>
      <c r="AE694" s="598" t="s">
        <v>3309</v>
      </c>
      <c r="AF694" s="598" t="s">
        <v>321</v>
      </c>
      <c r="AG694" s="598" t="s">
        <v>321</v>
      </c>
      <c r="AH694" s="598" t="s">
        <v>3309</v>
      </c>
      <c r="AI694" s="598" t="s">
        <v>321</v>
      </c>
      <c r="AJ694" s="599">
        <v>21</v>
      </c>
      <c r="AK694" s="600">
        <v>20</v>
      </c>
      <c r="AL694" s="602">
        <v>1</v>
      </c>
      <c r="AM694" s="601">
        <v>0</v>
      </c>
      <c r="AN694" s="599">
        <v>21</v>
      </c>
    </row>
    <row r="695" spans="1:40" ht="16.5" customHeight="1">
      <c r="A695" s="598" t="s">
        <v>3337</v>
      </c>
      <c r="B695" s="598" t="s">
        <v>3343</v>
      </c>
      <c r="C695" s="598" t="s">
        <v>1654</v>
      </c>
      <c r="D695" s="598" t="s">
        <v>1655</v>
      </c>
      <c r="E695" s="598" t="s">
        <v>321</v>
      </c>
      <c r="F695" s="598" t="s">
        <v>3309</v>
      </c>
      <c r="G695" s="598" t="s">
        <v>3309</v>
      </c>
      <c r="H695" s="598" t="s">
        <v>3309</v>
      </c>
      <c r="I695" s="598" t="s">
        <v>3309</v>
      </c>
      <c r="J695" s="598" t="s">
        <v>3309</v>
      </c>
      <c r="K695" s="598" t="s">
        <v>321</v>
      </c>
      <c r="L695" s="598" t="s">
        <v>321</v>
      </c>
      <c r="M695" s="598" t="s">
        <v>3309</v>
      </c>
      <c r="N695" s="598" t="s">
        <v>3309</v>
      </c>
      <c r="O695" s="598" t="s">
        <v>3309</v>
      </c>
      <c r="P695" s="598" t="s">
        <v>3309</v>
      </c>
      <c r="Q695" s="598" t="s">
        <v>3309</v>
      </c>
      <c r="R695" s="598" t="s">
        <v>321</v>
      </c>
      <c r="S695" s="598" t="s">
        <v>321</v>
      </c>
      <c r="T695" s="598" t="s">
        <v>3309</v>
      </c>
      <c r="U695" s="598" t="s">
        <v>3309</v>
      </c>
      <c r="V695" s="598" t="s">
        <v>3309</v>
      </c>
      <c r="W695" s="598" t="s">
        <v>3309</v>
      </c>
      <c r="X695" s="598" t="s">
        <v>3309</v>
      </c>
      <c r="Y695" s="598" t="s">
        <v>321</v>
      </c>
      <c r="Z695" s="598" t="s">
        <v>321</v>
      </c>
      <c r="AA695" s="598" t="s">
        <v>3309</v>
      </c>
      <c r="AB695" s="598" t="s">
        <v>3309</v>
      </c>
      <c r="AC695" s="598" t="s">
        <v>3309</v>
      </c>
      <c r="AD695" s="598" t="s">
        <v>3309</v>
      </c>
      <c r="AE695" s="598" t="s">
        <v>3309</v>
      </c>
      <c r="AF695" s="598" t="s">
        <v>321</v>
      </c>
      <c r="AG695" s="598" t="s">
        <v>321</v>
      </c>
      <c r="AH695" s="598" t="s">
        <v>3309</v>
      </c>
      <c r="AI695" s="598" t="s">
        <v>321</v>
      </c>
      <c r="AJ695" s="599">
        <v>21</v>
      </c>
      <c r="AK695" s="600">
        <v>21</v>
      </c>
      <c r="AL695" s="601">
        <v>0</v>
      </c>
      <c r="AM695" s="601">
        <v>0</v>
      </c>
      <c r="AN695" s="599">
        <v>21</v>
      </c>
    </row>
    <row r="696" spans="1:40" ht="16.5" customHeight="1">
      <c r="A696" s="598" t="s">
        <v>3337</v>
      </c>
      <c r="B696" s="598" t="s">
        <v>3343</v>
      </c>
      <c r="C696" s="598" t="s">
        <v>2035</v>
      </c>
      <c r="D696" s="598" t="s">
        <v>2036</v>
      </c>
      <c r="E696" s="598" t="s">
        <v>321</v>
      </c>
      <c r="F696" s="598" t="s">
        <v>3309</v>
      </c>
      <c r="G696" s="598" t="s">
        <v>3309</v>
      </c>
      <c r="H696" s="598" t="s">
        <v>3309</v>
      </c>
      <c r="I696" s="598" t="s">
        <v>3309</v>
      </c>
      <c r="J696" s="598" t="s">
        <v>3309</v>
      </c>
      <c r="K696" s="598" t="s">
        <v>321</v>
      </c>
      <c r="L696" s="598" t="s">
        <v>321</v>
      </c>
      <c r="M696" s="598" t="s">
        <v>3309</v>
      </c>
      <c r="N696" s="598" t="s">
        <v>3309</v>
      </c>
      <c r="O696" s="598" t="s">
        <v>3309</v>
      </c>
      <c r="P696" s="598" t="s">
        <v>3309</v>
      </c>
      <c r="Q696" s="598" t="s">
        <v>3309</v>
      </c>
      <c r="R696" s="598" t="s">
        <v>321</v>
      </c>
      <c r="S696" s="598" t="s">
        <v>321</v>
      </c>
      <c r="T696" s="598" t="s">
        <v>3309</v>
      </c>
      <c r="U696" s="598" t="s">
        <v>3309</v>
      </c>
      <c r="V696" s="598" t="s">
        <v>3309</v>
      </c>
      <c r="W696" s="598" t="s">
        <v>3309</v>
      </c>
      <c r="X696" s="598" t="s">
        <v>3309</v>
      </c>
      <c r="Y696" s="598" t="s">
        <v>321</v>
      </c>
      <c r="Z696" s="598" t="s">
        <v>321</v>
      </c>
      <c r="AA696" s="598" t="s">
        <v>3309</v>
      </c>
      <c r="AB696" s="598" t="s">
        <v>3309</v>
      </c>
      <c r="AC696" s="598" t="s">
        <v>3309</v>
      </c>
      <c r="AD696" s="598" t="s">
        <v>3309</v>
      </c>
      <c r="AE696" s="598" t="s">
        <v>3309</v>
      </c>
      <c r="AF696" s="598" t="s">
        <v>321</v>
      </c>
      <c r="AG696" s="598" t="s">
        <v>321</v>
      </c>
      <c r="AH696" s="598" t="s">
        <v>3309</v>
      </c>
      <c r="AI696" s="598" t="s">
        <v>321</v>
      </c>
      <c r="AJ696" s="599">
        <v>21</v>
      </c>
      <c r="AK696" s="600">
        <v>21</v>
      </c>
      <c r="AL696" s="601">
        <v>0</v>
      </c>
      <c r="AM696" s="601">
        <v>0</v>
      </c>
      <c r="AN696" s="599">
        <v>21</v>
      </c>
    </row>
    <row r="697" spans="1:40" ht="16.5" customHeight="1">
      <c r="A697" s="598" t="s">
        <v>3337</v>
      </c>
      <c r="B697" s="598" t="s">
        <v>3343</v>
      </c>
      <c r="C697" s="598" t="s">
        <v>1395</v>
      </c>
      <c r="D697" s="598" t="s">
        <v>1396</v>
      </c>
      <c r="E697" s="598" t="s">
        <v>321</v>
      </c>
      <c r="F697" s="598" t="s">
        <v>3309</v>
      </c>
      <c r="G697" s="598" t="s">
        <v>3309</v>
      </c>
      <c r="H697" s="598" t="s">
        <v>3309</v>
      </c>
      <c r="I697" s="598" t="s">
        <v>3309</v>
      </c>
      <c r="J697" s="598" t="s">
        <v>3309</v>
      </c>
      <c r="K697" s="598" t="s">
        <v>321</v>
      </c>
      <c r="L697" s="598" t="s">
        <v>321</v>
      </c>
      <c r="M697" s="598" t="s">
        <v>3309</v>
      </c>
      <c r="N697" s="598" t="s">
        <v>3309</v>
      </c>
      <c r="O697" s="598" t="s">
        <v>3309</v>
      </c>
      <c r="P697" s="598" t="s">
        <v>3309</v>
      </c>
      <c r="Q697" s="598" t="s">
        <v>3309</v>
      </c>
      <c r="R697" s="598" t="s">
        <v>321</v>
      </c>
      <c r="S697" s="598" t="s">
        <v>321</v>
      </c>
      <c r="T697" s="598" t="s">
        <v>3309</v>
      </c>
      <c r="U697" s="598" t="s">
        <v>3309</v>
      </c>
      <c r="V697" s="598" t="s">
        <v>3309</v>
      </c>
      <c r="W697" s="598" t="s">
        <v>3309</v>
      </c>
      <c r="X697" s="598" t="s">
        <v>3309</v>
      </c>
      <c r="Y697" s="598" t="s">
        <v>321</v>
      </c>
      <c r="Z697" s="598" t="s">
        <v>321</v>
      </c>
      <c r="AA697" s="598" t="s">
        <v>3309</v>
      </c>
      <c r="AB697" s="598" t="s">
        <v>3309</v>
      </c>
      <c r="AC697" s="598" t="s">
        <v>3309</v>
      </c>
      <c r="AD697" s="598" t="s">
        <v>3309</v>
      </c>
      <c r="AE697" s="598" t="s">
        <v>3312</v>
      </c>
      <c r="AF697" s="598" t="s">
        <v>321</v>
      </c>
      <c r="AG697" s="598" t="s">
        <v>321</v>
      </c>
      <c r="AH697" s="598" t="s">
        <v>3309</v>
      </c>
      <c r="AI697" s="598" t="s">
        <v>321</v>
      </c>
      <c r="AJ697" s="599">
        <v>21</v>
      </c>
      <c r="AK697" s="600">
        <v>20</v>
      </c>
      <c r="AL697" s="602">
        <v>1</v>
      </c>
      <c r="AM697" s="601">
        <v>0</v>
      </c>
      <c r="AN697" s="599">
        <v>21</v>
      </c>
    </row>
    <row r="698" spans="1:40" ht="16.5" customHeight="1">
      <c r="A698" s="598" t="s">
        <v>3337</v>
      </c>
      <c r="B698" s="598" t="s">
        <v>3343</v>
      </c>
      <c r="C698" s="598" t="s">
        <v>947</v>
      </c>
      <c r="D698" s="598" t="s">
        <v>948</v>
      </c>
      <c r="E698" s="598" t="s">
        <v>321</v>
      </c>
      <c r="F698" s="598" t="s">
        <v>3312</v>
      </c>
      <c r="G698" s="598" t="s">
        <v>3309</v>
      </c>
      <c r="H698" s="598" t="s">
        <v>3309</v>
      </c>
      <c r="I698" s="598" t="s">
        <v>3309</v>
      </c>
      <c r="J698" s="598" t="s">
        <v>3309</v>
      </c>
      <c r="K698" s="598" t="s">
        <v>321</v>
      </c>
      <c r="L698" s="598" t="s">
        <v>321</v>
      </c>
      <c r="M698" s="598" t="s">
        <v>3309</v>
      </c>
      <c r="N698" s="598" t="s">
        <v>3309</v>
      </c>
      <c r="O698" s="598" t="s">
        <v>3309</v>
      </c>
      <c r="P698" s="598" t="s">
        <v>3309</v>
      </c>
      <c r="Q698" s="598" t="s">
        <v>3309</v>
      </c>
      <c r="R698" s="598" t="s">
        <v>321</v>
      </c>
      <c r="S698" s="598" t="s">
        <v>321</v>
      </c>
      <c r="T698" s="598" t="s">
        <v>3309</v>
      </c>
      <c r="U698" s="598" t="s">
        <v>3309</v>
      </c>
      <c r="V698" s="598" t="s">
        <v>3309</v>
      </c>
      <c r="W698" s="598" t="s">
        <v>3309</v>
      </c>
      <c r="X698" s="598" t="s">
        <v>3309</v>
      </c>
      <c r="Y698" s="598" t="s">
        <v>321</v>
      </c>
      <c r="Z698" s="598" t="s">
        <v>321</v>
      </c>
      <c r="AA698" s="598" t="s">
        <v>3309</v>
      </c>
      <c r="AB698" s="598" t="s">
        <v>3309</v>
      </c>
      <c r="AC698" s="598" t="s">
        <v>3309</v>
      </c>
      <c r="AD698" s="598" t="s">
        <v>3309</v>
      </c>
      <c r="AE698" s="598" t="s">
        <v>3309</v>
      </c>
      <c r="AF698" s="598" t="s">
        <v>321</v>
      </c>
      <c r="AG698" s="598" t="s">
        <v>321</v>
      </c>
      <c r="AH698" s="598" t="s">
        <v>3309</v>
      </c>
      <c r="AI698" s="598" t="s">
        <v>321</v>
      </c>
      <c r="AJ698" s="599">
        <v>21</v>
      </c>
      <c r="AK698" s="600">
        <v>20</v>
      </c>
      <c r="AL698" s="602">
        <v>1</v>
      </c>
      <c r="AM698" s="601">
        <v>0</v>
      </c>
      <c r="AN698" s="599">
        <v>21</v>
      </c>
    </row>
    <row r="699" spans="1:40" ht="16.5" customHeight="1">
      <c r="A699" s="598" t="s">
        <v>3337</v>
      </c>
      <c r="B699" s="598" t="s">
        <v>3343</v>
      </c>
      <c r="C699" s="598" t="s">
        <v>2852</v>
      </c>
      <c r="D699" s="598" t="s">
        <v>2853</v>
      </c>
      <c r="E699" s="598" t="s">
        <v>321</v>
      </c>
      <c r="F699" s="598" t="s">
        <v>3309</v>
      </c>
      <c r="G699" s="598" t="s">
        <v>3309</v>
      </c>
      <c r="H699" s="598" t="s">
        <v>3309</v>
      </c>
      <c r="I699" s="598" t="s">
        <v>3309</v>
      </c>
      <c r="J699" s="598" t="s">
        <v>3309</v>
      </c>
      <c r="K699" s="598" t="s">
        <v>321</v>
      </c>
      <c r="L699" s="598" t="s">
        <v>321</v>
      </c>
      <c r="M699" s="598" t="s">
        <v>3309</v>
      </c>
      <c r="N699" s="598" t="s">
        <v>3309</v>
      </c>
      <c r="O699" s="598" t="s">
        <v>3309</v>
      </c>
      <c r="P699" s="598" t="s">
        <v>3309</v>
      </c>
      <c r="Q699" s="598" t="s">
        <v>3309</v>
      </c>
      <c r="R699" s="598" t="s">
        <v>321</v>
      </c>
      <c r="S699" s="598" t="s">
        <v>321</v>
      </c>
      <c r="T699" s="598" t="s">
        <v>3309</v>
      </c>
      <c r="U699" s="598" t="s">
        <v>3309</v>
      </c>
      <c r="V699" s="598" t="s">
        <v>3309</v>
      </c>
      <c r="W699" s="598" t="s">
        <v>3309</v>
      </c>
      <c r="X699" s="598" t="s">
        <v>3309</v>
      </c>
      <c r="Y699" s="598" t="s">
        <v>321</v>
      </c>
      <c r="Z699" s="598" t="s">
        <v>321</v>
      </c>
      <c r="AA699" s="598" t="s">
        <v>3309</v>
      </c>
      <c r="AB699" s="598" t="s">
        <v>3309</v>
      </c>
      <c r="AC699" s="598" t="s">
        <v>3309</v>
      </c>
      <c r="AD699" s="598" t="s">
        <v>3309</v>
      </c>
      <c r="AE699" s="598" t="s">
        <v>3309</v>
      </c>
      <c r="AF699" s="598" t="s">
        <v>321</v>
      </c>
      <c r="AG699" s="598" t="s">
        <v>321</v>
      </c>
      <c r="AH699" s="598" t="s">
        <v>3309</v>
      </c>
      <c r="AI699" s="598" t="s">
        <v>321</v>
      </c>
      <c r="AJ699" s="599">
        <v>21</v>
      </c>
      <c r="AK699" s="600">
        <v>21</v>
      </c>
      <c r="AL699" s="601">
        <v>0</v>
      </c>
      <c r="AM699" s="601">
        <v>0</v>
      </c>
      <c r="AN699" s="599">
        <v>21</v>
      </c>
    </row>
    <row r="700" spans="1:40" ht="16.5" customHeight="1">
      <c r="A700" s="598" t="s">
        <v>3337</v>
      </c>
      <c r="B700" s="598" t="s">
        <v>3343</v>
      </c>
      <c r="C700" s="598" t="s">
        <v>782</v>
      </c>
      <c r="D700" s="598" t="s">
        <v>783</v>
      </c>
      <c r="E700" s="598" t="s">
        <v>321</v>
      </c>
      <c r="F700" s="598" t="s">
        <v>3309</v>
      </c>
      <c r="G700" s="598" t="s">
        <v>3309</v>
      </c>
      <c r="H700" s="598" t="s">
        <v>3309</v>
      </c>
      <c r="I700" s="598" t="s">
        <v>3309</v>
      </c>
      <c r="J700" s="598" t="s">
        <v>3309</v>
      </c>
      <c r="K700" s="598" t="s">
        <v>321</v>
      </c>
      <c r="L700" s="598" t="s">
        <v>321</v>
      </c>
      <c r="M700" s="598" t="s">
        <v>3309</v>
      </c>
      <c r="N700" s="598" t="s">
        <v>3309</v>
      </c>
      <c r="O700" s="598" t="s">
        <v>3309</v>
      </c>
      <c r="P700" s="598" t="s">
        <v>3309</v>
      </c>
      <c r="Q700" s="598" t="s">
        <v>3309</v>
      </c>
      <c r="R700" s="598" t="s">
        <v>321</v>
      </c>
      <c r="S700" s="598" t="s">
        <v>321</v>
      </c>
      <c r="T700" s="598" t="s">
        <v>3309</v>
      </c>
      <c r="U700" s="598" t="s">
        <v>3309</v>
      </c>
      <c r="V700" s="598" t="s">
        <v>3309</v>
      </c>
      <c r="W700" s="598" t="s">
        <v>3309</v>
      </c>
      <c r="X700" s="598" t="s">
        <v>3309</v>
      </c>
      <c r="Y700" s="598" t="s">
        <v>321</v>
      </c>
      <c r="Z700" s="598" t="s">
        <v>321</v>
      </c>
      <c r="AA700" s="598" t="s">
        <v>3309</v>
      </c>
      <c r="AB700" s="598" t="s">
        <v>3309</v>
      </c>
      <c r="AC700" s="598" t="s">
        <v>3309</v>
      </c>
      <c r="AD700" s="598" t="s">
        <v>3309</v>
      </c>
      <c r="AE700" s="598" t="s">
        <v>3312</v>
      </c>
      <c r="AF700" s="598" t="s">
        <v>321</v>
      </c>
      <c r="AG700" s="598" t="s">
        <v>321</v>
      </c>
      <c r="AH700" s="598" t="s">
        <v>3309</v>
      </c>
      <c r="AI700" s="598" t="s">
        <v>321</v>
      </c>
      <c r="AJ700" s="599">
        <v>21</v>
      </c>
      <c r="AK700" s="600">
        <v>20</v>
      </c>
      <c r="AL700" s="602">
        <v>1</v>
      </c>
      <c r="AM700" s="601">
        <v>0</v>
      </c>
      <c r="AN700" s="599">
        <v>21</v>
      </c>
    </row>
    <row r="701" spans="1:40" ht="16.5" customHeight="1">
      <c r="A701" s="598" t="s">
        <v>3337</v>
      </c>
      <c r="B701" s="598" t="s">
        <v>3343</v>
      </c>
      <c r="C701" s="598" t="s">
        <v>2175</v>
      </c>
      <c r="D701" s="598" t="s">
        <v>2176</v>
      </c>
      <c r="E701" s="598" t="s">
        <v>321</v>
      </c>
      <c r="F701" s="598" t="s">
        <v>3309</v>
      </c>
      <c r="G701" s="598" t="s">
        <v>3309</v>
      </c>
      <c r="H701" s="598" t="s">
        <v>3309</v>
      </c>
      <c r="I701" s="598" t="s">
        <v>3309</v>
      </c>
      <c r="J701" s="598" t="s">
        <v>3309</v>
      </c>
      <c r="K701" s="598" t="s">
        <v>321</v>
      </c>
      <c r="L701" s="598" t="s">
        <v>321</v>
      </c>
      <c r="M701" s="598" t="s">
        <v>3309</v>
      </c>
      <c r="N701" s="598" t="s">
        <v>3309</v>
      </c>
      <c r="O701" s="598" t="s">
        <v>3309</v>
      </c>
      <c r="P701" s="598" t="s">
        <v>3309</v>
      </c>
      <c r="Q701" s="598" t="s">
        <v>3309</v>
      </c>
      <c r="R701" s="598" t="s">
        <v>321</v>
      </c>
      <c r="S701" s="598" t="s">
        <v>321</v>
      </c>
      <c r="T701" s="598" t="s">
        <v>3309</v>
      </c>
      <c r="U701" s="598" t="s">
        <v>3309</v>
      </c>
      <c r="V701" s="598" t="s">
        <v>3309</v>
      </c>
      <c r="W701" s="598" t="s">
        <v>3309</v>
      </c>
      <c r="X701" s="598" t="s">
        <v>3309</v>
      </c>
      <c r="Y701" s="598" t="s">
        <v>321</v>
      </c>
      <c r="Z701" s="598" t="s">
        <v>321</v>
      </c>
      <c r="AA701" s="598" t="s">
        <v>3309</v>
      </c>
      <c r="AB701" s="598" t="s">
        <v>3309</v>
      </c>
      <c r="AC701" s="598" t="s">
        <v>3309</v>
      </c>
      <c r="AD701" s="598" t="s">
        <v>3309</v>
      </c>
      <c r="AE701" s="598" t="s">
        <v>3309</v>
      </c>
      <c r="AF701" s="598" t="s">
        <v>321</v>
      </c>
      <c r="AG701" s="598" t="s">
        <v>321</v>
      </c>
      <c r="AH701" s="598" t="s">
        <v>3309</v>
      </c>
      <c r="AI701" s="598" t="s">
        <v>321</v>
      </c>
      <c r="AJ701" s="599">
        <v>21</v>
      </c>
      <c r="AK701" s="600">
        <v>21</v>
      </c>
      <c r="AL701" s="601">
        <v>0</v>
      </c>
      <c r="AM701" s="601">
        <v>0</v>
      </c>
      <c r="AN701" s="599">
        <v>21</v>
      </c>
    </row>
    <row r="702" spans="1:40" ht="16.5" customHeight="1">
      <c r="A702" s="598" t="s">
        <v>3337</v>
      </c>
      <c r="B702" s="598" t="s">
        <v>3343</v>
      </c>
      <c r="C702" s="598" t="s">
        <v>2055</v>
      </c>
      <c r="D702" s="598" t="s">
        <v>2056</v>
      </c>
      <c r="E702" s="598" t="s">
        <v>321</v>
      </c>
      <c r="F702" s="598" t="s">
        <v>3309</v>
      </c>
      <c r="G702" s="598" t="s">
        <v>3309</v>
      </c>
      <c r="H702" s="598" t="s">
        <v>3314</v>
      </c>
      <c r="I702" s="598" t="s">
        <v>3309</v>
      </c>
      <c r="J702" s="598" t="s">
        <v>3309</v>
      </c>
      <c r="K702" s="598" t="s">
        <v>321</v>
      </c>
      <c r="L702" s="598" t="s">
        <v>321</v>
      </c>
      <c r="M702" s="598" t="s">
        <v>3309</v>
      </c>
      <c r="N702" s="598" t="s">
        <v>3309</v>
      </c>
      <c r="O702" s="598" t="s">
        <v>3309</v>
      </c>
      <c r="P702" s="598" t="s">
        <v>3309</v>
      </c>
      <c r="Q702" s="598" t="s">
        <v>3309</v>
      </c>
      <c r="R702" s="598" t="s">
        <v>321</v>
      </c>
      <c r="S702" s="598" t="s">
        <v>321</v>
      </c>
      <c r="T702" s="598" t="s">
        <v>3309</v>
      </c>
      <c r="U702" s="598" t="s">
        <v>3309</v>
      </c>
      <c r="V702" s="598" t="s">
        <v>3309</v>
      </c>
      <c r="W702" s="598" t="s">
        <v>3309</v>
      </c>
      <c r="X702" s="598" t="s">
        <v>3314</v>
      </c>
      <c r="Y702" s="598" t="s">
        <v>321</v>
      </c>
      <c r="Z702" s="598" t="s">
        <v>321</v>
      </c>
      <c r="AA702" s="598" t="s">
        <v>3309</v>
      </c>
      <c r="AB702" s="598" t="s">
        <v>3309</v>
      </c>
      <c r="AC702" s="598" t="s">
        <v>3309</v>
      </c>
      <c r="AD702" s="598" t="s">
        <v>3309</v>
      </c>
      <c r="AE702" s="598" t="s">
        <v>3309</v>
      </c>
      <c r="AF702" s="598" t="s">
        <v>321</v>
      </c>
      <c r="AG702" s="598" t="s">
        <v>321</v>
      </c>
      <c r="AH702" s="598" t="s">
        <v>3309</v>
      </c>
      <c r="AI702" s="598" t="s">
        <v>321</v>
      </c>
      <c r="AJ702" s="599">
        <v>21</v>
      </c>
      <c r="AK702" s="600">
        <v>20</v>
      </c>
      <c r="AL702" s="602">
        <v>1</v>
      </c>
      <c r="AM702" s="601">
        <v>0</v>
      </c>
      <c r="AN702" s="599">
        <v>21</v>
      </c>
    </row>
    <row r="703" spans="1:40" ht="16.5" customHeight="1">
      <c r="A703" s="598" t="s">
        <v>3337</v>
      </c>
      <c r="B703" s="598" t="s">
        <v>3343</v>
      </c>
      <c r="C703" s="598" t="s">
        <v>1469</v>
      </c>
      <c r="D703" s="598" t="s">
        <v>1470</v>
      </c>
      <c r="E703" s="598" t="s">
        <v>321</v>
      </c>
      <c r="F703" s="598" t="s">
        <v>3309</v>
      </c>
      <c r="G703" s="598" t="s">
        <v>3309</v>
      </c>
      <c r="H703" s="598" t="s">
        <v>3309</v>
      </c>
      <c r="I703" s="598" t="s">
        <v>3309</v>
      </c>
      <c r="J703" s="598" t="s">
        <v>3309</v>
      </c>
      <c r="K703" s="598" t="s">
        <v>321</v>
      </c>
      <c r="L703" s="598" t="s">
        <v>321</v>
      </c>
      <c r="M703" s="598" t="s">
        <v>3309</v>
      </c>
      <c r="N703" s="598" t="s">
        <v>3309</v>
      </c>
      <c r="O703" s="598" t="s">
        <v>3309</v>
      </c>
      <c r="P703" s="598" t="s">
        <v>3309</v>
      </c>
      <c r="Q703" s="598" t="s">
        <v>3309</v>
      </c>
      <c r="R703" s="598" t="s">
        <v>321</v>
      </c>
      <c r="S703" s="598" t="s">
        <v>321</v>
      </c>
      <c r="T703" s="598" t="s">
        <v>3309</v>
      </c>
      <c r="U703" s="598" t="s">
        <v>3309</v>
      </c>
      <c r="V703" s="598" t="s">
        <v>3309</v>
      </c>
      <c r="W703" s="598" t="s">
        <v>3309</v>
      </c>
      <c r="X703" s="598" t="s">
        <v>3309</v>
      </c>
      <c r="Y703" s="598" t="s">
        <v>321</v>
      </c>
      <c r="Z703" s="598" t="s">
        <v>321</v>
      </c>
      <c r="AA703" s="598" t="s">
        <v>3309</v>
      </c>
      <c r="AB703" s="598" t="s">
        <v>3309</v>
      </c>
      <c r="AC703" s="598" t="s">
        <v>3309</v>
      </c>
      <c r="AD703" s="598" t="s">
        <v>3309</v>
      </c>
      <c r="AE703" s="598" t="s">
        <v>3309</v>
      </c>
      <c r="AF703" s="598" t="s">
        <v>321</v>
      </c>
      <c r="AG703" s="598" t="s">
        <v>321</v>
      </c>
      <c r="AH703" s="598" t="s">
        <v>3309</v>
      </c>
      <c r="AI703" s="598" t="s">
        <v>321</v>
      </c>
      <c r="AJ703" s="599">
        <v>21</v>
      </c>
      <c r="AK703" s="600">
        <v>21</v>
      </c>
      <c r="AL703" s="601">
        <v>0</v>
      </c>
      <c r="AM703" s="601">
        <v>0</v>
      </c>
      <c r="AN703" s="599">
        <v>21</v>
      </c>
    </row>
    <row r="704" spans="1:40" ht="16.5" customHeight="1">
      <c r="A704" s="598" t="s">
        <v>3337</v>
      </c>
      <c r="B704" s="598" t="s">
        <v>3343</v>
      </c>
      <c r="C704" s="598" t="s">
        <v>2535</v>
      </c>
      <c r="D704" s="598" t="s">
        <v>2536</v>
      </c>
      <c r="E704" s="598" t="s">
        <v>321</v>
      </c>
      <c r="F704" s="598" t="s">
        <v>3309</v>
      </c>
      <c r="G704" s="598" t="s">
        <v>3309</v>
      </c>
      <c r="H704" s="598" t="s">
        <v>3309</v>
      </c>
      <c r="I704" s="598" t="s">
        <v>3309</v>
      </c>
      <c r="J704" s="598" t="s">
        <v>3309</v>
      </c>
      <c r="K704" s="598" t="s">
        <v>321</v>
      </c>
      <c r="L704" s="598" t="s">
        <v>321</v>
      </c>
      <c r="M704" s="598" t="s">
        <v>3309</v>
      </c>
      <c r="N704" s="598" t="s">
        <v>3309</v>
      </c>
      <c r="O704" s="598" t="s">
        <v>3309</v>
      </c>
      <c r="P704" s="598" t="s">
        <v>3309</v>
      </c>
      <c r="Q704" s="598" t="s">
        <v>3309</v>
      </c>
      <c r="R704" s="598" t="s">
        <v>321</v>
      </c>
      <c r="S704" s="598" t="s">
        <v>321</v>
      </c>
      <c r="T704" s="598" t="s">
        <v>3309</v>
      </c>
      <c r="U704" s="598" t="s">
        <v>3309</v>
      </c>
      <c r="V704" s="598" t="s">
        <v>3309</v>
      </c>
      <c r="W704" s="598" t="s">
        <v>3309</v>
      </c>
      <c r="X704" s="598" t="s">
        <v>3309</v>
      </c>
      <c r="Y704" s="598" t="s">
        <v>321</v>
      </c>
      <c r="Z704" s="598" t="s">
        <v>321</v>
      </c>
      <c r="AA704" s="598" t="s">
        <v>3309</v>
      </c>
      <c r="AB704" s="598" t="s">
        <v>3309</v>
      </c>
      <c r="AC704" s="598" t="s">
        <v>3309</v>
      </c>
      <c r="AD704" s="598" t="s">
        <v>3309</v>
      </c>
      <c r="AE704" s="598" t="s">
        <v>3309</v>
      </c>
      <c r="AF704" s="598" t="s">
        <v>321</v>
      </c>
      <c r="AG704" s="598" t="s">
        <v>321</v>
      </c>
      <c r="AH704" s="598" t="s">
        <v>3309</v>
      </c>
      <c r="AI704" s="598" t="s">
        <v>321</v>
      </c>
      <c r="AJ704" s="599">
        <v>21</v>
      </c>
      <c r="AK704" s="600">
        <v>21</v>
      </c>
      <c r="AL704" s="601">
        <v>0</v>
      </c>
      <c r="AM704" s="601">
        <v>0</v>
      </c>
      <c r="AN704" s="599">
        <v>21</v>
      </c>
    </row>
    <row r="705" spans="1:40" ht="16.5" customHeight="1">
      <c r="A705" s="598" t="s">
        <v>3337</v>
      </c>
      <c r="B705" s="598" t="s">
        <v>3343</v>
      </c>
      <c r="C705" s="598" t="s">
        <v>2531</v>
      </c>
      <c r="D705" s="598" t="s">
        <v>2532</v>
      </c>
      <c r="E705" s="598" t="s">
        <v>321</v>
      </c>
      <c r="F705" s="598" t="s">
        <v>3309</v>
      </c>
      <c r="G705" s="598" t="s">
        <v>3309</v>
      </c>
      <c r="H705" s="598" t="s">
        <v>3309</v>
      </c>
      <c r="I705" s="598" t="s">
        <v>3309</v>
      </c>
      <c r="J705" s="598" t="s">
        <v>3309</v>
      </c>
      <c r="K705" s="598" t="s">
        <v>321</v>
      </c>
      <c r="L705" s="598" t="s">
        <v>321</v>
      </c>
      <c r="M705" s="598" t="s">
        <v>3309</v>
      </c>
      <c r="N705" s="598" t="s">
        <v>3309</v>
      </c>
      <c r="O705" s="598" t="s">
        <v>3309</v>
      </c>
      <c r="P705" s="598" t="s">
        <v>3309</v>
      </c>
      <c r="Q705" s="598" t="s">
        <v>3309</v>
      </c>
      <c r="R705" s="598" t="s">
        <v>321</v>
      </c>
      <c r="S705" s="598" t="s">
        <v>321</v>
      </c>
      <c r="T705" s="598" t="s">
        <v>3309</v>
      </c>
      <c r="U705" s="598" t="s">
        <v>3309</v>
      </c>
      <c r="V705" s="598" t="s">
        <v>3309</v>
      </c>
      <c r="W705" s="598" t="s">
        <v>3309</v>
      </c>
      <c r="X705" s="598" t="s">
        <v>3309</v>
      </c>
      <c r="Y705" s="598" t="s">
        <v>321</v>
      </c>
      <c r="Z705" s="598" t="s">
        <v>321</v>
      </c>
      <c r="AA705" s="598" t="s">
        <v>3309</v>
      </c>
      <c r="AB705" s="598" t="s">
        <v>3309</v>
      </c>
      <c r="AC705" s="598" t="s">
        <v>3309</v>
      </c>
      <c r="AD705" s="598" t="s">
        <v>3309</v>
      </c>
      <c r="AE705" s="598" t="s">
        <v>3309</v>
      </c>
      <c r="AF705" s="598" t="s">
        <v>321</v>
      </c>
      <c r="AG705" s="598" t="s">
        <v>321</v>
      </c>
      <c r="AH705" s="598" t="s">
        <v>3309</v>
      </c>
      <c r="AI705" s="598" t="s">
        <v>321</v>
      </c>
      <c r="AJ705" s="599">
        <v>21</v>
      </c>
      <c r="AK705" s="600">
        <v>21</v>
      </c>
      <c r="AL705" s="601">
        <v>0</v>
      </c>
      <c r="AM705" s="601">
        <v>0</v>
      </c>
      <c r="AN705" s="599">
        <v>21</v>
      </c>
    </row>
    <row r="706" spans="1:40" ht="16.5" customHeight="1">
      <c r="A706" s="598" t="s">
        <v>3337</v>
      </c>
      <c r="B706" s="598" t="s">
        <v>3343</v>
      </c>
      <c r="C706" s="598" t="s">
        <v>2378</v>
      </c>
      <c r="D706" s="598" t="s">
        <v>2379</v>
      </c>
      <c r="E706" s="598" t="s">
        <v>321</v>
      </c>
      <c r="F706" s="598" t="s">
        <v>3309</v>
      </c>
      <c r="G706" s="598" t="s">
        <v>3309</v>
      </c>
      <c r="H706" s="598" t="s">
        <v>3309</v>
      </c>
      <c r="I706" s="598" t="s">
        <v>3309</v>
      </c>
      <c r="J706" s="598" t="s">
        <v>3309</v>
      </c>
      <c r="K706" s="598" t="s">
        <v>321</v>
      </c>
      <c r="L706" s="598" t="s">
        <v>321</v>
      </c>
      <c r="M706" s="598" t="s">
        <v>3309</v>
      </c>
      <c r="N706" s="598" t="s">
        <v>3309</v>
      </c>
      <c r="O706" s="598" t="s">
        <v>3309</v>
      </c>
      <c r="P706" s="598" t="s">
        <v>3309</v>
      </c>
      <c r="Q706" s="598" t="s">
        <v>3309</v>
      </c>
      <c r="R706" s="598" t="s">
        <v>321</v>
      </c>
      <c r="S706" s="598" t="s">
        <v>321</v>
      </c>
      <c r="T706" s="598" t="s">
        <v>3309</v>
      </c>
      <c r="U706" s="598" t="s">
        <v>3309</v>
      </c>
      <c r="V706" s="598" t="s">
        <v>3309</v>
      </c>
      <c r="W706" s="598" t="s">
        <v>3309</v>
      </c>
      <c r="X706" s="598" t="s">
        <v>3312</v>
      </c>
      <c r="Y706" s="598" t="s">
        <v>321</v>
      </c>
      <c r="Z706" s="598" t="s">
        <v>321</v>
      </c>
      <c r="AA706" s="598" t="s">
        <v>3309</v>
      </c>
      <c r="AB706" s="598" t="s">
        <v>3309</v>
      </c>
      <c r="AC706" s="598" t="s">
        <v>3309</v>
      </c>
      <c r="AD706" s="598" t="s">
        <v>3309</v>
      </c>
      <c r="AE706" s="598" t="s">
        <v>3309</v>
      </c>
      <c r="AF706" s="598" t="s">
        <v>321</v>
      </c>
      <c r="AG706" s="598" t="s">
        <v>321</v>
      </c>
      <c r="AH706" s="598" t="s">
        <v>3309</v>
      </c>
      <c r="AI706" s="598" t="s">
        <v>321</v>
      </c>
      <c r="AJ706" s="599">
        <v>21</v>
      </c>
      <c r="AK706" s="600">
        <v>20</v>
      </c>
      <c r="AL706" s="602">
        <v>1</v>
      </c>
      <c r="AM706" s="601">
        <v>0</v>
      </c>
      <c r="AN706" s="599">
        <v>21</v>
      </c>
    </row>
    <row r="707" spans="1:40" ht="16.5" customHeight="1">
      <c r="A707" s="598" t="s">
        <v>3337</v>
      </c>
      <c r="B707" s="598" t="s">
        <v>3343</v>
      </c>
      <c r="C707" s="598" t="s">
        <v>2044</v>
      </c>
      <c r="D707" s="598" t="s">
        <v>656</v>
      </c>
      <c r="E707" s="598" t="s">
        <v>321</v>
      </c>
      <c r="F707" s="598" t="s">
        <v>3309</v>
      </c>
      <c r="G707" s="598" t="s">
        <v>3309</v>
      </c>
      <c r="H707" s="598" t="s">
        <v>3309</v>
      </c>
      <c r="I707" s="598" t="s">
        <v>3309</v>
      </c>
      <c r="J707" s="598" t="s">
        <v>3309</v>
      </c>
      <c r="K707" s="598" t="s">
        <v>321</v>
      </c>
      <c r="L707" s="598" t="s">
        <v>321</v>
      </c>
      <c r="M707" s="598" t="s">
        <v>3309</v>
      </c>
      <c r="N707" s="598" t="s">
        <v>3309</v>
      </c>
      <c r="O707" s="598" t="s">
        <v>3309</v>
      </c>
      <c r="P707" s="598" t="s">
        <v>3309</v>
      </c>
      <c r="Q707" s="598" t="s">
        <v>3309</v>
      </c>
      <c r="R707" s="598" t="s">
        <v>321</v>
      </c>
      <c r="S707" s="598" t="s">
        <v>321</v>
      </c>
      <c r="T707" s="598" t="s">
        <v>3309</v>
      </c>
      <c r="U707" s="598" t="s">
        <v>3309</v>
      </c>
      <c r="V707" s="598" t="s">
        <v>3309</v>
      </c>
      <c r="W707" s="598" t="s">
        <v>3309</v>
      </c>
      <c r="X707" s="598" t="s">
        <v>3309</v>
      </c>
      <c r="Y707" s="598" t="s">
        <v>321</v>
      </c>
      <c r="Z707" s="598" t="s">
        <v>321</v>
      </c>
      <c r="AA707" s="598" t="s">
        <v>3312</v>
      </c>
      <c r="AB707" s="598" t="s">
        <v>3309</v>
      </c>
      <c r="AC707" s="598" t="s">
        <v>3309</v>
      </c>
      <c r="AD707" s="598" t="s">
        <v>3309</v>
      </c>
      <c r="AE707" s="598" t="s">
        <v>3309</v>
      </c>
      <c r="AF707" s="598" t="s">
        <v>321</v>
      </c>
      <c r="AG707" s="598" t="s">
        <v>321</v>
      </c>
      <c r="AH707" s="598" t="s">
        <v>3309</v>
      </c>
      <c r="AI707" s="598" t="s">
        <v>321</v>
      </c>
      <c r="AJ707" s="599">
        <v>21</v>
      </c>
      <c r="AK707" s="600">
        <v>20</v>
      </c>
      <c r="AL707" s="602">
        <v>1</v>
      </c>
      <c r="AM707" s="601">
        <v>0</v>
      </c>
      <c r="AN707" s="599">
        <v>21</v>
      </c>
    </row>
    <row r="708" spans="1:40" ht="16.5" customHeight="1">
      <c r="A708" s="598" t="s">
        <v>3337</v>
      </c>
      <c r="B708" s="598" t="s">
        <v>3343</v>
      </c>
      <c r="C708" s="598" t="s">
        <v>2836</v>
      </c>
      <c r="D708" s="598" t="s">
        <v>2837</v>
      </c>
      <c r="E708" s="598" t="s">
        <v>321</v>
      </c>
      <c r="F708" s="598" t="s">
        <v>3309</v>
      </c>
      <c r="G708" s="598" t="s">
        <v>3309</v>
      </c>
      <c r="H708" s="598" t="s">
        <v>3309</v>
      </c>
      <c r="I708" s="598" t="s">
        <v>3309</v>
      </c>
      <c r="J708" s="598" t="s">
        <v>3309</v>
      </c>
      <c r="K708" s="598" t="s">
        <v>321</v>
      </c>
      <c r="L708" s="598" t="s">
        <v>321</v>
      </c>
      <c r="M708" s="598" t="s">
        <v>3309</v>
      </c>
      <c r="N708" s="598" t="s">
        <v>3309</v>
      </c>
      <c r="O708" s="598" t="s">
        <v>3309</v>
      </c>
      <c r="P708" s="598" t="s">
        <v>3309</v>
      </c>
      <c r="Q708" s="598" t="s">
        <v>3309</v>
      </c>
      <c r="R708" s="598" t="s">
        <v>321</v>
      </c>
      <c r="S708" s="598" t="s">
        <v>321</v>
      </c>
      <c r="T708" s="598" t="s">
        <v>3309</v>
      </c>
      <c r="U708" s="598" t="s">
        <v>3309</v>
      </c>
      <c r="V708" s="598" t="s">
        <v>3309</v>
      </c>
      <c r="W708" s="598" t="s">
        <v>3309</v>
      </c>
      <c r="X708" s="598" t="s">
        <v>3309</v>
      </c>
      <c r="Y708" s="598" t="s">
        <v>321</v>
      </c>
      <c r="Z708" s="598" t="s">
        <v>321</v>
      </c>
      <c r="AA708" s="598" t="s">
        <v>3309</v>
      </c>
      <c r="AB708" s="598" t="s">
        <v>3309</v>
      </c>
      <c r="AC708" s="598" t="s">
        <v>3309</v>
      </c>
      <c r="AD708" s="598" t="s">
        <v>3309</v>
      </c>
      <c r="AE708" s="598" t="s">
        <v>3309</v>
      </c>
      <c r="AF708" s="598" t="s">
        <v>321</v>
      </c>
      <c r="AG708" s="598" t="s">
        <v>321</v>
      </c>
      <c r="AH708" s="598" t="s">
        <v>3309</v>
      </c>
      <c r="AI708" s="598" t="s">
        <v>321</v>
      </c>
      <c r="AJ708" s="599">
        <v>21</v>
      </c>
      <c r="AK708" s="600">
        <v>21</v>
      </c>
      <c r="AL708" s="601">
        <v>0</v>
      </c>
      <c r="AM708" s="601">
        <v>0</v>
      </c>
      <c r="AN708" s="599">
        <v>21</v>
      </c>
    </row>
    <row r="709" spans="1:40" ht="16.5" customHeight="1">
      <c r="A709" s="598" t="s">
        <v>3337</v>
      </c>
      <c r="B709" s="598" t="s">
        <v>3343</v>
      </c>
      <c r="C709" s="598" t="s">
        <v>2580</v>
      </c>
      <c r="D709" s="598" t="s">
        <v>2581</v>
      </c>
      <c r="E709" s="598" t="s">
        <v>321</v>
      </c>
      <c r="F709" s="598" t="s">
        <v>3309</v>
      </c>
      <c r="G709" s="598" t="s">
        <v>3309</v>
      </c>
      <c r="H709" s="598" t="s">
        <v>3309</v>
      </c>
      <c r="I709" s="598" t="s">
        <v>3309</v>
      </c>
      <c r="J709" s="598" t="s">
        <v>3309</v>
      </c>
      <c r="K709" s="598" t="s">
        <v>321</v>
      </c>
      <c r="L709" s="598" t="s">
        <v>321</v>
      </c>
      <c r="M709" s="598" t="s">
        <v>3309</v>
      </c>
      <c r="N709" s="598" t="s">
        <v>3309</v>
      </c>
      <c r="O709" s="598" t="s">
        <v>3309</v>
      </c>
      <c r="P709" s="598" t="s">
        <v>3309</v>
      </c>
      <c r="Q709" s="598" t="s">
        <v>3309</v>
      </c>
      <c r="R709" s="598" t="s">
        <v>321</v>
      </c>
      <c r="S709" s="598" t="s">
        <v>321</v>
      </c>
      <c r="T709" s="598" t="s">
        <v>3309</v>
      </c>
      <c r="U709" s="598" t="s">
        <v>3309</v>
      </c>
      <c r="V709" s="598" t="s">
        <v>3309</v>
      </c>
      <c r="W709" s="598" t="s">
        <v>3309</v>
      </c>
      <c r="X709" s="598" t="s">
        <v>3309</v>
      </c>
      <c r="Y709" s="598" t="s">
        <v>321</v>
      </c>
      <c r="Z709" s="598" t="s">
        <v>321</v>
      </c>
      <c r="AA709" s="598" t="s">
        <v>3309</v>
      </c>
      <c r="AB709" s="598" t="s">
        <v>3309</v>
      </c>
      <c r="AC709" s="598" t="s">
        <v>3309</v>
      </c>
      <c r="AD709" s="598" t="s">
        <v>3309</v>
      </c>
      <c r="AE709" s="598" t="s">
        <v>3309</v>
      </c>
      <c r="AF709" s="598" t="s">
        <v>321</v>
      </c>
      <c r="AG709" s="598" t="s">
        <v>321</v>
      </c>
      <c r="AH709" s="598" t="s">
        <v>3309</v>
      </c>
      <c r="AI709" s="598" t="s">
        <v>321</v>
      </c>
      <c r="AJ709" s="599">
        <v>21</v>
      </c>
      <c r="AK709" s="600">
        <v>21</v>
      </c>
      <c r="AL709" s="601">
        <v>0</v>
      </c>
      <c r="AM709" s="601">
        <v>0</v>
      </c>
      <c r="AN709" s="599">
        <v>21</v>
      </c>
    </row>
    <row r="710" spans="1:40" ht="16.5" customHeight="1">
      <c r="A710" s="598" t="s">
        <v>3337</v>
      </c>
      <c r="B710" s="598" t="s">
        <v>3343</v>
      </c>
      <c r="C710" s="598" t="s">
        <v>2087</v>
      </c>
      <c r="D710" s="598" t="s">
        <v>1323</v>
      </c>
      <c r="E710" s="598" t="s">
        <v>321</v>
      </c>
      <c r="F710" s="598" t="s">
        <v>3309</v>
      </c>
      <c r="G710" s="598" t="s">
        <v>3309</v>
      </c>
      <c r="H710" s="598" t="s">
        <v>3309</v>
      </c>
      <c r="I710" s="598" t="s">
        <v>3309</v>
      </c>
      <c r="J710" s="598" t="s">
        <v>3309</v>
      </c>
      <c r="K710" s="598" t="s">
        <v>321</v>
      </c>
      <c r="L710" s="598" t="s">
        <v>321</v>
      </c>
      <c r="M710" s="598" t="s">
        <v>3309</v>
      </c>
      <c r="N710" s="598" t="s">
        <v>3309</v>
      </c>
      <c r="O710" s="598" t="s">
        <v>3309</v>
      </c>
      <c r="P710" s="598" t="s">
        <v>3309</v>
      </c>
      <c r="Q710" s="598" t="s">
        <v>3309</v>
      </c>
      <c r="R710" s="598" t="s">
        <v>321</v>
      </c>
      <c r="S710" s="598" t="s">
        <v>321</v>
      </c>
      <c r="T710" s="598" t="s">
        <v>3309</v>
      </c>
      <c r="U710" s="598" t="s">
        <v>3309</v>
      </c>
      <c r="V710" s="598" t="s">
        <v>3309</v>
      </c>
      <c r="W710" s="598" t="s">
        <v>3309</v>
      </c>
      <c r="X710" s="598" t="s">
        <v>3309</v>
      </c>
      <c r="Y710" s="598" t="s">
        <v>321</v>
      </c>
      <c r="Z710" s="598" t="s">
        <v>321</v>
      </c>
      <c r="AA710" s="598" t="s">
        <v>3309</v>
      </c>
      <c r="AB710" s="598" t="s">
        <v>3309</v>
      </c>
      <c r="AC710" s="598" t="s">
        <v>3309</v>
      </c>
      <c r="AD710" s="598" t="s">
        <v>3309</v>
      </c>
      <c r="AE710" s="598" t="s">
        <v>3309</v>
      </c>
      <c r="AF710" s="598" t="s">
        <v>321</v>
      </c>
      <c r="AG710" s="598" t="s">
        <v>321</v>
      </c>
      <c r="AH710" s="598" t="s">
        <v>3309</v>
      </c>
      <c r="AI710" s="598" t="s">
        <v>321</v>
      </c>
      <c r="AJ710" s="599">
        <v>21</v>
      </c>
      <c r="AK710" s="600">
        <v>21</v>
      </c>
      <c r="AL710" s="601">
        <v>0</v>
      </c>
      <c r="AM710" s="601">
        <v>0</v>
      </c>
      <c r="AN710" s="599">
        <v>21</v>
      </c>
    </row>
    <row r="711" spans="1:40" ht="16.5" customHeight="1">
      <c r="A711" s="598" t="s">
        <v>3337</v>
      </c>
      <c r="B711" s="598" t="s">
        <v>3343</v>
      </c>
      <c r="C711" s="598" t="s">
        <v>1496</v>
      </c>
      <c r="D711" s="598" t="s">
        <v>1497</v>
      </c>
      <c r="E711" s="598" t="s">
        <v>321</v>
      </c>
      <c r="F711" s="598" t="s">
        <v>3309</v>
      </c>
      <c r="G711" s="598" t="s">
        <v>3309</v>
      </c>
      <c r="H711" s="598" t="s">
        <v>3309</v>
      </c>
      <c r="I711" s="598" t="s">
        <v>3309</v>
      </c>
      <c r="J711" s="598" t="s">
        <v>3309</v>
      </c>
      <c r="K711" s="598" t="s">
        <v>321</v>
      </c>
      <c r="L711" s="598" t="s">
        <v>321</v>
      </c>
      <c r="M711" s="598" t="s">
        <v>3309</v>
      </c>
      <c r="N711" s="598" t="s">
        <v>3309</v>
      </c>
      <c r="O711" s="598" t="s">
        <v>3309</v>
      </c>
      <c r="P711" s="598" t="s">
        <v>3309</v>
      </c>
      <c r="Q711" s="598" t="s">
        <v>3309</v>
      </c>
      <c r="R711" s="598" t="s">
        <v>321</v>
      </c>
      <c r="S711" s="598" t="s">
        <v>321</v>
      </c>
      <c r="T711" s="598" t="s">
        <v>3309</v>
      </c>
      <c r="U711" s="598" t="s">
        <v>3309</v>
      </c>
      <c r="V711" s="598" t="s">
        <v>3309</v>
      </c>
      <c r="W711" s="598" t="s">
        <v>3309</v>
      </c>
      <c r="X711" s="598" t="s">
        <v>3309</v>
      </c>
      <c r="Y711" s="598" t="s">
        <v>321</v>
      </c>
      <c r="Z711" s="598" t="s">
        <v>321</v>
      </c>
      <c r="AA711" s="598" t="s">
        <v>3309</v>
      </c>
      <c r="AB711" s="598" t="s">
        <v>3309</v>
      </c>
      <c r="AC711" s="598" t="s">
        <v>3309</v>
      </c>
      <c r="AD711" s="598" t="s">
        <v>3309</v>
      </c>
      <c r="AE711" s="598" t="s">
        <v>3309</v>
      </c>
      <c r="AF711" s="598" t="s">
        <v>321</v>
      </c>
      <c r="AG711" s="598" t="s">
        <v>321</v>
      </c>
      <c r="AH711" s="598" t="s">
        <v>3309</v>
      </c>
      <c r="AI711" s="598" t="s">
        <v>321</v>
      </c>
      <c r="AJ711" s="599">
        <v>21</v>
      </c>
      <c r="AK711" s="600">
        <v>21</v>
      </c>
      <c r="AL711" s="601">
        <v>0</v>
      </c>
      <c r="AM711" s="601">
        <v>0</v>
      </c>
      <c r="AN711" s="599">
        <v>21</v>
      </c>
    </row>
    <row r="712" spans="1:40" ht="16.5" customHeight="1">
      <c r="A712" s="598" t="s">
        <v>3337</v>
      </c>
      <c r="B712" s="598" t="s">
        <v>3343</v>
      </c>
      <c r="C712" s="598" t="s">
        <v>1363</v>
      </c>
      <c r="D712" s="598" t="s">
        <v>1182</v>
      </c>
      <c r="E712" s="598" t="s">
        <v>321</v>
      </c>
      <c r="F712" s="598" t="s">
        <v>3309</v>
      </c>
      <c r="G712" s="598" t="s">
        <v>3309</v>
      </c>
      <c r="H712" s="598" t="s">
        <v>3309</v>
      </c>
      <c r="I712" s="598" t="s">
        <v>3309</v>
      </c>
      <c r="J712" s="598" t="s">
        <v>3309</v>
      </c>
      <c r="K712" s="598" t="s">
        <v>321</v>
      </c>
      <c r="L712" s="598" t="s">
        <v>321</v>
      </c>
      <c r="M712" s="598" t="s">
        <v>3309</v>
      </c>
      <c r="N712" s="598" t="s">
        <v>3309</v>
      </c>
      <c r="O712" s="598" t="s">
        <v>3309</v>
      </c>
      <c r="P712" s="598" t="s">
        <v>3309</v>
      </c>
      <c r="Q712" s="598" t="s">
        <v>3314</v>
      </c>
      <c r="R712" s="598" t="s">
        <v>321</v>
      </c>
      <c r="S712" s="598" t="s">
        <v>321</v>
      </c>
      <c r="T712" s="598" t="s">
        <v>3309</v>
      </c>
      <c r="U712" s="598" t="s">
        <v>3309</v>
      </c>
      <c r="V712" s="598" t="s">
        <v>3309</v>
      </c>
      <c r="W712" s="598" t="s">
        <v>3309</v>
      </c>
      <c r="X712" s="598" t="s">
        <v>3309</v>
      </c>
      <c r="Y712" s="598" t="s">
        <v>321</v>
      </c>
      <c r="Z712" s="598" t="s">
        <v>321</v>
      </c>
      <c r="AA712" s="598" t="s">
        <v>3309</v>
      </c>
      <c r="AB712" s="598" t="s">
        <v>3309</v>
      </c>
      <c r="AC712" s="598" t="s">
        <v>3309</v>
      </c>
      <c r="AD712" s="598" t="s">
        <v>3313</v>
      </c>
      <c r="AE712" s="598" t="s">
        <v>3309</v>
      </c>
      <c r="AF712" s="598" t="s">
        <v>321</v>
      </c>
      <c r="AG712" s="598" t="s">
        <v>321</v>
      </c>
      <c r="AH712" s="598" t="s">
        <v>3309</v>
      </c>
      <c r="AI712" s="598" t="s">
        <v>321</v>
      </c>
      <c r="AJ712" s="599">
        <v>21</v>
      </c>
      <c r="AK712" s="603">
        <v>20.5</v>
      </c>
      <c r="AL712" s="604">
        <v>0.5</v>
      </c>
      <c r="AM712" s="601">
        <v>0</v>
      </c>
      <c r="AN712" s="599">
        <v>21</v>
      </c>
    </row>
    <row r="713" spans="1:40" ht="16.5" customHeight="1">
      <c r="A713" s="598" t="s">
        <v>3337</v>
      </c>
      <c r="B713" s="598" t="s">
        <v>3343</v>
      </c>
      <c r="C713" s="598" t="s">
        <v>2071</v>
      </c>
      <c r="D713" s="598" t="s">
        <v>2072</v>
      </c>
      <c r="E713" s="598" t="s">
        <v>321</v>
      </c>
      <c r="F713" s="598" t="s">
        <v>3309</v>
      </c>
      <c r="G713" s="598" t="s">
        <v>3309</v>
      </c>
      <c r="H713" s="598" t="s">
        <v>3309</v>
      </c>
      <c r="I713" s="598" t="s">
        <v>3309</v>
      </c>
      <c r="J713" s="598" t="s">
        <v>3309</v>
      </c>
      <c r="K713" s="598" t="s">
        <v>321</v>
      </c>
      <c r="L713" s="598" t="s">
        <v>321</v>
      </c>
      <c r="M713" s="598" t="s">
        <v>3309</v>
      </c>
      <c r="N713" s="598" t="s">
        <v>3309</v>
      </c>
      <c r="O713" s="598" t="s">
        <v>3309</v>
      </c>
      <c r="P713" s="598" t="s">
        <v>3313</v>
      </c>
      <c r="Q713" s="598" t="s">
        <v>3313</v>
      </c>
      <c r="R713" s="598" t="s">
        <v>321</v>
      </c>
      <c r="S713" s="598" t="s">
        <v>321</v>
      </c>
      <c r="T713" s="598" t="s">
        <v>3309</v>
      </c>
      <c r="U713" s="598" t="s">
        <v>3309</v>
      </c>
      <c r="V713" s="598" t="s">
        <v>3309</v>
      </c>
      <c r="W713" s="598" t="s">
        <v>3309</v>
      </c>
      <c r="X713" s="598" t="s">
        <v>3309</v>
      </c>
      <c r="Y713" s="598" t="s">
        <v>321</v>
      </c>
      <c r="Z713" s="598" t="s">
        <v>321</v>
      </c>
      <c r="AA713" s="598" t="s">
        <v>3309</v>
      </c>
      <c r="AB713" s="598" t="s">
        <v>3309</v>
      </c>
      <c r="AC713" s="598" t="s">
        <v>3309</v>
      </c>
      <c r="AD713" s="598" t="s">
        <v>3309</v>
      </c>
      <c r="AE713" s="598" t="s">
        <v>3309</v>
      </c>
      <c r="AF713" s="598" t="s">
        <v>321</v>
      </c>
      <c r="AG713" s="598" t="s">
        <v>321</v>
      </c>
      <c r="AH713" s="598" t="s">
        <v>3309</v>
      </c>
      <c r="AI713" s="598" t="s">
        <v>321</v>
      </c>
      <c r="AJ713" s="599">
        <v>21</v>
      </c>
      <c r="AK713" s="600">
        <v>21</v>
      </c>
      <c r="AL713" s="601">
        <v>0</v>
      </c>
      <c r="AM713" s="601">
        <v>0</v>
      </c>
      <c r="AN713" s="599">
        <v>21</v>
      </c>
    </row>
    <row r="714" spans="1:40" ht="16.5" customHeight="1">
      <c r="A714" s="598" t="s">
        <v>3337</v>
      </c>
      <c r="B714" s="598" t="s">
        <v>3343</v>
      </c>
      <c r="C714" s="598" t="s">
        <v>1771</v>
      </c>
      <c r="D714" s="598" t="s">
        <v>1772</v>
      </c>
      <c r="E714" s="598" t="s">
        <v>321</v>
      </c>
      <c r="F714" s="598" t="s">
        <v>3312</v>
      </c>
      <c r="G714" s="598" t="s">
        <v>3312</v>
      </c>
      <c r="H714" s="598" t="s">
        <v>3309</v>
      </c>
      <c r="I714" s="598" t="s">
        <v>3309</v>
      </c>
      <c r="J714" s="598" t="s">
        <v>3309</v>
      </c>
      <c r="K714" s="598" t="s">
        <v>321</v>
      </c>
      <c r="L714" s="598" t="s">
        <v>321</v>
      </c>
      <c r="M714" s="598" t="s">
        <v>3313</v>
      </c>
      <c r="N714" s="598" t="s">
        <v>3313</v>
      </c>
      <c r="O714" s="598" t="s">
        <v>3313</v>
      </c>
      <c r="P714" s="598" t="s">
        <v>3309</v>
      </c>
      <c r="Q714" s="598" t="s">
        <v>3309</v>
      </c>
      <c r="R714" s="598" t="s">
        <v>321</v>
      </c>
      <c r="S714" s="598" t="s">
        <v>321</v>
      </c>
      <c r="T714" s="598" t="s">
        <v>3344</v>
      </c>
      <c r="U714" s="598" t="s">
        <v>3344</v>
      </c>
      <c r="V714" s="598" t="s">
        <v>3309</v>
      </c>
      <c r="W714" s="598" t="s">
        <v>3309</v>
      </c>
      <c r="X714" s="598" t="s">
        <v>3309</v>
      </c>
      <c r="Y714" s="598" t="s">
        <v>321</v>
      </c>
      <c r="Z714" s="598" t="s">
        <v>321</v>
      </c>
      <c r="AA714" s="598" t="s">
        <v>3309</v>
      </c>
      <c r="AB714" s="598" t="s">
        <v>3309</v>
      </c>
      <c r="AC714" s="598" t="s">
        <v>3309</v>
      </c>
      <c r="AD714" s="598" t="s">
        <v>3309</v>
      </c>
      <c r="AE714" s="598" t="s">
        <v>3309</v>
      </c>
      <c r="AF714" s="598" t="s">
        <v>321</v>
      </c>
      <c r="AG714" s="598" t="s">
        <v>321</v>
      </c>
      <c r="AH714" s="598" t="s">
        <v>3309</v>
      </c>
      <c r="AI714" s="598" t="s">
        <v>321</v>
      </c>
      <c r="AJ714" s="599">
        <v>21</v>
      </c>
      <c r="AK714" s="600">
        <v>17</v>
      </c>
      <c r="AL714" s="602">
        <v>2</v>
      </c>
      <c r="AM714" s="601">
        <v>0</v>
      </c>
      <c r="AN714" s="599">
        <v>19</v>
      </c>
    </row>
    <row r="715" spans="1:40" ht="16.5" customHeight="1">
      <c r="A715" s="598" t="s">
        <v>3337</v>
      </c>
      <c r="B715" s="598" t="s">
        <v>3343</v>
      </c>
      <c r="C715" s="598" t="s">
        <v>766</v>
      </c>
      <c r="D715" s="598" t="s">
        <v>767</v>
      </c>
      <c r="E715" s="598" t="s">
        <v>321</v>
      </c>
      <c r="F715" s="598" t="s">
        <v>3312</v>
      </c>
      <c r="G715" s="598" t="s">
        <v>3309</v>
      </c>
      <c r="H715" s="598" t="s">
        <v>3309</v>
      </c>
      <c r="I715" s="598" t="s">
        <v>3309</v>
      </c>
      <c r="J715" s="598" t="s">
        <v>3309</v>
      </c>
      <c r="K715" s="598" t="s">
        <v>321</v>
      </c>
      <c r="L715" s="598" t="s">
        <v>321</v>
      </c>
      <c r="M715" s="598" t="s">
        <v>3309</v>
      </c>
      <c r="N715" s="598" t="s">
        <v>3309</v>
      </c>
      <c r="O715" s="598" t="s">
        <v>3309</v>
      </c>
      <c r="P715" s="598" t="s">
        <v>3309</v>
      </c>
      <c r="Q715" s="598" t="s">
        <v>3309</v>
      </c>
      <c r="R715" s="598" t="s">
        <v>321</v>
      </c>
      <c r="S715" s="598" t="s">
        <v>321</v>
      </c>
      <c r="T715" s="598" t="s">
        <v>3309</v>
      </c>
      <c r="U715" s="598" t="s">
        <v>3309</v>
      </c>
      <c r="V715" s="598" t="s">
        <v>3309</v>
      </c>
      <c r="W715" s="598" t="s">
        <v>3309</v>
      </c>
      <c r="X715" s="598" t="s">
        <v>3309</v>
      </c>
      <c r="Y715" s="598" t="s">
        <v>321</v>
      </c>
      <c r="Z715" s="598" t="s">
        <v>321</v>
      </c>
      <c r="AA715" s="598" t="s">
        <v>3309</v>
      </c>
      <c r="AB715" s="598" t="s">
        <v>3309</v>
      </c>
      <c r="AC715" s="598" t="s">
        <v>3309</v>
      </c>
      <c r="AD715" s="598" t="s">
        <v>3309</v>
      </c>
      <c r="AE715" s="598" t="s">
        <v>3309</v>
      </c>
      <c r="AF715" s="598" t="s">
        <v>321</v>
      </c>
      <c r="AG715" s="598" t="s">
        <v>321</v>
      </c>
      <c r="AH715" s="598" t="s">
        <v>3309</v>
      </c>
      <c r="AI715" s="598" t="s">
        <v>321</v>
      </c>
      <c r="AJ715" s="599">
        <v>21</v>
      </c>
      <c r="AK715" s="600">
        <v>20</v>
      </c>
      <c r="AL715" s="602">
        <v>1</v>
      </c>
      <c r="AM715" s="601">
        <v>0</v>
      </c>
      <c r="AN715" s="599">
        <v>21</v>
      </c>
    </row>
    <row r="716" spans="1:40" ht="16.5" customHeight="1">
      <c r="A716" s="598" t="s">
        <v>3337</v>
      </c>
      <c r="B716" s="598" t="s">
        <v>3343</v>
      </c>
      <c r="C716" s="598" t="s">
        <v>619</v>
      </c>
      <c r="D716" s="598" t="s">
        <v>620</v>
      </c>
      <c r="E716" s="598" t="s">
        <v>321</v>
      </c>
      <c r="F716" s="598" t="s">
        <v>3309</v>
      </c>
      <c r="G716" s="598" t="s">
        <v>3309</v>
      </c>
      <c r="H716" s="598" t="s">
        <v>3309</v>
      </c>
      <c r="I716" s="598" t="s">
        <v>3309</v>
      </c>
      <c r="J716" s="598" t="s">
        <v>3309</v>
      </c>
      <c r="K716" s="598" t="s">
        <v>321</v>
      </c>
      <c r="L716" s="598" t="s">
        <v>321</v>
      </c>
      <c r="M716" s="598" t="s">
        <v>3309</v>
      </c>
      <c r="N716" s="598" t="s">
        <v>3309</v>
      </c>
      <c r="O716" s="598" t="s">
        <v>3309</v>
      </c>
      <c r="P716" s="598" t="s">
        <v>3309</v>
      </c>
      <c r="Q716" s="598" t="s">
        <v>3309</v>
      </c>
      <c r="R716" s="598" t="s">
        <v>321</v>
      </c>
      <c r="S716" s="598" t="s">
        <v>321</v>
      </c>
      <c r="T716" s="598" t="s">
        <v>3309</v>
      </c>
      <c r="U716" s="598" t="s">
        <v>3309</v>
      </c>
      <c r="V716" s="598" t="s">
        <v>3345</v>
      </c>
      <c r="W716" s="598" t="s">
        <v>3314</v>
      </c>
      <c r="X716" s="598" t="s">
        <v>3309</v>
      </c>
      <c r="Y716" s="598" t="s">
        <v>321</v>
      </c>
      <c r="Z716" s="598" t="s">
        <v>321</v>
      </c>
      <c r="AA716" s="598" t="s">
        <v>3309</v>
      </c>
      <c r="AB716" s="598" t="s">
        <v>3309</v>
      </c>
      <c r="AC716" s="598" t="s">
        <v>3314</v>
      </c>
      <c r="AD716" s="598" t="s">
        <v>3312</v>
      </c>
      <c r="AE716" s="598" t="s">
        <v>3309</v>
      </c>
      <c r="AF716" s="598" t="s">
        <v>321</v>
      </c>
      <c r="AG716" s="598" t="s">
        <v>321</v>
      </c>
      <c r="AH716" s="598" t="s">
        <v>3309</v>
      </c>
      <c r="AI716" s="598" t="s">
        <v>321</v>
      </c>
      <c r="AJ716" s="599">
        <v>21</v>
      </c>
      <c r="AK716" s="600">
        <v>19</v>
      </c>
      <c r="AL716" s="602">
        <v>2</v>
      </c>
      <c r="AM716" s="601">
        <v>0</v>
      </c>
      <c r="AN716" s="599">
        <v>21</v>
      </c>
    </row>
    <row r="717" spans="1:40" ht="16.5" customHeight="1">
      <c r="A717" s="598" t="s">
        <v>3337</v>
      </c>
      <c r="B717" s="598" t="s">
        <v>3343</v>
      </c>
      <c r="C717" s="598" t="s">
        <v>1558</v>
      </c>
      <c r="D717" s="598" t="s">
        <v>1559</v>
      </c>
      <c r="E717" s="598" t="s">
        <v>321</v>
      </c>
      <c r="F717" s="598" t="s">
        <v>3309</v>
      </c>
      <c r="G717" s="598" t="s">
        <v>3309</v>
      </c>
      <c r="H717" s="598" t="s">
        <v>3309</v>
      </c>
      <c r="I717" s="598" t="s">
        <v>3309</v>
      </c>
      <c r="J717" s="598" t="s">
        <v>3309</v>
      </c>
      <c r="K717" s="598" t="s">
        <v>321</v>
      </c>
      <c r="L717" s="598" t="s">
        <v>321</v>
      </c>
      <c r="M717" s="598" t="s">
        <v>3309</v>
      </c>
      <c r="N717" s="598" t="s">
        <v>3309</v>
      </c>
      <c r="O717" s="598" t="s">
        <v>3309</v>
      </c>
      <c r="P717" s="598" t="s">
        <v>3309</v>
      </c>
      <c r="Q717" s="598" t="s">
        <v>3309</v>
      </c>
      <c r="R717" s="598" t="s">
        <v>321</v>
      </c>
      <c r="S717" s="598" t="s">
        <v>321</v>
      </c>
      <c r="T717" s="598" t="s">
        <v>3309</v>
      </c>
      <c r="U717" s="598" t="s">
        <v>3309</v>
      </c>
      <c r="V717" s="598" t="s">
        <v>3309</v>
      </c>
      <c r="W717" s="598" t="s">
        <v>3309</v>
      </c>
      <c r="X717" s="598" t="s">
        <v>3309</v>
      </c>
      <c r="Y717" s="598" t="s">
        <v>321</v>
      </c>
      <c r="Z717" s="598" t="s">
        <v>321</v>
      </c>
      <c r="AA717" s="598" t="s">
        <v>3312</v>
      </c>
      <c r="AB717" s="598" t="s">
        <v>3309</v>
      </c>
      <c r="AC717" s="598" t="s">
        <v>3309</v>
      </c>
      <c r="AD717" s="598" t="s">
        <v>3309</v>
      </c>
      <c r="AE717" s="598" t="s">
        <v>3309</v>
      </c>
      <c r="AF717" s="598" t="s">
        <v>321</v>
      </c>
      <c r="AG717" s="598" t="s">
        <v>321</v>
      </c>
      <c r="AH717" s="598" t="s">
        <v>3309</v>
      </c>
      <c r="AI717" s="598" t="s">
        <v>321</v>
      </c>
      <c r="AJ717" s="599">
        <v>21</v>
      </c>
      <c r="AK717" s="600">
        <v>20</v>
      </c>
      <c r="AL717" s="602">
        <v>1</v>
      </c>
      <c r="AM717" s="601">
        <v>0</v>
      </c>
      <c r="AN717" s="599">
        <v>21</v>
      </c>
    </row>
    <row r="718" spans="1:40" ht="16.5" customHeight="1">
      <c r="A718" s="598" t="s">
        <v>3337</v>
      </c>
      <c r="B718" s="598" t="s">
        <v>3343</v>
      </c>
      <c r="C718" s="598" t="s">
        <v>2923</v>
      </c>
      <c r="D718" s="598" t="s">
        <v>2924</v>
      </c>
      <c r="E718" s="598" t="s">
        <v>321</v>
      </c>
      <c r="F718" s="598" t="s">
        <v>3309</v>
      </c>
      <c r="G718" s="598" t="s">
        <v>3309</v>
      </c>
      <c r="H718" s="598" t="s">
        <v>3309</v>
      </c>
      <c r="I718" s="598" t="s">
        <v>3309</v>
      </c>
      <c r="J718" s="598" t="s">
        <v>3309</v>
      </c>
      <c r="K718" s="598" t="s">
        <v>321</v>
      </c>
      <c r="L718" s="598" t="s">
        <v>321</v>
      </c>
      <c r="M718" s="598" t="s">
        <v>3309</v>
      </c>
      <c r="N718" s="598" t="s">
        <v>3309</v>
      </c>
      <c r="O718" s="598" t="s">
        <v>3309</v>
      </c>
      <c r="P718" s="598" t="s">
        <v>3309</v>
      </c>
      <c r="Q718" s="598" t="s">
        <v>3309</v>
      </c>
      <c r="R718" s="598" t="s">
        <v>321</v>
      </c>
      <c r="S718" s="598" t="s">
        <v>321</v>
      </c>
      <c r="T718" s="598" t="s">
        <v>3309</v>
      </c>
      <c r="U718" s="598" t="s">
        <v>3309</v>
      </c>
      <c r="V718" s="598" t="s">
        <v>3345</v>
      </c>
      <c r="W718" s="598" t="s">
        <v>3309</v>
      </c>
      <c r="X718" s="598" t="s">
        <v>3309</v>
      </c>
      <c r="Y718" s="598" t="s">
        <v>321</v>
      </c>
      <c r="Z718" s="598" t="s">
        <v>321</v>
      </c>
      <c r="AA718" s="598" t="s">
        <v>3309</v>
      </c>
      <c r="AB718" s="598" t="s">
        <v>3309</v>
      </c>
      <c r="AC718" s="598" t="s">
        <v>3309</v>
      </c>
      <c r="AD718" s="598" t="s">
        <v>3309</v>
      </c>
      <c r="AE718" s="598" t="s">
        <v>3309</v>
      </c>
      <c r="AF718" s="598" t="s">
        <v>321</v>
      </c>
      <c r="AG718" s="598" t="s">
        <v>321</v>
      </c>
      <c r="AH718" s="598" t="s">
        <v>3309</v>
      </c>
      <c r="AI718" s="598" t="s">
        <v>321</v>
      </c>
      <c r="AJ718" s="599">
        <v>21</v>
      </c>
      <c r="AK718" s="600">
        <v>21</v>
      </c>
      <c r="AL718" s="601">
        <v>0</v>
      </c>
      <c r="AM718" s="601">
        <v>0</v>
      </c>
      <c r="AN718" s="599">
        <v>21</v>
      </c>
    </row>
    <row r="719" spans="1:40" ht="16.5" customHeight="1">
      <c r="A719" s="598" t="s">
        <v>3337</v>
      </c>
      <c r="B719" s="598" t="s">
        <v>3343</v>
      </c>
      <c r="C719" s="598" t="s">
        <v>1249</v>
      </c>
      <c r="D719" s="598" t="s">
        <v>1250</v>
      </c>
      <c r="E719" s="598" t="s">
        <v>321</v>
      </c>
      <c r="F719" s="598" t="s">
        <v>3309</v>
      </c>
      <c r="G719" s="598" t="s">
        <v>3309</v>
      </c>
      <c r="H719" s="598" t="s">
        <v>3309</v>
      </c>
      <c r="I719" s="598" t="s">
        <v>3309</v>
      </c>
      <c r="J719" s="598" t="s">
        <v>3309</v>
      </c>
      <c r="K719" s="598" t="s">
        <v>321</v>
      </c>
      <c r="L719" s="598" t="s">
        <v>321</v>
      </c>
      <c r="M719" s="598" t="s">
        <v>3309</v>
      </c>
      <c r="N719" s="598" t="s">
        <v>3309</v>
      </c>
      <c r="O719" s="598" t="s">
        <v>3309</v>
      </c>
      <c r="P719" s="598" t="s">
        <v>3309</v>
      </c>
      <c r="Q719" s="598" t="s">
        <v>3314</v>
      </c>
      <c r="R719" s="598" t="s">
        <v>321</v>
      </c>
      <c r="S719" s="598" t="s">
        <v>321</v>
      </c>
      <c r="T719" s="598" t="s">
        <v>3309</v>
      </c>
      <c r="U719" s="598" t="s">
        <v>3309</v>
      </c>
      <c r="V719" s="598" t="s">
        <v>3309</v>
      </c>
      <c r="W719" s="598" t="s">
        <v>3309</v>
      </c>
      <c r="X719" s="598" t="s">
        <v>3309</v>
      </c>
      <c r="Y719" s="598" t="s">
        <v>321</v>
      </c>
      <c r="Z719" s="598" t="s">
        <v>321</v>
      </c>
      <c r="AA719" s="598" t="s">
        <v>3309</v>
      </c>
      <c r="AB719" s="598" t="s">
        <v>3309</v>
      </c>
      <c r="AC719" s="598" t="s">
        <v>3309</v>
      </c>
      <c r="AD719" s="598" t="s">
        <v>3309</v>
      </c>
      <c r="AE719" s="598" t="s">
        <v>3309</v>
      </c>
      <c r="AF719" s="598" t="s">
        <v>321</v>
      </c>
      <c r="AG719" s="598" t="s">
        <v>321</v>
      </c>
      <c r="AH719" s="598" t="s">
        <v>3309</v>
      </c>
      <c r="AI719" s="598" t="s">
        <v>321</v>
      </c>
      <c r="AJ719" s="599">
        <v>21</v>
      </c>
      <c r="AK719" s="603">
        <v>20.5</v>
      </c>
      <c r="AL719" s="604">
        <v>0.5</v>
      </c>
      <c r="AM719" s="601">
        <v>0</v>
      </c>
      <c r="AN719" s="599">
        <v>21</v>
      </c>
    </row>
    <row r="720" spans="1:40" ht="16.5" customHeight="1">
      <c r="A720" s="598" t="s">
        <v>3337</v>
      </c>
      <c r="B720" s="598" t="s">
        <v>3343</v>
      </c>
      <c r="C720" s="598" t="s">
        <v>1357</v>
      </c>
      <c r="D720" s="598" t="s">
        <v>1358</v>
      </c>
      <c r="E720" s="598" t="s">
        <v>321</v>
      </c>
      <c r="F720" s="598" t="s">
        <v>3309</v>
      </c>
      <c r="G720" s="598" t="s">
        <v>3309</v>
      </c>
      <c r="H720" s="598" t="s">
        <v>3312</v>
      </c>
      <c r="I720" s="598" t="s">
        <v>3309</v>
      </c>
      <c r="J720" s="598" t="s">
        <v>3309</v>
      </c>
      <c r="K720" s="598" t="s">
        <v>321</v>
      </c>
      <c r="L720" s="598" t="s">
        <v>321</v>
      </c>
      <c r="M720" s="598" t="s">
        <v>3309</v>
      </c>
      <c r="N720" s="598" t="s">
        <v>3309</v>
      </c>
      <c r="O720" s="598" t="s">
        <v>3309</v>
      </c>
      <c r="P720" s="598" t="s">
        <v>3309</v>
      </c>
      <c r="Q720" s="598" t="s">
        <v>3309</v>
      </c>
      <c r="R720" s="598" t="s">
        <v>321</v>
      </c>
      <c r="S720" s="598" t="s">
        <v>321</v>
      </c>
      <c r="T720" s="598" t="s">
        <v>3309</v>
      </c>
      <c r="U720" s="598" t="s">
        <v>3309</v>
      </c>
      <c r="V720" s="598" t="s">
        <v>3309</v>
      </c>
      <c r="W720" s="598" t="s">
        <v>3309</v>
      </c>
      <c r="X720" s="598" t="s">
        <v>3309</v>
      </c>
      <c r="Y720" s="598" t="s">
        <v>321</v>
      </c>
      <c r="Z720" s="598" t="s">
        <v>321</v>
      </c>
      <c r="AA720" s="598" t="s">
        <v>3309</v>
      </c>
      <c r="AB720" s="598" t="s">
        <v>3309</v>
      </c>
      <c r="AC720" s="598" t="s">
        <v>3309</v>
      </c>
      <c r="AD720" s="598" t="s">
        <v>3309</v>
      </c>
      <c r="AE720" s="598" t="s">
        <v>3309</v>
      </c>
      <c r="AF720" s="598" t="s">
        <v>321</v>
      </c>
      <c r="AG720" s="598" t="s">
        <v>321</v>
      </c>
      <c r="AH720" s="598" t="s">
        <v>3309</v>
      </c>
      <c r="AI720" s="598" t="s">
        <v>321</v>
      </c>
      <c r="AJ720" s="599">
        <v>21</v>
      </c>
      <c r="AK720" s="600">
        <v>20</v>
      </c>
      <c r="AL720" s="602">
        <v>1</v>
      </c>
      <c r="AM720" s="601">
        <v>0</v>
      </c>
      <c r="AN720" s="599">
        <v>21</v>
      </c>
    </row>
    <row r="721" spans="1:40" ht="16.5" customHeight="1">
      <c r="A721" s="598" t="s">
        <v>3337</v>
      </c>
      <c r="B721" s="598" t="s">
        <v>3343</v>
      </c>
      <c r="C721" s="598" t="s">
        <v>1873</v>
      </c>
      <c r="D721" s="598" t="s">
        <v>1874</v>
      </c>
      <c r="E721" s="598" t="s">
        <v>321</v>
      </c>
      <c r="F721" s="598" t="s">
        <v>3309</v>
      </c>
      <c r="G721" s="598" t="s">
        <v>3309</v>
      </c>
      <c r="H721" s="598" t="s">
        <v>3309</v>
      </c>
      <c r="I721" s="598" t="s">
        <v>3309</v>
      </c>
      <c r="J721" s="598" t="s">
        <v>3309</v>
      </c>
      <c r="K721" s="598" t="s">
        <v>321</v>
      </c>
      <c r="L721" s="598" t="s">
        <v>321</v>
      </c>
      <c r="M721" s="598" t="s">
        <v>3309</v>
      </c>
      <c r="N721" s="598" t="s">
        <v>3309</v>
      </c>
      <c r="O721" s="598" t="s">
        <v>3309</v>
      </c>
      <c r="P721" s="598" t="s">
        <v>3309</v>
      </c>
      <c r="Q721" s="598" t="s">
        <v>3309</v>
      </c>
      <c r="R721" s="598" t="s">
        <v>321</v>
      </c>
      <c r="S721" s="598" t="s">
        <v>321</v>
      </c>
      <c r="T721" s="598" t="s">
        <v>3309</v>
      </c>
      <c r="U721" s="598" t="s">
        <v>3309</v>
      </c>
      <c r="V721" s="598" t="s">
        <v>3309</v>
      </c>
      <c r="W721" s="598" t="s">
        <v>3309</v>
      </c>
      <c r="X721" s="598" t="s">
        <v>3309</v>
      </c>
      <c r="Y721" s="598" t="s">
        <v>321</v>
      </c>
      <c r="Z721" s="598" t="s">
        <v>321</v>
      </c>
      <c r="AA721" s="598" t="s">
        <v>3309</v>
      </c>
      <c r="AB721" s="598" t="s">
        <v>3309</v>
      </c>
      <c r="AC721" s="598" t="s">
        <v>3309</v>
      </c>
      <c r="AD721" s="598" t="s">
        <v>3309</v>
      </c>
      <c r="AE721" s="598" t="s">
        <v>3309</v>
      </c>
      <c r="AF721" s="598" t="s">
        <v>321</v>
      </c>
      <c r="AG721" s="598" t="s">
        <v>321</v>
      </c>
      <c r="AH721" s="598" t="s">
        <v>3309</v>
      </c>
      <c r="AI721" s="598" t="s">
        <v>321</v>
      </c>
      <c r="AJ721" s="599">
        <v>21</v>
      </c>
      <c r="AK721" s="600">
        <v>21</v>
      </c>
      <c r="AL721" s="601">
        <v>0</v>
      </c>
      <c r="AM721" s="601">
        <v>0</v>
      </c>
      <c r="AN721" s="599">
        <v>21</v>
      </c>
    </row>
    <row r="722" spans="1:40" ht="16.5" customHeight="1">
      <c r="A722" s="598" t="s">
        <v>3337</v>
      </c>
      <c r="B722" s="598" t="s">
        <v>3343</v>
      </c>
      <c r="C722" s="598" t="s">
        <v>1202</v>
      </c>
      <c r="D722" s="598" t="s">
        <v>1203</v>
      </c>
      <c r="E722" s="598" t="s">
        <v>321</v>
      </c>
      <c r="F722" s="598" t="s">
        <v>3309</v>
      </c>
      <c r="G722" s="598" t="s">
        <v>3309</v>
      </c>
      <c r="H722" s="598" t="s">
        <v>3309</v>
      </c>
      <c r="I722" s="598" t="s">
        <v>3309</v>
      </c>
      <c r="J722" s="598" t="s">
        <v>3309</v>
      </c>
      <c r="K722" s="598" t="s">
        <v>321</v>
      </c>
      <c r="L722" s="598" t="s">
        <v>321</v>
      </c>
      <c r="M722" s="598" t="s">
        <v>3309</v>
      </c>
      <c r="N722" s="598" t="s">
        <v>3309</v>
      </c>
      <c r="O722" s="598" t="s">
        <v>3309</v>
      </c>
      <c r="P722" s="598" t="s">
        <v>3309</v>
      </c>
      <c r="Q722" s="598" t="s">
        <v>3309</v>
      </c>
      <c r="R722" s="598" t="s">
        <v>321</v>
      </c>
      <c r="S722" s="598" t="s">
        <v>321</v>
      </c>
      <c r="T722" s="598" t="s">
        <v>3309</v>
      </c>
      <c r="U722" s="598" t="s">
        <v>3309</v>
      </c>
      <c r="V722" s="598" t="s">
        <v>3309</v>
      </c>
      <c r="W722" s="598" t="s">
        <v>3309</v>
      </c>
      <c r="X722" s="598" t="s">
        <v>3309</v>
      </c>
      <c r="Y722" s="598" t="s">
        <v>321</v>
      </c>
      <c r="Z722" s="598" t="s">
        <v>321</v>
      </c>
      <c r="AA722" s="598" t="s">
        <v>3309</v>
      </c>
      <c r="AB722" s="598" t="s">
        <v>3309</v>
      </c>
      <c r="AC722" s="598" t="s">
        <v>3309</v>
      </c>
      <c r="AD722" s="598" t="s">
        <v>3309</v>
      </c>
      <c r="AE722" s="598" t="s">
        <v>3309</v>
      </c>
      <c r="AF722" s="598" t="s">
        <v>321</v>
      </c>
      <c r="AG722" s="598" t="s">
        <v>321</v>
      </c>
      <c r="AH722" s="598" t="s">
        <v>3309</v>
      </c>
      <c r="AI722" s="598" t="s">
        <v>321</v>
      </c>
      <c r="AJ722" s="599">
        <v>21</v>
      </c>
      <c r="AK722" s="600">
        <v>21</v>
      </c>
      <c r="AL722" s="601">
        <v>0</v>
      </c>
      <c r="AM722" s="601">
        <v>0</v>
      </c>
      <c r="AN722" s="599">
        <v>21</v>
      </c>
    </row>
    <row r="723" spans="1:40" ht="16.5" customHeight="1">
      <c r="A723" s="598" t="s">
        <v>3337</v>
      </c>
      <c r="B723" s="598" t="s">
        <v>3343</v>
      </c>
      <c r="C723" s="598" t="s">
        <v>2541</v>
      </c>
      <c r="D723" s="598" t="s">
        <v>2542</v>
      </c>
      <c r="E723" s="598" t="s">
        <v>321</v>
      </c>
      <c r="F723" s="598" t="s">
        <v>3309</v>
      </c>
      <c r="G723" s="598" t="s">
        <v>3309</v>
      </c>
      <c r="H723" s="598" t="s">
        <v>3309</v>
      </c>
      <c r="I723" s="598" t="s">
        <v>3309</v>
      </c>
      <c r="J723" s="598" t="s">
        <v>3309</v>
      </c>
      <c r="K723" s="598" t="s">
        <v>321</v>
      </c>
      <c r="L723" s="598" t="s">
        <v>321</v>
      </c>
      <c r="M723" s="598" t="s">
        <v>3309</v>
      </c>
      <c r="N723" s="598" t="s">
        <v>3309</v>
      </c>
      <c r="O723" s="598" t="s">
        <v>3309</v>
      </c>
      <c r="P723" s="598" t="s">
        <v>3309</v>
      </c>
      <c r="Q723" s="598" t="s">
        <v>3309</v>
      </c>
      <c r="R723" s="598" t="s">
        <v>321</v>
      </c>
      <c r="S723" s="598" t="s">
        <v>321</v>
      </c>
      <c r="T723" s="598" t="s">
        <v>3309</v>
      </c>
      <c r="U723" s="598" t="s">
        <v>3309</v>
      </c>
      <c r="V723" s="598" t="s">
        <v>3309</v>
      </c>
      <c r="W723" s="598" t="s">
        <v>3309</v>
      </c>
      <c r="X723" s="598" t="s">
        <v>3309</v>
      </c>
      <c r="Y723" s="598" t="s">
        <v>321</v>
      </c>
      <c r="Z723" s="598" t="s">
        <v>321</v>
      </c>
      <c r="AA723" s="598" t="s">
        <v>3309</v>
      </c>
      <c r="AB723" s="598" t="s">
        <v>3309</v>
      </c>
      <c r="AC723" s="598" t="s">
        <v>3309</v>
      </c>
      <c r="AD723" s="598" t="s">
        <v>3309</v>
      </c>
      <c r="AE723" s="598" t="s">
        <v>3309</v>
      </c>
      <c r="AF723" s="598" t="s">
        <v>321</v>
      </c>
      <c r="AG723" s="598" t="s">
        <v>321</v>
      </c>
      <c r="AH723" s="598" t="s">
        <v>3309</v>
      </c>
      <c r="AI723" s="598" t="s">
        <v>321</v>
      </c>
      <c r="AJ723" s="599">
        <v>21</v>
      </c>
      <c r="AK723" s="600">
        <v>21</v>
      </c>
      <c r="AL723" s="601">
        <v>0</v>
      </c>
      <c r="AM723" s="601">
        <v>0</v>
      </c>
      <c r="AN723" s="599">
        <v>21</v>
      </c>
    </row>
    <row r="724" spans="1:40" ht="16.5" customHeight="1">
      <c r="A724" s="598" t="s">
        <v>3337</v>
      </c>
      <c r="B724" s="598" t="s">
        <v>3343</v>
      </c>
      <c r="C724" s="598" t="s">
        <v>1308</v>
      </c>
      <c r="D724" s="598" t="s">
        <v>1309</v>
      </c>
      <c r="E724" s="598" t="s">
        <v>321</v>
      </c>
      <c r="F724" s="598" t="s">
        <v>3309</v>
      </c>
      <c r="G724" s="598" t="s">
        <v>3309</v>
      </c>
      <c r="H724" s="598" t="s">
        <v>3309</v>
      </c>
      <c r="I724" s="598" t="s">
        <v>3309</v>
      </c>
      <c r="J724" s="598" t="s">
        <v>3309</v>
      </c>
      <c r="K724" s="598" t="s">
        <v>321</v>
      </c>
      <c r="L724" s="598" t="s">
        <v>321</v>
      </c>
      <c r="M724" s="598" t="s">
        <v>3309</v>
      </c>
      <c r="N724" s="598" t="s">
        <v>3314</v>
      </c>
      <c r="O724" s="598" t="s">
        <v>3309</v>
      </c>
      <c r="P724" s="598" t="s">
        <v>3309</v>
      </c>
      <c r="Q724" s="598" t="s">
        <v>3309</v>
      </c>
      <c r="R724" s="598" t="s">
        <v>321</v>
      </c>
      <c r="S724" s="598" t="s">
        <v>321</v>
      </c>
      <c r="T724" s="598" t="s">
        <v>3309</v>
      </c>
      <c r="U724" s="598" t="s">
        <v>3313</v>
      </c>
      <c r="V724" s="598" t="s">
        <v>3309</v>
      </c>
      <c r="W724" s="598" t="s">
        <v>3313</v>
      </c>
      <c r="X724" s="598" t="s">
        <v>3309</v>
      </c>
      <c r="Y724" s="598" t="s">
        <v>321</v>
      </c>
      <c r="Z724" s="598" t="s">
        <v>321</v>
      </c>
      <c r="AA724" s="598" t="s">
        <v>3309</v>
      </c>
      <c r="AB724" s="598" t="s">
        <v>3309</v>
      </c>
      <c r="AC724" s="598" t="s">
        <v>3309</v>
      </c>
      <c r="AD724" s="598" t="s">
        <v>3309</v>
      </c>
      <c r="AE724" s="598" t="s">
        <v>3309</v>
      </c>
      <c r="AF724" s="598" t="s">
        <v>321</v>
      </c>
      <c r="AG724" s="598" t="s">
        <v>321</v>
      </c>
      <c r="AH724" s="598" t="s">
        <v>3313</v>
      </c>
      <c r="AI724" s="598" t="s">
        <v>321</v>
      </c>
      <c r="AJ724" s="599">
        <v>21</v>
      </c>
      <c r="AK724" s="603">
        <v>20.5</v>
      </c>
      <c r="AL724" s="604">
        <v>0.5</v>
      </c>
      <c r="AM724" s="601">
        <v>0</v>
      </c>
      <c r="AN724" s="599">
        <v>21</v>
      </c>
    </row>
    <row r="725" spans="1:40" ht="16.5" customHeight="1">
      <c r="A725" s="598" t="s">
        <v>3337</v>
      </c>
      <c r="B725" s="598" t="s">
        <v>3343</v>
      </c>
      <c r="C725" s="598" t="s">
        <v>2695</v>
      </c>
      <c r="D725" s="598" t="s">
        <v>2696</v>
      </c>
      <c r="E725" s="598" t="s">
        <v>321</v>
      </c>
      <c r="F725" s="598" t="s">
        <v>3309</v>
      </c>
      <c r="G725" s="598" t="s">
        <v>3309</v>
      </c>
      <c r="H725" s="598" t="s">
        <v>3309</v>
      </c>
      <c r="I725" s="598" t="s">
        <v>3309</v>
      </c>
      <c r="J725" s="598" t="s">
        <v>3309</v>
      </c>
      <c r="K725" s="598" t="s">
        <v>321</v>
      </c>
      <c r="L725" s="598" t="s">
        <v>321</v>
      </c>
      <c r="M725" s="598" t="s">
        <v>3309</v>
      </c>
      <c r="N725" s="598" t="s">
        <v>3309</v>
      </c>
      <c r="O725" s="598" t="s">
        <v>3309</v>
      </c>
      <c r="P725" s="598" t="s">
        <v>3309</v>
      </c>
      <c r="Q725" s="598" t="s">
        <v>3309</v>
      </c>
      <c r="R725" s="598" t="s">
        <v>321</v>
      </c>
      <c r="S725" s="598" t="s">
        <v>321</v>
      </c>
      <c r="T725" s="598" t="s">
        <v>3309</v>
      </c>
      <c r="U725" s="598" t="s">
        <v>3309</v>
      </c>
      <c r="V725" s="598" t="s">
        <v>3309</v>
      </c>
      <c r="W725" s="598" t="s">
        <v>3309</v>
      </c>
      <c r="X725" s="598" t="s">
        <v>3309</v>
      </c>
      <c r="Y725" s="598" t="s">
        <v>321</v>
      </c>
      <c r="Z725" s="598" t="s">
        <v>321</v>
      </c>
      <c r="AA725" s="598" t="s">
        <v>3309</v>
      </c>
      <c r="AB725" s="598" t="s">
        <v>3309</v>
      </c>
      <c r="AC725" s="598" t="s">
        <v>3309</v>
      </c>
      <c r="AD725" s="598" t="s">
        <v>3309</v>
      </c>
      <c r="AE725" s="598" t="s">
        <v>3309</v>
      </c>
      <c r="AF725" s="598" t="s">
        <v>321</v>
      </c>
      <c r="AG725" s="598" t="s">
        <v>321</v>
      </c>
      <c r="AH725" s="598" t="s">
        <v>3309</v>
      </c>
      <c r="AI725" s="598" t="s">
        <v>321</v>
      </c>
      <c r="AJ725" s="599">
        <v>21</v>
      </c>
      <c r="AK725" s="600">
        <v>21</v>
      </c>
      <c r="AL725" s="601">
        <v>0</v>
      </c>
      <c r="AM725" s="601">
        <v>0</v>
      </c>
      <c r="AN725" s="599">
        <v>21</v>
      </c>
    </row>
    <row r="726" spans="1:40" ht="16.5" customHeight="1">
      <c r="A726" s="598" t="s">
        <v>3337</v>
      </c>
      <c r="B726" s="598" t="s">
        <v>3343</v>
      </c>
      <c r="C726" s="598" t="s">
        <v>824</v>
      </c>
      <c r="D726" s="598" t="s">
        <v>825</v>
      </c>
      <c r="E726" s="598" t="s">
        <v>321</v>
      </c>
      <c r="F726" s="598" t="s">
        <v>3309</v>
      </c>
      <c r="G726" s="598" t="s">
        <v>3309</v>
      </c>
      <c r="H726" s="598" t="s">
        <v>3345</v>
      </c>
      <c r="I726" s="598" t="s">
        <v>3309</v>
      </c>
      <c r="J726" s="598" t="s">
        <v>3309</v>
      </c>
      <c r="K726" s="598" t="s">
        <v>321</v>
      </c>
      <c r="L726" s="598" t="s">
        <v>321</v>
      </c>
      <c r="M726" s="598" t="s">
        <v>3309</v>
      </c>
      <c r="N726" s="598" t="s">
        <v>3309</v>
      </c>
      <c r="O726" s="598" t="s">
        <v>3309</v>
      </c>
      <c r="P726" s="598" t="s">
        <v>3309</v>
      </c>
      <c r="Q726" s="598" t="s">
        <v>3309</v>
      </c>
      <c r="R726" s="598" t="s">
        <v>321</v>
      </c>
      <c r="S726" s="598" t="s">
        <v>321</v>
      </c>
      <c r="T726" s="598" t="s">
        <v>3309</v>
      </c>
      <c r="U726" s="598" t="s">
        <v>3309</v>
      </c>
      <c r="V726" s="598" t="s">
        <v>3309</v>
      </c>
      <c r="W726" s="598" t="s">
        <v>3309</v>
      </c>
      <c r="X726" s="598" t="s">
        <v>3309</v>
      </c>
      <c r="Y726" s="598" t="s">
        <v>321</v>
      </c>
      <c r="Z726" s="598" t="s">
        <v>321</v>
      </c>
      <c r="AA726" s="598" t="s">
        <v>3309</v>
      </c>
      <c r="AB726" s="598" t="s">
        <v>3309</v>
      </c>
      <c r="AC726" s="598" t="s">
        <v>3309</v>
      </c>
      <c r="AD726" s="598" t="s">
        <v>3309</v>
      </c>
      <c r="AE726" s="598" t="s">
        <v>3309</v>
      </c>
      <c r="AF726" s="598" t="s">
        <v>321</v>
      </c>
      <c r="AG726" s="598" t="s">
        <v>321</v>
      </c>
      <c r="AH726" s="598" t="s">
        <v>3309</v>
      </c>
      <c r="AI726" s="598" t="s">
        <v>321</v>
      </c>
      <c r="AJ726" s="599">
        <v>21</v>
      </c>
      <c r="AK726" s="600">
        <v>21</v>
      </c>
      <c r="AL726" s="601">
        <v>0</v>
      </c>
      <c r="AM726" s="601">
        <v>0</v>
      </c>
      <c r="AN726" s="599">
        <v>21</v>
      </c>
    </row>
    <row r="727" spans="1:40" ht="16.5" customHeight="1">
      <c r="A727" s="598" t="s">
        <v>3337</v>
      </c>
      <c r="B727" s="598" t="s">
        <v>3343</v>
      </c>
      <c r="C727" s="598" t="s">
        <v>1576</v>
      </c>
      <c r="D727" s="598" t="s">
        <v>1577</v>
      </c>
      <c r="E727" s="598" t="s">
        <v>321</v>
      </c>
      <c r="F727" s="598" t="s">
        <v>3309</v>
      </c>
      <c r="G727" s="598" t="s">
        <v>3309</v>
      </c>
      <c r="H727" s="598" t="s">
        <v>3309</v>
      </c>
      <c r="I727" s="598" t="s">
        <v>3309</v>
      </c>
      <c r="J727" s="598" t="s">
        <v>3309</v>
      </c>
      <c r="K727" s="598" t="s">
        <v>321</v>
      </c>
      <c r="L727" s="598" t="s">
        <v>321</v>
      </c>
      <c r="M727" s="598" t="s">
        <v>3309</v>
      </c>
      <c r="N727" s="598" t="s">
        <v>3345</v>
      </c>
      <c r="O727" s="598" t="s">
        <v>3309</v>
      </c>
      <c r="P727" s="598" t="s">
        <v>3345</v>
      </c>
      <c r="Q727" s="598" t="s">
        <v>3309</v>
      </c>
      <c r="R727" s="598" t="s">
        <v>321</v>
      </c>
      <c r="S727" s="598" t="s">
        <v>321</v>
      </c>
      <c r="T727" s="598" t="s">
        <v>3309</v>
      </c>
      <c r="U727" s="598" t="s">
        <v>3309</v>
      </c>
      <c r="V727" s="598" t="s">
        <v>3309</v>
      </c>
      <c r="W727" s="598" t="s">
        <v>3309</v>
      </c>
      <c r="X727" s="598" t="s">
        <v>3314</v>
      </c>
      <c r="Y727" s="598" t="s">
        <v>321</v>
      </c>
      <c r="Z727" s="598" t="s">
        <v>321</v>
      </c>
      <c r="AA727" s="598" t="s">
        <v>3314</v>
      </c>
      <c r="AB727" s="598" t="s">
        <v>3309</v>
      </c>
      <c r="AC727" s="598" t="s">
        <v>3309</v>
      </c>
      <c r="AD727" s="598" t="s">
        <v>3309</v>
      </c>
      <c r="AE727" s="598" t="s">
        <v>3309</v>
      </c>
      <c r="AF727" s="598" t="s">
        <v>321</v>
      </c>
      <c r="AG727" s="598" t="s">
        <v>321</v>
      </c>
      <c r="AH727" s="598" t="s">
        <v>3309</v>
      </c>
      <c r="AI727" s="598" t="s">
        <v>321</v>
      </c>
      <c r="AJ727" s="599">
        <v>21</v>
      </c>
      <c r="AK727" s="600">
        <v>20</v>
      </c>
      <c r="AL727" s="602">
        <v>1</v>
      </c>
      <c r="AM727" s="601">
        <v>0</v>
      </c>
      <c r="AN727" s="599">
        <v>21</v>
      </c>
    </row>
    <row r="728" spans="1:40" ht="16.5" customHeight="1">
      <c r="A728" s="598" t="s">
        <v>3337</v>
      </c>
      <c r="B728" s="598" t="s">
        <v>3343</v>
      </c>
      <c r="C728" s="598" t="s">
        <v>1473</v>
      </c>
      <c r="D728" s="598" t="s">
        <v>1474</v>
      </c>
      <c r="E728" s="598" t="s">
        <v>321</v>
      </c>
      <c r="F728" s="598" t="s">
        <v>3309</v>
      </c>
      <c r="G728" s="598" t="s">
        <v>3309</v>
      </c>
      <c r="H728" s="598" t="s">
        <v>3309</v>
      </c>
      <c r="I728" s="598" t="s">
        <v>3309</v>
      </c>
      <c r="J728" s="598" t="s">
        <v>3309</v>
      </c>
      <c r="K728" s="598" t="s">
        <v>321</v>
      </c>
      <c r="L728" s="598" t="s">
        <v>321</v>
      </c>
      <c r="M728" s="598" t="s">
        <v>3309</v>
      </c>
      <c r="N728" s="598" t="s">
        <v>3309</v>
      </c>
      <c r="O728" s="598" t="s">
        <v>3309</v>
      </c>
      <c r="P728" s="598" t="s">
        <v>3309</v>
      </c>
      <c r="Q728" s="598" t="s">
        <v>3309</v>
      </c>
      <c r="R728" s="598" t="s">
        <v>321</v>
      </c>
      <c r="S728" s="598" t="s">
        <v>321</v>
      </c>
      <c r="T728" s="598" t="s">
        <v>3309</v>
      </c>
      <c r="U728" s="598" t="s">
        <v>3309</v>
      </c>
      <c r="V728" s="598" t="s">
        <v>3309</v>
      </c>
      <c r="W728" s="598" t="s">
        <v>3309</v>
      </c>
      <c r="X728" s="598" t="s">
        <v>3309</v>
      </c>
      <c r="Y728" s="598" t="s">
        <v>321</v>
      </c>
      <c r="Z728" s="598" t="s">
        <v>321</v>
      </c>
      <c r="AA728" s="598" t="s">
        <v>3309</v>
      </c>
      <c r="AB728" s="598" t="s">
        <v>3309</v>
      </c>
      <c r="AC728" s="598" t="s">
        <v>3309</v>
      </c>
      <c r="AD728" s="598" t="s">
        <v>3309</v>
      </c>
      <c r="AE728" s="598" t="s">
        <v>3309</v>
      </c>
      <c r="AF728" s="598" t="s">
        <v>321</v>
      </c>
      <c r="AG728" s="598" t="s">
        <v>321</v>
      </c>
      <c r="AH728" s="598" t="s">
        <v>3309</v>
      </c>
      <c r="AI728" s="598" t="s">
        <v>321</v>
      </c>
      <c r="AJ728" s="599">
        <v>21</v>
      </c>
      <c r="AK728" s="600">
        <v>21</v>
      </c>
      <c r="AL728" s="601">
        <v>0</v>
      </c>
      <c r="AM728" s="601">
        <v>0</v>
      </c>
      <c r="AN728" s="599">
        <v>21</v>
      </c>
    </row>
    <row r="729" spans="1:40" ht="16.5" customHeight="1">
      <c r="A729" s="598" t="s">
        <v>3337</v>
      </c>
      <c r="B729" s="598" t="s">
        <v>3343</v>
      </c>
      <c r="C729" s="598" t="s">
        <v>1393</v>
      </c>
      <c r="D729" s="598" t="s">
        <v>1394</v>
      </c>
      <c r="E729" s="598" t="s">
        <v>321</v>
      </c>
      <c r="F729" s="598" t="s">
        <v>3309</v>
      </c>
      <c r="G729" s="598" t="s">
        <v>3309</v>
      </c>
      <c r="H729" s="598" t="s">
        <v>3345</v>
      </c>
      <c r="I729" s="598" t="s">
        <v>3309</v>
      </c>
      <c r="J729" s="598" t="s">
        <v>3309</v>
      </c>
      <c r="K729" s="598" t="s">
        <v>321</v>
      </c>
      <c r="L729" s="598" t="s">
        <v>321</v>
      </c>
      <c r="M729" s="598" t="s">
        <v>3309</v>
      </c>
      <c r="N729" s="598" t="s">
        <v>3309</v>
      </c>
      <c r="O729" s="598" t="s">
        <v>3309</v>
      </c>
      <c r="P729" s="598" t="s">
        <v>3309</v>
      </c>
      <c r="Q729" s="598" t="s">
        <v>3309</v>
      </c>
      <c r="R729" s="598" t="s">
        <v>321</v>
      </c>
      <c r="S729" s="598" t="s">
        <v>321</v>
      </c>
      <c r="T729" s="598" t="s">
        <v>3309</v>
      </c>
      <c r="U729" s="598" t="s">
        <v>3309</v>
      </c>
      <c r="V729" s="598" t="s">
        <v>3345</v>
      </c>
      <c r="W729" s="598" t="s">
        <v>3309</v>
      </c>
      <c r="X729" s="598" t="s">
        <v>3309</v>
      </c>
      <c r="Y729" s="598" t="s">
        <v>321</v>
      </c>
      <c r="Z729" s="598" t="s">
        <v>321</v>
      </c>
      <c r="AA729" s="598" t="s">
        <v>3309</v>
      </c>
      <c r="AB729" s="598" t="s">
        <v>3309</v>
      </c>
      <c r="AC729" s="598" t="s">
        <v>3309</v>
      </c>
      <c r="AD729" s="598" t="s">
        <v>3309</v>
      </c>
      <c r="AE729" s="598" t="s">
        <v>3309</v>
      </c>
      <c r="AF729" s="598" t="s">
        <v>321</v>
      </c>
      <c r="AG729" s="598" t="s">
        <v>321</v>
      </c>
      <c r="AH729" s="598" t="s">
        <v>3309</v>
      </c>
      <c r="AI729" s="598" t="s">
        <v>321</v>
      </c>
      <c r="AJ729" s="599">
        <v>21</v>
      </c>
      <c r="AK729" s="600">
        <v>21</v>
      </c>
      <c r="AL729" s="601">
        <v>0</v>
      </c>
      <c r="AM729" s="601">
        <v>0</v>
      </c>
      <c r="AN729" s="599">
        <v>21</v>
      </c>
    </row>
    <row r="730" spans="1:40" ht="16.5" customHeight="1">
      <c r="A730" s="598" t="s">
        <v>3337</v>
      </c>
      <c r="B730" s="598" t="s">
        <v>3343</v>
      </c>
      <c r="C730" s="598" t="s">
        <v>1200</v>
      </c>
      <c r="D730" s="598" t="s">
        <v>1201</v>
      </c>
      <c r="E730" s="598" t="s">
        <v>321</v>
      </c>
      <c r="F730" s="598" t="s">
        <v>3309</v>
      </c>
      <c r="G730" s="598" t="s">
        <v>3309</v>
      </c>
      <c r="H730" s="598" t="s">
        <v>3309</v>
      </c>
      <c r="I730" s="598" t="s">
        <v>3309</v>
      </c>
      <c r="J730" s="598" t="s">
        <v>3309</v>
      </c>
      <c r="K730" s="598" t="s">
        <v>321</v>
      </c>
      <c r="L730" s="598" t="s">
        <v>321</v>
      </c>
      <c r="M730" s="598" t="s">
        <v>3309</v>
      </c>
      <c r="N730" s="598" t="s">
        <v>3345</v>
      </c>
      <c r="O730" s="598" t="s">
        <v>3309</v>
      </c>
      <c r="P730" s="598" t="s">
        <v>3345</v>
      </c>
      <c r="Q730" s="598" t="s">
        <v>3309</v>
      </c>
      <c r="R730" s="598" t="s">
        <v>321</v>
      </c>
      <c r="S730" s="598" t="s">
        <v>321</v>
      </c>
      <c r="T730" s="598" t="s">
        <v>3309</v>
      </c>
      <c r="U730" s="598" t="s">
        <v>3309</v>
      </c>
      <c r="V730" s="598" t="s">
        <v>3309</v>
      </c>
      <c r="W730" s="598" t="s">
        <v>3309</v>
      </c>
      <c r="X730" s="598" t="s">
        <v>3309</v>
      </c>
      <c r="Y730" s="598" t="s">
        <v>321</v>
      </c>
      <c r="Z730" s="598" t="s">
        <v>321</v>
      </c>
      <c r="AA730" s="598" t="s">
        <v>3309</v>
      </c>
      <c r="AB730" s="598" t="s">
        <v>3314</v>
      </c>
      <c r="AC730" s="598" t="s">
        <v>3309</v>
      </c>
      <c r="AD730" s="598" t="s">
        <v>3309</v>
      </c>
      <c r="AE730" s="598" t="s">
        <v>3309</v>
      </c>
      <c r="AF730" s="598" t="s">
        <v>321</v>
      </c>
      <c r="AG730" s="598" t="s">
        <v>321</v>
      </c>
      <c r="AH730" s="598" t="s">
        <v>3309</v>
      </c>
      <c r="AI730" s="598" t="s">
        <v>321</v>
      </c>
      <c r="AJ730" s="599">
        <v>21</v>
      </c>
      <c r="AK730" s="603">
        <v>20.5</v>
      </c>
      <c r="AL730" s="604">
        <v>0.5</v>
      </c>
      <c r="AM730" s="601">
        <v>0</v>
      </c>
      <c r="AN730" s="599">
        <v>21</v>
      </c>
    </row>
    <row r="731" spans="1:40" ht="16.5" customHeight="1">
      <c r="A731" s="598" t="s">
        <v>3337</v>
      </c>
      <c r="B731" s="598" t="s">
        <v>3343</v>
      </c>
      <c r="C731" s="598" t="s">
        <v>2850</v>
      </c>
      <c r="D731" s="598" t="s">
        <v>2851</v>
      </c>
      <c r="E731" s="598" t="s">
        <v>321</v>
      </c>
      <c r="F731" s="598" t="s">
        <v>3309</v>
      </c>
      <c r="G731" s="598" t="s">
        <v>3309</v>
      </c>
      <c r="H731" s="598" t="s">
        <v>3309</v>
      </c>
      <c r="I731" s="598" t="s">
        <v>3309</v>
      </c>
      <c r="J731" s="598" t="s">
        <v>3309</v>
      </c>
      <c r="K731" s="598" t="s">
        <v>321</v>
      </c>
      <c r="L731" s="598" t="s">
        <v>321</v>
      </c>
      <c r="M731" s="598" t="s">
        <v>3309</v>
      </c>
      <c r="N731" s="598" t="s">
        <v>3309</v>
      </c>
      <c r="O731" s="598" t="s">
        <v>3309</v>
      </c>
      <c r="P731" s="598" t="s">
        <v>3309</v>
      </c>
      <c r="Q731" s="598" t="s">
        <v>3309</v>
      </c>
      <c r="R731" s="598" t="s">
        <v>321</v>
      </c>
      <c r="S731" s="598" t="s">
        <v>321</v>
      </c>
      <c r="T731" s="598" t="s">
        <v>3309</v>
      </c>
      <c r="U731" s="598" t="s">
        <v>3309</v>
      </c>
      <c r="V731" s="598" t="s">
        <v>3309</v>
      </c>
      <c r="W731" s="598" t="s">
        <v>3309</v>
      </c>
      <c r="X731" s="598" t="s">
        <v>3309</v>
      </c>
      <c r="Y731" s="598" t="s">
        <v>321</v>
      </c>
      <c r="Z731" s="598" t="s">
        <v>321</v>
      </c>
      <c r="AA731" s="598" t="s">
        <v>3309</v>
      </c>
      <c r="AB731" s="598" t="s">
        <v>3309</v>
      </c>
      <c r="AC731" s="598" t="s">
        <v>3309</v>
      </c>
      <c r="AD731" s="598" t="s">
        <v>3309</v>
      </c>
      <c r="AE731" s="598" t="s">
        <v>3309</v>
      </c>
      <c r="AF731" s="598" t="s">
        <v>321</v>
      </c>
      <c r="AG731" s="598" t="s">
        <v>321</v>
      </c>
      <c r="AH731" s="598" t="s">
        <v>3309</v>
      </c>
      <c r="AI731" s="598" t="s">
        <v>321</v>
      </c>
      <c r="AJ731" s="599">
        <v>21</v>
      </c>
      <c r="AK731" s="600">
        <v>21</v>
      </c>
      <c r="AL731" s="601">
        <v>0</v>
      </c>
      <c r="AM731" s="601">
        <v>0</v>
      </c>
      <c r="AN731" s="599">
        <v>21</v>
      </c>
    </row>
    <row r="732" spans="1:40" ht="16.5" customHeight="1">
      <c r="A732" s="598" t="s">
        <v>3337</v>
      </c>
      <c r="B732" s="598" t="s">
        <v>3343</v>
      </c>
      <c r="C732" s="598" t="s">
        <v>2453</v>
      </c>
      <c r="D732" s="598" t="s">
        <v>2454</v>
      </c>
      <c r="E732" s="598" t="s">
        <v>321</v>
      </c>
      <c r="F732" s="598" t="s">
        <v>3309</v>
      </c>
      <c r="G732" s="598" t="s">
        <v>3309</v>
      </c>
      <c r="H732" s="598" t="s">
        <v>3309</v>
      </c>
      <c r="I732" s="598" t="s">
        <v>3309</v>
      </c>
      <c r="J732" s="598" t="s">
        <v>3309</v>
      </c>
      <c r="K732" s="598" t="s">
        <v>321</v>
      </c>
      <c r="L732" s="598" t="s">
        <v>321</v>
      </c>
      <c r="M732" s="598" t="s">
        <v>3309</v>
      </c>
      <c r="N732" s="598" t="s">
        <v>3309</v>
      </c>
      <c r="O732" s="598" t="s">
        <v>3309</v>
      </c>
      <c r="P732" s="598" t="s">
        <v>3309</v>
      </c>
      <c r="Q732" s="598" t="s">
        <v>3309</v>
      </c>
      <c r="R732" s="598" t="s">
        <v>321</v>
      </c>
      <c r="S732" s="598" t="s">
        <v>321</v>
      </c>
      <c r="T732" s="598" t="s">
        <v>3309</v>
      </c>
      <c r="U732" s="598" t="s">
        <v>3309</v>
      </c>
      <c r="V732" s="598" t="s">
        <v>3309</v>
      </c>
      <c r="W732" s="598" t="s">
        <v>3309</v>
      </c>
      <c r="X732" s="598" t="s">
        <v>3309</v>
      </c>
      <c r="Y732" s="598" t="s">
        <v>321</v>
      </c>
      <c r="Z732" s="598" t="s">
        <v>321</v>
      </c>
      <c r="AA732" s="598" t="s">
        <v>3309</v>
      </c>
      <c r="AB732" s="598" t="s">
        <v>3309</v>
      </c>
      <c r="AC732" s="598" t="s">
        <v>3309</v>
      </c>
      <c r="AD732" s="598" t="s">
        <v>3309</v>
      </c>
      <c r="AE732" s="598" t="s">
        <v>3309</v>
      </c>
      <c r="AF732" s="598" t="s">
        <v>321</v>
      </c>
      <c r="AG732" s="598" t="s">
        <v>321</v>
      </c>
      <c r="AH732" s="598" t="s">
        <v>3309</v>
      </c>
      <c r="AI732" s="598" t="s">
        <v>321</v>
      </c>
      <c r="AJ732" s="599">
        <v>21</v>
      </c>
      <c r="AK732" s="600">
        <v>21</v>
      </c>
      <c r="AL732" s="601">
        <v>0</v>
      </c>
      <c r="AM732" s="601">
        <v>0</v>
      </c>
      <c r="AN732" s="599">
        <v>21</v>
      </c>
    </row>
    <row r="733" spans="1:40" ht="16.5" customHeight="1">
      <c r="A733" s="598" t="s">
        <v>3337</v>
      </c>
      <c r="B733" s="598" t="s">
        <v>3343</v>
      </c>
      <c r="C733" s="598" t="s">
        <v>826</v>
      </c>
      <c r="D733" s="598" t="s">
        <v>827</v>
      </c>
      <c r="E733" s="598" t="s">
        <v>321</v>
      </c>
      <c r="F733" s="598" t="s">
        <v>3309</v>
      </c>
      <c r="G733" s="598" t="s">
        <v>3309</v>
      </c>
      <c r="H733" s="598" t="s">
        <v>3309</v>
      </c>
      <c r="I733" s="598" t="s">
        <v>3309</v>
      </c>
      <c r="J733" s="598" t="s">
        <v>3309</v>
      </c>
      <c r="K733" s="598" t="s">
        <v>321</v>
      </c>
      <c r="L733" s="598" t="s">
        <v>321</v>
      </c>
      <c r="M733" s="598" t="s">
        <v>3309</v>
      </c>
      <c r="N733" s="598" t="s">
        <v>3309</v>
      </c>
      <c r="O733" s="598" t="s">
        <v>3309</v>
      </c>
      <c r="P733" s="598" t="s">
        <v>3309</v>
      </c>
      <c r="Q733" s="598" t="s">
        <v>3309</v>
      </c>
      <c r="R733" s="598" t="s">
        <v>321</v>
      </c>
      <c r="S733" s="598" t="s">
        <v>321</v>
      </c>
      <c r="T733" s="598" t="s">
        <v>3309</v>
      </c>
      <c r="U733" s="598" t="s">
        <v>3309</v>
      </c>
      <c r="V733" s="598" t="s">
        <v>3309</v>
      </c>
      <c r="W733" s="598" t="s">
        <v>3309</v>
      </c>
      <c r="X733" s="598" t="s">
        <v>3309</v>
      </c>
      <c r="Y733" s="598" t="s">
        <v>321</v>
      </c>
      <c r="Z733" s="598" t="s">
        <v>321</v>
      </c>
      <c r="AA733" s="598" t="s">
        <v>3309</v>
      </c>
      <c r="AB733" s="598" t="s">
        <v>3309</v>
      </c>
      <c r="AC733" s="598" t="s">
        <v>3309</v>
      </c>
      <c r="AD733" s="598" t="s">
        <v>3309</v>
      </c>
      <c r="AE733" s="598" t="s">
        <v>3309</v>
      </c>
      <c r="AF733" s="598" t="s">
        <v>321</v>
      </c>
      <c r="AG733" s="598" t="s">
        <v>321</v>
      </c>
      <c r="AH733" s="598" t="s">
        <v>3309</v>
      </c>
      <c r="AI733" s="598" t="s">
        <v>321</v>
      </c>
      <c r="AJ733" s="599">
        <v>21</v>
      </c>
      <c r="AK733" s="600">
        <v>21</v>
      </c>
      <c r="AL733" s="601">
        <v>0</v>
      </c>
      <c r="AM733" s="601">
        <v>0</v>
      </c>
      <c r="AN733" s="599">
        <v>21</v>
      </c>
    </row>
    <row r="734" spans="1:40" ht="16.5" customHeight="1">
      <c r="A734" s="598" t="s">
        <v>3337</v>
      </c>
      <c r="B734" s="598" t="s">
        <v>3343</v>
      </c>
      <c r="C734" s="598" t="s">
        <v>2846</v>
      </c>
      <c r="D734" s="598" t="s">
        <v>2847</v>
      </c>
      <c r="E734" s="598" t="s">
        <v>321</v>
      </c>
      <c r="F734" s="598" t="s">
        <v>3309</v>
      </c>
      <c r="G734" s="598" t="s">
        <v>3309</v>
      </c>
      <c r="H734" s="598" t="s">
        <v>3309</v>
      </c>
      <c r="I734" s="598" t="s">
        <v>3309</v>
      </c>
      <c r="J734" s="598" t="s">
        <v>3309</v>
      </c>
      <c r="K734" s="598" t="s">
        <v>321</v>
      </c>
      <c r="L734" s="598" t="s">
        <v>321</v>
      </c>
      <c r="M734" s="598" t="s">
        <v>3309</v>
      </c>
      <c r="N734" s="598" t="s">
        <v>3309</v>
      </c>
      <c r="O734" s="598" t="s">
        <v>3309</v>
      </c>
      <c r="P734" s="598" t="s">
        <v>3309</v>
      </c>
      <c r="Q734" s="598" t="s">
        <v>3309</v>
      </c>
      <c r="R734" s="598" t="s">
        <v>321</v>
      </c>
      <c r="S734" s="598" t="s">
        <v>321</v>
      </c>
      <c r="T734" s="598" t="s">
        <v>3309</v>
      </c>
      <c r="U734" s="598" t="s">
        <v>3309</v>
      </c>
      <c r="V734" s="598" t="s">
        <v>3309</v>
      </c>
      <c r="W734" s="598" t="s">
        <v>3309</v>
      </c>
      <c r="X734" s="598" t="s">
        <v>3309</v>
      </c>
      <c r="Y734" s="598" t="s">
        <v>321</v>
      </c>
      <c r="Z734" s="598" t="s">
        <v>321</v>
      </c>
      <c r="AA734" s="598" t="s">
        <v>3309</v>
      </c>
      <c r="AB734" s="598" t="s">
        <v>3309</v>
      </c>
      <c r="AC734" s="598" t="s">
        <v>3309</v>
      </c>
      <c r="AD734" s="598" t="s">
        <v>3312</v>
      </c>
      <c r="AE734" s="598" t="s">
        <v>3309</v>
      </c>
      <c r="AF734" s="598" t="s">
        <v>321</v>
      </c>
      <c r="AG734" s="598" t="s">
        <v>321</v>
      </c>
      <c r="AH734" s="598" t="s">
        <v>3312</v>
      </c>
      <c r="AI734" s="598" t="s">
        <v>321</v>
      </c>
      <c r="AJ734" s="599">
        <v>21</v>
      </c>
      <c r="AK734" s="600">
        <v>19</v>
      </c>
      <c r="AL734" s="602">
        <v>2</v>
      </c>
      <c r="AM734" s="601">
        <v>0</v>
      </c>
      <c r="AN734" s="599">
        <v>21</v>
      </c>
    </row>
    <row r="735" spans="1:40" ht="16.5" customHeight="1">
      <c r="A735" s="598" t="s">
        <v>3337</v>
      </c>
      <c r="B735" s="598" t="s">
        <v>3343</v>
      </c>
      <c r="C735" s="598" t="s">
        <v>1127</v>
      </c>
      <c r="D735" s="598" t="s">
        <v>1128</v>
      </c>
      <c r="E735" s="598" t="s">
        <v>321</v>
      </c>
      <c r="F735" s="598" t="s">
        <v>3309</v>
      </c>
      <c r="G735" s="598" t="s">
        <v>3309</v>
      </c>
      <c r="H735" s="598" t="s">
        <v>3309</v>
      </c>
      <c r="I735" s="598" t="s">
        <v>3309</v>
      </c>
      <c r="J735" s="598" t="s">
        <v>3309</v>
      </c>
      <c r="K735" s="598" t="s">
        <v>321</v>
      </c>
      <c r="L735" s="598" t="s">
        <v>321</v>
      </c>
      <c r="M735" s="598" t="s">
        <v>3313</v>
      </c>
      <c r="N735" s="598" t="s">
        <v>3313</v>
      </c>
      <c r="O735" s="598" t="s">
        <v>3309</v>
      </c>
      <c r="P735" s="598" t="s">
        <v>3309</v>
      </c>
      <c r="Q735" s="598" t="s">
        <v>3309</v>
      </c>
      <c r="R735" s="598" t="s">
        <v>321</v>
      </c>
      <c r="S735" s="598" t="s">
        <v>321</v>
      </c>
      <c r="T735" s="598" t="s">
        <v>3309</v>
      </c>
      <c r="U735" s="598" t="s">
        <v>3309</v>
      </c>
      <c r="V735" s="598" t="s">
        <v>3309</v>
      </c>
      <c r="W735" s="598" t="s">
        <v>3309</v>
      </c>
      <c r="X735" s="598" t="s">
        <v>3309</v>
      </c>
      <c r="Y735" s="598" t="s">
        <v>321</v>
      </c>
      <c r="Z735" s="598" t="s">
        <v>321</v>
      </c>
      <c r="AA735" s="598" t="s">
        <v>3309</v>
      </c>
      <c r="AB735" s="598" t="s">
        <v>3309</v>
      </c>
      <c r="AC735" s="598" t="s">
        <v>3309</v>
      </c>
      <c r="AD735" s="598" t="s">
        <v>3309</v>
      </c>
      <c r="AE735" s="598" t="s">
        <v>3309</v>
      </c>
      <c r="AF735" s="598" t="s">
        <v>321</v>
      </c>
      <c r="AG735" s="598" t="s">
        <v>321</v>
      </c>
      <c r="AH735" s="598" t="s">
        <v>3309</v>
      </c>
      <c r="AI735" s="598" t="s">
        <v>321</v>
      </c>
      <c r="AJ735" s="599">
        <v>21</v>
      </c>
      <c r="AK735" s="600">
        <v>21</v>
      </c>
      <c r="AL735" s="601">
        <v>0</v>
      </c>
      <c r="AM735" s="601">
        <v>0</v>
      </c>
      <c r="AN735" s="599">
        <v>21</v>
      </c>
    </row>
    <row r="736" spans="1:40" ht="16.5" customHeight="1">
      <c r="A736" s="598" t="s">
        <v>3337</v>
      </c>
      <c r="B736" s="598" t="s">
        <v>3343</v>
      </c>
      <c r="C736" s="598" t="s">
        <v>2205</v>
      </c>
      <c r="D736" s="598" t="s">
        <v>2206</v>
      </c>
      <c r="E736" s="598" t="s">
        <v>321</v>
      </c>
      <c r="F736" s="598" t="s">
        <v>3309</v>
      </c>
      <c r="G736" s="598" t="s">
        <v>3309</v>
      </c>
      <c r="H736" s="598" t="s">
        <v>3309</v>
      </c>
      <c r="I736" s="598" t="s">
        <v>3309</v>
      </c>
      <c r="J736" s="598" t="s">
        <v>3309</v>
      </c>
      <c r="K736" s="598" t="s">
        <v>321</v>
      </c>
      <c r="L736" s="598" t="s">
        <v>321</v>
      </c>
      <c r="M736" s="598" t="s">
        <v>3309</v>
      </c>
      <c r="N736" s="598" t="s">
        <v>3309</v>
      </c>
      <c r="O736" s="598" t="s">
        <v>3309</v>
      </c>
      <c r="P736" s="598" t="s">
        <v>3309</v>
      </c>
      <c r="Q736" s="598" t="s">
        <v>3309</v>
      </c>
      <c r="R736" s="598" t="s">
        <v>321</v>
      </c>
      <c r="S736" s="598" t="s">
        <v>321</v>
      </c>
      <c r="T736" s="598" t="s">
        <v>3309</v>
      </c>
      <c r="U736" s="598" t="s">
        <v>3309</v>
      </c>
      <c r="V736" s="598" t="s">
        <v>3309</v>
      </c>
      <c r="W736" s="598" t="s">
        <v>3309</v>
      </c>
      <c r="X736" s="598" t="s">
        <v>3309</v>
      </c>
      <c r="Y736" s="598" t="s">
        <v>321</v>
      </c>
      <c r="Z736" s="598" t="s">
        <v>321</v>
      </c>
      <c r="AA736" s="598" t="s">
        <v>3309</v>
      </c>
      <c r="AB736" s="598" t="s">
        <v>3309</v>
      </c>
      <c r="AC736" s="598" t="s">
        <v>3309</v>
      </c>
      <c r="AD736" s="598" t="s">
        <v>3309</v>
      </c>
      <c r="AE736" s="598" t="s">
        <v>3309</v>
      </c>
      <c r="AF736" s="598" t="s">
        <v>321</v>
      </c>
      <c r="AG736" s="598" t="s">
        <v>321</v>
      </c>
      <c r="AH736" s="598" t="s">
        <v>3309</v>
      </c>
      <c r="AI736" s="598" t="s">
        <v>321</v>
      </c>
      <c r="AJ736" s="599">
        <v>21</v>
      </c>
      <c r="AK736" s="600">
        <v>21</v>
      </c>
      <c r="AL736" s="601">
        <v>0</v>
      </c>
      <c r="AM736" s="601">
        <v>0</v>
      </c>
      <c r="AN736" s="599">
        <v>21</v>
      </c>
    </row>
    <row r="737" spans="1:40" ht="16.5" customHeight="1">
      <c r="A737" s="598" t="s">
        <v>3337</v>
      </c>
      <c r="B737" s="598" t="s">
        <v>3343</v>
      </c>
      <c r="C737" s="598" t="s">
        <v>533</v>
      </c>
      <c r="D737" s="598" t="s">
        <v>534</v>
      </c>
      <c r="E737" s="598" t="s">
        <v>321</v>
      </c>
      <c r="F737" s="598" t="s">
        <v>3309</v>
      </c>
      <c r="G737" s="598" t="s">
        <v>3309</v>
      </c>
      <c r="H737" s="598" t="s">
        <v>3309</v>
      </c>
      <c r="I737" s="598" t="s">
        <v>3309</v>
      </c>
      <c r="J737" s="598" t="s">
        <v>3309</v>
      </c>
      <c r="K737" s="598" t="s">
        <v>321</v>
      </c>
      <c r="L737" s="598" t="s">
        <v>321</v>
      </c>
      <c r="M737" s="598" t="s">
        <v>3313</v>
      </c>
      <c r="N737" s="598" t="s">
        <v>3313</v>
      </c>
      <c r="O737" s="598" t="s">
        <v>3313</v>
      </c>
      <c r="P737" s="598" t="s">
        <v>3309</v>
      </c>
      <c r="Q737" s="598" t="s">
        <v>3309</v>
      </c>
      <c r="R737" s="598" t="s">
        <v>321</v>
      </c>
      <c r="S737" s="598" t="s">
        <v>321</v>
      </c>
      <c r="T737" s="598" t="s">
        <v>3309</v>
      </c>
      <c r="U737" s="598" t="s">
        <v>3309</v>
      </c>
      <c r="V737" s="598" t="s">
        <v>3309</v>
      </c>
      <c r="W737" s="598" t="s">
        <v>3309</v>
      </c>
      <c r="X737" s="598" t="s">
        <v>3312</v>
      </c>
      <c r="Y737" s="598" t="s">
        <v>321</v>
      </c>
      <c r="Z737" s="598" t="s">
        <v>321</v>
      </c>
      <c r="AA737" s="598" t="s">
        <v>3309</v>
      </c>
      <c r="AB737" s="598" t="s">
        <v>3309</v>
      </c>
      <c r="AC737" s="598" t="s">
        <v>3309</v>
      </c>
      <c r="AD737" s="598" t="s">
        <v>3309</v>
      </c>
      <c r="AE737" s="598" t="s">
        <v>3309</v>
      </c>
      <c r="AF737" s="598" t="s">
        <v>321</v>
      </c>
      <c r="AG737" s="598" t="s">
        <v>321</v>
      </c>
      <c r="AH737" s="598" t="s">
        <v>3309</v>
      </c>
      <c r="AI737" s="598" t="s">
        <v>321</v>
      </c>
      <c r="AJ737" s="599">
        <v>21</v>
      </c>
      <c r="AK737" s="600">
        <v>20</v>
      </c>
      <c r="AL737" s="602">
        <v>1</v>
      </c>
      <c r="AM737" s="601">
        <v>0</v>
      </c>
      <c r="AN737" s="599">
        <v>21</v>
      </c>
    </row>
    <row r="738" spans="1:40" ht="16.5" customHeight="1">
      <c r="A738" s="598" t="s">
        <v>3337</v>
      </c>
      <c r="B738" s="598" t="s">
        <v>3343</v>
      </c>
      <c r="C738" s="598" t="s">
        <v>1769</v>
      </c>
      <c r="D738" s="598" t="s">
        <v>1770</v>
      </c>
      <c r="E738" s="598" t="s">
        <v>321</v>
      </c>
      <c r="F738" s="598" t="s">
        <v>3309</v>
      </c>
      <c r="G738" s="598" t="s">
        <v>3309</v>
      </c>
      <c r="H738" s="598" t="s">
        <v>3309</v>
      </c>
      <c r="I738" s="598" t="s">
        <v>3309</v>
      </c>
      <c r="J738" s="598" t="s">
        <v>3309</v>
      </c>
      <c r="K738" s="598" t="s">
        <v>321</v>
      </c>
      <c r="L738" s="598" t="s">
        <v>321</v>
      </c>
      <c r="M738" s="598" t="s">
        <v>3309</v>
      </c>
      <c r="N738" s="598" t="s">
        <v>3309</v>
      </c>
      <c r="O738" s="598" t="s">
        <v>3309</v>
      </c>
      <c r="P738" s="598" t="s">
        <v>3309</v>
      </c>
      <c r="Q738" s="598" t="s">
        <v>3309</v>
      </c>
      <c r="R738" s="598" t="s">
        <v>321</v>
      </c>
      <c r="S738" s="598" t="s">
        <v>321</v>
      </c>
      <c r="T738" s="598" t="s">
        <v>3309</v>
      </c>
      <c r="U738" s="598" t="s">
        <v>3309</v>
      </c>
      <c r="V738" s="598" t="s">
        <v>3312</v>
      </c>
      <c r="W738" s="598" t="s">
        <v>3309</v>
      </c>
      <c r="X738" s="598" t="s">
        <v>3309</v>
      </c>
      <c r="Y738" s="598" t="s">
        <v>321</v>
      </c>
      <c r="Z738" s="598" t="s">
        <v>321</v>
      </c>
      <c r="AA738" s="598" t="s">
        <v>3309</v>
      </c>
      <c r="AB738" s="598" t="s">
        <v>3309</v>
      </c>
      <c r="AC738" s="598" t="s">
        <v>3309</v>
      </c>
      <c r="AD738" s="598" t="s">
        <v>3309</v>
      </c>
      <c r="AE738" s="598" t="s">
        <v>3309</v>
      </c>
      <c r="AF738" s="598" t="s">
        <v>321</v>
      </c>
      <c r="AG738" s="598" t="s">
        <v>321</v>
      </c>
      <c r="AH738" s="598" t="s">
        <v>3309</v>
      </c>
      <c r="AI738" s="598" t="s">
        <v>321</v>
      </c>
      <c r="AJ738" s="599">
        <v>21</v>
      </c>
      <c r="AK738" s="600">
        <v>20</v>
      </c>
      <c r="AL738" s="602">
        <v>1</v>
      </c>
      <c r="AM738" s="601">
        <v>0</v>
      </c>
      <c r="AN738" s="599">
        <v>21</v>
      </c>
    </row>
    <row r="739" spans="1:40" ht="16.5" customHeight="1">
      <c r="A739" s="598" t="s">
        <v>3337</v>
      </c>
      <c r="B739" s="598" t="s">
        <v>3343</v>
      </c>
      <c r="C739" s="598" t="s">
        <v>1259</v>
      </c>
      <c r="D739" s="598" t="s">
        <v>1260</v>
      </c>
      <c r="E739" s="598" t="s">
        <v>321</v>
      </c>
      <c r="F739" s="598" t="s">
        <v>3309</v>
      </c>
      <c r="G739" s="598" t="s">
        <v>3309</v>
      </c>
      <c r="H739" s="598" t="s">
        <v>3309</v>
      </c>
      <c r="I739" s="598" t="s">
        <v>3309</v>
      </c>
      <c r="J739" s="598" t="s">
        <v>3309</v>
      </c>
      <c r="K739" s="598" t="s">
        <v>321</v>
      </c>
      <c r="L739" s="598" t="s">
        <v>321</v>
      </c>
      <c r="M739" s="598" t="s">
        <v>3309</v>
      </c>
      <c r="N739" s="598" t="s">
        <v>3309</v>
      </c>
      <c r="O739" s="598" t="s">
        <v>3309</v>
      </c>
      <c r="P739" s="598" t="s">
        <v>3309</v>
      </c>
      <c r="Q739" s="598" t="s">
        <v>3309</v>
      </c>
      <c r="R739" s="598" t="s">
        <v>321</v>
      </c>
      <c r="S739" s="598" t="s">
        <v>321</v>
      </c>
      <c r="T739" s="598" t="s">
        <v>3309</v>
      </c>
      <c r="U739" s="598" t="s">
        <v>3309</v>
      </c>
      <c r="V739" s="598" t="s">
        <v>3309</v>
      </c>
      <c r="W739" s="598" t="s">
        <v>3309</v>
      </c>
      <c r="X739" s="598" t="s">
        <v>3309</v>
      </c>
      <c r="Y739" s="598" t="s">
        <v>321</v>
      </c>
      <c r="Z739" s="598" t="s">
        <v>321</v>
      </c>
      <c r="AA739" s="598" t="s">
        <v>3345</v>
      </c>
      <c r="AB739" s="598" t="s">
        <v>3309</v>
      </c>
      <c r="AC739" s="598" t="s">
        <v>3309</v>
      </c>
      <c r="AD739" s="598" t="s">
        <v>3309</v>
      </c>
      <c r="AE739" s="598" t="s">
        <v>3309</v>
      </c>
      <c r="AF739" s="598" t="s">
        <v>321</v>
      </c>
      <c r="AG739" s="598" t="s">
        <v>321</v>
      </c>
      <c r="AH739" s="598" t="s">
        <v>3309</v>
      </c>
      <c r="AI739" s="598" t="s">
        <v>321</v>
      </c>
      <c r="AJ739" s="599">
        <v>21</v>
      </c>
      <c r="AK739" s="600">
        <v>21</v>
      </c>
      <c r="AL739" s="601">
        <v>0</v>
      </c>
      <c r="AM739" s="601">
        <v>0</v>
      </c>
      <c r="AN739" s="599">
        <v>21</v>
      </c>
    </row>
    <row r="740" spans="1:40" ht="16.5" customHeight="1">
      <c r="A740" s="598" t="s">
        <v>3337</v>
      </c>
      <c r="B740" s="598" t="s">
        <v>3343</v>
      </c>
      <c r="C740" s="598" t="s">
        <v>643</v>
      </c>
      <c r="D740" s="598" t="s">
        <v>644</v>
      </c>
      <c r="E740" s="598" t="s">
        <v>321</v>
      </c>
      <c r="F740" s="598" t="s">
        <v>3309</v>
      </c>
      <c r="G740" s="598" t="s">
        <v>3309</v>
      </c>
      <c r="H740" s="598" t="s">
        <v>3309</v>
      </c>
      <c r="I740" s="598" t="s">
        <v>3309</v>
      </c>
      <c r="J740" s="598" t="s">
        <v>3309</v>
      </c>
      <c r="K740" s="598" t="s">
        <v>321</v>
      </c>
      <c r="L740" s="598" t="s">
        <v>321</v>
      </c>
      <c r="M740" s="598" t="s">
        <v>3309</v>
      </c>
      <c r="N740" s="598" t="s">
        <v>3309</v>
      </c>
      <c r="O740" s="598" t="s">
        <v>3309</v>
      </c>
      <c r="P740" s="598" t="s">
        <v>3309</v>
      </c>
      <c r="Q740" s="598" t="s">
        <v>3309</v>
      </c>
      <c r="R740" s="598" t="s">
        <v>321</v>
      </c>
      <c r="S740" s="598" t="s">
        <v>321</v>
      </c>
      <c r="T740" s="598" t="s">
        <v>3309</v>
      </c>
      <c r="U740" s="598" t="s">
        <v>3309</v>
      </c>
      <c r="V740" s="598" t="s">
        <v>3309</v>
      </c>
      <c r="W740" s="598" t="s">
        <v>3309</v>
      </c>
      <c r="X740" s="598" t="s">
        <v>3309</v>
      </c>
      <c r="Y740" s="598" t="s">
        <v>321</v>
      </c>
      <c r="Z740" s="598" t="s">
        <v>321</v>
      </c>
      <c r="AA740" s="598" t="s">
        <v>3309</v>
      </c>
      <c r="AB740" s="598" t="s">
        <v>3309</v>
      </c>
      <c r="AC740" s="598" t="s">
        <v>3309</v>
      </c>
      <c r="AD740" s="598" t="s">
        <v>3309</v>
      </c>
      <c r="AE740" s="598" t="s">
        <v>3309</v>
      </c>
      <c r="AF740" s="598" t="s">
        <v>321</v>
      </c>
      <c r="AG740" s="598" t="s">
        <v>321</v>
      </c>
      <c r="AH740" s="598" t="s">
        <v>3309</v>
      </c>
      <c r="AI740" s="598" t="s">
        <v>321</v>
      </c>
      <c r="AJ740" s="599">
        <v>21</v>
      </c>
      <c r="AK740" s="600">
        <v>21</v>
      </c>
      <c r="AL740" s="601">
        <v>0</v>
      </c>
      <c r="AM740" s="601">
        <v>0</v>
      </c>
      <c r="AN740" s="599">
        <v>21</v>
      </c>
    </row>
    <row r="741" spans="1:40" ht="16.5" customHeight="1">
      <c r="A741" s="598" t="s">
        <v>3337</v>
      </c>
      <c r="B741" s="598" t="s">
        <v>3343</v>
      </c>
      <c r="C741" s="598" t="s">
        <v>1070</v>
      </c>
      <c r="D741" s="598" t="s">
        <v>1071</v>
      </c>
      <c r="E741" s="598" t="s">
        <v>321</v>
      </c>
      <c r="F741" s="598" t="s">
        <v>3309</v>
      </c>
      <c r="G741" s="598" t="s">
        <v>3309</v>
      </c>
      <c r="H741" s="598" t="s">
        <v>3309</v>
      </c>
      <c r="I741" s="598" t="s">
        <v>3309</v>
      </c>
      <c r="J741" s="598" t="s">
        <v>3309</v>
      </c>
      <c r="K741" s="598" t="s">
        <v>321</v>
      </c>
      <c r="L741" s="598" t="s">
        <v>321</v>
      </c>
      <c r="M741" s="598" t="s">
        <v>3309</v>
      </c>
      <c r="N741" s="598" t="s">
        <v>3309</v>
      </c>
      <c r="O741" s="598" t="s">
        <v>3309</v>
      </c>
      <c r="P741" s="598" t="s">
        <v>3309</v>
      </c>
      <c r="Q741" s="598" t="s">
        <v>3309</v>
      </c>
      <c r="R741" s="598" t="s">
        <v>321</v>
      </c>
      <c r="S741" s="598" t="s">
        <v>321</v>
      </c>
      <c r="T741" s="598" t="s">
        <v>3312</v>
      </c>
      <c r="U741" s="598" t="s">
        <v>3309</v>
      </c>
      <c r="V741" s="598" t="s">
        <v>3309</v>
      </c>
      <c r="W741" s="598" t="s">
        <v>3309</v>
      </c>
      <c r="X741" s="598" t="s">
        <v>3309</v>
      </c>
      <c r="Y741" s="598" t="s">
        <v>321</v>
      </c>
      <c r="Z741" s="598" t="s">
        <v>321</v>
      </c>
      <c r="AA741" s="598" t="s">
        <v>3309</v>
      </c>
      <c r="AB741" s="598" t="s">
        <v>3309</v>
      </c>
      <c r="AC741" s="598" t="s">
        <v>3309</v>
      </c>
      <c r="AD741" s="598" t="s">
        <v>3309</v>
      </c>
      <c r="AE741" s="598" t="s">
        <v>3309</v>
      </c>
      <c r="AF741" s="598" t="s">
        <v>321</v>
      </c>
      <c r="AG741" s="598" t="s">
        <v>321</v>
      </c>
      <c r="AH741" s="598" t="s">
        <v>3309</v>
      </c>
      <c r="AI741" s="598" t="s">
        <v>321</v>
      </c>
      <c r="AJ741" s="599">
        <v>21</v>
      </c>
      <c r="AK741" s="600">
        <v>20</v>
      </c>
      <c r="AL741" s="602">
        <v>1</v>
      </c>
      <c r="AM741" s="601">
        <v>0</v>
      </c>
      <c r="AN741" s="599">
        <v>21</v>
      </c>
    </row>
    <row r="742" spans="1:40" ht="16.5" customHeight="1">
      <c r="A742" s="598" t="s">
        <v>3337</v>
      </c>
      <c r="B742" s="598" t="s">
        <v>3343</v>
      </c>
      <c r="C742" s="598" t="s">
        <v>1286</v>
      </c>
      <c r="D742" s="598" t="s">
        <v>1287</v>
      </c>
      <c r="E742" s="598" t="s">
        <v>321</v>
      </c>
      <c r="F742" s="598" t="s">
        <v>3309</v>
      </c>
      <c r="G742" s="598" t="s">
        <v>3309</v>
      </c>
      <c r="H742" s="598" t="s">
        <v>3309</v>
      </c>
      <c r="I742" s="598" t="s">
        <v>3309</v>
      </c>
      <c r="J742" s="598" t="s">
        <v>3309</v>
      </c>
      <c r="K742" s="598" t="s">
        <v>321</v>
      </c>
      <c r="L742" s="598" t="s">
        <v>321</v>
      </c>
      <c r="M742" s="598" t="s">
        <v>3309</v>
      </c>
      <c r="N742" s="598" t="s">
        <v>3309</v>
      </c>
      <c r="O742" s="598" t="s">
        <v>3309</v>
      </c>
      <c r="P742" s="598" t="s">
        <v>3309</v>
      </c>
      <c r="Q742" s="598" t="s">
        <v>3309</v>
      </c>
      <c r="R742" s="598" t="s">
        <v>321</v>
      </c>
      <c r="S742" s="598" t="s">
        <v>321</v>
      </c>
      <c r="T742" s="598" t="s">
        <v>3309</v>
      </c>
      <c r="U742" s="598" t="s">
        <v>3309</v>
      </c>
      <c r="V742" s="598" t="s">
        <v>3309</v>
      </c>
      <c r="W742" s="598" t="s">
        <v>3309</v>
      </c>
      <c r="X742" s="598" t="s">
        <v>3309</v>
      </c>
      <c r="Y742" s="598" t="s">
        <v>3346</v>
      </c>
      <c r="Z742" s="598" t="s">
        <v>321</v>
      </c>
      <c r="AA742" s="598" t="s">
        <v>3309</v>
      </c>
      <c r="AB742" s="598" t="s">
        <v>3309</v>
      </c>
      <c r="AC742" s="598" t="s">
        <v>3309</v>
      </c>
      <c r="AD742" s="598" t="s">
        <v>3309</v>
      </c>
      <c r="AE742" s="598" t="s">
        <v>3309</v>
      </c>
      <c r="AF742" s="598" t="s">
        <v>321</v>
      </c>
      <c r="AG742" s="598" t="s">
        <v>321</v>
      </c>
      <c r="AH742" s="598" t="s">
        <v>3309</v>
      </c>
      <c r="AI742" s="598" t="s">
        <v>321</v>
      </c>
      <c r="AJ742" s="599">
        <v>21</v>
      </c>
      <c r="AK742" s="600">
        <v>21</v>
      </c>
      <c r="AL742" s="601">
        <v>0</v>
      </c>
      <c r="AM742" s="601">
        <v>0</v>
      </c>
      <c r="AN742" s="599">
        <v>21</v>
      </c>
    </row>
    <row r="743" spans="1:40" ht="16.5" customHeight="1">
      <c r="A743" s="598" t="s">
        <v>3337</v>
      </c>
      <c r="B743" s="598" t="s">
        <v>3343</v>
      </c>
      <c r="C743" s="598" t="s">
        <v>2717</v>
      </c>
      <c r="D743" s="598" t="s">
        <v>2718</v>
      </c>
      <c r="E743" s="598" t="s">
        <v>321</v>
      </c>
      <c r="F743" s="598" t="s">
        <v>3309</v>
      </c>
      <c r="G743" s="598" t="s">
        <v>3309</v>
      </c>
      <c r="H743" s="598" t="s">
        <v>3309</v>
      </c>
      <c r="I743" s="598" t="s">
        <v>3309</v>
      </c>
      <c r="J743" s="598" t="s">
        <v>3309</v>
      </c>
      <c r="K743" s="598" t="s">
        <v>321</v>
      </c>
      <c r="L743" s="598" t="s">
        <v>321</v>
      </c>
      <c r="M743" s="598" t="s">
        <v>3309</v>
      </c>
      <c r="N743" s="598" t="s">
        <v>3309</v>
      </c>
      <c r="O743" s="598" t="s">
        <v>3309</v>
      </c>
      <c r="P743" s="598" t="s">
        <v>3309</v>
      </c>
      <c r="Q743" s="598" t="s">
        <v>3309</v>
      </c>
      <c r="R743" s="598" t="s">
        <v>321</v>
      </c>
      <c r="S743" s="598" t="s">
        <v>321</v>
      </c>
      <c r="T743" s="598" t="s">
        <v>3309</v>
      </c>
      <c r="U743" s="598" t="s">
        <v>3309</v>
      </c>
      <c r="V743" s="598" t="s">
        <v>3309</v>
      </c>
      <c r="W743" s="598" t="s">
        <v>3309</v>
      </c>
      <c r="X743" s="598" t="s">
        <v>3309</v>
      </c>
      <c r="Y743" s="598" t="s">
        <v>321</v>
      </c>
      <c r="Z743" s="598" t="s">
        <v>321</v>
      </c>
      <c r="AA743" s="598" t="s">
        <v>3309</v>
      </c>
      <c r="AB743" s="598" t="s">
        <v>3309</v>
      </c>
      <c r="AC743" s="598" t="s">
        <v>3309</v>
      </c>
      <c r="AD743" s="598" t="s">
        <v>3309</v>
      </c>
      <c r="AE743" s="598" t="s">
        <v>3309</v>
      </c>
      <c r="AF743" s="598" t="s">
        <v>321</v>
      </c>
      <c r="AG743" s="598" t="s">
        <v>321</v>
      </c>
      <c r="AH743" s="598" t="s">
        <v>3309</v>
      </c>
      <c r="AI743" s="598" t="s">
        <v>321</v>
      </c>
      <c r="AJ743" s="599">
        <v>21</v>
      </c>
      <c r="AK743" s="600">
        <v>21</v>
      </c>
      <c r="AL743" s="601">
        <v>0</v>
      </c>
      <c r="AM743" s="601">
        <v>0</v>
      </c>
      <c r="AN743" s="599">
        <v>21</v>
      </c>
    </row>
    <row r="744" spans="1:40" ht="16.5" customHeight="1">
      <c r="A744" s="598" t="s">
        <v>3337</v>
      </c>
      <c r="B744" s="598" t="s">
        <v>3347</v>
      </c>
      <c r="C744" s="598" t="s">
        <v>2483</v>
      </c>
      <c r="D744" s="598" t="s">
        <v>2484</v>
      </c>
      <c r="E744" s="598" t="s">
        <v>321</v>
      </c>
      <c r="F744" s="598" t="s">
        <v>3309</v>
      </c>
      <c r="G744" s="598" t="s">
        <v>3309</v>
      </c>
      <c r="H744" s="598" t="s">
        <v>3309</v>
      </c>
      <c r="I744" s="598" t="s">
        <v>3309</v>
      </c>
      <c r="J744" s="598" t="s">
        <v>3309</v>
      </c>
      <c r="K744" s="598" t="s">
        <v>321</v>
      </c>
      <c r="L744" s="598" t="s">
        <v>321</v>
      </c>
      <c r="M744" s="598" t="s">
        <v>3309</v>
      </c>
      <c r="N744" s="598" t="s">
        <v>3309</v>
      </c>
      <c r="O744" s="598" t="s">
        <v>3309</v>
      </c>
      <c r="P744" s="598" t="s">
        <v>3309</v>
      </c>
      <c r="Q744" s="598" t="s">
        <v>3309</v>
      </c>
      <c r="R744" s="598" t="s">
        <v>321</v>
      </c>
      <c r="S744" s="598" t="s">
        <v>321</v>
      </c>
      <c r="T744" s="598" t="s">
        <v>3309</v>
      </c>
      <c r="U744" s="598" t="s">
        <v>3309</v>
      </c>
      <c r="V744" s="598" t="s">
        <v>3309</v>
      </c>
      <c r="W744" s="598" t="s">
        <v>3309</v>
      </c>
      <c r="X744" s="598" t="s">
        <v>3309</v>
      </c>
      <c r="Y744" s="598" t="s">
        <v>321</v>
      </c>
      <c r="Z744" s="598" t="s">
        <v>321</v>
      </c>
      <c r="AA744" s="598" t="s">
        <v>3309</v>
      </c>
      <c r="AB744" s="598" t="s">
        <v>3309</v>
      </c>
      <c r="AC744" s="598" t="s">
        <v>3309</v>
      </c>
      <c r="AD744" s="598" t="s">
        <v>3312</v>
      </c>
      <c r="AE744" s="598" t="s">
        <v>3309</v>
      </c>
      <c r="AF744" s="598" t="s">
        <v>321</v>
      </c>
      <c r="AG744" s="598" t="s">
        <v>321</v>
      </c>
      <c r="AH744" s="598" t="s">
        <v>3309</v>
      </c>
      <c r="AI744" s="598" t="s">
        <v>321</v>
      </c>
      <c r="AJ744" s="599">
        <v>21</v>
      </c>
      <c r="AK744" s="600">
        <v>20</v>
      </c>
      <c r="AL744" s="602">
        <v>1</v>
      </c>
      <c r="AM744" s="601">
        <v>0</v>
      </c>
      <c r="AN744" s="599">
        <v>21</v>
      </c>
    </row>
    <row r="745" spans="1:40" ht="16.5" customHeight="1">
      <c r="A745" s="598" t="s">
        <v>3337</v>
      </c>
      <c r="B745" s="598" t="s">
        <v>3347</v>
      </c>
      <c r="C745" s="598" t="s">
        <v>2374</v>
      </c>
      <c r="D745" s="598" t="s">
        <v>2375</v>
      </c>
      <c r="E745" s="598" t="s">
        <v>321</v>
      </c>
      <c r="F745" s="598" t="s">
        <v>3309</v>
      </c>
      <c r="G745" s="598" t="s">
        <v>3309</v>
      </c>
      <c r="H745" s="598" t="s">
        <v>3309</v>
      </c>
      <c r="I745" s="598" t="s">
        <v>3309</v>
      </c>
      <c r="J745" s="598" t="s">
        <v>3309</v>
      </c>
      <c r="K745" s="598" t="s">
        <v>321</v>
      </c>
      <c r="L745" s="598" t="s">
        <v>321</v>
      </c>
      <c r="M745" s="598" t="s">
        <v>3309</v>
      </c>
      <c r="N745" s="598" t="s">
        <v>3309</v>
      </c>
      <c r="O745" s="598" t="s">
        <v>3309</v>
      </c>
      <c r="P745" s="598" t="s">
        <v>3309</v>
      </c>
      <c r="Q745" s="598" t="s">
        <v>3309</v>
      </c>
      <c r="R745" s="598" t="s">
        <v>321</v>
      </c>
      <c r="S745" s="598" t="s">
        <v>321</v>
      </c>
      <c r="T745" s="598" t="s">
        <v>3313</v>
      </c>
      <c r="U745" s="598" t="s">
        <v>3309</v>
      </c>
      <c r="V745" s="598" t="s">
        <v>3309</v>
      </c>
      <c r="W745" s="598" t="s">
        <v>3309</v>
      </c>
      <c r="X745" s="598" t="s">
        <v>3309</v>
      </c>
      <c r="Y745" s="598" t="s">
        <v>321</v>
      </c>
      <c r="Z745" s="598" t="s">
        <v>321</v>
      </c>
      <c r="AA745" s="598" t="s">
        <v>3309</v>
      </c>
      <c r="AB745" s="598" t="s">
        <v>3309</v>
      </c>
      <c r="AC745" s="598" t="s">
        <v>3309</v>
      </c>
      <c r="AD745" s="598" t="s">
        <v>3309</v>
      </c>
      <c r="AE745" s="598" t="s">
        <v>3309</v>
      </c>
      <c r="AF745" s="598" t="s">
        <v>321</v>
      </c>
      <c r="AG745" s="598" t="s">
        <v>321</v>
      </c>
      <c r="AH745" s="598" t="s">
        <v>3309</v>
      </c>
      <c r="AI745" s="598" t="s">
        <v>321</v>
      </c>
      <c r="AJ745" s="599">
        <v>21</v>
      </c>
      <c r="AK745" s="600">
        <v>21</v>
      </c>
      <c r="AL745" s="601">
        <v>0</v>
      </c>
      <c r="AM745" s="601">
        <v>0</v>
      </c>
      <c r="AN745" s="599">
        <v>21</v>
      </c>
    </row>
    <row r="746" spans="1:40" ht="16.5" customHeight="1">
      <c r="A746" s="598" t="s">
        <v>3337</v>
      </c>
      <c r="B746" s="598" t="s">
        <v>3347</v>
      </c>
      <c r="C746" s="598" t="s">
        <v>1783</v>
      </c>
      <c r="D746" s="598" t="s">
        <v>1784</v>
      </c>
      <c r="E746" s="598" t="s">
        <v>321</v>
      </c>
      <c r="F746" s="598" t="s">
        <v>3317</v>
      </c>
      <c r="G746" s="598" t="s">
        <v>3317</v>
      </c>
      <c r="H746" s="598" t="s">
        <v>3317</v>
      </c>
      <c r="I746" s="598" t="s">
        <v>3317</v>
      </c>
      <c r="J746" s="598" t="s">
        <v>3317</v>
      </c>
      <c r="K746" s="598" t="s">
        <v>321</v>
      </c>
      <c r="L746" s="598" t="s">
        <v>321</v>
      </c>
      <c r="M746" s="598" t="s">
        <v>3317</v>
      </c>
      <c r="N746" s="598" t="s">
        <v>3317</v>
      </c>
      <c r="O746" s="598" t="s">
        <v>3317</v>
      </c>
      <c r="P746" s="598" t="s">
        <v>3317</v>
      </c>
      <c r="Q746" s="598" t="s">
        <v>3317</v>
      </c>
      <c r="R746" s="598" t="s">
        <v>321</v>
      </c>
      <c r="S746" s="598" t="s">
        <v>321</v>
      </c>
      <c r="T746" s="598" t="s">
        <v>3317</v>
      </c>
      <c r="U746" s="598" t="s">
        <v>3317</v>
      </c>
      <c r="V746" s="598" t="s">
        <v>3317</v>
      </c>
      <c r="W746" s="598" t="s">
        <v>3317</v>
      </c>
      <c r="X746" s="598" t="s">
        <v>3317</v>
      </c>
      <c r="Y746" s="598" t="s">
        <v>321</v>
      </c>
      <c r="Z746" s="598" t="s">
        <v>321</v>
      </c>
      <c r="AA746" s="598" t="s">
        <v>3317</v>
      </c>
      <c r="AB746" s="598" t="s">
        <v>3317</v>
      </c>
      <c r="AC746" s="598" t="s">
        <v>3317</v>
      </c>
      <c r="AD746" s="598" t="s">
        <v>3317</v>
      </c>
      <c r="AE746" s="598" t="s">
        <v>3317</v>
      </c>
      <c r="AF746" s="598" t="s">
        <v>321</v>
      </c>
      <c r="AG746" s="598" t="s">
        <v>321</v>
      </c>
      <c r="AH746" s="598" t="s">
        <v>3317</v>
      </c>
      <c r="AI746" s="598" t="s">
        <v>321</v>
      </c>
      <c r="AJ746" s="599">
        <v>21</v>
      </c>
      <c r="AK746" s="601">
        <v>0</v>
      </c>
      <c r="AL746" s="601">
        <v>0</v>
      </c>
      <c r="AM746" s="601">
        <v>0</v>
      </c>
      <c r="AN746" s="605">
        <v>0</v>
      </c>
    </row>
    <row r="747" spans="1:40" ht="16.5" customHeight="1">
      <c r="A747" s="598" t="s">
        <v>3337</v>
      </c>
      <c r="B747" s="598" t="s">
        <v>3347</v>
      </c>
      <c r="C747" s="598" t="s">
        <v>2790</v>
      </c>
      <c r="D747" s="598" t="s">
        <v>2791</v>
      </c>
      <c r="E747" s="598" t="s">
        <v>321</v>
      </c>
      <c r="F747" s="598" t="s">
        <v>3309</v>
      </c>
      <c r="G747" s="598" t="s">
        <v>3309</v>
      </c>
      <c r="H747" s="598" t="s">
        <v>3309</v>
      </c>
      <c r="I747" s="598" t="s">
        <v>3309</v>
      </c>
      <c r="J747" s="598" t="s">
        <v>3309</v>
      </c>
      <c r="K747" s="598" t="s">
        <v>321</v>
      </c>
      <c r="L747" s="598" t="s">
        <v>321</v>
      </c>
      <c r="M747" s="598" t="s">
        <v>3309</v>
      </c>
      <c r="N747" s="598" t="s">
        <v>3309</v>
      </c>
      <c r="O747" s="598" t="s">
        <v>3309</v>
      </c>
      <c r="P747" s="598" t="s">
        <v>3309</v>
      </c>
      <c r="Q747" s="598" t="s">
        <v>3309</v>
      </c>
      <c r="R747" s="598" t="s">
        <v>321</v>
      </c>
      <c r="S747" s="598" t="s">
        <v>321</v>
      </c>
      <c r="T747" s="598" t="s">
        <v>3309</v>
      </c>
      <c r="U747" s="598" t="s">
        <v>3309</v>
      </c>
      <c r="V747" s="598" t="s">
        <v>3309</v>
      </c>
      <c r="W747" s="598" t="s">
        <v>3309</v>
      </c>
      <c r="X747" s="598" t="s">
        <v>3309</v>
      </c>
      <c r="Y747" s="598" t="s">
        <v>321</v>
      </c>
      <c r="Z747" s="598" t="s">
        <v>321</v>
      </c>
      <c r="AA747" s="598" t="s">
        <v>3309</v>
      </c>
      <c r="AB747" s="598" t="s">
        <v>3309</v>
      </c>
      <c r="AC747" s="598" t="s">
        <v>3309</v>
      </c>
      <c r="AD747" s="598" t="s">
        <v>3309</v>
      </c>
      <c r="AE747" s="598" t="s">
        <v>3309</v>
      </c>
      <c r="AF747" s="598" t="s">
        <v>321</v>
      </c>
      <c r="AG747" s="598" t="s">
        <v>321</v>
      </c>
      <c r="AH747" s="598" t="s">
        <v>3309</v>
      </c>
      <c r="AI747" s="598" t="s">
        <v>321</v>
      </c>
      <c r="AJ747" s="599">
        <v>21</v>
      </c>
      <c r="AK747" s="600">
        <v>21</v>
      </c>
      <c r="AL747" s="601">
        <v>0</v>
      </c>
      <c r="AM747" s="601">
        <v>0</v>
      </c>
      <c r="AN747" s="599">
        <v>21</v>
      </c>
    </row>
    <row r="748" spans="1:40" ht="16.5" customHeight="1">
      <c r="A748" s="598" t="s">
        <v>3337</v>
      </c>
      <c r="B748" s="598" t="s">
        <v>3347</v>
      </c>
      <c r="C748" s="598" t="s">
        <v>1634</v>
      </c>
      <c r="D748" s="598" t="s">
        <v>1635</v>
      </c>
      <c r="E748" s="598" t="s">
        <v>321</v>
      </c>
      <c r="F748" s="598" t="s">
        <v>3309</v>
      </c>
      <c r="G748" s="598" t="s">
        <v>3309</v>
      </c>
      <c r="H748" s="598" t="s">
        <v>3309</v>
      </c>
      <c r="I748" s="598" t="s">
        <v>3309</v>
      </c>
      <c r="J748" s="598" t="s">
        <v>3309</v>
      </c>
      <c r="K748" s="598" t="s">
        <v>321</v>
      </c>
      <c r="L748" s="598" t="s">
        <v>321</v>
      </c>
      <c r="M748" s="598" t="s">
        <v>3309</v>
      </c>
      <c r="N748" s="598" t="s">
        <v>3309</v>
      </c>
      <c r="O748" s="598" t="s">
        <v>3309</v>
      </c>
      <c r="P748" s="598" t="s">
        <v>3309</v>
      </c>
      <c r="Q748" s="598" t="s">
        <v>3309</v>
      </c>
      <c r="R748" s="598" t="s">
        <v>321</v>
      </c>
      <c r="S748" s="598" t="s">
        <v>321</v>
      </c>
      <c r="T748" s="598" t="s">
        <v>3309</v>
      </c>
      <c r="U748" s="598" t="s">
        <v>3309</v>
      </c>
      <c r="V748" s="598" t="s">
        <v>3309</v>
      </c>
      <c r="W748" s="598" t="s">
        <v>3309</v>
      </c>
      <c r="X748" s="598" t="s">
        <v>3309</v>
      </c>
      <c r="Y748" s="598" t="s">
        <v>321</v>
      </c>
      <c r="Z748" s="598" t="s">
        <v>321</v>
      </c>
      <c r="AA748" s="598" t="s">
        <v>3309</v>
      </c>
      <c r="AB748" s="598" t="s">
        <v>3309</v>
      </c>
      <c r="AC748" s="598" t="s">
        <v>3309</v>
      </c>
      <c r="AD748" s="598" t="s">
        <v>3309</v>
      </c>
      <c r="AE748" s="598" t="s">
        <v>3309</v>
      </c>
      <c r="AF748" s="598" t="s">
        <v>321</v>
      </c>
      <c r="AG748" s="598" t="s">
        <v>321</v>
      </c>
      <c r="AH748" s="598" t="s">
        <v>3309</v>
      </c>
      <c r="AI748" s="598" t="s">
        <v>321</v>
      </c>
      <c r="AJ748" s="599">
        <v>21</v>
      </c>
      <c r="AK748" s="600">
        <v>21</v>
      </c>
      <c r="AL748" s="601">
        <v>0</v>
      </c>
      <c r="AM748" s="601">
        <v>0</v>
      </c>
      <c r="AN748" s="599">
        <v>21</v>
      </c>
    </row>
    <row r="749" spans="1:40" ht="16.5" customHeight="1">
      <c r="A749" s="598" t="s">
        <v>3337</v>
      </c>
      <c r="B749" s="598" t="s">
        <v>3347</v>
      </c>
      <c r="C749" s="598" t="s">
        <v>1932</v>
      </c>
      <c r="D749" s="598" t="s">
        <v>1933</v>
      </c>
      <c r="E749" s="598" t="s">
        <v>321</v>
      </c>
      <c r="F749" s="598" t="s">
        <v>3309</v>
      </c>
      <c r="G749" s="598" t="s">
        <v>3309</v>
      </c>
      <c r="H749" s="598" t="s">
        <v>3309</v>
      </c>
      <c r="I749" s="598" t="s">
        <v>3309</v>
      </c>
      <c r="J749" s="598" t="s">
        <v>3309</v>
      </c>
      <c r="K749" s="598" t="s">
        <v>321</v>
      </c>
      <c r="L749" s="598" t="s">
        <v>321</v>
      </c>
      <c r="M749" s="598" t="s">
        <v>3309</v>
      </c>
      <c r="N749" s="598" t="s">
        <v>3309</v>
      </c>
      <c r="O749" s="598" t="s">
        <v>3309</v>
      </c>
      <c r="P749" s="598" t="s">
        <v>3309</v>
      </c>
      <c r="Q749" s="598" t="s">
        <v>3309</v>
      </c>
      <c r="R749" s="598" t="s">
        <v>321</v>
      </c>
      <c r="S749" s="598" t="s">
        <v>321</v>
      </c>
      <c r="T749" s="598" t="s">
        <v>3309</v>
      </c>
      <c r="U749" s="598" t="s">
        <v>3309</v>
      </c>
      <c r="V749" s="598" t="s">
        <v>3309</v>
      </c>
      <c r="W749" s="598" t="s">
        <v>3309</v>
      </c>
      <c r="X749" s="598" t="s">
        <v>3309</v>
      </c>
      <c r="Y749" s="598" t="s">
        <v>321</v>
      </c>
      <c r="Z749" s="598" t="s">
        <v>321</v>
      </c>
      <c r="AA749" s="598" t="s">
        <v>3312</v>
      </c>
      <c r="AB749" s="598" t="s">
        <v>3309</v>
      </c>
      <c r="AC749" s="598" t="s">
        <v>3314</v>
      </c>
      <c r="AD749" s="598" t="s">
        <v>3309</v>
      </c>
      <c r="AE749" s="598" t="s">
        <v>3309</v>
      </c>
      <c r="AF749" s="598" t="s">
        <v>321</v>
      </c>
      <c r="AG749" s="598" t="s">
        <v>321</v>
      </c>
      <c r="AH749" s="598" t="s">
        <v>3309</v>
      </c>
      <c r="AI749" s="598" t="s">
        <v>321</v>
      </c>
      <c r="AJ749" s="599">
        <v>21</v>
      </c>
      <c r="AK749" s="603">
        <v>19.5</v>
      </c>
      <c r="AL749" s="603">
        <v>1.5</v>
      </c>
      <c r="AM749" s="601">
        <v>0</v>
      </c>
      <c r="AN749" s="599">
        <v>21</v>
      </c>
    </row>
    <row r="750" spans="1:40" ht="16.5" customHeight="1">
      <c r="A750" s="598" t="s">
        <v>3337</v>
      </c>
      <c r="B750" s="598" t="s">
        <v>3347</v>
      </c>
      <c r="C750" s="598" t="s">
        <v>1848</v>
      </c>
      <c r="D750" s="598" t="s">
        <v>1849</v>
      </c>
      <c r="E750" s="598" t="s">
        <v>321</v>
      </c>
      <c r="F750" s="598" t="s">
        <v>3309</v>
      </c>
      <c r="G750" s="598" t="s">
        <v>3309</v>
      </c>
      <c r="H750" s="598" t="s">
        <v>3309</v>
      </c>
      <c r="I750" s="598" t="s">
        <v>3309</v>
      </c>
      <c r="J750" s="598" t="s">
        <v>3309</v>
      </c>
      <c r="K750" s="598" t="s">
        <v>321</v>
      </c>
      <c r="L750" s="598" t="s">
        <v>321</v>
      </c>
      <c r="M750" s="598" t="s">
        <v>3309</v>
      </c>
      <c r="N750" s="598" t="s">
        <v>3309</v>
      </c>
      <c r="O750" s="598" t="s">
        <v>3309</v>
      </c>
      <c r="P750" s="598" t="s">
        <v>3309</v>
      </c>
      <c r="Q750" s="598" t="s">
        <v>3309</v>
      </c>
      <c r="R750" s="598" t="s">
        <v>321</v>
      </c>
      <c r="S750" s="598" t="s">
        <v>321</v>
      </c>
      <c r="T750" s="598" t="s">
        <v>3309</v>
      </c>
      <c r="U750" s="598" t="s">
        <v>3309</v>
      </c>
      <c r="V750" s="598" t="s">
        <v>3309</v>
      </c>
      <c r="W750" s="598" t="s">
        <v>3309</v>
      </c>
      <c r="X750" s="598" t="s">
        <v>3309</v>
      </c>
      <c r="Y750" s="598" t="s">
        <v>321</v>
      </c>
      <c r="Z750" s="598" t="s">
        <v>321</v>
      </c>
      <c r="AA750" s="598" t="s">
        <v>3309</v>
      </c>
      <c r="AB750" s="598" t="s">
        <v>3309</v>
      </c>
      <c r="AC750" s="598" t="s">
        <v>3309</v>
      </c>
      <c r="AD750" s="598" t="s">
        <v>3309</v>
      </c>
      <c r="AE750" s="598" t="s">
        <v>3309</v>
      </c>
      <c r="AF750" s="598" t="s">
        <v>321</v>
      </c>
      <c r="AG750" s="598" t="s">
        <v>321</v>
      </c>
      <c r="AH750" s="598" t="s">
        <v>3309</v>
      </c>
      <c r="AI750" s="598" t="s">
        <v>321</v>
      </c>
      <c r="AJ750" s="599">
        <v>21</v>
      </c>
      <c r="AK750" s="600">
        <v>21</v>
      </c>
      <c r="AL750" s="601">
        <v>0</v>
      </c>
      <c r="AM750" s="601">
        <v>0</v>
      </c>
      <c r="AN750" s="599">
        <v>21</v>
      </c>
    </row>
    <row r="751" spans="1:40" ht="16.5" customHeight="1">
      <c r="A751" s="598" t="s">
        <v>3337</v>
      </c>
      <c r="B751" s="598" t="s">
        <v>3347</v>
      </c>
      <c r="C751" s="598" t="s">
        <v>2136</v>
      </c>
      <c r="D751" s="598" t="s">
        <v>2137</v>
      </c>
      <c r="E751" s="598" t="s">
        <v>321</v>
      </c>
      <c r="F751" s="598" t="s">
        <v>3309</v>
      </c>
      <c r="G751" s="598" t="s">
        <v>3309</v>
      </c>
      <c r="H751" s="598" t="s">
        <v>3309</v>
      </c>
      <c r="I751" s="598" t="s">
        <v>3312</v>
      </c>
      <c r="J751" s="598" t="s">
        <v>3309</v>
      </c>
      <c r="K751" s="598" t="s">
        <v>321</v>
      </c>
      <c r="L751" s="598" t="s">
        <v>321</v>
      </c>
      <c r="M751" s="598" t="s">
        <v>3309</v>
      </c>
      <c r="N751" s="598" t="s">
        <v>3309</v>
      </c>
      <c r="O751" s="598" t="s">
        <v>3309</v>
      </c>
      <c r="P751" s="598" t="s">
        <v>3309</v>
      </c>
      <c r="Q751" s="598" t="s">
        <v>3309</v>
      </c>
      <c r="R751" s="598" t="s">
        <v>321</v>
      </c>
      <c r="S751" s="598" t="s">
        <v>321</v>
      </c>
      <c r="T751" s="598" t="s">
        <v>3309</v>
      </c>
      <c r="U751" s="598" t="s">
        <v>3309</v>
      </c>
      <c r="V751" s="598" t="s">
        <v>3309</v>
      </c>
      <c r="W751" s="598" t="s">
        <v>3309</v>
      </c>
      <c r="X751" s="598" t="s">
        <v>3309</v>
      </c>
      <c r="Y751" s="598" t="s">
        <v>321</v>
      </c>
      <c r="Z751" s="598" t="s">
        <v>321</v>
      </c>
      <c r="AA751" s="598" t="s">
        <v>3309</v>
      </c>
      <c r="AB751" s="598" t="s">
        <v>3309</v>
      </c>
      <c r="AC751" s="598" t="s">
        <v>3309</v>
      </c>
      <c r="AD751" s="598" t="s">
        <v>3309</v>
      </c>
      <c r="AE751" s="598" t="s">
        <v>3309</v>
      </c>
      <c r="AF751" s="598" t="s">
        <v>321</v>
      </c>
      <c r="AG751" s="598" t="s">
        <v>321</v>
      </c>
      <c r="AH751" s="598" t="s">
        <v>3309</v>
      </c>
      <c r="AI751" s="598" t="s">
        <v>321</v>
      </c>
      <c r="AJ751" s="599">
        <v>21</v>
      </c>
      <c r="AK751" s="600">
        <v>20</v>
      </c>
      <c r="AL751" s="602">
        <v>1</v>
      </c>
      <c r="AM751" s="601">
        <v>0</v>
      </c>
      <c r="AN751" s="599">
        <v>21</v>
      </c>
    </row>
    <row r="752" spans="1:40" ht="16.5" customHeight="1">
      <c r="A752" s="598" t="s">
        <v>3337</v>
      </c>
      <c r="B752" s="598" t="s">
        <v>3347</v>
      </c>
      <c r="C752" s="598" t="s">
        <v>2678</v>
      </c>
      <c r="D752" s="598" t="s">
        <v>2679</v>
      </c>
      <c r="E752" s="598" t="s">
        <v>321</v>
      </c>
      <c r="F752" s="598" t="s">
        <v>3309</v>
      </c>
      <c r="G752" s="598" t="s">
        <v>3309</v>
      </c>
      <c r="H752" s="598" t="s">
        <v>3309</v>
      </c>
      <c r="I752" s="598" t="s">
        <v>3309</v>
      </c>
      <c r="J752" s="598" t="s">
        <v>3309</v>
      </c>
      <c r="K752" s="598" t="s">
        <v>321</v>
      </c>
      <c r="L752" s="598" t="s">
        <v>321</v>
      </c>
      <c r="M752" s="598" t="s">
        <v>3309</v>
      </c>
      <c r="N752" s="598" t="s">
        <v>3309</v>
      </c>
      <c r="O752" s="598" t="s">
        <v>3309</v>
      </c>
      <c r="P752" s="598" t="s">
        <v>3309</v>
      </c>
      <c r="Q752" s="598" t="s">
        <v>3309</v>
      </c>
      <c r="R752" s="598" t="s">
        <v>321</v>
      </c>
      <c r="S752" s="598" t="s">
        <v>321</v>
      </c>
      <c r="T752" s="598" t="s">
        <v>3309</v>
      </c>
      <c r="U752" s="598" t="s">
        <v>3309</v>
      </c>
      <c r="V752" s="598" t="s">
        <v>3309</v>
      </c>
      <c r="W752" s="598" t="s">
        <v>3309</v>
      </c>
      <c r="X752" s="598" t="s">
        <v>3309</v>
      </c>
      <c r="Y752" s="598" t="s">
        <v>321</v>
      </c>
      <c r="Z752" s="598" t="s">
        <v>321</v>
      </c>
      <c r="AA752" s="598" t="s">
        <v>3309</v>
      </c>
      <c r="AB752" s="598" t="s">
        <v>3309</v>
      </c>
      <c r="AC752" s="598" t="s">
        <v>3309</v>
      </c>
      <c r="AD752" s="598" t="s">
        <v>3309</v>
      </c>
      <c r="AE752" s="598" t="s">
        <v>3309</v>
      </c>
      <c r="AF752" s="598" t="s">
        <v>321</v>
      </c>
      <c r="AG752" s="598" t="s">
        <v>321</v>
      </c>
      <c r="AH752" s="598" t="s">
        <v>3309</v>
      </c>
      <c r="AI752" s="598" t="s">
        <v>321</v>
      </c>
      <c r="AJ752" s="599">
        <v>21</v>
      </c>
      <c r="AK752" s="600">
        <v>21</v>
      </c>
      <c r="AL752" s="601">
        <v>0</v>
      </c>
      <c r="AM752" s="601">
        <v>0</v>
      </c>
      <c r="AN752" s="599">
        <v>21</v>
      </c>
    </row>
    <row r="753" spans="1:40" ht="16.5" customHeight="1">
      <c r="A753" s="598" t="s">
        <v>3337</v>
      </c>
      <c r="B753" s="598" t="s">
        <v>3347</v>
      </c>
      <c r="C753" s="598" t="s">
        <v>1850</v>
      </c>
      <c r="D753" s="598" t="s">
        <v>1851</v>
      </c>
      <c r="E753" s="598" t="s">
        <v>321</v>
      </c>
      <c r="F753" s="598" t="s">
        <v>3309</v>
      </c>
      <c r="G753" s="598" t="s">
        <v>3309</v>
      </c>
      <c r="H753" s="598" t="s">
        <v>3309</v>
      </c>
      <c r="I753" s="598" t="s">
        <v>3309</v>
      </c>
      <c r="J753" s="598" t="s">
        <v>3309</v>
      </c>
      <c r="K753" s="598" t="s">
        <v>321</v>
      </c>
      <c r="L753" s="598" t="s">
        <v>321</v>
      </c>
      <c r="M753" s="598" t="s">
        <v>3309</v>
      </c>
      <c r="N753" s="598" t="s">
        <v>3309</v>
      </c>
      <c r="O753" s="598" t="s">
        <v>3309</v>
      </c>
      <c r="P753" s="598" t="s">
        <v>3309</v>
      </c>
      <c r="Q753" s="598" t="s">
        <v>3309</v>
      </c>
      <c r="R753" s="598" t="s">
        <v>321</v>
      </c>
      <c r="S753" s="598" t="s">
        <v>321</v>
      </c>
      <c r="T753" s="598" t="s">
        <v>3309</v>
      </c>
      <c r="U753" s="598" t="s">
        <v>3309</v>
      </c>
      <c r="V753" s="598" t="s">
        <v>3309</v>
      </c>
      <c r="W753" s="598" t="s">
        <v>3309</v>
      </c>
      <c r="X753" s="598" t="s">
        <v>3309</v>
      </c>
      <c r="Y753" s="598" t="s">
        <v>321</v>
      </c>
      <c r="Z753" s="598" t="s">
        <v>321</v>
      </c>
      <c r="AA753" s="598" t="s">
        <v>3309</v>
      </c>
      <c r="AB753" s="598" t="s">
        <v>3309</v>
      </c>
      <c r="AC753" s="598" t="s">
        <v>3309</v>
      </c>
      <c r="AD753" s="598" t="s">
        <v>3309</v>
      </c>
      <c r="AE753" s="598" t="s">
        <v>3313</v>
      </c>
      <c r="AF753" s="598" t="s">
        <v>321</v>
      </c>
      <c r="AG753" s="598" t="s">
        <v>321</v>
      </c>
      <c r="AH753" s="598" t="s">
        <v>3309</v>
      </c>
      <c r="AI753" s="598" t="s">
        <v>321</v>
      </c>
      <c r="AJ753" s="599">
        <v>21</v>
      </c>
      <c r="AK753" s="600">
        <v>21</v>
      </c>
      <c r="AL753" s="601">
        <v>0</v>
      </c>
      <c r="AM753" s="601">
        <v>0</v>
      </c>
      <c r="AN753" s="599">
        <v>21</v>
      </c>
    </row>
    <row r="754" spans="1:40" ht="16.5" customHeight="1">
      <c r="A754" s="598" t="s">
        <v>3337</v>
      </c>
      <c r="B754" s="598" t="s">
        <v>3347</v>
      </c>
      <c r="C754" s="598" t="s">
        <v>2477</v>
      </c>
      <c r="D754" s="598" t="s">
        <v>2478</v>
      </c>
      <c r="E754" s="598" t="s">
        <v>321</v>
      </c>
      <c r="F754" s="598" t="s">
        <v>3309</v>
      </c>
      <c r="G754" s="598" t="s">
        <v>3309</v>
      </c>
      <c r="H754" s="598" t="s">
        <v>3309</v>
      </c>
      <c r="I754" s="598" t="s">
        <v>3309</v>
      </c>
      <c r="J754" s="598" t="s">
        <v>3309</v>
      </c>
      <c r="K754" s="598" t="s">
        <v>321</v>
      </c>
      <c r="L754" s="598" t="s">
        <v>321</v>
      </c>
      <c r="M754" s="598" t="s">
        <v>3309</v>
      </c>
      <c r="N754" s="598" t="s">
        <v>3309</v>
      </c>
      <c r="O754" s="598" t="s">
        <v>3309</v>
      </c>
      <c r="P754" s="598" t="s">
        <v>3309</v>
      </c>
      <c r="Q754" s="598" t="s">
        <v>3309</v>
      </c>
      <c r="R754" s="598" t="s">
        <v>321</v>
      </c>
      <c r="S754" s="598" t="s">
        <v>321</v>
      </c>
      <c r="T754" s="598" t="s">
        <v>3309</v>
      </c>
      <c r="U754" s="598" t="s">
        <v>3309</v>
      </c>
      <c r="V754" s="598" t="s">
        <v>3312</v>
      </c>
      <c r="W754" s="598" t="s">
        <v>3312</v>
      </c>
      <c r="X754" s="598" t="s">
        <v>3309</v>
      </c>
      <c r="Y754" s="598" t="s">
        <v>321</v>
      </c>
      <c r="Z754" s="598" t="s">
        <v>321</v>
      </c>
      <c r="AA754" s="598" t="s">
        <v>3309</v>
      </c>
      <c r="AB754" s="598" t="s">
        <v>3309</v>
      </c>
      <c r="AC754" s="598" t="s">
        <v>3309</v>
      </c>
      <c r="AD754" s="598" t="s">
        <v>3309</v>
      </c>
      <c r="AE754" s="598" t="s">
        <v>3309</v>
      </c>
      <c r="AF754" s="598" t="s">
        <v>321</v>
      </c>
      <c r="AG754" s="598" t="s">
        <v>321</v>
      </c>
      <c r="AH754" s="598" t="s">
        <v>3309</v>
      </c>
      <c r="AI754" s="598" t="s">
        <v>321</v>
      </c>
      <c r="AJ754" s="599">
        <v>21</v>
      </c>
      <c r="AK754" s="600">
        <v>19</v>
      </c>
      <c r="AL754" s="602">
        <v>2</v>
      </c>
      <c r="AM754" s="601">
        <v>0</v>
      </c>
      <c r="AN754" s="599">
        <v>21</v>
      </c>
    </row>
    <row r="755" spans="1:40" ht="16.5" customHeight="1">
      <c r="A755" s="598" t="s">
        <v>3337</v>
      </c>
      <c r="B755" s="598" t="s">
        <v>3347</v>
      </c>
      <c r="C755" s="598" t="s">
        <v>1514</v>
      </c>
      <c r="D755" s="598" t="s">
        <v>1515</v>
      </c>
      <c r="E755" s="598" t="s">
        <v>321</v>
      </c>
      <c r="F755" s="598" t="s">
        <v>3309</v>
      </c>
      <c r="G755" s="598" t="s">
        <v>3309</v>
      </c>
      <c r="H755" s="598" t="s">
        <v>3309</v>
      </c>
      <c r="I755" s="598" t="s">
        <v>3309</v>
      </c>
      <c r="J755" s="598" t="s">
        <v>3309</v>
      </c>
      <c r="K755" s="598" t="s">
        <v>321</v>
      </c>
      <c r="L755" s="598" t="s">
        <v>321</v>
      </c>
      <c r="M755" s="598" t="s">
        <v>3309</v>
      </c>
      <c r="N755" s="598" t="s">
        <v>3309</v>
      </c>
      <c r="O755" s="598" t="s">
        <v>3309</v>
      </c>
      <c r="P755" s="598" t="s">
        <v>3309</v>
      </c>
      <c r="Q755" s="598" t="s">
        <v>3309</v>
      </c>
      <c r="R755" s="598" t="s">
        <v>321</v>
      </c>
      <c r="S755" s="598" t="s">
        <v>321</v>
      </c>
      <c r="T755" s="598" t="s">
        <v>3309</v>
      </c>
      <c r="U755" s="598" t="s">
        <v>3309</v>
      </c>
      <c r="V755" s="598" t="s">
        <v>3313</v>
      </c>
      <c r="W755" s="598" t="s">
        <v>3313</v>
      </c>
      <c r="X755" s="598" t="s">
        <v>3313</v>
      </c>
      <c r="Y755" s="598" t="s">
        <v>321</v>
      </c>
      <c r="Z755" s="598" t="s">
        <v>321</v>
      </c>
      <c r="AA755" s="598" t="s">
        <v>3309</v>
      </c>
      <c r="AB755" s="598" t="s">
        <v>3309</v>
      </c>
      <c r="AC755" s="598" t="s">
        <v>3309</v>
      </c>
      <c r="AD755" s="598" t="s">
        <v>3309</v>
      </c>
      <c r="AE755" s="598" t="s">
        <v>3309</v>
      </c>
      <c r="AF755" s="598" t="s">
        <v>321</v>
      </c>
      <c r="AG755" s="598" t="s">
        <v>321</v>
      </c>
      <c r="AH755" s="598" t="s">
        <v>3309</v>
      </c>
      <c r="AI755" s="598" t="s">
        <v>321</v>
      </c>
      <c r="AJ755" s="599">
        <v>21</v>
      </c>
      <c r="AK755" s="600">
        <v>21</v>
      </c>
      <c r="AL755" s="601">
        <v>0</v>
      </c>
      <c r="AM755" s="601">
        <v>0</v>
      </c>
      <c r="AN755" s="599">
        <v>21</v>
      </c>
    </row>
    <row r="756" spans="1:40" ht="16.5" customHeight="1">
      <c r="A756" s="598" t="s">
        <v>3337</v>
      </c>
      <c r="B756" s="598" t="s">
        <v>3347</v>
      </c>
      <c r="C756" s="598" t="s">
        <v>2857</v>
      </c>
      <c r="D756" s="598" t="s">
        <v>2858</v>
      </c>
      <c r="E756" s="598" t="s">
        <v>321</v>
      </c>
      <c r="F756" s="598" t="s">
        <v>3309</v>
      </c>
      <c r="G756" s="598" t="s">
        <v>3309</v>
      </c>
      <c r="H756" s="598" t="s">
        <v>3309</v>
      </c>
      <c r="I756" s="598" t="s">
        <v>3309</v>
      </c>
      <c r="J756" s="598" t="s">
        <v>3309</v>
      </c>
      <c r="K756" s="598" t="s">
        <v>321</v>
      </c>
      <c r="L756" s="598" t="s">
        <v>321</v>
      </c>
      <c r="M756" s="598" t="s">
        <v>3309</v>
      </c>
      <c r="N756" s="598" t="s">
        <v>3309</v>
      </c>
      <c r="O756" s="598" t="s">
        <v>3309</v>
      </c>
      <c r="P756" s="598" t="s">
        <v>3309</v>
      </c>
      <c r="Q756" s="598" t="s">
        <v>3309</v>
      </c>
      <c r="R756" s="598" t="s">
        <v>321</v>
      </c>
      <c r="S756" s="598" t="s">
        <v>321</v>
      </c>
      <c r="T756" s="598" t="s">
        <v>3309</v>
      </c>
      <c r="U756" s="598" t="s">
        <v>3309</v>
      </c>
      <c r="V756" s="598" t="s">
        <v>3309</v>
      </c>
      <c r="W756" s="598" t="s">
        <v>3309</v>
      </c>
      <c r="X756" s="598" t="s">
        <v>3309</v>
      </c>
      <c r="Y756" s="598" t="s">
        <v>321</v>
      </c>
      <c r="Z756" s="598" t="s">
        <v>321</v>
      </c>
      <c r="AA756" s="598" t="s">
        <v>3309</v>
      </c>
      <c r="AB756" s="598" t="s">
        <v>3309</v>
      </c>
      <c r="AC756" s="598" t="s">
        <v>3309</v>
      </c>
      <c r="AD756" s="598" t="s">
        <v>3309</v>
      </c>
      <c r="AE756" s="598" t="s">
        <v>3309</v>
      </c>
      <c r="AF756" s="598" t="s">
        <v>321</v>
      </c>
      <c r="AG756" s="598" t="s">
        <v>321</v>
      </c>
      <c r="AH756" s="598" t="s">
        <v>3309</v>
      </c>
      <c r="AI756" s="598" t="s">
        <v>321</v>
      </c>
      <c r="AJ756" s="599">
        <v>21</v>
      </c>
      <c r="AK756" s="600">
        <v>21</v>
      </c>
      <c r="AL756" s="601">
        <v>0</v>
      </c>
      <c r="AM756" s="601">
        <v>0</v>
      </c>
      <c r="AN756" s="599">
        <v>21</v>
      </c>
    </row>
    <row r="757" spans="1:40" ht="16.5" customHeight="1">
      <c r="A757" s="598" t="s">
        <v>3337</v>
      </c>
      <c r="B757" s="598" t="s">
        <v>3347</v>
      </c>
      <c r="C757" s="598" t="s">
        <v>2410</v>
      </c>
      <c r="D757" s="598" t="s">
        <v>2411</v>
      </c>
      <c r="E757" s="598" t="s">
        <v>321</v>
      </c>
      <c r="F757" s="598" t="s">
        <v>3309</v>
      </c>
      <c r="G757" s="598" t="s">
        <v>3309</v>
      </c>
      <c r="H757" s="598" t="s">
        <v>3309</v>
      </c>
      <c r="I757" s="598" t="s">
        <v>3309</v>
      </c>
      <c r="J757" s="598" t="s">
        <v>3309</v>
      </c>
      <c r="K757" s="598" t="s">
        <v>321</v>
      </c>
      <c r="L757" s="598" t="s">
        <v>321</v>
      </c>
      <c r="M757" s="598" t="s">
        <v>3309</v>
      </c>
      <c r="N757" s="598" t="s">
        <v>3309</v>
      </c>
      <c r="O757" s="598" t="s">
        <v>3309</v>
      </c>
      <c r="P757" s="598" t="s">
        <v>3309</v>
      </c>
      <c r="Q757" s="598" t="s">
        <v>3309</v>
      </c>
      <c r="R757" s="598" t="s">
        <v>321</v>
      </c>
      <c r="S757" s="598" t="s">
        <v>321</v>
      </c>
      <c r="T757" s="598" t="s">
        <v>3309</v>
      </c>
      <c r="U757" s="598" t="s">
        <v>3309</v>
      </c>
      <c r="V757" s="598" t="s">
        <v>3309</v>
      </c>
      <c r="W757" s="598" t="s">
        <v>3309</v>
      </c>
      <c r="X757" s="598" t="s">
        <v>3309</v>
      </c>
      <c r="Y757" s="598" t="s">
        <v>321</v>
      </c>
      <c r="Z757" s="598" t="s">
        <v>321</v>
      </c>
      <c r="AA757" s="598" t="s">
        <v>3309</v>
      </c>
      <c r="AB757" s="598" t="s">
        <v>3309</v>
      </c>
      <c r="AC757" s="598" t="s">
        <v>3309</v>
      </c>
      <c r="AD757" s="598" t="s">
        <v>3309</v>
      </c>
      <c r="AE757" s="598" t="s">
        <v>3309</v>
      </c>
      <c r="AF757" s="598" t="s">
        <v>321</v>
      </c>
      <c r="AG757" s="598" t="s">
        <v>321</v>
      </c>
      <c r="AH757" s="598" t="s">
        <v>3309</v>
      </c>
      <c r="AI757" s="598" t="s">
        <v>321</v>
      </c>
      <c r="AJ757" s="599">
        <v>21</v>
      </c>
      <c r="AK757" s="600">
        <v>21</v>
      </c>
      <c r="AL757" s="601">
        <v>0</v>
      </c>
      <c r="AM757" s="601">
        <v>0</v>
      </c>
      <c r="AN757" s="599">
        <v>21</v>
      </c>
    </row>
    <row r="758" spans="1:40" ht="16.5" customHeight="1">
      <c r="A758" s="598" t="s">
        <v>3337</v>
      </c>
      <c r="B758" s="598" t="s">
        <v>3347</v>
      </c>
      <c r="C758" s="598" t="s">
        <v>1245</v>
      </c>
      <c r="D758" s="598" t="s">
        <v>1246</v>
      </c>
      <c r="E758" s="598" t="s">
        <v>321</v>
      </c>
      <c r="F758" s="598" t="s">
        <v>3309</v>
      </c>
      <c r="G758" s="598" t="s">
        <v>3309</v>
      </c>
      <c r="H758" s="598" t="s">
        <v>3309</v>
      </c>
      <c r="I758" s="598" t="s">
        <v>3309</v>
      </c>
      <c r="J758" s="598" t="s">
        <v>3309</v>
      </c>
      <c r="K758" s="598" t="s">
        <v>321</v>
      </c>
      <c r="L758" s="598" t="s">
        <v>321</v>
      </c>
      <c r="M758" s="598" t="s">
        <v>3309</v>
      </c>
      <c r="N758" s="598" t="s">
        <v>3309</v>
      </c>
      <c r="O758" s="598" t="s">
        <v>3309</v>
      </c>
      <c r="P758" s="598" t="s">
        <v>3309</v>
      </c>
      <c r="Q758" s="598" t="s">
        <v>3309</v>
      </c>
      <c r="R758" s="598" t="s">
        <v>321</v>
      </c>
      <c r="S758" s="598" t="s">
        <v>321</v>
      </c>
      <c r="T758" s="598" t="s">
        <v>3309</v>
      </c>
      <c r="U758" s="598" t="s">
        <v>3309</v>
      </c>
      <c r="V758" s="598" t="s">
        <v>3309</v>
      </c>
      <c r="W758" s="598" t="s">
        <v>3309</v>
      </c>
      <c r="X758" s="598" t="s">
        <v>3309</v>
      </c>
      <c r="Y758" s="598" t="s">
        <v>321</v>
      </c>
      <c r="Z758" s="598" t="s">
        <v>321</v>
      </c>
      <c r="AA758" s="598" t="s">
        <v>3309</v>
      </c>
      <c r="AB758" s="598" t="s">
        <v>3309</v>
      </c>
      <c r="AC758" s="598" t="s">
        <v>3309</v>
      </c>
      <c r="AD758" s="598" t="s">
        <v>3309</v>
      </c>
      <c r="AE758" s="598" t="s">
        <v>3309</v>
      </c>
      <c r="AF758" s="598" t="s">
        <v>321</v>
      </c>
      <c r="AG758" s="598" t="s">
        <v>321</v>
      </c>
      <c r="AH758" s="598" t="s">
        <v>3309</v>
      </c>
      <c r="AI758" s="598" t="s">
        <v>321</v>
      </c>
      <c r="AJ758" s="599">
        <v>21</v>
      </c>
      <c r="AK758" s="600">
        <v>21</v>
      </c>
      <c r="AL758" s="601">
        <v>0</v>
      </c>
      <c r="AM758" s="601">
        <v>0</v>
      </c>
      <c r="AN758" s="599">
        <v>21</v>
      </c>
    </row>
    <row r="759" spans="1:40" ht="16.5" customHeight="1">
      <c r="A759" s="598" t="s">
        <v>3337</v>
      </c>
      <c r="B759" s="598" t="s">
        <v>3347</v>
      </c>
      <c r="C759" s="598" t="s">
        <v>713</v>
      </c>
      <c r="D759" s="598" t="s">
        <v>714</v>
      </c>
      <c r="E759" s="598" t="s">
        <v>321</v>
      </c>
      <c r="F759" s="598" t="s">
        <v>3309</v>
      </c>
      <c r="G759" s="598" t="s">
        <v>3309</v>
      </c>
      <c r="H759" s="598" t="s">
        <v>3309</v>
      </c>
      <c r="I759" s="598" t="s">
        <v>3309</v>
      </c>
      <c r="J759" s="598" t="s">
        <v>3309</v>
      </c>
      <c r="K759" s="598" t="s">
        <v>321</v>
      </c>
      <c r="L759" s="598" t="s">
        <v>321</v>
      </c>
      <c r="M759" s="598" t="s">
        <v>3309</v>
      </c>
      <c r="N759" s="598" t="s">
        <v>3309</v>
      </c>
      <c r="O759" s="598" t="s">
        <v>3309</v>
      </c>
      <c r="P759" s="598" t="s">
        <v>3309</v>
      </c>
      <c r="Q759" s="598" t="s">
        <v>3309</v>
      </c>
      <c r="R759" s="598" t="s">
        <v>321</v>
      </c>
      <c r="S759" s="598" t="s">
        <v>321</v>
      </c>
      <c r="T759" s="598" t="s">
        <v>3309</v>
      </c>
      <c r="U759" s="598" t="s">
        <v>3309</v>
      </c>
      <c r="V759" s="598" t="s">
        <v>3309</v>
      </c>
      <c r="W759" s="598" t="s">
        <v>3309</v>
      </c>
      <c r="X759" s="598" t="s">
        <v>3309</v>
      </c>
      <c r="Y759" s="598" t="s">
        <v>321</v>
      </c>
      <c r="Z759" s="598" t="s">
        <v>321</v>
      </c>
      <c r="AA759" s="598" t="s">
        <v>3309</v>
      </c>
      <c r="AB759" s="598" t="s">
        <v>3309</v>
      </c>
      <c r="AC759" s="598" t="s">
        <v>3309</v>
      </c>
      <c r="AD759" s="598" t="s">
        <v>3309</v>
      </c>
      <c r="AE759" s="598" t="s">
        <v>3309</v>
      </c>
      <c r="AF759" s="598" t="s">
        <v>321</v>
      </c>
      <c r="AG759" s="598" t="s">
        <v>321</v>
      </c>
      <c r="AH759" s="598" t="s">
        <v>3309</v>
      </c>
      <c r="AI759" s="598" t="s">
        <v>321</v>
      </c>
      <c r="AJ759" s="599">
        <v>21</v>
      </c>
      <c r="AK759" s="600">
        <v>21</v>
      </c>
      <c r="AL759" s="601">
        <v>0</v>
      </c>
      <c r="AM759" s="601">
        <v>0</v>
      </c>
      <c r="AN759" s="599">
        <v>21</v>
      </c>
    </row>
    <row r="760" spans="1:40" ht="16.5" customHeight="1">
      <c r="A760" s="598" t="s">
        <v>3337</v>
      </c>
      <c r="B760" s="598" t="s">
        <v>3347</v>
      </c>
      <c r="C760" s="598" t="s">
        <v>2308</v>
      </c>
      <c r="D760" s="598" t="s">
        <v>2309</v>
      </c>
      <c r="E760" s="598" t="s">
        <v>321</v>
      </c>
      <c r="F760" s="598" t="s">
        <v>3309</v>
      </c>
      <c r="G760" s="598" t="s">
        <v>3309</v>
      </c>
      <c r="H760" s="598" t="s">
        <v>3309</v>
      </c>
      <c r="I760" s="598" t="s">
        <v>3309</v>
      </c>
      <c r="J760" s="598" t="s">
        <v>3309</v>
      </c>
      <c r="K760" s="598" t="s">
        <v>321</v>
      </c>
      <c r="L760" s="598" t="s">
        <v>321</v>
      </c>
      <c r="M760" s="598" t="s">
        <v>3309</v>
      </c>
      <c r="N760" s="598" t="s">
        <v>3309</v>
      </c>
      <c r="O760" s="598" t="s">
        <v>3309</v>
      </c>
      <c r="P760" s="598" t="s">
        <v>3309</v>
      </c>
      <c r="Q760" s="598" t="s">
        <v>3309</v>
      </c>
      <c r="R760" s="598" t="s">
        <v>321</v>
      </c>
      <c r="S760" s="598" t="s">
        <v>321</v>
      </c>
      <c r="T760" s="598" t="s">
        <v>3309</v>
      </c>
      <c r="U760" s="598" t="s">
        <v>3309</v>
      </c>
      <c r="V760" s="598" t="s">
        <v>3309</v>
      </c>
      <c r="W760" s="598" t="s">
        <v>3309</v>
      </c>
      <c r="X760" s="598" t="s">
        <v>3309</v>
      </c>
      <c r="Y760" s="598" t="s">
        <v>321</v>
      </c>
      <c r="Z760" s="598" t="s">
        <v>321</v>
      </c>
      <c r="AA760" s="598" t="s">
        <v>3309</v>
      </c>
      <c r="AB760" s="598" t="s">
        <v>3309</v>
      </c>
      <c r="AC760" s="598" t="s">
        <v>3309</v>
      </c>
      <c r="AD760" s="598" t="s">
        <v>3309</v>
      </c>
      <c r="AE760" s="598" t="s">
        <v>3309</v>
      </c>
      <c r="AF760" s="598" t="s">
        <v>321</v>
      </c>
      <c r="AG760" s="598" t="s">
        <v>321</v>
      </c>
      <c r="AH760" s="598" t="s">
        <v>3309</v>
      </c>
      <c r="AI760" s="598" t="s">
        <v>321</v>
      </c>
      <c r="AJ760" s="599">
        <v>21</v>
      </c>
      <c r="AK760" s="600">
        <v>21</v>
      </c>
      <c r="AL760" s="601">
        <v>0</v>
      </c>
      <c r="AM760" s="601">
        <v>0</v>
      </c>
      <c r="AN760" s="599">
        <v>21</v>
      </c>
    </row>
    <row r="761" spans="1:40" ht="16.5" customHeight="1">
      <c r="A761" s="598" t="s">
        <v>3337</v>
      </c>
      <c r="B761" s="598" t="s">
        <v>3347</v>
      </c>
      <c r="C761" s="598" t="s">
        <v>2848</v>
      </c>
      <c r="D761" s="598" t="s">
        <v>2849</v>
      </c>
      <c r="E761" s="598" t="s">
        <v>321</v>
      </c>
      <c r="F761" s="598" t="s">
        <v>3309</v>
      </c>
      <c r="G761" s="598" t="s">
        <v>3309</v>
      </c>
      <c r="H761" s="598" t="s">
        <v>3309</v>
      </c>
      <c r="I761" s="598" t="s">
        <v>3309</v>
      </c>
      <c r="J761" s="598" t="s">
        <v>3309</v>
      </c>
      <c r="K761" s="598" t="s">
        <v>321</v>
      </c>
      <c r="L761" s="598" t="s">
        <v>321</v>
      </c>
      <c r="M761" s="598" t="s">
        <v>3309</v>
      </c>
      <c r="N761" s="598" t="s">
        <v>3309</v>
      </c>
      <c r="O761" s="598" t="s">
        <v>3309</v>
      </c>
      <c r="P761" s="598" t="s">
        <v>3309</v>
      </c>
      <c r="Q761" s="598" t="s">
        <v>3309</v>
      </c>
      <c r="R761" s="598" t="s">
        <v>321</v>
      </c>
      <c r="S761" s="598" t="s">
        <v>321</v>
      </c>
      <c r="T761" s="598" t="s">
        <v>3309</v>
      </c>
      <c r="U761" s="598" t="s">
        <v>3309</v>
      </c>
      <c r="V761" s="598" t="s">
        <v>3309</v>
      </c>
      <c r="W761" s="598" t="s">
        <v>3309</v>
      </c>
      <c r="X761" s="598" t="s">
        <v>3309</v>
      </c>
      <c r="Y761" s="598" t="s">
        <v>321</v>
      </c>
      <c r="Z761" s="598" t="s">
        <v>321</v>
      </c>
      <c r="AA761" s="598" t="s">
        <v>3309</v>
      </c>
      <c r="AB761" s="598" t="s">
        <v>3309</v>
      </c>
      <c r="AC761" s="598" t="s">
        <v>3309</v>
      </c>
      <c r="AD761" s="598" t="s">
        <v>3309</v>
      </c>
      <c r="AE761" s="598" t="s">
        <v>3309</v>
      </c>
      <c r="AF761" s="598" t="s">
        <v>321</v>
      </c>
      <c r="AG761" s="598" t="s">
        <v>321</v>
      </c>
      <c r="AH761" s="598" t="s">
        <v>3309</v>
      </c>
      <c r="AI761" s="598" t="s">
        <v>321</v>
      </c>
      <c r="AJ761" s="599">
        <v>21</v>
      </c>
      <c r="AK761" s="600">
        <v>21</v>
      </c>
      <c r="AL761" s="601">
        <v>0</v>
      </c>
      <c r="AM761" s="601">
        <v>0</v>
      </c>
      <c r="AN761" s="599">
        <v>21</v>
      </c>
    </row>
    <row r="762" spans="1:40" ht="16.5" customHeight="1">
      <c r="A762" s="598" t="s">
        <v>3337</v>
      </c>
      <c r="B762" s="598" t="s">
        <v>3347</v>
      </c>
      <c r="C762" s="598" t="s">
        <v>1113</v>
      </c>
      <c r="D762" s="598" t="s">
        <v>1114</v>
      </c>
      <c r="E762" s="598" t="s">
        <v>321</v>
      </c>
      <c r="F762" s="598" t="s">
        <v>3309</v>
      </c>
      <c r="G762" s="598" t="s">
        <v>3309</v>
      </c>
      <c r="H762" s="598" t="s">
        <v>3309</v>
      </c>
      <c r="I762" s="598" t="s">
        <v>3309</v>
      </c>
      <c r="J762" s="598" t="s">
        <v>3309</v>
      </c>
      <c r="K762" s="598" t="s">
        <v>321</v>
      </c>
      <c r="L762" s="598" t="s">
        <v>321</v>
      </c>
      <c r="M762" s="598" t="s">
        <v>3309</v>
      </c>
      <c r="N762" s="598" t="s">
        <v>3309</v>
      </c>
      <c r="O762" s="598" t="s">
        <v>3309</v>
      </c>
      <c r="P762" s="598" t="s">
        <v>3309</v>
      </c>
      <c r="Q762" s="598" t="s">
        <v>3309</v>
      </c>
      <c r="R762" s="598" t="s">
        <v>321</v>
      </c>
      <c r="S762" s="598" t="s">
        <v>321</v>
      </c>
      <c r="T762" s="598" t="s">
        <v>3309</v>
      </c>
      <c r="U762" s="598" t="s">
        <v>3309</v>
      </c>
      <c r="V762" s="598" t="s">
        <v>3309</v>
      </c>
      <c r="W762" s="598" t="s">
        <v>3309</v>
      </c>
      <c r="X762" s="598" t="s">
        <v>3309</v>
      </c>
      <c r="Y762" s="598" t="s">
        <v>321</v>
      </c>
      <c r="Z762" s="598" t="s">
        <v>321</v>
      </c>
      <c r="AA762" s="598" t="s">
        <v>3309</v>
      </c>
      <c r="AB762" s="598" t="s">
        <v>3309</v>
      </c>
      <c r="AC762" s="598" t="s">
        <v>3309</v>
      </c>
      <c r="AD762" s="598" t="s">
        <v>3309</v>
      </c>
      <c r="AE762" s="598" t="s">
        <v>3309</v>
      </c>
      <c r="AF762" s="598" t="s">
        <v>321</v>
      </c>
      <c r="AG762" s="598" t="s">
        <v>321</v>
      </c>
      <c r="AH762" s="598" t="s">
        <v>3309</v>
      </c>
      <c r="AI762" s="598" t="s">
        <v>321</v>
      </c>
      <c r="AJ762" s="599">
        <v>21</v>
      </c>
      <c r="AK762" s="600">
        <v>21</v>
      </c>
      <c r="AL762" s="601">
        <v>0</v>
      </c>
      <c r="AM762" s="601">
        <v>0</v>
      </c>
      <c r="AN762" s="599">
        <v>21</v>
      </c>
    </row>
    <row r="763" spans="1:40" ht="16.5" customHeight="1">
      <c r="A763" s="598" t="s">
        <v>3337</v>
      </c>
      <c r="B763" s="598" t="s">
        <v>3347</v>
      </c>
      <c r="C763" s="598" t="s">
        <v>1566</v>
      </c>
      <c r="D763" s="598" t="s">
        <v>1567</v>
      </c>
      <c r="E763" s="598" t="s">
        <v>321</v>
      </c>
      <c r="F763" s="598" t="s">
        <v>3309</v>
      </c>
      <c r="G763" s="598" t="s">
        <v>3309</v>
      </c>
      <c r="H763" s="598" t="s">
        <v>3309</v>
      </c>
      <c r="I763" s="598" t="s">
        <v>3309</v>
      </c>
      <c r="J763" s="598" t="s">
        <v>3309</v>
      </c>
      <c r="K763" s="598" t="s">
        <v>321</v>
      </c>
      <c r="L763" s="598" t="s">
        <v>321</v>
      </c>
      <c r="M763" s="598" t="s">
        <v>3309</v>
      </c>
      <c r="N763" s="598" t="s">
        <v>3309</v>
      </c>
      <c r="O763" s="598" t="s">
        <v>3309</v>
      </c>
      <c r="P763" s="598" t="s">
        <v>3309</v>
      </c>
      <c r="Q763" s="598" t="s">
        <v>3309</v>
      </c>
      <c r="R763" s="598" t="s">
        <v>321</v>
      </c>
      <c r="S763" s="598" t="s">
        <v>321</v>
      </c>
      <c r="T763" s="598" t="s">
        <v>3309</v>
      </c>
      <c r="U763" s="598" t="s">
        <v>3309</v>
      </c>
      <c r="V763" s="598" t="s">
        <v>3309</v>
      </c>
      <c r="W763" s="598" t="s">
        <v>3309</v>
      </c>
      <c r="X763" s="598" t="s">
        <v>3309</v>
      </c>
      <c r="Y763" s="598" t="s">
        <v>321</v>
      </c>
      <c r="Z763" s="598" t="s">
        <v>321</v>
      </c>
      <c r="AA763" s="598" t="s">
        <v>3309</v>
      </c>
      <c r="AB763" s="598" t="s">
        <v>3309</v>
      </c>
      <c r="AC763" s="598" t="s">
        <v>3309</v>
      </c>
      <c r="AD763" s="598" t="s">
        <v>3309</v>
      </c>
      <c r="AE763" s="598" t="s">
        <v>3309</v>
      </c>
      <c r="AF763" s="598" t="s">
        <v>321</v>
      </c>
      <c r="AG763" s="598" t="s">
        <v>321</v>
      </c>
      <c r="AH763" s="598" t="s">
        <v>3309</v>
      </c>
      <c r="AI763" s="598" t="s">
        <v>321</v>
      </c>
      <c r="AJ763" s="599">
        <v>21</v>
      </c>
      <c r="AK763" s="600">
        <v>21</v>
      </c>
      <c r="AL763" s="601">
        <v>0</v>
      </c>
      <c r="AM763" s="601">
        <v>0</v>
      </c>
      <c r="AN763" s="599">
        <v>21</v>
      </c>
    </row>
    <row r="764" spans="1:40" ht="16.5" customHeight="1">
      <c r="A764" s="598" t="s">
        <v>3337</v>
      </c>
      <c r="B764" s="598" t="s">
        <v>3347</v>
      </c>
      <c r="C764" s="598" t="s">
        <v>1013</v>
      </c>
      <c r="D764" s="598" t="s">
        <v>1014</v>
      </c>
      <c r="E764" s="598" t="s">
        <v>321</v>
      </c>
      <c r="F764" s="598" t="s">
        <v>3309</v>
      </c>
      <c r="G764" s="598" t="s">
        <v>3309</v>
      </c>
      <c r="H764" s="598" t="s">
        <v>3309</v>
      </c>
      <c r="I764" s="598" t="s">
        <v>3309</v>
      </c>
      <c r="J764" s="598" t="s">
        <v>3309</v>
      </c>
      <c r="K764" s="598" t="s">
        <v>321</v>
      </c>
      <c r="L764" s="598" t="s">
        <v>321</v>
      </c>
      <c r="M764" s="598" t="s">
        <v>3309</v>
      </c>
      <c r="N764" s="598" t="s">
        <v>3309</v>
      </c>
      <c r="O764" s="598" t="s">
        <v>3314</v>
      </c>
      <c r="P764" s="598" t="s">
        <v>3309</v>
      </c>
      <c r="Q764" s="598" t="s">
        <v>3309</v>
      </c>
      <c r="R764" s="598" t="s">
        <v>321</v>
      </c>
      <c r="S764" s="598" t="s">
        <v>321</v>
      </c>
      <c r="T764" s="598" t="s">
        <v>3312</v>
      </c>
      <c r="U764" s="598" t="s">
        <v>3309</v>
      </c>
      <c r="V764" s="598" t="s">
        <v>3309</v>
      </c>
      <c r="W764" s="598" t="s">
        <v>3309</v>
      </c>
      <c r="X764" s="598" t="s">
        <v>3309</v>
      </c>
      <c r="Y764" s="598" t="s">
        <v>321</v>
      </c>
      <c r="Z764" s="598" t="s">
        <v>321</v>
      </c>
      <c r="AA764" s="598" t="s">
        <v>3309</v>
      </c>
      <c r="AB764" s="598" t="s">
        <v>3309</v>
      </c>
      <c r="AC764" s="598" t="s">
        <v>3309</v>
      </c>
      <c r="AD764" s="598" t="s">
        <v>3309</v>
      </c>
      <c r="AE764" s="598" t="s">
        <v>3309</v>
      </c>
      <c r="AF764" s="598" t="s">
        <v>321</v>
      </c>
      <c r="AG764" s="598" t="s">
        <v>321</v>
      </c>
      <c r="AH764" s="598" t="s">
        <v>3309</v>
      </c>
      <c r="AI764" s="598" t="s">
        <v>321</v>
      </c>
      <c r="AJ764" s="599">
        <v>21</v>
      </c>
      <c r="AK764" s="603">
        <v>19.5</v>
      </c>
      <c r="AL764" s="603">
        <v>1.5</v>
      </c>
      <c r="AM764" s="601">
        <v>0</v>
      </c>
      <c r="AN764" s="599">
        <v>21</v>
      </c>
    </row>
    <row r="765" spans="1:40" ht="16.5" customHeight="1">
      <c r="A765" s="598" t="s">
        <v>3337</v>
      </c>
      <c r="B765" s="598" t="s">
        <v>3347</v>
      </c>
      <c r="C765" s="598" t="s">
        <v>1527</v>
      </c>
      <c r="D765" s="598" t="s">
        <v>1528</v>
      </c>
      <c r="E765" s="598" t="s">
        <v>321</v>
      </c>
      <c r="F765" s="598" t="s">
        <v>3309</v>
      </c>
      <c r="G765" s="598" t="s">
        <v>3309</v>
      </c>
      <c r="H765" s="598" t="s">
        <v>3309</v>
      </c>
      <c r="I765" s="598" t="s">
        <v>3309</v>
      </c>
      <c r="J765" s="598" t="s">
        <v>3309</v>
      </c>
      <c r="K765" s="598" t="s">
        <v>321</v>
      </c>
      <c r="L765" s="598" t="s">
        <v>321</v>
      </c>
      <c r="M765" s="598" t="s">
        <v>3309</v>
      </c>
      <c r="N765" s="598" t="s">
        <v>3309</v>
      </c>
      <c r="O765" s="598" t="s">
        <v>3309</v>
      </c>
      <c r="P765" s="598" t="s">
        <v>3309</v>
      </c>
      <c r="Q765" s="598" t="s">
        <v>3309</v>
      </c>
      <c r="R765" s="598" t="s">
        <v>321</v>
      </c>
      <c r="S765" s="598" t="s">
        <v>321</v>
      </c>
      <c r="T765" s="598" t="s">
        <v>3309</v>
      </c>
      <c r="U765" s="598" t="s">
        <v>3309</v>
      </c>
      <c r="V765" s="598" t="s">
        <v>3309</v>
      </c>
      <c r="W765" s="598" t="s">
        <v>3309</v>
      </c>
      <c r="X765" s="598" t="s">
        <v>3312</v>
      </c>
      <c r="Y765" s="598" t="s">
        <v>321</v>
      </c>
      <c r="Z765" s="598" t="s">
        <v>321</v>
      </c>
      <c r="AA765" s="598" t="s">
        <v>3309</v>
      </c>
      <c r="AB765" s="598" t="s">
        <v>3309</v>
      </c>
      <c r="AC765" s="598" t="s">
        <v>3309</v>
      </c>
      <c r="AD765" s="598" t="s">
        <v>3309</v>
      </c>
      <c r="AE765" s="598" t="s">
        <v>3309</v>
      </c>
      <c r="AF765" s="598" t="s">
        <v>321</v>
      </c>
      <c r="AG765" s="598" t="s">
        <v>321</v>
      </c>
      <c r="AH765" s="598" t="s">
        <v>3309</v>
      </c>
      <c r="AI765" s="598" t="s">
        <v>321</v>
      </c>
      <c r="AJ765" s="599">
        <v>21</v>
      </c>
      <c r="AK765" s="600">
        <v>20</v>
      </c>
      <c r="AL765" s="602">
        <v>1</v>
      </c>
      <c r="AM765" s="601">
        <v>0</v>
      </c>
      <c r="AN765" s="599">
        <v>21</v>
      </c>
    </row>
    <row r="766" spans="1:40" ht="16.5" customHeight="1">
      <c r="A766" s="598" t="s">
        <v>3337</v>
      </c>
      <c r="B766" s="598" t="s">
        <v>3347</v>
      </c>
      <c r="C766" s="598" t="s">
        <v>2910</v>
      </c>
      <c r="D766" s="598" t="s">
        <v>946</v>
      </c>
      <c r="E766" s="598" t="s">
        <v>321</v>
      </c>
      <c r="F766" s="598" t="s">
        <v>3309</v>
      </c>
      <c r="G766" s="598" t="s">
        <v>3309</v>
      </c>
      <c r="H766" s="598" t="s">
        <v>3309</v>
      </c>
      <c r="I766" s="598" t="s">
        <v>3309</v>
      </c>
      <c r="J766" s="598" t="s">
        <v>3309</v>
      </c>
      <c r="K766" s="598" t="s">
        <v>321</v>
      </c>
      <c r="L766" s="598" t="s">
        <v>321</v>
      </c>
      <c r="M766" s="598" t="s">
        <v>3309</v>
      </c>
      <c r="N766" s="598" t="s">
        <v>3309</v>
      </c>
      <c r="O766" s="598" t="s">
        <v>3309</v>
      </c>
      <c r="P766" s="598" t="s">
        <v>3309</v>
      </c>
      <c r="Q766" s="598" t="s">
        <v>3309</v>
      </c>
      <c r="R766" s="598" t="s">
        <v>321</v>
      </c>
      <c r="S766" s="598" t="s">
        <v>321</v>
      </c>
      <c r="T766" s="598" t="s">
        <v>3309</v>
      </c>
      <c r="U766" s="598" t="s">
        <v>3309</v>
      </c>
      <c r="V766" s="598" t="s">
        <v>3309</v>
      </c>
      <c r="W766" s="598" t="s">
        <v>3309</v>
      </c>
      <c r="X766" s="598" t="s">
        <v>3309</v>
      </c>
      <c r="Y766" s="598" t="s">
        <v>321</v>
      </c>
      <c r="Z766" s="598" t="s">
        <v>321</v>
      </c>
      <c r="AA766" s="598" t="s">
        <v>3309</v>
      </c>
      <c r="AB766" s="598" t="s">
        <v>3309</v>
      </c>
      <c r="AC766" s="598" t="s">
        <v>3309</v>
      </c>
      <c r="AD766" s="598" t="s">
        <v>3309</v>
      </c>
      <c r="AE766" s="598" t="s">
        <v>3309</v>
      </c>
      <c r="AF766" s="598" t="s">
        <v>321</v>
      </c>
      <c r="AG766" s="598" t="s">
        <v>321</v>
      </c>
      <c r="AH766" s="598" t="s">
        <v>3309</v>
      </c>
      <c r="AI766" s="598" t="s">
        <v>321</v>
      </c>
      <c r="AJ766" s="599">
        <v>21</v>
      </c>
      <c r="AK766" s="600">
        <v>21</v>
      </c>
      <c r="AL766" s="601">
        <v>0</v>
      </c>
      <c r="AM766" s="601">
        <v>0</v>
      </c>
      <c r="AN766" s="599">
        <v>21</v>
      </c>
    </row>
    <row r="767" spans="1:40" ht="16.5" customHeight="1">
      <c r="A767" s="598" t="s">
        <v>3337</v>
      </c>
      <c r="B767" s="598" t="s">
        <v>3347</v>
      </c>
      <c r="C767" s="598" t="s">
        <v>993</v>
      </c>
      <c r="D767" s="598" t="s">
        <v>994</v>
      </c>
      <c r="E767" s="598" t="s">
        <v>321</v>
      </c>
      <c r="F767" s="598" t="s">
        <v>3309</v>
      </c>
      <c r="G767" s="598" t="s">
        <v>3309</v>
      </c>
      <c r="H767" s="598" t="s">
        <v>3309</v>
      </c>
      <c r="I767" s="598" t="s">
        <v>3309</v>
      </c>
      <c r="J767" s="598" t="s">
        <v>3309</v>
      </c>
      <c r="K767" s="598" t="s">
        <v>321</v>
      </c>
      <c r="L767" s="598" t="s">
        <v>321</v>
      </c>
      <c r="M767" s="598" t="s">
        <v>3309</v>
      </c>
      <c r="N767" s="598" t="s">
        <v>3309</v>
      </c>
      <c r="O767" s="598" t="s">
        <v>3309</v>
      </c>
      <c r="P767" s="598" t="s">
        <v>3309</v>
      </c>
      <c r="Q767" s="598" t="s">
        <v>3309</v>
      </c>
      <c r="R767" s="598" t="s">
        <v>321</v>
      </c>
      <c r="S767" s="598" t="s">
        <v>321</v>
      </c>
      <c r="T767" s="598" t="s">
        <v>3309</v>
      </c>
      <c r="U767" s="598" t="s">
        <v>3309</v>
      </c>
      <c r="V767" s="598" t="s">
        <v>3309</v>
      </c>
      <c r="W767" s="598" t="s">
        <v>3309</v>
      </c>
      <c r="X767" s="598" t="s">
        <v>3309</v>
      </c>
      <c r="Y767" s="598" t="s">
        <v>321</v>
      </c>
      <c r="Z767" s="598" t="s">
        <v>321</v>
      </c>
      <c r="AA767" s="598" t="s">
        <v>3309</v>
      </c>
      <c r="AB767" s="598" t="s">
        <v>3309</v>
      </c>
      <c r="AC767" s="598" t="s">
        <v>3309</v>
      </c>
      <c r="AD767" s="598" t="s">
        <v>3309</v>
      </c>
      <c r="AE767" s="598" t="s">
        <v>3309</v>
      </c>
      <c r="AF767" s="598" t="s">
        <v>321</v>
      </c>
      <c r="AG767" s="598" t="s">
        <v>321</v>
      </c>
      <c r="AH767" s="598" t="s">
        <v>3309</v>
      </c>
      <c r="AI767" s="598" t="s">
        <v>321</v>
      </c>
      <c r="AJ767" s="599">
        <v>21</v>
      </c>
      <c r="AK767" s="600">
        <v>21</v>
      </c>
      <c r="AL767" s="601">
        <v>0</v>
      </c>
      <c r="AM767" s="601">
        <v>0</v>
      </c>
      <c r="AN767" s="599">
        <v>21</v>
      </c>
    </row>
    <row r="768" spans="1:40" ht="16.5" customHeight="1">
      <c r="A768" s="598" t="s">
        <v>3337</v>
      </c>
      <c r="B768" s="598" t="s">
        <v>3347</v>
      </c>
      <c r="C768" s="598" t="s">
        <v>2856</v>
      </c>
      <c r="D768" s="598" t="s">
        <v>1750</v>
      </c>
      <c r="E768" s="598" t="s">
        <v>321</v>
      </c>
      <c r="F768" s="598" t="s">
        <v>3309</v>
      </c>
      <c r="G768" s="598" t="s">
        <v>3309</v>
      </c>
      <c r="H768" s="598" t="s">
        <v>3309</v>
      </c>
      <c r="I768" s="598" t="s">
        <v>3309</v>
      </c>
      <c r="J768" s="598" t="s">
        <v>3309</v>
      </c>
      <c r="K768" s="598" t="s">
        <v>321</v>
      </c>
      <c r="L768" s="598" t="s">
        <v>321</v>
      </c>
      <c r="M768" s="598" t="s">
        <v>3309</v>
      </c>
      <c r="N768" s="598" t="s">
        <v>3309</v>
      </c>
      <c r="O768" s="598" t="s">
        <v>3309</v>
      </c>
      <c r="P768" s="598" t="s">
        <v>3309</v>
      </c>
      <c r="Q768" s="598" t="s">
        <v>3309</v>
      </c>
      <c r="R768" s="598" t="s">
        <v>321</v>
      </c>
      <c r="S768" s="598" t="s">
        <v>321</v>
      </c>
      <c r="T768" s="598" t="s">
        <v>3309</v>
      </c>
      <c r="U768" s="598" t="s">
        <v>3309</v>
      </c>
      <c r="V768" s="598" t="s">
        <v>3309</v>
      </c>
      <c r="W768" s="598" t="s">
        <v>3309</v>
      </c>
      <c r="X768" s="598" t="s">
        <v>3309</v>
      </c>
      <c r="Y768" s="598" t="s">
        <v>321</v>
      </c>
      <c r="Z768" s="598" t="s">
        <v>321</v>
      </c>
      <c r="AA768" s="598" t="s">
        <v>3312</v>
      </c>
      <c r="AB768" s="598" t="s">
        <v>3309</v>
      </c>
      <c r="AC768" s="598" t="s">
        <v>3309</v>
      </c>
      <c r="AD768" s="598" t="s">
        <v>3309</v>
      </c>
      <c r="AE768" s="598" t="s">
        <v>3312</v>
      </c>
      <c r="AF768" s="598" t="s">
        <v>321</v>
      </c>
      <c r="AG768" s="598" t="s">
        <v>321</v>
      </c>
      <c r="AH768" s="598" t="s">
        <v>3312</v>
      </c>
      <c r="AI768" s="598" t="s">
        <v>321</v>
      </c>
      <c r="AJ768" s="599">
        <v>21</v>
      </c>
      <c r="AK768" s="600">
        <v>18</v>
      </c>
      <c r="AL768" s="602">
        <v>3</v>
      </c>
      <c r="AM768" s="601">
        <v>0</v>
      </c>
      <c r="AN768" s="599">
        <v>21</v>
      </c>
    </row>
    <row r="769" spans="1:40" ht="16.5" customHeight="1">
      <c r="A769" s="598" t="s">
        <v>3337</v>
      </c>
      <c r="B769" s="598" t="s">
        <v>3347</v>
      </c>
      <c r="C769" s="598" t="s">
        <v>2933</v>
      </c>
      <c r="D769" s="598" t="s">
        <v>2934</v>
      </c>
      <c r="E769" s="598" t="s">
        <v>321</v>
      </c>
      <c r="F769" s="598" t="s">
        <v>3309</v>
      </c>
      <c r="G769" s="598" t="s">
        <v>3309</v>
      </c>
      <c r="H769" s="598" t="s">
        <v>3309</v>
      </c>
      <c r="I769" s="598" t="s">
        <v>3309</v>
      </c>
      <c r="J769" s="598" t="s">
        <v>3309</v>
      </c>
      <c r="K769" s="598" t="s">
        <v>321</v>
      </c>
      <c r="L769" s="598" t="s">
        <v>321</v>
      </c>
      <c r="M769" s="598" t="s">
        <v>3309</v>
      </c>
      <c r="N769" s="598" t="s">
        <v>3309</v>
      </c>
      <c r="O769" s="598" t="s">
        <v>3309</v>
      </c>
      <c r="P769" s="598" t="s">
        <v>3309</v>
      </c>
      <c r="Q769" s="598" t="s">
        <v>3309</v>
      </c>
      <c r="R769" s="598" t="s">
        <v>321</v>
      </c>
      <c r="S769" s="598" t="s">
        <v>321</v>
      </c>
      <c r="T769" s="598" t="s">
        <v>3309</v>
      </c>
      <c r="U769" s="598" t="s">
        <v>3309</v>
      </c>
      <c r="V769" s="598" t="s">
        <v>3309</v>
      </c>
      <c r="W769" s="598" t="s">
        <v>3309</v>
      </c>
      <c r="X769" s="598" t="s">
        <v>3309</v>
      </c>
      <c r="Y769" s="598" t="s">
        <v>321</v>
      </c>
      <c r="Z769" s="598" t="s">
        <v>321</v>
      </c>
      <c r="AA769" s="598" t="s">
        <v>3309</v>
      </c>
      <c r="AB769" s="598" t="s">
        <v>3309</v>
      </c>
      <c r="AC769" s="598" t="s">
        <v>3309</v>
      </c>
      <c r="AD769" s="598" t="s">
        <v>3309</v>
      </c>
      <c r="AE769" s="598" t="s">
        <v>3309</v>
      </c>
      <c r="AF769" s="598" t="s">
        <v>321</v>
      </c>
      <c r="AG769" s="598" t="s">
        <v>321</v>
      </c>
      <c r="AH769" s="598" t="s">
        <v>3309</v>
      </c>
      <c r="AI769" s="598" t="s">
        <v>321</v>
      </c>
      <c r="AJ769" s="599">
        <v>21</v>
      </c>
      <c r="AK769" s="600">
        <v>21</v>
      </c>
      <c r="AL769" s="601">
        <v>0</v>
      </c>
      <c r="AM769" s="601">
        <v>0</v>
      </c>
      <c r="AN769" s="599">
        <v>21</v>
      </c>
    </row>
    <row r="770" spans="1:40" ht="16.5" customHeight="1">
      <c r="A770" s="598" t="s">
        <v>3337</v>
      </c>
      <c r="B770" s="598" t="s">
        <v>3347</v>
      </c>
      <c r="C770" s="598" t="s">
        <v>2366</v>
      </c>
      <c r="D770" s="598" t="s">
        <v>2367</v>
      </c>
      <c r="E770" s="598" t="s">
        <v>321</v>
      </c>
      <c r="F770" s="598" t="s">
        <v>3309</v>
      </c>
      <c r="G770" s="598" t="s">
        <v>3309</v>
      </c>
      <c r="H770" s="598" t="s">
        <v>3309</v>
      </c>
      <c r="I770" s="598" t="s">
        <v>3309</v>
      </c>
      <c r="J770" s="598" t="s">
        <v>3309</v>
      </c>
      <c r="K770" s="598" t="s">
        <v>321</v>
      </c>
      <c r="L770" s="598" t="s">
        <v>321</v>
      </c>
      <c r="M770" s="598" t="s">
        <v>3309</v>
      </c>
      <c r="N770" s="598" t="s">
        <v>3309</v>
      </c>
      <c r="O770" s="598" t="s">
        <v>3309</v>
      </c>
      <c r="P770" s="598" t="s">
        <v>3309</v>
      </c>
      <c r="Q770" s="598" t="s">
        <v>3309</v>
      </c>
      <c r="R770" s="598" t="s">
        <v>321</v>
      </c>
      <c r="S770" s="598" t="s">
        <v>321</v>
      </c>
      <c r="T770" s="598" t="s">
        <v>3309</v>
      </c>
      <c r="U770" s="598" t="s">
        <v>3309</v>
      </c>
      <c r="V770" s="598" t="s">
        <v>3309</v>
      </c>
      <c r="W770" s="598" t="s">
        <v>3309</v>
      </c>
      <c r="X770" s="598" t="s">
        <v>3309</v>
      </c>
      <c r="Y770" s="598" t="s">
        <v>321</v>
      </c>
      <c r="Z770" s="598" t="s">
        <v>321</v>
      </c>
      <c r="AA770" s="598" t="s">
        <v>3309</v>
      </c>
      <c r="AB770" s="598" t="s">
        <v>3309</v>
      </c>
      <c r="AC770" s="598" t="s">
        <v>3309</v>
      </c>
      <c r="AD770" s="598" t="s">
        <v>3309</v>
      </c>
      <c r="AE770" s="598" t="s">
        <v>3309</v>
      </c>
      <c r="AF770" s="598" t="s">
        <v>321</v>
      </c>
      <c r="AG770" s="598" t="s">
        <v>321</v>
      </c>
      <c r="AH770" s="598" t="s">
        <v>3309</v>
      </c>
      <c r="AI770" s="598" t="s">
        <v>321</v>
      </c>
      <c r="AJ770" s="599">
        <v>21</v>
      </c>
      <c r="AK770" s="600">
        <v>21</v>
      </c>
      <c r="AL770" s="601">
        <v>0</v>
      </c>
      <c r="AM770" s="601">
        <v>0</v>
      </c>
      <c r="AN770" s="599">
        <v>21</v>
      </c>
    </row>
    <row r="771" spans="1:40" ht="16.5" customHeight="1">
      <c r="A771" s="598" t="s">
        <v>3337</v>
      </c>
      <c r="B771" s="598" t="s">
        <v>3347</v>
      </c>
      <c r="C771" s="598" t="s">
        <v>1583</v>
      </c>
      <c r="D771" s="598" t="s">
        <v>1584</v>
      </c>
      <c r="E771" s="598" t="s">
        <v>321</v>
      </c>
      <c r="F771" s="598" t="s">
        <v>3309</v>
      </c>
      <c r="G771" s="598" t="s">
        <v>3309</v>
      </c>
      <c r="H771" s="598" t="s">
        <v>3309</v>
      </c>
      <c r="I771" s="598" t="s">
        <v>3309</v>
      </c>
      <c r="J771" s="598" t="s">
        <v>3309</v>
      </c>
      <c r="K771" s="598" t="s">
        <v>321</v>
      </c>
      <c r="L771" s="598" t="s">
        <v>321</v>
      </c>
      <c r="M771" s="598" t="s">
        <v>3309</v>
      </c>
      <c r="N771" s="598" t="s">
        <v>3309</v>
      </c>
      <c r="O771" s="598" t="s">
        <v>3309</v>
      </c>
      <c r="P771" s="598" t="s">
        <v>3309</v>
      </c>
      <c r="Q771" s="598" t="s">
        <v>3309</v>
      </c>
      <c r="R771" s="598" t="s">
        <v>321</v>
      </c>
      <c r="S771" s="598" t="s">
        <v>321</v>
      </c>
      <c r="T771" s="598" t="s">
        <v>3309</v>
      </c>
      <c r="U771" s="598" t="s">
        <v>3312</v>
      </c>
      <c r="V771" s="598" t="s">
        <v>3312</v>
      </c>
      <c r="W771" s="598" t="s">
        <v>3312</v>
      </c>
      <c r="X771" s="598" t="s">
        <v>3312</v>
      </c>
      <c r="Y771" s="598" t="s">
        <v>321</v>
      </c>
      <c r="Z771" s="598" t="s">
        <v>321</v>
      </c>
      <c r="AA771" s="598" t="s">
        <v>3312</v>
      </c>
      <c r="AB771" s="598" t="s">
        <v>3309</v>
      </c>
      <c r="AC771" s="598" t="s">
        <v>3309</v>
      </c>
      <c r="AD771" s="598" t="s">
        <v>3309</v>
      </c>
      <c r="AE771" s="598" t="s">
        <v>3309</v>
      </c>
      <c r="AF771" s="598" t="s">
        <v>321</v>
      </c>
      <c r="AG771" s="598" t="s">
        <v>321</v>
      </c>
      <c r="AH771" s="598" t="s">
        <v>3309</v>
      </c>
      <c r="AI771" s="598" t="s">
        <v>321</v>
      </c>
      <c r="AJ771" s="599">
        <v>21</v>
      </c>
      <c r="AK771" s="600">
        <v>16</v>
      </c>
      <c r="AL771" s="602">
        <v>5</v>
      </c>
      <c r="AM771" s="601">
        <v>0</v>
      </c>
      <c r="AN771" s="599">
        <v>21</v>
      </c>
    </row>
    <row r="772" spans="1:40" ht="16.5" customHeight="1">
      <c r="A772" s="598" t="s">
        <v>3337</v>
      </c>
      <c r="B772" s="598" t="s">
        <v>3347</v>
      </c>
      <c r="C772" s="598" t="s">
        <v>2392</v>
      </c>
      <c r="D772" s="598" t="s">
        <v>2393</v>
      </c>
      <c r="E772" s="598" t="s">
        <v>321</v>
      </c>
      <c r="F772" s="598" t="s">
        <v>3319</v>
      </c>
      <c r="G772" s="598" t="s">
        <v>3319</v>
      </c>
      <c r="H772" s="598" t="s">
        <v>3319</v>
      </c>
      <c r="I772" s="598" t="s">
        <v>3319</v>
      </c>
      <c r="J772" s="598" t="s">
        <v>3319</v>
      </c>
      <c r="K772" s="598" t="s">
        <v>321</v>
      </c>
      <c r="L772" s="598" t="s">
        <v>321</v>
      </c>
      <c r="M772" s="598" t="s">
        <v>3319</v>
      </c>
      <c r="N772" s="598" t="s">
        <v>3319</v>
      </c>
      <c r="O772" s="598" t="s">
        <v>3319</v>
      </c>
      <c r="P772" s="598" t="s">
        <v>3319</v>
      </c>
      <c r="Q772" s="598" t="s">
        <v>3319</v>
      </c>
      <c r="R772" s="598" t="s">
        <v>321</v>
      </c>
      <c r="S772" s="598" t="s">
        <v>321</v>
      </c>
      <c r="T772" s="598" t="s">
        <v>3319</v>
      </c>
      <c r="U772" s="598" t="s">
        <v>3319</v>
      </c>
      <c r="V772" s="598" t="s">
        <v>3319</v>
      </c>
      <c r="W772" s="598" t="s">
        <v>3319</v>
      </c>
      <c r="X772" s="598" t="s">
        <v>3319</v>
      </c>
      <c r="Y772" s="598" t="s">
        <v>321</v>
      </c>
      <c r="Z772" s="598" t="s">
        <v>321</v>
      </c>
      <c r="AA772" s="598" t="s">
        <v>3319</v>
      </c>
      <c r="AB772" s="598" t="s">
        <v>3319</v>
      </c>
      <c r="AC772" s="598" t="s">
        <v>3319</v>
      </c>
      <c r="AD772" s="598" t="s">
        <v>3319</v>
      </c>
      <c r="AE772" s="598" t="s">
        <v>3319</v>
      </c>
      <c r="AF772" s="598" t="s">
        <v>321</v>
      </c>
      <c r="AG772" s="598" t="s">
        <v>321</v>
      </c>
      <c r="AH772" s="598" t="s">
        <v>3319</v>
      </c>
      <c r="AI772" s="598" t="s">
        <v>321</v>
      </c>
      <c r="AJ772" s="599">
        <v>21</v>
      </c>
      <c r="AK772" s="601">
        <v>0</v>
      </c>
      <c r="AL772" s="601">
        <v>0</v>
      </c>
      <c r="AM772" s="601">
        <v>0</v>
      </c>
      <c r="AN772" s="605">
        <v>0</v>
      </c>
    </row>
    <row r="773" spans="1:40" ht="16.5" customHeight="1">
      <c r="A773" s="598" t="s">
        <v>3337</v>
      </c>
      <c r="B773" s="598" t="s">
        <v>3347</v>
      </c>
      <c r="C773" s="598" t="s">
        <v>2290</v>
      </c>
      <c r="D773" s="598" t="s">
        <v>2291</v>
      </c>
      <c r="E773" s="598" t="s">
        <v>321</v>
      </c>
      <c r="F773" s="598" t="s">
        <v>3309</v>
      </c>
      <c r="G773" s="598" t="s">
        <v>3309</v>
      </c>
      <c r="H773" s="598" t="s">
        <v>3309</v>
      </c>
      <c r="I773" s="598" t="s">
        <v>3309</v>
      </c>
      <c r="J773" s="598" t="s">
        <v>3309</v>
      </c>
      <c r="K773" s="598" t="s">
        <v>321</v>
      </c>
      <c r="L773" s="598" t="s">
        <v>321</v>
      </c>
      <c r="M773" s="598" t="s">
        <v>3309</v>
      </c>
      <c r="N773" s="598" t="s">
        <v>3309</v>
      </c>
      <c r="O773" s="598" t="s">
        <v>3309</v>
      </c>
      <c r="P773" s="598" t="s">
        <v>3309</v>
      </c>
      <c r="Q773" s="598" t="s">
        <v>3309</v>
      </c>
      <c r="R773" s="598" t="s">
        <v>321</v>
      </c>
      <c r="S773" s="598" t="s">
        <v>321</v>
      </c>
      <c r="T773" s="598" t="s">
        <v>3309</v>
      </c>
      <c r="U773" s="598" t="s">
        <v>3309</v>
      </c>
      <c r="V773" s="598" t="s">
        <v>3309</v>
      </c>
      <c r="W773" s="598" t="s">
        <v>3309</v>
      </c>
      <c r="X773" s="598" t="s">
        <v>3309</v>
      </c>
      <c r="Y773" s="598" t="s">
        <v>321</v>
      </c>
      <c r="Z773" s="598" t="s">
        <v>321</v>
      </c>
      <c r="AA773" s="598" t="s">
        <v>3309</v>
      </c>
      <c r="AB773" s="598" t="s">
        <v>3309</v>
      </c>
      <c r="AC773" s="598" t="s">
        <v>3309</v>
      </c>
      <c r="AD773" s="598" t="s">
        <v>3312</v>
      </c>
      <c r="AE773" s="598" t="s">
        <v>3309</v>
      </c>
      <c r="AF773" s="598" t="s">
        <v>321</v>
      </c>
      <c r="AG773" s="598" t="s">
        <v>321</v>
      </c>
      <c r="AH773" s="598" t="s">
        <v>3309</v>
      </c>
      <c r="AI773" s="598" t="s">
        <v>321</v>
      </c>
      <c r="AJ773" s="599">
        <v>21</v>
      </c>
      <c r="AK773" s="600">
        <v>20</v>
      </c>
      <c r="AL773" s="602">
        <v>1</v>
      </c>
      <c r="AM773" s="601">
        <v>0</v>
      </c>
      <c r="AN773" s="599">
        <v>21</v>
      </c>
    </row>
    <row r="774" spans="1:40" ht="16.5" customHeight="1">
      <c r="A774" s="598" t="s">
        <v>3337</v>
      </c>
      <c r="B774" s="598" t="s">
        <v>3347</v>
      </c>
      <c r="C774" s="598" t="s">
        <v>511</v>
      </c>
      <c r="D774" s="598" t="s">
        <v>512</v>
      </c>
      <c r="E774" s="598" t="s">
        <v>321</v>
      </c>
      <c r="F774" s="598" t="s">
        <v>3309</v>
      </c>
      <c r="G774" s="598" t="s">
        <v>3309</v>
      </c>
      <c r="H774" s="598" t="s">
        <v>3309</v>
      </c>
      <c r="I774" s="598" t="s">
        <v>3309</v>
      </c>
      <c r="J774" s="598" t="s">
        <v>3309</v>
      </c>
      <c r="K774" s="598" t="s">
        <v>321</v>
      </c>
      <c r="L774" s="598" t="s">
        <v>321</v>
      </c>
      <c r="M774" s="598" t="s">
        <v>3309</v>
      </c>
      <c r="N774" s="598" t="s">
        <v>3309</v>
      </c>
      <c r="O774" s="598" t="s">
        <v>3309</v>
      </c>
      <c r="P774" s="598" t="s">
        <v>3309</v>
      </c>
      <c r="Q774" s="598" t="s">
        <v>3312</v>
      </c>
      <c r="R774" s="598" t="s">
        <v>321</v>
      </c>
      <c r="S774" s="598" t="s">
        <v>321</v>
      </c>
      <c r="T774" s="598" t="s">
        <v>3309</v>
      </c>
      <c r="U774" s="598" t="s">
        <v>3309</v>
      </c>
      <c r="V774" s="598" t="s">
        <v>3309</v>
      </c>
      <c r="W774" s="598" t="s">
        <v>3309</v>
      </c>
      <c r="X774" s="598" t="s">
        <v>3309</v>
      </c>
      <c r="Y774" s="598" t="s">
        <v>321</v>
      </c>
      <c r="Z774" s="598" t="s">
        <v>321</v>
      </c>
      <c r="AA774" s="598" t="s">
        <v>3309</v>
      </c>
      <c r="AB774" s="598" t="s">
        <v>3309</v>
      </c>
      <c r="AC774" s="598" t="s">
        <v>3309</v>
      </c>
      <c r="AD774" s="598" t="s">
        <v>3309</v>
      </c>
      <c r="AE774" s="598" t="s">
        <v>3309</v>
      </c>
      <c r="AF774" s="598" t="s">
        <v>321</v>
      </c>
      <c r="AG774" s="598" t="s">
        <v>321</v>
      </c>
      <c r="AH774" s="598" t="s">
        <v>3309</v>
      </c>
      <c r="AI774" s="598" t="s">
        <v>321</v>
      </c>
      <c r="AJ774" s="599">
        <v>21</v>
      </c>
      <c r="AK774" s="600">
        <v>20</v>
      </c>
      <c r="AL774" s="602">
        <v>1</v>
      </c>
      <c r="AM774" s="601">
        <v>0</v>
      </c>
      <c r="AN774" s="599">
        <v>21</v>
      </c>
    </row>
    <row r="775" spans="1:40" ht="16.5" customHeight="1">
      <c r="A775" s="598" t="s">
        <v>3337</v>
      </c>
      <c r="B775" s="598" t="s">
        <v>3347</v>
      </c>
      <c r="C775" s="598" t="s">
        <v>2869</v>
      </c>
      <c r="D775" s="598" t="s">
        <v>2870</v>
      </c>
      <c r="E775" s="598" t="s">
        <v>321</v>
      </c>
      <c r="F775" s="598" t="s">
        <v>3312</v>
      </c>
      <c r="G775" s="598" t="s">
        <v>3309</v>
      </c>
      <c r="H775" s="598" t="s">
        <v>3309</v>
      </c>
      <c r="I775" s="598" t="s">
        <v>3309</v>
      </c>
      <c r="J775" s="598" t="s">
        <v>3309</v>
      </c>
      <c r="K775" s="598" t="s">
        <v>321</v>
      </c>
      <c r="L775" s="598" t="s">
        <v>321</v>
      </c>
      <c r="M775" s="598" t="s">
        <v>3309</v>
      </c>
      <c r="N775" s="598" t="s">
        <v>3309</v>
      </c>
      <c r="O775" s="598" t="s">
        <v>3309</v>
      </c>
      <c r="P775" s="598" t="s">
        <v>3309</v>
      </c>
      <c r="Q775" s="598" t="s">
        <v>3309</v>
      </c>
      <c r="R775" s="598" t="s">
        <v>321</v>
      </c>
      <c r="S775" s="598" t="s">
        <v>321</v>
      </c>
      <c r="T775" s="598" t="s">
        <v>3309</v>
      </c>
      <c r="U775" s="598" t="s">
        <v>3309</v>
      </c>
      <c r="V775" s="598" t="s">
        <v>3309</v>
      </c>
      <c r="W775" s="598" t="s">
        <v>3309</v>
      </c>
      <c r="X775" s="598" t="s">
        <v>3309</v>
      </c>
      <c r="Y775" s="598" t="s">
        <v>321</v>
      </c>
      <c r="Z775" s="598" t="s">
        <v>321</v>
      </c>
      <c r="AA775" s="598" t="s">
        <v>3309</v>
      </c>
      <c r="AB775" s="598" t="s">
        <v>3309</v>
      </c>
      <c r="AC775" s="598" t="s">
        <v>3309</v>
      </c>
      <c r="AD775" s="598" t="s">
        <v>3309</v>
      </c>
      <c r="AE775" s="598" t="s">
        <v>3309</v>
      </c>
      <c r="AF775" s="598" t="s">
        <v>321</v>
      </c>
      <c r="AG775" s="598" t="s">
        <v>321</v>
      </c>
      <c r="AH775" s="598" t="s">
        <v>3309</v>
      </c>
      <c r="AI775" s="598" t="s">
        <v>321</v>
      </c>
      <c r="AJ775" s="599">
        <v>21</v>
      </c>
      <c r="AK775" s="600">
        <v>20</v>
      </c>
      <c r="AL775" s="602">
        <v>1</v>
      </c>
      <c r="AM775" s="601">
        <v>0</v>
      </c>
      <c r="AN775" s="599">
        <v>21</v>
      </c>
    </row>
    <row r="776" spans="1:40" ht="16.5" customHeight="1">
      <c r="A776" s="598" t="s">
        <v>3337</v>
      </c>
      <c r="B776" s="598" t="s">
        <v>3347</v>
      </c>
      <c r="C776" s="598" t="s">
        <v>2649</v>
      </c>
      <c r="D776" s="598" t="s">
        <v>2650</v>
      </c>
      <c r="E776" s="598" t="s">
        <v>321</v>
      </c>
      <c r="F776" s="598" t="s">
        <v>3309</v>
      </c>
      <c r="G776" s="598" t="s">
        <v>3309</v>
      </c>
      <c r="H776" s="598" t="s">
        <v>3309</v>
      </c>
      <c r="I776" s="598" t="s">
        <v>3309</v>
      </c>
      <c r="J776" s="598" t="s">
        <v>3309</v>
      </c>
      <c r="K776" s="598" t="s">
        <v>321</v>
      </c>
      <c r="L776" s="598" t="s">
        <v>321</v>
      </c>
      <c r="M776" s="598" t="s">
        <v>3309</v>
      </c>
      <c r="N776" s="598" t="s">
        <v>3309</v>
      </c>
      <c r="O776" s="598" t="s">
        <v>3309</v>
      </c>
      <c r="P776" s="598" t="s">
        <v>3309</v>
      </c>
      <c r="Q776" s="598" t="s">
        <v>3309</v>
      </c>
      <c r="R776" s="598" t="s">
        <v>321</v>
      </c>
      <c r="S776" s="598" t="s">
        <v>321</v>
      </c>
      <c r="T776" s="598" t="s">
        <v>3309</v>
      </c>
      <c r="U776" s="598" t="s">
        <v>3309</v>
      </c>
      <c r="V776" s="598" t="s">
        <v>3309</v>
      </c>
      <c r="W776" s="598" t="s">
        <v>3309</v>
      </c>
      <c r="X776" s="598" t="s">
        <v>3309</v>
      </c>
      <c r="Y776" s="598" t="s">
        <v>321</v>
      </c>
      <c r="Z776" s="598" t="s">
        <v>321</v>
      </c>
      <c r="AA776" s="598" t="s">
        <v>3309</v>
      </c>
      <c r="AB776" s="598" t="s">
        <v>3309</v>
      </c>
      <c r="AC776" s="598" t="s">
        <v>3309</v>
      </c>
      <c r="AD776" s="598" t="s">
        <v>3309</v>
      </c>
      <c r="AE776" s="598" t="s">
        <v>3309</v>
      </c>
      <c r="AF776" s="598" t="s">
        <v>321</v>
      </c>
      <c r="AG776" s="598" t="s">
        <v>321</v>
      </c>
      <c r="AH776" s="598" t="s">
        <v>3313</v>
      </c>
      <c r="AI776" s="598" t="s">
        <v>321</v>
      </c>
      <c r="AJ776" s="599">
        <v>21</v>
      </c>
      <c r="AK776" s="600">
        <v>21</v>
      </c>
      <c r="AL776" s="601">
        <v>0</v>
      </c>
      <c r="AM776" s="601">
        <v>0</v>
      </c>
      <c r="AN776" s="599">
        <v>21</v>
      </c>
    </row>
    <row r="777" spans="1:40" ht="16.5" customHeight="1">
      <c r="A777" s="598" t="s">
        <v>3337</v>
      </c>
      <c r="B777" s="598" t="s">
        <v>3347</v>
      </c>
      <c r="C777" s="598" t="s">
        <v>967</v>
      </c>
      <c r="D777" s="598" t="s">
        <v>968</v>
      </c>
      <c r="E777" s="598" t="s">
        <v>321</v>
      </c>
      <c r="F777" s="598" t="s">
        <v>3309</v>
      </c>
      <c r="G777" s="598" t="s">
        <v>3309</v>
      </c>
      <c r="H777" s="598" t="s">
        <v>3309</v>
      </c>
      <c r="I777" s="598" t="s">
        <v>3309</v>
      </c>
      <c r="J777" s="598" t="s">
        <v>3309</v>
      </c>
      <c r="K777" s="598" t="s">
        <v>321</v>
      </c>
      <c r="L777" s="598" t="s">
        <v>321</v>
      </c>
      <c r="M777" s="598" t="s">
        <v>3309</v>
      </c>
      <c r="N777" s="598" t="s">
        <v>3309</v>
      </c>
      <c r="O777" s="598" t="s">
        <v>3309</v>
      </c>
      <c r="P777" s="598" t="s">
        <v>3309</v>
      </c>
      <c r="Q777" s="598" t="s">
        <v>3309</v>
      </c>
      <c r="R777" s="598" t="s">
        <v>321</v>
      </c>
      <c r="S777" s="598" t="s">
        <v>321</v>
      </c>
      <c r="T777" s="598" t="s">
        <v>3309</v>
      </c>
      <c r="U777" s="598" t="s">
        <v>3309</v>
      </c>
      <c r="V777" s="598" t="s">
        <v>3309</v>
      </c>
      <c r="W777" s="598" t="s">
        <v>3309</v>
      </c>
      <c r="X777" s="598" t="s">
        <v>3309</v>
      </c>
      <c r="Y777" s="598" t="s">
        <v>321</v>
      </c>
      <c r="Z777" s="598" t="s">
        <v>321</v>
      </c>
      <c r="AA777" s="598" t="s">
        <v>3309</v>
      </c>
      <c r="AB777" s="598" t="s">
        <v>3309</v>
      </c>
      <c r="AC777" s="598" t="s">
        <v>3309</v>
      </c>
      <c r="AD777" s="598" t="s">
        <v>3309</v>
      </c>
      <c r="AE777" s="598" t="s">
        <v>3309</v>
      </c>
      <c r="AF777" s="598" t="s">
        <v>321</v>
      </c>
      <c r="AG777" s="598" t="s">
        <v>321</v>
      </c>
      <c r="AH777" s="598" t="s">
        <v>3309</v>
      </c>
      <c r="AI777" s="598" t="s">
        <v>321</v>
      </c>
      <c r="AJ777" s="599">
        <v>21</v>
      </c>
      <c r="AK777" s="600">
        <v>21</v>
      </c>
      <c r="AL777" s="601">
        <v>0</v>
      </c>
      <c r="AM777" s="601">
        <v>0</v>
      </c>
      <c r="AN777" s="599">
        <v>21</v>
      </c>
    </row>
    <row r="778" spans="1:40" ht="16.5" customHeight="1">
      <c r="A778" s="598" t="s">
        <v>3337</v>
      </c>
      <c r="B778" s="598" t="s">
        <v>3347</v>
      </c>
      <c r="C778" s="598" t="s">
        <v>1572</v>
      </c>
      <c r="D778" s="598" t="s">
        <v>1573</v>
      </c>
      <c r="E778" s="598" t="s">
        <v>321</v>
      </c>
      <c r="F778" s="598" t="s">
        <v>3309</v>
      </c>
      <c r="G778" s="598" t="s">
        <v>3309</v>
      </c>
      <c r="H778" s="598" t="s">
        <v>3309</v>
      </c>
      <c r="I778" s="598" t="s">
        <v>3313</v>
      </c>
      <c r="J778" s="598" t="s">
        <v>3313</v>
      </c>
      <c r="K778" s="598" t="s">
        <v>321</v>
      </c>
      <c r="L778" s="598" t="s">
        <v>321</v>
      </c>
      <c r="M778" s="598" t="s">
        <v>3309</v>
      </c>
      <c r="N778" s="598" t="s">
        <v>3309</v>
      </c>
      <c r="O778" s="598" t="s">
        <v>3309</v>
      </c>
      <c r="P778" s="598" t="s">
        <v>3309</v>
      </c>
      <c r="Q778" s="598" t="s">
        <v>3309</v>
      </c>
      <c r="R778" s="598" t="s">
        <v>321</v>
      </c>
      <c r="S778" s="598" t="s">
        <v>321</v>
      </c>
      <c r="T778" s="598" t="s">
        <v>3309</v>
      </c>
      <c r="U778" s="598" t="s">
        <v>3309</v>
      </c>
      <c r="V778" s="598" t="s">
        <v>3309</v>
      </c>
      <c r="W778" s="598" t="s">
        <v>3309</v>
      </c>
      <c r="X778" s="598" t="s">
        <v>3309</v>
      </c>
      <c r="Y778" s="598" t="s">
        <v>321</v>
      </c>
      <c r="Z778" s="598" t="s">
        <v>321</v>
      </c>
      <c r="AA778" s="598" t="s">
        <v>3309</v>
      </c>
      <c r="AB778" s="598" t="s">
        <v>3309</v>
      </c>
      <c r="AC778" s="598" t="s">
        <v>3309</v>
      </c>
      <c r="AD778" s="598" t="s">
        <v>3309</v>
      </c>
      <c r="AE778" s="598" t="s">
        <v>3309</v>
      </c>
      <c r="AF778" s="598" t="s">
        <v>321</v>
      </c>
      <c r="AG778" s="598" t="s">
        <v>321</v>
      </c>
      <c r="AH778" s="598" t="s">
        <v>3309</v>
      </c>
      <c r="AI778" s="598" t="s">
        <v>321</v>
      </c>
      <c r="AJ778" s="599">
        <v>21</v>
      </c>
      <c r="AK778" s="600">
        <v>21</v>
      </c>
      <c r="AL778" s="601">
        <v>0</v>
      </c>
      <c r="AM778" s="601">
        <v>0</v>
      </c>
      <c r="AN778" s="599">
        <v>21</v>
      </c>
    </row>
    <row r="779" spans="1:40" ht="16.5" customHeight="1">
      <c r="A779" s="598" t="s">
        <v>3337</v>
      </c>
      <c r="B779" s="598" t="s">
        <v>3347</v>
      </c>
      <c r="C779" s="598" t="s">
        <v>1838</v>
      </c>
      <c r="D779" s="598" t="s">
        <v>1839</v>
      </c>
      <c r="E779" s="598" t="s">
        <v>321</v>
      </c>
      <c r="F779" s="598" t="s">
        <v>3309</v>
      </c>
      <c r="G779" s="598" t="s">
        <v>3309</v>
      </c>
      <c r="H779" s="598" t="s">
        <v>3309</v>
      </c>
      <c r="I779" s="598" t="s">
        <v>3309</v>
      </c>
      <c r="J779" s="598" t="s">
        <v>3309</v>
      </c>
      <c r="K779" s="598" t="s">
        <v>321</v>
      </c>
      <c r="L779" s="598" t="s">
        <v>321</v>
      </c>
      <c r="M779" s="598" t="s">
        <v>3309</v>
      </c>
      <c r="N779" s="598" t="s">
        <v>3309</v>
      </c>
      <c r="O779" s="598" t="s">
        <v>3309</v>
      </c>
      <c r="P779" s="598" t="s">
        <v>3309</v>
      </c>
      <c r="Q779" s="598" t="s">
        <v>3309</v>
      </c>
      <c r="R779" s="598" t="s">
        <v>321</v>
      </c>
      <c r="S779" s="598" t="s">
        <v>321</v>
      </c>
      <c r="T779" s="598" t="s">
        <v>3309</v>
      </c>
      <c r="U779" s="598" t="s">
        <v>3309</v>
      </c>
      <c r="V779" s="598" t="s">
        <v>3309</v>
      </c>
      <c r="W779" s="598" t="s">
        <v>3309</v>
      </c>
      <c r="X779" s="598" t="s">
        <v>3309</v>
      </c>
      <c r="Y779" s="598" t="s">
        <v>321</v>
      </c>
      <c r="Z779" s="598" t="s">
        <v>321</v>
      </c>
      <c r="AA779" s="598" t="s">
        <v>3309</v>
      </c>
      <c r="AB779" s="598" t="s">
        <v>3309</v>
      </c>
      <c r="AC779" s="598" t="s">
        <v>3309</v>
      </c>
      <c r="AD779" s="598" t="s">
        <v>3309</v>
      </c>
      <c r="AE779" s="598" t="s">
        <v>3309</v>
      </c>
      <c r="AF779" s="598" t="s">
        <v>321</v>
      </c>
      <c r="AG779" s="598" t="s">
        <v>321</v>
      </c>
      <c r="AH779" s="598" t="s">
        <v>3309</v>
      </c>
      <c r="AI779" s="598" t="s">
        <v>321</v>
      </c>
      <c r="AJ779" s="599">
        <v>21</v>
      </c>
      <c r="AK779" s="600">
        <v>21</v>
      </c>
      <c r="AL779" s="601">
        <v>0</v>
      </c>
      <c r="AM779" s="601">
        <v>0</v>
      </c>
      <c r="AN779" s="599">
        <v>21</v>
      </c>
    </row>
    <row r="780" spans="1:40" ht="16.5" customHeight="1">
      <c r="A780" s="598" t="s">
        <v>3337</v>
      </c>
      <c r="B780" s="598" t="s">
        <v>3347</v>
      </c>
      <c r="C780" s="598" t="s">
        <v>2183</v>
      </c>
      <c r="D780" s="598" t="s">
        <v>2184</v>
      </c>
      <c r="E780" s="598" t="s">
        <v>321</v>
      </c>
      <c r="F780" s="598" t="s">
        <v>3309</v>
      </c>
      <c r="G780" s="598" t="s">
        <v>3309</v>
      </c>
      <c r="H780" s="598" t="s">
        <v>3309</v>
      </c>
      <c r="I780" s="598" t="s">
        <v>3309</v>
      </c>
      <c r="J780" s="598" t="s">
        <v>3309</v>
      </c>
      <c r="K780" s="598" t="s">
        <v>321</v>
      </c>
      <c r="L780" s="598" t="s">
        <v>321</v>
      </c>
      <c r="M780" s="598" t="s">
        <v>3309</v>
      </c>
      <c r="N780" s="598" t="s">
        <v>3309</v>
      </c>
      <c r="O780" s="598" t="s">
        <v>3309</v>
      </c>
      <c r="P780" s="598" t="s">
        <v>3309</v>
      </c>
      <c r="Q780" s="598" t="s">
        <v>3309</v>
      </c>
      <c r="R780" s="598" t="s">
        <v>321</v>
      </c>
      <c r="S780" s="598" t="s">
        <v>321</v>
      </c>
      <c r="T780" s="598" t="s">
        <v>3309</v>
      </c>
      <c r="U780" s="598" t="s">
        <v>3309</v>
      </c>
      <c r="V780" s="598" t="s">
        <v>3309</v>
      </c>
      <c r="W780" s="598" t="s">
        <v>3309</v>
      </c>
      <c r="X780" s="598" t="s">
        <v>3309</v>
      </c>
      <c r="Y780" s="598" t="s">
        <v>321</v>
      </c>
      <c r="Z780" s="598" t="s">
        <v>321</v>
      </c>
      <c r="AA780" s="598" t="s">
        <v>3309</v>
      </c>
      <c r="AB780" s="598" t="s">
        <v>3309</v>
      </c>
      <c r="AC780" s="598" t="s">
        <v>3309</v>
      </c>
      <c r="AD780" s="598" t="s">
        <v>3309</v>
      </c>
      <c r="AE780" s="598" t="s">
        <v>3309</v>
      </c>
      <c r="AF780" s="598" t="s">
        <v>321</v>
      </c>
      <c r="AG780" s="598" t="s">
        <v>321</v>
      </c>
      <c r="AH780" s="598" t="s">
        <v>3309</v>
      </c>
      <c r="AI780" s="598" t="s">
        <v>321</v>
      </c>
      <c r="AJ780" s="599">
        <v>21</v>
      </c>
      <c r="AK780" s="600">
        <v>21</v>
      </c>
      <c r="AL780" s="601">
        <v>0</v>
      </c>
      <c r="AM780" s="601">
        <v>0</v>
      </c>
      <c r="AN780" s="599">
        <v>21</v>
      </c>
    </row>
    <row r="781" spans="1:40" ht="16.5" customHeight="1">
      <c r="A781" s="598" t="s">
        <v>3337</v>
      </c>
      <c r="B781" s="598" t="s">
        <v>3347</v>
      </c>
      <c r="C781" s="598" t="s">
        <v>2777</v>
      </c>
      <c r="D781" s="598" t="s">
        <v>2778</v>
      </c>
      <c r="E781" s="598" t="s">
        <v>321</v>
      </c>
      <c r="F781" s="598" t="s">
        <v>3309</v>
      </c>
      <c r="G781" s="598" t="s">
        <v>3309</v>
      </c>
      <c r="H781" s="598" t="s">
        <v>3309</v>
      </c>
      <c r="I781" s="598" t="s">
        <v>3309</v>
      </c>
      <c r="J781" s="598" t="s">
        <v>3309</v>
      </c>
      <c r="K781" s="598" t="s">
        <v>321</v>
      </c>
      <c r="L781" s="598" t="s">
        <v>321</v>
      </c>
      <c r="M781" s="598" t="s">
        <v>3309</v>
      </c>
      <c r="N781" s="598" t="s">
        <v>3309</v>
      </c>
      <c r="O781" s="598" t="s">
        <v>3309</v>
      </c>
      <c r="P781" s="598" t="s">
        <v>3309</v>
      </c>
      <c r="Q781" s="598" t="s">
        <v>3312</v>
      </c>
      <c r="R781" s="598" t="s">
        <v>321</v>
      </c>
      <c r="S781" s="598" t="s">
        <v>321</v>
      </c>
      <c r="T781" s="598" t="s">
        <v>3309</v>
      </c>
      <c r="U781" s="598" t="s">
        <v>3309</v>
      </c>
      <c r="V781" s="598" t="s">
        <v>3309</v>
      </c>
      <c r="W781" s="598" t="s">
        <v>3309</v>
      </c>
      <c r="X781" s="598" t="s">
        <v>3309</v>
      </c>
      <c r="Y781" s="598" t="s">
        <v>321</v>
      </c>
      <c r="Z781" s="598" t="s">
        <v>321</v>
      </c>
      <c r="AA781" s="598" t="s">
        <v>3309</v>
      </c>
      <c r="AB781" s="598" t="s">
        <v>3309</v>
      </c>
      <c r="AC781" s="598" t="s">
        <v>3309</v>
      </c>
      <c r="AD781" s="598" t="s">
        <v>3309</v>
      </c>
      <c r="AE781" s="598" t="s">
        <v>3309</v>
      </c>
      <c r="AF781" s="598" t="s">
        <v>321</v>
      </c>
      <c r="AG781" s="598" t="s">
        <v>321</v>
      </c>
      <c r="AH781" s="598" t="s">
        <v>3309</v>
      </c>
      <c r="AI781" s="598" t="s">
        <v>321</v>
      </c>
      <c r="AJ781" s="599">
        <v>21</v>
      </c>
      <c r="AK781" s="600">
        <v>20</v>
      </c>
      <c r="AL781" s="602">
        <v>1</v>
      </c>
      <c r="AM781" s="601">
        <v>0</v>
      </c>
      <c r="AN781" s="599">
        <v>21</v>
      </c>
    </row>
    <row r="782" spans="1:40" ht="16.5" customHeight="1">
      <c r="A782" s="598" t="s">
        <v>3337</v>
      </c>
      <c r="B782" s="598" t="s">
        <v>3347</v>
      </c>
      <c r="C782" s="598" t="s">
        <v>1879</v>
      </c>
      <c r="D782" s="598" t="s">
        <v>1880</v>
      </c>
      <c r="E782" s="598" t="s">
        <v>321</v>
      </c>
      <c r="F782" s="598" t="s">
        <v>3309</v>
      </c>
      <c r="G782" s="598" t="s">
        <v>3309</v>
      </c>
      <c r="H782" s="598" t="s">
        <v>3309</v>
      </c>
      <c r="I782" s="598" t="s">
        <v>3309</v>
      </c>
      <c r="J782" s="598" t="s">
        <v>3309</v>
      </c>
      <c r="K782" s="598" t="s">
        <v>321</v>
      </c>
      <c r="L782" s="598" t="s">
        <v>321</v>
      </c>
      <c r="M782" s="598" t="s">
        <v>3309</v>
      </c>
      <c r="N782" s="598" t="s">
        <v>3309</v>
      </c>
      <c r="O782" s="598" t="s">
        <v>3309</v>
      </c>
      <c r="P782" s="598" t="s">
        <v>3309</v>
      </c>
      <c r="Q782" s="598" t="s">
        <v>3309</v>
      </c>
      <c r="R782" s="598" t="s">
        <v>321</v>
      </c>
      <c r="S782" s="598" t="s">
        <v>321</v>
      </c>
      <c r="T782" s="598" t="s">
        <v>3312</v>
      </c>
      <c r="U782" s="598" t="s">
        <v>3309</v>
      </c>
      <c r="V782" s="598" t="s">
        <v>3309</v>
      </c>
      <c r="W782" s="598" t="s">
        <v>3309</v>
      </c>
      <c r="X782" s="598" t="s">
        <v>3309</v>
      </c>
      <c r="Y782" s="598" t="s">
        <v>321</v>
      </c>
      <c r="Z782" s="598" t="s">
        <v>321</v>
      </c>
      <c r="AA782" s="598" t="s">
        <v>3309</v>
      </c>
      <c r="AB782" s="598" t="s">
        <v>3309</v>
      </c>
      <c r="AC782" s="598" t="s">
        <v>3309</v>
      </c>
      <c r="AD782" s="598" t="s">
        <v>3309</v>
      </c>
      <c r="AE782" s="598" t="s">
        <v>3309</v>
      </c>
      <c r="AF782" s="598" t="s">
        <v>321</v>
      </c>
      <c r="AG782" s="598" t="s">
        <v>321</v>
      </c>
      <c r="AH782" s="598" t="s">
        <v>3309</v>
      </c>
      <c r="AI782" s="598" t="s">
        <v>321</v>
      </c>
      <c r="AJ782" s="599">
        <v>21</v>
      </c>
      <c r="AK782" s="600">
        <v>20</v>
      </c>
      <c r="AL782" s="602">
        <v>1</v>
      </c>
      <c r="AM782" s="601">
        <v>0</v>
      </c>
      <c r="AN782" s="599">
        <v>21</v>
      </c>
    </row>
    <row r="783" spans="1:40" ht="16.5" customHeight="1">
      <c r="A783" s="598" t="s">
        <v>3337</v>
      </c>
      <c r="B783" s="598" t="s">
        <v>3347</v>
      </c>
      <c r="C783" s="598" t="s">
        <v>2883</v>
      </c>
      <c r="D783" s="598" t="s">
        <v>2884</v>
      </c>
      <c r="E783" s="598" t="s">
        <v>321</v>
      </c>
      <c r="F783" s="598" t="s">
        <v>3309</v>
      </c>
      <c r="G783" s="598" t="s">
        <v>3309</v>
      </c>
      <c r="H783" s="598" t="s">
        <v>3309</v>
      </c>
      <c r="I783" s="598" t="s">
        <v>3309</v>
      </c>
      <c r="J783" s="598" t="s">
        <v>3309</v>
      </c>
      <c r="K783" s="598" t="s">
        <v>321</v>
      </c>
      <c r="L783" s="598" t="s">
        <v>321</v>
      </c>
      <c r="M783" s="598" t="s">
        <v>3309</v>
      </c>
      <c r="N783" s="598" t="s">
        <v>3309</v>
      </c>
      <c r="O783" s="598" t="s">
        <v>3309</v>
      </c>
      <c r="P783" s="598" t="s">
        <v>3309</v>
      </c>
      <c r="Q783" s="598" t="s">
        <v>3309</v>
      </c>
      <c r="R783" s="598" t="s">
        <v>321</v>
      </c>
      <c r="S783" s="598" t="s">
        <v>321</v>
      </c>
      <c r="T783" s="598" t="s">
        <v>3309</v>
      </c>
      <c r="U783" s="598" t="s">
        <v>3309</v>
      </c>
      <c r="V783" s="598" t="s">
        <v>3309</v>
      </c>
      <c r="W783" s="598" t="s">
        <v>3309</v>
      </c>
      <c r="X783" s="598" t="s">
        <v>3309</v>
      </c>
      <c r="Y783" s="598" t="s">
        <v>321</v>
      </c>
      <c r="Z783" s="598" t="s">
        <v>321</v>
      </c>
      <c r="AA783" s="598" t="s">
        <v>3309</v>
      </c>
      <c r="AB783" s="598" t="s">
        <v>3309</v>
      </c>
      <c r="AC783" s="598" t="s">
        <v>3309</v>
      </c>
      <c r="AD783" s="598" t="s">
        <v>3309</v>
      </c>
      <c r="AE783" s="598" t="s">
        <v>3309</v>
      </c>
      <c r="AF783" s="598" t="s">
        <v>321</v>
      </c>
      <c r="AG783" s="598" t="s">
        <v>321</v>
      </c>
      <c r="AH783" s="598" t="s">
        <v>3309</v>
      </c>
      <c r="AI783" s="598" t="s">
        <v>321</v>
      </c>
      <c r="AJ783" s="599">
        <v>21</v>
      </c>
      <c r="AK783" s="600">
        <v>21</v>
      </c>
      <c r="AL783" s="601">
        <v>0</v>
      </c>
      <c r="AM783" s="601">
        <v>0</v>
      </c>
      <c r="AN783" s="599">
        <v>21</v>
      </c>
    </row>
    <row r="784" spans="1:40" ht="16.5" customHeight="1">
      <c r="A784" s="598" t="s">
        <v>3337</v>
      </c>
      <c r="B784" s="598" t="s">
        <v>3347</v>
      </c>
      <c r="C784" s="598" t="s">
        <v>2703</v>
      </c>
      <c r="D784" s="598" t="s">
        <v>2704</v>
      </c>
      <c r="E784" s="598" t="s">
        <v>321</v>
      </c>
      <c r="F784" s="598" t="s">
        <v>3309</v>
      </c>
      <c r="G784" s="598" t="s">
        <v>3309</v>
      </c>
      <c r="H784" s="598" t="s">
        <v>3309</v>
      </c>
      <c r="I784" s="598" t="s">
        <v>3309</v>
      </c>
      <c r="J784" s="598" t="s">
        <v>3309</v>
      </c>
      <c r="K784" s="598" t="s">
        <v>321</v>
      </c>
      <c r="L784" s="598" t="s">
        <v>321</v>
      </c>
      <c r="M784" s="598" t="s">
        <v>3309</v>
      </c>
      <c r="N784" s="598" t="s">
        <v>3309</v>
      </c>
      <c r="O784" s="598" t="s">
        <v>3309</v>
      </c>
      <c r="P784" s="598" t="s">
        <v>3309</v>
      </c>
      <c r="Q784" s="598" t="s">
        <v>3309</v>
      </c>
      <c r="R784" s="598" t="s">
        <v>321</v>
      </c>
      <c r="S784" s="598" t="s">
        <v>321</v>
      </c>
      <c r="T784" s="598" t="s">
        <v>3309</v>
      </c>
      <c r="U784" s="598" t="s">
        <v>3309</v>
      </c>
      <c r="V784" s="598" t="s">
        <v>3309</v>
      </c>
      <c r="W784" s="598" t="s">
        <v>3309</v>
      </c>
      <c r="X784" s="598" t="s">
        <v>3309</v>
      </c>
      <c r="Y784" s="598" t="s">
        <v>321</v>
      </c>
      <c r="Z784" s="598" t="s">
        <v>321</v>
      </c>
      <c r="AA784" s="598" t="s">
        <v>3309</v>
      </c>
      <c r="AB784" s="598" t="s">
        <v>3309</v>
      </c>
      <c r="AC784" s="598" t="s">
        <v>3309</v>
      </c>
      <c r="AD784" s="598" t="s">
        <v>3309</v>
      </c>
      <c r="AE784" s="598" t="s">
        <v>3309</v>
      </c>
      <c r="AF784" s="598" t="s">
        <v>321</v>
      </c>
      <c r="AG784" s="598" t="s">
        <v>321</v>
      </c>
      <c r="AH784" s="598" t="s">
        <v>3309</v>
      </c>
      <c r="AI784" s="598" t="s">
        <v>321</v>
      </c>
      <c r="AJ784" s="599">
        <v>21</v>
      </c>
      <c r="AK784" s="600">
        <v>21</v>
      </c>
      <c r="AL784" s="601">
        <v>0</v>
      </c>
      <c r="AM784" s="601">
        <v>0</v>
      </c>
      <c r="AN784" s="599">
        <v>21</v>
      </c>
    </row>
    <row r="785" spans="1:40" ht="16.5" customHeight="1">
      <c r="A785" s="598" t="s">
        <v>3337</v>
      </c>
      <c r="B785" s="598" t="s">
        <v>3347</v>
      </c>
      <c r="C785" s="598" t="s">
        <v>2197</v>
      </c>
      <c r="D785" s="598" t="s">
        <v>2198</v>
      </c>
      <c r="E785" s="598" t="s">
        <v>321</v>
      </c>
      <c r="F785" s="598" t="s">
        <v>3309</v>
      </c>
      <c r="G785" s="598" t="s">
        <v>3309</v>
      </c>
      <c r="H785" s="598" t="s">
        <v>3309</v>
      </c>
      <c r="I785" s="598" t="s">
        <v>3309</v>
      </c>
      <c r="J785" s="598" t="s">
        <v>3309</v>
      </c>
      <c r="K785" s="598" t="s">
        <v>321</v>
      </c>
      <c r="L785" s="598" t="s">
        <v>321</v>
      </c>
      <c r="M785" s="598" t="s">
        <v>3309</v>
      </c>
      <c r="N785" s="598" t="s">
        <v>3309</v>
      </c>
      <c r="O785" s="598" t="s">
        <v>3309</v>
      </c>
      <c r="P785" s="598" t="s">
        <v>3309</v>
      </c>
      <c r="Q785" s="598" t="s">
        <v>3309</v>
      </c>
      <c r="R785" s="598" t="s">
        <v>321</v>
      </c>
      <c r="S785" s="598" t="s">
        <v>321</v>
      </c>
      <c r="T785" s="598" t="s">
        <v>3309</v>
      </c>
      <c r="U785" s="598" t="s">
        <v>3309</v>
      </c>
      <c r="V785" s="598" t="s">
        <v>3309</v>
      </c>
      <c r="W785" s="598" t="s">
        <v>3309</v>
      </c>
      <c r="X785" s="598" t="s">
        <v>3309</v>
      </c>
      <c r="Y785" s="598" t="s">
        <v>321</v>
      </c>
      <c r="Z785" s="598" t="s">
        <v>321</v>
      </c>
      <c r="AA785" s="598" t="s">
        <v>3309</v>
      </c>
      <c r="AB785" s="598" t="s">
        <v>3309</v>
      </c>
      <c r="AC785" s="598" t="s">
        <v>3309</v>
      </c>
      <c r="AD785" s="598" t="s">
        <v>3309</v>
      </c>
      <c r="AE785" s="598" t="s">
        <v>3309</v>
      </c>
      <c r="AF785" s="598" t="s">
        <v>321</v>
      </c>
      <c r="AG785" s="598" t="s">
        <v>321</v>
      </c>
      <c r="AH785" s="598" t="s">
        <v>3309</v>
      </c>
      <c r="AI785" s="598" t="s">
        <v>321</v>
      </c>
      <c r="AJ785" s="599">
        <v>21</v>
      </c>
      <c r="AK785" s="600">
        <v>21</v>
      </c>
      <c r="AL785" s="601">
        <v>0</v>
      </c>
      <c r="AM785" s="601">
        <v>0</v>
      </c>
      <c r="AN785" s="599">
        <v>21</v>
      </c>
    </row>
    <row r="786" spans="1:40" ht="16.5" customHeight="1">
      <c r="A786" s="598" t="s">
        <v>3337</v>
      </c>
      <c r="B786" s="598" t="s">
        <v>3347</v>
      </c>
      <c r="C786" s="598" t="s">
        <v>2368</v>
      </c>
      <c r="D786" s="598" t="s">
        <v>2369</v>
      </c>
      <c r="E786" s="598" t="s">
        <v>321</v>
      </c>
      <c r="F786" s="598" t="s">
        <v>3309</v>
      </c>
      <c r="G786" s="598" t="s">
        <v>3312</v>
      </c>
      <c r="H786" s="598" t="s">
        <v>3309</v>
      </c>
      <c r="I786" s="598" t="s">
        <v>3309</v>
      </c>
      <c r="J786" s="598" t="s">
        <v>3309</v>
      </c>
      <c r="K786" s="598" t="s">
        <v>321</v>
      </c>
      <c r="L786" s="598" t="s">
        <v>321</v>
      </c>
      <c r="M786" s="598" t="s">
        <v>3309</v>
      </c>
      <c r="N786" s="598" t="s">
        <v>3309</v>
      </c>
      <c r="O786" s="598" t="s">
        <v>3309</v>
      </c>
      <c r="P786" s="598" t="s">
        <v>3309</v>
      </c>
      <c r="Q786" s="598" t="s">
        <v>3309</v>
      </c>
      <c r="R786" s="598" t="s">
        <v>321</v>
      </c>
      <c r="S786" s="598" t="s">
        <v>321</v>
      </c>
      <c r="T786" s="598" t="s">
        <v>3309</v>
      </c>
      <c r="U786" s="598" t="s">
        <v>3309</v>
      </c>
      <c r="V786" s="598" t="s">
        <v>3309</v>
      </c>
      <c r="W786" s="598" t="s">
        <v>3309</v>
      </c>
      <c r="X786" s="598" t="s">
        <v>3309</v>
      </c>
      <c r="Y786" s="598" t="s">
        <v>321</v>
      </c>
      <c r="Z786" s="598" t="s">
        <v>321</v>
      </c>
      <c r="AA786" s="598" t="s">
        <v>3309</v>
      </c>
      <c r="AB786" s="598" t="s">
        <v>3309</v>
      </c>
      <c r="AC786" s="598" t="s">
        <v>3309</v>
      </c>
      <c r="AD786" s="598" t="s">
        <v>3309</v>
      </c>
      <c r="AE786" s="598" t="s">
        <v>3309</v>
      </c>
      <c r="AF786" s="598" t="s">
        <v>321</v>
      </c>
      <c r="AG786" s="598" t="s">
        <v>321</v>
      </c>
      <c r="AH786" s="598" t="s">
        <v>3309</v>
      </c>
      <c r="AI786" s="598" t="s">
        <v>321</v>
      </c>
      <c r="AJ786" s="599">
        <v>21</v>
      </c>
      <c r="AK786" s="600">
        <v>20</v>
      </c>
      <c r="AL786" s="602">
        <v>1</v>
      </c>
      <c r="AM786" s="601">
        <v>0</v>
      </c>
      <c r="AN786" s="599">
        <v>21</v>
      </c>
    </row>
    <row r="787" spans="1:40" ht="16.5" customHeight="1">
      <c r="A787" s="598" t="s">
        <v>3337</v>
      </c>
      <c r="B787" s="598" t="s">
        <v>3347</v>
      </c>
      <c r="C787" s="598" t="s">
        <v>1640</v>
      </c>
      <c r="D787" s="598" t="s">
        <v>1641</v>
      </c>
      <c r="E787" s="598" t="s">
        <v>321</v>
      </c>
      <c r="F787" s="598" t="s">
        <v>3309</v>
      </c>
      <c r="G787" s="598" t="s">
        <v>3309</v>
      </c>
      <c r="H787" s="598" t="s">
        <v>3309</v>
      </c>
      <c r="I787" s="598" t="s">
        <v>3309</v>
      </c>
      <c r="J787" s="598" t="s">
        <v>3309</v>
      </c>
      <c r="K787" s="598" t="s">
        <v>321</v>
      </c>
      <c r="L787" s="598" t="s">
        <v>321</v>
      </c>
      <c r="M787" s="598" t="s">
        <v>3309</v>
      </c>
      <c r="N787" s="598" t="s">
        <v>3309</v>
      </c>
      <c r="O787" s="598" t="s">
        <v>3309</v>
      </c>
      <c r="P787" s="598" t="s">
        <v>3309</v>
      </c>
      <c r="Q787" s="598" t="s">
        <v>3309</v>
      </c>
      <c r="R787" s="598" t="s">
        <v>321</v>
      </c>
      <c r="S787" s="598" t="s">
        <v>321</v>
      </c>
      <c r="T787" s="598" t="s">
        <v>3309</v>
      </c>
      <c r="U787" s="598" t="s">
        <v>3309</v>
      </c>
      <c r="V787" s="598" t="s">
        <v>3309</v>
      </c>
      <c r="W787" s="598" t="s">
        <v>3309</v>
      </c>
      <c r="X787" s="598" t="s">
        <v>3309</v>
      </c>
      <c r="Y787" s="598" t="s">
        <v>321</v>
      </c>
      <c r="Z787" s="598" t="s">
        <v>321</v>
      </c>
      <c r="AA787" s="598" t="s">
        <v>3309</v>
      </c>
      <c r="AB787" s="598" t="s">
        <v>3309</v>
      </c>
      <c r="AC787" s="598" t="s">
        <v>3309</v>
      </c>
      <c r="AD787" s="598" t="s">
        <v>3309</v>
      </c>
      <c r="AE787" s="598" t="s">
        <v>3309</v>
      </c>
      <c r="AF787" s="598" t="s">
        <v>321</v>
      </c>
      <c r="AG787" s="598" t="s">
        <v>321</v>
      </c>
      <c r="AH787" s="598" t="s">
        <v>3309</v>
      </c>
      <c r="AI787" s="598" t="s">
        <v>321</v>
      </c>
      <c r="AJ787" s="599">
        <v>21</v>
      </c>
      <c r="AK787" s="600">
        <v>21</v>
      </c>
      <c r="AL787" s="601">
        <v>0</v>
      </c>
      <c r="AM787" s="601">
        <v>0</v>
      </c>
      <c r="AN787" s="599">
        <v>21</v>
      </c>
    </row>
    <row r="788" spans="1:40" ht="16.5" customHeight="1">
      <c r="A788" s="598" t="s">
        <v>3337</v>
      </c>
      <c r="B788" s="598" t="s">
        <v>3347</v>
      </c>
      <c r="C788" s="598" t="s">
        <v>815</v>
      </c>
      <c r="D788" s="598" t="s">
        <v>816</v>
      </c>
      <c r="E788" s="598" t="s">
        <v>321</v>
      </c>
      <c r="F788" s="598" t="s">
        <v>3309</v>
      </c>
      <c r="G788" s="598" t="s">
        <v>3309</v>
      </c>
      <c r="H788" s="598" t="s">
        <v>3309</v>
      </c>
      <c r="I788" s="598" t="s">
        <v>3309</v>
      </c>
      <c r="J788" s="598" t="s">
        <v>3309</v>
      </c>
      <c r="K788" s="598" t="s">
        <v>321</v>
      </c>
      <c r="L788" s="598" t="s">
        <v>321</v>
      </c>
      <c r="M788" s="598" t="s">
        <v>3309</v>
      </c>
      <c r="N788" s="598" t="s">
        <v>3309</v>
      </c>
      <c r="O788" s="598" t="s">
        <v>3309</v>
      </c>
      <c r="P788" s="598" t="s">
        <v>3309</v>
      </c>
      <c r="Q788" s="598" t="s">
        <v>3309</v>
      </c>
      <c r="R788" s="598" t="s">
        <v>321</v>
      </c>
      <c r="S788" s="598" t="s">
        <v>321</v>
      </c>
      <c r="T788" s="598" t="s">
        <v>3309</v>
      </c>
      <c r="U788" s="598" t="s">
        <v>3309</v>
      </c>
      <c r="V788" s="598" t="s">
        <v>3309</v>
      </c>
      <c r="W788" s="598" t="s">
        <v>3309</v>
      </c>
      <c r="X788" s="598" t="s">
        <v>3309</v>
      </c>
      <c r="Y788" s="598" t="s">
        <v>321</v>
      </c>
      <c r="Z788" s="598" t="s">
        <v>321</v>
      </c>
      <c r="AA788" s="598" t="s">
        <v>3309</v>
      </c>
      <c r="AB788" s="598" t="s">
        <v>3309</v>
      </c>
      <c r="AC788" s="598" t="s">
        <v>3309</v>
      </c>
      <c r="AD788" s="598" t="s">
        <v>3309</v>
      </c>
      <c r="AE788" s="598" t="s">
        <v>3309</v>
      </c>
      <c r="AF788" s="598" t="s">
        <v>321</v>
      </c>
      <c r="AG788" s="598" t="s">
        <v>321</v>
      </c>
      <c r="AH788" s="598" t="s">
        <v>3309</v>
      </c>
      <c r="AI788" s="598" t="s">
        <v>321</v>
      </c>
      <c r="AJ788" s="599">
        <v>21</v>
      </c>
      <c r="AK788" s="600">
        <v>21</v>
      </c>
      <c r="AL788" s="601">
        <v>0</v>
      </c>
      <c r="AM788" s="601">
        <v>0</v>
      </c>
      <c r="AN788" s="599">
        <v>21</v>
      </c>
    </row>
    <row r="789" spans="1:40" ht="16.5" customHeight="1">
      <c r="A789" s="598" t="s">
        <v>3337</v>
      </c>
      <c r="B789" s="598" t="s">
        <v>3347</v>
      </c>
      <c r="C789" s="598" t="s">
        <v>2479</v>
      </c>
      <c r="D789" s="598" t="s">
        <v>2480</v>
      </c>
      <c r="E789" s="598" t="s">
        <v>321</v>
      </c>
      <c r="F789" s="598" t="s">
        <v>3309</v>
      </c>
      <c r="G789" s="598" t="s">
        <v>3309</v>
      </c>
      <c r="H789" s="598" t="s">
        <v>3309</v>
      </c>
      <c r="I789" s="598" t="s">
        <v>3309</v>
      </c>
      <c r="J789" s="598" t="s">
        <v>3309</v>
      </c>
      <c r="K789" s="598" t="s">
        <v>321</v>
      </c>
      <c r="L789" s="598" t="s">
        <v>321</v>
      </c>
      <c r="M789" s="598" t="s">
        <v>3309</v>
      </c>
      <c r="N789" s="598" t="s">
        <v>3309</v>
      </c>
      <c r="O789" s="598" t="s">
        <v>3309</v>
      </c>
      <c r="P789" s="598" t="s">
        <v>3309</v>
      </c>
      <c r="Q789" s="598" t="s">
        <v>3309</v>
      </c>
      <c r="R789" s="598" t="s">
        <v>321</v>
      </c>
      <c r="S789" s="598" t="s">
        <v>321</v>
      </c>
      <c r="T789" s="598" t="s">
        <v>3309</v>
      </c>
      <c r="U789" s="598" t="s">
        <v>3309</v>
      </c>
      <c r="V789" s="598" t="s">
        <v>3309</v>
      </c>
      <c r="W789" s="598" t="s">
        <v>3312</v>
      </c>
      <c r="X789" s="598" t="s">
        <v>3309</v>
      </c>
      <c r="Y789" s="598" t="s">
        <v>321</v>
      </c>
      <c r="Z789" s="598" t="s">
        <v>321</v>
      </c>
      <c r="AA789" s="598" t="s">
        <v>3309</v>
      </c>
      <c r="AB789" s="598" t="s">
        <v>3309</v>
      </c>
      <c r="AC789" s="598" t="s">
        <v>3309</v>
      </c>
      <c r="AD789" s="598" t="s">
        <v>3309</v>
      </c>
      <c r="AE789" s="598" t="s">
        <v>3309</v>
      </c>
      <c r="AF789" s="598" t="s">
        <v>321</v>
      </c>
      <c r="AG789" s="598" t="s">
        <v>321</v>
      </c>
      <c r="AH789" s="598" t="s">
        <v>3309</v>
      </c>
      <c r="AI789" s="598" t="s">
        <v>321</v>
      </c>
      <c r="AJ789" s="599">
        <v>21</v>
      </c>
      <c r="AK789" s="600">
        <v>20</v>
      </c>
      <c r="AL789" s="602">
        <v>1</v>
      </c>
      <c r="AM789" s="601">
        <v>0</v>
      </c>
      <c r="AN789" s="599">
        <v>21</v>
      </c>
    </row>
    <row r="790" spans="1:40" ht="16.5" customHeight="1">
      <c r="A790" s="598" t="s">
        <v>3337</v>
      </c>
      <c r="B790" s="598" t="s">
        <v>3347</v>
      </c>
      <c r="C790" s="598" t="s">
        <v>2554</v>
      </c>
      <c r="D790" s="598" t="s">
        <v>2555</v>
      </c>
      <c r="E790" s="598" t="s">
        <v>321</v>
      </c>
      <c r="F790" s="598" t="s">
        <v>3309</v>
      </c>
      <c r="G790" s="598" t="s">
        <v>3309</v>
      </c>
      <c r="H790" s="598" t="s">
        <v>3309</v>
      </c>
      <c r="I790" s="598" t="s">
        <v>3309</v>
      </c>
      <c r="J790" s="598" t="s">
        <v>3309</v>
      </c>
      <c r="K790" s="598" t="s">
        <v>321</v>
      </c>
      <c r="L790" s="598" t="s">
        <v>321</v>
      </c>
      <c r="M790" s="598" t="s">
        <v>3309</v>
      </c>
      <c r="N790" s="598" t="s">
        <v>3309</v>
      </c>
      <c r="O790" s="598" t="s">
        <v>3309</v>
      </c>
      <c r="P790" s="598" t="s">
        <v>3309</v>
      </c>
      <c r="Q790" s="598" t="s">
        <v>3309</v>
      </c>
      <c r="R790" s="598" t="s">
        <v>321</v>
      </c>
      <c r="S790" s="598" t="s">
        <v>321</v>
      </c>
      <c r="T790" s="598" t="s">
        <v>3309</v>
      </c>
      <c r="U790" s="598" t="s">
        <v>3309</v>
      </c>
      <c r="V790" s="598" t="s">
        <v>3309</v>
      </c>
      <c r="W790" s="598" t="s">
        <v>3309</v>
      </c>
      <c r="X790" s="598" t="s">
        <v>3309</v>
      </c>
      <c r="Y790" s="598" t="s">
        <v>321</v>
      </c>
      <c r="Z790" s="598" t="s">
        <v>321</v>
      </c>
      <c r="AA790" s="598" t="s">
        <v>3309</v>
      </c>
      <c r="AB790" s="598" t="s">
        <v>3309</v>
      </c>
      <c r="AC790" s="598" t="s">
        <v>3309</v>
      </c>
      <c r="AD790" s="598" t="s">
        <v>3309</v>
      </c>
      <c r="AE790" s="598" t="s">
        <v>3309</v>
      </c>
      <c r="AF790" s="598" t="s">
        <v>321</v>
      </c>
      <c r="AG790" s="598" t="s">
        <v>321</v>
      </c>
      <c r="AH790" s="598" t="s">
        <v>3309</v>
      </c>
      <c r="AI790" s="598" t="s">
        <v>321</v>
      </c>
      <c r="AJ790" s="599">
        <v>21</v>
      </c>
      <c r="AK790" s="600">
        <v>21</v>
      </c>
      <c r="AL790" s="601">
        <v>0</v>
      </c>
      <c r="AM790" s="601">
        <v>0</v>
      </c>
      <c r="AN790" s="599">
        <v>21</v>
      </c>
    </row>
    <row r="791" spans="1:40" ht="16.5" customHeight="1">
      <c r="A791" s="598" t="s">
        <v>3337</v>
      </c>
      <c r="B791" s="598" t="s">
        <v>3347</v>
      </c>
      <c r="C791" s="598" t="s">
        <v>2026</v>
      </c>
      <c r="D791" s="598" t="s">
        <v>2027</v>
      </c>
      <c r="E791" s="598" t="s">
        <v>321</v>
      </c>
      <c r="F791" s="598" t="s">
        <v>3309</v>
      </c>
      <c r="G791" s="598" t="s">
        <v>3309</v>
      </c>
      <c r="H791" s="598" t="s">
        <v>3309</v>
      </c>
      <c r="I791" s="598" t="s">
        <v>3309</v>
      </c>
      <c r="J791" s="598" t="s">
        <v>3309</v>
      </c>
      <c r="K791" s="598" t="s">
        <v>321</v>
      </c>
      <c r="L791" s="598" t="s">
        <v>321</v>
      </c>
      <c r="M791" s="598" t="s">
        <v>3309</v>
      </c>
      <c r="N791" s="598" t="s">
        <v>3309</v>
      </c>
      <c r="O791" s="598" t="s">
        <v>3309</v>
      </c>
      <c r="P791" s="598" t="s">
        <v>3309</v>
      </c>
      <c r="Q791" s="598" t="s">
        <v>3309</v>
      </c>
      <c r="R791" s="598" t="s">
        <v>321</v>
      </c>
      <c r="S791" s="598" t="s">
        <v>321</v>
      </c>
      <c r="T791" s="598" t="s">
        <v>3309</v>
      </c>
      <c r="U791" s="598" t="s">
        <v>3309</v>
      </c>
      <c r="V791" s="598" t="s">
        <v>3309</v>
      </c>
      <c r="W791" s="598" t="s">
        <v>3309</v>
      </c>
      <c r="X791" s="598" t="s">
        <v>3309</v>
      </c>
      <c r="Y791" s="598" t="s">
        <v>321</v>
      </c>
      <c r="Z791" s="598" t="s">
        <v>321</v>
      </c>
      <c r="AA791" s="598" t="s">
        <v>3309</v>
      </c>
      <c r="AB791" s="598" t="s">
        <v>3309</v>
      </c>
      <c r="AC791" s="598" t="s">
        <v>3309</v>
      </c>
      <c r="AD791" s="598" t="s">
        <v>3309</v>
      </c>
      <c r="AE791" s="598" t="s">
        <v>3309</v>
      </c>
      <c r="AF791" s="598" t="s">
        <v>321</v>
      </c>
      <c r="AG791" s="598" t="s">
        <v>321</v>
      </c>
      <c r="AH791" s="598" t="s">
        <v>3309</v>
      </c>
      <c r="AI791" s="598" t="s">
        <v>321</v>
      </c>
      <c r="AJ791" s="599">
        <v>21</v>
      </c>
      <c r="AK791" s="600">
        <v>21</v>
      </c>
      <c r="AL791" s="601">
        <v>0</v>
      </c>
      <c r="AM791" s="601">
        <v>0</v>
      </c>
      <c r="AN791" s="599">
        <v>21</v>
      </c>
    </row>
    <row r="792" spans="1:40" ht="16.5" customHeight="1">
      <c r="A792" s="598" t="s">
        <v>3337</v>
      </c>
      <c r="B792" s="598" t="s">
        <v>3347</v>
      </c>
      <c r="C792" s="598" t="s">
        <v>1830</v>
      </c>
      <c r="D792" s="598" t="s">
        <v>1831</v>
      </c>
      <c r="E792" s="598" t="s">
        <v>321</v>
      </c>
      <c r="F792" s="598" t="s">
        <v>3309</v>
      </c>
      <c r="G792" s="598" t="s">
        <v>3309</v>
      </c>
      <c r="H792" s="598" t="s">
        <v>3309</v>
      </c>
      <c r="I792" s="598" t="s">
        <v>3309</v>
      </c>
      <c r="J792" s="598" t="s">
        <v>3309</v>
      </c>
      <c r="K792" s="598" t="s">
        <v>321</v>
      </c>
      <c r="L792" s="598" t="s">
        <v>321</v>
      </c>
      <c r="M792" s="598" t="s">
        <v>3309</v>
      </c>
      <c r="N792" s="598" t="s">
        <v>3309</v>
      </c>
      <c r="O792" s="598" t="s">
        <v>3309</v>
      </c>
      <c r="P792" s="598" t="s">
        <v>3309</v>
      </c>
      <c r="Q792" s="598" t="s">
        <v>3309</v>
      </c>
      <c r="R792" s="598" t="s">
        <v>321</v>
      </c>
      <c r="S792" s="598" t="s">
        <v>321</v>
      </c>
      <c r="T792" s="598" t="s">
        <v>3309</v>
      </c>
      <c r="U792" s="598" t="s">
        <v>3309</v>
      </c>
      <c r="V792" s="598" t="s">
        <v>3309</v>
      </c>
      <c r="W792" s="598" t="s">
        <v>3309</v>
      </c>
      <c r="X792" s="598" t="s">
        <v>3309</v>
      </c>
      <c r="Y792" s="598" t="s">
        <v>321</v>
      </c>
      <c r="Z792" s="598" t="s">
        <v>321</v>
      </c>
      <c r="AA792" s="598" t="s">
        <v>3309</v>
      </c>
      <c r="AB792" s="598" t="s">
        <v>3309</v>
      </c>
      <c r="AC792" s="598" t="s">
        <v>3309</v>
      </c>
      <c r="AD792" s="598" t="s">
        <v>3309</v>
      </c>
      <c r="AE792" s="598" t="s">
        <v>3309</v>
      </c>
      <c r="AF792" s="598" t="s">
        <v>321</v>
      </c>
      <c r="AG792" s="598" t="s">
        <v>321</v>
      </c>
      <c r="AH792" s="598" t="s">
        <v>3309</v>
      </c>
      <c r="AI792" s="598" t="s">
        <v>321</v>
      </c>
      <c r="AJ792" s="599">
        <v>21</v>
      </c>
      <c r="AK792" s="600">
        <v>21</v>
      </c>
      <c r="AL792" s="601">
        <v>0</v>
      </c>
      <c r="AM792" s="601">
        <v>0</v>
      </c>
      <c r="AN792" s="599">
        <v>21</v>
      </c>
    </row>
    <row r="793" spans="1:40" ht="16.5" customHeight="1">
      <c r="A793" s="598" t="s">
        <v>3337</v>
      </c>
      <c r="B793" s="598" t="s">
        <v>3347</v>
      </c>
      <c r="C793" s="598" t="s">
        <v>2199</v>
      </c>
      <c r="D793" s="598" t="s">
        <v>2200</v>
      </c>
      <c r="E793" s="598" t="s">
        <v>321</v>
      </c>
      <c r="F793" s="598" t="s">
        <v>3309</v>
      </c>
      <c r="G793" s="598" t="s">
        <v>3309</v>
      </c>
      <c r="H793" s="598" t="s">
        <v>3309</v>
      </c>
      <c r="I793" s="598" t="s">
        <v>3309</v>
      </c>
      <c r="J793" s="598" t="s">
        <v>3309</v>
      </c>
      <c r="K793" s="598" t="s">
        <v>321</v>
      </c>
      <c r="L793" s="598" t="s">
        <v>321</v>
      </c>
      <c r="M793" s="598" t="s">
        <v>3309</v>
      </c>
      <c r="N793" s="598" t="s">
        <v>3309</v>
      </c>
      <c r="O793" s="598" t="s">
        <v>3309</v>
      </c>
      <c r="P793" s="598" t="s">
        <v>3309</v>
      </c>
      <c r="Q793" s="598" t="s">
        <v>3309</v>
      </c>
      <c r="R793" s="598" t="s">
        <v>321</v>
      </c>
      <c r="S793" s="598" t="s">
        <v>321</v>
      </c>
      <c r="T793" s="598" t="s">
        <v>3309</v>
      </c>
      <c r="U793" s="598" t="s">
        <v>3309</v>
      </c>
      <c r="V793" s="598" t="s">
        <v>3309</v>
      </c>
      <c r="W793" s="598" t="s">
        <v>3309</v>
      </c>
      <c r="X793" s="598" t="s">
        <v>3309</v>
      </c>
      <c r="Y793" s="598" t="s">
        <v>321</v>
      </c>
      <c r="Z793" s="598" t="s">
        <v>321</v>
      </c>
      <c r="AA793" s="598" t="s">
        <v>3309</v>
      </c>
      <c r="AB793" s="598" t="s">
        <v>3309</v>
      </c>
      <c r="AC793" s="598" t="s">
        <v>3309</v>
      </c>
      <c r="AD793" s="598" t="s">
        <v>3309</v>
      </c>
      <c r="AE793" s="598" t="s">
        <v>3309</v>
      </c>
      <c r="AF793" s="598" t="s">
        <v>321</v>
      </c>
      <c r="AG793" s="598" t="s">
        <v>321</v>
      </c>
      <c r="AH793" s="598" t="s">
        <v>3309</v>
      </c>
      <c r="AI793" s="598" t="s">
        <v>321</v>
      </c>
      <c r="AJ793" s="599">
        <v>21</v>
      </c>
      <c r="AK793" s="600">
        <v>21</v>
      </c>
      <c r="AL793" s="601">
        <v>0</v>
      </c>
      <c r="AM793" s="601">
        <v>0</v>
      </c>
      <c r="AN793" s="599">
        <v>21</v>
      </c>
    </row>
    <row r="794" spans="1:40" ht="16.5" customHeight="1">
      <c r="A794" s="598" t="s">
        <v>3337</v>
      </c>
      <c r="B794" s="598" t="s">
        <v>3347</v>
      </c>
      <c r="C794" s="598" t="s">
        <v>1777</v>
      </c>
      <c r="D794" s="598" t="s">
        <v>1778</v>
      </c>
      <c r="E794" s="598" t="s">
        <v>321</v>
      </c>
      <c r="F794" s="598" t="s">
        <v>3309</v>
      </c>
      <c r="G794" s="598" t="s">
        <v>3309</v>
      </c>
      <c r="H794" s="598" t="s">
        <v>3309</v>
      </c>
      <c r="I794" s="598" t="s">
        <v>3309</v>
      </c>
      <c r="J794" s="598" t="s">
        <v>3309</v>
      </c>
      <c r="K794" s="598" t="s">
        <v>321</v>
      </c>
      <c r="L794" s="598" t="s">
        <v>321</v>
      </c>
      <c r="M794" s="598" t="s">
        <v>3309</v>
      </c>
      <c r="N794" s="598" t="s">
        <v>3309</v>
      </c>
      <c r="O794" s="598" t="s">
        <v>3309</v>
      </c>
      <c r="P794" s="598" t="s">
        <v>3309</v>
      </c>
      <c r="Q794" s="598" t="s">
        <v>3309</v>
      </c>
      <c r="R794" s="598" t="s">
        <v>321</v>
      </c>
      <c r="S794" s="598" t="s">
        <v>321</v>
      </c>
      <c r="T794" s="598" t="s">
        <v>3309</v>
      </c>
      <c r="U794" s="598" t="s">
        <v>3309</v>
      </c>
      <c r="V794" s="598" t="s">
        <v>3309</v>
      </c>
      <c r="W794" s="598" t="s">
        <v>3309</v>
      </c>
      <c r="X794" s="598" t="s">
        <v>3309</v>
      </c>
      <c r="Y794" s="598" t="s">
        <v>321</v>
      </c>
      <c r="Z794" s="598" t="s">
        <v>321</v>
      </c>
      <c r="AA794" s="598" t="s">
        <v>3309</v>
      </c>
      <c r="AB794" s="598" t="s">
        <v>3309</v>
      </c>
      <c r="AC794" s="598" t="s">
        <v>3309</v>
      </c>
      <c r="AD794" s="598" t="s">
        <v>3309</v>
      </c>
      <c r="AE794" s="598" t="s">
        <v>3309</v>
      </c>
      <c r="AF794" s="598" t="s">
        <v>321</v>
      </c>
      <c r="AG794" s="598" t="s">
        <v>321</v>
      </c>
      <c r="AH794" s="598" t="s">
        <v>3309</v>
      </c>
      <c r="AI794" s="598" t="s">
        <v>321</v>
      </c>
      <c r="AJ794" s="599">
        <v>21</v>
      </c>
      <c r="AK794" s="600">
        <v>21</v>
      </c>
      <c r="AL794" s="601">
        <v>0</v>
      </c>
      <c r="AM794" s="601">
        <v>0</v>
      </c>
      <c r="AN794" s="599">
        <v>21</v>
      </c>
    </row>
    <row r="795" spans="1:40" ht="16.5" customHeight="1">
      <c r="A795" s="598" t="s">
        <v>3337</v>
      </c>
      <c r="B795" s="598" t="s">
        <v>3347</v>
      </c>
      <c r="C795" s="598" t="s">
        <v>2376</v>
      </c>
      <c r="D795" s="598" t="s">
        <v>2377</v>
      </c>
      <c r="E795" s="598" t="s">
        <v>321</v>
      </c>
      <c r="F795" s="598" t="s">
        <v>3309</v>
      </c>
      <c r="G795" s="598" t="s">
        <v>3309</v>
      </c>
      <c r="H795" s="598" t="s">
        <v>3309</v>
      </c>
      <c r="I795" s="598" t="s">
        <v>3309</v>
      </c>
      <c r="J795" s="598" t="s">
        <v>3309</v>
      </c>
      <c r="K795" s="598" t="s">
        <v>321</v>
      </c>
      <c r="L795" s="598" t="s">
        <v>321</v>
      </c>
      <c r="M795" s="598" t="s">
        <v>3309</v>
      </c>
      <c r="N795" s="598" t="s">
        <v>3309</v>
      </c>
      <c r="O795" s="598" t="s">
        <v>3309</v>
      </c>
      <c r="P795" s="598" t="s">
        <v>3309</v>
      </c>
      <c r="Q795" s="598" t="s">
        <v>3309</v>
      </c>
      <c r="R795" s="598" t="s">
        <v>321</v>
      </c>
      <c r="S795" s="598" t="s">
        <v>321</v>
      </c>
      <c r="T795" s="598" t="s">
        <v>3309</v>
      </c>
      <c r="U795" s="598" t="s">
        <v>3309</v>
      </c>
      <c r="V795" s="598" t="s">
        <v>3309</v>
      </c>
      <c r="W795" s="598" t="s">
        <v>3309</v>
      </c>
      <c r="X795" s="598" t="s">
        <v>3312</v>
      </c>
      <c r="Y795" s="598" t="s">
        <v>321</v>
      </c>
      <c r="Z795" s="598" t="s">
        <v>321</v>
      </c>
      <c r="AA795" s="598" t="s">
        <v>3309</v>
      </c>
      <c r="AB795" s="598" t="s">
        <v>3309</v>
      </c>
      <c r="AC795" s="598" t="s">
        <v>3309</v>
      </c>
      <c r="AD795" s="598" t="s">
        <v>3309</v>
      </c>
      <c r="AE795" s="598" t="s">
        <v>3309</v>
      </c>
      <c r="AF795" s="598" t="s">
        <v>321</v>
      </c>
      <c r="AG795" s="598" t="s">
        <v>321</v>
      </c>
      <c r="AH795" s="598" t="s">
        <v>3309</v>
      </c>
      <c r="AI795" s="598" t="s">
        <v>321</v>
      </c>
      <c r="AJ795" s="599">
        <v>21</v>
      </c>
      <c r="AK795" s="600">
        <v>20</v>
      </c>
      <c r="AL795" s="602">
        <v>1</v>
      </c>
      <c r="AM795" s="601">
        <v>0</v>
      </c>
      <c r="AN795" s="599">
        <v>21</v>
      </c>
    </row>
    <row r="796" spans="1:40" ht="16.5" customHeight="1">
      <c r="A796" s="598" t="s">
        <v>3337</v>
      </c>
      <c r="B796" s="598" t="s">
        <v>3347</v>
      </c>
      <c r="C796" s="598" t="s">
        <v>1525</v>
      </c>
      <c r="D796" s="598" t="s">
        <v>1526</v>
      </c>
      <c r="E796" s="598" t="s">
        <v>321</v>
      </c>
      <c r="F796" s="598" t="s">
        <v>3309</v>
      </c>
      <c r="G796" s="598" t="s">
        <v>3309</v>
      </c>
      <c r="H796" s="598" t="s">
        <v>3309</v>
      </c>
      <c r="I796" s="598" t="s">
        <v>3309</v>
      </c>
      <c r="J796" s="598" t="s">
        <v>3309</v>
      </c>
      <c r="K796" s="598" t="s">
        <v>321</v>
      </c>
      <c r="L796" s="598" t="s">
        <v>321</v>
      </c>
      <c r="M796" s="598" t="s">
        <v>3309</v>
      </c>
      <c r="N796" s="598" t="s">
        <v>3309</v>
      </c>
      <c r="O796" s="598" t="s">
        <v>3309</v>
      </c>
      <c r="P796" s="598" t="s">
        <v>3309</v>
      </c>
      <c r="Q796" s="598" t="s">
        <v>3309</v>
      </c>
      <c r="R796" s="598" t="s">
        <v>321</v>
      </c>
      <c r="S796" s="598" t="s">
        <v>321</v>
      </c>
      <c r="T796" s="598" t="s">
        <v>3309</v>
      </c>
      <c r="U796" s="598" t="s">
        <v>3309</v>
      </c>
      <c r="V796" s="598" t="s">
        <v>3309</v>
      </c>
      <c r="W796" s="598" t="s">
        <v>3309</v>
      </c>
      <c r="X796" s="598" t="s">
        <v>3309</v>
      </c>
      <c r="Y796" s="598" t="s">
        <v>321</v>
      </c>
      <c r="Z796" s="598" t="s">
        <v>321</v>
      </c>
      <c r="AA796" s="598" t="s">
        <v>3309</v>
      </c>
      <c r="AB796" s="598" t="s">
        <v>3309</v>
      </c>
      <c r="AC796" s="598" t="s">
        <v>3309</v>
      </c>
      <c r="AD796" s="598" t="s">
        <v>3309</v>
      </c>
      <c r="AE796" s="598" t="s">
        <v>3309</v>
      </c>
      <c r="AF796" s="598" t="s">
        <v>321</v>
      </c>
      <c r="AG796" s="598" t="s">
        <v>321</v>
      </c>
      <c r="AH796" s="598" t="s">
        <v>3309</v>
      </c>
      <c r="AI796" s="598" t="s">
        <v>321</v>
      </c>
      <c r="AJ796" s="599">
        <v>21</v>
      </c>
      <c r="AK796" s="600">
        <v>21</v>
      </c>
      <c r="AL796" s="601">
        <v>0</v>
      </c>
      <c r="AM796" s="601">
        <v>0</v>
      </c>
      <c r="AN796" s="599">
        <v>21</v>
      </c>
    </row>
    <row r="797" spans="1:40" ht="16.5" customHeight="1">
      <c r="A797" s="598" t="s">
        <v>3337</v>
      </c>
      <c r="B797" s="598" t="s">
        <v>3347</v>
      </c>
      <c r="C797" s="598" t="s">
        <v>2348</v>
      </c>
      <c r="D797" s="598" t="s">
        <v>2349</v>
      </c>
      <c r="E797" s="598" t="s">
        <v>321</v>
      </c>
      <c r="F797" s="598" t="s">
        <v>3309</v>
      </c>
      <c r="G797" s="598" t="s">
        <v>3309</v>
      </c>
      <c r="H797" s="598" t="s">
        <v>3309</v>
      </c>
      <c r="I797" s="598" t="s">
        <v>3309</v>
      </c>
      <c r="J797" s="598" t="s">
        <v>3309</v>
      </c>
      <c r="K797" s="598" t="s">
        <v>321</v>
      </c>
      <c r="L797" s="598" t="s">
        <v>321</v>
      </c>
      <c r="M797" s="598" t="s">
        <v>3309</v>
      </c>
      <c r="N797" s="598" t="s">
        <v>3309</v>
      </c>
      <c r="O797" s="598" t="s">
        <v>3309</v>
      </c>
      <c r="P797" s="598" t="s">
        <v>3309</v>
      </c>
      <c r="Q797" s="598" t="s">
        <v>3309</v>
      </c>
      <c r="R797" s="598" t="s">
        <v>321</v>
      </c>
      <c r="S797" s="598" t="s">
        <v>321</v>
      </c>
      <c r="T797" s="598" t="s">
        <v>3309</v>
      </c>
      <c r="U797" s="598" t="s">
        <v>3309</v>
      </c>
      <c r="V797" s="598" t="s">
        <v>3309</v>
      </c>
      <c r="W797" s="598" t="s">
        <v>3309</v>
      </c>
      <c r="X797" s="598" t="s">
        <v>3309</v>
      </c>
      <c r="Y797" s="598" t="s">
        <v>321</v>
      </c>
      <c r="Z797" s="598" t="s">
        <v>321</v>
      </c>
      <c r="AA797" s="598" t="s">
        <v>3309</v>
      </c>
      <c r="AB797" s="598" t="s">
        <v>3309</v>
      </c>
      <c r="AC797" s="598" t="s">
        <v>3309</v>
      </c>
      <c r="AD797" s="598" t="s">
        <v>3309</v>
      </c>
      <c r="AE797" s="598" t="s">
        <v>3309</v>
      </c>
      <c r="AF797" s="598" t="s">
        <v>321</v>
      </c>
      <c r="AG797" s="598" t="s">
        <v>321</v>
      </c>
      <c r="AH797" s="598" t="s">
        <v>3309</v>
      </c>
      <c r="AI797" s="598" t="s">
        <v>321</v>
      </c>
      <c r="AJ797" s="599">
        <v>21</v>
      </c>
      <c r="AK797" s="600">
        <v>21</v>
      </c>
      <c r="AL797" s="601">
        <v>0</v>
      </c>
      <c r="AM797" s="601">
        <v>0</v>
      </c>
      <c r="AN797" s="599">
        <v>21</v>
      </c>
    </row>
    <row r="798" spans="1:40" ht="16.5" customHeight="1">
      <c r="A798" s="598" t="s">
        <v>3337</v>
      </c>
      <c r="B798" s="598" t="s">
        <v>3347</v>
      </c>
      <c r="C798" s="598" t="s">
        <v>2295</v>
      </c>
      <c r="D798" s="598" t="s">
        <v>2296</v>
      </c>
      <c r="E798" s="598" t="s">
        <v>321</v>
      </c>
      <c r="F798" s="598" t="s">
        <v>3309</v>
      </c>
      <c r="G798" s="598" t="s">
        <v>3309</v>
      </c>
      <c r="H798" s="598" t="s">
        <v>3309</v>
      </c>
      <c r="I798" s="598" t="s">
        <v>3309</v>
      </c>
      <c r="J798" s="598" t="s">
        <v>3309</v>
      </c>
      <c r="K798" s="598" t="s">
        <v>321</v>
      </c>
      <c r="L798" s="598" t="s">
        <v>321</v>
      </c>
      <c r="M798" s="598" t="s">
        <v>3309</v>
      </c>
      <c r="N798" s="598" t="s">
        <v>3309</v>
      </c>
      <c r="O798" s="598" t="s">
        <v>3309</v>
      </c>
      <c r="P798" s="598" t="s">
        <v>3309</v>
      </c>
      <c r="Q798" s="598" t="s">
        <v>3309</v>
      </c>
      <c r="R798" s="598" t="s">
        <v>321</v>
      </c>
      <c r="S798" s="598" t="s">
        <v>321</v>
      </c>
      <c r="T798" s="598" t="s">
        <v>3309</v>
      </c>
      <c r="U798" s="598" t="s">
        <v>3309</v>
      </c>
      <c r="V798" s="598" t="s">
        <v>3309</v>
      </c>
      <c r="W798" s="598" t="s">
        <v>3309</v>
      </c>
      <c r="X798" s="598" t="s">
        <v>3309</v>
      </c>
      <c r="Y798" s="598" t="s">
        <v>321</v>
      </c>
      <c r="Z798" s="598" t="s">
        <v>321</v>
      </c>
      <c r="AA798" s="598" t="s">
        <v>3309</v>
      </c>
      <c r="AB798" s="598" t="s">
        <v>3309</v>
      </c>
      <c r="AC798" s="598" t="s">
        <v>3309</v>
      </c>
      <c r="AD798" s="598" t="s">
        <v>3309</v>
      </c>
      <c r="AE798" s="598" t="s">
        <v>3309</v>
      </c>
      <c r="AF798" s="598" t="s">
        <v>321</v>
      </c>
      <c r="AG798" s="598" t="s">
        <v>321</v>
      </c>
      <c r="AH798" s="598" t="s">
        <v>3309</v>
      </c>
      <c r="AI798" s="598" t="s">
        <v>321</v>
      </c>
      <c r="AJ798" s="599">
        <v>21</v>
      </c>
      <c r="AK798" s="600">
        <v>21</v>
      </c>
      <c r="AL798" s="601">
        <v>0</v>
      </c>
      <c r="AM798" s="601">
        <v>0</v>
      </c>
      <c r="AN798" s="599">
        <v>21</v>
      </c>
    </row>
    <row r="799" spans="1:40" ht="16.5" customHeight="1">
      <c r="A799" s="598" t="s">
        <v>3337</v>
      </c>
      <c r="B799" s="598" t="s">
        <v>3347</v>
      </c>
      <c r="C799" s="598" t="s">
        <v>892</v>
      </c>
      <c r="D799" s="598" t="s">
        <v>893</v>
      </c>
      <c r="E799" s="598" t="s">
        <v>321</v>
      </c>
      <c r="F799" s="598" t="s">
        <v>3309</v>
      </c>
      <c r="G799" s="598" t="s">
        <v>3309</v>
      </c>
      <c r="H799" s="598" t="s">
        <v>3309</v>
      </c>
      <c r="I799" s="598" t="s">
        <v>3309</v>
      </c>
      <c r="J799" s="598" t="s">
        <v>3309</v>
      </c>
      <c r="K799" s="598" t="s">
        <v>321</v>
      </c>
      <c r="L799" s="598" t="s">
        <v>321</v>
      </c>
      <c r="M799" s="598" t="s">
        <v>3309</v>
      </c>
      <c r="N799" s="598" t="s">
        <v>3309</v>
      </c>
      <c r="O799" s="598" t="s">
        <v>3309</v>
      </c>
      <c r="P799" s="598" t="s">
        <v>3309</v>
      </c>
      <c r="Q799" s="598" t="s">
        <v>3309</v>
      </c>
      <c r="R799" s="598" t="s">
        <v>321</v>
      </c>
      <c r="S799" s="598" t="s">
        <v>321</v>
      </c>
      <c r="T799" s="598" t="s">
        <v>3309</v>
      </c>
      <c r="U799" s="598" t="s">
        <v>3309</v>
      </c>
      <c r="V799" s="598" t="s">
        <v>3309</v>
      </c>
      <c r="W799" s="598" t="s">
        <v>3309</v>
      </c>
      <c r="X799" s="598" t="s">
        <v>3309</v>
      </c>
      <c r="Y799" s="598" t="s">
        <v>321</v>
      </c>
      <c r="Z799" s="598" t="s">
        <v>321</v>
      </c>
      <c r="AA799" s="598" t="s">
        <v>3309</v>
      </c>
      <c r="AB799" s="598" t="s">
        <v>3309</v>
      </c>
      <c r="AC799" s="598" t="s">
        <v>3309</v>
      </c>
      <c r="AD799" s="598" t="s">
        <v>3309</v>
      </c>
      <c r="AE799" s="598" t="s">
        <v>3309</v>
      </c>
      <c r="AF799" s="598" t="s">
        <v>321</v>
      </c>
      <c r="AG799" s="598" t="s">
        <v>321</v>
      </c>
      <c r="AH799" s="598" t="s">
        <v>3309</v>
      </c>
      <c r="AI799" s="598" t="s">
        <v>321</v>
      </c>
      <c r="AJ799" s="599">
        <v>21</v>
      </c>
      <c r="AK799" s="600">
        <v>21</v>
      </c>
      <c r="AL799" s="601">
        <v>0</v>
      </c>
      <c r="AM799" s="601">
        <v>0</v>
      </c>
      <c r="AN799" s="599">
        <v>21</v>
      </c>
    </row>
    <row r="800" spans="1:40" ht="16.5" customHeight="1">
      <c r="A800" s="598" t="s">
        <v>3337</v>
      </c>
      <c r="B800" s="598" t="s">
        <v>3348</v>
      </c>
      <c r="C800" s="598" t="s">
        <v>1413</v>
      </c>
      <c r="D800" s="598" t="s">
        <v>1414</v>
      </c>
      <c r="E800" s="598" t="s">
        <v>321</v>
      </c>
      <c r="F800" s="598" t="s">
        <v>3309</v>
      </c>
      <c r="G800" s="598" t="s">
        <v>3309</v>
      </c>
      <c r="H800" s="598" t="s">
        <v>3309</v>
      </c>
      <c r="I800" s="598" t="s">
        <v>3309</v>
      </c>
      <c r="J800" s="598" t="s">
        <v>3309</v>
      </c>
      <c r="K800" s="598" t="s">
        <v>321</v>
      </c>
      <c r="L800" s="598" t="s">
        <v>321</v>
      </c>
      <c r="M800" s="598" t="s">
        <v>3309</v>
      </c>
      <c r="N800" s="598" t="s">
        <v>3309</v>
      </c>
      <c r="O800" s="598" t="s">
        <v>3309</v>
      </c>
      <c r="P800" s="598" t="s">
        <v>3309</v>
      </c>
      <c r="Q800" s="598" t="s">
        <v>3309</v>
      </c>
      <c r="R800" s="598" t="s">
        <v>321</v>
      </c>
      <c r="S800" s="598" t="s">
        <v>321</v>
      </c>
      <c r="T800" s="598" t="s">
        <v>3309</v>
      </c>
      <c r="U800" s="598" t="s">
        <v>3309</v>
      </c>
      <c r="V800" s="598" t="s">
        <v>3309</v>
      </c>
      <c r="W800" s="598" t="s">
        <v>3309</v>
      </c>
      <c r="X800" s="598" t="s">
        <v>3309</v>
      </c>
      <c r="Y800" s="598" t="s">
        <v>321</v>
      </c>
      <c r="Z800" s="598" t="s">
        <v>321</v>
      </c>
      <c r="AA800" s="598" t="s">
        <v>3309</v>
      </c>
      <c r="AB800" s="598" t="s">
        <v>3309</v>
      </c>
      <c r="AC800" s="598" t="s">
        <v>3309</v>
      </c>
      <c r="AD800" s="598" t="s">
        <v>3309</v>
      </c>
      <c r="AE800" s="598" t="s">
        <v>3309</v>
      </c>
      <c r="AF800" s="598" t="s">
        <v>321</v>
      </c>
      <c r="AG800" s="598" t="s">
        <v>321</v>
      </c>
      <c r="AH800" s="598" t="s">
        <v>3309</v>
      </c>
      <c r="AI800" s="598" t="s">
        <v>321</v>
      </c>
      <c r="AJ800" s="599">
        <v>21</v>
      </c>
      <c r="AK800" s="600">
        <v>21</v>
      </c>
      <c r="AL800" s="601">
        <v>0</v>
      </c>
      <c r="AM800" s="601">
        <v>0</v>
      </c>
      <c r="AN800" s="599">
        <v>21</v>
      </c>
    </row>
    <row r="801" spans="1:40" ht="16.5" customHeight="1">
      <c r="A801" s="598" t="s">
        <v>3337</v>
      </c>
      <c r="B801" s="598" t="s">
        <v>3348</v>
      </c>
      <c r="C801" s="598" t="s">
        <v>1060</v>
      </c>
      <c r="D801" s="598" t="s">
        <v>1061</v>
      </c>
      <c r="E801" s="598" t="s">
        <v>321</v>
      </c>
      <c r="F801" s="598" t="s">
        <v>3309</v>
      </c>
      <c r="G801" s="598" t="s">
        <v>3312</v>
      </c>
      <c r="H801" s="598" t="s">
        <v>3309</v>
      </c>
      <c r="I801" s="598" t="s">
        <v>3309</v>
      </c>
      <c r="J801" s="598" t="s">
        <v>3309</v>
      </c>
      <c r="K801" s="598" t="s">
        <v>321</v>
      </c>
      <c r="L801" s="598" t="s">
        <v>321</v>
      </c>
      <c r="M801" s="598" t="s">
        <v>3309</v>
      </c>
      <c r="N801" s="598" t="s">
        <v>3309</v>
      </c>
      <c r="O801" s="598" t="s">
        <v>3309</v>
      </c>
      <c r="P801" s="598" t="s">
        <v>3314</v>
      </c>
      <c r="Q801" s="598" t="s">
        <v>3309</v>
      </c>
      <c r="R801" s="598" t="s">
        <v>321</v>
      </c>
      <c r="S801" s="598" t="s">
        <v>321</v>
      </c>
      <c r="T801" s="598" t="s">
        <v>3309</v>
      </c>
      <c r="U801" s="598" t="s">
        <v>3309</v>
      </c>
      <c r="V801" s="598" t="s">
        <v>3309</v>
      </c>
      <c r="W801" s="598" t="s">
        <v>3309</v>
      </c>
      <c r="X801" s="598" t="s">
        <v>3309</v>
      </c>
      <c r="Y801" s="598" t="s">
        <v>321</v>
      </c>
      <c r="Z801" s="598" t="s">
        <v>321</v>
      </c>
      <c r="AA801" s="598" t="s">
        <v>3309</v>
      </c>
      <c r="AB801" s="598" t="s">
        <v>3309</v>
      </c>
      <c r="AC801" s="598" t="s">
        <v>3309</v>
      </c>
      <c r="AD801" s="598" t="s">
        <v>3309</v>
      </c>
      <c r="AE801" s="598" t="s">
        <v>3309</v>
      </c>
      <c r="AF801" s="598" t="s">
        <v>321</v>
      </c>
      <c r="AG801" s="598" t="s">
        <v>321</v>
      </c>
      <c r="AH801" s="598" t="s">
        <v>3309</v>
      </c>
      <c r="AI801" s="598" t="s">
        <v>321</v>
      </c>
      <c r="AJ801" s="599">
        <v>21</v>
      </c>
      <c r="AK801" s="603">
        <v>19.5</v>
      </c>
      <c r="AL801" s="603">
        <v>1.5</v>
      </c>
      <c r="AM801" s="601">
        <v>0</v>
      </c>
      <c r="AN801" s="599">
        <v>21</v>
      </c>
    </row>
    <row r="802" spans="1:40" ht="16.5" customHeight="1">
      <c r="A802" s="598" t="s">
        <v>3337</v>
      </c>
      <c r="B802" s="598" t="s">
        <v>3348</v>
      </c>
      <c r="C802" s="598" t="s">
        <v>1282</v>
      </c>
      <c r="D802" s="598" t="s">
        <v>1283</v>
      </c>
      <c r="E802" s="598" t="s">
        <v>321</v>
      </c>
      <c r="F802" s="598" t="s">
        <v>3309</v>
      </c>
      <c r="G802" s="598" t="s">
        <v>3309</v>
      </c>
      <c r="H802" s="598" t="s">
        <v>3309</v>
      </c>
      <c r="I802" s="598" t="s">
        <v>3309</v>
      </c>
      <c r="J802" s="598" t="s">
        <v>3309</v>
      </c>
      <c r="K802" s="598" t="s">
        <v>321</v>
      </c>
      <c r="L802" s="598" t="s">
        <v>321</v>
      </c>
      <c r="M802" s="598" t="s">
        <v>3312</v>
      </c>
      <c r="N802" s="598" t="s">
        <v>3309</v>
      </c>
      <c r="O802" s="598" t="s">
        <v>3309</v>
      </c>
      <c r="P802" s="598" t="s">
        <v>3309</v>
      </c>
      <c r="Q802" s="598" t="s">
        <v>3309</v>
      </c>
      <c r="R802" s="598" t="s">
        <v>321</v>
      </c>
      <c r="S802" s="598" t="s">
        <v>321</v>
      </c>
      <c r="T802" s="598" t="s">
        <v>3309</v>
      </c>
      <c r="U802" s="598" t="s">
        <v>3309</v>
      </c>
      <c r="V802" s="598" t="s">
        <v>3309</v>
      </c>
      <c r="W802" s="598" t="s">
        <v>3309</v>
      </c>
      <c r="X802" s="598" t="s">
        <v>3309</v>
      </c>
      <c r="Y802" s="598" t="s">
        <v>321</v>
      </c>
      <c r="Z802" s="598" t="s">
        <v>321</v>
      </c>
      <c r="AA802" s="598" t="s">
        <v>3309</v>
      </c>
      <c r="AB802" s="598" t="s">
        <v>3309</v>
      </c>
      <c r="AC802" s="598" t="s">
        <v>3309</v>
      </c>
      <c r="AD802" s="598" t="s">
        <v>3309</v>
      </c>
      <c r="AE802" s="598" t="s">
        <v>3309</v>
      </c>
      <c r="AF802" s="598" t="s">
        <v>321</v>
      </c>
      <c r="AG802" s="598" t="s">
        <v>321</v>
      </c>
      <c r="AH802" s="598" t="s">
        <v>3309</v>
      </c>
      <c r="AI802" s="598" t="s">
        <v>321</v>
      </c>
      <c r="AJ802" s="599">
        <v>21</v>
      </c>
      <c r="AK802" s="600">
        <v>20</v>
      </c>
      <c r="AL802" s="602">
        <v>1</v>
      </c>
      <c r="AM802" s="601">
        <v>0</v>
      </c>
      <c r="AN802" s="599">
        <v>21</v>
      </c>
    </row>
    <row r="803" spans="1:40" ht="16.5" customHeight="1">
      <c r="A803" s="598" t="s">
        <v>3337</v>
      </c>
      <c r="B803" s="598" t="s">
        <v>3348</v>
      </c>
      <c r="C803" s="598" t="s">
        <v>2557</v>
      </c>
      <c r="D803" s="598" t="s">
        <v>2558</v>
      </c>
      <c r="E803" s="598" t="s">
        <v>321</v>
      </c>
      <c r="F803" s="598" t="s">
        <v>3309</v>
      </c>
      <c r="G803" s="598" t="s">
        <v>3309</v>
      </c>
      <c r="H803" s="598" t="s">
        <v>3309</v>
      </c>
      <c r="I803" s="598" t="s">
        <v>3309</v>
      </c>
      <c r="J803" s="598" t="s">
        <v>3309</v>
      </c>
      <c r="K803" s="598" t="s">
        <v>321</v>
      </c>
      <c r="L803" s="598" t="s">
        <v>321</v>
      </c>
      <c r="M803" s="598" t="s">
        <v>3309</v>
      </c>
      <c r="N803" s="598" t="s">
        <v>3309</v>
      </c>
      <c r="O803" s="598" t="s">
        <v>3309</v>
      </c>
      <c r="P803" s="598" t="s">
        <v>3309</v>
      </c>
      <c r="Q803" s="598" t="s">
        <v>3309</v>
      </c>
      <c r="R803" s="598" t="s">
        <v>321</v>
      </c>
      <c r="S803" s="598" t="s">
        <v>321</v>
      </c>
      <c r="T803" s="598" t="s">
        <v>3309</v>
      </c>
      <c r="U803" s="598" t="s">
        <v>3309</v>
      </c>
      <c r="V803" s="598" t="s">
        <v>3309</v>
      </c>
      <c r="W803" s="598" t="s">
        <v>3309</v>
      </c>
      <c r="X803" s="598" t="s">
        <v>3309</v>
      </c>
      <c r="Y803" s="598" t="s">
        <v>321</v>
      </c>
      <c r="Z803" s="598" t="s">
        <v>321</v>
      </c>
      <c r="AA803" s="598" t="s">
        <v>3309</v>
      </c>
      <c r="AB803" s="598" t="s">
        <v>3309</v>
      </c>
      <c r="AC803" s="598" t="s">
        <v>3309</v>
      </c>
      <c r="AD803" s="598" t="s">
        <v>3309</v>
      </c>
      <c r="AE803" s="598" t="s">
        <v>3314</v>
      </c>
      <c r="AF803" s="598" t="s">
        <v>321</v>
      </c>
      <c r="AG803" s="598" t="s">
        <v>321</v>
      </c>
      <c r="AH803" s="598" t="s">
        <v>3309</v>
      </c>
      <c r="AI803" s="598" t="s">
        <v>321</v>
      </c>
      <c r="AJ803" s="599">
        <v>21</v>
      </c>
      <c r="AK803" s="603">
        <v>20.5</v>
      </c>
      <c r="AL803" s="604">
        <v>0.5</v>
      </c>
      <c r="AM803" s="601">
        <v>0</v>
      </c>
      <c r="AN803" s="599">
        <v>21</v>
      </c>
    </row>
    <row r="804" spans="1:40" ht="16.5" customHeight="1">
      <c r="A804" s="598" t="s">
        <v>3337</v>
      </c>
      <c r="B804" s="598" t="s">
        <v>3348</v>
      </c>
      <c r="C804" s="598" t="s">
        <v>1294</v>
      </c>
      <c r="D804" s="598" t="s">
        <v>1295</v>
      </c>
      <c r="E804" s="598" t="s">
        <v>321</v>
      </c>
      <c r="F804" s="598" t="s">
        <v>3309</v>
      </c>
      <c r="G804" s="598" t="s">
        <v>3309</v>
      </c>
      <c r="H804" s="598" t="s">
        <v>3309</v>
      </c>
      <c r="I804" s="598" t="s">
        <v>3309</v>
      </c>
      <c r="J804" s="598" t="s">
        <v>3309</v>
      </c>
      <c r="K804" s="598" t="s">
        <v>321</v>
      </c>
      <c r="L804" s="598" t="s">
        <v>321</v>
      </c>
      <c r="M804" s="598" t="s">
        <v>3309</v>
      </c>
      <c r="N804" s="598" t="s">
        <v>3309</v>
      </c>
      <c r="O804" s="598" t="s">
        <v>3309</v>
      </c>
      <c r="P804" s="598" t="s">
        <v>3309</v>
      </c>
      <c r="Q804" s="598" t="s">
        <v>3309</v>
      </c>
      <c r="R804" s="598" t="s">
        <v>321</v>
      </c>
      <c r="S804" s="598" t="s">
        <v>321</v>
      </c>
      <c r="T804" s="598" t="s">
        <v>3309</v>
      </c>
      <c r="U804" s="598" t="s">
        <v>3309</v>
      </c>
      <c r="V804" s="598" t="s">
        <v>3309</v>
      </c>
      <c r="W804" s="598" t="s">
        <v>3309</v>
      </c>
      <c r="X804" s="598" t="s">
        <v>3309</v>
      </c>
      <c r="Y804" s="598" t="s">
        <v>321</v>
      </c>
      <c r="Z804" s="598" t="s">
        <v>321</v>
      </c>
      <c r="AA804" s="598" t="s">
        <v>3309</v>
      </c>
      <c r="AB804" s="598" t="s">
        <v>3309</v>
      </c>
      <c r="AC804" s="598" t="s">
        <v>3309</v>
      </c>
      <c r="AD804" s="598" t="s">
        <v>3309</v>
      </c>
      <c r="AE804" s="598" t="s">
        <v>3309</v>
      </c>
      <c r="AF804" s="598" t="s">
        <v>321</v>
      </c>
      <c r="AG804" s="598" t="s">
        <v>321</v>
      </c>
      <c r="AH804" s="598" t="s">
        <v>3309</v>
      </c>
      <c r="AI804" s="598" t="s">
        <v>321</v>
      </c>
      <c r="AJ804" s="599">
        <v>21</v>
      </c>
      <c r="AK804" s="600">
        <v>21</v>
      </c>
      <c r="AL804" s="601">
        <v>0</v>
      </c>
      <c r="AM804" s="601">
        <v>0</v>
      </c>
      <c r="AN804" s="599">
        <v>21</v>
      </c>
    </row>
    <row r="805" spans="1:40" ht="16.5" customHeight="1">
      <c r="A805" s="598" t="s">
        <v>3337</v>
      </c>
      <c r="B805" s="598" t="s">
        <v>3348</v>
      </c>
      <c r="C805" s="598" t="s">
        <v>2699</v>
      </c>
      <c r="D805" s="598" t="s">
        <v>2700</v>
      </c>
      <c r="E805" s="598" t="s">
        <v>321</v>
      </c>
      <c r="F805" s="598" t="s">
        <v>3309</v>
      </c>
      <c r="G805" s="598" t="s">
        <v>3309</v>
      </c>
      <c r="H805" s="598" t="s">
        <v>3309</v>
      </c>
      <c r="I805" s="598" t="s">
        <v>3309</v>
      </c>
      <c r="J805" s="598" t="s">
        <v>3312</v>
      </c>
      <c r="K805" s="598" t="s">
        <v>321</v>
      </c>
      <c r="L805" s="598" t="s">
        <v>321</v>
      </c>
      <c r="M805" s="598" t="s">
        <v>3309</v>
      </c>
      <c r="N805" s="598" t="s">
        <v>3309</v>
      </c>
      <c r="O805" s="598" t="s">
        <v>3309</v>
      </c>
      <c r="P805" s="598" t="s">
        <v>3309</v>
      </c>
      <c r="Q805" s="598" t="s">
        <v>3309</v>
      </c>
      <c r="R805" s="598" t="s">
        <v>321</v>
      </c>
      <c r="S805" s="598" t="s">
        <v>321</v>
      </c>
      <c r="T805" s="598" t="s">
        <v>3309</v>
      </c>
      <c r="U805" s="598" t="s">
        <v>3309</v>
      </c>
      <c r="V805" s="598" t="s">
        <v>3309</v>
      </c>
      <c r="W805" s="598" t="s">
        <v>3309</v>
      </c>
      <c r="X805" s="598" t="s">
        <v>3309</v>
      </c>
      <c r="Y805" s="598" t="s">
        <v>321</v>
      </c>
      <c r="Z805" s="598" t="s">
        <v>321</v>
      </c>
      <c r="AA805" s="598" t="s">
        <v>3309</v>
      </c>
      <c r="AB805" s="598" t="s">
        <v>3309</v>
      </c>
      <c r="AC805" s="598" t="s">
        <v>3309</v>
      </c>
      <c r="AD805" s="598" t="s">
        <v>3309</v>
      </c>
      <c r="AE805" s="598" t="s">
        <v>3309</v>
      </c>
      <c r="AF805" s="598" t="s">
        <v>321</v>
      </c>
      <c r="AG805" s="598" t="s">
        <v>321</v>
      </c>
      <c r="AH805" s="598" t="s">
        <v>3309</v>
      </c>
      <c r="AI805" s="598" t="s">
        <v>321</v>
      </c>
      <c r="AJ805" s="599">
        <v>21</v>
      </c>
      <c r="AK805" s="600">
        <v>20</v>
      </c>
      <c r="AL805" s="602">
        <v>1</v>
      </c>
      <c r="AM805" s="601">
        <v>0</v>
      </c>
      <c r="AN805" s="599">
        <v>21</v>
      </c>
    </row>
    <row r="806" spans="1:40" ht="16.5" customHeight="1">
      <c r="A806" s="598" t="s">
        <v>3337</v>
      </c>
      <c r="B806" s="598" t="s">
        <v>3348</v>
      </c>
      <c r="C806" s="598" t="s">
        <v>1465</v>
      </c>
      <c r="D806" s="598" t="s">
        <v>1466</v>
      </c>
      <c r="E806" s="598" t="s">
        <v>321</v>
      </c>
      <c r="F806" s="598" t="s">
        <v>3309</v>
      </c>
      <c r="G806" s="598" t="s">
        <v>3309</v>
      </c>
      <c r="H806" s="598" t="s">
        <v>3309</v>
      </c>
      <c r="I806" s="598" t="s">
        <v>3309</v>
      </c>
      <c r="J806" s="598" t="s">
        <v>3309</v>
      </c>
      <c r="K806" s="598" t="s">
        <v>321</v>
      </c>
      <c r="L806" s="598" t="s">
        <v>321</v>
      </c>
      <c r="M806" s="598" t="s">
        <v>3309</v>
      </c>
      <c r="N806" s="598" t="s">
        <v>3309</v>
      </c>
      <c r="O806" s="598" t="s">
        <v>3309</v>
      </c>
      <c r="P806" s="598" t="s">
        <v>3309</v>
      </c>
      <c r="Q806" s="598" t="s">
        <v>3309</v>
      </c>
      <c r="R806" s="598" t="s">
        <v>321</v>
      </c>
      <c r="S806" s="598" t="s">
        <v>321</v>
      </c>
      <c r="T806" s="598" t="s">
        <v>3309</v>
      </c>
      <c r="U806" s="598" t="s">
        <v>3309</v>
      </c>
      <c r="V806" s="598" t="s">
        <v>3309</v>
      </c>
      <c r="W806" s="598" t="s">
        <v>3309</v>
      </c>
      <c r="X806" s="598" t="s">
        <v>3309</v>
      </c>
      <c r="Y806" s="598" t="s">
        <v>321</v>
      </c>
      <c r="Z806" s="598" t="s">
        <v>321</v>
      </c>
      <c r="AA806" s="598" t="s">
        <v>3309</v>
      </c>
      <c r="AB806" s="598" t="s">
        <v>3309</v>
      </c>
      <c r="AC806" s="598" t="s">
        <v>3309</v>
      </c>
      <c r="AD806" s="598" t="s">
        <v>3309</v>
      </c>
      <c r="AE806" s="598" t="s">
        <v>3309</v>
      </c>
      <c r="AF806" s="598" t="s">
        <v>321</v>
      </c>
      <c r="AG806" s="598" t="s">
        <v>321</v>
      </c>
      <c r="AH806" s="598" t="s">
        <v>3309</v>
      </c>
      <c r="AI806" s="598" t="s">
        <v>321</v>
      </c>
      <c r="AJ806" s="599">
        <v>21</v>
      </c>
      <c r="AK806" s="600">
        <v>21</v>
      </c>
      <c r="AL806" s="601">
        <v>0</v>
      </c>
      <c r="AM806" s="601">
        <v>0</v>
      </c>
      <c r="AN806" s="599">
        <v>21</v>
      </c>
    </row>
    <row r="807" spans="1:40" ht="16.5" customHeight="1">
      <c r="A807" s="598" t="s">
        <v>3337</v>
      </c>
      <c r="B807" s="598" t="s">
        <v>3348</v>
      </c>
      <c r="C807" s="598" t="s">
        <v>934</v>
      </c>
      <c r="D807" s="598" t="s">
        <v>935</v>
      </c>
      <c r="E807" s="598" t="s">
        <v>321</v>
      </c>
      <c r="F807" s="598" t="s">
        <v>3312</v>
      </c>
      <c r="G807" s="598" t="s">
        <v>3312</v>
      </c>
      <c r="H807" s="598" t="s">
        <v>3312</v>
      </c>
      <c r="I807" s="598" t="s">
        <v>3312</v>
      </c>
      <c r="J807" s="598" t="s">
        <v>3312</v>
      </c>
      <c r="K807" s="598" t="s">
        <v>321</v>
      </c>
      <c r="L807" s="598" t="s">
        <v>321</v>
      </c>
      <c r="M807" s="598" t="s">
        <v>3309</v>
      </c>
      <c r="N807" s="598" t="s">
        <v>3309</v>
      </c>
      <c r="O807" s="598" t="s">
        <v>3309</v>
      </c>
      <c r="P807" s="598" t="s">
        <v>3309</v>
      </c>
      <c r="Q807" s="598" t="s">
        <v>3309</v>
      </c>
      <c r="R807" s="598" t="s">
        <v>321</v>
      </c>
      <c r="S807" s="598" t="s">
        <v>321</v>
      </c>
      <c r="T807" s="598" t="s">
        <v>3309</v>
      </c>
      <c r="U807" s="598" t="s">
        <v>3309</v>
      </c>
      <c r="V807" s="598" t="s">
        <v>3309</v>
      </c>
      <c r="W807" s="598" t="s">
        <v>3309</v>
      </c>
      <c r="X807" s="598" t="s">
        <v>3314</v>
      </c>
      <c r="Y807" s="598" t="s">
        <v>321</v>
      </c>
      <c r="Z807" s="598" t="s">
        <v>321</v>
      </c>
      <c r="AA807" s="598" t="s">
        <v>3309</v>
      </c>
      <c r="AB807" s="598" t="s">
        <v>3309</v>
      </c>
      <c r="AC807" s="598" t="s">
        <v>3309</v>
      </c>
      <c r="AD807" s="598" t="s">
        <v>3309</v>
      </c>
      <c r="AE807" s="598" t="s">
        <v>3309</v>
      </c>
      <c r="AF807" s="598" t="s">
        <v>321</v>
      </c>
      <c r="AG807" s="598" t="s">
        <v>321</v>
      </c>
      <c r="AH807" s="598" t="s">
        <v>3309</v>
      </c>
      <c r="AI807" s="598" t="s">
        <v>321</v>
      </c>
      <c r="AJ807" s="599">
        <v>21</v>
      </c>
      <c r="AK807" s="603">
        <v>15.5</v>
      </c>
      <c r="AL807" s="603">
        <v>5.5</v>
      </c>
      <c r="AM807" s="601">
        <v>0</v>
      </c>
      <c r="AN807" s="599">
        <v>21</v>
      </c>
    </row>
    <row r="808" spans="1:40" ht="16.5" customHeight="1">
      <c r="A808" s="598" t="s">
        <v>3337</v>
      </c>
      <c r="B808" s="598" t="s">
        <v>3348</v>
      </c>
      <c r="C808" s="598" t="s">
        <v>1707</v>
      </c>
      <c r="D808" s="598" t="s">
        <v>1708</v>
      </c>
      <c r="E808" s="598" t="s">
        <v>321</v>
      </c>
      <c r="F808" s="598" t="s">
        <v>3309</v>
      </c>
      <c r="G808" s="598" t="s">
        <v>3309</v>
      </c>
      <c r="H808" s="598" t="s">
        <v>3309</v>
      </c>
      <c r="I808" s="598" t="s">
        <v>3314</v>
      </c>
      <c r="J808" s="598" t="s">
        <v>3309</v>
      </c>
      <c r="K808" s="598" t="s">
        <v>321</v>
      </c>
      <c r="L808" s="598" t="s">
        <v>321</v>
      </c>
      <c r="M808" s="598" t="s">
        <v>3309</v>
      </c>
      <c r="N808" s="598" t="s">
        <v>3309</v>
      </c>
      <c r="O808" s="598" t="s">
        <v>3309</v>
      </c>
      <c r="P808" s="598" t="s">
        <v>3309</v>
      </c>
      <c r="Q808" s="598" t="s">
        <v>3309</v>
      </c>
      <c r="R808" s="598" t="s">
        <v>321</v>
      </c>
      <c r="S808" s="598" t="s">
        <v>321</v>
      </c>
      <c r="T808" s="598" t="s">
        <v>3309</v>
      </c>
      <c r="U808" s="598" t="s">
        <v>3309</v>
      </c>
      <c r="V808" s="598" t="s">
        <v>3309</v>
      </c>
      <c r="W808" s="598" t="s">
        <v>3309</v>
      </c>
      <c r="X808" s="598" t="s">
        <v>3309</v>
      </c>
      <c r="Y808" s="598" t="s">
        <v>321</v>
      </c>
      <c r="Z808" s="598" t="s">
        <v>321</v>
      </c>
      <c r="AA808" s="598" t="s">
        <v>3309</v>
      </c>
      <c r="AB808" s="598" t="s">
        <v>3309</v>
      </c>
      <c r="AC808" s="598" t="s">
        <v>3309</v>
      </c>
      <c r="AD808" s="598" t="s">
        <v>3309</v>
      </c>
      <c r="AE808" s="598" t="s">
        <v>3309</v>
      </c>
      <c r="AF808" s="598" t="s">
        <v>321</v>
      </c>
      <c r="AG808" s="598" t="s">
        <v>321</v>
      </c>
      <c r="AH808" s="598" t="s">
        <v>3309</v>
      </c>
      <c r="AI808" s="598" t="s">
        <v>321</v>
      </c>
      <c r="AJ808" s="599">
        <v>21</v>
      </c>
      <c r="AK808" s="603">
        <v>20.5</v>
      </c>
      <c r="AL808" s="604">
        <v>0.5</v>
      </c>
      <c r="AM808" s="601">
        <v>0</v>
      </c>
      <c r="AN808" s="599">
        <v>21</v>
      </c>
    </row>
    <row r="809" spans="1:40" ht="16.5" customHeight="1">
      <c r="A809" s="598" t="s">
        <v>3337</v>
      </c>
      <c r="B809" s="598" t="s">
        <v>3348</v>
      </c>
      <c r="C809" s="598" t="s">
        <v>1072</v>
      </c>
      <c r="D809" s="598" t="s">
        <v>1073</v>
      </c>
      <c r="E809" s="598" t="s">
        <v>321</v>
      </c>
      <c r="F809" s="598" t="s">
        <v>3309</v>
      </c>
      <c r="G809" s="598" t="s">
        <v>3309</v>
      </c>
      <c r="H809" s="598" t="s">
        <v>3309</v>
      </c>
      <c r="I809" s="598" t="s">
        <v>3309</v>
      </c>
      <c r="J809" s="598" t="s">
        <v>3309</v>
      </c>
      <c r="K809" s="598" t="s">
        <v>321</v>
      </c>
      <c r="L809" s="598" t="s">
        <v>321</v>
      </c>
      <c r="M809" s="598" t="s">
        <v>3309</v>
      </c>
      <c r="N809" s="598" t="s">
        <v>3309</v>
      </c>
      <c r="O809" s="598" t="s">
        <v>3309</v>
      </c>
      <c r="P809" s="598" t="s">
        <v>3309</v>
      </c>
      <c r="Q809" s="598" t="s">
        <v>3309</v>
      </c>
      <c r="R809" s="598" t="s">
        <v>321</v>
      </c>
      <c r="S809" s="598" t="s">
        <v>321</v>
      </c>
      <c r="T809" s="598" t="s">
        <v>3312</v>
      </c>
      <c r="U809" s="598" t="s">
        <v>3309</v>
      </c>
      <c r="V809" s="598" t="s">
        <v>3345</v>
      </c>
      <c r="W809" s="598" t="s">
        <v>3309</v>
      </c>
      <c r="X809" s="598" t="s">
        <v>3309</v>
      </c>
      <c r="Y809" s="598" t="s">
        <v>321</v>
      </c>
      <c r="Z809" s="598" t="s">
        <v>321</v>
      </c>
      <c r="AA809" s="598" t="s">
        <v>3309</v>
      </c>
      <c r="AB809" s="598" t="s">
        <v>3309</v>
      </c>
      <c r="AC809" s="598" t="s">
        <v>3309</v>
      </c>
      <c r="AD809" s="598" t="s">
        <v>3309</v>
      </c>
      <c r="AE809" s="598" t="s">
        <v>3309</v>
      </c>
      <c r="AF809" s="598" t="s">
        <v>321</v>
      </c>
      <c r="AG809" s="598" t="s">
        <v>321</v>
      </c>
      <c r="AH809" s="598" t="s">
        <v>3313</v>
      </c>
      <c r="AI809" s="598" t="s">
        <v>321</v>
      </c>
      <c r="AJ809" s="599">
        <v>21</v>
      </c>
      <c r="AK809" s="600">
        <v>20</v>
      </c>
      <c r="AL809" s="602">
        <v>1</v>
      </c>
      <c r="AM809" s="601">
        <v>0</v>
      </c>
      <c r="AN809" s="599">
        <v>21</v>
      </c>
    </row>
    <row r="810" spans="1:40" ht="16.5" customHeight="1">
      <c r="A810" s="598" t="s">
        <v>3337</v>
      </c>
      <c r="B810" s="598" t="s">
        <v>3348</v>
      </c>
      <c r="C810" s="598" t="s">
        <v>637</v>
      </c>
      <c r="D810" s="598" t="s">
        <v>638</v>
      </c>
      <c r="E810" s="598" t="s">
        <v>321</v>
      </c>
      <c r="F810" s="598" t="s">
        <v>3309</v>
      </c>
      <c r="G810" s="598" t="s">
        <v>3309</v>
      </c>
      <c r="H810" s="598" t="s">
        <v>3309</v>
      </c>
      <c r="I810" s="598" t="s">
        <v>3309</v>
      </c>
      <c r="J810" s="598" t="s">
        <v>3309</v>
      </c>
      <c r="K810" s="598" t="s">
        <v>321</v>
      </c>
      <c r="L810" s="598" t="s">
        <v>321</v>
      </c>
      <c r="M810" s="598" t="s">
        <v>3309</v>
      </c>
      <c r="N810" s="598" t="s">
        <v>3309</v>
      </c>
      <c r="O810" s="598" t="s">
        <v>3309</v>
      </c>
      <c r="P810" s="598" t="s">
        <v>3309</v>
      </c>
      <c r="Q810" s="598" t="s">
        <v>3309</v>
      </c>
      <c r="R810" s="598" t="s">
        <v>321</v>
      </c>
      <c r="S810" s="598" t="s">
        <v>321</v>
      </c>
      <c r="T810" s="598" t="s">
        <v>3309</v>
      </c>
      <c r="U810" s="598" t="s">
        <v>3309</v>
      </c>
      <c r="V810" s="598" t="s">
        <v>3309</v>
      </c>
      <c r="W810" s="598" t="s">
        <v>3309</v>
      </c>
      <c r="X810" s="598" t="s">
        <v>3309</v>
      </c>
      <c r="Y810" s="598" t="s">
        <v>321</v>
      </c>
      <c r="Z810" s="598" t="s">
        <v>321</v>
      </c>
      <c r="AA810" s="598" t="s">
        <v>3309</v>
      </c>
      <c r="AB810" s="598" t="s">
        <v>3309</v>
      </c>
      <c r="AC810" s="598" t="s">
        <v>3309</v>
      </c>
      <c r="AD810" s="598" t="s">
        <v>3309</v>
      </c>
      <c r="AE810" s="598" t="s">
        <v>3309</v>
      </c>
      <c r="AF810" s="598" t="s">
        <v>321</v>
      </c>
      <c r="AG810" s="598" t="s">
        <v>321</v>
      </c>
      <c r="AH810" s="598" t="s">
        <v>3309</v>
      </c>
      <c r="AI810" s="598" t="s">
        <v>321</v>
      </c>
      <c r="AJ810" s="599">
        <v>21</v>
      </c>
      <c r="AK810" s="600">
        <v>21</v>
      </c>
      <c r="AL810" s="601">
        <v>0</v>
      </c>
      <c r="AM810" s="601">
        <v>0</v>
      </c>
      <c r="AN810" s="599">
        <v>21</v>
      </c>
    </row>
    <row r="811" spans="1:40" ht="16.5" customHeight="1">
      <c r="A811" s="598" t="s">
        <v>3337</v>
      </c>
      <c r="B811" s="598" t="s">
        <v>3348</v>
      </c>
      <c r="C811" s="598" t="s">
        <v>1411</v>
      </c>
      <c r="D811" s="598" t="s">
        <v>1412</v>
      </c>
      <c r="E811" s="598" t="s">
        <v>321</v>
      </c>
      <c r="F811" s="598" t="s">
        <v>3309</v>
      </c>
      <c r="G811" s="598" t="s">
        <v>3309</v>
      </c>
      <c r="H811" s="598" t="s">
        <v>3309</v>
      </c>
      <c r="I811" s="598" t="s">
        <v>3309</v>
      </c>
      <c r="J811" s="598" t="s">
        <v>3309</v>
      </c>
      <c r="K811" s="598" t="s">
        <v>321</v>
      </c>
      <c r="L811" s="598" t="s">
        <v>321</v>
      </c>
      <c r="M811" s="598" t="s">
        <v>3309</v>
      </c>
      <c r="N811" s="598" t="s">
        <v>3309</v>
      </c>
      <c r="O811" s="598" t="s">
        <v>3309</v>
      </c>
      <c r="P811" s="598" t="s">
        <v>3309</v>
      </c>
      <c r="Q811" s="598" t="s">
        <v>3309</v>
      </c>
      <c r="R811" s="598" t="s">
        <v>321</v>
      </c>
      <c r="S811" s="598" t="s">
        <v>321</v>
      </c>
      <c r="T811" s="598" t="s">
        <v>3309</v>
      </c>
      <c r="U811" s="598" t="s">
        <v>3309</v>
      </c>
      <c r="V811" s="598" t="s">
        <v>3309</v>
      </c>
      <c r="W811" s="598" t="s">
        <v>3309</v>
      </c>
      <c r="X811" s="598" t="s">
        <v>3309</v>
      </c>
      <c r="Y811" s="598" t="s">
        <v>321</v>
      </c>
      <c r="Z811" s="598" t="s">
        <v>321</v>
      </c>
      <c r="AA811" s="598" t="s">
        <v>3309</v>
      </c>
      <c r="AB811" s="598" t="s">
        <v>3309</v>
      </c>
      <c r="AC811" s="598" t="s">
        <v>3309</v>
      </c>
      <c r="AD811" s="598" t="s">
        <v>3309</v>
      </c>
      <c r="AE811" s="598" t="s">
        <v>3309</v>
      </c>
      <c r="AF811" s="598" t="s">
        <v>321</v>
      </c>
      <c r="AG811" s="598" t="s">
        <v>321</v>
      </c>
      <c r="AH811" s="598" t="s">
        <v>3309</v>
      </c>
      <c r="AI811" s="598" t="s">
        <v>321</v>
      </c>
      <c r="AJ811" s="599">
        <v>21</v>
      </c>
      <c r="AK811" s="600">
        <v>21</v>
      </c>
      <c r="AL811" s="601">
        <v>0</v>
      </c>
      <c r="AM811" s="601">
        <v>0</v>
      </c>
      <c r="AN811" s="599">
        <v>21</v>
      </c>
    </row>
    <row r="812" spans="1:40" ht="16.5" customHeight="1">
      <c r="A812" s="598" t="s">
        <v>3337</v>
      </c>
      <c r="B812" s="598" t="s">
        <v>3348</v>
      </c>
      <c r="C812" s="598" t="s">
        <v>1461</v>
      </c>
      <c r="D812" s="598" t="s">
        <v>1462</v>
      </c>
      <c r="E812" s="598" t="s">
        <v>321</v>
      </c>
      <c r="F812" s="598" t="s">
        <v>3309</v>
      </c>
      <c r="G812" s="598" t="s">
        <v>3309</v>
      </c>
      <c r="H812" s="598" t="s">
        <v>3309</v>
      </c>
      <c r="I812" s="598" t="s">
        <v>3309</v>
      </c>
      <c r="J812" s="598" t="s">
        <v>3309</v>
      </c>
      <c r="K812" s="598" t="s">
        <v>321</v>
      </c>
      <c r="L812" s="598" t="s">
        <v>321</v>
      </c>
      <c r="M812" s="598" t="s">
        <v>3309</v>
      </c>
      <c r="N812" s="598" t="s">
        <v>3309</v>
      </c>
      <c r="O812" s="598" t="s">
        <v>3309</v>
      </c>
      <c r="P812" s="598" t="s">
        <v>3309</v>
      </c>
      <c r="Q812" s="598" t="s">
        <v>3309</v>
      </c>
      <c r="R812" s="598" t="s">
        <v>321</v>
      </c>
      <c r="S812" s="598" t="s">
        <v>321</v>
      </c>
      <c r="T812" s="598" t="s">
        <v>3309</v>
      </c>
      <c r="U812" s="598" t="s">
        <v>3309</v>
      </c>
      <c r="V812" s="598" t="s">
        <v>3309</v>
      </c>
      <c r="W812" s="598" t="s">
        <v>3309</v>
      </c>
      <c r="X812" s="598" t="s">
        <v>3309</v>
      </c>
      <c r="Y812" s="598" t="s">
        <v>321</v>
      </c>
      <c r="Z812" s="598" t="s">
        <v>321</v>
      </c>
      <c r="AA812" s="598" t="s">
        <v>3309</v>
      </c>
      <c r="AB812" s="598" t="s">
        <v>3309</v>
      </c>
      <c r="AC812" s="598" t="s">
        <v>3309</v>
      </c>
      <c r="AD812" s="598" t="s">
        <v>3309</v>
      </c>
      <c r="AE812" s="598" t="s">
        <v>3309</v>
      </c>
      <c r="AF812" s="598" t="s">
        <v>321</v>
      </c>
      <c r="AG812" s="598" t="s">
        <v>321</v>
      </c>
      <c r="AH812" s="598" t="s">
        <v>3309</v>
      </c>
      <c r="AI812" s="598" t="s">
        <v>321</v>
      </c>
      <c r="AJ812" s="599">
        <v>21</v>
      </c>
      <c r="AK812" s="600">
        <v>21</v>
      </c>
      <c r="AL812" s="601">
        <v>0</v>
      </c>
      <c r="AM812" s="601">
        <v>0</v>
      </c>
      <c r="AN812" s="599">
        <v>21</v>
      </c>
    </row>
    <row r="813" spans="1:40" ht="16.5" customHeight="1">
      <c r="A813" s="598" t="s">
        <v>3337</v>
      </c>
      <c r="B813" s="598" t="s">
        <v>3348</v>
      </c>
      <c r="C813" s="598" t="s">
        <v>1998</v>
      </c>
      <c r="D813" s="598" t="s">
        <v>1999</v>
      </c>
      <c r="E813" s="598" t="s">
        <v>321</v>
      </c>
      <c r="F813" s="598" t="s">
        <v>3309</v>
      </c>
      <c r="G813" s="598" t="s">
        <v>3309</v>
      </c>
      <c r="H813" s="598" t="s">
        <v>3309</v>
      </c>
      <c r="I813" s="598" t="s">
        <v>3309</v>
      </c>
      <c r="J813" s="598" t="s">
        <v>3309</v>
      </c>
      <c r="K813" s="598" t="s">
        <v>321</v>
      </c>
      <c r="L813" s="598" t="s">
        <v>321</v>
      </c>
      <c r="M813" s="598" t="s">
        <v>3309</v>
      </c>
      <c r="N813" s="598" t="s">
        <v>3309</v>
      </c>
      <c r="O813" s="598" t="s">
        <v>3312</v>
      </c>
      <c r="P813" s="598" t="s">
        <v>3312</v>
      </c>
      <c r="Q813" s="598" t="s">
        <v>3312</v>
      </c>
      <c r="R813" s="598" t="s">
        <v>321</v>
      </c>
      <c r="S813" s="598" t="s">
        <v>321</v>
      </c>
      <c r="T813" s="598" t="s">
        <v>3309</v>
      </c>
      <c r="U813" s="598" t="s">
        <v>3309</v>
      </c>
      <c r="V813" s="598" t="s">
        <v>3309</v>
      </c>
      <c r="W813" s="598" t="s">
        <v>3309</v>
      </c>
      <c r="X813" s="598" t="s">
        <v>3309</v>
      </c>
      <c r="Y813" s="598" t="s">
        <v>321</v>
      </c>
      <c r="Z813" s="598" t="s">
        <v>321</v>
      </c>
      <c r="AA813" s="598" t="s">
        <v>3309</v>
      </c>
      <c r="AB813" s="598" t="s">
        <v>3309</v>
      </c>
      <c r="AC813" s="598" t="s">
        <v>3309</v>
      </c>
      <c r="AD813" s="598" t="s">
        <v>3309</v>
      </c>
      <c r="AE813" s="598" t="s">
        <v>3309</v>
      </c>
      <c r="AF813" s="598" t="s">
        <v>321</v>
      </c>
      <c r="AG813" s="598" t="s">
        <v>321</v>
      </c>
      <c r="AH813" s="598" t="s">
        <v>3309</v>
      </c>
      <c r="AI813" s="598" t="s">
        <v>321</v>
      </c>
      <c r="AJ813" s="599">
        <v>21</v>
      </c>
      <c r="AK813" s="600">
        <v>18</v>
      </c>
      <c r="AL813" s="602">
        <v>3</v>
      </c>
      <c r="AM813" s="601">
        <v>0</v>
      </c>
      <c r="AN813" s="599">
        <v>21</v>
      </c>
    </row>
    <row r="814" spans="1:40" ht="16.5" customHeight="1">
      <c r="A814" s="598" t="s">
        <v>3337</v>
      </c>
      <c r="B814" s="598" t="s">
        <v>3348</v>
      </c>
      <c r="C814" s="598" t="s">
        <v>2045</v>
      </c>
      <c r="D814" s="598" t="s">
        <v>1927</v>
      </c>
      <c r="E814" s="598" t="s">
        <v>321</v>
      </c>
      <c r="F814" s="598" t="s">
        <v>3309</v>
      </c>
      <c r="G814" s="598" t="s">
        <v>3309</v>
      </c>
      <c r="H814" s="598" t="s">
        <v>3309</v>
      </c>
      <c r="I814" s="598" t="s">
        <v>3309</v>
      </c>
      <c r="J814" s="598" t="s">
        <v>3309</v>
      </c>
      <c r="K814" s="598" t="s">
        <v>321</v>
      </c>
      <c r="L814" s="598" t="s">
        <v>321</v>
      </c>
      <c r="M814" s="598" t="s">
        <v>3309</v>
      </c>
      <c r="N814" s="598" t="s">
        <v>3309</v>
      </c>
      <c r="O814" s="598" t="s">
        <v>3309</v>
      </c>
      <c r="P814" s="598" t="s">
        <v>3309</v>
      </c>
      <c r="Q814" s="598" t="s">
        <v>3309</v>
      </c>
      <c r="R814" s="598" t="s">
        <v>321</v>
      </c>
      <c r="S814" s="598" t="s">
        <v>321</v>
      </c>
      <c r="T814" s="598" t="s">
        <v>3309</v>
      </c>
      <c r="U814" s="598" t="s">
        <v>3309</v>
      </c>
      <c r="V814" s="598" t="s">
        <v>3309</v>
      </c>
      <c r="W814" s="598" t="s">
        <v>3309</v>
      </c>
      <c r="X814" s="598" t="s">
        <v>3309</v>
      </c>
      <c r="Y814" s="598" t="s">
        <v>321</v>
      </c>
      <c r="Z814" s="598" t="s">
        <v>321</v>
      </c>
      <c r="AA814" s="598" t="s">
        <v>3309</v>
      </c>
      <c r="AB814" s="598" t="s">
        <v>3309</v>
      </c>
      <c r="AC814" s="598" t="s">
        <v>3309</v>
      </c>
      <c r="AD814" s="598" t="s">
        <v>3309</v>
      </c>
      <c r="AE814" s="598" t="s">
        <v>3309</v>
      </c>
      <c r="AF814" s="598" t="s">
        <v>321</v>
      </c>
      <c r="AG814" s="598" t="s">
        <v>321</v>
      </c>
      <c r="AH814" s="598" t="s">
        <v>3309</v>
      </c>
      <c r="AI814" s="598" t="s">
        <v>321</v>
      </c>
      <c r="AJ814" s="599">
        <v>21</v>
      </c>
      <c r="AK814" s="600">
        <v>21</v>
      </c>
      <c r="AL814" s="601">
        <v>0</v>
      </c>
      <c r="AM814" s="601">
        <v>0</v>
      </c>
      <c r="AN814" s="599">
        <v>21</v>
      </c>
    </row>
    <row r="815" spans="1:40" ht="16.5" customHeight="1">
      <c r="A815" s="598" t="s">
        <v>3337</v>
      </c>
      <c r="B815" s="598" t="s">
        <v>3348</v>
      </c>
      <c r="C815" s="598" t="s">
        <v>1101</v>
      </c>
      <c r="D815" s="598" t="s">
        <v>1102</v>
      </c>
      <c r="E815" s="598" t="s">
        <v>321</v>
      </c>
      <c r="F815" s="598" t="s">
        <v>3314</v>
      </c>
      <c r="G815" s="598" t="s">
        <v>3309</v>
      </c>
      <c r="H815" s="598" t="s">
        <v>3309</v>
      </c>
      <c r="I815" s="598" t="s">
        <v>3309</v>
      </c>
      <c r="J815" s="598" t="s">
        <v>3309</v>
      </c>
      <c r="K815" s="598" t="s">
        <v>321</v>
      </c>
      <c r="L815" s="598" t="s">
        <v>321</v>
      </c>
      <c r="M815" s="598" t="s">
        <v>3309</v>
      </c>
      <c r="N815" s="598" t="s">
        <v>3309</v>
      </c>
      <c r="O815" s="598" t="s">
        <v>3309</v>
      </c>
      <c r="P815" s="598" t="s">
        <v>3309</v>
      </c>
      <c r="Q815" s="598" t="s">
        <v>3309</v>
      </c>
      <c r="R815" s="598" t="s">
        <v>321</v>
      </c>
      <c r="S815" s="598" t="s">
        <v>321</v>
      </c>
      <c r="T815" s="598" t="s">
        <v>3309</v>
      </c>
      <c r="U815" s="598" t="s">
        <v>3309</v>
      </c>
      <c r="V815" s="598" t="s">
        <v>3309</v>
      </c>
      <c r="W815" s="598" t="s">
        <v>3309</v>
      </c>
      <c r="X815" s="598" t="s">
        <v>3309</v>
      </c>
      <c r="Y815" s="598" t="s">
        <v>321</v>
      </c>
      <c r="Z815" s="598" t="s">
        <v>321</v>
      </c>
      <c r="AA815" s="598" t="s">
        <v>3309</v>
      </c>
      <c r="AB815" s="598" t="s">
        <v>3309</v>
      </c>
      <c r="AC815" s="598" t="s">
        <v>3309</v>
      </c>
      <c r="AD815" s="598" t="s">
        <v>3309</v>
      </c>
      <c r="AE815" s="598" t="s">
        <v>3309</v>
      </c>
      <c r="AF815" s="598" t="s">
        <v>321</v>
      </c>
      <c r="AG815" s="598" t="s">
        <v>321</v>
      </c>
      <c r="AH815" s="598" t="s">
        <v>3309</v>
      </c>
      <c r="AI815" s="598" t="s">
        <v>321</v>
      </c>
      <c r="AJ815" s="599">
        <v>21</v>
      </c>
      <c r="AK815" s="603">
        <v>20.5</v>
      </c>
      <c r="AL815" s="604">
        <v>0.5</v>
      </c>
      <c r="AM815" s="601">
        <v>0</v>
      </c>
      <c r="AN815" s="599">
        <v>21</v>
      </c>
    </row>
    <row r="816" spans="1:40" ht="16.5" customHeight="1">
      <c r="A816" s="598" t="s">
        <v>3337</v>
      </c>
      <c r="B816" s="598" t="s">
        <v>3348</v>
      </c>
      <c r="C816" s="598" t="s">
        <v>1989</v>
      </c>
      <c r="D816" s="598" t="s">
        <v>1990</v>
      </c>
      <c r="E816" s="598" t="s">
        <v>321</v>
      </c>
      <c r="F816" s="598" t="s">
        <v>3309</v>
      </c>
      <c r="G816" s="598" t="s">
        <v>3314</v>
      </c>
      <c r="H816" s="598" t="s">
        <v>3309</v>
      </c>
      <c r="I816" s="598" t="s">
        <v>3309</v>
      </c>
      <c r="J816" s="598" t="s">
        <v>3309</v>
      </c>
      <c r="K816" s="598" t="s">
        <v>321</v>
      </c>
      <c r="L816" s="598" t="s">
        <v>321</v>
      </c>
      <c r="M816" s="598" t="s">
        <v>3309</v>
      </c>
      <c r="N816" s="598" t="s">
        <v>3309</v>
      </c>
      <c r="O816" s="598" t="s">
        <v>3312</v>
      </c>
      <c r="P816" s="598" t="s">
        <v>3309</v>
      </c>
      <c r="Q816" s="598" t="s">
        <v>3309</v>
      </c>
      <c r="R816" s="598" t="s">
        <v>321</v>
      </c>
      <c r="S816" s="598" t="s">
        <v>321</v>
      </c>
      <c r="T816" s="598" t="s">
        <v>3309</v>
      </c>
      <c r="U816" s="598" t="s">
        <v>3309</v>
      </c>
      <c r="V816" s="598" t="s">
        <v>3309</v>
      </c>
      <c r="W816" s="598" t="s">
        <v>3309</v>
      </c>
      <c r="X816" s="598" t="s">
        <v>3309</v>
      </c>
      <c r="Y816" s="598" t="s">
        <v>321</v>
      </c>
      <c r="Z816" s="598" t="s">
        <v>321</v>
      </c>
      <c r="AA816" s="598" t="s">
        <v>3309</v>
      </c>
      <c r="AB816" s="598" t="s">
        <v>3309</v>
      </c>
      <c r="AC816" s="598" t="s">
        <v>3309</v>
      </c>
      <c r="AD816" s="598" t="s">
        <v>3313</v>
      </c>
      <c r="AE816" s="598" t="s">
        <v>3313</v>
      </c>
      <c r="AF816" s="598" t="s">
        <v>321</v>
      </c>
      <c r="AG816" s="598" t="s">
        <v>321</v>
      </c>
      <c r="AH816" s="598" t="s">
        <v>3309</v>
      </c>
      <c r="AI816" s="598" t="s">
        <v>321</v>
      </c>
      <c r="AJ816" s="599">
        <v>21</v>
      </c>
      <c r="AK816" s="603">
        <v>19.5</v>
      </c>
      <c r="AL816" s="603">
        <v>1.5</v>
      </c>
      <c r="AM816" s="601">
        <v>0</v>
      </c>
      <c r="AN816" s="599">
        <v>21</v>
      </c>
    </row>
    <row r="817" spans="1:40" ht="16.5" customHeight="1">
      <c r="A817" s="598" t="s">
        <v>3337</v>
      </c>
      <c r="B817" s="598" t="s">
        <v>3348</v>
      </c>
      <c r="C817" s="598" t="s">
        <v>2734</v>
      </c>
      <c r="D817" s="598" t="s">
        <v>2735</v>
      </c>
      <c r="E817" s="598" t="s">
        <v>321</v>
      </c>
      <c r="F817" s="598" t="s">
        <v>3309</v>
      </c>
      <c r="G817" s="598" t="s">
        <v>3309</v>
      </c>
      <c r="H817" s="598" t="s">
        <v>3309</v>
      </c>
      <c r="I817" s="598" t="s">
        <v>3309</v>
      </c>
      <c r="J817" s="598" t="s">
        <v>3309</v>
      </c>
      <c r="K817" s="598" t="s">
        <v>321</v>
      </c>
      <c r="L817" s="598" t="s">
        <v>321</v>
      </c>
      <c r="M817" s="598" t="s">
        <v>3309</v>
      </c>
      <c r="N817" s="598" t="s">
        <v>3309</v>
      </c>
      <c r="O817" s="598" t="s">
        <v>3309</v>
      </c>
      <c r="P817" s="598" t="s">
        <v>3309</v>
      </c>
      <c r="Q817" s="598" t="s">
        <v>3312</v>
      </c>
      <c r="R817" s="598" t="s">
        <v>321</v>
      </c>
      <c r="S817" s="598" t="s">
        <v>321</v>
      </c>
      <c r="T817" s="598" t="s">
        <v>3309</v>
      </c>
      <c r="U817" s="598" t="s">
        <v>3309</v>
      </c>
      <c r="V817" s="598" t="s">
        <v>3309</v>
      </c>
      <c r="W817" s="598" t="s">
        <v>3309</v>
      </c>
      <c r="X817" s="598" t="s">
        <v>3309</v>
      </c>
      <c r="Y817" s="598" t="s">
        <v>321</v>
      </c>
      <c r="Z817" s="598" t="s">
        <v>321</v>
      </c>
      <c r="AA817" s="598" t="s">
        <v>3309</v>
      </c>
      <c r="AB817" s="598" t="s">
        <v>3309</v>
      </c>
      <c r="AC817" s="598" t="s">
        <v>3309</v>
      </c>
      <c r="AD817" s="598" t="s">
        <v>3309</v>
      </c>
      <c r="AE817" s="598" t="s">
        <v>3309</v>
      </c>
      <c r="AF817" s="598" t="s">
        <v>321</v>
      </c>
      <c r="AG817" s="598" t="s">
        <v>321</v>
      </c>
      <c r="AH817" s="598" t="s">
        <v>3309</v>
      </c>
      <c r="AI817" s="598" t="s">
        <v>321</v>
      </c>
      <c r="AJ817" s="599">
        <v>21</v>
      </c>
      <c r="AK817" s="600">
        <v>20</v>
      </c>
      <c r="AL817" s="602">
        <v>1</v>
      </c>
      <c r="AM817" s="601">
        <v>0</v>
      </c>
      <c r="AN817" s="599">
        <v>21</v>
      </c>
    </row>
    <row r="818" spans="1:40" ht="16.5" customHeight="1">
      <c r="A818" s="598" t="s">
        <v>3337</v>
      </c>
      <c r="B818" s="598" t="s">
        <v>3348</v>
      </c>
      <c r="C818" s="598" t="s">
        <v>1257</v>
      </c>
      <c r="D818" s="598" t="s">
        <v>1258</v>
      </c>
      <c r="E818" s="598" t="s">
        <v>321</v>
      </c>
      <c r="F818" s="598" t="s">
        <v>3309</v>
      </c>
      <c r="G818" s="598" t="s">
        <v>3309</v>
      </c>
      <c r="H818" s="598" t="s">
        <v>3309</v>
      </c>
      <c r="I818" s="598" t="s">
        <v>3309</v>
      </c>
      <c r="J818" s="598" t="s">
        <v>3309</v>
      </c>
      <c r="K818" s="598" t="s">
        <v>321</v>
      </c>
      <c r="L818" s="598" t="s">
        <v>321</v>
      </c>
      <c r="M818" s="598" t="s">
        <v>3309</v>
      </c>
      <c r="N818" s="598" t="s">
        <v>3309</v>
      </c>
      <c r="O818" s="598" t="s">
        <v>3309</v>
      </c>
      <c r="P818" s="598" t="s">
        <v>3309</v>
      </c>
      <c r="Q818" s="598" t="s">
        <v>3309</v>
      </c>
      <c r="R818" s="598" t="s">
        <v>321</v>
      </c>
      <c r="S818" s="598" t="s">
        <v>321</v>
      </c>
      <c r="T818" s="598" t="s">
        <v>3309</v>
      </c>
      <c r="U818" s="598" t="s">
        <v>3309</v>
      </c>
      <c r="V818" s="598" t="s">
        <v>3309</v>
      </c>
      <c r="W818" s="598" t="s">
        <v>3309</v>
      </c>
      <c r="X818" s="598" t="s">
        <v>3309</v>
      </c>
      <c r="Y818" s="598" t="s">
        <v>321</v>
      </c>
      <c r="Z818" s="598" t="s">
        <v>321</v>
      </c>
      <c r="AA818" s="598" t="s">
        <v>3309</v>
      </c>
      <c r="AB818" s="598" t="s">
        <v>3309</v>
      </c>
      <c r="AC818" s="598" t="s">
        <v>3309</v>
      </c>
      <c r="AD818" s="598" t="s">
        <v>3309</v>
      </c>
      <c r="AE818" s="598" t="s">
        <v>3309</v>
      </c>
      <c r="AF818" s="598" t="s">
        <v>321</v>
      </c>
      <c r="AG818" s="598" t="s">
        <v>321</v>
      </c>
      <c r="AH818" s="598" t="s">
        <v>3309</v>
      </c>
      <c r="AI818" s="598" t="s">
        <v>321</v>
      </c>
      <c r="AJ818" s="599">
        <v>21</v>
      </c>
      <c r="AK818" s="600">
        <v>21</v>
      </c>
      <c r="AL818" s="601">
        <v>0</v>
      </c>
      <c r="AM818" s="601">
        <v>0</v>
      </c>
      <c r="AN818" s="599">
        <v>21</v>
      </c>
    </row>
    <row r="819" spans="1:40" ht="16.5" customHeight="1">
      <c r="A819" s="598" t="s">
        <v>3337</v>
      </c>
      <c r="B819" s="598" t="s">
        <v>3348</v>
      </c>
      <c r="C819" s="598" t="s">
        <v>2966</v>
      </c>
      <c r="D819" s="598" t="s">
        <v>2967</v>
      </c>
      <c r="E819" s="598" t="s">
        <v>321</v>
      </c>
      <c r="F819" s="598" t="s">
        <v>3309</v>
      </c>
      <c r="G819" s="598" t="s">
        <v>3309</v>
      </c>
      <c r="H819" s="598" t="s">
        <v>3309</v>
      </c>
      <c r="I819" s="598" t="s">
        <v>3309</v>
      </c>
      <c r="J819" s="598" t="s">
        <v>3309</v>
      </c>
      <c r="K819" s="598" t="s">
        <v>321</v>
      </c>
      <c r="L819" s="598" t="s">
        <v>321</v>
      </c>
      <c r="M819" s="598" t="s">
        <v>3309</v>
      </c>
      <c r="N819" s="598" t="s">
        <v>3309</v>
      </c>
      <c r="O819" s="598" t="s">
        <v>3309</v>
      </c>
      <c r="P819" s="598" t="s">
        <v>3309</v>
      </c>
      <c r="Q819" s="598" t="s">
        <v>3309</v>
      </c>
      <c r="R819" s="598" t="s">
        <v>321</v>
      </c>
      <c r="S819" s="598" t="s">
        <v>321</v>
      </c>
      <c r="T819" s="598" t="s">
        <v>3309</v>
      </c>
      <c r="U819" s="598" t="s">
        <v>3309</v>
      </c>
      <c r="V819" s="598" t="s">
        <v>3309</v>
      </c>
      <c r="W819" s="598" t="s">
        <v>3309</v>
      </c>
      <c r="X819" s="598" t="s">
        <v>3309</v>
      </c>
      <c r="Y819" s="598" t="s">
        <v>321</v>
      </c>
      <c r="Z819" s="598" t="s">
        <v>321</v>
      </c>
      <c r="AA819" s="598" t="s">
        <v>3309</v>
      </c>
      <c r="AB819" s="598" t="s">
        <v>3309</v>
      </c>
      <c r="AC819" s="598" t="s">
        <v>3309</v>
      </c>
      <c r="AD819" s="598" t="s">
        <v>3309</v>
      </c>
      <c r="AE819" s="598" t="s">
        <v>3309</v>
      </c>
      <c r="AF819" s="598" t="s">
        <v>321</v>
      </c>
      <c r="AG819" s="598" t="s">
        <v>321</v>
      </c>
      <c r="AH819" s="598" t="s">
        <v>3309</v>
      </c>
      <c r="AI819" s="598" t="s">
        <v>321</v>
      </c>
      <c r="AJ819" s="599">
        <v>21</v>
      </c>
      <c r="AK819" s="600">
        <v>21</v>
      </c>
      <c r="AL819" s="601">
        <v>0</v>
      </c>
      <c r="AM819" s="601">
        <v>0</v>
      </c>
      <c r="AN819" s="599">
        <v>21</v>
      </c>
    </row>
    <row r="820" spans="1:40" ht="16.5" customHeight="1">
      <c r="A820" s="598" t="s">
        <v>3337</v>
      </c>
      <c r="B820" s="598" t="s">
        <v>3349</v>
      </c>
      <c r="C820" s="598" t="s">
        <v>1450</v>
      </c>
      <c r="D820" s="598" t="s">
        <v>1451</v>
      </c>
      <c r="E820" s="598" t="s">
        <v>321</v>
      </c>
      <c r="F820" s="598" t="s">
        <v>3309</v>
      </c>
      <c r="G820" s="598" t="s">
        <v>3309</v>
      </c>
      <c r="H820" s="598" t="s">
        <v>3309</v>
      </c>
      <c r="I820" s="598" t="s">
        <v>3312</v>
      </c>
      <c r="J820" s="598" t="s">
        <v>3312</v>
      </c>
      <c r="K820" s="598" t="s">
        <v>321</v>
      </c>
      <c r="L820" s="598" t="s">
        <v>321</v>
      </c>
      <c r="M820" s="598" t="s">
        <v>3309</v>
      </c>
      <c r="N820" s="598" t="s">
        <v>3309</v>
      </c>
      <c r="O820" s="598" t="s">
        <v>3309</v>
      </c>
      <c r="P820" s="598" t="s">
        <v>3309</v>
      </c>
      <c r="Q820" s="598" t="s">
        <v>3309</v>
      </c>
      <c r="R820" s="598" t="s">
        <v>321</v>
      </c>
      <c r="S820" s="598" t="s">
        <v>321</v>
      </c>
      <c r="T820" s="598" t="s">
        <v>3309</v>
      </c>
      <c r="U820" s="598" t="s">
        <v>3309</v>
      </c>
      <c r="V820" s="598" t="s">
        <v>3309</v>
      </c>
      <c r="W820" s="598" t="s">
        <v>3309</v>
      </c>
      <c r="X820" s="598" t="s">
        <v>3309</v>
      </c>
      <c r="Y820" s="598" t="s">
        <v>321</v>
      </c>
      <c r="Z820" s="598" t="s">
        <v>321</v>
      </c>
      <c r="AA820" s="598" t="s">
        <v>3309</v>
      </c>
      <c r="AB820" s="598" t="s">
        <v>3309</v>
      </c>
      <c r="AC820" s="598" t="s">
        <v>3309</v>
      </c>
      <c r="AD820" s="598" t="s">
        <v>3309</v>
      </c>
      <c r="AE820" s="598" t="s">
        <v>3309</v>
      </c>
      <c r="AF820" s="598" t="s">
        <v>321</v>
      </c>
      <c r="AG820" s="598" t="s">
        <v>321</v>
      </c>
      <c r="AH820" s="598" t="s">
        <v>3309</v>
      </c>
      <c r="AI820" s="598" t="s">
        <v>321</v>
      </c>
      <c r="AJ820" s="599">
        <v>21</v>
      </c>
      <c r="AK820" s="600">
        <v>19</v>
      </c>
      <c r="AL820" s="602">
        <v>2</v>
      </c>
      <c r="AM820" s="601">
        <v>0</v>
      </c>
      <c r="AN820" s="599">
        <v>21</v>
      </c>
    </row>
    <row r="821" spans="1:40" ht="16.5" customHeight="1">
      <c r="A821" s="598" t="s">
        <v>3337</v>
      </c>
      <c r="B821" s="598" t="s">
        <v>3349</v>
      </c>
      <c r="C821" s="598" t="s">
        <v>1080</v>
      </c>
      <c r="D821" s="598" t="s">
        <v>1081</v>
      </c>
      <c r="E821" s="598" t="s">
        <v>321</v>
      </c>
      <c r="F821" s="598" t="s">
        <v>3309</v>
      </c>
      <c r="G821" s="598" t="s">
        <v>3309</v>
      </c>
      <c r="H821" s="598" t="s">
        <v>3309</v>
      </c>
      <c r="I821" s="598" t="s">
        <v>3309</v>
      </c>
      <c r="J821" s="598" t="s">
        <v>3309</v>
      </c>
      <c r="K821" s="598" t="s">
        <v>321</v>
      </c>
      <c r="L821" s="598" t="s">
        <v>321</v>
      </c>
      <c r="M821" s="598" t="s">
        <v>3309</v>
      </c>
      <c r="N821" s="598" t="s">
        <v>3309</v>
      </c>
      <c r="O821" s="598" t="s">
        <v>3309</v>
      </c>
      <c r="P821" s="598" t="s">
        <v>3309</v>
      </c>
      <c r="Q821" s="598" t="s">
        <v>3309</v>
      </c>
      <c r="R821" s="598" t="s">
        <v>321</v>
      </c>
      <c r="S821" s="598" t="s">
        <v>321</v>
      </c>
      <c r="T821" s="598" t="s">
        <v>3309</v>
      </c>
      <c r="U821" s="598" t="s">
        <v>3309</v>
      </c>
      <c r="V821" s="598" t="s">
        <v>3309</v>
      </c>
      <c r="W821" s="598" t="s">
        <v>3309</v>
      </c>
      <c r="X821" s="598" t="s">
        <v>3309</v>
      </c>
      <c r="Y821" s="598" t="s">
        <v>321</v>
      </c>
      <c r="Z821" s="598" t="s">
        <v>321</v>
      </c>
      <c r="AA821" s="598" t="s">
        <v>3309</v>
      </c>
      <c r="AB821" s="598" t="s">
        <v>3309</v>
      </c>
      <c r="AC821" s="598" t="s">
        <v>3309</v>
      </c>
      <c r="AD821" s="598" t="s">
        <v>3309</v>
      </c>
      <c r="AE821" s="598" t="s">
        <v>3309</v>
      </c>
      <c r="AF821" s="598" t="s">
        <v>321</v>
      </c>
      <c r="AG821" s="598" t="s">
        <v>321</v>
      </c>
      <c r="AH821" s="598" t="s">
        <v>3309</v>
      </c>
      <c r="AI821" s="598" t="s">
        <v>321</v>
      </c>
      <c r="AJ821" s="599">
        <v>21</v>
      </c>
      <c r="AK821" s="600">
        <v>21</v>
      </c>
      <c r="AL821" s="601">
        <v>0</v>
      </c>
      <c r="AM821" s="601">
        <v>0</v>
      </c>
      <c r="AN821" s="599">
        <v>21</v>
      </c>
    </row>
    <row r="822" spans="1:40" ht="16.5" customHeight="1">
      <c r="A822" s="598" t="s">
        <v>3337</v>
      </c>
      <c r="B822" s="598" t="s">
        <v>3349</v>
      </c>
      <c r="C822" s="598" t="s">
        <v>2859</v>
      </c>
      <c r="D822" s="598" t="s">
        <v>2860</v>
      </c>
      <c r="E822" s="598" t="s">
        <v>321</v>
      </c>
      <c r="F822" s="598" t="s">
        <v>3309</v>
      </c>
      <c r="G822" s="598" t="s">
        <v>3309</v>
      </c>
      <c r="H822" s="598" t="s">
        <v>3309</v>
      </c>
      <c r="I822" s="598" t="s">
        <v>3309</v>
      </c>
      <c r="J822" s="598" t="s">
        <v>3309</v>
      </c>
      <c r="K822" s="598" t="s">
        <v>321</v>
      </c>
      <c r="L822" s="598" t="s">
        <v>321</v>
      </c>
      <c r="M822" s="598" t="s">
        <v>3309</v>
      </c>
      <c r="N822" s="598" t="s">
        <v>3309</v>
      </c>
      <c r="O822" s="598" t="s">
        <v>3309</v>
      </c>
      <c r="P822" s="598" t="s">
        <v>3309</v>
      </c>
      <c r="Q822" s="598" t="s">
        <v>3309</v>
      </c>
      <c r="R822" s="598" t="s">
        <v>321</v>
      </c>
      <c r="S822" s="598" t="s">
        <v>321</v>
      </c>
      <c r="T822" s="598" t="s">
        <v>3309</v>
      </c>
      <c r="U822" s="598" t="s">
        <v>3309</v>
      </c>
      <c r="V822" s="598" t="s">
        <v>3309</v>
      </c>
      <c r="W822" s="598" t="s">
        <v>3309</v>
      </c>
      <c r="X822" s="598" t="s">
        <v>3309</v>
      </c>
      <c r="Y822" s="598" t="s">
        <v>321</v>
      </c>
      <c r="Z822" s="598" t="s">
        <v>321</v>
      </c>
      <c r="AA822" s="598" t="s">
        <v>3309</v>
      </c>
      <c r="AB822" s="598" t="s">
        <v>3309</v>
      </c>
      <c r="AC822" s="598" t="s">
        <v>3309</v>
      </c>
      <c r="AD822" s="598" t="s">
        <v>3309</v>
      </c>
      <c r="AE822" s="598" t="s">
        <v>3309</v>
      </c>
      <c r="AF822" s="598" t="s">
        <v>321</v>
      </c>
      <c r="AG822" s="598" t="s">
        <v>321</v>
      </c>
      <c r="AH822" s="598" t="s">
        <v>3309</v>
      </c>
      <c r="AI822" s="598" t="s">
        <v>321</v>
      </c>
      <c r="AJ822" s="599">
        <v>21</v>
      </c>
      <c r="AK822" s="600">
        <v>21</v>
      </c>
      <c r="AL822" s="601">
        <v>0</v>
      </c>
      <c r="AM822" s="601">
        <v>0</v>
      </c>
      <c r="AN822" s="599">
        <v>21</v>
      </c>
    </row>
    <row r="823" spans="1:40" ht="16.5" customHeight="1">
      <c r="A823" s="598" t="s">
        <v>3337</v>
      </c>
      <c r="B823" s="598" t="s">
        <v>3349</v>
      </c>
      <c r="C823" s="598" t="s">
        <v>2645</v>
      </c>
      <c r="D823" s="598" t="s">
        <v>2646</v>
      </c>
      <c r="E823" s="598" t="s">
        <v>321</v>
      </c>
      <c r="F823" s="598" t="s">
        <v>3309</v>
      </c>
      <c r="G823" s="598" t="s">
        <v>3309</v>
      </c>
      <c r="H823" s="598" t="s">
        <v>3309</v>
      </c>
      <c r="I823" s="598" t="s">
        <v>3309</v>
      </c>
      <c r="J823" s="598" t="s">
        <v>3309</v>
      </c>
      <c r="K823" s="598" t="s">
        <v>321</v>
      </c>
      <c r="L823" s="598" t="s">
        <v>321</v>
      </c>
      <c r="M823" s="598" t="s">
        <v>3309</v>
      </c>
      <c r="N823" s="598" t="s">
        <v>3309</v>
      </c>
      <c r="O823" s="598" t="s">
        <v>3309</v>
      </c>
      <c r="P823" s="598" t="s">
        <v>3309</v>
      </c>
      <c r="Q823" s="598" t="s">
        <v>3309</v>
      </c>
      <c r="R823" s="598" t="s">
        <v>321</v>
      </c>
      <c r="S823" s="598" t="s">
        <v>321</v>
      </c>
      <c r="T823" s="598" t="s">
        <v>3309</v>
      </c>
      <c r="U823" s="598" t="s">
        <v>3309</v>
      </c>
      <c r="V823" s="598" t="s">
        <v>3309</v>
      </c>
      <c r="W823" s="598" t="s">
        <v>3309</v>
      </c>
      <c r="X823" s="598" t="s">
        <v>3309</v>
      </c>
      <c r="Y823" s="598" t="s">
        <v>321</v>
      </c>
      <c r="Z823" s="598" t="s">
        <v>321</v>
      </c>
      <c r="AA823" s="598" t="s">
        <v>3309</v>
      </c>
      <c r="AB823" s="598" t="s">
        <v>3309</v>
      </c>
      <c r="AC823" s="598" t="s">
        <v>3309</v>
      </c>
      <c r="AD823" s="598" t="s">
        <v>3309</v>
      </c>
      <c r="AE823" s="598" t="s">
        <v>3309</v>
      </c>
      <c r="AF823" s="598" t="s">
        <v>321</v>
      </c>
      <c r="AG823" s="598" t="s">
        <v>321</v>
      </c>
      <c r="AH823" s="598" t="s">
        <v>3309</v>
      </c>
      <c r="AI823" s="598" t="s">
        <v>321</v>
      </c>
      <c r="AJ823" s="599">
        <v>21</v>
      </c>
      <c r="AK823" s="600">
        <v>21</v>
      </c>
      <c r="AL823" s="601">
        <v>0</v>
      </c>
      <c r="AM823" s="601">
        <v>0</v>
      </c>
      <c r="AN823" s="599">
        <v>21</v>
      </c>
    </row>
    <row r="824" spans="1:40" ht="16.5" customHeight="1">
      <c r="A824" s="598" t="s">
        <v>3337</v>
      </c>
      <c r="B824" s="598" t="s">
        <v>3349</v>
      </c>
      <c r="C824" s="598" t="s">
        <v>2288</v>
      </c>
      <c r="D824" s="598" t="s">
        <v>2289</v>
      </c>
      <c r="E824" s="598" t="s">
        <v>321</v>
      </c>
      <c r="F824" s="598" t="s">
        <v>3309</v>
      </c>
      <c r="G824" s="598" t="s">
        <v>3309</v>
      </c>
      <c r="H824" s="598" t="s">
        <v>3309</v>
      </c>
      <c r="I824" s="598" t="s">
        <v>3314</v>
      </c>
      <c r="J824" s="598" t="s">
        <v>3309</v>
      </c>
      <c r="K824" s="598" t="s">
        <v>321</v>
      </c>
      <c r="L824" s="598" t="s">
        <v>321</v>
      </c>
      <c r="M824" s="598" t="s">
        <v>3309</v>
      </c>
      <c r="N824" s="598" t="s">
        <v>3309</v>
      </c>
      <c r="O824" s="598" t="s">
        <v>3309</v>
      </c>
      <c r="P824" s="598" t="s">
        <v>3309</v>
      </c>
      <c r="Q824" s="598" t="s">
        <v>3309</v>
      </c>
      <c r="R824" s="598" t="s">
        <v>321</v>
      </c>
      <c r="S824" s="598" t="s">
        <v>321</v>
      </c>
      <c r="T824" s="598" t="s">
        <v>3309</v>
      </c>
      <c r="U824" s="598" t="s">
        <v>3309</v>
      </c>
      <c r="V824" s="598" t="s">
        <v>3309</v>
      </c>
      <c r="W824" s="598" t="s">
        <v>3309</v>
      </c>
      <c r="X824" s="598" t="s">
        <v>3309</v>
      </c>
      <c r="Y824" s="598" t="s">
        <v>321</v>
      </c>
      <c r="Z824" s="598" t="s">
        <v>321</v>
      </c>
      <c r="AA824" s="598" t="s">
        <v>3309</v>
      </c>
      <c r="AB824" s="598" t="s">
        <v>3309</v>
      </c>
      <c r="AC824" s="598" t="s">
        <v>3309</v>
      </c>
      <c r="AD824" s="598" t="s">
        <v>3309</v>
      </c>
      <c r="AE824" s="598" t="s">
        <v>3309</v>
      </c>
      <c r="AF824" s="598" t="s">
        <v>321</v>
      </c>
      <c r="AG824" s="598" t="s">
        <v>321</v>
      </c>
      <c r="AH824" s="598" t="s">
        <v>3309</v>
      </c>
      <c r="AI824" s="598" t="s">
        <v>321</v>
      </c>
      <c r="AJ824" s="599">
        <v>21</v>
      </c>
      <c r="AK824" s="603">
        <v>20.5</v>
      </c>
      <c r="AL824" s="604">
        <v>0.5</v>
      </c>
      <c r="AM824" s="601">
        <v>0</v>
      </c>
      <c r="AN824" s="599">
        <v>21</v>
      </c>
    </row>
    <row r="825" spans="1:40" ht="16.5" customHeight="1">
      <c r="A825" s="598" t="s">
        <v>3337</v>
      </c>
      <c r="B825" s="598" t="s">
        <v>3349</v>
      </c>
      <c r="C825" s="598" t="s">
        <v>2441</v>
      </c>
      <c r="D825" s="598" t="s">
        <v>2442</v>
      </c>
      <c r="E825" s="598" t="s">
        <v>321</v>
      </c>
      <c r="F825" s="598" t="s">
        <v>3309</v>
      </c>
      <c r="G825" s="598" t="s">
        <v>3309</v>
      </c>
      <c r="H825" s="598" t="s">
        <v>3309</v>
      </c>
      <c r="I825" s="598" t="s">
        <v>3309</v>
      </c>
      <c r="J825" s="598" t="s">
        <v>3309</v>
      </c>
      <c r="K825" s="598" t="s">
        <v>321</v>
      </c>
      <c r="L825" s="598" t="s">
        <v>321</v>
      </c>
      <c r="M825" s="598" t="s">
        <v>3312</v>
      </c>
      <c r="N825" s="598" t="s">
        <v>3309</v>
      </c>
      <c r="O825" s="598" t="s">
        <v>3309</v>
      </c>
      <c r="P825" s="598" t="s">
        <v>3309</v>
      </c>
      <c r="Q825" s="598" t="s">
        <v>3309</v>
      </c>
      <c r="R825" s="598" t="s">
        <v>321</v>
      </c>
      <c r="S825" s="598" t="s">
        <v>321</v>
      </c>
      <c r="T825" s="598" t="s">
        <v>3309</v>
      </c>
      <c r="U825" s="598" t="s">
        <v>3309</v>
      </c>
      <c r="V825" s="598" t="s">
        <v>3309</v>
      </c>
      <c r="W825" s="598" t="s">
        <v>3309</v>
      </c>
      <c r="X825" s="598" t="s">
        <v>3309</v>
      </c>
      <c r="Y825" s="598" t="s">
        <v>321</v>
      </c>
      <c r="Z825" s="598" t="s">
        <v>321</v>
      </c>
      <c r="AA825" s="598" t="s">
        <v>3309</v>
      </c>
      <c r="AB825" s="598" t="s">
        <v>3309</v>
      </c>
      <c r="AC825" s="598" t="s">
        <v>3309</v>
      </c>
      <c r="AD825" s="598" t="s">
        <v>3309</v>
      </c>
      <c r="AE825" s="598" t="s">
        <v>3309</v>
      </c>
      <c r="AF825" s="598" t="s">
        <v>321</v>
      </c>
      <c r="AG825" s="598" t="s">
        <v>321</v>
      </c>
      <c r="AH825" s="598" t="s">
        <v>3309</v>
      </c>
      <c r="AI825" s="598" t="s">
        <v>321</v>
      </c>
      <c r="AJ825" s="599">
        <v>21</v>
      </c>
      <c r="AK825" s="600">
        <v>20</v>
      </c>
      <c r="AL825" s="602">
        <v>1</v>
      </c>
      <c r="AM825" s="601">
        <v>0</v>
      </c>
      <c r="AN825" s="599">
        <v>21</v>
      </c>
    </row>
    <row r="826" spans="1:40" ht="16.5" customHeight="1">
      <c r="A826" s="598" t="s">
        <v>3337</v>
      </c>
      <c r="B826" s="598" t="s">
        <v>3349</v>
      </c>
      <c r="C826" s="598" t="s">
        <v>1812</v>
      </c>
      <c r="D826" s="598" t="s">
        <v>1813</v>
      </c>
      <c r="E826" s="598" t="s">
        <v>321</v>
      </c>
      <c r="F826" s="598" t="s">
        <v>3309</v>
      </c>
      <c r="G826" s="598" t="s">
        <v>3309</v>
      </c>
      <c r="H826" s="598" t="s">
        <v>3309</v>
      </c>
      <c r="I826" s="598" t="s">
        <v>3309</v>
      </c>
      <c r="J826" s="598" t="s">
        <v>3309</v>
      </c>
      <c r="K826" s="598" t="s">
        <v>321</v>
      </c>
      <c r="L826" s="598" t="s">
        <v>321</v>
      </c>
      <c r="M826" s="598" t="s">
        <v>3309</v>
      </c>
      <c r="N826" s="598" t="s">
        <v>3309</v>
      </c>
      <c r="O826" s="598" t="s">
        <v>3309</v>
      </c>
      <c r="P826" s="598" t="s">
        <v>3309</v>
      </c>
      <c r="Q826" s="598" t="s">
        <v>3309</v>
      </c>
      <c r="R826" s="598" t="s">
        <v>321</v>
      </c>
      <c r="S826" s="598" t="s">
        <v>321</v>
      </c>
      <c r="T826" s="598" t="s">
        <v>3309</v>
      </c>
      <c r="U826" s="598" t="s">
        <v>3309</v>
      </c>
      <c r="V826" s="598" t="s">
        <v>3309</v>
      </c>
      <c r="W826" s="598" t="s">
        <v>3309</v>
      </c>
      <c r="X826" s="598" t="s">
        <v>3309</v>
      </c>
      <c r="Y826" s="598" t="s">
        <v>321</v>
      </c>
      <c r="Z826" s="598" t="s">
        <v>321</v>
      </c>
      <c r="AA826" s="598" t="s">
        <v>3309</v>
      </c>
      <c r="AB826" s="598" t="s">
        <v>3309</v>
      </c>
      <c r="AC826" s="598" t="s">
        <v>3309</v>
      </c>
      <c r="AD826" s="598" t="s">
        <v>3309</v>
      </c>
      <c r="AE826" s="598" t="s">
        <v>3309</v>
      </c>
      <c r="AF826" s="598" t="s">
        <v>321</v>
      </c>
      <c r="AG826" s="598" t="s">
        <v>321</v>
      </c>
      <c r="AH826" s="598" t="s">
        <v>3309</v>
      </c>
      <c r="AI826" s="598" t="s">
        <v>321</v>
      </c>
      <c r="AJ826" s="599">
        <v>21</v>
      </c>
      <c r="AK826" s="600">
        <v>21</v>
      </c>
      <c r="AL826" s="601">
        <v>0</v>
      </c>
      <c r="AM826" s="601">
        <v>0</v>
      </c>
      <c r="AN826" s="599">
        <v>21</v>
      </c>
    </row>
    <row r="827" spans="1:40" ht="16.5" customHeight="1">
      <c r="A827" s="598" t="s">
        <v>3337</v>
      </c>
      <c r="B827" s="598" t="s">
        <v>3349</v>
      </c>
      <c r="C827" s="598" t="s">
        <v>1452</v>
      </c>
      <c r="D827" s="598" t="s">
        <v>1453</v>
      </c>
      <c r="E827" s="598" t="s">
        <v>321</v>
      </c>
      <c r="F827" s="598" t="s">
        <v>3309</v>
      </c>
      <c r="G827" s="598" t="s">
        <v>3309</v>
      </c>
      <c r="H827" s="598" t="s">
        <v>3309</v>
      </c>
      <c r="I827" s="598" t="s">
        <v>3309</v>
      </c>
      <c r="J827" s="598" t="s">
        <v>3309</v>
      </c>
      <c r="K827" s="598" t="s">
        <v>321</v>
      </c>
      <c r="L827" s="598" t="s">
        <v>321</v>
      </c>
      <c r="M827" s="598" t="s">
        <v>3309</v>
      </c>
      <c r="N827" s="598" t="s">
        <v>3309</v>
      </c>
      <c r="O827" s="598" t="s">
        <v>3309</v>
      </c>
      <c r="P827" s="598" t="s">
        <v>3309</v>
      </c>
      <c r="Q827" s="598" t="s">
        <v>3309</v>
      </c>
      <c r="R827" s="598" t="s">
        <v>321</v>
      </c>
      <c r="S827" s="598" t="s">
        <v>321</v>
      </c>
      <c r="T827" s="598" t="s">
        <v>3309</v>
      </c>
      <c r="U827" s="598" t="s">
        <v>3309</v>
      </c>
      <c r="V827" s="598" t="s">
        <v>3309</v>
      </c>
      <c r="W827" s="598" t="s">
        <v>3309</v>
      </c>
      <c r="X827" s="598" t="s">
        <v>3309</v>
      </c>
      <c r="Y827" s="598" t="s">
        <v>321</v>
      </c>
      <c r="Z827" s="598" t="s">
        <v>321</v>
      </c>
      <c r="AA827" s="598" t="s">
        <v>3309</v>
      </c>
      <c r="AB827" s="598" t="s">
        <v>3309</v>
      </c>
      <c r="AC827" s="598" t="s">
        <v>3309</v>
      </c>
      <c r="AD827" s="598" t="s">
        <v>3309</v>
      </c>
      <c r="AE827" s="598" t="s">
        <v>3309</v>
      </c>
      <c r="AF827" s="598" t="s">
        <v>321</v>
      </c>
      <c r="AG827" s="598" t="s">
        <v>321</v>
      </c>
      <c r="AH827" s="598" t="s">
        <v>3309</v>
      </c>
      <c r="AI827" s="598" t="s">
        <v>321</v>
      </c>
      <c r="AJ827" s="599">
        <v>21</v>
      </c>
      <c r="AK827" s="600">
        <v>21</v>
      </c>
      <c r="AL827" s="601">
        <v>0</v>
      </c>
      <c r="AM827" s="601">
        <v>0</v>
      </c>
      <c r="AN827" s="599">
        <v>21</v>
      </c>
    </row>
    <row r="828" spans="1:40" ht="16.5" customHeight="1">
      <c r="A828" s="598" t="s">
        <v>3337</v>
      </c>
      <c r="B828" s="598" t="s">
        <v>3349</v>
      </c>
      <c r="C828" s="598" t="s">
        <v>2526</v>
      </c>
      <c r="D828" s="598" t="s">
        <v>2527</v>
      </c>
      <c r="E828" s="598" t="s">
        <v>321</v>
      </c>
      <c r="F828" s="598" t="s">
        <v>3309</v>
      </c>
      <c r="G828" s="598" t="s">
        <v>3309</v>
      </c>
      <c r="H828" s="598" t="s">
        <v>3309</v>
      </c>
      <c r="I828" s="598" t="s">
        <v>3309</v>
      </c>
      <c r="J828" s="598" t="s">
        <v>3309</v>
      </c>
      <c r="K828" s="598" t="s">
        <v>321</v>
      </c>
      <c r="L828" s="598" t="s">
        <v>321</v>
      </c>
      <c r="M828" s="598" t="s">
        <v>3309</v>
      </c>
      <c r="N828" s="598" t="s">
        <v>3309</v>
      </c>
      <c r="O828" s="598" t="s">
        <v>3309</v>
      </c>
      <c r="P828" s="598" t="s">
        <v>3309</v>
      </c>
      <c r="Q828" s="598" t="s">
        <v>3309</v>
      </c>
      <c r="R828" s="598" t="s">
        <v>321</v>
      </c>
      <c r="S828" s="598" t="s">
        <v>321</v>
      </c>
      <c r="T828" s="598" t="s">
        <v>3309</v>
      </c>
      <c r="U828" s="598" t="s">
        <v>3309</v>
      </c>
      <c r="V828" s="598" t="s">
        <v>3309</v>
      </c>
      <c r="W828" s="598" t="s">
        <v>3309</v>
      </c>
      <c r="X828" s="598" t="s">
        <v>3309</v>
      </c>
      <c r="Y828" s="598" t="s">
        <v>321</v>
      </c>
      <c r="Z828" s="598" t="s">
        <v>321</v>
      </c>
      <c r="AA828" s="598" t="s">
        <v>3309</v>
      </c>
      <c r="AB828" s="598" t="s">
        <v>3309</v>
      </c>
      <c r="AC828" s="598" t="s">
        <v>3309</v>
      </c>
      <c r="AD828" s="598" t="s">
        <v>3309</v>
      </c>
      <c r="AE828" s="598" t="s">
        <v>3309</v>
      </c>
      <c r="AF828" s="598" t="s">
        <v>321</v>
      </c>
      <c r="AG828" s="598" t="s">
        <v>321</v>
      </c>
      <c r="AH828" s="598" t="s">
        <v>3309</v>
      </c>
      <c r="AI828" s="598" t="s">
        <v>321</v>
      </c>
      <c r="AJ828" s="599">
        <v>21</v>
      </c>
      <c r="AK828" s="600">
        <v>21</v>
      </c>
      <c r="AL828" s="601">
        <v>0</v>
      </c>
      <c r="AM828" s="601">
        <v>0</v>
      </c>
      <c r="AN828" s="599">
        <v>21</v>
      </c>
    </row>
    <row r="829" spans="1:40" ht="16.5" customHeight="1">
      <c r="A829" s="598" t="s">
        <v>3337</v>
      </c>
      <c r="B829" s="598" t="s">
        <v>3349</v>
      </c>
      <c r="C829" s="598" t="s">
        <v>1224</v>
      </c>
      <c r="D829" s="598" t="s">
        <v>1225</v>
      </c>
      <c r="E829" s="598" t="s">
        <v>321</v>
      </c>
      <c r="F829" s="598" t="s">
        <v>3309</v>
      </c>
      <c r="G829" s="598" t="s">
        <v>3309</v>
      </c>
      <c r="H829" s="598" t="s">
        <v>3309</v>
      </c>
      <c r="I829" s="598" t="s">
        <v>3309</v>
      </c>
      <c r="J829" s="598" t="s">
        <v>3309</v>
      </c>
      <c r="K829" s="598" t="s">
        <v>321</v>
      </c>
      <c r="L829" s="598" t="s">
        <v>321</v>
      </c>
      <c r="M829" s="598" t="s">
        <v>3313</v>
      </c>
      <c r="N829" s="598" t="s">
        <v>3313</v>
      </c>
      <c r="O829" s="598" t="s">
        <v>3309</v>
      </c>
      <c r="P829" s="598" t="s">
        <v>3309</v>
      </c>
      <c r="Q829" s="598" t="s">
        <v>3309</v>
      </c>
      <c r="R829" s="598" t="s">
        <v>321</v>
      </c>
      <c r="S829" s="598" t="s">
        <v>321</v>
      </c>
      <c r="T829" s="598" t="s">
        <v>3309</v>
      </c>
      <c r="U829" s="598" t="s">
        <v>3309</v>
      </c>
      <c r="V829" s="598" t="s">
        <v>3309</v>
      </c>
      <c r="W829" s="598" t="s">
        <v>3309</v>
      </c>
      <c r="X829" s="598" t="s">
        <v>3309</v>
      </c>
      <c r="Y829" s="598" t="s">
        <v>321</v>
      </c>
      <c r="Z829" s="598" t="s">
        <v>321</v>
      </c>
      <c r="AA829" s="598" t="s">
        <v>3309</v>
      </c>
      <c r="AB829" s="598" t="s">
        <v>3309</v>
      </c>
      <c r="AC829" s="598" t="s">
        <v>3309</v>
      </c>
      <c r="AD829" s="598" t="s">
        <v>3309</v>
      </c>
      <c r="AE829" s="598" t="s">
        <v>3309</v>
      </c>
      <c r="AF829" s="598" t="s">
        <v>321</v>
      </c>
      <c r="AG829" s="598" t="s">
        <v>321</v>
      </c>
      <c r="AH829" s="598" t="s">
        <v>3309</v>
      </c>
      <c r="AI829" s="598" t="s">
        <v>321</v>
      </c>
      <c r="AJ829" s="599">
        <v>21</v>
      </c>
      <c r="AK829" s="600">
        <v>21</v>
      </c>
      <c r="AL829" s="601">
        <v>0</v>
      </c>
      <c r="AM829" s="601">
        <v>0</v>
      </c>
      <c r="AN829" s="599">
        <v>21</v>
      </c>
    </row>
    <row r="830" spans="1:40" ht="16.5" customHeight="1">
      <c r="A830" s="598" t="s">
        <v>3337</v>
      </c>
      <c r="B830" s="598" t="s">
        <v>3349</v>
      </c>
      <c r="C830" s="598" t="s">
        <v>1518</v>
      </c>
      <c r="D830" s="598" t="s">
        <v>779</v>
      </c>
      <c r="E830" s="598" t="s">
        <v>321</v>
      </c>
      <c r="F830" s="598" t="s">
        <v>3309</v>
      </c>
      <c r="G830" s="598" t="s">
        <v>3309</v>
      </c>
      <c r="H830" s="598" t="s">
        <v>3309</v>
      </c>
      <c r="I830" s="598" t="s">
        <v>3309</v>
      </c>
      <c r="J830" s="598" t="s">
        <v>3309</v>
      </c>
      <c r="K830" s="598" t="s">
        <v>321</v>
      </c>
      <c r="L830" s="598" t="s">
        <v>321</v>
      </c>
      <c r="M830" s="598" t="s">
        <v>3313</v>
      </c>
      <c r="N830" s="598" t="s">
        <v>3313</v>
      </c>
      <c r="O830" s="598" t="s">
        <v>3313</v>
      </c>
      <c r="P830" s="598" t="s">
        <v>3309</v>
      </c>
      <c r="Q830" s="598" t="s">
        <v>3309</v>
      </c>
      <c r="R830" s="598" t="s">
        <v>321</v>
      </c>
      <c r="S830" s="598" t="s">
        <v>321</v>
      </c>
      <c r="T830" s="598" t="s">
        <v>3309</v>
      </c>
      <c r="U830" s="598" t="s">
        <v>3309</v>
      </c>
      <c r="V830" s="598" t="s">
        <v>3309</v>
      </c>
      <c r="W830" s="598" t="s">
        <v>3309</v>
      </c>
      <c r="X830" s="598" t="s">
        <v>3309</v>
      </c>
      <c r="Y830" s="598" t="s">
        <v>321</v>
      </c>
      <c r="Z830" s="598" t="s">
        <v>321</v>
      </c>
      <c r="AA830" s="598" t="s">
        <v>3309</v>
      </c>
      <c r="AB830" s="598" t="s">
        <v>3309</v>
      </c>
      <c r="AC830" s="598" t="s">
        <v>3309</v>
      </c>
      <c r="AD830" s="598" t="s">
        <v>3309</v>
      </c>
      <c r="AE830" s="598" t="s">
        <v>3309</v>
      </c>
      <c r="AF830" s="598" t="s">
        <v>321</v>
      </c>
      <c r="AG830" s="598" t="s">
        <v>321</v>
      </c>
      <c r="AH830" s="598" t="s">
        <v>3309</v>
      </c>
      <c r="AI830" s="598" t="s">
        <v>321</v>
      </c>
      <c r="AJ830" s="599">
        <v>21</v>
      </c>
      <c r="AK830" s="600">
        <v>21</v>
      </c>
      <c r="AL830" s="601">
        <v>0</v>
      </c>
      <c r="AM830" s="601">
        <v>0</v>
      </c>
      <c r="AN830" s="599">
        <v>21</v>
      </c>
    </row>
    <row r="831" spans="1:40" ht="16.5" customHeight="1">
      <c r="A831" s="598" t="s">
        <v>3337</v>
      </c>
      <c r="B831" s="598" t="s">
        <v>3349</v>
      </c>
      <c r="C831" s="598" t="s">
        <v>805</v>
      </c>
      <c r="D831" s="598" t="s">
        <v>806</v>
      </c>
      <c r="E831" s="598" t="s">
        <v>321</v>
      </c>
      <c r="F831" s="598" t="s">
        <v>3309</v>
      </c>
      <c r="G831" s="598" t="s">
        <v>3309</v>
      </c>
      <c r="H831" s="598" t="s">
        <v>3309</v>
      </c>
      <c r="I831" s="598" t="s">
        <v>3309</v>
      </c>
      <c r="J831" s="598" t="s">
        <v>3309</v>
      </c>
      <c r="K831" s="598" t="s">
        <v>321</v>
      </c>
      <c r="L831" s="598" t="s">
        <v>321</v>
      </c>
      <c r="M831" s="598" t="s">
        <v>3309</v>
      </c>
      <c r="N831" s="598" t="s">
        <v>3309</v>
      </c>
      <c r="O831" s="598" t="s">
        <v>3309</v>
      </c>
      <c r="P831" s="598" t="s">
        <v>3309</v>
      </c>
      <c r="Q831" s="598" t="s">
        <v>3309</v>
      </c>
      <c r="R831" s="598" t="s">
        <v>321</v>
      </c>
      <c r="S831" s="598" t="s">
        <v>321</v>
      </c>
      <c r="T831" s="598" t="s">
        <v>3309</v>
      </c>
      <c r="U831" s="598" t="s">
        <v>3309</v>
      </c>
      <c r="V831" s="598" t="s">
        <v>3309</v>
      </c>
      <c r="W831" s="598" t="s">
        <v>3309</v>
      </c>
      <c r="X831" s="598" t="s">
        <v>3309</v>
      </c>
      <c r="Y831" s="598" t="s">
        <v>321</v>
      </c>
      <c r="Z831" s="598" t="s">
        <v>321</v>
      </c>
      <c r="AA831" s="598" t="s">
        <v>3309</v>
      </c>
      <c r="AB831" s="598" t="s">
        <v>3309</v>
      </c>
      <c r="AC831" s="598" t="s">
        <v>3309</v>
      </c>
      <c r="AD831" s="598" t="s">
        <v>3309</v>
      </c>
      <c r="AE831" s="598" t="s">
        <v>3309</v>
      </c>
      <c r="AF831" s="598" t="s">
        <v>321</v>
      </c>
      <c r="AG831" s="598" t="s">
        <v>321</v>
      </c>
      <c r="AH831" s="598" t="s">
        <v>3309</v>
      </c>
      <c r="AI831" s="598" t="s">
        <v>321</v>
      </c>
      <c r="AJ831" s="599">
        <v>21</v>
      </c>
      <c r="AK831" s="600">
        <v>21</v>
      </c>
      <c r="AL831" s="601">
        <v>0</v>
      </c>
      <c r="AM831" s="601">
        <v>0</v>
      </c>
      <c r="AN831" s="599">
        <v>21</v>
      </c>
    </row>
    <row r="832" spans="1:40" ht="16.5" customHeight="1">
      <c r="A832" s="598" t="s">
        <v>3337</v>
      </c>
      <c r="B832" s="598" t="s">
        <v>3349</v>
      </c>
      <c r="C832" s="598" t="s">
        <v>2439</v>
      </c>
      <c r="D832" s="598" t="s">
        <v>2440</v>
      </c>
      <c r="E832" s="598" t="s">
        <v>321</v>
      </c>
      <c r="F832" s="598" t="s">
        <v>3309</v>
      </c>
      <c r="G832" s="598" t="s">
        <v>3309</v>
      </c>
      <c r="H832" s="598" t="s">
        <v>3309</v>
      </c>
      <c r="I832" s="598" t="s">
        <v>3309</v>
      </c>
      <c r="J832" s="598" t="s">
        <v>3309</v>
      </c>
      <c r="K832" s="598" t="s">
        <v>321</v>
      </c>
      <c r="L832" s="598" t="s">
        <v>321</v>
      </c>
      <c r="M832" s="598" t="s">
        <v>3309</v>
      </c>
      <c r="N832" s="598" t="s">
        <v>3309</v>
      </c>
      <c r="O832" s="598" t="s">
        <v>3309</v>
      </c>
      <c r="P832" s="598" t="s">
        <v>3309</v>
      </c>
      <c r="Q832" s="598" t="s">
        <v>3309</v>
      </c>
      <c r="R832" s="598" t="s">
        <v>321</v>
      </c>
      <c r="S832" s="598" t="s">
        <v>321</v>
      </c>
      <c r="T832" s="598" t="s">
        <v>3309</v>
      </c>
      <c r="U832" s="598" t="s">
        <v>3309</v>
      </c>
      <c r="V832" s="598" t="s">
        <v>3309</v>
      </c>
      <c r="W832" s="598" t="s">
        <v>3309</v>
      </c>
      <c r="X832" s="598" t="s">
        <v>3309</v>
      </c>
      <c r="Y832" s="598" t="s">
        <v>321</v>
      </c>
      <c r="Z832" s="598" t="s">
        <v>321</v>
      </c>
      <c r="AA832" s="598" t="s">
        <v>3309</v>
      </c>
      <c r="AB832" s="598" t="s">
        <v>3309</v>
      </c>
      <c r="AC832" s="598" t="s">
        <v>3309</v>
      </c>
      <c r="AD832" s="598" t="s">
        <v>3309</v>
      </c>
      <c r="AE832" s="598" t="s">
        <v>3309</v>
      </c>
      <c r="AF832" s="598" t="s">
        <v>321</v>
      </c>
      <c r="AG832" s="598" t="s">
        <v>321</v>
      </c>
      <c r="AH832" s="598" t="s">
        <v>3309</v>
      </c>
      <c r="AI832" s="598" t="s">
        <v>321</v>
      </c>
      <c r="AJ832" s="599">
        <v>21</v>
      </c>
      <c r="AK832" s="600">
        <v>21</v>
      </c>
      <c r="AL832" s="601">
        <v>0</v>
      </c>
      <c r="AM832" s="601">
        <v>0</v>
      </c>
      <c r="AN832" s="599">
        <v>21</v>
      </c>
    </row>
    <row r="833" spans="1:40" ht="16.5" customHeight="1">
      <c r="A833" s="598" t="s">
        <v>3337</v>
      </c>
      <c r="B833" s="598" t="s">
        <v>3349</v>
      </c>
      <c r="C833" s="598" t="s">
        <v>2210</v>
      </c>
      <c r="D833" s="598" t="s">
        <v>2211</v>
      </c>
      <c r="E833" s="598" t="s">
        <v>321</v>
      </c>
      <c r="F833" s="598" t="s">
        <v>3309</v>
      </c>
      <c r="G833" s="598" t="s">
        <v>3309</v>
      </c>
      <c r="H833" s="598" t="s">
        <v>3309</v>
      </c>
      <c r="I833" s="598" t="s">
        <v>3309</v>
      </c>
      <c r="J833" s="598" t="s">
        <v>3309</v>
      </c>
      <c r="K833" s="598" t="s">
        <v>321</v>
      </c>
      <c r="L833" s="598" t="s">
        <v>321</v>
      </c>
      <c r="M833" s="598" t="s">
        <v>3309</v>
      </c>
      <c r="N833" s="598" t="s">
        <v>3309</v>
      </c>
      <c r="O833" s="598" t="s">
        <v>3309</v>
      </c>
      <c r="P833" s="598" t="s">
        <v>3309</v>
      </c>
      <c r="Q833" s="598" t="s">
        <v>3309</v>
      </c>
      <c r="R833" s="598" t="s">
        <v>321</v>
      </c>
      <c r="S833" s="598" t="s">
        <v>321</v>
      </c>
      <c r="T833" s="598" t="s">
        <v>3309</v>
      </c>
      <c r="U833" s="598" t="s">
        <v>3309</v>
      </c>
      <c r="V833" s="598" t="s">
        <v>3309</v>
      </c>
      <c r="W833" s="598" t="s">
        <v>3309</v>
      </c>
      <c r="X833" s="598" t="s">
        <v>3309</v>
      </c>
      <c r="Y833" s="598" t="s">
        <v>321</v>
      </c>
      <c r="Z833" s="598" t="s">
        <v>321</v>
      </c>
      <c r="AA833" s="598" t="s">
        <v>3309</v>
      </c>
      <c r="AB833" s="598" t="s">
        <v>3309</v>
      </c>
      <c r="AC833" s="598" t="s">
        <v>3309</v>
      </c>
      <c r="AD833" s="598" t="s">
        <v>3309</v>
      </c>
      <c r="AE833" s="598" t="s">
        <v>3313</v>
      </c>
      <c r="AF833" s="598" t="s">
        <v>321</v>
      </c>
      <c r="AG833" s="598" t="s">
        <v>321</v>
      </c>
      <c r="AH833" s="598" t="s">
        <v>3309</v>
      </c>
      <c r="AI833" s="598" t="s">
        <v>321</v>
      </c>
      <c r="AJ833" s="599">
        <v>21</v>
      </c>
      <c r="AK833" s="600">
        <v>21</v>
      </c>
      <c r="AL833" s="601">
        <v>0</v>
      </c>
      <c r="AM833" s="601">
        <v>0</v>
      </c>
      <c r="AN833" s="599">
        <v>21</v>
      </c>
    </row>
    <row r="834" spans="1:40" ht="16.5" customHeight="1">
      <c r="A834" s="598" t="s">
        <v>3337</v>
      </c>
      <c r="B834" s="598" t="s">
        <v>3349</v>
      </c>
      <c r="C834" s="598" t="s">
        <v>1544</v>
      </c>
      <c r="D834" s="598" t="s">
        <v>1545</v>
      </c>
      <c r="E834" s="598" t="s">
        <v>321</v>
      </c>
      <c r="F834" s="598" t="s">
        <v>3309</v>
      </c>
      <c r="G834" s="598" t="s">
        <v>3309</v>
      </c>
      <c r="H834" s="598" t="s">
        <v>3309</v>
      </c>
      <c r="I834" s="598" t="s">
        <v>3309</v>
      </c>
      <c r="J834" s="598" t="s">
        <v>3309</v>
      </c>
      <c r="K834" s="598" t="s">
        <v>321</v>
      </c>
      <c r="L834" s="598" t="s">
        <v>321</v>
      </c>
      <c r="M834" s="598" t="s">
        <v>3309</v>
      </c>
      <c r="N834" s="598" t="s">
        <v>3309</v>
      </c>
      <c r="O834" s="598" t="s">
        <v>3309</v>
      </c>
      <c r="P834" s="598" t="s">
        <v>3309</v>
      </c>
      <c r="Q834" s="598" t="s">
        <v>3309</v>
      </c>
      <c r="R834" s="598" t="s">
        <v>321</v>
      </c>
      <c r="S834" s="598" t="s">
        <v>321</v>
      </c>
      <c r="T834" s="598" t="s">
        <v>3309</v>
      </c>
      <c r="U834" s="598" t="s">
        <v>3309</v>
      </c>
      <c r="V834" s="598" t="s">
        <v>3309</v>
      </c>
      <c r="W834" s="598" t="s">
        <v>3309</v>
      </c>
      <c r="X834" s="598" t="s">
        <v>3309</v>
      </c>
      <c r="Y834" s="598" t="s">
        <v>321</v>
      </c>
      <c r="Z834" s="598" t="s">
        <v>321</v>
      </c>
      <c r="AA834" s="598" t="s">
        <v>3309</v>
      </c>
      <c r="AB834" s="598" t="s">
        <v>3309</v>
      </c>
      <c r="AC834" s="598" t="s">
        <v>3309</v>
      </c>
      <c r="AD834" s="598" t="s">
        <v>3309</v>
      </c>
      <c r="AE834" s="598" t="s">
        <v>3309</v>
      </c>
      <c r="AF834" s="598" t="s">
        <v>321</v>
      </c>
      <c r="AG834" s="598" t="s">
        <v>321</v>
      </c>
      <c r="AH834" s="598" t="s">
        <v>3309</v>
      </c>
      <c r="AI834" s="598" t="s">
        <v>321</v>
      </c>
      <c r="AJ834" s="599">
        <v>21</v>
      </c>
      <c r="AK834" s="600">
        <v>21</v>
      </c>
      <c r="AL834" s="601">
        <v>0</v>
      </c>
      <c r="AM834" s="601">
        <v>0</v>
      </c>
      <c r="AN834" s="599">
        <v>21</v>
      </c>
    </row>
    <row r="835" spans="1:40" ht="16.5" customHeight="1">
      <c r="A835" s="598" t="s">
        <v>3337</v>
      </c>
      <c r="B835" s="598" t="s">
        <v>3349</v>
      </c>
      <c r="C835" s="598" t="s">
        <v>2258</v>
      </c>
      <c r="D835" s="598" t="s">
        <v>2259</v>
      </c>
      <c r="E835" s="598" t="s">
        <v>321</v>
      </c>
      <c r="F835" s="598" t="s">
        <v>3309</v>
      </c>
      <c r="G835" s="598" t="s">
        <v>3309</v>
      </c>
      <c r="H835" s="598" t="s">
        <v>3309</v>
      </c>
      <c r="I835" s="598" t="s">
        <v>3309</v>
      </c>
      <c r="J835" s="598" t="s">
        <v>3309</v>
      </c>
      <c r="K835" s="598" t="s">
        <v>321</v>
      </c>
      <c r="L835" s="598" t="s">
        <v>321</v>
      </c>
      <c r="M835" s="598" t="s">
        <v>3309</v>
      </c>
      <c r="N835" s="598" t="s">
        <v>3309</v>
      </c>
      <c r="O835" s="598" t="s">
        <v>3309</v>
      </c>
      <c r="P835" s="598" t="s">
        <v>3309</v>
      </c>
      <c r="Q835" s="598" t="s">
        <v>3309</v>
      </c>
      <c r="R835" s="598" t="s">
        <v>321</v>
      </c>
      <c r="S835" s="598" t="s">
        <v>321</v>
      </c>
      <c r="T835" s="598" t="s">
        <v>3309</v>
      </c>
      <c r="U835" s="598" t="s">
        <v>3309</v>
      </c>
      <c r="V835" s="598" t="s">
        <v>3309</v>
      </c>
      <c r="W835" s="598" t="s">
        <v>3309</v>
      </c>
      <c r="X835" s="598" t="s">
        <v>3309</v>
      </c>
      <c r="Y835" s="598" t="s">
        <v>321</v>
      </c>
      <c r="Z835" s="598" t="s">
        <v>321</v>
      </c>
      <c r="AA835" s="598" t="s">
        <v>3309</v>
      </c>
      <c r="AB835" s="598" t="s">
        <v>3309</v>
      </c>
      <c r="AC835" s="598" t="s">
        <v>3309</v>
      </c>
      <c r="AD835" s="598" t="s">
        <v>3309</v>
      </c>
      <c r="AE835" s="598" t="s">
        <v>3309</v>
      </c>
      <c r="AF835" s="598" t="s">
        <v>321</v>
      </c>
      <c r="AG835" s="598" t="s">
        <v>321</v>
      </c>
      <c r="AH835" s="598" t="s">
        <v>3309</v>
      </c>
      <c r="AI835" s="598" t="s">
        <v>321</v>
      </c>
      <c r="AJ835" s="599">
        <v>21</v>
      </c>
      <c r="AK835" s="600">
        <v>21</v>
      </c>
      <c r="AL835" s="601">
        <v>0</v>
      </c>
      <c r="AM835" s="601">
        <v>0</v>
      </c>
      <c r="AN835" s="599">
        <v>21</v>
      </c>
    </row>
    <row r="836" spans="1:40" ht="16.5" customHeight="1">
      <c r="A836" s="598" t="s">
        <v>3337</v>
      </c>
      <c r="B836" s="598" t="s">
        <v>3349</v>
      </c>
      <c r="C836" s="598" t="s">
        <v>1938</v>
      </c>
      <c r="D836" s="598" t="s">
        <v>1939</v>
      </c>
      <c r="E836" s="598" t="s">
        <v>321</v>
      </c>
      <c r="F836" s="598" t="s">
        <v>3309</v>
      </c>
      <c r="G836" s="598" t="s">
        <v>3309</v>
      </c>
      <c r="H836" s="598" t="s">
        <v>3309</v>
      </c>
      <c r="I836" s="598" t="s">
        <v>3309</v>
      </c>
      <c r="J836" s="598" t="s">
        <v>3309</v>
      </c>
      <c r="K836" s="598" t="s">
        <v>321</v>
      </c>
      <c r="L836" s="598" t="s">
        <v>321</v>
      </c>
      <c r="M836" s="598" t="s">
        <v>3309</v>
      </c>
      <c r="N836" s="598" t="s">
        <v>3309</v>
      </c>
      <c r="O836" s="598" t="s">
        <v>3309</v>
      </c>
      <c r="P836" s="598" t="s">
        <v>3309</v>
      </c>
      <c r="Q836" s="598" t="s">
        <v>3309</v>
      </c>
      <c r="R836" s="598" t="s">
        <v>321</v>
      </c>
      <c r="S836" s="598" t="s">
        <v>321</v>
      </c>
      <c r="T836" s="598" t="s">
        <v>3309</v>
      </c>
      <c r="U836" s="598" t="s">
        <v>3309</v>
      </c>
      <c r="V836" s="598" t="s">
        <v>3309</v>
      </c>
      <c r="W836" s="598" t="s">
        <v>3309</v>
      </c>
      <c r="X836" s="598" t="s">
        <v>3309</v>
      </c>
      <c r="Y836" s="598" t="s">
        <v>321</v>
      </c>
      <c r="Z836" s="598" t="s">
        <v>321</v>
      </c>
      <c r="AA836" s="598" t="s">
        <v>3309</v>
      </c>
      <c r="AB836" s="598" t="s">
        <v>3309</v>
      </c>
      <c r="AC836" s="598" t="s">
        <v>3309</v>
      </c>
      <c r="AD836" s="598" t="s">
        <v>3309</v>
      </c>
      <c r="AE836" s="598" t="s">
        <v>3309</v>
      </c>
      <c r="AF836" s="598" t="s">
        <v>321</v>
      </c>
      <c r="AG836" s="598" t="s">
        <v>321</v>
      </c>
      <c r="AH836" s="598" t="s">
        <v>3309</v>
      </c>
      <c r="AI836" s="598" t="s">
        <v>321</v>
      </c>
      <c r="AJ836" s="599">
        <v>21</v>
      </c>
      <c r="AK836" s="600">
        <v>21</v>
      </c>
      <c r="AL836" s="601">
        <v>0</v>
      </c>
      <c r="AM836" s="601">
        <v>0</v>
      </c>
      <c r="AN836" s="599">
        <v>21</v>
      </c>
    </row>
    <row r="837" spans="1:40" ht="16.5" customHeight="1">
      <c r="A837" s="598" t="s">
        <v>3337</v>
      </c>
      <c r="B837" s="598" t="s">
        <v>3349</v>
      </c>
      <c r="C837" s="598" t="s">
        <v>1994</v>
      </c>
      <c r="D837" s="598" t="s">
        <v>1995</v>
      </c>
      <c r="E837" s="598" t="s">
        <v>321</v>
      </c>
      <c r="F837" s="598" t="s">
        <v>3309</v>
      </c>
      <c r="G837" s="598" t="s">
        <v>3309</v>
      </c>
      <c r="H837" s="598" t="s">
        <v>3309</v>
      </c>
      <c r="I837" s="598" t="s">
        <v>3309</v>
      </c>
      <c r="J837" s="598" t="s">
        <v>3309</v>
      </c>
      <c r="K837" s="598" t="s">
        <v>321</v>
      </c>
      <c r="L837" s="598" t="s">
        <v>321</v>
      </c>
      <c r="M837" s="598" t="s">
        <v>3309</v>
      </c>
      <c r="N837" s="598" t="s">
        <v>3309</v>
      </c>
      <c r="O837" s="598" t="s">
        <v>3309</v>
      </c>
      <c r="P837" s="598" t="s">
        <v>3309</v>
      </c>
      <c r="Q837" s="598" t="s">
        <v>3309</v>
      </c>
      <c r="R837" s="598" t="s">
        <v>321</v>
      </c>
      <c r="S837" s="598" t="s">
        <v>321</v>
      </c>
      <c r="T837" s="598" t="s">
        <v>3309</v>
      </c>
      <c r="U837" s="598" t="s">
        <v>3309</v>
      </c>
      <c r="V837" s="598" t="s">
        <v>3309</v>
      </c>
      <c r="W837" s="598" t="s">
        <v>3309</v>
      </c>
      <c r="X837" s="598" t="s">
        <v>3309</v>
      </c>
      <c r="Y837" s="598" t="s">
        <v>321</v>
      </c>
      <c r="Z837" s="598" t="s">
        <v>321</v>
      </c>
      <c r="AA837" s="598" t="s">
        <v>3309</v>
      </c>
      <c r="AB837" s="598" t="s">
        <v>3309</v>
      </c>
      <c r="AC837" s="598" t="s">
        <v>3309</v>
      </c>
      <c r="AD837" s="598" t="s">
        <v>3309</v>
      </c>
      <c r="AE837" s="598" t="s">
        <v>3309</v>
      </c>
      <c r="AF837" s="598" t="s">
        <v>321</v>
      </c>
      <c r="AG837" s="598" t="s">
        <v>321</v>
      </c>
      <c r="AH837" s="598" t="s">
        <v>3309</v>
      </c>
      <c r="AI837" s="598" t="s">
        <v>321</v>
      </c>
      <c r="AJ837" s="599">
        <v>21</v>
      </c>
      <c r="AK837" s="600">
        <v>21</v>
      </c>
      <c r="AL837" s="601">
        <v>0</v>
      </c>
      <c r="AM837" s="601">
        <v>0</v>
      </c>
      <c r="AN837" s="599">
        <v>21</v>
      </c>
    </row>
    <row r="838" spans="1:40" ht="16.5" customHeight="1">
      <c r="A838" s="598" t="s">
        <v>3337</v>
      </c>
      <c r="B838" s="598" t="s">
        <v>3349</v>
      </c>
      <c r="C838" s="598" t="s">
        <v>1801</v>
      </c>
      <c r="D838" s="598" t="s">
        <v>1802</v>
      </c>
      <c r="E838" s="598" t="s">
        <v>321</v>
      </c>
      <c r="F838" s="598" t="s">
        <v>3309</v>
      </c>
      <c r="G838" s="598" t="s">
        <v>3309</v>
      </c>
      <c r="H838" s="598" t="s">
        <v>3309</v>
      </c>
      <c r="I838" s="598" t="s">
        <v>3313</v>
      </c>
      <c r="J838" s="598" t="s">
        <v>3313</v>
      </c>
      <c r="K838" s="598" t="s">
        <v>321</v>
      </c>
      <c r="L838" s="598" t="s">
        <v>321</v>
      </c>
      <c r="M838" s="598" t="s">
        <v>3309</v>
      </c>
      <c r="N838" s="598" t="s">
        <v>3309</v>
      </c>
      <c r="O838" s="598" t="s">
        <v>3309</v>
      </c>
      <c r="P838" s="598" t="s">
        <v>3309</v>
      </c>
      <c r="Q838" s="598" t="s">
        <v>3309</v>
      </c>
      <c r="R838" s="598" t="s">
        <v>321</v>
      </c>
      <c r="S838" s="598" t="s">
        <v>321</v>
      </c>
      <c r="T838" s="598" t="s">
        <v>3309</v>
      </c>
      <c r="U838" s="598" t="s">
        <v>3309</v>
      </c>
      <c r="V838" s="598" t="s">
        <v>3309</v>
      </c>
      <c r="W838" s="598" t="s">
        <v>3309</v>
      </c>
      <c r="X838" s="598" t="s">
        <v>3309</v>
      </c>
      <c r="Y838" s="598" t="s">
        <v>321</v>
      </c>
      <c r="Z838" s="598" t="s">
        <v>321</v>
      </c>
      <c r="AA838" s="598" t="s">
        <v>3309</v>
      </c>
      <c r="AB838" s="598" t="s">
        <v>3309</v>
      </c>
      <c r="AC838" s="598" t="s">
        <v>3309</v>
      </c>
      <c r="AD838" s="598" t="s">
        <v>3309</v>
      </c>
      <c r="AE838" s="598" t="s">
        <v>3309</v>
      </c>
      <c r="AF838" s="598" t="s">
        <v>321</v>
      </c>
      <c r="AG838" s="598" t="s">
        <v>321</v>
      </c>
      <c r="AH838" s="598" t="s">
        <v>3309</v>
      </c>
      <c r="AI838" s="598" t="s">
        <v>321</v>
      </c>
      <c r="AJ838" s="599">
        <v>21</v>
      </c>
      <c r="AK838" s="600">
        <v>21</v>
      </c>
      <c r="AL838" s="601">
        <v>0</v>
      </c>
      <c r="AM838" s="601">
        <v>0</v>
      </c>
      <c r="AN838" s="599">
        <v>21</v>
      </c>
    </row>
    <row r="839" spans="1:40" ht="16.5" customHeight="1">
      <c r="A839" s="598" t="s">
        <v>3337</v>
      </c>
      <c r="B839" s="598" t="s">
        <v>3349</v>
      </c>
      <c r="C839" s="598" t="s">
        <v>1361</v>
      </c>
      <c r="D839" s="598" t="s">
        <v>1362</v>
      </c>
      <c r="E839" s="598" t="s">
        <v>321</v>
      </c>
      <c r="F839" s="598" t="s">
        <v>3309</v>
      </c>
      <c r="G839" s="598" t="s">
        <v>3309</v>
      </c>
      <c r="H839" s="598" t="s">
        <v>3309</v>
      </c>
      <c r="I839" s="598" t="s">
        <v>3309</v>
      </c>
      <c r="J839" s="598" t="s">
        <v>3309</v>
      </c>
      <c r="K839" s="598" t="s">
        <v>321</v>
      </c>
      <c r="L839" s="598" t="s">
        <v>321</v>
      </c>
      <c r="M839" s="598" t="s">
        <v>3309</v>
      </c>
      <c r="N839" s="598" t="s">
        <v>3309</v>
      </c>
      <c r="O839" s="598" t="s">
        <v>3309</v>
      </c>
      <c r="P839" s="598" t="s">
        <v>3309</v>
      </c>
      <c r="Q839" s="598" t="s">
        <v>3312</v>
      </c>
      <c r="R839" s="598" t="s">
        <v>321</v>
      </c>
      <c r="S839" s="598" t="s">
        <v>321</v>
      </c>
      <c r="T839" s="598" t="s">
        <v>3309</v>
      </c>
      <c r="U839" s="598" t="s">
        <v>3309</v>
      </c>
      <c r="V839" s="598" t="s">
        <v>3309</v>
      </c>
      <c r="W839" s="598" t="s">
        <v>3309</v>
      </c>
      <c r="X839" s="598" t="s">
        <v>3309</v>
      </c>
      <c r="Y839" s="598" t="s">
        <v>321</v>
      </c>
      <c r="Z839" s="598" t="s">
        <v>321</v>
      </c>
      <c r="AA839" s="598" t="s">
        <v>3309</v>
      </c>
      <c r="AB839" s="598" t="s">
        <v>3309</v>
      </c>
      <c r="AC839" s="598" t="s">
        <v>3309</v>
      </c>
      <c r="AD839" s="598" t="s">
        <v>3309</v>
      </c>
      <c r="AE839" s="598" t="s">
        <v>3309</v>
      </c>
      <c r="AF839" s="598" t="s">
        <v>321</v>
      </c>
      <c r="AG839" s="598" t="s">
        <v>321</v>
      </c>
      <c r="AH839" s="598" t="s">
        <v>3309</v>
      </c>
      <c r="AI839" s="598" t="s">
        <v>321</v>
      </c>
      <c r="AJ839" s="599">
        <v>21</v>
      </c>
      <c r="AK839" s="600">
        <v>20</v>
      </c>
      <c r="AL839" s="602">
        <v>1</v>
      </c>
      <c r="AM839" s="601">
        <v>0</v>
      </c>
      <c r="AN839" s="599">
        <v>21</v>
      </c>
    </row>
    <row r="840" spans="1:40" ht="16.5" customHeight="1">
      <c r="A840" s="598" t="s">
        <v>3337</v>
      </c>
      <c r="B840" s="598" t="s">
        <v>3349</v>
      </c>
      <c r="C840" s="598" t="s">
        <v>2173</v>
      </c>
      <c r="D840" s="598" t="s">
        <v>2174</v>
      </c>
      <c r="E840" s="598" t="s">
        <v>321</v>
      </c>
      <c r="F840" s="598" t="s">
        <v>3309</v>
      </c>
      <c r="G840" s="598" t="s">
        <v>3309</v>
      </c>
      <c r="H840" s="598" t="s">
        <v>3309</v>
      </c>
      <c r="I840" s="598" t="s">
        <v>3309</v>
      </c>
      <c r="J840" s="598" t="s">
        <v>3309</v>
      </c>
      <c r="K840" s="598" t="s">
        <v>321</v>
      </c>
      <c r="L840" s="598" t="s">
        <v>321</v>
      </c>
      <c r="M840" s="598" t="s">
        <v>3309</v>
      </c>
      <c r="N840" s="598" t="s">
        <v>3309</v>
      </c>
      <c r="O840" s="598" t="s">
        <v>3309</v>
      </c>
      <c r="P840" s="598" t="s">
        <v>3309</v>
      </c>
      <c r="Q840" s="598" t="s">
        <v>3309</v>
      </c>
      <c r="R840" s="598" t="s">
        <v>321</v>
      </c>
      <c r="S840" s="598" t="s">
        <v>321</v>
      </c>
      <c r="T840" s="598" t="s">
        <v>3309</v>
      </c>
      <c r="U840" s="598" t="s">
        <v>3309</v>
      </c>
      <c r="V840" s="598" t="s">
        <v>3309</v>
      </c>
      <c r="W840" s="598" t="s">
        <v>3309</v>
      </c>
      <c r="X840" s="598" t="s">
        <v>3309</v>
      </c>
      <c r="Y840" s="598" t="s">
        <v>321</v>
      </c>
      <c r="Z840" s="598" t="s">
        <v>321</v>
      </c>
      <c r="AA840" s="598" t="s">
        <v>3309</v>
      </c>
      <c r="AB840" s="598" t="s">
        <v>3309</v>
      </c>
      <c r="AC840" s="598" t="s">
        <v>3309</v>
      </c>
      <c r="AD840" s="598" t="s">
        <v>3309</v>
      </c>
      <c r="AE840" s="598" t="s">
        <v>3309</v>
      </c>
      <c r="AF840" s="598" t="s">
        <v>321</v>
      </c>
      <c r="AG840" s="598" t="s">
        <v>321</v>
      </c>
      <c r="AH840" s="598" t="s">
        <v>3309</v>
      </c>
      <c r="AI840" s="598" t="s">
        <v>321</v>
      </c>
      <c r="AJ840" s="599">
        <v>21</v>
      </c>
      <c r="AK840" s="600">
        <v>21</v>
      </c>
      <c r="AL840" s="601">
        <v>0</v>
      </c>
      <c r="AM840" s="601">
        <v>0</v>
      </c>
      <c r="AN840" s="599">
        <v>21</v>
      </c>
    </row>
    <row r="841" spans="1:40" ht="16.5" customHeight="1">
      <c r="A841" s="598" t="s">
        <v>3337</v>
      </c>
      <c r="B841" s="598" t="s">
        <v>3349</v>
      </c>
      <c r="C841" s="598" t="s">
        <v>2902</v>
      </c>
      <c r="D841" s="598" t="s">
        <v>2903</v>
      </c>
      <c r="E841" s="598" t="s">
        <v>321</v>
      </c>
      <c r="F841" s="598" t="s">
        <v>3309</v>
      </c>
      <c r="G841" s="598" t="s">
        <v>3309</v>
      </c>
      <c r="H841" s="598" t="s">
        <v>3309</v>
      </c>
      <c r="I841" s="598" t="s">
        <v>3309</v>
      </c>
      <c r="J841" s="598" t="s">
        <v>3309</v>
      </c>
      <c r="K841" s="598" t="s">
        <v>321</v>
      </c>
      <c r="L841" s="598" t="s">
        <v>321</v>
      </c>
      <c r="M841" s="598" t="s">
        <v>3309</v>
      </c>
      <c r="N841" s="598" t="s">
        <v>3309</v>
      </c>
      <c r="O841" s="598" t="s">
        <v>3309</v>
      </c>
      <c r="P841" s="598" t="s">
        <v>3309</v>
      </c>
      <c r="Q841" s="598" t="s">
        <v>3309</v>
      </c>
      <c r="R841" s="598" t="s">
        <v>321</v>
      </c>
      <c r="S841" s="598" t="s">
        <v>321</v>
      </c>
      <c r="T841" s="598" t="s">
        <v>3309</v>
      </c>
      <c r="U841" s="598" t="s">
        <v>3309</v>
      </c>
      <c r="V841" s="598" t="s">
        <v>3309</v>
      </c>
      <c r="W841" s="598" t="s">
        <v>3309</v>
      </c>
      <c r="X841" s="598" t="s">
        <v>3309</v>
      </c>
      <c r="Y841" s="598" t="s">
        <v>321</v>
      </c>
      <c r="Z841" s="598" t="s">
        <v>321</v>
      </c>
      <c r="AA841" s="598" t="s">
        <v>3309</v>
      </c>
      <c r="AB841" s="598" t="s">
        <v>3309</v>
      </c>
      <c r="AC841" s="598" t="s">
        <v>3309</v>
      </c>
      <c r="AD841" s="598" t="s">
        <v>3309</v>
      </c>
      <c r="AE841" s="598" t="s">
        <v>3309</v>
      </c>
      <c r="AF841" s="598" t="s">
        <v>321</v>
      </c>
      <c r="AG841" s="598" t="s">
        <v>321</v>
      </c>
      <c r="AH841" s="598" t="s">
        <v>3309</v>
      </c>
      <c r="AI841" s="598" t="s">
        <v>321</v>
      </c>
      <c r="AJ841" s="599">
        <v>21</v>
      </c>
      <c r="AK841" s="600">
        <v>21</v>
      </c>
      <c r="AL841" s="601">
        <v>0</v>
      </c>
      <c r="AM841" s="601">
        <v>0</v>
      </c>
      <c r="AN841" s="599">
        <v>21</v>
      </c>
    </row>
    <row r="842" spans="1:40" ht="16.5" customHeight="1">
      <c r="A842" s="598" t="s">
        <v>3337</v>
      </c>
      <c r="B842" s="598" t="s">
        <v>3349</v>
      </c>
      <c r="C842" s="598" t="s">
        <v>2224</v>
      </c>
      <c r="D842" s="598" t="s">
        <v>2225</v>
      </c>
      <c r="E842" s="598" t="s">
        <v>321</v>
      </c>
      <c r="F842" s="598" t="s">
        <v>3309</v>
      </c>
      <c r="G842" s="598" t="s">
        <v>3309</v>
      </c>
      <c r="H842" s="598" t="s">
        <v>3309</v>
      </c>
      <c r="I842" s="598" t="s">
        <v>3309</v>
      </c>
      <c r="J842" s="598" t="s">
        <v>3309</v>
      </c>
      <c r="K842" s="598" t="s">
        <v>321</v>
      </c>
      <c r="L842" s="598" t="s">
        <v>321</v>
      </c>
      <c r="M842" s="598" t="s">
        <v>3309</v>
      </c>
      <c r="N842" s="598" t="s">
        <v>3309</v>
      </c>
      <c r="O842" s="598" t="s">
        <v>3309</v>
      </c>
      <c r="P842" s="598" t="s">
        <v>3309</v>
      </c>
      <c r="Q842" s="598" t="s">
        <v>3309</v>
      </c>
      <c r="R842" s="598" t="s">
        <v>321</v>
      </c>
      <c r="S842" s="598" t="s">
        <v>321</v>
      </c>
      <c r="T842" s="598" t="s">
        <v>3309</v>
      </c>
      <c r="U842" s="598" t="s">
        <v>3309</v>
      </c>
      <c r="V842" s="598" t="s">
        <v>3309</v>
      </c>
      <c r="W842" s="598" t="s">
        <v>3309</v>
      </c>
      <c r="X842" s="598" t="s">
        <v>3309</v>
      </c>
      <c r="Y842" s="598" t="s">
        <v>321</v>
      </c>
      <c r="Z842" s="598" t="s">
        <v>321</v>
      </c>
      <c r="AA842" s="598" t="s">
        <v>3309</v>
      </c>
      <c r="AB842" s="598" t="s">
        <v>3309</v>
      </c>
      <c r="AC842" s="598" t="s">
        <v>3309</v>
      </c>
      <c r="AD842" s="598" t="s">
        <v>3309</v>
      </c>
      <c r="AE842" s="598" t="s">
        <v>3309</v>
      </c>
      <c r="AF842" s="598" t="s">
        <v>321</v>
      </c>
      <c r="AG842" s="598" t="s">
        <v>321</v>
      </c>
      <c r="AH842" s="598" t="s">
        <v>3309</v>
      </c>
      <c r="AI842" s="598" t="s">
        <v>321</v>
      </c>
      <c r="AJ842" s="599">
        <v>21</v>
      </c>
      <c r="AK842" s="600">
        <v>21</v>
      </c>
      <c r="AL842" s="601">
        <v>0</v>
      </c>
      <c r="AM842" s="601">
        <v>0</v>
      </c>
      <c r="AN842" s="599">
        <v>21</v>
      </c>
    </row>
    <row r="843" spans="1:40" ht="16.5" customHeight="1">
      <c r="A843" s="598" t="s">
        <v>3337</v>
      </c>
      <c r="B843" s="598" t="s">
        <v>3349</v>
      </c>
      <c r="C843" s="598" t="s">
        <v>2287</v>
      </c>
      <c r="D843" s="598" t="s">
        <v>568</v>
      </c>
      <c r="E843" s="598" t="s">
        <v>321</v>
      </c>
      <c r="F843" s="598" t="s">
        <v>3309</v>
      </c>
      <c r="G843" s="598" t="s">
        <v>3309</v>
      </c>
      <c r="H843" s="598" t="s">
        <v>3309</v>
      </c>
      <c r="I843" s="598" t="s">
        <v>3309</v>
      </c>
      <c r="J843" s="598" t="s">
        <v>3309</v>
      </c>
      <c r="K843" s="598" t="s">
        <v>321</v>
      </c>
      <c r="L843" s="598" t="s">
        <v>321</v>
      </c>
      <c r="M843" s="598" t="s">
        <v>3309</v>
      </c>
      <c r="N843" s="598" t="s">
        <v>3309</v>
      </c>
      <c r="O843" s="598" t="s">
        <v>3309</v>
      </c>
      <c r="P843" s="598" t="s">
        <v>3309</v>
      </c>
      <c r="Q843" s="598" t="s">
        <v>3309</v>
      </c>
      <c r="R843" s="598" t="s">
        <v>321</v>
      </c>
      <c r="S843" s="598" t="s">
        <v>321</v>
      </c>
      <c r="T843" s="598" t="s">
        <v>3309</v>
      </c>
      <c r="U843" s="598" t="s">
        <v>3309</v>
      </c>
      <c r="V843" s="598" t="s">
        <v>3309</v>
      </c>
      <c r="W843" s="598" t="s">
        <v>3309</v>
      </c>
      <c r="X843" s="598" t="s">
        <v>3309</v>
      </c>
      <c r="Y843" s="598" t="s">
        <v>321</v>
      </c>
      <c r="Z843" s="598" t="s">
        <v>321</v>
      </c>
      <c r="AA843" s="598" t="s">
        <v>3309</v>
      </c>
      <c r="AB843" s="598" t="s">
        <v>3309</v>
      </c>
      <c r="AC843" s="598" t="s">
        <v>3309</v>
      </c>
      <c r="AD843" s="598" t="s">
        <v>3309</v>
      </c>
      <c r="AE843" s="598" t="s">
        <v>3309</v>
      </c>
      <c r="AF843" s="598" t="s">
        <v>321</v>
      </c>
      <c r="AG843" s="598" t="s">
        <v>321</v>
      </c>
      <c r="AH843" s="598" t="s">
        <v>3309</v>
      </c>
      <c r="AI843" s="598" t="s">
        <v>321</v>
      </c>
      <c r="AJ843" s="599">
        <v>21</v>
      </c>
      <c r="AK843" s="600">
        <v>21</v>
      </c>
      <c r="AL843" s="601">
        <v>0</v>
      </c>
      <c r="AM843" s="601">
        <v>0</v>
      </c>
      <c r="AN843" s="599">
        <v>21</v>
      </c>
    </row>
    <row r="844" spans="1:40" ht="16.5" customHeight="1">
      <c r="A844" s="598" t="s">
        <v>3337</v>
      </c>
      <c r="B844" s="598" t="s">
        <v>3349</v>
      </c>
      <c r="C844" s="598" t="s">
        <v>2326</v>
      </c>
      <c r="D844" s="598" t="s">
        <v>2327</v>
      </c>
      <c r="E844" s="598" t="s">
        <v>321</v>
      </c>
      <c r="F844" s="598" t="s">
        <v>3309</v>
      </c>
      <c r="G844" s="598" t="s">
        <v>3309</v>
      </c>
      <c r="H844" s="598" t="s">
        <v>3309</v>
      </c>
      <c r="I844" s="598" t="s">
        <v>3309</v>
      </c>
      <c r="J844" s="598" t="s">
        <v>3309</v>
      </c>
      <c r="K844" s="598" t="s">
        <v>321</v>
      </c>
      <c r="L844" s="598" t="s">
        <v>321</v>
      </c>
      <c r="M844" s="598" t="s">
        <v>3309</v>
      </c>
      <c r="N844" s="598" t="s">
        <v>3309</v>
      </c>
      <c r="O844" s="598" t="s">
        <v>3309</v>
      </c>
      <c r="P844" s="598" t="s">
        <v>3309</v>
      </c>
      <c r="Q844" s="598" t="s">
        <v>3309</v>
      </c>
      <c r="R844" s="598" t="s">
        <v>321</v>
      </c>
      <c r="S844" s="598" t="s">
        <v>321</v>
      </c>
      <c r="T844" s="598" t="s">
        <v>3309</v>
      </c>
      <c r="U844" s="598" t="s">
        <v>3309</v>
      </c>
      <c r="V844" s="598" t="s">
        <v>3309</v>
      </c>
      <c r="W844" s="598" t="s">
        <v>3309</v>
      </c>
      <c r="X844" s="598" t="s">
        <v>3309</v>
      </c>
      <c r="Y844" s="598" t="s">
        <v>321</v>
      </c>
      <c r="Z844" s="598" t="s">
        <v>321</v>
      </c>
      <c r="AA844" s="598" t="s">
        <v>3312</v>
      </c>
      <c r="AB844" s="598" t="s">
        <v>3312</v>
      </c>
      <c r="AC844" s="598" t="s">
        <v>3309</v>
      </c>
      <c r="AD844" s="598" t="s">
        <v>3309</v>
      </c>
      <c r="AE844" s="598" t="s">
        <v>3309</v>
      </c>
      <c r="AF844" s="598" t="s">
        <v>321</v>
      </c>
      <c r="AG844" s="598" t="s">
        <v>321</v>
      </c>
      <c r="AH844" s="598" t="s">
        <v>3309</v>
      </c>
      <c r="AI844" s="598" t="s">
        <v>321</v>
      </c>
      <c r="AJ844" s="599">
        <v>21</v>
      </c>
      <c r="AK844" s="600">
        <v>19</v>
      </c>
      <c r="AL844" s="602">
        <v>2</v>
      </c>
      <c r="AM844" s="601">
        <v>0</v>
      </c>
      <c r="AN844" s="599">
        <v>21</v>
      </c>
    </row>
    <row r="845" spans="1:40" ht="16.5" customHeight="1">
      <c r="A845" s="598" t="s">
        <v>3337</v>
      </c>
      <c r="B845" s="598" t="s">
        <v>3349</v>
      </c>
      <c r="C845" s="598" t="s">
        <v>2324</v>
      </c>
      <c r="D845" s="598" t="s">
        <v>2325</v>
      </c>
      <c r="E845" s="598" t="s">
        <v>321</v>
      </c>
      <c r="F845" s="598" t="s">
        <v>3309</v>
      </c>
      <c r="G845" s="598" t="s">
        <v>3309</v>
      </c>
      <c r="H845" s="598" t="s">
        <v>3309</v>
      </c>
      <c r="I845" s="598" t="s">
        <v>3309</v>
      </c>
      <c r="J845" s="598" t="s">
        <v>3309</v>
      </c>
      <c r="K845" s="598" t="s">
        <v>321</v>
      </c>
      <c r="L845" s="598" t="s">
        <v>321</v>
      </c>
      <c r="M845" s="598" t="s">
        <v>3309</v>
      </c>
      <c r="N845" s="598" t="s">
        <v>3309</v>
      </c>
      <c r="O845" s="598" t="s">
        <v>3309</v>
      </c>
      <c r="P845" s="598" t="s">
        <v>3309</v>
      </c>
      <c r="Q845" s="598" t="s">
        <v>3309</v>
      </c>
      <c r="R845" s="598" t="s">
        <v>321</v>
      </c>
      <c r="S845" s="598" t="s">
        <v>321</v>
      </c>
      <c r="T845" s="598" t="s">
        <v>3309</v>
      </c>
      <c r="U845" s="598" t="s">
        <v>3309</v>
      </c>
      <c r="V845" s="598" t="s">
        <v>3309</v>
      </c>
      <c r="W845" s="598" t="s">
        <v>3309</v>
      </c>
      <c r="X845" s="598" t="s">
        <v>3309</v>
      </c>
      <c r="Y845" s="598" t="s">
        <v>321</v>
      </c>
      <c r="Z845" s="598" t="s">
        <v>321</v>
      </c>
      <c r="AA845" s="598" t="s">
        <v>3309</v>
      </c>
      <c r="AB845" s="598" t="s">
        <v>3309</v>
      </c>
      <c r="AC845" s="598" t="s">
        <v>3309</v>
      </c>
      <c r="AD845" s="598" t="s">
        <v>3309</v>
      </c>
      <c r="AE845" s="598" t="s">
        <v>3309</v>
      </c>
      <c r="AF845" s="598" t="s">
        <v>321</v>
      </c>
      <c r="AG845" s="598" t="s">
        <v>321</v>
      </c>
      <c r="AH845" s="598" t="s">
        <v>3309</v>
      </c>
      <c r="AI845" s="598" t="s">
        <v>321</v>
      </c>
      <c r="AJ845" s="599">
        <v>21</v>
      </c>
      <c r="AK845" s="600">
        <v>21</v>
      </c>
      <c r="AL845" s="601">
        <v>0</v>
      </c>
      <c r="AM845" s="601">
        <v>0</v>
      </c>
      <c r="AN845" s="599">
        <v>21</v>
      </c>
    </row>
    <row r="846" spans="1:40" ht="16.5" customHeight="1">
      <c r="A846" s="598" t="s">
        <v>3337</v>
      </c>
      <c r="B846" s="598" t="s">
        <v>3349</v>
      </c>
      <c r="C846" s="598" t="s">
        <v>1397</v>
      </c>
      <c r="D846" s="598" t="s">
        <v>1398</v>
      </c>
      <c r="E846" s="598" t="s">
        <v>321</v>
      </c>
      <c r="F846" s="598" t="s">
        <v>3309</v>
      </c>
      <c r="G846" s="598" t="s">
        <v>3309</v>
      </c>
      <c r="H846" s="598" t="s">
        <v>3309</v>
      </c>
      <c r="I846" s="598" t="s">
        <v>3309</v>
      </c>
      <c r="J846" s="598" t="s">
        <v>3309</v>
      </c>
      <c r="K846" s="598" t="s">
        <v>321</v>
      </c>
      <c r="L846" s="598" t="s">
        <v>321</v>
      </c>
      <c r="M846" s="598" t="s">
        <v>3309</v>
      </c>
      <c r="N846" s="598" t="s">
        <v>3309</v>
      </c>
      <c r="O846" s="598" t="s">
        <v>3309</v>
      </c>
      <c r="P846" s="598" t="s">
        <v>3309</v>
      </c>
      <c r="Q846" s="598" t="s">
        <v>3309</v>
      </c>
      <c r="R846" s="598" t="s">
        <v>321</v>
      </c>
      <c r="S846" s="598" t="s">
        <v>321</v>
      </c>
      <c r="T846" s="598" t="s">
        <v>3309</v>
      </c>
      <c r="U846" s="598" t="s">
        <v>3309</v>
      </c>
      <c r="V846" s="598" t="s">
        <v>3309</v>
      </c>
      <c r="W846" s="598" t="s">
        <v>3309</v>
      </c>
      <c r="X846" s="598" t="s">
        <v>3309</v>
      </c>
      <c r="Y846" s="598" t="s">
        <v>321</v>
      </c>
      <c r="Z846" s="598" t="s">
        <v>321</v>
      </c>
      <c r="AA846" s="598" t="s">
        <v>3309</v>
      </c>
      <c r="AB846" s="598" t="s">
        <v>3309</v>
      </c>
      <c r="AC846" s="598" t="s">
        <v>3309</v>
      </c>
      <c r="AD846" s="598" t="s">
        <v>3309</v>
      </c>
      <c r="AE846" s="598" t="s">
        <v>3309</v>
      </c>
      <c r="AF846" s="598" t="s">
        <v>321</v>
      </c>
      <c r="AG846" s="598" t="s">
        <v>321</v>
      </c>
      <c r="AH846" s="598" t="s">
        <v>3309</v>
      </c>
      <c r="AI846" s="598" t="s">
        <v>321</v>
      </c>
      <c r="AJ846" s="599">
        <v>21</v>
      </c>
      <c r="AK846" s="600">
        <v>21</v>
      </c>
      <c r="AL846" s="601">
        <v>0</v>
      </c>
      <c r="AM846" s="601">
        <v>0</v>
      </c>
      <c r="AN846" s="599">
        <v>21</v>
      </c>
    </row>
    <row r="847" spans="1:40" ht="16.5" customHeight="1">
      <c r="A847" s="598" t="s">
        <v>3337</v>
      </c>
      <c r="B847" s="598" t="s">
        <v>3349</v>
      </c>
      <c r="C847" s="598" t="s">
        <v>1690</v>
      </c>
      <c r="D847" s="598" t="s">
        <v>1691</v>
      </c>
      <c r="E847" s="598" t="s">
        <v>321</v>
      </c>
      <c r="F847" s="598" t="s">
        <v>3309</v>
      </c>
      <c r="G847" s="598" t="s">
        <v>3309</v>
      </c>
      <c r="H847" s="598" t="s">
        <v>3309</v>
      </c>
      <c r="I847" s="598" t="s">
        <v>3309</v>
      </c>
      <c r="J847" s="598" t="s">
        <v>3309</v>
      </c>
      <c r="K847" s="598" t="s">
        <v>321</v>
      </c>
      <c r="L847" s="598" t="s">
        <v>321</v>
      </c>
      <c r="M847" s="598" t="s">
        <v>3309</v>
      </c>
      <c r="N847" s="598" t="s">
        <v>3309</v>
      </c>
      <c r="O847" s="598" t="s">
        <v>3309</v>
      </c>
      <c r="P847" s="598" t="s">
        <v>3309</v>
      </c>
      <c r="Q847" s="598" t="s">
        <v>3309</v>
      </c>
      <c r="R847" s="598" t="s">
        <v>321</v>
      </c>
      <c r="S847" s="598" t="s">
        <v>321</v>
      </c>
      <c r="T847" s="598" t="s">
        <v>3309</v>
      </c>
      <c r="U847" s="598" t="s">
        <v>3309</v>
      </c>
      <c r="V847" s="598" t="s">
        <v>3309</v>
      </c>
      <c r="W847" s="598" t="s">
        <v>3309</v>
      </c>
      <c r="X847" s="598" t="s">
        <v>3309</v>
      </c>
      <c r="Y847" s="598" t="s">
        <v>321</v>
      </c>
      <c r="Z847" s="598" t="s">
        <v>321</v>
      </c>
      <c r="AA847" s="598" t="s">
        <v>3314</v>
      </c>
      <c r="AB847" s="598" t="s">
        <v>3309</v>
      </c>
      <c r="AC847" s="598" t="s">
        <v>3309</v>
      </c>
      <c r="AD847" s="598" t="s">
        <v>3309</v>
      </c>
      <c r="AE847" s="598" t="s">
        <v>3309</v>
      </c>
      <c r="AF847" s="598" t="s">
        <v>321</v>
      </c>
      <c r="AG847" s="598" t="s">
        <v>321</v>
      </c>
      <c r="AH847" s="598" t="s">
        <v>3309</v>
      </c>
      <c r="AI847" s="598" t="s">
        <v>321</v>
      </c>
      <c r="AJ847" s="599">
        <v>21</v>
      </c>
      <c r="AK847" s="603">
        <v>20.5</v>
      </c>
      <c r="AL847" s="604">
        <v>0.5</v>
      </c>
      <c r="AM847" s="601">
        <v>0</v>
      </c>
      <c r="AN847" s="599">
        <v>21</v>
      </c>
    </row>
    <row r="848" spans="1:40" ht="16.5" customHeight="1">
      <c r="A848" s="598" t="s">
        <v>3337</v>
      </c>
      <c r="B848" s="598" t="s">
        <v>3349</v>
      </c>
      <c r="C848" s="598" t="s">
        <v>1781</v>
      </c>
      <c r="D848" s="598" t="s">
        <v>1782</v>
      </c>
      <c r="E848" s="598" t="s">
        <v>321</v>
      </c>
      <c r="F848" s="598" t="s">
        <v>3309</v>
      </c>
      <c r="G848" s="598" t="s">
        <v>3309</v>
      </c>
      <c r="H848" s="598" t="s">
        <v>3309</v>
      </c>
      <c r="I848" s="598" t="s">
        <v>3309</v>
      </c>
      <c r="J848" s="598" t="s">
        <v>3309</v>
      </c>
      <c r="K848" s="598" t="s">
        <v>321</v>
      </c>
      <c r="L848" s="598" t="s">
        <v>321</v>
      </c>
      <c r="M848" s="598" t="s">
        <v>3309</v>
      </c>
      <c r="N848" s="598" t="s">
        <v>3309</v>
      </c>
      <c r="O848" s="598" t="s">
        <v>3309</v>
      </c>
      <c r="P848" s="598" t="s">
        <v>3309</v>
      </c>
      <c r="Q848" s="598" t="s">
        <v>3314</v>
      </c>
      <c r="R848" s="598" t="s">
        <v>321</v>
      </c>
      <c r="S848" s="598" t="s">
        <v>321</v>
      </c>
      <c r="T848" s="598" t="s">
        <v>3309</v>
      </c>
      <c r="U848" s="598" t="s">
        <v>3309</v>
      </c>
      <c r="V848" s="598" t="s">
        <v>3309</v>
      </c>
      <c r="W848" s="598" t="s">
        <v>3309</v>
      </c>
      <c r="X848" s="598" t="s">
        <v>3309</v>
      </c>
      <c r="Y848" s="598" t="s">
        <v>321</v>
      </c>
      <c r="Z848" s="598" t="s">
        <v>321</v>
      </c>
      <c r="AA848" s="598" t="s">
        <v>3309</v>
      </c>
      <c r="AB848" s="598" t="s">
        <v>3309</v>
      </c>
      <c r="AC848" s="598" t="s">
        <v>3313</v>
      </c>
      <c r="AD848" s="598" t="s">
        <v>3313</v>
      </c>
      <c r="AE848" s="598" t="s">
        <v>3313</v>
      </c>
      <c r="AF848" s="598" t="s">
        <v>321</v>
      </c>
      <c r="AG848" s="598" t="s">
        <v>321</v>
      </c>
      <c r="AH848" s="598" t="s">
        <v>3309</v>
      </c>
      <c r="AI848" s="598" t="s">
        <v>321</v>
      </c>
      <c r="AJ848" s="599">
        <v>21</v>
      </c>
      <c r="AK848" s="603">
        <v>20.5</v>
      </c>
      <c r="AL848" s="604">
        <v>0.5</v>
      </c>
      <c r="AM848" s="601">
        <v>0</v>
      </c>
      <c r="AN848" s="599">
        <v>21</v>
      </c>
    </row>
    <row r="849" spans="1:40" ht="16.5" customHeight="1">
      <c r="A849" s="598" t="s">
        <v>3337</v>
      </c>
      <c r="B849" s="598" t="s">
        <v>3349</v>
      </c>
      <c r="C849" s="598" t="s">
        <v>1027</v>
      </c>
      <c r="D849" s="598" t="s">
        <v>1028</v>
      </c>
      <c r="E849" s="598" t="s">
        <v>321</v>
      </c>
      <c r="F849" s="598" t="s">
        <v>3309</v>
      </c>
      <c r="G849" s="598" t="s">
        <v>3309</v>
      </c>
      <c r="H849" s="598" t="s">
        <v>3309</v>
      </c>
      <c r="I849" s="598" t="s">
        <v>3309</v>
      </c>
      <c r="J849" s="598" t="s">
        <v>3309</v>
      </c>
      <c r="K849" s="598" t="s">
        <v>321</v>
      </c>
      <c r="L849" s="598" t="s">
        <v>321</v>
      </c>
      <c r="M849" s="598" t="s">
        <v>3309</v>
      </c>
      <c r="N849" s="598" t="s">
        <v>3309</v>
      </c>
      <c r="O849" s="598" t="s">
        <v>3309</v>
      </c>
      <c r="P849" s="598" t="s">
        <v>3309</v>
      </c>
      <c r="Q849" s="598" t="s">
        <v>3309</v>
      </c>
      <c r="R849" s="598" t="s">
        <v>321</v>
      </c>
      <c r="S849" s="598" t="s">
        <v>321</v>
      </c>
      <c r="T849" s="598" t="s">
        <v>3309</v>
      </c>
      <c r="U849" s="598" t="s">
        <v>3309</v>
      </c>
      <c r="V849" s="598" t="s">
        <v>3309</v>
      </c>
      <c r="W849" s="598" t="s">
        <v>3309</v>
      </c>
      <c r="X849" s="598" t="s">
        <v>3309</v>
      </c>
      <c r="Y849" s="598" t="s">
        <v>321</v>
      </c>
      <c r="Z849" s="598" t="s">
        <v>321</v>
      </c>
      <c r="AA849" s="598" t="s">
        <v>3309</v>
      </c>
      <c r="AB849" s="598" t="s">
        <v>3309</v>
      </c>
      <c r="AC849" s="598" t="s">
        <v>3309</v>
      </c>
      <c r="AD849" s="598" t="s">
        <v>3309</v>
      </c>
      <c r="AE849" s="598" t="s">
        <v>3309</v>
      </c>
      <c r="AF849" s="598" t="s">
        <v>321</v>
      </c>
      <c r="AG849" s="598" t="s">
        <v>321</v>
      </c>
      <c r="AH849" s="598" t="s">
        <v>3309</v>
      </c>
      <c r="AI849" s="598" t="s">
        <v>321</v>
      </c>
      <c r="AJ849" s="599">
        <v>21</v>
      </c>
      <c r="AK849" s="600">
        <v>21</v>
      </c>
      <c r="AL849" s="601">
        <v>0</v>
      </c>
      <c r="AM849" s="601">
        <v>0</v>
      </c>
      <c r="AN849" s="599">
        <v>21</v>
      </c>
    </row>
    <row r="850" spans="1:40" ht="16.5" customHeight="1">
      <c r="A850" s="598" t="s">
        <v>3337</v>
      </c>
      <c r="B850" s="598" t="s">
        <v>3349</v>
      </c>
      <c r="C850" s="598" t="s">
        <v>1985</v>
      </c>
      <c r="D850" s="598" t="s">
        <v>1986</v>
      </c>
      <c r="E850" s="598" t="s">
        <v>321</v>
      </c>
      <c r="F850" s="598" t="s">
        <v>3309</v>
      </c>
      <c r="G850" s="598" t="s">
        <v>3309</v>
      </c>
      <c r="H850" s="598" t="s">
        <v>3309</v>
      </c>
      <c r="I850" s="598" t="s">
        <v>3309</v>
      </c>
      <c r="J850" s="598" t="s">
        <v>3309</v>
      </c>
      <c r="K850" s="598" t="s">
        <v>321</v>
      </c>
      <c r="L850" s="598" t="s">
        <v>321</v>
      </c>
      <c r="M850" s="598" t="s">
        <v>3309</v>
      </c>
      <c r="N850" s="598" t="s">
        <v>3309</v>
      </c>
      <c r="O850" s="598" t="s">
        <v>3309</v>
      </c>
      <c r="P850" s="598" t="s">
        <v>3309</v>
      </c>
      <c r="Q850" s="598" t="s">
        <v>3309</v>
      </c>
      <c r="R850" s="598" t="s">
        <v>321</v>
      </c>
      <c r="S850" s="598" t="s">
        <v>321</v>
      </c>
      <c r="T850" s="598" t="s">
        <v>3309</v>
      </c>
      <c r="U850" s="598" t="s">
        <v>3309</v>
      </c>
      <c r="V850" s="598" t="s">
        <v>3309</v>
      </c>
      <c r="W850" s="598" t="s">
        <v>3309</v>
      </c>
      <c r="X850" s="598" t="s">
        <v>3309</v>
      </c>
      <c r="Y850" s="598" t="s">
        <v>321</v>
      </c>
      <c r="Z850" s="598" t="s">
        <v>321</v>
      </c>
      <c r="AA850" s="598" t="s">
        <v>3309</v>
      </c>
      <c r="AB850" s="598" t="s">
        <v>3309</v>
      </c>
      <c r="AC850" s="598" t="s">
        <v>3309</v>
      </c>
      <c r="AD850" s="598" t="s">
        <v>3309</v>
      </c>
      <c r="AE850" s="598" t="s">
        <v>3309</v>
      </c>
      <c r="AF850" s="598" t="s">
        <v>321</v>
      </c>
      <c r="AG850" s="598" t="s">
        <v>321</v>
      </c>
      <c r="AH850" s="598" t="s">
        <v>3309</v>
      </c>
      <c r="AI850" s="598" t="s">
        <v>321</v>
      </c>
      <c r="AJ850" s="599">
        <v>21</v>
      </c>
      <c r="AK850" s="600">
        <v>21</v>
      </c>
      <c r="AL850" s="601">
        <v>0</v>
      </c>
      <c r="AM850" s="601">
        <v>0</v>
      </c>
      <c r="AN850" s="599">
        <v>21</v>
      </c>
    </row>
    <row r="851" spans="1:40" ht="16.5" customHeight="1">
      <c r="A851" s="598" t="s">
        <v>3337</v>
      </c>
      <c r="B851" s="598" t="s">
        <v>3349</v>
      </c>
      <c r="C851" s="598" t="s">
        <v>1226</v>
      </c>
      <c r="D851" s="598" t="s">
        <v>1227</v>
      </c>
      <c r="E851" s="598" t="s">
        <v>321</v>
      </c>
      <c r="F851" s="598" t="s">
        <v>3309</v>
      </c>
      <c r="G851" s="598" t="s">
        <v>3309</v>
      </c>
      <c r="H851" s="598" t="s">
        <v>3309</v>
      </c>
      <c r="I851" s="598" t="s">
        <v>3309</v>
      </c>
      <c r="J851" s="598" t="s">
        <v>3309</v>
      </c>
      <c r="K851" s="598" t="s">
        <v>321</v>
      </c>
      <c r="L851" s="598" t="s">
        <v>321</v>
      </c>
      <c r="M851" s="598" t="s">
        <v>3309</v>
      </c>
      <c r="N851" s="598" t="s">
        <v>3309</v>
      </c>
      <c r="O851" s="598" t="s">
        <v>3309</v>
      </c>
      <c r="P851" s="598" t="s">
        <v>3309</v>
      </c>
      <c r="Q851" s="598" t="s">
        <v>3309</v>
      </c>
      <c r="R851" s="598" t="s">
        <v>321</v>
      </c>
      <c r="S851" s="598" t="s">
        <v>321</v>
      </c>
      <c r="T851" s="598" t="s">
        <v>3309</v>
      </c>
      <c r="U851" s="598" t="s">
        <v>3309</v>
      </c>
      <c r="V851" s="598" t="s">
        <v>3309</v>
      </c>
      <c r="W851" s="598" t="s">
        <v>3309</v>
      </c>
      <c r="X851" s="598" t="s">
        <v>3309</v>
      </c>
      <c r="Y851" s="598" t="s">
        <v>321</v>
      </c>
      <c r="Z851" s="598" t="s">
        <v>321</v>
      </c>
      <c r="AA851" s="598" t="s">
        <v>3309</v>
      </c>
      <c r="AB851" s="598" t="s">
        <v>3309</v>
      </c>
      <c r="AC851" s="598" t="s">
        <v>3309</v>
      </c>
      <c r="AD851" s="598" t="s">
        <v>3309</v>
      </c>
      <c r="AE851" s="598" t="s">
        <v>3309</v>
      </c>
      <c r="AF851" s="598" t="s">
        <v>321</v>
      </c>
      <c r="AG851" s="598" t="s">
        <v>321</v>
      </c>
      <c r="AH851" s="598" t="s">
        <v>3309</v>
      </c>
      <c r="AI851" s="598" t="s">
        <v>321</v>
      </c>
      <c r="AJ851" s="599">
        <v>21</v>
      </c>
      <c r="AK851" s="600">
        <v>21</v>
      </c>
      <c r="AL851" s="601">
        <v>0</v>
      </c>
      <c r="AM851" s="601">
        <v>0</v>
      </c>
      <c r="AN851" s="599">
        <v>21</v>
      </c>
    </row>
    <row r="852" spans="1:40" ht="16.5" customHeight="1">
      <c r="A852" s="598" t="s">
        <v>3337</v>
      </c>
      <c r="B852" s="598" t="s">
        <v>3349</v>
      </c>
      <c r="C852" s="598" t="s">
        <v>1312</v>
      </c>
      <c r="D852" s="598" t="s">
        <v>1313</v>
      </c>
      <c r="E852" s="598" t="s">
        <v>321</v>
      </c>
      <c r="F852" s="598" t="s">
        <v>3309</v>
      </c>
      <c r="G852" s="598" t="s">
        <v>3309</v>
      </c>
      <c r="H852" s="598" t="s">
        <v>3309</v>
      </c>
      <c r="I852" s="598" t="s">
        <v>3312</v>
      </c>
      <c r="J852" s="598" t="s">
        <v>3312</v>
      </c>
      <c r="K852" s="598" t="s">
        <v>321</v>
      </c>
      <c r="L852" s="598" t="s">
        <v>321</v>
      </c>
      <c r="M852" s="598" t="s">
        <v>3309</v>
      </c>
      <c r="N852" s="598" t="s">
        <v>3309</v>
      </c>
      <c r="O852" s="598" t="s">
        <v>3309</v>
      </c>
      <c r="P852" s="598" t="s">
        <v>3309</v>
      </c>
      <c r="Q852" s="598" t="s">
        <v>3309</v>
      </c>
      <c r="R852" s="598" t="s">
        <v>321</v>
      </c>
      <c r="S852" s="598" t="s">
        <v>321</v>
      </c>
      <c r="T852" s="598" t="s">
        <v>3309</v>
      </c>
      <c r="U852" s="598" t="s">
        <v>3309</v>
      </c>
      <c r="V852" s="598" t="s">
        <v>3309</v>
      </c>
      <c r="W852" s="598" t="s">
        <v>3309</v>
      </c>
      <c r="X852" s="598" t="s">
        <v>3309</v>
      </c>
      <c r="Y852" s="598" t="s">
        <v>321</v>
      </c>
      <c r="Z852" s="598" t="s">
        <v>321</v>
      </c>
      <c r="AA852" s="598" t="s">
        <v>3309</v>
      </c>
      <c r="AB852" s="598" t="s">
        <v>3309</v>
      </c>
      <c r="AC852" s="598" t="s">
        <v>3309</v>
      </c>
      <c r="AD852" s="598" t="s">
        <v>3309</v>
      </c>
      <c r="AE852" s="598" t="s">
        <v>3309</v>
      </c>
      <c r="AF852" s="598" t="s">
        <v>321</v>
      </c>
      <c r="AG852" s="598" t="s">
        <v>321</v>
      </c>
      <c r="AH852" s="598" t="s">
        <v>3309</v>
      </c>
      <c r="AI852" s="598" t="s">
        <v>321</v>
      </c>
      <c r="AJ852" s="599">
        <v>21</v>
      </c>
      <c r="AK852" s="600">
        <v>19</v>
      </c>
      <c r="AL852" s="602">
        <v>2</v>
      </c>
      <c r="AM852" s="601">
        <v>0</v>
      </c>
      <c r="AN852" s="599">
        <v>21</v>
      </c>
    </row>
    <row r="853" spans="1:40" ht="16.5" customHeight="1">
      <c r="A853" s="598" t="s">
        <v>3337</v>
      </c>
      <c r="B853" s="598" t="s">
        <v>3349</v>
      </c>
      <c r="C853" s="598" t="s">
        <v>1881</v>
      </c>
      <c r="D853" s="598" t="s">
        <v>1882</v>
      </c>
      <c r="E853" s="598" t="s">
        <v>321</v>
      </c>
      <c r="F853" s="598" t="s">
        <v>3309</v>
      </c>
      <c r="G853" s="598" t="s">
        <v>3309</v>
      </c>
      <c r="H853" s="598" t="s">
        <v>3309</v>
      </c>
      <c r="I853" s="598" t="s">
        <v>3309</v>
      </c>
      <c r="J853" s="598" t="s">
        <v>3309</v>
      </c>
      <c r="K853" s="598" t="s">
        <v>321</v>
      </c>
      <c r="L853" s="598" t="s">
        <v>321</v>
      </c>
      <c r="M853" s="598" t="s">
        <v>3309</v>
      </c>
      <c r="N853" s="598" t="s">
        <v>3309</v>
      </c>
      <c r="O853" s="598" t="s">
        <v>3309</v>
      </c>
      <c r="P853" s="598" t="s">
        <v>3309</v>
      </c>
      <c r="Q853" s="598" t="s">
        <v>3309</v>
      </c>
      <c r="R853" s="598" t="s">
        <v>321</v>
      </c>
      <c r="S853" s="598" t="s">
        <v>321</v>
      </c>
      <c r="T853" s="598" t="s">
        <v>3309</v>
      </c>
      <c r="U853" s="598" t="s">
        <v>3309</v>
      </c>
      <c r="V853" s="598" t="s">
        <v>3309</v>
      </c>
      <c r="W853" s="598" t="s">
        <v>3309</v>
      </c>
      <c r="X853" s="598" t="s">
        <v>3309</v>
      </c>
      <c r="Y853" s="598" t="s">
        <v>321</v>
      </c>
      <c r="Z853" s="598" t="s">
        <v>321</v>
      </c>
      <c r="AA853" s="598" t="s">
        <v>3309</v>
      </c>
      <c r="AB853" s="598" t="s">
        <v>3309</v>
      </c>
      <c r="AC853" s="598" t="s">
        <v>3309</v>
      </c>
      <c r="AD853" s="598" t="s">
        <v>3309</v>
      </c>
      <c r="AE853" s="598" t="s">
        <v>3309</v>
      </c>
      <c r="AF853" s="598" t="s">
        <v>321</v>
      </c>
      <c r="AG853" s="598" t="s">
        <v>321</v>
      </c>
      <c r="AH853" s="598" t="s">
        <v>3309</v>
      </c>
      <c r="AI853" s="598" t="s">
        <v>321</v>
      </c>
      <c r="AJ853" s="599">
        <v>21</v>
      </c>
      <c r="AK853" s="600">
        <v>21</v>
      </c>
      <c r="AL853" s="601">
        <v>0</v>
      </c>
      <c r="AM853" s="601">
        <v>0</v>
      </c>
      <c r="AN853" s="599">
        <v>21</v>
      </c>
    </row>
    <row r="854" spans="1:40" ht="16.5" customHeight="1">
      <c r="A854" s="598" t="s">
        <v>3337</v>
      </c>
      <c r="B854" s="598" t="s">
        <v>3349</v>
      </c>
      <c r="C854" s="598" t="s">
        <v>1035</v>
      </c>
      <c r="D854" s="598" t="s">
        <v>1036</v>
      </c>
      <c r="E854" s="598" t="s">
        <v>321</v>
      </c>
      <c r="F854" s="598" t="s">
        <v>3309</v>
      </c>
      <c r="G854" s="598" t="s">
        <v>3309</v>
      </c>
      <c r="H854" s="598" t="s">
        <v>3312</v>
      </c>
      <c r="I854" s="598" t="s">
        <v>3309</v>
      </c>
      <c r="J854" s="598" t="s">
        <v>3309</v>
      </c>
      <c r="K854" s="598" t="s">
        <v>321</v>
      </c>
      <c r="L854" s="598" t="s">
        <v>321</v>
      </c>
      <c r="M854" s="598" t="s">
        <v>3309</v>
      </c>
      <c r="N854" s="598" t="s">
        <v>3309</v>
      </c>
      <c r="O854" s="598" t="s">
        <v>3309</v>
      </c>
      <c r="P854" s="598" t="s">
        <v>3309</v>
      </c>
      <c r="Q854" s="598" t="s">
        <v>3309</v>
      </c>
      <c r="R854" s="598" t="s">
        <v>321</v>
      </c>
      <c r="S854" s="598" t="s">
        <v>321</v>
      </c>
      <c r="T854" s="598" t="s">
        <v>3309</v>
      </c>
      <c r="U854" s="598" t="s">
        <v>3309</v>
      </c>
      <c r="V854" s="598" t="s">
        <v>3309</v>
      </c>
      <c r="W854" s="598" t="s">
        <v>3309</v>
      </c>
      <c r="X854" s="598" t="s">
        <v>3309</v>
      </c>
      <c r="Y854" s="598" t="s">
        <v>321</v>
      </c>
      <c r="Z854" s="598" t="s">
        <v>321</v>
      </c>
      <c r="AA854" s="598" t="s">
        <v>3309</v>
      </c>
      <c r="AB854" s="598" t="s">
        <v>3309</v>
      </c>
      <c r="AC854" s="598" t="s">
        <v>3309</v>
      </c>
      <c r="AD854" s="598" t="s">
        <v>3309</v>
      </c>
      <c r="AE854" s="598" t="s">
        <v>3309</v>
      </c>
      <c r="AF854" s="598" t="s">
        <v>321</v>
      </c>
      <c r="AG854" s="598" t="s">
        <v>321</v>
      </c>
      <c r="AH854" s="598" t="s">
        <v>3309</v>
      </c>
      <c r="AI854" s="598" t="s">
        <v>321</v>
      </c>
      <c r="AJ854" s="599">
        <v>21</v>
      </c>
      <c r="AK854" s="600">
        <v>20</v>
      </c>
      <c r="AL854" s="602">
        <v>1</v>
      </c>
      <c r="AM854" s="601">
        <v>0</v>
      </c>
      <c r="AN854" s="599">
        <v>21</v>
      </c>
    </row>
    <row r="855" spans="1:40" ht="16.5" customHeight="1">
      <c r="A855" s="598" t="s">
        <v>3337</v>
      </c>
      <c r="B855" s="598" t="s">
        <v>3349</v>
      </c>
      <c r="C855" s="598" t="s">
        <v>803</v>
      </c>
      <c r="D855" s="598" t="s">
        <v>804</v>
      </c>
      <c r="E855" s="598" t="s">
        <v>321</v>
      </c>
      <c r="F855" s="598" t="s">
        <v>3309</v>
      </c>
      <c r="G855" s="598" t="s">
        <v>3309</v>
      </c>
      <c r="H855" s="598" t="s">
        <v>3309</v>
      </c>
      <c r="I855" s="598" t="s">
        <v>3309</v>
      </c>
      <c r="J855" s="598" t="s">
        <v>3309</v>
      </c>
      <c r="K855" s="598" t="s">
        <v>321</v>
      </c>
      <c r="L855" s="598" t="s">
        <v>321</v>
      </c>
      <c r="M855" s="598" t="s">
        <v>3309</v>
      </c>
      <c r="N855" s="598" t="s">
        <v>3309</v>
      </c>
      <c r="O855" s="598" t="s">
        <v>3309</v>
      </c>
      <c r="P855" s="598" t="s">
        <v>3309</v>
      </c>
      <c r="Q855" s="598" t="s">
        <v>3309</v>
      </c>
      <c r="R855" s="598" t="s">
        <v>321</v>
      </c>
      <c r="S855" s="598" t="s">
        <v>321</v>
      </c>
      <c r="T855" s="598" t="s">
        <v>3309</v>
      </c>
      <c r="U855" s="598" t="s">
        <v>3309</v>
      </c>
      <c r="V855" s="598" t="s">
        <v>3309</v>
      </c>
      <c r="W855" s="598" t="s">
        <v>3309</v>
      </c>
      <c r="X855" s="598" t="s">
        <v>3309</v>
      </c>
      <c r="Y855" s="598" t="s">
        <v>321</v>
      </c>
      <c r="Z855" s="598" t="s">
        <v>321</v>
      </c>
      <c r="AA855" s="598" t="s">
        <v>3309</v>
      </c>
      <c r="AB855" s="598" t="s">
        <v>3309</v>
      </c>
      <c r="AC855" s="598" t="s">
        <v>3309</v>
      </c>
      <c r="AD855" s="598" t="s">
        <v>3309</v>
      </c>
      <c r="AE855" s="598" t="s">
        <v>3309</v>
      </c>
      <c r="AF855" s="598" t="s">
        <v>321</v>
      </c>
      <c r="AG855" s="598" t="s">
        <v>321</v>
      </c>
      <c r="AH855" s="598" t="s">
        <v>3309</v>
      </c>
      <c r="AI855" s="598" t="s">
        <v>321</v>
      </c>
      <c r="AJ855" s="599">
        <v>21</v>
      </c>
      <c r="AK855" s="600">
        <v>21</v>
      </c>
      <c r="AL855" s="601">
        <v>0</v>
      </c>
      <c r="AM855" s="601">
        <v>0</v>
      </c>
      <c r="AN855" s="599">
        <v>21</v>
      </c>
    </row>
    <row r="856" spans="1:40" ht="16.5" customHeight="1">
      <c r="A856" s="598" t="s">
        <v>3337</v>
      </c>
      <c r="B856" s="598" t="s">
        <v>3349</v>
      </c>
      <c r="C856" s="598" t="s">
        <v>575</v>
      </c>
      <c r="D856" s="598" t="s">
        <v>576</v>
      </c>
      <c r="E856" s="598" t="s">
        <v>321</v>
      </c>
      <c r="F856" s="598" t="s">
        <v>3309</v>
      </c>
      <c r="G856" s="598" t="s">
        <v>3309</v>
      </c>
      <c r="H856" s="598" t="s">
        <v>3309</v>
      </c>
      <c r="I856" s="598" t="s">
        <v>3309</v>
      </c>
      <c r="J856" s="598" t="s">
        <v>3309</v>
      </c>
      <c r="K856" s="598" t="s">
        <v>321</v>
      </c>
      <c r="L856" s="598" t="s">
        <v>321</v>
      </c>
      <c r="M856" s="598" t="s">
        <v>3309</v>
      </c>
      <c r="N856" s="598" t="s">
        <v>3309</v>
      </c>
      <c r="O856" s="598" t="s">
        <v>3309</v>
      </c>
      <c r="P856" s="598" t="s">
        <v>3309</v>
      </c>
      <c r="Q856" s="598" t="s">
        <v>3309</v>
      </c>
      <c r="R856" s="598" t="s">
        <v>321</v>
      </c>
      <c r="S856" s="598" t="s">
        <v>321</v>
      </c>
      <c r="T856" s="598" t="s">
        <v>3309</v>
      </c>
      <c r="U856" s="598" t="s">
        <v>3309</v>
      </c>
      <c r="V856" s="598" t="s">
        <v>3309</v>
      </c>
      <c r="W856" s="598" t="s">
        <v>3309</v>
      </c>
      <c r="X856" s="598" t="s">
        <v>3312</v>
      </c>
      <c r="Y856" s="598" t="s">
        <v>321</v>
      </c>
      <c r="Z856" s="598" t="s">
        <v>321</v>
      </c>
      <c r="AA856" s="598" t="s">
        <v>3309</v>
      </c>
      <c r="AB856" s="598" t="s">
        <v>3309</v>
      </c>
      <c r="AC856" s="598" t="s">
        <v>3309</v>
      </c>
      <c r="AD856" s="598" t="s">
        <v>3309</v>
      </c>
      <c r="AE856" s="598" t="s">
        <v>3309</v>
      </c>
      <c r="AF856" s="598" t="s">
        <v>321</v>
      </c>
      <c r="AG856" s="598" t="s">
        <v>321</v>
      </c>
      <c r="AH856" s="598" t="s">
        <v>3309</v>
      </c>
      <c r="AI856" s="598" t="s">
        <v>321</v>
      </c>
      <c r="AJ856" s="599">
        <v>21</v>
      </c>
      <c r="AK856" s="600">
        <v>20</v>
      </c>
      <c r="AL856" s="602">
        <v>1</v>
      </c>
      <c r="AM856" s="601">
        <v>0</v>
      </c>
      <c r="AN856" s="599">
        <v>21</v>
      </c>
    </row>
    <row r="857" spans="1:40" ht="16.5" customHeight="1">
      <c r="A857" s="598" t="s">
        <v>3337</v>
      </c>
      <c r="B857" s="598" t="s">
        <v>3349</v>
      </c>
      <c r="C857" s="598" t="s">
        <v>2815</v>
      </c>
      <c r="D857" s="598" t="s">
        <v>2816</v>
      </c>
      <c r="E857" s="598" t="s">
        <v>321</v>
      </c>
      <c r="F857" s="598" t="s">
        <v>3309</v>
      </c>
      <c r="G857" s="598" t="s">
        <v>3309</v>
      </c>
      <c r="H857" s="598" t="s">
        <v>3309</v>
      </c>
      <c r="I857" s="598" t="s">
        <v>3309</v>
      </c>
      <c r="J857" s="598" t="s">
        <v>3309</v>
      </c>
      <c r="K857" s="598" t="s">
        <v>321</v>
      </c>
      <c r="L857" s="598" t="s">
        <v>321</v>
      </c>
      <c r="M857" s="598" t="s">
        <v>3309</v>
      </c>
      <c r="N857" s="598" t="s">
        <v>3309</v>
      </c>
      <c r="O857" s="598" t="s">
        <v>3309</v>
      </c>
      <c r="P857" s="598" t="s">
        <v>3309</v>
      </c>
      <c r="Q857" s="598" t="s">
        <v>3309</v>
      </c>
      <c r="R857" s="598" t="s">
        <v>321</v>
      </c>
      <c r="S857" s="598" t="s">
        <v>321</v>
      </c>
      <c r="T857" s="598" t="s">
        <v>3309</v>
      </c>
      <c r="U857" s="598" t="s">
        <v>3309</v>
      </c>
      <c r="V857" s="598" t="s">
        <v>3309</v>
      </c>
      <c r="W857" s="598" t="s">
        <v>3309</v>
      </c>
      <c r="X857" s="598" t="s">
        <v>3309</v>
      </c>
      <c r="Y857" s="598" t="s">
        <v>321</v>
      </c>
      <c r="Z857" s="598" t="s">
        <v>321</v>
      </c>
      <c r="AA857" s="598" t="s">
        <v>3309</v>
      </c>
      <c r="AB857" s="598" t="s">
        <v>3309</v>
      </c>
      <c r="AC857" s="598" t="s">
        <v>3309</v>
      </c>
      <c r="AD857" s="598" t="s">
        <v>3309</v>
      </c>
      <c r="AE857" s="598" t="s">
        <v>3309</v>
      </c>
      <c r="AF857" s="598" t="s">
        <v>321</v>
      </c>
      <c r="AG857" s="598" t="s">
        <v>321</v>
      </c>
      <c r="AH857" s="598" t="s">
        <v>3309</v>
      </c>
      <c r="AI857" s="598" t="s">
        <v>321</v>
      </c>
      <c r="AJ857" s="599">
        <v>21</v>
      </c>
      <c r="AK857" s="600">
        <v>21</v>
      </c>
      <c r="AL857" s="601">
        <v>0</v>
      </c>
      <c r="AM857" s="601">
        <v>0</v>
      </c>
      <c r="AN857" s="599">
        <v>21</v>
      </c>
    </row>
    <row r="858" spans="1:40" ht="16.5" customHeight="1">
      <c r="A858" s="598" t="s">
        <v>3337</v>
      </c>
      <c r="B858" s="598" t="s">
        <v>3349</v>
      </c>
      <c r="C858" s="598" t="s">
        <v>691</v>
      </c>
      <c r="D858" s="598" t="s">
        <v>692</v>
      </c>
      <c r="E858" s="598" t="s">
        <v>321</v>
      </c>
      <c r="F858" s="598" t="s">
        <v>3309</v>
      </c>
      <c r="G858" s="598" t="s">
        <v>3309</v>
      </c>
      <c r="H858" s="598" t="s">
        <v>3309</v>
      </c>
      <c r="I858" s="598" t="s">
        <v>3312</v>
      </c>
      <c r="J858" s="598" t="s">
        <v>3312</v>
      </c>
      <c r="K858" s="598" t="s">
        <v>321</v>
      </c>
      <c r="L858" s="598" t="s">
        <v>321</v>
      </c>
      <c r="M858" s="598" t="s">
        <v>3312</v>
      </c>
      <c r="N858" s="598" t="s">
        <v>3309</v>
      </c>
      <c r="O858" s="598" t="s">
        <v>3309</v>
      </c>
      <c r="P858" s="598" t="s">
        <v>3309</v>
      </c>
      <c r="Q858" s="598" t="s">
        <v>3309</v>
      </c>
      <c r="R858" s="598" t="s">
        <v>321</v>
      </c>
      <c r="S858" s="598" t="s">
        <v>321</v>
      </c>
      <c r="T858" s="598" t="s">
        <v>3309</v>
      </c>
      <c r="U858" s="598" t="s">
        <v>3309</v>
      </c>
      <c r="V858" s="598" t="s">
        <v>3309</v>
      </c>
      <c r="W858" s="598" t="s">
        <v>3309</v>
      </c>
      <c r="X858" s="598" t="s">
        <v>3309</v>
      </c>
      <c r="Y858" s="598" t="s">
        <v>321</v>
      </c>
      <c r="Z858" s="598" t="s">
        <v>321</v>
      </c>
      <c r="AA858" s="598" t="s">
        <v>3309</v>
      </c>
      <c r="AB858" s="598" t="s">
        <v>3309</v>
      </c>
      <c r="AC858" s="598" t="s">
        <v>3309</v>
      </c>
      <c r="AD858" s="598" t="s">
        <v>3309</v>
      </c>
      <c r="AE858" s="598" t="s">
        <v>3309</v>
      </c>
      <c r="AF858" s="598" t="s">
        <v>321</v>
      </c>
      <c r="AG858" s="598" t="s">
        <v>321</v>
      </c>
      <c r="AH858" s="598" t="s">
        <v>3309</v>
      </c>
      <c r="AI858" s="598" t="s">
        <v>321</v>
      </c>
      <c r="AJ858" s="599">
        <v>21</v>
      </c>
      <c r="AK858" s="600">
        <v>18</v>
      </c>
      <c r="AL858" s="602">
        <v>3</v>
      </c>
      <c r="AM858" s="601">
        <v>0</v>
      </c>
      <c r="AN858" s="599">
        <v>21</v>
      </c>
    </row>
    <row r="859" spans="1:40" ht="16.5" customHeight="1">
      <c r="A859" s="598" t="s">
        <v>3337</v>
      </c>
      <c r="B859" s="598" t="s">
        <v>3349</v>
      </c>
      <c r="C859" s="598" t="s">
        <v>1885</v>
      </c>
      <c r="D859" s="598" t="s">
        <v>1886</v>
      </c>
      <c r="E859" s="598" t="s">
        <v>321</v>
      </c>
      <c r="F859" s="598" t="s">
        <v>3309</v>
      </c>
      <c r="G859" s="598" t="s">
        <v>3309</v>
      </c>
      <c r="H859" s="598" t="s">
        <v>3309</v>
      </c>
      <c r="I859" s="598" t="s">
        <v>3309</v>
      </c>
      <c r="J859" s="598" t="s">
        <v>3309</v>
      </c>
      <c r="K859" s="598" t="s">
        <v>321</v>
      </c>
      <c r="L859" s="598" t="s">
        <v>321</v>
      </c>
      <c r="M859" s="598" t="s">
        <v>3309</v>
      </c>
      <c r="N859" s="598" t="s">
        <v>3309</v>
      </c>
      <c r="O859" s="598" t="s">
        <v>3309</v>
      </c>
      <c r="P859" s="598" t="s">
        <v>3309</v>
      </c>
      <c r="Q859" s="598" t="s">
        <v>3309</v>
      </c>
      <c r="R859" s="598" t="s">
        <v>321</v>
      </c>
      <c r="S859" s="598" t="s">
        <v>321</v>
      </c>
      <c r="T859" s="598" t="s">
        <v>3309</v>
      </c>
      <c r="U859" s="598" t="s">
        <v>3309</v>
      </c>
      <c r="V859" s="598" t="s">
        <v>3309</v>
      </c>
      <c r="W859" s="598" t="s">
        <v>3309</v>
      </c>
      <c r="X859" s="598" t="s">
        <v>3309</v>
      </c>
      <c r="Y859" s="598" t="s">
        <v>321</v>
      </c>
      <c r="Z859" s="598" t="s">
        <v>321</v>
      </c>
      <c r="AA859" s="598" t="s">
        <v>3309</v>
      </c>
      <c r="AB859" s="598" t="s">
        <v>3309</v>
      </c>
      <c r="AC859" s="598" t="s">
        <v>3309</v>
      </c>
      <c r="AD859" s="598" t="s">
        <v>3309</v>
      </c>
      <c r="AE859" s="598" t="s">
        <v>3309</v>
      </c>
      <c r="AF859" s="598" t="s">
        <v>321</v>
      </c>
      <c r="AG859" s="598" t="s">
        <v>321</v>
      </c>
      <c r="AH859" s="598" t="s">
        <v>3309</v>
      </c>
      <c r="AI859" s="598" t="s">
        <v>321</v>
      </c>
      <c r="AJ859" s="599">
        <v>21</v>
      </c>
      <c r="AK859" s="600">
        <v>21</v>
      </c>
      <c r="AL859" s="601">
        <v>0</v>
      </c>
      <c r="AM859" s="601">
        <v>0</v>
      </c>
      <c r="AN859" s="599">
        <v>21</v>
      </c>
    </row>
    <row r="860" spans="1:40" ht="16.5" customHeight="1">
      <c r="A860" s="598" t="s">
        <v>3337</v>
      </c>
      <c r="B860" s="598" t="s">
        <v>3349</v>
      </c>
      <c r="C860" s="598" t="s">
        <v>1923</v>
      </c>
      <c r="D860" s="598" t="s">
        <v>1379</v>
      </c>
      <c r="E860" s="598" t="s">
        <v>321</v>
      </c>
      <c r="F860" s="598" t="s">
        <v>3309</v>
      </c>
      <c r="G860" s="598" t="s">
        <v>3309</v>
      </c>
      <c r="H860" s="598" t="s">
        <v>3309</v>
      </c>
      <c r="I860" s="598" t="s">
        <v>3309</v>
      </c>
      <c r="J860" s="598" t="s">
        <v>3309</v>
      </c>
      <c r="K860" s="598" t="s">
        <v>321</v>
      </c>
      <c r="L860" s="598" t="s">
        <v>321</v>
      </c>
      <c r="M860" s="598" t="s">
        <v>3309</v>
      </c>
      <c r="N860" s="598" t="s">
        <v>3309</v>
      </c>
      <c r="O860" s="598" t="s">
        <v>3309</v>
      </c>
      <c r="P860" s="598" t="s">
        <v>3309</v>
      </c>
      <c r="Q860" s="598" t="s">
        <v>3309</v>
      </c>
      <c r="R860" s="598" t="s">
        <v>321</v>
      </c>
      <c r="S860" s="598" t="s">
        <v>321</v>
      </c>
      <c r="T860" s="598" t="s">
        <v>3309</v>
      </c>
      <c r="U860" s="598" t="s">
        <v>3309</v>
      </c>
      <c r="V860" s="598" t="s">
        <v>3309</v>
      </c>
      <c r="W860" s="598" t="s">
        <v>3309</v>
      </c>
      <c r="X860" s="598" t="s">
        <v>3309</v>
      </c>
      <c r="Y860" s="598" t="s">
        <v>321</v>
      </c>
      <c r="Z860" s="598" t="s">
        <v>321</v>
      </c>
      <c r="AA860" s="598" t="s">
        <v>3309</v>
      </c>
      <c r="AB860" s="598" t="s">
        <v>3309</v>
      </c>
      <c r="AC860" s="598" t="s">
        <v>3309</v>
      </c>
      <c r="AD860" s="598" t="s">
        <v>3309</v>
      </c>
      <c r="AE860" s="598" t="s">
        <v>3309</v>
      </c>
      <c r="AF860" s="598" t="s">
        <v>321</v>
      </c>
      <c r="AG860" s="598" t="s">
        <v>321</v>
      </c>
      <c r="AH860" s="598" t="s">
        <v>3309</v>
      </c>
      <c r="AI860" s="598" t="s">
        <v>321</v>
      </c>
      <c r="AJ860" s="599">
        <v>21</v>
      </c>
      <c r="AK860" s="600">
        <v>21</v>
      </c>
      <c r="AL860" s="601">
        <v>0</v>
      </c>
      <c r="AM860" s="601">
        <v>0</v>
      </c>
      <c r="AN860" s="599">
        <v>21</v>
      </c>
    </row>
    <row r="861" spans="1:40" ht="16.5" customHeight="1">
      <c r="A861" s="598" t="s">
        <v>3337</v>
      </c>
      <c r="B861" s="598" t="s">
        <v>3349</v>
      </c>
      <c r="C861" s="598" t="s">
        <v>1630</v>
      </c>
      <c r="D861" s="598" t="s">
        <v>1631</v>
      </c>
      <c r="E861" s="598" t="s">
        <v>321</v>
      </c>
      <c r="F861" s="598" t="s">
        <v>3309</v>
      </c>
      <c r="G861" s="598" t="s">
        <v>3309</v>
      </c>
      <c r="H861" s="598" t="s">
        <v>3309</v>
      </c>
      <c r="I861" s="598" t="s">
        <v>3309</v>
      </c>
      <c r="J861" s="598" t="s">
        <v>3309</v>
      </c>
      <c r="K861" s="598" t="s">
        <v>321</v>
      </c>
      <c r="L861" s="598" t="s">
        <v>321</v>
      </c>
      <c r="M861" s="598" t="s">
        <v>3309</v>
      </c>
      <c r="N861" s="598" t="s">
        <v>3309</v>
      </c>
      <c r="O861" s="598" t="s">
        <v>3309</v>
      </c>
      <c r="P861" s="598" t="s">
        <v>3309</v>
      </c>
      <c r="Q861" s="598" t="s">
        <v>3309</v>
      </c>
      <c r="R861" s="598" t="s">
        <v>321</v>
      </c>
      <c r="S861" s="598" t="s">
        <v>321</v>
      </c>
      <c r="T861" s="598" t="s">
        <v>3309</v>
      </c>
      <c r="U861" s="598" t="s">
        <v>3309</v>
      </c>
      <c r="V861" s="598" t="s">
        <v>3309</v>
      </c>
      <c r="W861" s="598" t="s">
        <v>3309</v>
      </c>
      <c r="X861" s="598" t="s">
        <v>3309</v>
      </c>
      <c r="Y861" s="598" t="s">
        <v>321</v>
      </c>
      <c r="Z861" s="598" t="s">
        <v>321</v>
      </c>
      <c r="AA861" s="598" t="s">
        <v>3309</v>
      </c>
      <c r="AB861" s="598" t="s">
        <v>3309</v>
      </c>
      <c r="AC861" s="598" t="s">
        <v>3309</v>
      </c>
      <c r="AD861" s="598" t="s">
        <v>3309</v>
      </c>
      <c r="AE861" s="598" t="s">
        <v>3309</v>
      </c>
      <c r="AF861" s="598" t="s">
        <v>321</v>
      </c>
      <c r="AG861" s="598" t="s">
        <v>321</v>
      </c>
      <c r="AH861" s="598" t="s">
        <v>3309</v>
      </c>
      <c r="AI861" s="598" t="s">
        <v>321</v>
      </c>
      <c r="AJ861" s="599">
        <v>21</v>
      </c>
      <c r="AK861" s="600">
        <v>21</v>
      </c>
      <c r="AL861" s="601">
        <v>0</v>
      </c>
      <c r="AM861" s="601">
        <v>0</v>
      </c>
      <c r="AN861" s="599">
        <v>21</v>
      </c>
    </row>
    <row r="862" spans="1:40" ht="16.5" customHeight="1">
      <c r="A862" s="598" t="s">
        <v>3337</v>
      </c>
      <c r="B862" s="598" t="s">
        <v>3349</v>
      </c>
      <c r="C862" s="598" t="s">
        <v>2123</v>
      </c>
      <c r="D862" s="598" t="s">
        <v>1215</v>
      </c>
      <c r="E862" s="598" t="s">
        <v>321</v>
      </c>
      <c r="F862" s="598" t="s">
        <v>3309</v>
      </c>
      <c r="G862" s="598" t="s">
        <v>3309</v>
      </c>
      <c r="H862" s="598" t="s">
        <v>3309</v>
      </c>
      <c r="I862" s="598" t="s">
        <v>3309</v>
      </c>
      <c r="J862" s="598" t="s">
        <v>3309</v>
      </c>
      <c r="K862" s="598" t="s">
        <v>321</v>
      </c>
      <c r="L862" s="598" t="s">
        <v>321</v>
      </c>
      <c r="M862" s="598" t="s">
        <v>3309</v>
      </c>
      <c r="N862" s="598" t="s">
        <v>3309</v>
      </c>
      <c r="O862" s="598" t="s">
        <v>3309</v>
      </c>
      <c r="P862" s="598" t="s">
        <v>3309</v>
      </c>
      <c r="Q862" s="598" t="s">
        <v>3309</v>
      </c>
      <c r="R862" s="598" t="s">
        <v>321</v>
      </c>
      <c r="S862" s="598" t="s">
        <v>321</v>
      </c>
      <c r="T862" s="598" t="s">
        <v>3309</v>
      </c>
      <c r="U862" s="598" t="s">
        <v>3309</v>
      </c>
      <c r="V862" s="598" t="s">
        <v>3309</v>
      </c>
      <c r="W862" s="598" t="s">
        <v>3309</v>
      </c>
      <c r="X862" s="598" t="s">
        <v>3309</v>
      </c>
      <c r="Y862" s="598" t="s">
        <v>321</v>
      </c>
      <c r="Z862" s="598" t="s">
        <v>321</v>
      </c>
      <c r="AA862" s="598" t="s">
        <v>3309</v>
      </c>
      <c r="AB862" s="598" t="s">
        <v>3309</v>
      </c>
      <c r="AC862" s="598" t="s">
        <v>3309</v>
      </c>
      <c r="AD862" s="598" t="s">
        <v>3309</v>
      </c>
      <c r="AE862" s="598" t="s">
        <v>3309</v>
      </c>
      <c r="AF862" s="598" t="s">
        <v>321</v>
      </c>
      <c r="AG862" s="598" t="s">
        <v>321</v>
      </c>
      <c r="AH862" s="598" t="s">
        <v>3309</v>
      </c>
      <c r="AI862" s="598" t="s">
        <v>321</v>
      </c>
      <c r="AJ862" s="599">
        <v>21</v>
      </c>
      <c r="AK862" s="600">
        <v>21</v>
      </c>
      <c r="AL862" s="601">
        <v>0</v>
      </c>
      <c r="AM862" s="601">
        <v>0</v>
      </c>
      <c r="AN862" s="599">
        <v>21</v>
      </c>
    </row>
    <row r="863" spans="1:40" ht="16.5" customHeight="1">
      <c r="A863" s="598" t="s">
        <v>3337</v>
      </c>
      <c r="B863" s="598" t="s">
        <v>3349</v>
      </c>
      <c r="C863" s="598" t="s">
        <v>2390</v>
      </c>
      <c r="D863" s="598" t="s">
        <v>2391</v>
      </c>
      <c r="E863" s="598" t="s">
        <v>321</v>
      </c>
      <c r="F863" s="598" t="s">
        <v>3309</v>
      </c>
      <c r="G863" s="598" t="s">
        <v>3309</v>
      </c>
      <c r="H863" s="598" t="s">
        <v>3309</v>
      </c>
      <c r="I863" s="598" t="s">
        <v>3309</v>
      </c>
      <c r="J863" s="598" t="s">
        <v>3309</v>
      </c>
      <c r="K863" s="598" t="s">
        <v>321</v>
      </c>
      <c r="L863" s="598" t="s">
        <v>321</v>
      </c>
      <c r="M863" s="598" t="s">
        <v>3309</v>
      </c>
      <c r="N863" s="598" t="s">
        <v>3309</v>
      </c>
      <c r="O863" s="598" t="s">
        <v>3309</v>
      </c>
      <c r="P863" s="598" t="s">
        <v>3309</v>
      </c>
      <c r="Q863" s="598" t="s">
        <v>3309</v>
      </c>
      <c r="R863" s="598" t="s">
        <v>321</v>
      </c>
      <c r="S863" s="598" t="s">
        <v>321</v>
      </c>
      <c r="T863" s="598" t="s">
        <v>3309</v>
      </c>
      <c r="U863" s="598" t="s">
        <v>3309</v>
      </c>
      <c r="V863" s="598" t="s">
        <v>3309</v>
      </c>
      <c r="W863" s="598" t="s">
        <v>3309</v>
      </c>
      <c r="X863" s="598" t="s">
        <v>3309</v>
      </c>
      <c r="Y863" s="598" t="s">
        <v>321</v>
      </c>
      <c r="Z863" s="598" t="s">
        <v>321</v>
      </c>
      <c r="AA863" s="598" t="s">
        <v>3309</v>
      </c>
      <c r="AB863" s="598" t="s">
        <v>3309</v>
      </c>
      <c r="AC863" s="598" t="s">
        <v>3309</v>
      </c>
      <c r="AD863" s="598" t="s">
        <v>3309</v>
      </c>
      <c r="AE863" s="598" t="s">
        <v>3309</v>
      </c>
      <c r="AF863" s="598" t="s">
        <v>321</v>
      </c>
      <c r="AG863" s="598" t="s">
        <v>321</v>
      </c>
      <c r="AH863" s="598" t="s">
        <v>3309</v>
      </c>
      <c r="AI863" s="598" t="s">
        <v>321</v>
      </c>
      <c r="AJ863" s="599">
        <v>21</v>
      </c>
      <c r="AK863" s="600">
        <v>21</v>
      </c>
      <c r="AL863" s="601">
        <v>0</v>
      </c>
      <c r="AM863" s="601">
        <v>0</v>
      </c>
      <c r="AN863" s="599">
        <v>21</v>
      </c>
    </row>
    <row r="864" spans="1:40" ht="16.5" customHeight="1">
      <c r="A864" s="598" t="s">
        <v>3337</v>
      </c>
      <c r="B864" s="598" t="s">
        <v>3349</v>
      </c>
      <c r="C864" s="598" t="s">
        <v>1709</v>
      </c>
      <c r="D864" s="598" t="s">
        <v>1710</v>
      </c>
      <c r="E864" s="598" t="s">
        <v>321</v>
      </c>
      <c r="F864" s="598" t="s">
        <v>3309</v>
      </c>
      <c r="G864" s="598" t="s">
        <v>3309</v>
      </c>
      <c r="H864" s="598" t="s">
        <v>3309</v>
      </c>
      <c r="I864" s="598" t="s">
        <v>3309</v>
      </c>
      <c r="J864" s="598" t="s">
        <v>3309</v>
      </c>
      <c r="K864" s="598" t="s">
        <v>321</v>
      </c>
      <c r="L864" s="598" t="s">
        <v>321</v>
      </c>
      <c r="M864" s="598" t="s">
        <v>3309</v>
      </c>
      <c r="N864" s="598" t="s">
        <v>3309</v>
      </c>
      <c r="O864" s="598" t="s">
        <v>3309</v>
      </c>
      <c r="P864" s="598" t="s">
        <v>3309</v>
      </c>
      <c r="Q864" s="598" t="s">
        <v>3309</v>
      </c>
      <c r="R864" s="598" t="s">
        <v>321</v>
      </c>
      <c r="S864" s="598" t="s">
        <v>321</v>
      </c>
      <c r="T864" s="598" t="s">
        <v>3309</v>
      </c>
      <c r="U864" s="598" t="s">
        <v>3309</v>
      </c>
      <c r="V864" s="598" t="s">
        <v>3309</v>
      </c>
      <c r="W864" s="598" t="s">
        <v>3309</v>
      </c>
      <c r="X864" s="598" t="s">
        <v>3309</v>
      </c>
      <c r="Y864" s="598" t="s">
        <v>321</v>
      </c>
      <c r="Z864" s="598" t="s">
        <v>321</v>
      </c>
      <c r="AA864" s="598" t="s">
        <v>3309</v>
      </c>
      <c r="AB864" s="598" t="s">
        <v>3309</v>
      </c>
      <c r="AC864" s="598" t="s">
        <v>3309</v>
      </c>
      <c r="AD864" s="598" t="s">
        <v>3309</v>
      </c>
      <c r="AE864" s="598" t="s">
        <v>3309</v>
      </c>
      <c r="AF864" s="598" t="s">
        <v>321</v>
      </c>
      <c r="AG864" s="598" t="s">
        <v>321</v>
      </c>
      <c r="AH864" s="598" t="s">
        <v>3309</v>
      </c>
      <c r="AI864" s="598" t="s">
        <v>321</v>
      </c>
      <c r="AJ864" s="599">
        <v>21</v>
      </c>
      <c r="AK864" s="600">
        <v>21</v>
      </c>
      <c r="AL864" s="601">
        <v>0</v>
      </c>
      <c r="AM864" s="601">
        <v>0</v>
      </c>
      <c r="AN864" s="599">
        <v>21</v>
      </c>
    </row>
    <row r="865" spans="1:40" ht="16.5" customHeight="1">
      <c r="A865" s="598" t="s">
        <v>3337</v>
      </c>
      <c r="B865" s="598" t="s">
        <v>3349</v>
      </c>
      <c r="C865" s="598" t="s">
        <v>2427</v>
      </c>
      <c r="D865" s="598" t="s">
        <v>2428</v>
      </c>
      <c r="E865" s="598" t="s">
        <v>321</v>
      </c>
      <c r="F865" s="598" t="s">
        <v>3309</v>
      </c>
      <c r="G865" s="598" t="s">
        <v>3309</v>
      </c>
      <c r="H865" s="598" t="s">
        <v>3309</v>
      </c>
      <c r="I865" s="598" t="s">
        <v>3309</v>
      </c>
      <c r="J865" s="598" t="s">
        <v>3309</v>
      </c>
      <c r="K865" s="598" t="s">
        <v>321</v>
      </c>
      <c r="L865" s="598" t="s">
        <v>321</v>
      </c>
      <c r="M865" s="598" t="s">
        <v>3309</v>
      </c>
      <c r="N865" s="598" t="s">
        <v>3309</v>
      </c>
      <c r="O865" s="598" t="s">
        <v>3309</v>
      </c>
      <c r="P865" s="598" t="s">
        <v>3309</v>
      </c>
      <c r="Q865" s="598" t="s">
        <v>3309</v>
      </c>
      <c r="R865" s="598" t="s">
        <v>321</v>
      </c>
      <c r="S865" s="598" t="s">
        <v>321</v>
      </c>
      <c r="T865" s="598" t="s">
        <v>3309</v>
      </c>
      <c r="U865" s="598" t="s">
        <v>3309</v>
      </c>
      <c r="V865" s="598" t="s">
        <v>3309</v>
      </c>
      <c r="W865" s="598" t="s">
        <v>3309</v>
      </c>
      <c r="X865" s="598" t="s">
        <v>3309</v>
      </c>
      <c r="Y865" s="598" t="s">
        <v>321</v>
      </c>
      <c r="Z865" s="598" t="s">
        <v>321</v>
      </c>
      <c r="AA865" s="598" t="s">
        <v>3309</v>
      </c>
      <c r="AB865" s="598" t="s">
        <v>3309</v>
      </c>
      <c r="AC865" s="598" t="s">
        <v>3309</v>
      </c>
      <c r="AD865" s="598" t="s">
        <v>3309</v>
      </c>
      <c r="AE865" s="598" t="s">
        <v>3309</v>
      </c>
      <c r="AF865" s="598" t="s">
        <v>321</v>
      </c>
      <c r="AG865" s="598" t="s">
        <v>321</v>
      </c>
      <c r="AH865" s="598" t="s">
        <v>3309</v>
      </c>
      <c r="AI865" s="598" t="s">
        <v>321</v>
      </c>
      <c r="AJ865" s="599">
        <v>21</v>
      </c>
      <c r="AK865" s="600">
        <v>21</v>
      </c>
      <c r="AL865" s="601">
        <v>0</v>
      </c>
      <c r="AM865" s="601">
        <v>0</v>
      </c>
      <c r="AN865" s="599">
        <v>21</v>
      </c>
    </row>
    <row r="866" spans="1:40" ht="16.5" customHeight="1">
      <c r="A866" s="598" t="s">
        <v>3337</v>
      </c>
      <c r="B866" s="598" t="s">
        <v>3349</v>
      </c>
      <c r="C866" s="598" t="s">
        <v>2226</v>
      </c>
      <c r="D866" s="598" t="s">
        <v>2227</v>
      </c>
      <c r="E866" s="598" t="s">
        <v>321</v>
      </c>
      <c r="F866" s="598" t="s">
        <v>3309</v>
      </c>
      <c r="G866" s="598" t="s">
        <v>3309</v>
      </c>
      <c r="H866" s="598" t="s">
        <v>3309</v>
      </c>
      <c r="I866" s="598" t="s">
        <v>3309</v>
      </c>
      <c r="J866" s="598" t="s">
        <v>3312</v>
      </c>
      <c r="K866" s="598" t="s">
        <v>321</v>
      </c>
      <c r="L866" s="598" t="s">
        <v>321</v>
      </c>
      <c r="M866" s="598" t="s">
        <v>3309</v>
      </c>
      <c r="N866" s="598" t="s">
        <v>3309</v>
      </c>
      <c r="O866" s="598" t="s">
        <v>3309</v>
      </c>
      <c r="P866" s="598" t="s">
        <v>3309</v>
      </c>
      <c r="Q866" s="598" t="s">
        <v>3309</v>
      </c>
      <c r="R866" s="598" t="s">
        <v>321</v>
      </c>
      <c r="S866" s="598" t="s">
        <v>321</v>
      </c>
      <c r="T866" s="598" t="s">
        <v>3309</v>
      </c>
      <c r="U866" s="598" t="s">
        <v>3309</v>
      </c>
      <c r="V866" s="598" t="s">
        <v>3309</v>
      </c>
      <c r="W866" s="598" t="s">
        <v>3309</v>
      </c>
      <c r="X866" s="598" t="s">
        <v>3309</v>
      </c>
      <c r="Y866" s="598" t="s">
        <v>321</v>
      </c>
      <c r="Z866" s="598" t="s">
        <v>321</v>
      </c>
      <c r="AA866" s="598" t="s">
        <v>3309</v>
      </c>
      <c r="AB866" s="598" t="s">
        <v>3309</v>
      </c>
      <c r="AC866" s="598" t="s">
        <v>3309</v>
      </c>
      <c r="AD866" s="598" t="s">
        <v>3309</v>
      </c>
      <c r="AE866" s="598" t="s">
        <v>3309</v>
      </c>
      <c r="AF866" s="598" t="s">
        <v>321</v>
      </c>
      <c r="AG866" s="598" t="s">
        <v>321</v>
      </c>
      <c r="AH866" s="598" t="s">
        <v>3309</v>
      </c>
      <c r="AI866" s="598" t="s">
        <v>321</v>
      </c>
      <c r="AJ866" s="599">
        <v>21</v>
      </c>
      <c r="AK866" s="600">
        <v>20</v>
      </c>
      <c r="AL866" s="602">
        <v>1</v>
      </c>
      <c r="AM866" s="601">
        <v>0</v>
      </c>
      <c r="AN866" s="599">
        <v>21</v>
      </c>
    </row>
    <row r="867" spans="1:40" ht="16.5" customHeight="1">
      <c r="A867" s="598" t="s">
        <v>3337</v>
      </c>
      <c r="B867" s="598" t="s">
        <v>3349</v>
      </c>
      <c r="C867" s="598" t="s">
        <v>1924</v>
      </c>
      <c r="D867" s="598" t="s">
        <v>1925</v>
      </c>
      <c r="E867" s="598" t="s">
        <v>321</v>
      </c>
      <c r="F867" s="598" t="s">
        <v>3309</v>
      </c>
      <c r="G867" s="598" t="s">
        <v>3314</v>
      </c>
      <c r="H867" s="598" t="s">
        <v>3309</v>
      </c>
      <c r="I867" s="598" t="s">
        <v>3309</v>
      </c>
      <c r="J867" s="598" t="s">
        <v>3309</v>
      </c>
      <c r="K867" s="598" t="s">
        <v>321</v>
      </c>
      <c r="L867" s="598" t="s">
        <v>321</v>
      </c>
      <c r="M867" s="598" t="s">
        <v>3309</v>
      </c>
      <c r="N867" s="598" t="s">
        <v>3309</v>
      </c>
      <c r="O867" s="598" t="s">
        <v>3309</v>
      </c>
      <c r="P867" s="598" t="s">
        <v>3309</v>
      </c>
      <c r="Q867" s="598" t="s">
        <v>3309</v>
      </c>
      <c r="R867" s="598" t="s">
        <v>321</v>
      </c>
      <c r="S867" s="598" t="s">
        <v>321</v>
      </c>
      <c r="T867" s="598" t="s">
        <v>3309</v>
      </c>
      <c r="U867" s="598" t="s">
        <v>3309</v>
      </c>
      <c r="V867" s="598" t="s">
        <v>3309</v>
      </c>
      <c r="W867" s="598" t="s">
        <v>3309</v>
      </c>
      <c r="X867" s="598" t="s">
        <v>3309</v>
      </c>
      <c r="Y867" s="598" t="s">
        <v>321</v>
      </c>
      <c r="Z867" s="598" t="s">
        <v>321</v>
      </c>
      <c r="AA867" s="598" t="s">
        <v>3309</v>
      </c>
      <c r="AB867" s="598" t="s">
        <v>3309</v>
      </c>
      <c r="AC867" s="598" t="s">
        <v>3309</v>
      </c>
      <c r="AD867" s="598" t="s">
        <v>3309</v>
      </c>
      <c r="AE867" s="598" t="s">
        <v>3309</v>
      </c>
      <c r="AF867" s="598" t="s">
        <v>321</v>
      </c>
      <c r="AG867" s="598" t="s">
        <v>321</v>
      </c>
      <c r="AH867" s="598" t="s">
        <v>3309</v>
      </c>
      <c r="AI867" s="598" t="s">
        <v>321</v>
      </c>
      <c r="AJ867" s="599">
        <v>21</v>
      </c>
      <c r="AK867" s="603">
        <v>20.5</v>
      </c>
      <c r="AL867" s="604">
        <v>0.5</v>
      </c>
      <c r="AM867" s="601">
        <v>0</v>
      </c>
      <c r="AN867" s="599">
        <v>21</v>
      </c>
    </row>
    <row r="868" spans="1:40" ht="16.5" customHeight="1">
      <c r="A868" s="598" t="s">
        <v>3337</v>
      </c>
      <c r="B868" s="598" t="s">
        <v>3349</v>
      </c>
      <c r="C868" s="598" t="s">
        <v>1991</v>
      </c>
      <c r="D868" s="598" t="s">
        <v>1992</v>
      </c>
      <c r="E868" s="598" t="s">
        <v>321</v>
      </c>
      <c r="F868" s="598" t="s">
        <v>3309</v>
      </c>
      <c r="G868" s="598" t="s">
        <v>3309</v>
      </c>
      <c r="H868" s="598" t="s">
        <v>3309</v>
      </c>
      <c r="I868" s="598" t="s">
        <v>3309</v>
      </c>
      <c r="J868" s="598" t="s">
        <v>3309</v>
      </c>
      <c r="K868" s="598" t="s">
        <v>321</v>
      </c>
      <c r="L868" s="598" t="s">
        <v>321</v>
      </c>
      <c r="M868" s="598" t="s">
        <v>3309</v>
      </c>
      <c r="N868" s="598" t="s">
        <v>3309</v>
      </c>
      <c r="O868" s="598" t="s">
        <v>3309</v>
      </c>
      <c r="P868" s="598" t="s">
        <v>3309</v>
      </c>
      <c r="Q868" s="598" t="s">
        <v>3309</v>
      </c>
      <c r="R868" s="598" t="s">
        <v>321</v>
      </c>
      <c r="S868" s="598" t="s">
        <v>321</v>
      </c>
      <c r="T868" s="598" t="s">
        <v>3309</v>
      </c>
      <c r="U868" s="598" t="s">
        <v>3309</v>
      </c>
      <c r="V868" s="598" t="s">
        <v>3309</v>
      </c>
      <c r="W868" s="598" t="s">
        <v>3309</v>
      </c>
      <c r="X868" s="598" t="s">
        <v>3309</v>
      </c>
      <c r="Y868" s="598" t="s">
        <v>321</v>
      </c>
      <c r="Z868" s="598" t="s">
        <v>321</v>
      </c>
      <c r="AA868" s="598" t="s">
        <v>3309</v>
      </c>
      <c r="AB868" s="598" t="s">
        <v>3309</v>
      </c>
      <c r="AC868" s="598" t="s">
        <v>3309</v>
      </c>
      <c r="AD868" s="598" t="s">
        <v>3309</v>
      </c>
      <c r="AE868" s="598" t="s">
        <v>3309</v>
      </c>
      <c r="AF868" s="598" t="s">
        <v>321</v>
      </c>
      <c r="AG868" s="598" t="s">
        <v>321</v>
      </c>
      <c r="AH868" s="598" t="s">
        <v>3309</v>
      </c>
      <c r="AI868" s="598" t="s">
        <v>321</v>
      </c>
      <c r="AJ868" s="599">
        <v>21</v>
      </c>
      <c r="AK868" s="600">
        <v>21</v>
      </c>
      <c r="AL868" s="601">
        <v>0</v>
      </c>
      <c r="AM868" s="601">
        <v>0</v>
      </c>
      <c r="AN868" s="599">
        <v>21</v>
      </c>
    </row>
    <row r="869" spans="1:40" ht="16.5" customHeight="1">
      <c r="A869" s="598" t="s">
        <v>3337</v>
      </c>
      <c r="B869" s="598" t="s">
        <v>3349</v>
      </c>
      <c r="C869" s="598" t="s">
        <v>2775</v>
      </c>
      <c r="D869" s="598" t="s">
        <v>2776</v>
      </c>
      <c r="E869" s="598" t="s">
        <v>321</v>
      </c>
      <c r="F869" s="598" t="s">
        <v>3309</v>
      </c>
      <c r="G869" s="598" t="s">
        <v>3309</v>
      </c>
      <c r="H869" s="598" t="s">
        <v>3309</v>
      </c>
      <c r="I869" s="598" t="s">
        <v>3309</v>
      </c>
      <c r="J869" s="598" t="s">
        <v>3309</v>
      </c>
      <c r="K869" s="598" t="s">
        <v>321</v>
      </c>
      <c r="L869" s="598" t="s">
        <v>321</v>
      </c>
      <c r="M869" s="598" t="s">
        <v>3309</v>
      </c>
      <c r="N869" s="598" t="s">
        <v>3309</v>
      </c>
      <c r="O869" s="598" t="s">
        <v>3309</v>
      </c>
      <c r="P869" s="598" t="s">
        <v>3309</v>
      </c>
      <c r="Q869" s="598" t="s">
        <v>3309</v>
      </c>
      <c r="R869" s="598" t="s">
        <v>321</v>
      </c>
      <c r="S869" s="598" t="s">
        <v>321</v>
      </c>
      <c r="T869" s="598" t="s">
        <v>3309</v>
      </c>
      <c r="U869" s="598" t="s">
        <v>3309</v>
      </c>
      <c r="V869" s="598" t="s">
        <v>3309</v>
      </c>
      <c r="W869" s="598" t="s">
        <v>3309</v>
      </c>
      <c r="X869" s="598" t="s">
        <v>3309</v>
      </c>
      <c r="Y869" s="598" t="s">
        <v>321</v>
      </c>
      <c r="Z869" s="598" t="s">
        <v>321</v>
      </c>
      <c r="AA869" s="598" t="s">
        <v>3309</v>
      </c>
      <c r="AB869" s="598" t="s">
        <v>3309</v>
      </c>
      <c r="AC869" s="598" t="s">
        <v>3309</v>
      </c>
      <c r="AD869" s="598" t="s">
        <v>3309</v>
      </c>
      <c r="AE869" s="598" t="s">
        <v>3309</v>
      </c>
      <c r="AF869" s="598" t="s">
        <v>321</v>
      </c>
      <c r="AG869" s="598" t="s">
        <v>321</v>
      </c>
      <c r="AH869" s="598" t="s">
        <v>3309</v>
      </c>
      <c r="AI869" s="598" t="s">
        <v>321</v>
      </c>
      <c r="AJ869" s="599">
        <v>21</v>
      </c>
      <c r="AK869" s="600">
        <v>21</v>
      </c>
      <c r="AL869" s="601">
        <v>0</v>
      </c>
      <c r="AM869" s="601">
        <v>0</v>
      </c>
      <c r="AN869" s="599">
        <v>21</v>
      </c>
    </row>
    <row r="870" spans="1:40" ht="16.5" customHeight="1">
      <c r="A870" s="598" t="s">
        <v>3337</v>
      </c>
      <c r="B870" s="598" t="s">
        <v>3349</v>
      </c>
      <c r="C870" s="598" t="s">
        <v>2533</v>
      </c>
      <c r="D870" s="598" t="s">
        <v>2534</v>
      </c>
      <c r="E870" s="598" t="s">
        <v>321</v>
      </c>
      <c r="F870" s="598" t="s">
        <v>3309</v>
      </c>
      <c r="G870" s="598" t="s">
        <v>3309</v>
      </c>
      <c r="H870" s="598" t="s">
        <v>3312</v>
      </c>
      <c r="I870" s="598" t="s">
        <v>3309</v>
      </c>
      <c r="J870" s="598" t="s">
        <v>3309</v>
      </c>
      <c r="K870" s="598" t="s">
        <v>321</v>
      </c>
      <c r="L870" s="598" t="s">
        <v>321</v>
      </c>
      <c r="M870" s="598" t="s">
        <v>3309</v>
      </c>
      <c r="N870" s="598" t="s">
        <v>3309</v>
      </c>
      <c r="O870" s="598" t="s">
        <v>3309</v>
      </c>
      <c r="P870" s="598" t="s">
        <v>3309</v>
      </c>
      <c r="Q870" s="598" t="s">
        <v>3309</v>
      </c>
      <c r="R870" s="598" t="s">
        <v>321</v>
      </c>
      <c r="S870" s="598" t="s">
        <v>321</v>
      </c>
      <c r="T870" s="598" t="s">
        <v>3309</v>
      </c>
      <c r="U870" s="598" t="s">
        <v>3309</v>
      </c>
      <c r="V870" s="598" t="s">
        <v>3309</v>
      </c>
      <c r="W870" s="598" t="s">
        <v>3309</v>
      </c>
      <c r="X870" s="598" t="s">
        <v>3309</v>
      </c>
      <c r="Y870" s="598" t="s">
        <v>321</v>
      </c>
      <c r="Z870" s="598" t="s">
        <v>321</v>
      </c>
      <c r="AA870" s="598" t="s">
        <v>3309</v>
      </c>
      <c r="AB870" s="598" t="s">
        <v>3309</v>
      </c>
      <c r="AC870" s="598" t="s">
        <v>3309</v>
      </c>
      <c r="AD870" s="598" t="s">
        <v>3309</v>
      </c>
      <c r="AE870" s="598" t="s">
        <v>3309</v>
      </c>
      <c r="AF870" s="598" t="s">
        <v>321</v>
      </c>
      <c r="AG870" s="598" t="s">
        <v>321</v>
      </c>
      <c r="AH870" s="598" t="s">
        <v>3309</v>
      </c>
      <c r="AI870" s="598" t="s">
        <v>321</v>
      </c>
      <c r="AJ870" s="599">
        <v>21</v>
      </c>
      <c r="AK870" s="600">
        <v>20</v>
      </c>
      <c r="AL870" s="602">
        <v>1</v>
      </c>
      <c r="AM870" s="601">
        <v>0</v>
      </c>
      <c r="AN870" s="599">
        <v>21</v>
      </c>
    </row>
    <row r="871" spans="1:40" ht="16.5" customHeight="1">
      <c r="A871" s="598" t="s">
        <v>3337</v>
      </c>
      <c r="B871" s="598" t="s">
        <v>3349</v>
      </c>
      <c r="C871" s="598" t="s">
        <v>2134</v>
      </c>
      <c r="D871" s="598" t="s">
        <v>2135</v>
      </c>
      <c r="E871" s="598" t="s">
        <v>321</v>
      </c>
      <c r="F871" s="598" t="s">
        <v>3309</v>
      </c>
      <c r="G871" s="598" t="s">
        <v>3309</v>
      </c>
      <c r="H871" s="598" t="s">
        <v>3309</v>
      </c>
      <c r="I871" s="598" t="s">
        <v>3309</v>
      </c>
      <c r="J871" s="598" t="s">
        <v>3309</v>
      </c>
      <c r="K871" s="598" t="s">
        <v>321</v>
      </c>
      <c r="L871" s="598" t="s">
        <v>321</v>
      </c>
      <c r="M871" s="598" t="s">
        <v>3309</v>
      </c>
      <c r="N871" s="598" t="s">
        <v>3309</v>
      </c>
      <c r="O871" s="598" t="s">
        <v>3309</v>
      </c>
      <c r="P871" s="598" t="s">
        <v>3309</v>
      </c>
      <c r="Q871" s="598" t="s">
        <v>3309</v>
      </c>
      <c r="R871" s="598" t="s">
        <v>321</v>
      </c>
      <c r="S871" s="598" t="s">
        <v>321</v>
      </c>
      <c r="T871" s="598" t="s">
        <v>3309</v>
      </c>
      <c r="U871" s="598" t="s">
        <v>3309</v>
      </c>
      <c r="V871" s="598" t="s">
        <v>3309</v>
      </c>
      <c r="W871" s="598" t="s">
        <v>3309</v>
      </c>
      <c r="X871" s="598" t="s">
        <v>3312</v>
      </c>
      <c r="Y871" s="598" t="s">
        <v>321</v>
      </c>
      <c r="Z871" s="598" t="s">
        <v>321</v>
      </c>
      <c r="AA871" s="598" t="s">
        <v>3309</v>
      </c>
      <c r="AB871" s="598" t="s">
        <v>3309</v>
      </c>
      <c r="AC871" s="598" t="s">
        <v>3309</v>
      </c>
      <c r="AD871" s="598" t="s">
        <v>3309</v>
      </c>
      <c r="AE871" s="598" t="s">
        <v>3309</v>
      </c>
      <c r="AF871" s="598" t="s">
        <v>321</v>
      </c>
      <c r="AG871" s="598" t="s">
        <v>321</v>
      </c>
      <c r="AH871" s="598" t="s">
        <v>3309</v>
      </c>
      <c r="AI871" s="598" t="s">
        <v>321</v>
      </c>
      <c r="AJ871" s="599">
        <v>21</v>
      </c>
      <c r="AK871" s="600">
        <v>20</v>
      </c>
      <c r="AL871" s="602">
        <v>1</v>
      </c>
      <c r="AM871" s="601">
        <v>0</v>
      </c>
      <c r="AN871" s="599">
        <v>21</v>
      </c>
    </row>
    <row r="872" spans="1:40" ht="16.5" customHeight="1">
      <c r="A872" s="598" t="s">
        <v>3337</v>
      </c>
      <c r="B872" s="598" t="s">
        <v>3349</v>
      </c>
      <c r="C872" s="598" t="s">
        <v>1993</v>
      </c>
      <c r="D872" s="598" t="s">
        <v>1969</v>
      </c>
      <c r="E872" s="598" t="s">
        <v>321</v>
      </c>
      <c r="F872" s="598" t="s">
        <v>3312</v>
      </c>
      <c r="G872" s="598" t="s">
        <v>3312</v>
      </c>
      <c r="H872" s="598" t="s">
        <v>3312</v>
      </c>
      <c r="I872" s="598" t="s">
        <v>3309</v>
      </c>
      <c r="J872" s="598" t="s">
        <v>3309</v>
      </c>
      <c r="K872" s="598" t="s">
        <v>321</v>
      </c>
      <c r="L872" s="598" t="s">
        <v>321</v>
      </c>
      <c r="M872" s="598" t="s">
        <v>3309</v>
      </c>
      <c r="N872" s="598" t="s">
        <v>3309</v>
      </c>
      <c r="O872" s="598" t="s">
        <v>3309</v>
      </c>
      <c r="P872" s="598" t="s">
        <v>3309</v>
      </c>
      <c r="Q872" s="598" t="s">
        <v>3309</v>
      </c>
      <c r="R872" s="598" t="s">
        <v>321</v>
      </c>
      <c r="S872" s="598" t="s">
        <v>321</v>
      </c>
      <c r="T872" s="598" t="s">
        <v>3309</v>
      </c>
      <c r="U872" s="598" t="s">
        <v>3309</v>
      </c>
      <c r="V872" s="598" t="s">
        <v>3309</v>
      </c>
      <c r="W872" s="598" t="s">
        <v>3309</v>
      </c>
      <c r="X872" s="598" t="s">
        <v>3312</v>
      </c>
      <c r="Y872" s="598" t="s">
        <v>321</v>
      </c>
      <c r="Z872" s="598" t="s">
        <v>321</v>
      </c>
      <c r="AA872" s="598" t="s">
        <v>3309</v>
      </c>
      <c r="AB872" s="598" t="s">
        <v>3309</v>
      </c>
      <c r="AC872" s="598" t="s">
        <v>3309</v>
      </c>
      <c r="AD872" s="598" t="s">
        <v>3309</v>
      </c>
      <c r="AE872" s="598" t="s">
        <v>3309</v>
      </c>
      <c r="AF872" s="598" t="s">
        <v>321</v>
      </c>
      <c r="AG872" s="598" t="s">
        <v>321</v>
      </c>
      <c r="AH872" s="598" t="s">
        <v>3309</v>
      </c>
      <c r="AI872" s="598" t="s">
        <v>321</v>
      </c>
      <c r="AJ872" s="599">
        <v>21</v>
      </c>
      <c r="AK872" s="600">
        <v>17</v>
      </c>
      <c r="AL872" s="602">
        <v>4</v>
      </c>
      <c r="AM872" s="601">
        <v>0</v>
      </c>
      <c r="AN872" s="599">
        <v>21</v>
      </c>
    </row>
    <row r="873" spans="1:40" ht="16.5" customHeight="1">
      <c r="A873" s="598" t="s">
        <v>3337</v>
      </c>
      <c r="B873" s="598" t="s">
        <v>3349</v>
      </c>
      <c r="C873" s="598" t="s">
        <v>2073</v>
      </c>
      <c r="D873" s="598" t="s">
        <v>2074</v>
      </c>
      <c r="E873" s="598" t="s">
        <v>321</v>
      </c>
      <c r="F873" s="598" t="s">
        <v>3309</v>
      </c>
      <c r="G873" s="598" t="s">
        <v>3309</v>
      </c>
      <c r="H873" s="598" t="s">
        <v>3309</v>
      </c>
      <c r="I873" s="598" t="s">
        <v>3309</v>
      </c>
      <c r="J873" s="598" t="s">
        <v>3309</v>
      </c>
      <c r="K873" s="598" t="s">
        <v>321</v>
      </c>
      <c r="L873" s="598" t="s">
        <v>321</v>
      </c>
      <c r="M873" s="598" t="s">
        <v>3309</v>
      </c>
      <c r="N873" s="598" t="s">
        <v>3309</v>
      </c>
      <c r="O873" s="598" t="s">
        <v>3309</v>
      </c>
      <c r="P873" s="598" t="s">
        <v>3309</v>
      </c>
      <c r="Q873" s="598" t="s">
        <v>3309</v>
      </c>
      <c r="R873" s="598" t="s">
        <v>321</v>
      </c>
      <c r="S873" s="598" t="s">
        <v>321</v>
      </c>
      <c r="T873" s="598" t="s">
        <v>3309</v>
      </c>
      <c r="U873" s="598" t="s">
        <v>3309</v>
      </c>
      <c r="V873" s="598" t="s">
        <v>3309</v>
      </c>
      <c r="W873" s="598" t="s">
        <v>3309</v>
      </c>
      <c r="X873" s="598" t="s">
        <v>3309</v>
      </c>
      <c r="Y873" s="598" t="s">
        <v>321</v>
      </c>
      <c r="Z873" s="598" t="s">
        <v>321</v>
      </c>
      <c r="AA873" s="598" t="s">
        <v>3309</v>
      </c>
      <c r="AB873" s="598" t="s">
        <v>3309</v>
      </c>
      <c r="AC873" s="598" t="s">
        <v>3309</v>
      </c>
      <c r="AD873" s="598" t="s">
        <v>3309</v>
      </c>
      <c r="AE873" s="598" t="s">
        <v>3309</v>
      </c>
      <c r="AF873" s="598" t="s">
        <v>321</v>
      </c>
      <c r="AG873" s="598" t="s">
        <v>321</v>
      </c>
      <c r="AH873" s="598" t="s">
        <v>3309</v>
      </c>
      <c r="AI873" s="598" t="s">
        <v>321</v>
      </c>
      <c r="AJ873" s="599">
        <v>21</v>
      </c>
      <c r="AK873" s="600">
        <v>21</v>
      </c>
      <c r="AL873" s="601">
        <v>0</v>
      </c>
      <c r="AM873" s="601">
        <v>0</v>
      </c>
      <c r="AN873" s="599">
        <v>21</v>
      </c>
    </row>
    <row r="874" spans="1:40" ht="16.5" customHeight="1">
      <c r="A874" s="598" t="s">
        <v>3337</v>
      </c>
      <c r="B874" s="598" t="s">
        <v>3349</v>
      </c>
      <c r="C874" s="598" t="s">
        <v>1025</v>
      </c>
      <c r="D874" s="598" t="s">
        <v>1026</v>
      </c>
      <c r="E874" s="598" t="s">
        <v>321</v>
      </c>
      <c r="F874" s="598" t="s">
        <v>3309</v>
      </c>
      <c r="G874" s="598" t="s">
        <v>3309</v>
      </c>
      <c r="H874" s="598" t="s">
        <v>3312</v>
      </c>
      <c r="I874" s="598" t="s">
        <v>3309</v>
      </c>
      <c r="J874" s="598" t="s">
        <v>3309</v>
      </c>
      <c r="K874" s="598" t="s">
        <v>321</v>
      </c>
      <c r="L874" s="598" t="s">
        <v>321</v>
      </c>
      <c r="M874" s="598" t="s">
        <v>3309</v>
      </c>
      <c r="N874" s="598" t="s">
        <v>3309</v>
      </c>
      <c r="O874" s="598" t="s">
        <v>3309</v>
      </c>
      <c r="P874" s="598" t="s">
        <v>3309</v>
      </c>
      <c r="Q874" s="598" t="s">
        <v>3309</v>
      </c>
      <c r="R874" s="598" t="s">
        <v>321</v>
      </c>
      <c r="S874" s="598" t="s">
        <v>321</v>
      </c>
      <c r="T874" s="598" t="s">
        <v>3309</v>
      </c>
      <c r="U874" s="598" t="s">
        <v>3309</v>
      </c>
      <c r="V874" s="598" t="s">
        <v>3309</v>
      </c>
      <c r="W874" s="598" t="s">
        <v>3309</v>
      </c>
      <c r="X874" s="598" t="s">
        <v>3309</v>
      </c>
      <c r="Y874" s="598" t="s">
        <v>321</v>
      </c>
      <c r="Z874" s="598" t="s">
        <v>321</v>
      </c>
      <c r="AA874" s="598" t="s">
        <v>3309</v>
      </c>
      <c r="AB874" s="598" t="s">
        <v>3309</v>
      </c>
      <c r="AC874" s="598" t="s">
        <v>3309</v>
      </c>
      <c r="AD874" s="598" t="s">
        <v>3309</v>
      </c>
      <c r="AE874" s="598" t="s">
        <v>3309</v>
      </c>
      <c r="AF874" s="598" t="s">
        <v>321</v>
      </c>
      <c r="AG874" s="598" t="s">
        <v>321</v>
      </c>
      <c r="AH874" s="598" t="s">
        <v>3309</v>
      </c>
      <c r="AI874" s="598" t="s">
        <v>321</v>
      </c>
      <c r="AJ874" s="599">
        <v>21</v>
      </c>
      <c r="AK874" s="600">
        <v>20</v>
      </c>
      <c r="AL874" s="602">
        <v>1</v>
      </c>
      <c r="AM874" s="601">
        <v>0</v>
      </c>
      <c r="AN874" s="599">
        <v>21</v>
      </c>
    </row>
    <row r="875" spans="1:40" ht="16.5" customHeight="1">
      <c r="A875" s="598" t="s">
        <v>3337</v>
      </c>
      <c r="B875" s="598" t="s">
        <v>3349</v>
      </c>
      <c r="C875" s="598" t="s">
        <v>1253</v>
      </c>
      <c r="D875" s="598" t="s">
        <v>1254</v>
      </c>
      <c r="E875" s="598" t="s">
        <v>321</v>
      </c>
      <c r="F875" s="598" t="s">
        <v>3309</v>
      </c>
      <c r="G875" s="598" t="s">
        <v>3309</v>
      </c>
      <c r="H875" s="598" t="s">
        <v>3309</v>
      </c>
      <c r="I875" s="598" t="s">
        <v>3309</v>
      </c>
      <c r="J875" s="598" t="s">
        <v>3309</v>
      </c>
      <c r="K875" s="598" t="s">
        <v>321</v>
      </c>
      <c r="L875" s="598" t="s">
        <v>321</v>
      </c>
      <c r="M875" s="598" t="s">
        <v>3309</v>
      </c>
      <c r="N875" s="598" t="s">
        <v>3309</v>
      </c>
      <c r="O875" s="598" t="s">
        <v>3309</v>
      </c>
      <c r="P875" s="598" t="s">
        <v>3309</v>
      </c>
      <c r="Q875" s="598" t="s">
        <v>3309</v>
      </c>
      <c r="R875" s="598" t="s">
        <v>321</v>
      </c>
      <c r="S875" s="598" t="s">
        <v>321</v>
      </c>
      <c r="T875" s="598" t="s">
        <v>3309</v>
      </c>
      <c r="U875" s="598" t="s">
        <v>3309</v>
      </c>
      <c r="V875" s="598" t="s">
        <v>3309</v>
      </c>
      <c r="W875" s="598" t="s">
        <v>3309</v>
      </c>
      <c r="X875" s="598" t="s">
        <v>3309</v>
      </c>
      <c r="Y875" s="598" t="s">
        <v>321</v>
      </c>
      <c r="Z875" s="598" t="s">
        <v>321</v>
      </c>
      <c r="AA875" s="598" t="s">
        <v>3309</v>
      </c>
      <c r="AB875" s="598" t="s">
        <v>3309</v>
      </c>
      <c r="AC875" s="598" t="s">
        <v>3309</v>
      </c>
      <c r="AD875" s="598" t="s">
        <v>3309</v>
      </c>
      <c r="AE875" s="598" t="s">
        <v>3309</v>
      </c>
      <c r="AF875" s="598" t="s">
        <v>321</v>
      </c>
      <c r="AG875" s="598" t="s">
        <v>321</v>
      </c>
      <c r="AH875" s="598" t="s">
        <v>3309</v>
      </c>
      <c r="AI875" s="598" t="s">
        <v>321</v>
      </c>
      <c r="AJ875" s="599">
        <v>21</v>
      </c>
      <c r="AK875" s="600">
        <v>21</v>
      </c>
      <c r="AL875" s="601">
        <v>0</v>
      </c>
      <c r="AM875" s="601">
        <v>0</v>
      </c>
      <c r="AN875" s="599">
        <v>21</v>
      </c>
    </row>
    <row r="876" spans="1:40" ht="16.5" customHeight="1">
      <c r="A876" s="598" t="s">
        <v>3337</v>
      </c>
      <c r="B876" s="598" t="s">
        <v>3349</v>
      </c>
      <c r="C876" s="598" t="s">
        <v>1316</v>
      </c>
      <c r="D876" s="598" t="s">
        <v>1317</v>
      </c>
      <c r="E876" s="598" t="s">
        <v>321</v>
      </c>
      <c r="F876" s="598" t="s">
        <v>3309</v>
      </c>
      <c r="G876" s="598" t="s">
        <v>3309</v>
      </c>
      <c r="H876" s="598" t="s">
        <v>3309</v>
      </c>
      <c r="I876" s="598" t="s">
        <v>3309</v>
      </c>
      <c r="J876" s="598" t="s">
        <v>3309</v>
      </c>
      <c r="K876" s="598" t="s">
        <v>321</v>
      </c>
      <c r="L876" s="598" t="s">
        <v>321</v>
      </c>
      <c r="M876" s="598" t="s">
        <v>3309</v>
      </c>
      <c r="N876" s="598" t="s">
        <v>3309</v>
      </c>
      <c r="O876" s="598" t="s">
        <v>3309</v>
      </c>
      <c r="P876" s="598" t="s">
        <v>3309</v>
      </c>
      <c r="Q876" s="598" t="s">
        <v>3309</v>
      </c>
      <c r="R876" s="598" t="s">
        <v>321</v>
      </c>
      <c r="S876" s="598" t="s">
        <v>321</v>
      </c>
      <c r="T876" s="598" t="s">
        <v>3309</v>
      </c>
      <c r="U876" s="598" t="s">
        <v>3309</v>
      </c>
      <c r="V876" s="598" t="s">
        <v>3309</v>
      </c>
      <c r="W876" s="598" t="s">
        <v>3309</v>
      </c>
      <c r="X876" s="598" t="s">
        <v>3309</v>
      </c>
      <c r="Y876" s="598" t="s">
        <v>321</v>
      </c>
      <c r="Z876" s="598" t="s">
        <v>321</v>
      </c>
      <c r="AA876" s="598" t="s">
        <v>3309</v>
      </c>
      <c r="AB876" s="598" t="s">
        <v>3309</v>
      </c>
      <c r="AC876" s="598" t="s">
        <v>3309</v>
      </c>
      <c r="AD876" s="598" t="s">
        <v>3309</v>
      </c>
      <c r="AE876" s="598" t="s">
        <v>3309</v>
      </c>
      <c r="AF876" s="598" t="s">
        <v>321</v>
      </c>
      <c r="AG876" s="598" t="s">
        <v>321</v>
      </c>
      <c r="AH876" s="598" t="s">
        <v>3309</v>
      </c>
      <c r="AI876" s="598" t="s">
        <v>321</v>
      </c>
      <c r="AJ876" s="599">
        <v>21</v>
      </c>
      <c r="AK876" s="600">
        <v>21</v>
      </c>
      <c r="AL876" s="601">
        <v>0</v>
      </c>
      <c r="AM876" s="601">
        <v>0</v>
      </c>
      <c r="AN876" s="599">
        <v>21</v>
      </c>
    </row>
    <row r="877" spans="1:40" ht="16.5" customHeight="1">
      <c r="A877" s="598" t="s">
        <v>3337</v>
      </c>
      <c r="B877" s="598" t="s">
        <v>3349</v>
      </c>
      <c r="C877" s="598" t="s">
        <v>2502</v>
      </c>
      <c r="D877" s="598" t="s">
        <v>2503</v>
      </c>
      <c r="E877" s="598" t="s">
        <v>321</v>
      </c>
      <c r="F877" s="598" t="s">
        <v>3309</v>
      </c>
      <c r="G877" s="598" t="s">
        <v>3309</v>
      </c>
      <c r="H877" s="598" t="s">
        <v>3309</v>
      </c>
      <c r="I877" s="598" t="s">
        <v>3309</v>
      </c>
      <c r="J877" s="598" t="s">
        <v>3309</v>
      </c>
      <c r="K877" s="598" t="s">
        <v>321</v>
      </c>
      <c r="L877" s="598" t="s">
        <v>321</v>
      </c>
      <c r="M877" s="598" t="s">
        <v>3309</v>
      </c>
      <c r="N877" s="598" t="s">
        <v>3309</v>
      </c>
      <c r="O877" s="598" t="s">
        <v>3309</v>
      </c>
      <c r="P877" s="598" t="s">
        <v>3309</v>
      </c>
      <c r="Q877" s="598" t="s">
        <v>3309</v>
      </c>
      <c r="R877" s="598" t="s">
        <v>321</v>
      </c>
      <c r="S877" s="598" t="s">
        <v>321</v>
      </c>
      <c r="T877" s="598" t="s">
        <v>3309</v>
      </c>
      <c r="U877" s="598" t="s">
        <v>3309</v>
      </c>
      <c r="V877" s="598" t="s">
        <v>3309</v>
      </c>
      <c r="W877" s="598" t="s">
        <v>3309</v>
      </c>
      <c r="X877" s="598" t="s">
        <v>3309</v>
      </c>
      <c r="Y877" s="598" t="s">
        <v>321</v>
      </c>
      <c r="Z877" s="598" t="s">
        <v>321</v>
      </c>
      <c r="AA877" s="598" t="s">
        <v>3309</v>
      </c>
      <c r="AB877" s="598" t="s">
        <v>3309</v>
      </c>
      <c r="AC877" s="598" t="s">
        <v>3309</v>
      </c>
      <c r="AD877" s="598" t="s">
        <v>3309</v>
      </c>
      <c r="AE877" s="598" t="s">
        <v>3309</v>
      </c>
      <c r="AF877" s="598" t="s">
        <v>321</v>
      </c>
      <c r="AG877" s="598" t="s">
        <v>321</v>
      </c>
      <c r="AH877" s="598" t="s">
        <v>3309</v>
      </c>
      <c r="AI877" s="598" t="s">
        <v>321</v>
      </c>
      <c r="AJ877" s="599">
        <v>21</v>
      </c>
      <c r="AK877" s="600">
        <v>21</v>
      </c>
      <c r="AL877" s="601">
        <v>0</v>
      </c>
      <c r="AM877" s="601">
        <v>0</v>
      </c>
      <c r="AN877" s="599">
        <v>21</v>
      </c>
    </row>
    <row r="878" spans="1:40" ht="16.5" customHeight="1">
      <c r="A878" s="598" t="s">
        <v>3337</v>
      </c>
      <c r="B878" s="598" t="s">
        <v>3349</v>
      </c>
      <c r="C878" s="598" t="s">
        <v>1477</v>
      </c>
      <c r="D878" s="598" t="s">
        <v>1250</v>
      </c>
      <c r="E878" s="598" t="s">
        <v>321</v>
      </c>
      <c r="F878" s="598" t="s">
        <v>3309</v>
      </c>
      <c r="G878" s="598" t="s">
        <v>3309</v>
      </c>
      <c r="H878" s="598" t="s">
        <v>3309</v>
      </c>
      <c r="I878" s="598" t="s">
        <v>3309</v>
      </c>
      <c r="J878" s="598" t="s">
        <v>3309</v>
      </c>
      <c r="K878" s="598" t="s">
        <v>321</v>
      </c>
      <c r="L878" s="598" t="s">
        <v>321</v>
      </c>
      <c r="M878" s="598" t="s">
        <v>3309</v>
      </c>
      <c r="N878" s="598" t="s">
        <v>3309</v>
      </c>
      <c r="O878" s="598" t="s">
        <v>3309</v>
      </c>
      <c r="P878" s="598" t="s">
        <v>3309</v>
      </c>
      <c r="Q878" s="598" t="s">
        <v>3309</v>
      </c>
      <c r="R878" s="598" t="s">
        <v>321</v>
      </c>
      <c r="S878" s="598" t="s">
        <v>321</v>
      </c>
      <c r="T878" s="598" t="s">
        <v>3309</v>
      </c>
      <c r="U878" s="598" t="s">
        <v>3309</v>
      </c>
      <c r="V878" s="598" t="s">
        <v>3309</v>
      </c>
      <c r="W878" s="598" t="s">
        <v>3309</v>
      </c>
      <c r="X878" s="598" t="s">
        <v>3309</v>
      </c>
      <c r="Y878" s="598" t="s">
        <v>321</v>
      </c>
      <c r="Z878" s="598" t="s">
        <v>321</v>
      </c>
      <c r="AA878" s="598" t="s">
        <v>3309</v>
      </c>
      <c r="AB878" s="598" t="s">
        <v>3309</v>
      </c>
      <c r="AC878" s="598" t="s">
        <v>3309</v>
      </c>
      <c r="AD878" s="598" t="s">
        <v>3309</v>
      </c>
      <c r="AE878" s="598" t="s">
        <v>3309</v>
      </c>
      <c r="AF878" s="598" t="s">
        <v>321</v>
      </c>
      <c r="AG878" s="598" t="s">
        <v>321</v>
      </c>
      <c r="AH878" s="598" t="s">
        <v>3309</v>
      </c>
      <c r="AI878" s="598" t="s">
        <v>321</v>
      </c>
      <c r="AJ878" s="599">
        <v>21</v>
      </c>
      <c r="AK878" s="600">
        <v>21</v>
      </c>
      <c r="AL878" s="601">
        <v>0</v>
      </c>
      <c r="AM878" s="601">
        <v>0</v>
      </c>
      <c r="AN878" s="599">
        <v>21</v>
      </c>
    </row>
    <row r="879" spans="1:40" ht="16.5" customHeight="1">
      <c r="A879" s="598" t="s">
        <v>3337</v>
      </c>
      <c r="B879" s="598" t="s">
        <v>3349</v>
      </c>
      <c r="C879" s="598" t="s">
        <v>1556</v>
      </c>
      <c r="D879" s="598" t="s">
        <v>1557</v>
      </c>
      <c r="E879" s="598" t="s">
        <v>321</v>
      </c>
      <c r="F879" s="598" t="s">
        <v>3309</v>
      </c>
      <c r="G879" s="598" t="s">
        <v>3309</v>
      </c>
      <c r="H879" s="598" t="s">
        <v>3309</v>
      </c>
      <c r="I879" s="598" t="s">
        <v>3309</v>
      </c>
      <c r="J879" s="598" t="s">
        <v>3309</v>
      </c>
      <c r="K879" s="598" t="s">
        <v>321</v>
      </c>
      <c r="L879" s="598" t="s">
        <v>321</v>
      </c>
      <c r="M879" s="598" t="s">
        <v>3309</v>
      </c>
      <c r="N879" s="598" t="s">
        <v>3309</v>
      </c>
      <c r="O879" s="598" t="s">
        <v>3309</v>
      </c>
      <c r="P879" s="598" t="s">
        <v>3309</v>
      </c>
      <c r="Q879" s="598" t="s">
        <v>3309</v>
      </c>
      <c r="R879" s="598" t="s">
        <v>321</v>
      </c>
      <c r="S879" s="598" t="s">
        <v>321</v>
      </c>
      <c r="T879" s="598" t="s">
        <v>3309</v>
      </c>
      <c r="U879" s="598" t="s">
        <v>3309</v>
      </c>
      <c r="V879" s="598" t="s">
        <v>3309</v>
      </c>
      <c r="W879" s="598" t="s">
        <v>3309</v>
      </c>
      <c r="X879" s="598" t="s">
        <v>3309</v>
      </c>
      <c r="Y879" s="598" t="s">
        <v>321</v>
      </c>
      <c r="Z879" s="598" t="s">
        <v>321</v>
      </c>
      <c r="AA879" s="598" t="s">
        <v>3309</v>
      </c>
      <c r="AB879" s="598" t="s">
        <v>3309</v>
      </c>
      <c r="AC879" s="598" t="s">
        <v>3309</v>
      </c>
      <c r="AD879" s="598" t="s">
        <v>3309</v>
      </c>
      <c r="AE879" s="598" t="s">
        <v>3309</v>
      </c>
      <c r="AF879" s="598" t="s">
        <v>321</v>
      </c>
      <c r="AG879" s="598" t="s">
        <v>321</v>
      </c>
      <c r="AH879" s="598" t="s">
        <v>3309</v>
      </c>
      <c r="AI879" s="598" t="s">
        <v>321</v>
      </c>
      <c r="AJ879" s="599">
        <v>21</v>
      </c>
      <c r="AK879" s="600">
        <v>21</v>
      </c>
      <c r="AL879" s="601">
        <v>0</v>
      </c>
      <c r="AM879" s="601">
        <v>0</v>
      </c>
      <c r="AN879" s="599">
        <v>21</v>
      </c>
    </row>
    <row r="880" spans="1:40" ht="16.5" customHeight="1">
      <c r="A880" s="598" t="s">
        <v>3337</v>
      </c>
      <c r="B880" s="598" t="s">
        <v>3349</v>
      </c>
      <c r="C880" s="598" t="s">
        <v>1966</v>
      </c>
      <c r="D880" s="598" t="s">
        <v>1967</v>
      </c>
      <c r="E880" s="598" t="s">
        <v>321</v>
      </c>
      <c r="F880" s="598" t="s">
        <v>3309</v>
      </c>
      <c r="G880" s="598" t="s">
        <v>3309</v>
      </c>
      <c r="H880" s="598" t="s">
        <v>3309</v>
      </c>
      <c r="I880" s="598" t="s">
        <v>3309</v>
      </c>
      <c r="J880" s="598" t="s">
        <v>3309</v>
      </c>
      <c r="K880" s="598" t="s">
        <v>321</v>
      </c>
      <c r="L880" s="598" t="s">
        <v>321</v>
      </c>
      <c r="M880" s="598" t="s">
        <v>3309</v>
      </c>
      <c r="N880" s="598" t="s">
        <v>3309</v>
      </c>
      <c r="O880" s="598" t="s">
        <v>3309</v>
      </c>
      <c r="P880" s="598" t="s">
        <v>3309</v>
      </c>
      <c r="Q880" s="598" t="s">
        <v>3309</v>
      </c>
      <c r="R880" s="598" t="s">
        <v>321</v>
      </c>
      <c r="S880" s="598" t="s">
        <v>321</v>
      </c>
      <c r="T880" s="598" t="s">
        <v>3309</v>
      </c>
      <c r="U880" s="598" t="s">
        <v>3309</v>
      </c>
      <c r="V880" s="598" t="s">
        <v>3309</v>
      </c>
      <c r="W880" s="598" t="s">
        <v>3309</v>
      </c>
      <c r="X880" s="598" t="s">
        <v>3309</v>
      </c>
      <c r="Y880" s="598" t="s">
        <v>321</v>
      </c>
      <c r="Z880" s="598" t="s">
        <v>321</v>
      </c>
      <c r="AA880" s="598" t="s">
        <v>3309</v>
      </c>
      <c r="AB880" s="598" t="s">
        <v>3309</v>
      </c>
      <c r="AC880" s="598" t="s">
        <v>3309</v>
      </c>
      <c r="AD880" s="598" t="s">
        <v>3309</v>
      </c>
      <c r="AE880" s="598" t="s">
        <v>3309</v>
      </c>
      <c r="AF880" s="598" t="s">
        <v>321</v>
      </c>
      <c r="AG880" s="598" t="s">
        <v>321</v>
      </c>
      <c r="AH880" s="598" t="s">
        <v>3309</v>
      </c>
      <c r="AI880" s="598" t="s">
        <v>321</v>
      </c>
      <c r="AJ880" s="599">
        <v>21</v>
      </c>
      <c r="AK880" s="600">
        <v>21</v>
      </c>
      <c r="AL880" s="601">
        <v>0</v>
      </c>
      <c r="AM880" s="601">
        <v>0</v>
      </c>
      <c r="AN880" s="599">
        <v>21</v>
      </c>
    </row>
    <row r="881" spans="1:40" ht="16.5" customHeight="1">
      <c r="A881" s="598" t="s">
        <v>3337</v>
      </c>
      <c r="B881" s="598" t="s">
        <v>3349</v>
      </c>
      <c r="C881" s="598" t="s">
        <v>1135</v>
      </c>
      <c r="D881" s="598" t="s">
        <v>1136</v>
      </c>
      <c r="E881" s="598" t="s">
        <v>321</v>
      </c>
      <c r="F881" s="598" t="s">
        <v>3309</v>
      </c>
      <c r="G881" s="598" t="s">
        <v>3309</v>
      </c>
      <c r="H881" s="598" t="s">
        <v>3309</v>
      </c>
      <c r="I881" s="598" t="s">
        <v>3312</v>
      </c>
      <c r="J881" s="598" t="s">
        <v>3312</v>
      </c>
      <c r="K881" s="598" t="s">
        <v>321</v>
      </c>
      <c r="L881" s="598" t="s">
        <v>321</v>
      </c>
      <c r="M881" s="598" t="s">
        <v>3309</v>
      </c>
      <c r="N881" s="598" t="s">
        <v>3309</v>
      </c>
      <c r="O881" s="598" t="s">
        <v>3309</v>
      </c>
      <c r="P881" s="598" t="s">
        <v>3309</v>
      </c>
      <c r="Q881" s="598" t="s">
        <v>3309</v>
      </c>
      <c r="R881" s="598" t="s">
        <v>321</v>
      </c>
      <c r="S881" s="598" t="s">
        <v>321</v>
      </c>
      <c r="T881" s="598" t="s">
        <v>3309</v>
      </c>
      <c r="U881" s="598" t="s">
        <v>3309</v>
      </c>
      <c r="V881" s="598" t="s">
        <v>3309</v>
      </c>
      <c r="W881" s="598" t="s">
        <v>3309</v>
      </c>
      <c r="X881" s="598" t="s">
        <v>3309</v>
      </c>
      <c r="Y881" s="598" t="s">
        <v>321</v>
      </c>
      <c r="Z881" s="598" t="s">
        <v>321</v>
      </c>
      <c r="AA881" s="598" t="s">
        <v>3309</v>
      </c>
      <c r="AB881" s="598" t="s">
        <v>3309</v>
      </c>
      <c r="AC881" s="598" t="s">
        <v>3309</v>
      </c>
      <c r="AD881" s="598" t="s">
        <v>3309</v>
      </c>
      <c r="AE881" s="598" t="s">
        <v>3309</v>
      </c>
      <c r="AF881" s="598" t="s">
        <v>321</v>
      </c>
      <c r="AG881" s="598" t="s">
        <v>321</v>
      </c>
      <c r="AH881" s="598" t="s">
        <v>3309</v>
      </c>
      <c r="AI881" s="598" t="s">
        <v>321</v>
      </c>
      <c r="AJ881" s="599">
        <v>21</v>
      </c>
      <c r="AK881" s="600">
        <v>19</v>
      </c>
      <c r="AL881" s="602">
        <v>2</v>
      </c>
      <c r="AM881" s="601">
        <v>0</v>
      </c>
      <c r="AN881" s="599">
        <v>21</v>
      </c>
    </row>
    <row r="882" spans="1:40" ht="16.5" customHeight="1">
      <c r="A882" s="598" t="s">
        <v>3337</v>
      </c>
      <c r="B882" s="598" t="s">
        <v>3349</v>
      </c>
      <c r="C882" s="598" t="s">
        <v>1277</v>
      </c>
      <c r="D882" s="598" t="s">
        <v>690</v>
      </c>
      <c r="E882" s="598" t="s">
        <v>321</v>
      </c>
      <c r="F882" s="598" t="s">
        <v>3309</v>
      </c>
      <c r="G882" s="598" t="s">
        <v>3309</v>
      </c>
      <c r="H882" s="598" t="s">
        <v>3309</v>
      </c>
      <c r="I882" s="598" t="s">
        <v>3309</v>
      </c>
      <c r="J882" s="598" t="s">
        <v>3309</v>
      </c>
      <c r="K882" s="598" t="s">
        <v>321</v>
      </c>
      <c r="L882" s="598" t="s">
        <v>321</v>
      </c>
      <c r="M882" s="598" t="s">
        <v>3309</v>
      </c>
      <c r="N882" s="598" t="s">
        <v>3309</v>
      </c>
      <c r="O882" s="598" t="s">
        <v>3309</v>
      </c>
      <c r="P882" s="598" t="s">
        <v>3309</v>
      </c>
      <c r="Q882" s="598" t="s">
        <v>3309</v>
      </c>
      <c r="R882" s="598" t="s">
        <v>321</v>
      </c>
      <c r="S882" s="598" t="s">
        <v>321</v>
      </c>
      <c r="T882" s="598" t="s">
        <v>3309</v>
      </c>
      <c r="U882" s="598" t="s">
        <v>3309</v>
      </c>
      <c r="V882" s="598" t="s">
        <v>3309</v>
      </c>
      <c r="W882" s="598" t="s">
        <v>3309</v>
      </c>
      <c r="X882" s="598" t="s">
        <v>3309</v>
      </c>
      <c r="Y882" s="598" t="s">
        <v>321</v>
      </c>
      <c r="Z882" s="598" t="s">
        <v>321</v>
      </c>
      <c r="AA882" s="598" t="s">
        <v>3309</v>
      </c>
      <c r="AB882" s="598" t="s">
        <v>3309</v>
      </c>
      <c r="AC882" s="598" t="s">
        <v>3309</v>
      </c>
      <c r="AD882" s="598" t="s">
        <v>3309</v>
      </c>
      <c r="AE882" s="598" t="s">
        <v>3309</v>
      </c>
      <c r="AF882" s="598" t="s">
        <v>321</v>
      </c>
      <c r="AG882" s="598" t="s">
        <v>321</v>
      </c>
      <c r="AH882" s="598" t="s">
        <v>3309</v>
      </c>
      <c r="AI882" s="598" t="s">
        <v>321</v>
      </c>
      <c r="AJ882" s="599">
        <v>21</v>
      </c>
      <c r="AK882" s="600">
        <v>21</v>
      </c>
      <c r="AL882" s="601">
        <v>0</v>
      </c>
      <c r="AM882" s="601">
        <v>0</v>
      </c>
      <c r="AN882" s="599">
        <v>21</v>
      </c>
    </row>
    <row r="883" spans="1:40" ht="16.5" customHeight="1">
      <c r="A883" s="598" t="s">
        <v>3337</v>
      </c>
      <c r="B883" s="598" t="s">
        <v>3349</v>
      </c>
      <c r="C883" s="598" t="s">
        <v>1056</v>
      </c>
      <c r="D883" s="598" t="s">
        <v>1057</v>
      </c>
      <c r="E883" s="598" t="s">
        <v>321</v>
      </c>
      <c r="F883" s="598" t="s">
        <v>3309</v>
      </c>
      <c r="G883" s="598" t="s">
        <v>3309</v>
      </c>
      <c r="H883" s="598" t="s">
        <v>3309</v>
      </c>
      <c r="I883" s="598" t="s">
        <v>3309</v>
      </c>
      <c r="J883" s="598" t="s">
        <v>3309</v>
      </c>
      <c r="K883" s="598" t="s">
        <v>321</v>
      </c>
      <c r="L883" s="598" t="s">
        <v>321</v>
      </c>
      <c r="M883" s="598" t="s">
        <v>3309</v>
      </c>
      <c r="N883" s="598" t="s">
        <v>3309</v>
      </c>
      <c r="O883" s="598" t="s">
        <v>3309</v>
      </c>
      <c r="P883" s="598" t="s">
        <v>3309</v>
      </c>
      <c r="Q883" s="598" t="s">
        <v>3309</v>
      </c>
      <c r="R883" s="598" t="s">
        <v>321</v>
      </c>
      <c r="S883" s="598" t="s">
        <v>321</v>
      </c>
      <c r="T883" s="598" t="s">
        <v>3309</v>
      </c>
      <c r="U883" s="598" t="s">
        <v>3309</v>
      </c>
      <c r="V883" s="598" t="s">
        <v>3309</v>
      </c>
      <c r="W883" s="598" t="s">
        <v>3309</v>
      </c>
      <c r="X883" s="598" t="s">
        <v>3309</v>
      </c>
      <c r="Y883" s="598" t="s">
        <v>321</v>
      </c>
      <c r="Z883" s="598" t="s">
        <v>321</v>
      </c>
      <c r="AA883" s="598" t="s">
        <v>3309</v>
      </c>
      <c r="AB883" s="598" t="s">
        <v>3309</v>
      </c>
      <c r="AC883" s="598" t="s">
        <v>3309</v>
      </c>
      <c r="AD883" s="598" t="s">
        <v>3309</v>
      </c>
      <c r="AE883" s="598" t="s">
        <v>3309</v>
      </c>
      <c r="AF883" s="598" t="s">
        <v>321</v>
      </c>
      <c r="AG883" s="598" t="s">
        <v>321</v>
      </c>
      <c r="AH883" s="598" t="s">
        <v>3309</v>
      </c>
      <c r="AI883" s="598" t="s">
        <v>321</v>
      </c>
      <c r="AJ883" s="599">
        <v>21</v>
      </c>
      <c r="AK883" s="600">
        <v>21</v>
      </c>
      <c r="AL883" s="601">
        <v>0</v>
      </c>
      <c r="AM883" s="601">
        <v>0</v>
      </c>
      <c r="AN883" s="599">
        <v>21</v>
      </c>
    </row>
    <row r="884" spans="1:40" ht="16.5" customHeight="1">
      <c r="A884" s="598" t="s">
        <v>3337</v>
      </c>
      <c r="B884" s="598" t="s">
        <v>3349</v>
      </c>
      <c r="C884" s="598" t="s">
        <v>501</v>
      </c>
      <c r="D884" s="598" t="s">
        <v>502</v>
      </c>
      <c r="E884" s="598" t="s">
        <v>321</v>
      </c>
      <c r="F884" s="598" t="s">
        <v>3309</v>
      </c>
      <c r="G884" s="598" t="s">
        <v>3309</v>
      </c>
      <c r="H884" s="598" t="s">
        <v>3309</v>
      </c>
      <c r="I884" s="598" t="s">
        <v>3309</v>
      </c>
      <c r="J884" s="598" t="s">
        <v>3309</v>
      </c>
      <c r="K884" s="598" t="s">
        <v>321</v>
      </c>
      <c r="L884" s="598" t="s">
        <v>321</v>
      </c>
      <c r="M884" s="598" t="s">
        <v>3309</v>
      </c>
      <c r="N884" s="598" t="s">
        <v>3309</v>
      </c>
      <c r="O884" s="598" t="s">
        <v>3309</v>
      </c>
      <c r="P884" s="598" t="s">
        <v>3309</v>
      </c>
      <c r="Q884" s="598" t="s">
        <v>3309</v>
      </c>
      <c r="R884" s="598" t="s">
        <v>321</v>
      </c>
      <c r="S884" s="598" t="s">
        <v>321</v>
      </c>
      <c r="T884" s="598" t="s">
        <v>3309</v>
      </c>
      <c r="U884" s="598" t="s">
        <v>3309</v>
      </c>
      <c r="V884" s="598" t="s">
        <v>3309</v>
      </c>
      <c r="W884" s="598" t="s">
        <v>3309</v>
      </c>
      <c r="X884" s="598" t="s">
        <v>3312</v>
      </c>
      <c r="Y884" s="598" t="s">
        <v>321</v>
      </c>
      <c r="Z884" s="598" t="s">
        <v>321</v>
      </c>
      <c r="AA884" s="598" t="s">
        <v>3309</v>
      </c>
      <c r="AB884" s="598" t="s">
        <v>3309</v>
      </c>
      <c r="AC884" s="598" t="s">
        <v>3309</v>
      </c>
      <c r="AD884" s="598" t="s">
        <v>3309</v>
      </c>
      <c r="AE884" s="598" t="s">
        <v>3309</v>
      </c>
      <c r="AF884" s="598" t="s">
        <v>321</v>
      </c>
      <c r="AG884" s="598" t="s">
        <v>321</v>
      </c>
      <c r="AH884" s="598" t="s">
        <v>3313</v>
      </c>
      <c r="AI884" s="598" t="s">
        <v>321</v>
      </c>
      <c r="AJ884" s="599">
        <v>21</v>
      </c>
      <c r="AK884" s="600">
        <v>20</v>
      </c>
      <c r="AL884" s="602">
        <v>1</v>
      </c>
      <c r="AM884" s="601">
        <v>0</v>
      </c>
      <c r="AN884" s="599">
        <v>21</v>
      </c>
    </row>
    <row r="885" spans="1:40" ht="16.5" customHeight="1">
      <c r="A885" s="598" t="s">
        <v>3337</v>
      </c>
      <c r="B885" s="598" t="s">
        <v>3349</v>
      </c>
      <c r="C885" s="598" t="s">
        <v>2500</v>
      </c>
      <c r="D885" s="598" t="s">
        <v>2501</v>
      </c>
      <c r="E885" s="598" t="s">
        <v>321</v>
      </c>
      <c r="F885" s="598" t="s">
        <v>3309</v>
      </c>
      <c r="G885" s="598" t="s">
        <v>3309</v>
      </c>
      <c r="H885" s="598" t="s">
        <v>3309</v>
      </c>
      <c r="I885" s="598" t="s">
        <v>3309</v>
      </c>
      <c r="J885" s="598" t="s">
        <v>3309</v>
      </c>
      <c r="K885" s="598" t="s">
        <v>321</v>
      </c>
      <c r="L885" s="598" t="s">
        <v>321</v>
      </c>
      <c r="M885" s="598" t="s">
        <v>3309</v>
      </c>
      <c r="N885" s="598" t="s">
        <v>3309</v>
      </c>
      <c r="O885" s="598" t="s">
        <v>3309</v>
      </c>
      <c r="P885" s="598" t="s">
        <v>3309</v>
      </c>
      <c r="Q885" s="598" t="s">
        <v>3309</v>
      </c>
      <c r="R885" s="598" t="s">
        <v>321</v>
      </c>
      <c r="S885" s="598" t="s">
        <v>321</v>
      </c>
      <c r="T885" s="598" t="s">
        <v>3309</v>
      </c>
      <c r="U885" s="598" t="s">
        <v>3309</v>
      </c>
      <c r="V885" s="598" t="s">
        <v>3309</v>
      </c>
      <c r="W885" s="598" t="s">
        <v>3309</v>
      </c>
      <c r="X885" s="598" t="s">
        <v>3309</v>
      </c>
      <c r="Y885" s="598" t="s">
        <v>321</v>
      </c>
      <c r="Z885" s="598" t="s">
        <v>321</v>
      </c>
      <c r="AA885" s="598" t="s">
        <v>3309</v>
      </c>
      <c r="AB885" s="598" t="s">
        <v>3309</v>
      </c>
      <c r="AC885" s="598" t="s">
        <v>3309</v>
      </c>
      <c r="AD885" s="598" t="s">
        <v>3309</v>
      </c>
      <c r="AE885" s="598" t="s">
        <v>3309</v>
      </c>
      <c r="AF885" s="598" t="s">
        <v>321</v>
      </c>
      <c r="AG885" s="598" t="s">
        <v>321</v>
      </c>
      <c r="AH885" s="598" t="s">
        <v>3309</v>
      </c>
      <c r="AI885" s="598" t="s">
        <v>321</v>
      </c>
      <c r="AJ885" s="599">
        <v>21</v>
      </c>
      <c r="AK885" s="600">
        <v>21</v>
      </c>
      <c r="AL885" s="601">
        <v>0</v>
      </c>
      <c r="AM885" s="601">
        <v>0</v>
      </c>
      <c r="AN885" s="599">
        <v>21</v>
      </c>
    </row>
    <row r="886" spans="1:40" ht="16.5" customHeight="1">
      <c r="A886" s="598" t="s">
        <v>3337</v>
      </c>
      <c r="B886" s="598" t="s">
        <v>3349</v>
      </c>
      <c r="C886" s="598" t="s">
        <v>2584</v>
      </c>
      <c r="D886" s="598" t="s">
        <v>2585</v>
      </c>
      <c r="E886" s="598" t="s">
        <v>321</v>
      </c>
      <c r="F886" s="598" t="s">
        <v>3309</v>
      </c>
      <c r="G886" s="598" t="s">
        <v>3309</v>
      </c>
      <c r="H886" s="598" t="s">
        <v>3309</v>
      </c>
      <c r="I886" s="598" t="s">
        <v>3309</v>
      </c>
      <c r="J886" s="598" t="s">
        <v>3309</v>
      </c>
      <c r="K886" s="598" t="s">
        <v>321</v>
      </c>
      <c r="L886" s="598" t="s">
        <v>321</v>
      </c>
      <c r="M886" s="598" t="s">
        <v>3309</v>
      </c>
      <c r="N886" s="598" t="s">
        <v>3309</v>
      </c>
      <c r="O886" s="598" t="s">
        <v>3309</v>
      </c>
      <c r="P886" s="598" t="s">
        <v>3309</v>
      </c>
      <c r="Q886" s="598" t="s">
        <v>3309</v>
      </c>
      <c r="R886" s="598" t="s">
        <v>321</v>
      </c>
      <c r="S886" s="598" t="s">
        <v>321</v>
      </c>
      <c r="T886" s="598" t="s">
        <v>3309</v>
      </c>
      <c r="U886" s="598" t="s">
        <v>3309</v>
      </c>
      <c r="V886" s="598" t="s">
        <v>3309</v>
      </c>
      <c r="W886" s="598" t="s">
        <v>3309</v>
      </c>
      <c r="X886" s="598" t="s">
        <v>3312</v>
      </c>
      <c r="Y886" s="598" t="s">
        <v>321</v>
      </c>
      <c r="Z886" s="598" t="s">
        <v>321</v>
      </c>
      <c r="AA886" s="598" t="s">
        <v>3309</v>
      </c>
      <c r="AB886" s="598" t="s">
        <v>3309</v>
      </c>
      <c r="AC886" s="598" t="s">
        <v>3309</v>
      </c>
      <c r="AD886" s="598" t="s">
        <v>3309</v>
      </c>
      <c r="AE886" s="598" t="s">
        <v>3309</v>
      </c>
      <c r="AF886" s="598" t="s">
        <v>321</v>
      </c>
      <c r="AG886" s="598" t="s">
        <v>321</v>
      </c>
      <c r="AH886" s="598" t="s">
        <v>3309</v>
      </c>
      <c r="AI886" s="598" t="s">
        <v>321</v>
      </c>
      <c r="AJ886" s="599">
        <v>21</v>
      </c>
      <c r="AK886" s="600">
        <v>20</v>
      </c>
      <c r="AL886" s="602">
        <v>1</v>
      </c>
      <c r="AM886" s="601">
        <v>0</v>
      </c>
      <c r="AN886" s="599">
        <v>21</v>
      </c>
    </row>
    <row r="887" spans="1:40" ht="16.5" customHeight="1">
      <c r="A887" s="598" t="s">
        <v>3337</v>
      </c>
      <c r="B887" s="598" t="s">
        <v>3349</v>
      </c>
      <c r="C887" s="598" t="s">
        <v>1919</v>
      </c>
      <c r="D887" s="598" t="s">
        <v>1920</v>
      </c>
      <c r="E887" s="598" t="s">
        <v>321</v>
      </c>
      <c r="F887" s="598" t="s">
        <v>3309</v>
      </c>
      <c r="G887" s="598" t="s">
        <v>3309</v>
      </c>
      <c r="H887" s="598" t="s">
        <v>3309</v>
      </c>
      <c r="I887" s="598" t="s">
        <v>3309</v>
      </c>
      <c r="J887" s="598" t="s">
        <v>3309</v>
      </c>
      <c r="K887" s="598" t="s">
        <v>321</v>
      </c>
      <c r="L887" s="598" t="s">
        <v>321</v>
      </c>
      <c r="M887" s="598" t="s">
        <v>3309</v>
      </c>
      <c r="N887" s="598" t="s">
        <v>3309</v>
      </c>
      <c r="O887" s="598" t="s">
        <v>3309</v>
      </c>
      <c r="P887" s="598" t="s">
        <v>3309</v>
      </c>
      <c r="Q887" s="598" t="s">
        <v>3309</v>
      </c>
      <c r="R887" s="598" t="s">
        <v>321</v>
      </c>
      <c r="S887" s="598" t="s">
        <v>321</v>
      </c>
      <c r="T887" s="598" t="s">
        <v>3309</v>
      </c>
      <c r="U887" s="598" t="s">
        <v>3309</v>
      </c>
      <c r="V887" s="598" t="s">
        <v>3309</v>
      </c>
      <c r="W887" s="598" t="s">
        <v>3309</v>
      </c>
      <c r="X887" s="598" t="s">
        <v>3309</v>
      </c>
      <c r="Y887" s="598" t="s">
        <v>321</v>
      </c>
      <c r="Z887" s="598" t="s">
        <v>321</v>
      </c>
      <c r="AA887" s="598" t="s">
        <v>3309</v>
      </c>
      <c r="AB887" s="598" t="s">
        <v>3309</v>
      </c>
      <c r="AC887" s="598" t="s">
        <v>3309</v>
      </c>
      <c r="AD887" s="598" t="s">
        <v>3309</v>
      </c>
      <c r="AE887" s="598" t="s">
        <v>3309</v>
      </c>
      <c r="AF887" s="598" t="s">
        <v>321</v>
      </c>
      <c r="AG887" s="598" t="s">
        <v>321</v>
      </c>
      <c r="AH887" s="598" t="s">
        <v>3309</v>
      </c>
      <c r="AI887" s="598" t="s">
        <v>321</v>
      </c>
      <c r="AJ887" s="599">
        <v>21</v>
      </c>
      <c r="AK887" s="600">
        <v>21</v>
      </c>
      <c r="AL887" s="601">
        <v>0</v>
      </c>
      <c r="AM887" s="601">
        <v>0</v>
      </c>
      <c r="AN887" s="599">
        <v>21</v>
      </c>
    </row>
    <row r="888" spans="1:40" ht="16.5" customHeight="1">
      <c r="A888" s="598" t="s">
        <v>3337</v>
      </c>
      <c r="B888" s="598" t="s">
        <v>3349</v>
      </c>
      <c r="C888" s="598" t="s">
        <v>2092</v>
      </c>
      <c r="D888" s="598" t="s">
        <v>2093</v>
      </c>
      <c r="E888" s="598" t="s">
        <v>321</v>
      </c>
      <c r="F888" s="598" t="s">
        <v>3309</v>
      </c>
      <c r="G888" s="598" t="s">
        <v>3309</v>
      </c>
      <c r="H888" s="598" t="s">
        <v>3309</v>
      </c>
      <c r="I888" s="598" t="s">
        <v>3309</v>
      </c>
      <c r="J888" s="598" t="s">
        <v>3309</v>
      </c>
      <c r="K888" s="598" t="s">
        <v>321</v>
      </c>
      <c r="L888" s="598" t="s">
        <v>321</v>
      </c>
      <c r="M888" s="598" t="s">
        <v>3309</v>
      </c>
      <c r="N888" s="598" t="s">
        <v>3309</v>
      </c>
      <c r="O888" s="598" t="s">
        <v>3309</v>
      </c>
      <c r="P888" s="598" t="s">
        <v>3309</v>
      </c>
      <c r="Q888" s="598" t="s">
        <v>3309</v>
      </c>
      <c r="R888" s="598" t="s">
        <v>321</v>
      </c>
      <c r="S888" s="598" t="s">
        <v>321</v>
      </c>
      <c r="T888" s="598" t="s">
        <v>3309</v>
      </c>
      <c r="U888" s="598" t="s">
        <v>3309</v>
      </c>
      <c r="V888" s="598" t="s">
        <v>3309</v>
      </c>
      <c r="W888" s="598" t="s">
        <v>3309</v>
      </c>
      <c r="X888" s="598" t="s">
        <v>3309</v>
      </c>
      <c r="Y888" s="598" t="s">
        <v>321</v>
      </c>
      <c r="Z888" s="598" t="s">
        <v>321</v>
      </c>
      <c r="AA888" s="598" t="s">
        <v>3309</v>
      </c>
      <c r="AB888" s="598" t="s">
        <v>3309</v>
      </c>
      <c r="AC888" s="598" t="s">
        <v>3309</v>
      </c>
      <c r="AD888" s="598" t="s">
        <v>3309</v>
      </c>
      <c r="AE888" s="598" t="s">
        <v>3309</v>
      </c>
      <c r="AF888" s="598" t="s">
        <v>321</v>
      </c>
      <c r="AG888" s="598" t="s">
        <v>321</v>
      </c>
      <c r="AH888" s="598" t="s">
        <v>3309</v>
      </c>
      <c r="AI888" s="598" t="s">
        <v>321</v>
      </c>
      <c r="AJ888" s="599">
        <v>21</v>
      </c>
      <c r="AK888" s="600">
        <v>21</v>
      </c>
      <c r="AL888" s="601">
        <v>0</v>
      </c>
      <c r="AM888" s="601">
        <v>0</v>
      </c>
      <c r="AN888" s="599">
        <v>21</v>
      </c>
    </row>
    <row r="889" spans="1:40" ht="16.5" customHeight="1">
      <c r="A889" s="598" t="s">
        <v>3337</v>
      </c>
      <c r="B889" s="598" t="s">
        <v>3349</v>
      </c>
      <c r="C889" s="598" t="s">
        <v>2008</v>
      </c>
      <c r="D889" s="598" t="s">
        <v>2009</v>
      </c>
      <c r="E889" s="598" t="s">
        <v>321</v>
      </c>
      <c r="F889" s="598" t="s">
        <v>3309</v>
      </c>
      <c r="G889" s="598" t="s">
        <v>3309</v>
      </c>
      <c r="H889" s="598" t="s">
        <v>3309</v>
      </c>
      <c r="I889" s="598" t="s">
        <v>3309</v>
      </c>
      <c r="J889" s="598" t="s">
        <v>3309</v>
      </c>
      <c r="K889" s="598" t="s">
        <v>321</v>
      </c>
      <c r="L889" s="598" t="s">
        <v>321</v>
      </c>
      <c r="M889" s="598" t="s">
        <v>3309</v>
      </c>
      <c r="N889" s="598" t="s">
        <v>3309</v>
      </c>
      <c r="O889" s="598" t="s">
        <v>3309</v>
      </c>
      <c r="P889" s="598" t="s">
        <v>3309</v>
      </c>
      <c r="Q889" s="598" t="s">
        <v>3309</v>
      </c>
      <c r="R889" s="598" t="s">
        <v>321</v>
      </c>
      <c r="S889" s="598" t="s">
        <v>321</v>
      </c>
      <c r="T889" s="598" t="s">
        <v>3309</v>
      </c>
      <c r="U889" s="598" t="s">
        <v>3309</v>
      </c>
      <c r="V889" s="598" t="s">
        <v>3309</v>
      </c>
      <c r="W889" s="598" t="s">
        <v>3309</v>
      </c>
      <c r="X889" s="598" t="s">
        <v>3309</v>
      </c>
      <c r="Y889" s="598" t="s">
        <v>321</v>
      </c>
      <c r="Z889" s="598" t="s">
        <v>321</v>
      </c>
      <c r="AA889" s="598" t="s">
        <v>3309</v>
      </c>
      <c r="AB889" s="598" t="s">
        <v>3309</v>
      </c>
      <c r="AC889" s="598" t="s">
        <v>3309</v>
      </c>
      <c r="AD889" s="598" t="s">
        <v>3309</v>
      </c>
      <c r="AE889" s="598" t="s">
        <v>3309</v>
      </c>
      <c r="AF889" s="598" t="s">
        <v>321</v>
      </c>
      <c r="AG889" s="598" t="s">
        <v>321</v>
      </c>
      <c r="AH889" s="598" t="s">
        <v>3309</v>
      </c>
      <c r="AI889" s="598" t="s">
        <v>321</v>
      </c>
      <c r="AJ889" s="599">
        <v>21</v>
      </c>
      <c r="AK889" s="600">
        <v>21</v>
      </c>
      <c r="AL889" s="601">
        <v>0</v>
      </c>
      <c r="AM889" s="601">
        <v>0</v>
      </c>
      <c r="AN889" s="599">
        <v>21</v>
      </c>
    </row>
    <row r="890" spans="1:40" ht="16.5" customHeight="1">
      <c r="A890" s="598" t="s">
        <v>3337</v>
      </c>
      <c r="B890" s="598" t="s">
        <v>3349</v>
      </c>
      <c r="C890" s="598" t="s">
        <v>2844</v>
      </c>
      <c r="D890" s="598" t="s">
        <v>2845</v>
      </c>
      <c r="E890" s="598" t="s">
        <v>321</v>
      </c>
      <c r="F890" s="598" t="s">
        <v>3309</v>
      </c>
      <c r="G890" s="598" t="s">
        <v>3309</v>
      </c>
      <c r="H890" s="598" t="s">
        <v>3309</v>
      </c>
      <c r="I890" s="598" t="s">
        <v>3309</v>
      </c>
      <c r="J890" s="598" t="s">
        <v>3309</v>
      </c>
      <c r="K890" s="598" t="s">
        <v>321</v>
      </c>
      <c r="L890" s="598" t="s">
        <v>321</v>
      </c>
      <c r="M890" s="598" t="s">
        <v>3309</v>
      </c>
      <c r="N890" s="598" t="s">
        <v>3309</v>
      </c>
      <c r="O890" s="598" t="s">
        <v>3309</v>
      </c>
      <c r="P890" s="598" t="s">
        <v>3309</v>
      </c>
      <c r="Q890" s="598" t="s">
        <v>3309</v>
      </c>
      <c r="R890" s="598" t="s">
        <v>321</v>
      </c>
      <c r="S890" s="598" t="s">
        <v>321</v>
      </c>
      <c r="T890" s="598" t="s">
        <v>3309</v>
      </c>
      <c r="U890" s="598" t="s">
        <v>3309</v>
      </c>
      <c r="V890" s="598" t="s">
        <v>3309</v>
      </c>
      <c r="W890" s="598" t="s">
        <v>3309</v>
      </c>
      <c r="X890" s="598" t="s">
        <v>3309</v>
      </c>
      <c r="Y890" s="598" t="s">
        <v>321</v>
      </c>
      <c r="Z890" s="598" t="s">
        <v>321</v>
      </c>
      <c r="AA890" s="598" t="s">
        <v>3309</v>
      </c>
      <c r="AB890" s="598" t="s">
        <v>3309</v>
      </c>
      <c r="AC890" s="598" t="s">
        <v>3309</v>
      </c>
      <c r="AD890" s="598" t="s">
        <v>3309</v>
      </c>
      <c r="AE890" s="598" t="s">
        <v>3309</v>
      </c>
      <c r="AF890" s="598" t="s">
        <v>321</v>
      </c>
      <c r="AG890" s="598" t="s">
        <v>321</v>
      </c>
      <c r="AH890" s="598" t="s">
        <v>3309</v>
      </c>
      <c r="AI890" s="598" t="s">
        <v>321</v>
      </c>
      <c r="AJ890" s="599">
        <v>21</v>
      </c>
      <c r="AK890" s="600">
        <v>21</v>
      </c>
      <c r="AL890" s="601">
        <v>0</v>
      </c>
      <c r="AM890" s="601">
        <v>0</v>
      </c>
      <c r="AN890" s="599">
        <v>21</v>
      </c>
    </row>
    <row r="891" spans="1:40" ht="16.5" customHeight="1">
      <c r="A891" s="598" t="s">
        <v>3337</v>
      </c>
      <c r="B891" s="598" t="s">
        <v>3349</v>
      </c>
      <c r="C891" s="598" t="s">
        <v>1715</v>
      </c>
      <c r="D891" s="598" t="s">
        <v>1716</v>
      </c>
      <c r="E891" s="598" t="s">
        <v>321</v>
      </c>
      <c r="F891" s="598" t="s">
        <v>3309</v>
      </c>
      <c r="G891" s="598" t="s">
        <v>3309</v>
      </c>
      <c r="H891" s="598" t="s">
        <v>3309</v>
      </c>
      <c r="I891" s="598" t="s">
        <v>3309</v>
      </c>
      <c r="J891" s="598" t="s">
        <v>3309</v>
      </c>
      <c r="K891" s="598" t="s">
        <v>321</v>
      </c>
      <c r="L891" s="598" t="s">
        <v>321</v>
      </c>
      <c r="M891" s="598" t="s">
        <v>3309</v>
      </c>
      <c r="N891" s="598" t="s">
        <v>3309</v>
      </c>
      <c r="O891" s="598" t="s">
        <v>3309</v>
      </c>
      <c r="P891" s="598" t="s">
        <v>3309</v>
      </c>
      <c r="Q891" s="598" t="s">
        <v>3309</v>
      </c>
      <c r="R891" s="598" t="s">
        <v>321</v>
      </c>
      <c r="S891" s="598" t="s">
        <v>321</v>
      </c>
      <c r="T891" s="598" t="s">
        <v>3309</v>
      </c>
      <c r="U891" s="598" t="s">
        <v>3309</v>
      </c>
      <c r="V891" s="598" t="s">
        <v>3309</v>
      </c>
      <c r="W891" s="598" t="s">
        <v>3309</v>
      </c>
      <c r="X891" s="598" t="s">
        <v>3309</v>
      </c>
      <c r="Y891" s="598" t="s">
        <v>321</v>
      </c>
      <c r="Z891" s="598" t="s">
        <v>321</v>
      </c>
      <c r="AA891" s="598" t="s">
        <v>3309</v>
      </c>
      <c r="AB891" s="598" t="s">
        <v>3309</v>
      </c>
      <c r="AC891" s="598" t="s">
        <v>3309</v>
      </c>
      <c r="AD891" s="598" t="s">
        <v>3309</v>
      </c>
      <c r="AE891" s="598" t="s">
        <v>3309</v>
      </c>
      <c r="AF891" s="598" t="s">
        <v>321</v>
      </c>
      <c r="AG891" s="598" t="s">
        <v>321</v>
      </c>
      <c r="AH891" s="598" t="s">
        <v>3309</v>
      </c>
      <c r="AI891" s="598" t="s">
        <v>321</v>
      </c>
      <c r="AJ891" s="599">
        <v>21</v>
      </c>
      <c r="AK891" s="600">
        <v>21</v>
      </c>
      <c r="AL891" s="601">
        <v>0</v>
      </c>
      <c r="AM891" s="601">
        <v>0</v>
      </c>
      <c r="AN891" s="599">
        <v>21</v>
      </c>
    </row>
    <row r="892" spans="1:40" ht="16.5" customHeight="1">
      <c r="A892" s="598" t="s">
        <v>3337</v>
      </c>
      <c r="B892" s="598" t="s">
        <v>3349</v>
      </c>
      <c r="C892" s="598" t="s">
        <v>2146</v>
      </c>
      <c r="D892" s="598" t="s">
        <v>2147</v>
      </c>
      <c r="E892" s="598" t="s">
        <v>321</v>
      </c>
      <c r="F892" s="598" t="s">
        <v>3309</v>
      </c>
      <c r="G892" s="598" t="s">
        <v>3309</v>
      </c>
      <c r="H892" s="598" t="s">
        <v>3309</v>
      </c>
      <c r="I892" s="598" t="s">
        <v>3309</v>
      </c>
      <c r="J892" s="598" t="s">
        <v>3309</v>
      </c>
      <c r="K892" s="598" t="s">
        <v>321</v>
      </c>
      <c r="L892" s="598" t="s">
        <v>321</v>
      </c>
      <c r="M892" s="598" t="s">
        <v>3309</v>
      </c>
      <c r="N892" s="598" t="s">
        <v>3309</v>
      </c>
      <c r="O892" s="598" t="s">
        <v>3309</v>
      </c>
      <c r="P892" s="598" t="s">
        <v>3309</v>
      </c>
      <c r="Q892" s="598" t="s">
        <v>3309</v>
      </c>
      <c r="R892" s="598" t="s">
        <v>321</v>
      </c>
      <c r="S892" s="598" t="s">
        <v>321</v>
      </c>
      <c r="T892" s="598" t="s">
        <v>3309</v>
      </c>
      <c r="U892" s="598" t="s">
        <v>3309</v>
      </c>
      <c r="V892" s="598" t="s">
        <v>3309</v>
      </c>
      <c r="W892" s="598" t="s">
        <v>3309</v>
      </c>
      <c r="X892" s="598" t="s">
        <v>3309</v>
      </c>
      <c r="Y892" s="598" t="s">
        <v>321</v>
      </c>
      <c r="Z892" s="598" t="s">
        <v>321</v>
      </c>
      <c r="AA892" s="598" t="s">
        <v>3309</v>
      </c>
      <c r="AB892" s="598" t="s">
        <v>3309</v>
      </c>
      <c r="AC892" s="598" t="s">
        <v>3309</v>
      </c>
      <c r="AD892" s="598" t="s">
        <v>3309</v>
      </c>
      <c r="AE892" s="598" t="s">
        <v>3309</v>
      </c>
      <c r="AF892" s="598" t="s">
        <v>321</v>
      </c>
      <c r="AG892" s="598" t="s">
        <v>321</v>
      </c>
      <c r="AH892" s="598" t="s">
        <v>3309</v>
      </c>
      <c r="AI892" s="598" t="s">
        <v>321</v>
      </c>
      <c r="AJ892" s="599">
        <v>21</v>
      </c>
      <c r="AK892" s="600">
        <v>21</v>
      </c>
      <c r="AL892" s="601">
        <v>0</v>
      </c>
      <c r="AM892" s="601">
        <v>0</v>
      </c>
      <c r="AN892" s="599">
        <v>21</v>
      </c>
    </row>
    <row r="893" spans="1:40" ht="16.5" customHeight="1">
      <c r="A893" s="598" t="s">
        <v>3337</v>
      </c>
      <c r="B893" s="598" t="s">
        <v>3349</v>
      </c>
      <c r="C893" s="598" t="s">
        <v>2491</v>
      </c>
      <c r="D893" s="598" t="s">
        <v>2492</v>
      </c>
      <c r="E893" s="598" t="s">
        <v>321</v>
      </c>
      <c r="F893" s="598" t="s">
        <v>3309</v>
      </c>
      <c r="G893" s="598" t="s">
        <v>3309</v>
      </c>
      <c r="H893" s="598" t="s">
        <v>3309</v>
      </c>
      <c r="I893" s="598" t="s">
        <v>3309</v>
      </c>
      <c r="J893" s="598" t="s">
        <v>3309</v>
      </c>
      <c r="K893" s="598" t="s">
        <v>321</v>
      </c>
      <c r="L893" s="598" t="s">
        <v>321</v>
      </c>
      <c r="M893" s="598" t="s">
        <v>3309</v>
      </c>
      <c r="N893" s="598" t="s">
        <v>3309</v>
      </c>
      <c r="O893" s="598" t="s">
        <v>3309</v>
      </c>
      <c r="P893" s="598" t="s">
        <v>3309</v>
      </c>
      <c r="Q893" s="598" t="s">
        <v>3309</v>
      </c>
      <c r="R893" s="598" t="s">
        <v>321</v>
      </c>
      <c r="S893" s="598" t="s">
        <v>321</v>
      </c>
      <c r="T893" s="598" t="s">
        <v>3309</v>
      </c>
      <c r="U893" s="598" t="s">
        <v>3309</v>
      </c>
      <c r="V893" s="598" t="s">
        <v>3309</v>
      </c>
      <c r="W893" s="598" t="s">
        <v>3309</v>
      </c>
      <c r="X893" s="598" t="s">
        <v>3309</v>
      </c>
      <c r="Y893" s="598" t="s">
        <v>321</v>
      </c>
      <c r="Z893" s="598" t="s">
        <v>321</v>
      </c>
      <c r="AA893" s="598" t="s">
        <v>3312</v>
      </c>
      <c r="AB893" s="598" t="s">
        <v>3309</v>
      </c>
      <c r="AC893" s="598" t="s">
        <v>3309</v>
      </c>
      <c r="AD893" s="598" t="s">
        <v>3309</v>
      </c>
      <c r="AE893" s="598" t="s">
        <v>3309</v>
      </c>
      <c r="AF893" s="598" t="s">
        <v>321</v>
      </c>
      <c r="AG893" s="598" t="s">
        <v>321</v>
      </c>
      <c r="AH893" s="598" t="s">
        <v>3309</v>
      </c>
      <c r="AI893" s="598" t="s">
        <v>321</v>
      </c>
      <c r="AJ893" s="599">
        <v>21</v>
      </c>
      <c r="AK893" s="600">
        <v>20</v>
      </c>
      <c r="AL893" s="602">
        <v>1</v>
      </c>
      <c r="AM893" s="601">
        <v>0</v>
      </c>
      <c r="AN893" s="599">
        <v>21</v>
      </c>
    </row>
    <row r="894" spans="1:40" ht="16.5" customHeight="1">
      <c r="A894" s="598" t="s">
        <v>3337</v>
      </c>
      <c r="B894" s="598" t="s">
        <v>3349</v>
      </c>
      <c r="C894" s="598" t="s">
        <v>1674</v>
      </c>
      <c r="D894" s="598" t="s">
        <v>1675</v>
      </c>
      <c r="E894" s="598" t="s">
        <v>321</v>
      </c>
      <c r="F894" s="598" t="s">
        <v>3309</v>
      </c>
      <c r="G894" s="598" t="s">
        <v>3309</v>
      </c>
      <c r="H894" s="598" t="s">
        <v>3309</v>
      </c>
      <c r="I894" s="598" t="s">
        <v>3309</v>
      </c>
      <c r="J894" s="598" t="s">
        <v>3309</v>
      </c>
      <c r="K894" s="598" t="s">
        <v>321</v>
      </c>
      <c r="L894" s="598" t="s">
        <v>321</v>
      </c>
      <c r="M894" s="598" t="s">
        <v>3309</v>
      </c>
      <c r="N894" s="598" t="s">
        <v>3314</v>
      </c>
      <c r="O894" s="598" t="s">
        <v>3309</v>
      </c>
      <c r="P894" s="598" t="s">
        <v>3309</v>
      </c>
      <c r="Q894" s="598" t="s">
        <v>3314</v>
      </c>
      <c r="R894" s="598" t="s">
        <v>321</v>
      </c>
      <c r="S894" s="598" t="s">
        <v>321</v>
      </c>
      <c r="T894" s="598" t="s">
        <v>3309</v>
      </c>
      <c r="U894" s="598" t="s">
        <v>3309</v>
      </c>
      <c r="V894" s="598" t="s">
        <v>3309</v>
      </c>
      <c r="W894" s="598" t="s">
        <v>3309</v>
      </c>
      <c r="X894" s="598" t="s">
        <v>3309</v>
      </c>
      <c r="Y894" s="598" t="s">
        <v>321</v>
      </c>
      <c r="Z894" s="598" t="s">
        <v>321</v>
      </c>
      <c r="AA894" s="598" t="s">
        <v>3309</v>
      </c>
      <c r="AB894" s="598" t="s">
        <v>3309</v>
      </c>
      <c r="AC894" s="598" t="s">
        <v>3309</v>
      </c>
      <c r="AD894" s="598" t="s">
        <v>3309</v>
      </c>
      <c r="AE894" s="598" t="s">
        <v>3309</v>
      </c>
      <c r="AF894" s="598" t="s">
        <v>321</v>
      </c>
      <c r="AG894" s="598" t="s">
        <v>321</v>
      </c>
      <c r="AH894" s="598" t="s">
        <v>3309</v>
      </c>
      <c r="AI894" s="598" t="s">
        <v>321</v>
      </c>
      <c r="AJ894" s="599">
        <v>21</v>
      </c>
      <c r="AK894" s="600">
        <v>20</v>
      </c>
      <c r="AL894" s="602">
        <v>1</v>
      </c>
      <c r="AM894" s="601">
        <v>0</v>
      </c>
      <c r="AN894" s="599">
        <v>21</v>
      </c>
    </row>
    <row r="895" spans="1:40" ht="16.5" customHeight="1">
      <c r="A895" s="598" t="s">
        <v>3337</v>
      </c>
      <c r="B895" s="598" t="s">
        <v>3349</v>
      </c>
      <c r="C895" s="598" t="s">
        <v>1033</v>
      </c>
      <c r="D895" s="598" t="s">
        <v>1034</v>
      </c>
      <c r="E895" s="598" t="s">
        <v>321</v>
      </c>
      <c r="F895" s="598" t="s">
        <v>3309</v>
      </c>
      <c r="G895" s="598" t="s">
        <v>3309</v>
      </c>
      <c r="H895" s="598" t="s">
        <v>3309</v>
      </c>
      <c r="I895" s="598" t="s">
        <v>3309</v>
      </c>
      <c r="J895" s="598" t="s">
        <v>3309</v>
      </c>
      <c r="K895" s="598" t="s">
        <v>321</v>
      </c>
      <c r="L895" s="598" t="s">
        <v>321</v>
      </c>
      <c r="M895" s="598" t="s">
        <v>3309</v>
      </c>
      <c r="N895" s="598" t="s">
        <v>3309</v>
      </c>
      <c r="O895" s="598" t="s">
        <v>3309</v>
      </c>
      <c r="P895" s="598" t="s">
        <v>3309</v>
      </c>
      <c r="Q895" s="598" t="s">
        <v>3309</v>
      </c>
      <c r="R895" s="598" t="s">
        <v>321</v>
      </c>
      <c r="S895" s="598" t="s">
        <v>321</v>
      </c>
      <c r="T895" s="598" t="s">
        <v>3309</v>
      </c>
      <c r="U895" s="598" t="s">
        <v>3309</v>
      </c>
      <c r="V895" s="598" t="s">
        <v>3309</v>
      </c>
      <c r="W895" s="598" t="s">
        <v>3309</v>
      </c>
      <c r="X895" s="598" t="s">
        <v>3312</v>
      </c>
      <c r="Y895" s="598" t="s">
        <v>321</v>
      </c>
      <c r="Z895" s="598" t="s">
        <v>321</v>
      </c>
      <c r="AA895" s="598" t="s">
        <v>3309</v>
      </c>
      <c r="AB895" s="598" t="s">
        <v>3309</v>
      </c>
      <c r="AC895" s="598" t="s">
        <v>3309</v>
      </c>
      <c r="AD895" s="598" t="s">
        <v>3314</v>
      </c>
      <c r="AE895" s="598" t="s">
        <v>3309</v>
      </c>
      <c r="AF895" s="598" t="s">
        <v>321</v>
      </c>
      <c r="AG895" s="598" t="s">
        <v>321</v>
      </c>
      <c r="AH895" s="598" t="s">
        <v>3309</v>
      </c>
      <c r="AI895" s="598" t="s">
        <v>321</v>
      </c>
      <c r="AJ895" s="599">
        <v>21</v>
      </c>
      <c r="AK895" s="603">
        <v>19.5</v>
      </c>
      <c r="AL895" s="603">
        <v>1.5</v>
      </c>
      <c r="AM895" s="601">
        <v>0</v>
      </c>
      <c r="AN895" s="599">
        <v>21</v>
      </c>
    </row>
    <row r="896" spans="1:40" ht="16.5" customHeight="1">
      <c r="A896" s="598" t="s">
        <v>3337</v>
      </c>
      <c r="B896" s="598" t="s">
        <v>3349</v>
      </c>
      <c r="C896" s="598" t="s">
        <v>2834</v>
      </c>
      <c r="D896" s="598" t="s">
        <v>2835</v>
      </c>
      <c r="E896" s="598" t="s">
        <v>321</v>
      </c>
      <c r="F896" s="598" t="s">
        <v>3309</v>
      </c>
      <c r="G896" s="598" t="s">
        <v>3309</v>
      </c>
      <c r="H896" s="598" t="s">
        <v>3309</v>
      </c>
      <c r="I896" s="598" t="s">
        <v>3309</v>
      </c>
      <c r="J896" s="598" t="s">
        <v>3309</v>
      </c>
      <c r="K896" s="598" t="s">
        <v>321</v>
      </c>
      <c r="L896" s="598" t="s">
        <v>321</v>
      </c>
      <c r="M896" s="598" t="s">
        <v>3309</v>
      </c>
      <c r="N896" s="598" t="s">
        <v>3309</v>
      </c>
      <c r="O896" s="598" t="s">
        <v>3309</v>
      </c>
      <c r="P896" s="598" t="s">
        <v>3309</v>
      </c>
      <c r="Q896" s="598" t="s">
        <v>3309</v>
      </c>
      <c r="R896" s="598" t="s">
        <v>321</v>
      </c>
      <c r="S896" s="598" t="s">
        <v>321</v>
      </c>
      <c r="T896" s="598" t="s">
        <v>3309</v>
      </c>
      <c r="U896" s="598" t="s">
        <v>3309</v>
      </c>
      <c r="V896" s="598" t="s">
        <v>3309</v>
      </c>
      <c r="W896" s="598" t="s">
        <v>3309</v>
      </c>
      <c r="X896" s="598" t="s">
        <v>3309</v>
      </c>
      <c r="Y896" s="598" t="s">
        <v>321</v>
      </c>
      <c r="Z896" s="598" t="s">
        <v>321</v>
      </c>
      <c r="AA896" s="598" t="s">
        <v>3309</v>
      </c>
      <c r="AB896" s="598" t="s">
        <v>3309</v>
      </c>
      <c r="AC896" s="598" t="s">
        <v>3309</v>
      </c>
      <c r="AD896" s="598" t="s">
        <v>3309</v>
      </c>
      <c r="AE896" s="598" t="s">
        <v>3309</v>
      </c>
      <c r="AF896" s="598" t="s">
        <v>321</v>
      </c>
      <c r="AG896" s="598" t="s">
        <v>321</v>
      </c>
      <c r="AH896" s="598" t="s">
        <v>3309</v>
      </c>
      <c r="AI896" s="598" t="s">
        <v>321</v>
      </c>
      <c r="AJ896" s="599">
        <v>21</v>
      </c>
      <c r="AK896" s="600">
        <v>21</v>
      </c>
      <c r="AL896" s="601">
        <v>0</v>
      </c>
      <c r="AM896" s="601">
        <v>0</v>
      </c>
      <c r="AN896" s="599">
        <v>21</v>
      </c>
    </row>
    <row r="897" spans="1:40" ht="16.5" customHeight="1">
      <c r="A897" s="598" t="s">
        <v>3337</v>
      </c>
      <c r="B897" s="598" t="s">
        <v>3349</v>
      </c>
      <c r="C897" s="598" t="s">
        <v>1940</v>
      </c>
      <c r="D897" s="598" t="s">
        <v>1941</v>
      </c>
      <c r="E897" s="598" t="s">
        <v>321</v>
      </c>
      <c r="F897" s="598" t="s">
        <v>3312</v>
      </c>
      <c r="G897" s="598" t="s">
        <v>3309</v>
      </c>
      <c r="H897" s="598" t="s">
        <v>3309</v>
      </c>
      <c r="I897" s="598" t="s">
        <v>3309</v>
      </c>
      <c r="J897" s="598" t="s">
        <v>3309</v>
      </c>
      <c r="K897" s="598" t="s">
        <v>321</v>
      </c>
      <c r="L897" s="598" t="s">
        <v>321</v>
      </c>
      <c r="M897" s="598" t="s">
        <v>3314</v>
      </c>
      <c r="N897" s="598" t="s">
        <v>3309</v>
      </c>
      <c r="O897" s="598" t="s">
        <v>3309</v>
      </c>
      <c r="P897" s="598" t="s">
        <v>3309</v>
      </c>
      <c r="Q897" s="598" t="s">
        <v>3309</v>
      </c>
      <c r="R897" s="598" t="s">
        <v>321</v>
      </c>
      <c r="S897" s="598" t="s">
        <v>321</v>
      </c>
      <c r="T897" s="598" t="s">
        <v>3309</v>
      </c>
      <c r="U897" s="598" t="s">
        <v>3313</v>
      </c>
      <c r="V897" s="598" t="s">
        <v>3309</v>
      </c>
      <c r="W897" s="598" t="s">
        <v>3309</v>
      </c>
      <c r="X897" s="598" t="s">
        <v>3309</v>
      </c>
      <c r="Y897" s="598" t="s">
        <v>321</v>
      </c>
      <c r="Z897" s="598" t="s">
        <v>321</v>
      </c>
      <c r="AA897" s="598" t="s">
        <v>3309</v>
      </c>
      <c r="AB897" s="598" t="s">
        <v>3309</v>
      </c>
      <c r="AC897" s="598" t="s">
        <v>3309</v>
      </c>
      <c r="AD897" s="598" t="s">
        <v>3309</v>
      </c>
      <c r="AE897" s="598" t="s">
        <v>3309</v>
      </c>
      <c r="AF897" s="598" t="s">
        <v>321</v>
      </c>
      <c r="AG897" s="598" t="s">
        <v>321</v>
      </c>
      <c r="AH897" s="598" t="s">
        <v>3309</v>
      </c>
      <c r="AI897" s="598" t="s">
        <v>321</v>
      </c>
      <c r="AJ897" s="599">
        <v>21</v>
      </c>
      <c r="AK897" s="603">
        <v>19.5</v>
      </c>
      <c r="AL897" s="603">
        <v>1.5</v>
      </c>
      <c r="AM897" s="601">
        <v>0</v>
      </c>
      <c r="AN897" s="599">
        <v>21</v>
      </c>
    </row>
    <row r="898" spans="1:40" ht="16.5" customHeight="1">
      <c r="A898" s="598" t="s">
        <v>3337</v>
      </c>
      <c r="B898" s="598" t="s">
        <v>3349</v>
      </c>
      <c r="C898" s="598" t="s">
        <v>1814</v>
      </c>
      <c r="D898" s="598" t="s">
        <v>1815</v>
      </c>
      <c r="E898" s="598" t="s">
        <v>321</v>
      </c>
      <c r="F898" s="598" t="s">
        <v>3309</v>
      </c>
      <c r="G898" s="598" t="s">
        <v>3309</v>
      </c>
      <c r="H898" s="598" t="s">
        <v>3309</v>
      </c>
      <c r="I898" s="598" t="s">
        <v>3309</v>
      </c>
      <c r="J898" s="598" t="s">
        <v>3309</v>
      </c>
      <c r="K898" s="598" t="s">
        <v>321</v>
      </c>
      <c r="L898" s="598" t="s">
        <v>321</v>
      </c>
      <c r="M898" s="598" t="s">
        <v>3309</v>
      </c>
      <c r="N898" s="598" t="s">
        <v>3309</v>
      </c>
      <c r="O898" s="598" t="s">
        <v>3309</v>
      </c>
      <c r="P898" s="598" t="s">
        <v>3309</v>
      </c>
      <c r="Q898" s="598" t="s">
        <v>3309</v>
      </c>
      <c r="R898" s="598" t="s">
        <v>321</v>
      </c>
      <c r="S898" s="598" t="s">
        <v>321</v>
      </c>
      <c r="T898" s="598" t="s">
        <v>3309</v>
      </c>
      <c r="U898" s="598" t="s">
        <v>3309</v>
      </c>
      <c r="V898" s="598" t="s">
        <v>3309</v>
      </c>
      <c r="W898" s="598" t="s">
        <v>3309</v>
      </c>
      <c r="X898" s="598" t="s">
        <v>3312</v>
      </c>
      <c r="Y898" s="598" t="s">
        <v>321</v>
      </c>
      <c r="Z898" s="598" t="s">
        <v>321</v>
      </c>
      <c r="AA898" s="598" t="s">
        <v>3309</v>
      </c>
      <c r="AB898" s="598" t="s">
        <v>3309</v>
      </c>
      <c r="AC898" s="598" t="s">
        <v>3309</v>
      </c>
      <c r="AD898" s="598" t="s">
        <v>3309</v>
      </c>
      <c r="AE898" s="598" t="s">
        <v>3309</v>
      </c>
      <c r="AF898" s="598" t="s">
        <v>321</v>
      </c>
      <c r="AG898" s="598" t="s">
        <v>321</v>
      </c>
      <c r="AH898" s="598" t="s">
        <v>3309</v>
      </c>
      <c r="AI898" s="598" t="s">
        <v>321</v>
      </c>
      <c r="AJ898" s="599">
        <v>21</v>
      </c>
      <c r="AK898" s="600">
        <v>20</v>
      </c>
      <c r="AL898" s="602">
        <v>1</v>
      </c>
      <c r="AM898" s="601">
        <v>0</v>
      </c>
      <c r="AN898" s="599">
        <v>21</v>
      </c>
    </row>
    <row r="899" spans="1:40" ht="16.5" customHeight="1">
      <c r="A899" s="598" t="s">
        <v>3337</v>
      </c>
      <c r="B899" s="598" t="s">
        <v>3349</v>
      </c>
      <c r="C899" s="598" t="s">
        <v>2144</v>
      </c>
      <c r="D899" s="598" t="s">
        <v>2145</v>
      </c>
      <c r="E899" s="598" t="s">
        <v>321</v>
      </c>
      <c r="F899" s="598" t="s">
        <v>3309</v>
      </c>
      <c r="G899" s="598" t="s">
        <v>3309</v>
      </c>
      <c r="H899" s="598" t="s">
        <v>3309</v>
      </c>
      <c r="I899" s="598" t="s">
        <v>3309</v>
      </c>
      <c r="J899" s="598" t="s">
        <v>3309</v>
      </c>
      <c r="K899" s="598" t="s">
        <v>321</v>
      </c>
      <c r="L899" s="598" t="s">
        <v>321</v>
      </c>
      <c r="M899" s="598" t="s">
        <v>3309</v>
      </c>
      <c r="N899" s="598" t="s">
        <v>3309</v>
      </c>
      <c r="O899" s="598" t="s">
        <v>3309</v>
      </c>
      <c r="P899" s="598" t="s">
        <v>3309</v>
      </c>
      <c r="Q899" s="598" t="s">
        <v>3309</v>
      </c>
      <c r="R899" s="598" t="s">
        <v>321</v>
      </c>
      <c r="S899" s="598" t="s">
        <v>321</v>
      </c>
      <c r="T899" s="598" t="s">
        <v>3309</v>
      </c>
      <c r="U899" s="598" t="s">
        <v>3309</v>
      </c>
      <c r="V899" s="598" t="s">
        <v>3309</v>
      </c>
      <c r="W899" s="598" t="s">
        <v>3309</v>
      </c>
      <c r="X899" s="598" t="s">
        <v>3309</v>
      </c>
      <c r="Y899" s="598" t="s">
        <v>321</v>
      </c>
      <c r="Z899" s="598" t="s">
        <v>321</v>
      </c>
      <c r="AA899" s="598" t="s">
        <v>3309</v>
      </c>
      <c r="AB899" s="598" t="s">
        <v>3309</v>
      </c>
      <c r="AC899" s="598" t="s">
        <v>3309</v>
      </c>
      <c r="AD899" s="598" t="s">
        <v>3309</v>
      </c>
      <c r="AE899" s="598" t="s">
        <v>3309</v>
      </c>
      <c r="AF899" s="598" t="s">
        <v>321</v>
      </c>
      <c r="AG899" s="598" t="s">
        <v>321</v>
      </c>
      <c r="AH899" s="598" t="s">
        <v>3309</v>
      </c>
      <c r="AI899" s="598" t="s">
        <v>321</v>
      </c>
      <c r="AJ899" s="599">
        <v>21</v>
      </c>
      <c r="AK899" s="600">
        <v>21</v>
      </c>
      <c r="AL899" s="601">
        <v>0</v>
      </c>
      <c r="AM899" s="601">
        <v>0</v>
      </c>
      <c r="AN899" s="599">
        <v>21</v>
      </c>
    </row>
    <row r="900" spans="1:40" ht="16.5" customHeight="1">
      <c r="A900" s="598" t="s">
        <v>3337</v>
      </c>
      <c r="B900" s="598" t="s">
        <v>3349</v>
      </c>
      <c r="C900" s="598" t="s">
        <v>1978</v>
      </c>
      <c r="D900" s="598" t="s">
        <v>1098</v>
      </c>
      <c r="E900" s="598" t="s">
        <v>321</v>
      </c>
      <c r="F900" s="598" t="s">
        <v>3309</v>
      </c>
      <c r="G900" s="598" t="s">
        <v>3309</v>
      </c>
      <c r="H900" s="598" t="s">
        <v>3309</v>
      </c>
      <c r="I900" s="598" t="s">
        <v>3309</v>
      </c>
      <c r="J900" s="598" t="s">
        <v>3309</v>
      </c>
      <c r="K900" s="598" t="s">
        <v>321</v>
      </c>
      <c r="L900" s="598" t="s">
        <v>321</v>
      </c>
      <c r="M900" s="598" t="s">
        <v>3309</v>
      </c>
      <c r="N900" s="598" t="s">
        <v>3309</v>
      </c>
      <c r="O900" s="598" t="s">
        <v>3309</v>
      </c>
      <c r="P900" s="598" t="s">
        <v>3309</v>
      </c>
      <c r="Q900" s="598" t="s">
        <v>3309</v>
      </c>
      <c r="R900" s="598" t="s">
        <v>321</v>
      </c>
      <c r="S900" s="598" t="s">
        <v>321</v>
      </c>
      <c r="T900" s="598" t="s">
        <v>3309</v>
      </c>
      <c r="U900" s="598" t="s">
        <v>3309</v>
      </c>
      <c r="V900" s="598" t="s">
        <v>3309</v>
      </c>
      <c r="W900" s="598" t="s">
        <v>3309</v>
      </c>
      <c r="X900" s="598" t="s">
        <v>3309</v>
      </c>
      <c r="Y900" s="598" t="s">
        <v>321</v>
      </c>
      <c r="Z900" s="598" t="s">
        <v>321</v>
      </c>
      <c r="AA900" s="598" t="s">
        <v>3309</v>
      </c>
      <c r="AB900" s="598" t="s">
        <v>3309</v>
      </c>
      <c r="AC900" s="598" t="s">
        <v>3309</v>
      </c>
      <c r="AD900" s="598" t="s">
        <v>3309</v>
      </c>
      <c r="AE900" s="598" t="s">
        <v>3309</v>
      </c>
      <c r="AF900" s="598" t="s">
        <v>321</v>
      </c>
      <c r="AG900" s="598" t="s">
        <v>321</v>
      </c>
      <c r="AH900" s="598" t="s">
        <v>3309</v>
      </c>
      <c r="AI900" s="598" t="s">
        <v>321</v>
      </c>
      <c r="AJ900" s="599">
        <v>21</v>
      </c>
      <c r="AK900" s="600">
        <v>21</v>
      </c>
      <c r="AL900" s="601">
        <v>0</v>
      </c>
      <c r="AM900" s="601">
        <v>0</v>
      </c>
      <c r="AN900" s="599">
        <v>21</v>
      </c>
    </row>
    <row r="901" spans="1:40" ht="16.5" customHeight="1">
      <c r="A901" s="598" t="s">
        <v>3337</v>
      </c>
      <c r="B901" s="598" t="s">
        <v>3349</v>
      </c>
      <c r="C901" s="598" t="s">
        <v>2586</v>
      </c>
      <c r="D901" s="598" t="s">
        <v>2587</v>
      </c>
      <c r="E901" s="598" t="s">
        <v>321</v>
      </c>
      <c r="F901" s="598" t="s">
        <v>3309</v>
      </c>
      <c r="G901" s="598" t="s">
        <v>3309</v>
      </c>
      <c r="H901" s="598" t="s">
        <v>3309</v>
      </c>
      <c r="I901" s="598" t="s">
        <v>3309</v>
      </c>
      <c r="J901" s="598" t="s">
        <v>3309</v>
      </c>
      <c r="K901" s="598" t="s">
        <v>321</v>
      </c>
      <c r="L901" s="598" t="s">
        <v>321</v>
      </c>
      <c r="M901" s="598" t="s">
        <v>3309</v>
      </c>
      <c r="N901" s="598" t="s">
        <v>3309</v>
      </c>
      <c r="O901" s="598" t="s">
        <v>3309</v>
      </c>
      <c r="P901" s="598" t="s">
        <v>3309</v>
      </c>
      <c r="Q901" s="598" t="s">
        <v>3309</v>
      </c>
      <c r="R901" s="598" t="s">
        <v>321</v>
      </c>
      <c r="S901" s="598" t="s">
        <v>321</v>
      </c>
      <c r="T901" s="598" t="s">
        <v>3309</v>
      </c>
      <c r="U901" s="598" t="s">
        <v>3309</v>
      </c>
      <c r="V901" s="598" t="s">
        <v>3309</v>
      </c>
      <c r="W901" s="598" t="s">
        <v>3309</v>
      </c>
      <c r="X901" s="598" t="s">
        <v>3309</v>
      </c>
      <c r="Y901" s="598" t="s">
        <v>321</v>
      </c>
      <c r="Z901" s="598" t="s">
        <v>321</v>
      </c>
      <c r="AA901" s="598" t="s">
        <v>3309</v>
      </c>
      <c r="AB901" s="598" t="s">
        <v>3309</v>
      </c>
      <c r="AC901" s="598" t="s">
        <v>3309</v>
      </c>
      <c r="AD901" s="598" t="s">
        <v>3309</v>
      </c>
      <c r="AE901" s="598" t="s">
        <v>3309</v>
      </c>
      <c r="AF901" s="598" t="s">
        <v>321</v>
      </c>
      <c r="AG901" s="598" t="s">
        <v>321</v>
      </c>
      <c r="AH901" s="598" t="s">
        <v>3309</v>
      </c>
      <c r="AI901" s="598" t="s">
        <v>321</v>
      </c>
      <c r="AJ901" s="599">
        <v>21</v>
      </c>
      <c r="AK901" s="600">
        <v>21</v>
      </c>
      <c r="AL901" s="601">
        <v>0</v>
      </c>
      <c r="AM901" s="601">
        <v>0</v>
      </c>
      <c r="AN901" s="599">
        <v>21</v>
      </c>
    </row>
    <row r="902" spans="1:40" ht="16.5" customHeight="1">
      <c r="A902" s="598" t="s">
        <v>3337</v>
      </c>
      <c r="B902" s="598" t="s">
        <v>3349</v>
      </c>
      <c r="C902" s="598" t="s">
        <v>2002</v>
      </c>
      <c r="D902" s="598" t="s">
        <v>2003</v>
      </c>
      <c r="E902" s="598" t="s">
        <v>321</v>
      </c>
      <c r="F902" s="598" t="s">
        <v>3309</v>
      </c>
      <c r="G902" s="598" t="s">
        <v>3309</v>
      </c>
      <c r="H902" s="598" t="s">
        <v>3309</v>
      </c>
      <c r="I902" s="598" t="s">
        <v>3309</v>
      </c>
      <c r="J902" s="598" t="s">
        <v>3309</v>
      </c>
      <c r="K902" s="598" t="s">
        <v>321</v>
      </c>
      <c r="L902" s="598" t="s">
        <v>321</v>
      </c>
      <c r="M902" s="598" t="s">
        <v>3309</v>
      </c>
      <c r="N902" s="598" t="s">
        <v>3309</v>
      </c>
      <c r="O902" s="598" t="s">
        <v>3309</v>
      </c>
      <c r="P902" s="598" t="s">
        <v>3309</v>
      </c>
      <c r="Q902" s="598" t="s">
        <v>3309</v>
      </c>
      <c r="R902" s="598" t="s">
        <v>321</v>
      </c>
      <c r="S902" s="598" t="s">
        <v>321</v>
      </c>
      <c r="T902" s="598" t="s">
        <v>3309</v>
      </c>
      <c r="U902" s="598" t="s">
        <v>3309</v>
      </c>
      <c r="V902" s="598" t="s">
        <v>3309</v>
      </c>
      <c r="W902" s="598" t="s">
        <v>3309</v>
      </c>
      <c r="X902" s="598" t="s">
        <v>3309</v>
      </c>
      <c r="Y902" s="598" t="s">
        <v>321</v>
      </c>
      <c r="Z902" s="598" t="s">
        <v>321</v>
      </c>
      <c r="AA902" s="598" t="s">
        <v>3309</v>
      </c>
      <c r="AB902" s="598" t="s">
        <v>3309</v>
      </c>
      <c r="AC902" s="598" t="s">
        <v>3309</v>
      </c>
      <c r="AD902" s="598" t="s">
        <v>3313</v>
      </c>
      <c r="AE902" s="598" t="s">
        <v>3313</v>
      </c>
      <c r="AF902" s="598" t="s">
        <v>321</v>
      </c>
      <c r="AG902" s="598" t="s">
        <v>321</v>
      </c>
      <c r="AH902" s="598" t="s">
        <v>3309</v>
      </c>
      <c r="AI902" s="598" t="s">
        <v>321</v>
      </c>
      <c r="AJ902" s="599">
        <v>21</v>
      </c>
      <c r="AK902" s="600">
        <v>21</v>
      </c>
      <c r="AL902" s="601">
        <v>0</v>
      </c>
      <c r="AM902" s="601">
        <v>0</v>
      </c>
      <c r="AN902" s="599">
        <v>21</v>
      </c>
    </row>
    <row r="903" spans="1:40" ht="16.5" customHeight="1">
      <c r="A903" s="598" t="s">
        <v>3337</v>
      </c>
      <c r="B903" s="598" t="s">
        <v>3349</v>
      </c>
      <c r="C903" s="598" t="s">
        <v>673</v>
      </c>
      <c r="D903" s="598" t="s">
        <v>674</v>
      </c>
      <c r="E903" s="598" t="s">
        <v>321</v>
      </c>
      <c r="F903" s="598" t="s">
        <v>3309</v>
      </c>
      <c r="G903" s="598" t="s">
        <v>3309</v>
      </c>
      <c r="H903" s="598" t="s">
        <v>3309</v>
      </c>
      <c r="I903" s="598" t="s">
        <v>3309</v>
      </c>
      <c r="J903" s="598" t="s">
        <v>3309</v>
      </c>
      <c r="K903" s="598" t="s">
        <v>321</v>
      </c>
      <c r="L903" s="598" t="s">
        <v>321</v>
      </c>
      <c r="M903" s="598" t="s">
        <v>3309</v>
      </c>
      <c r="N903" s="598" t="s">
        <v>3309</v>
      </c>
      <c r="O903" s="598" t="s">
        <v>3309</v>
      </c>
      <c r="P903" s="598" t="s">
        <v>3309</v>
      </c>
      <c r="Q903" s="598" t="s">
        <v>3309</v>
      </c>
      <c r="R903" s="598" t="s">
        <v>321</v>
      </c>
      <c r="S903" s="598" t="s">
        <v>321</v>
      </c>
      <c r="T903" s="598" t="s">
        <v>3309</v>
      </c>
      <c r="U903" s="598" t="s">
        <v>3309</v>
      </c>
      <c r="V903" s="598" t="s">
        <v>3309</v>
      </c>
      <c r="W903" s="598" t="s">
        <v>3309</v>
      </c>
      <c r="X903" s="598" t="s">
        <v>3309</v>
      </c>
      <c r="Y903" s="598" t="s">
        <v>321</v>
      </c>
      <c r="Z903" s="598" t="s">
        <v>321</v>
      </c>
      <c r="AA903" s="598" t="s">
        <v>3309</v>
      </c>
      <c r="AB903" s="598" t="s">
        <v>3309</v>
      </c>
      <c r="AC903" s="598" t="s">
        <v>3309</v>
      </c>
      <c r="AD903" s="598" t="s">
        <v>3309</v>
      </c>
      <c r="AE903" s="598" t="s">
        <v>3309</v>
      </c>
      <c r="AF903" s="598" t="s">
        <v>321</v>
      </c>
      <c r="AG903" s="598" t="s">
        <v>321</v>
      </c>
      <c r="AH903" s="598" t="s">
        <v>3309</v>
      </c>
      <c r="AI903" s="598" t="s">
        <v>321</v>
      </c>
      <c r="AJ903" s="599">
        <v>21</v>
      </c>
      <c r="AK903" s="600">
        <v>21</v>
      </c>
      <c r="AL903" s="601">
        <v>0</v>
      </c>
      <c r="AM903" s="601">
        <v>0</v>
      </c>
      <c r="AN903" s="599">
        <v>21</v>
      </c>
    </row>
    <row r="904" spans="1:40" ht="16.5" customHeight="1">
      <c r="A904" s="598" t="s">
        <v>3337</v>
      </c>
      <c r="B904" s="598" t="s">
        <v>3349</v>
      </c>
      <c r="C904" s="598" t="s">
        <v>1926</v>
      </c>
      <c r="D904" s="598" t="s">
        <v>1927</v>
      </c>
      <c r="E904" s="598" t="s">
        <v>321</v>
      </c>
      <c r="F904" s="598" t="s">
        <v>3309</v>
      </c>
      <c r="G904" s="598" t="s">
        <v>3309</v>
      </c>
      <c r="H904" s="598" t="s">
        <v>3309</v>
      </c>
      <c r="I904" s="598" t="s">
        <v>3309</v>
      </c>
      <c r="J904" s="598" t="s">
        <v>3309</v>
      </c>
      <c r="K904" s="598" t="s">
        <v>321</v>
      </c>
      <c r="L904" s="598" t="s">
        <v>321</v>
      </c>
      <c r="M904" s="598" t="s">
        <v>3309</v>
      </c>
      <c r="N904" s="598" t="s">
        <v>3309</v>
      </c>
      <c r="O904" s="598" t="s">
        <v>3309</v>
      </c>
      <c r="P904" s="598" t="s">
        <v>3309</v>
      </c>
      <c r="Q904" s="598" t="s">
        <v>3309</v>
      </c>
      <c r="R904" s="598" t="s">
        <v>321</v>
      </c>
      <c r="S904" s="598" t="s">
        <v>321</v>
      </c>
      <c r="T904" s="598" t="s">
        <v>3309</v>
      </c>
      <c r="U904" s="598" t="s">
        <v>3309</v>
      </c>
      <c r="V904" s="598" t="s">
        <v>3309</v>
      </c>
      <c r="W904" s="598" t="s">
        <v>3309</v>
      </c>
      <c r="X904" s="598" t="s">
        <v>3309</v>
      </c>
      <c r="Y904" s="598" t="s">
        <v>321</v>
      </c>
      <c r="Z904" s="598" t="s">
        <v>321</v>
      </c>
      <c r="AA904" s="598" t="s">
        <v>3309</v>
      </c>
      <c r="AB904" s="598" t="s">
        <v>3309</v>
      </c>
      <c r="AC904" s="598" t="s">
        <v>3309</v>
      </c>
      <c r="AD904" s="598" t="s">
        <v>3309</v>
      </c>
      <c r="AE904" s="598" t="s">
        <v>3309</v>
      </c>
      <c r="AF904" s="598" t="s">
        <v>321</v>
      </c>
      <c r="AG904" s="598" t="s">
        <v>321</v>
      </c>
      <c r="AH904" s="598" t="s">
        <v>3309</v>
      </c>
      <c r="AI904" s="598" t="s">
        <v>321</v>
      </c>
      <c r="AJ904" s="599">
        <v>21</v>
      </c>
      <c r="AK904" s="600">
        <v>21</v>
      </c>
      <c r="AL904" s="601">
        <v>0</v>
      </c>
      <c r="AM904" s="601">
        <v>0</v>
      </c>
      <c r="AN904" s="599">
        <v>21</v>
      </c>
    </row>
    <row r="905" spans="1:40" ht="16.5" customHeight="1">
      <c r="A905" s="598" t="s">
        <v>3337</v>
      </c>
      <c r="B905" s="598" t="s">
        <v>3349</v>
      </c>
      <c r="C905" s="598" t="s">
        <v>1787</v>
      </c>
      <c r="D905" s="598" t="s">
        <v>1788</v>
      </c>
      <c r="E905" s="598" t="s">
        <v>321</v>
      </c>
      <c r="F905" s="598" t="s">
        <v>3309</v>
      </c>
      <c r="G905" s="598" t="s">
        <v>3309</v>
      </c>
      <c r="H905" s="598" t="s">
        <v>3309</v>
      </c>
      <c r="I905" s="598" t="s">
        <v>3309</v>
      </c>
      <c r="J905" s="598" t="s">
        <v>3309</v>
      </c>
      <c r="K905" s="598" t="s">
        <v>321</v>
      </c>
      <c r="L905" s="598" t="s">
        <v>321</v>
      </c>
      <c r="M905" s="598" t="s">
        <v>3309</v>
      </c>
      <c r="N905" s="598" t="s">
        <v>3309</v>
      </c>
      <c r="O905" s="598" t="s">
        <v>3309</v>
      </c>
      <c r="P905" s="598" t="s">
        <v>3309</v>
      </c>
      <c r="Q905" s="598" t="s">
        <v>3309</v>
      </c>
      <c r="R905" s="598" t="s">
        <v>321</v>
      </c>
      <c r="S905" s="598" t="s">
        <v>321</v>
      </c>
      <c r="T905" s="598" t="s">
        <v>3309</v>
      </c>
      <c r="U905" s="598" t="s">
        <v>3309</v>
      </c>
      <c r="V905" s="598" t="s">
        <v>3309</v>
      </c>
      <c r="W905" s="598" t="s">
        <v>3309</v>
      </c>
      <c r="X905" s="598" t="s">
        <v>3309</v>
      </c>
      <c r="Y905" s="598" t="s">
        <v>321</v>
      </c>
      <c r="Z905" s="598" t="s">
        <v>321</v>
      </c>
      <c r="AA905" s="598" t="s">
        <v>3309</v>
      </c>
      <c r="AB905" s="598" t="s">
        <v>3309</v>
      </c>
      <c r="AC905" s="598" t="s">
        <v>3309</v>
      </c>
      <c r="AD905" s="598" t="s">
        <v>3309</v>
      </c>
      <c r="AE905" s="598" t="s">
        <v>3309</v>
      </c>
      <c r="AF905" s="598" t="s">
        <v>321</v>
      </c>
      <c r="AG905" s="598" t="s">
        <v>321</v>
      </c>
      <c r="AH905" s="598" t="s">
        <v>3309</v>
      </c>
      <c r="AI905" s="598" t="s">
        <v>321</v>
      </c>
      <c r="AJ905" s="599">
        <v>21</v>
      </c>
      <c r="AK905" s="600">
        <v>21</v>
      </c>
      <c r="AL905" s="601">
        <v>0</v>
      </c>
      <c r="AM905" s="601">
        <v>0</v>
      </c>
      <c r="AN905" s="599">
        <v>21</v>
      </c>
    </row>
    <row r="906" spans="1:40" ht="16.5" customHeight="1">
      <c r="A906" s="598" t="s">
        <v>3337</v>
      </c>
      <c r="B906" s="598" t="s">
        <v>3349</v>
      </c>
      <c r="C906" s="598" t="s">
        <v>2152</v>
      </c>
      <c r="D906" s="598" t="s">
        <v>2153</v>
      </c>
      <c r="E906" s="598" t="s">
        <v>321</v>
      </c>
      <c r="F906" s="598" t="s">
        <v>3309</v>
      </c>
      <c r="G906" s="598" t="s">
        <v>3309</v>
      </c>
      <c r="H906" s="598" t="s">
        <v>3309</v>
      </c>
      <c r="I906" s="598" t="s">
        <v>3309</v>
      </c>
      <c r="J906" s="598" t="s">
        <v>3309</v>
      </c>
      <c r="K906" s="598" t="s">
        <v>321</v>
      </c>
      <c r="L906" s="598" t="s">
        <v>321</v>
      </c>
      <c r="M906" s="598" t="s">
        <v>3309</v>
      </c>
      <c r="N906" s="598" t="s">
        <v>3309</v>
      </c>
      <c r="O906" s="598" t="s">
        <v>3309</v>
      </c>
      <c r="P906" s="598" t="s">
        <v>3309</v>
      </c>
      <c r="Q906" s="598" t="s">
        <v>3309</v>
      </c>
      <c r="R906" s="598" t="s">
        <v>321</v>
      </c>
      <c r="S906" s="598" t="s">
        <v>321</v>
      </c>
      <c r="T906" s="598" t="s">
        <v>3309</v>
      </c>
      <c r="U906" s="598" t="s">
        <v>3309</v>
      </c>
      <c r="V906" s="598" t="s">
        <v>3309</v>
      </c>
      <c r="W906" s="598" t="s">
        <v>3309</v>
      </c>
      <c r="X906" s="598" t="s">
        <v>3309</v>
      </c>
      <c r="Y906" s="598" t="s">
        <v>321</v>
      </c>
      <c r="Z906" s="598" t="s">
        <v>321</v>
      </c>
      <c r="AA906" s="598" t="s">
        <v>3309</v>
      </c>
      <c r="AB906" s="598" t="s">
        <v>3309</v>
      </c>
      <c r="AC906" s="598" t="s">
        <v>3309</v>
      </c>
      <c r="AD906" s="598" t="s">
        <v>3309</v>
      </c>
      <c r="AE906" s="598" t="s">
        <v>3309</v>
      </c>
      <c r="AF906" s="598" t="s">
        <v>321</v>
      </c>
      <c r="AG906" s="598" t="s">
        <v>321</v>
      </c>
      <c r="AH906" s="598" t="s">
        <v>3309</v>
      </c>
      <c r="AI906" s="598" t="s">
        <v>321</v>
      </c>
      <c r="AJ906" s="599">
        <v>21</v>
      </c>
      <c r="AK906" s="600">
        <v>21</v>
      </c>
      <c r="AL906" s="601">
        <v>0</v>
      </c>
      <c r="AM906" s="601">
        <v>0</v>
      </c>
      <c r="AN906" s="599">
        <v>21</v>
      </c>
    </row>
    <row r="907" spans="1:40" ht="16.5" customHeight="1">
      <c r="A907" s="598" t="s">
        <v>3337</v>
      </c>
      <c r="B907" s="598" t="s">
        <v>3349</v>
      </c>
      <c r="C907" s="598" t="s">
        <v>1903</v>
      </c>
      <c r="D907" s="598" t="s">
        <v>1904</v>
      </c>
      <c r="E907" s="598" t="s">
        <v>321</v>
      </c>
      <c r="F907" s="598" t="s">
        <v>3309</v>
      </c>
      <c r="G907" s="598" t="s">
        <v>3309</v>
      </c>
      <c r="H907" s="598" t="s">
        <v>3309</v>
      </c>
      <c r="I907" s="598" t="s">
        <v>3309</v>
      </c>
      <c r="J907" s="598" t="s">
        <v>3309</v>
      </c>
      <c r="K907" s="598" t="s">
        <v>321</v>
      </c>
      <c r="L907" s="598" t="s">
        <v>321</v>
      </c>
      <c r="M907" s="598" t="s">
        <v>3309</v>
      </c>
      <c r="N907" s="598" t="s">
        <v>3309</v>
      </c>
      <c r="O907" s="598" t="s">
        <v>3309</v>
      </c>
      <c r="P907" s="598" t="s">
        <v>3309</v>
      </c>
      <c r="Q907" s="598" t="s">
        <v>3309</v>
      </c>
      <c r="R907" s="598" t="s">
        <v>321</v>
      </c>
      <c r="S907" s="598" t="s">
        <v>321</v>
      </c>
      <c r="T907" s="598" t="s">
        <v>3309</v>
      </c>
      <c r="U907" s="598" t="s">
        <v>3309</v>
      </c>
      <c r="V907" s="598" t="s">
        <v>3309</v>
      </c>
      <c r="W907" s="598" t="s">
        <v>3309</v>
      </c>
      <c r="X907" s="598" t="s">
        <v>3309</v>
      </c>
      <c r="Y907" s="598" t="s">
        <v>321</v>
      </c>
      <c r="Z907" s="598" t="s">
        <v>321</v>
      </c>
      <c r="AA907" s="598" t="s">
        <v>3309</v>
      </c>
      <c r="AB907" s="598" t="s">
        <v>3309</v>
      </c>
      <c r="AC907" s="598" t="s">
        <v>3309</v>
      </c>
      <c r="AD907" s="598" t="s">
        <v>3309</v>
      </c>
      <c r="AE907" s="598" t="s">
        <v>3309</v>
      </c>
      <c r="AF907" s="598" t="s">
        <v>321</v>
      </c>
      <c r="AG907" s="598" t="s">
        <v>321</v>
      </c>
      <c r="AH907" s="598" t="s">
        <v>3309</v>
      </c>
      <c r="AI907" s="598" t="s">
        <v>321</v>
      </c>
      <c r="AJ907" s="599">
        <v>21</v>
      </c>
      <c r="AK907" s="600">
        <v>21</v>
      </c>
      <c r="AL907" s="601">
        <v>0</v>
      </c>
      <c r="AM907" s="601">
        <v>0</v>
      </c>
      <c r="AN907" s="599">
        <v>21</v>
      </c>
    </row>
    <row r="908" spans="1:40" ht="16.5" customHeight="1">
      <c r="A908" s="598" t="s">
        <v>3337</v>
      </c>
      <c r="B908" s="598" t="s">
        <v>3349</v>
      </c>
      <c r="C908" s="598" t="s">
        <v>780</v>
      </c>
      <c r="D908" s="598" t="s">
        <v>781</v>
      </c>
      <c r="E908" s="598" t="s">
        <v>321</v>
      </c>
      <c r="F908" s="598" t="s">
        <v>3309</v>
      </c>
      <c r="G908" s="598" t="s">
        <v>3309</v>
      </c>
      <c r="H908" s="598" t="s">
        <v>3309</v>
      </c>
      <c r="I908" s="598" t="s">
        <v>3312</v>
      </c>
      <c r="J908" s="598" t="s">
        <v>3309</v>
      </c>
      <c r="K908" s="598" t="s">
        <v>321</v>
      </c>
      <c r="L908" s="598" t="s">
        <v>321</v>
      </c>
      <c r="M908" s="598" t="s">
        <v>3309</v>
      </c>
      <c r="N908" s="598" t="s">
        <v>3309</v>
      </c>
      <c r="O908" s="598" t="s">
        <v>3309</v>
      </c>
      <c r="P908" s="598" t="s">
        <v>3309</v>
      </c>
      <c r="Q908" s="598" t="s">
        <v>3309</v>
      </c>
      <c r="R908" s="598" t="s">
        <v>321</v>
      </c>
      <c r="S908" s="598" t="s">
        <v>321</v>
      </c>
      <c r="T908" s="598" t="s">
        <v>3309</v>
      </c>
      <c r="U908" s="598" t="s">
        <v>3309</v>
      </c>
      <c r="V908" s="598" t="s">
        <v>3309</v>
      </c>
      <c r="W908" s="598" t="s">
        <v>3309</v>
      </c>
      <c r="X908" s="598" t="s">
        <v>3309</v>
      </c>
      <c r="Y908" s="598" t="s">
        <v>321</v>
      </c>
      <c r="Z908" s="598" t="s">
        <v>321</v>
      </c>
      <c r="AA908" s="598" t="s">
        <v>3309</v>
      </c>
      <c r="AB908" s="598" t="s">
        <v>3309</v>
      </c>
      <c r="AC908" s="598" t="s">
        <v>3309</v>
      </c>
      <c r="AD908" s="598" t="s">
        <v>3309</v>
      </c>
      <c r="AE908" s="598" t="s">
        <v>3309</v>
      </c>
      <c r="AF908" s="598" t="s">
        <v>321</v>
      </c>
      <c r="AG908" s="598" t="s">
        <v>321</v>
      </c>
      <c r="AH908" s="598" t="s">
        <v>3309</v>
      </c>
      <c r="AI908" s="598" t="s">
        <v>321</v>
      </c>
      <c r="AJ908" s="599">
        <v>21</v>
      </c>
      <c r="AK908" s="600">
        <v>20</v>
      </c>
      <c r="AL908" s="602">
        <v>1</v>
      </c>
      <c r="AM908" s="601">
        <v>0</v>
      </c>
      <c r="AN908" s="599">
        <v>21</v>
      </c>
    </row>
    <row r="909" spans="1:40" ht="16.5" customHeight="1">
      <c r="A909" s="598" t="s">
        <v>3337</v>
      </c>
      <c r="B909" s="598" t="s">
        <v>3349</v>
      </c>
      <c r="C909" s="598" t="s">
        <v>1355</v>
      </c>
      <c r="D909" s="598" t="s">
        <v>1356</v>
      </c>
      <c r="E909" s="598" t="s">
        <v>321</v>
      </c>
      <c r="F909" s="598" t="s">
        <v>3309</v>
      </c>
      <c r="G909" s="598" t="s">
        <v>3309</v>
      </c>
      <c r="H909" s="598" t="s">
        <v>3309</v>
      </c>
      <c r="I909" s="598" t="s">
        <v>3309</v>
      </c>
      <c r="J909" s="598" t="s">
        <v>3309</v>
      </c>
      <c r="K909" s="598" t="s">
        <v>321</v>
      </c>
      <c r="L909" s="598" t="s">
        <v>321</v>
      </c>
      <c r="M909" s="598" t="s">
        <v>3309</v>
      </c>
      <c r="N909" s="598" t="s">
        <v>3309</v>
      </c>
      <c r="O909" s="598" t="s">
        <v>3313</v>
      </c>
      <c r="P909" s="598" t="s">
        <v>3313</v>
      </c>
      <c r="Q909" s="598" t="s">
        <v>3313</v>
      </c>
      <c r="R909" s="598" t="s">
        <v>321</v>
      </c>
      <c r="S909" s="598" t="s">
        <v>321</v>
      </c>
      <c r="T909" s="598" t="s">
        <v>3312</v>
      </c>
      <c r="U909" s="598" t="s">
        <v>3312</v>
      </c>
      <c r="V909" s="598" t="s">
        <v>3312</v>
      </c>
      <c r="W909" s="598" t="s">
        <v>3312</v>
      </c>
      <c r="X909" s="598" t="s">
        <v>3309</v>
      </c>
      <c r="Y909" s="598" t="s">
        <v>321</v>
      </c>
      <c r="Z909" s="598" t="s">
        <v>321</v>
      </c>
      <c r="AA909" s="598" t="s">
        <v>3309</v>
      </c>
      <c r="AB909" s="598" t="s">
        <v>3309</v>
      </c>
      <c r="AC909" s="598" t="s">
        <v>3309</v>
      </c>
      <c r="AD909" s="598" t="s">
        <v>3309</v>
      </c>
      <c r="AE909" s="598" t="s">
        <v>3309</v>
      </c>
      <c r="AF909" s="598" t="s">
        <v>321</v>
      </c>
      <c r="AG909" s="598" t="s">
        <v>321</v>
      </c>
      <c r="AH909" s="598" t="s">
        <v>3309</v>
      </c>
      <c r="AI909" s="598" t="s">
        <v>321</v>
      </c>
      <c r="AJ909" s="599">
        <v>21</v>
      </c>
      <c r="AK909" s="600">
        <v>17</v>
      </c>
      <c r="AL909" s="602">
        <v>4</v>
      </c>
      <c r="AM909" s="601">
        <v>0</v>
      </c>
      <c r="AN909" s="599">
        <v>21</v>
      </c>
    </row>
    <row r="910" spans="1:40" ht="16.5" customHeight="1">
      <c r="A910" s="598" t="s">
        <v>3337</v>
      </c>
      <c r="B910" s="598" t="s">
        <v>3349</v>
      </c>
      <c r="C910" s="598" t="s">
        <v>1936</v>
      </c>
      <c r="D910" s="598" t="s">
        <v>1937</v>
      </c>
      <c r="E910" s="598" t="s">
        <v>321</v>
      </c>
      <c r="F910" s="598" t="s">
        <v>3309</v>
      </c>
      <c r="G910" s="598" t="s">
        <v>3309</v>
      </c>
      <c r="H910" s="598" t="s">
        <v>3309</v>
      </c>
      <c r="I910" s="598" t="s">
        <v>3309</v>
      </c>
      <c r="J910" s="598" t="s">
        <v>3309</v>
      </c>
      <c r="K910" s="598" t="s">
        <v>321</v>
      </c>
      <c r="L910" s="598" t="s">
        <v>321</v>
      </c>
      <c r="M910" s="598" t="s">
        <v>3309</v>
      </c>
      <c r="N910" s="598" t="s">
        <v>3309</v>
      </c>
      <c r="O910" s="598" t="s">
        <v>3309</v>
      </c>
      <c r="P910" s="598" t="s">
        <v>3309</v>
      </c>
      <c r="Q910" s="598" t="s">
        <v>3309</v>
      </c>
      <c r="R910" s="598" t="s">
        <v>321</v>
      </c>
      <c r="S910" s="598" t="s">
        <v>321</v>
      </c>
      <c r="T910" s="598" t="s">
        <v>3309</v>
      </c>
      <c r="U910" s="598" t="s">
        <v>3309</v>
      </c>
      <c r="V910" s="598" t="s">
        <v>3309</v>
      </c>
      <c r="W910" s="598" t="s">
        <v>3309</v>
      </c>
      <c r="X910" s="598" t="s">
        <v>3309</v>
      </c>
      <c r="Y910" s="598" t="s">
        <v>321</v>
      </c>
      <c r="Z910" s="598" t="s">
        <v>321</v>
      </c>
      <c r="AA910" s="598" t="s">
        <v>3309</v>
      </c>
      <c r="AB910" s="598" t="s">
        <v>3309</v>
      </c>
      <c r="AC910" s="598" t="s">
        <v>3309</v>
      </c>
      <c r="AD910" s="598" t="s">
        <v>3309</v>
      </c>
      <c r="AE910" s="598" t="s">
        <v>3309</v>
      </c>
      <c r="AF910" s="598" t="s">
        <v>321</v>
      </c>
      <c r="AG910" s="598" t="s">
        <v>321</v>
      </c>
      <c r="AH910" s="598" t="s">
        <v>3309</v>
      </c>
      <c r="AI910" s="598" t="s">
        <v>321</v>
      </c>
      <c r="AJ910" s="599">
        <v>21</v>
      </c>
      <c r="AK910" s="600">
        <v>21</v>
      </c>
      <c r="AL910" s="601">
        <v>0</v>
      </c>
      <c r="AM910" s="601">
        <v>0</v>
      </c>
      <c r="AN910" s="599">
        <v>21</v>
      </c>
    </row>
    <row r="911" spans="1:40" ht="16.5" customHeight="1">
      <c r="A911" s="598" t="s">
        <v>3337</v>
      </c>
      <c r="B911" s="598" t="s">
        <v>3349</v>
      </c>
      <c r="C911" s="598" t="s">
        <v>2301</v>
      </c>
      <c r="D911" s="598" t="s">
        <v>2302</v>
      </c>
      <c r="E911" s="598" t="s">
        <v>321</v>
      </c>
      <c r="F911" s="598" t="s">
        <v>3309</v>
      </c>
      <c r="G911" s="598" t="s">
        <v>3309</v>
      </c>
      <c r="H911" s="598" t="s">
        <v>3309</v>
      </c>
      <c r="I911" s="598" t="s">
        <v>3309</v>
      </c>
      <c r="J911" s="598" t="s">
        <v>3309</v>
      </c>
      <c r="K911" s="598" t="s">
        <v>321</v>
      </c>
      <c r="L911" s="598" t="s">
        <v>321</v>
      </c>
      <c r="M911" s="598" t="s">
        <v>3309</v>
      </c>
      <c r="N911" s="598" t="s">
        <v>3309</v>
      </c>
      <c r="O911" s="598" t="s">
        <v>3309</v>
      </c>
      <c r="P911" s="598" t="s">
        <v>3309</v>
      </c>
      <c r="Q911" s="598" t="s">
        <v>3309</v>
      </c>
      <c r="R911" s="598" t="s">
        <v>321</v>
      </c>
      <c r="S911" s="598" t="s">
        <v>321</v>
      </c>
      <c r="T911" s="598" t="s">
        <v>3309</v>
      </c>
      <c r="U911" s="598" t="s">
        <v>3309</v>
      </c>
      <c r="V911" s="598" t="s">
        <v>3309</v>
      </c>
      <c r="W911" s="598" t="s">
        <v>3309</v>
      </c>
      <c r="X911" s="598" t="s">
        <v>3309</v>
      </c>
      <c r="Y911" s="598" t="s">
        <v>321</v>
      </c>
      <c r="Z911" s="598" t="s">
        <v>321</v>
      </c>
      <c r="AA911" s="598" t="s">
        <v>3309</v>
      </c>
      <c r="AB911" s="598" t="s">
        <v>3309</v>
      </c>
      <c r="AC911" s="598" t="s">
        <v>3309</v>
      </c>
      <c r="AD911" s="598" t="s">
        <v>3309</v>
      </c>
      <c r="AE911" s="598" t="s">
        <v>3309</v>
      </c>
      <c r="AF911" s="598" t="s">
        <v>321</v>
      </c>
      <c r="AG911" s="598" t="s">
        <v>321</v>
      </c>
      <c r="AH911" s="598" t="s">
        <v>3309</v>
      </c>
      <c r="AI911" s="598" t="s">
        <v>321</v>
      </c>
      <c r="AJ911" s="599">
        <v>21</v>
      </c>
      <c r="AK911" s="600">
        <v>21</v>
      </c>
      <c r="AL911" s="601">
        <v>0</v>
      </c>
      <c r="AM911" s="601">
        <v>0</v>
      </c>
      <c r="AN911" s="599">
        <v>21</v>
      </c>
    </row>
    <row r="912" spans="1:40" ht="16.5" customHeight="1">
      <c r="A912" s="598" t="s">
        <v>3337</v>
      </c>
      <c r="B912" s="598" t="s">
        <v>3349</v>
      </c>
      <c r="C912" s="598" t="s">
        <v>1409</v>
      </c>
      <c r="D912" s="598" t="s">
        <v>1410</v>
      </c>
      <c r="E912" s="598" t="s">
        <v>321</v>
      </c>
      <c r="F912" s="598" t="s">
        <v>3309</v>
      </c>
      <c r="G912" s="598" t="s">
        <v>3309</v>
      </c>
      <c r="H912" s="598" t="s">
        <v>3309</v>
      </c>
      <c r="I912" s="598" t="s">
        <v>3309</v>
      </c>
      <c r="J912" s="598" t="s">
        <v>3309</v>
      </c>
      <c r="K912" s="598" t="s">
        <v>321</v>
      </c>
      <c r="L912" s="598" t="s">
        <v>321</v>
      </c>
      <c r="M912" s="598" t="s">
        <v>3309</v>
      </c>
      <c r="N912" s="598" t="s">
        <v>3309</v>
      </c>
      <c r="O912" s="598" t="s">
        <v>3309</v>
      </c>
      <c r="P912" s="598" t="s">
        <v>3309</v>
      </c>
      <c r="Q912" s="598" t="s">
        <v>3309</v>
      </c>
      <c r="R912" s="598" t="s">
        <v>321</v>
      </c>
      <c r="S912" s="598" t="s">
        <v>321</v>
      </c>
      <c r="T912" s="598" t="s">
        <v>3309</v>
      </c>
      <c r="U912" s="598" t="s">
        <v>3309</v>
      </c>
      <c r="V912" s="598" t="s">
        <v>3309</v>
      </c>
      <c r="W912" s="598" t="s">
        <v>3309</v>
      </c>
      <c r="X912" s="598" t="s">
        <v>3309</v>
      </c>
      <c r="Y912" s="598" t="s">
        <v>321</v>
      </c>
      <c r="Z912" s="598" t="s">
        <v>321</v>
      </c>
      <c r="AA912" s="598" t="s">
        <v>3309</v>
      </c>
      <c r="AB912" s="598" t="s">
        <v>3312</v>
      </c>
      <c r="AC912" s="598" t="s">
        <v>3309</v>
      </c>
      <c r="AD912" s="598" t="s">
        <v>3309</v>
      </c>
      <c r="AE912" s="598" t="s">
        <v>3309</v>
      </c>
      <c r="AF912" s="598" t="s">
        <v>321</v>
      </c>
      <c r="AG912" s="598" t="s">
        <v>321</v>
      </c>
      <c r="AH912" s="598" t="s">
        <v>3309</v>
      </c>
      <c r="AI912" s="598" t="s">
        <v>321</v>
      </c>
      <c r="AJ912" s="599">
        <v>21</v>
      </c>
      <c r="AK912" s="600">
        <v>20</v>
      </c>
      <c r="AL912" s="602">
        <v>1</v>
      </c>
      <c r="AM912" s="601">
        <v>0</v>
      </c>
      <c r="AN912" s="599">
        <v>21</v>
      </c>
    </row>
    <row r="913" spans="1:40" ht="16.5" customHeight="1">
      <c r="A913" s="598" t="s">
        <v>3337</v>
      </c>
      <c r="B913" s="598" t="s">
        <v>3349</v>
      </c>
      <c r="C913" s="598" t="s">
        <v>836</v>
      </c>
      <c r="D913" s="598" t="s">
        <v>837</v>
      </c>
      <c r="E913" s="598" t="s">
        <v>321</v>
      </c>
      <c r="F913" s="598" t="s">
        <v>3309</v>
      </c>
      <c r="G913" s="598" t="s">
        <v>3309</v>
      </c>
      <c r="H913" s="598" t="s">
        <v>3309</v>
      </c>
      <c r="I913" s="598" t="s">
        <v>3309</v>
      </c>
      <c r="J913" s="598" t="s">
        <v>3309</v>
      </c>
      <c r="K913" s="598" t="s">
        <v>321</v>
      </c>
      <c r="L913" s="598" t="s">
        <v>321</v>
      </c>
      <c r="M913" s="598" t="s">
        <v>3309</v>
      </c>
      <c r="N913" s="598" t="s">
        <v>3309</v>
      </c>
      <c r="O913" s="598" t="s">
        <v>3309</v>
      </c>
      <c r="P913" s="598" t="s">
        <v>3309</v>
      </c>
      <c r="Q913" s="598" t="s">
        <v>3309</v>
      </c>
      <c r="R913" s="598" t="s">
        <v>321</v>
      </c>
      <c r="S913" s="598" t="s">
        <v>321</v>
      </c>
      <c r="T913" s="598" t="s">
        <v>3309</v>
      </c>
      <c r="U913" s="598" t="s">
        <v>3309</v>
      </c>
      <c r="V913" s="598" t="s">
        <v>3309</v>
      </c>
      <c r="W913" s="598" t="s">
        <v>3309</v>
      </c>
      <c r="X913" s="598" t="s">
        <v>3309</v>
      </c>
      <c r="Y913" s="598" t="s">
        <v>321</v>
      </c>
      <c r="Z913" s="598" t="s">
        <v>321</v>
      </c>
      <c r="AA913" s="598" t="s">
        <v>3309</v>
      </c>
      <c r="AB913" s="598" t="s">
        <v>3309</v>
      </c>
      <c r="AC913" s="598" t="s">
        <v>3309</v>
      </c>
      <c r="AD913" s="598" t="s">
        <v>3309</v>
      </c>
      <c r="AE913" s="598" t="s">
        <v>3309</v>
      </c>
      <c r="AF913" s="598" t="s">
        <v>321</v>
      </c>
      <c r="AG913" s="598" t="s">
        <v>321</v>
      </c>
      <c r="AH913" s="598" t="s">
        <v>3309</v>
      </c>
      <c r="AI913" s="598" t="s">
        <v>321</v>
      </c>
      <c r="AJ913" s="599">
        <v>21</v>
      </c>
      <c r="AK913" s="600">
        <v>21</v>
      </c>
      <c r="AL913" s="601">
        <v>0</v>
      </c>
      <c r="AM913" s="601">
        <v>0</v>
      </c>
      <c r="AN913" s="599">
        <v>21</v>
      </c>
    </row>
    <row r="914" spans="1:40" ht="16.5" customHeight="1">
      <c r="A914" s="598" t="s">
        <v>3337</v>
      </c>
      <c r="B914" s="598" t="s">
        <v>3349</v>
      </c>
      <c r="C914" s="598" t="s">
        <v>1676</v>
      </c>
      <c r="D914" s="598" t="s">
        <v>1677</v>
      </c>
      <c r="E914" s="598" t="s">
        <v>321</v>
      </c>
      <c r="F914" s="598" t="s">
        <v>3309</v>
      </c>
      <c r="G914" s="598" t="s">
        <v>3309</v>
      </c>
      <c r="H914" s="598" t="s">
        <v>3309</v>
      </c>
      <c r="I914" s="598" t="s">
        <v>3309</v>
      </c>
      <c r="J914" s="598" t="s">
        <v>3309</v>
      </c>
      <c r="K914" s="598" t="s">
        <v>321</v>
      </c>
      <c r="L914" s="598" t="s">
        <v>321</v>
      </c>
      <c r="M914" s="598" t="s">
        <v>3309</v>
      </c>
      <c r="N914" s="598" t="s">
        <v>3309</v>
      </c>
      <c r="O914" s="598" t="s">
        <v>3309</v>
      </c>
      <c r="P914" s="598" t="s">
        <v>3309</v>
      </c>
      <c r="Q914" s="598" t="s">
        <v>3309</v>
      </c>
      <c r="R914" s="598" t="s">
        <v>321</v>
      </c>
      <c r="S914" s="598" t="s">
        <v>321</v>
      </c>
      <c r="T914" s="598" t="s">
        <v>3309</v>
      </c>
      <c r="U914" s="598" t="s">
        <v>3309</v>
      </c>
      <c r="V914" s="598" t="s">
        <v>3309</v>
      </c>
      <c r="W914" s="598" t="s">
        <v>3309</v>
      </c>
      <c r="X914" s="598" t="s">
        <v>3309</v>
      </c>
      <c r="Y914" s="598" t="s">
        <v>321</v>
      </c>
      <c r="Z914" s="598" t="s">
        <v>321</v>
      </c>
      <c r="AA914" s="598" t="s">
        <v>3309</v>
      </c>
      <c r="AB914" s="598" t="s">
        <v>3309</v>
      </c>
      <c r="AC914" s="598" t="s">
        <v>3309</v>
      </c>
      <c r="AD914" s="598" t="s">
        <v>3309</v>
      </c>
      <c r="AE914" s="598" t="s">
        <v>3309</v>
      </c>
      <c r="AF914" s="598" t="s">
        <v>321</v>
      </c>
      <c r="AG914" s="598" t="s">
        <v>321</v>
      </c>
      <c r="AH914" s="598" t="s">
        <v>3309</v>
      </c>
      <c r="AI914" s="598" t="s">
        <v>321</v>
      </c>
      <c r="AJ914" s="599">
        <v>21</v>
      </c>
      <c r="AK914" s="600">
        <v>21</v>
      </c>
      <c r="AL914" s="601">
        <v>0</v>
      </c>
      <c r="AM914" s="601">
        <v>0</v>
      </c>
      <c r="AN914" s="599">
        <v>21</v>
      </c>
    </row>
    <row r="915" spans="1:40" ht="16.5" customHeight="1">
      <c r="A915" s="598" t="s">
        <v>3337</v>
      </c>
      <c r="B915" s="598" t="s">
        <v>3349</v>
      </c>
      <c r="C915" s="598" t="s">
        <v>1795</v>
      </c>
      <c r="D915" s="598" t="s">
        <v>1796</v>
      </c>
      <c r="E915" s="598" t="s">
        <v>321</v>
      </c>
      <c r="F915" s="598" t="s">
        <v>3309</v>
      </c>
      <c r="G915" s="598" t="s">
        <v>3309</v>
      </c>
      <c r="H915" s="598" t="s">
        <v>3309</v>
      </c>
      <c r="I915" s="598" t="s">
        <v>3309</v>
      </c>
      <c r="J915" s="598" t="s">
        <v>3312</v>
      </c>
      <c r="K915" s="598" t="s">
        <v>321</v>
      </c>
      <c r="L915" s="598" t="s">
        <v>321</v>
      </c>
      <c r="M915" s="598" t="s">
        <v>3309</v>
      </c>
      <c r="N915" s="598" t="s">
        <v>3309</v>
      </c>
      <c r="O915" s="598" t="s">
        <v>3309</v>
      </c>
      <c r="P915" s="598" t="s">
        <v>3309</v>
      </c>
      <c r="Q915" s="598" t="s">
        <v>3309</v>
      </c>
      <c r="R915" s="598" t="s">
        <v>321</v>
      </c>
      <c r="S915" s="598" t="s">
        <v>321</v>
      </c>
      <c r="T915" s="598" t="s">
        <v>3309</v>
      </c>
      <c r="U915" s="598" t="s">
        <v>3309</v>
      </c>
      <c r="V915" s="598" t="s">
        <v>3309</v>
      </c>
      <c r="W915" s="598" t="s">
        <v>3309</v>
      </c>
      <c r="X915" s="598" t="s">
        <v>3309</v>
      </c>
      <c r="Y915" s="598" t="s">
        <v>321</v>
      </c>
      <c r="Z915" s="598" t="s">
        <v>321</v>
      </c>
      <c r="AA915" s="598" t="s">
        <v>3309</v>
      </c>
      <c r="AB915" s="598" t="s">
        <v>3309</v>
      </c>
      <c r="AC915" s="598" t="s">
        <v>3309</v>
      </c>
      <c r="AD915" s="598" t="s">
        <v>3309</v>
      </c>
      <c r="AE915" s="598" t="s">
        <v>3309</v>
      </c>
      <c r="AF915" s="598" t="s">
        <v>321</v>
      </c>
      <c r="AG915" s="598" t="s">
        <v>321</v>
      </c>
      <c r="AH915" s="598" t="s">
        <v>3309</v>
      </c>
      <c r="AI915" s="598" t="s">
        <v>321</v>
      </c>
      <c r="AJ915" s="599">
        <v>21</v>
      </c>
      <c r="AK915" s="600">
        <v>20</v>
      </c>
      <c r="AL915" s="602">
        <v>1</v>
      </c>
      <c r="AM915" s="601">
        <v>0</v>
      </c>
      <c r="AN915" s="599">
        <v>21</v>
      </c>
    </row>
    <row r="916" spans="1:40" ht="16.5" customHeight="1">
      <c r="A916" s="598" t="s">
        <v>3337</v>
      </c>
      <c r="B916" s="598" t="s">
        <v>3349</v>
      </c>
      <c r="C916" s="598" t="s">
        <v>1353</v>
      </c>
      <c r="D916" s="598" t="s">
        <v>1354</v>
      </c>
      <c r="E916" s="598" t="s">
        <v>321</v>
      </c>
      <c r="F916" s="598" t="s">
        <v>3309</v>
      </c>
      <c r="G916" s="598" t="s">
        <v>3309</v>
      </c>
      <c r="H916" s="598" t="s">
        <v>3309</v>
      </c>
      <c r="I916" s="598" t="s">
        <v>3309</v>
      </c>
      <c r="J916" s="598" t="s">
        <v>3309</v>
      </c>
      <c r="K916" s="598" t="s">
        <v>321</v>
      </c>
      <c r="L916" s="598" t="s">
        <v>321</v>
      </c>
      <c r="M916" s="598" t="s">
        <v>3309</v>
      </c>
      <c r="N916" s="598" t="s">
        <v>3309</v>
      </c>
      <c r="O916" s="598" t="s">
        <v>3309</v>
      </c>
      <c r="P916" s="598" t="s">
        <v>3309</v>
      </c>
      <c r="Q916" s="598" t="s">
        <v>3309</v>
      </c>
      <c r="R916" s="598" t="s">
        <v>321</v>
      </c>
      <c r="S916" s="598" t="s">
        <v>321</v>
      </c>
      <c r="T916" s="598" t="s">
        <v>3309</v>
      </c>
      <c r="U916" s="598" t="s">
        <v>3309</v>
      </c>
      <c r="V916" s="598" t="s">
        <v>3309</v>
      </c>
      <c r="W916" s="598" t="s">
        <v>3309</v>
      </c>
      <c r="X916" s="598" t="s">
        <v>3309</v>
      </c>
      <c r="Y916" s="598" t="s">
        <v>321</v>
      </c>
      <c r="Z916" s="598" t="s">
        <v>321</v>
      </c>
      <c r="AA916" s="598" t="s">
        <v>3309</v>
      </c>
      <c r="AB916" s="598" t="s">
        <v>3309</v>
      </c>
      <c r="AC916" s="598" t="s">
        <v>3309</v>
      </c>
      <c r="AD916" s="598" t="s">
        <v>3309</v>
      </c>
      <c r="AE916" s="598" t="s">
        <v>3309</v>
      </c>
      <c r="AF916" s="598" t="s">
        <v>321</v>
      </c>
      <c r="AG916" s="598" t="s">
        <v>321</v>
      </c>
      <c r="AH916" s="598" t="s">
        <v>3309</v>
      </c>
      <c r="AI916" s="598" t="s">
        <v>321</v>
      </c>
      <c r="AJ916" s="599">
        <v>21</v>
      </c>
      <c r="AK916" s="600">
        <v>21</v>
      </c>
      <c r="AL916" s="601">
        <v>0</v>
      </c>
      <c r="AM916" s="601">
        <v>0</v>
      </c>
      <c r="AN916" s="599">
        <v>21</v>
      </c>
    </row>
    <row r="917" spans="1:40" ht="16.5" customHeight="1">
      <c r="A917" s="598" t="s">
        <v>3337</v>
      </c>
      <c r="B917" s="598" t="s">
        <v>3349</v>
      </c>
      <c r="C917" s="598" t="s">
        <v>1456</v>
      </c>
      <c r="D917" s="598" t="s">
        <v>1457</v>
      </c>
      <c r="E917" s="598" t="s">
        <v>321</v>
      </c>
      <c r="F917" s="598" t="s">
        <v>3309</v>
      </c>
      <c r="G917" s="598" t="s">
        <v>3309</v>
      </c>
      <c r="H917" s="598" t="s">
        <v>3312</v>
      </c>
      <c r="I917" s="598" t="s">
        <v>3309</v>
      </c>
      <c r="J917" s="598" t="s">
        <v>3309</v>
      </c>
      <c r="K917" s="598" t="s">
        <v>321</v>
      </c>
      <c r="L917" s="598" t="s">
        <v>321</v>
      </c>
      <c r="M917" s="598" t="s">
        <v>3309</v>
      </c>
      <c r="N917" s="598" t="s">
        <v>3309</v>
      </c>
      <c r="O917" s="598" t="s">
        <v>3309</v>
      </c>
      <c r="P917" s="598" t="s">
        <v>3309</v>
      </c>
      <c r="Q917" s="598" t="s">
        <v>3309</v>
      </c>
      <c r="R917" s="598" t="s">
        <v>321</v>
      </c>
      <c r="S917" s="598" t="s">
        <v>321</v>
      </c>
      <c r="T917" s="598" t="s">
        <v>3309</v>
      </c>
      <c r="U917" s="598" t="s">
        <v>3309</v>
      </c>
      <c r="V917" s="598" t="s">
        <v>3309</v>
      </c>
      <c r="W917" s="598" t="s">
        <v>3309</v>
      </c>
      <c r="X917" s="598" t="s">
        <v>3309</v>
      </c>
      <c r="Y917" s="598" t="s">
        <v>321</v>
      </c>
      <c r="Z917" s="598" t="s">
        <v>321</v>
      </c>
      <c r="AA917" s="598" t="s">
        <v>3312</v>
      </c>
      <c r="AB917" s="598" t="s">
        <v>3309</v>
      </c>
      <c r="AC917" s="598" t="s">
        <v>3309</v>
      </c>
      <c r="AD917" s="598" t="s">
        <v>3309</v>
      </c>
      <c r="AE917" s="598" t="s">
        <v>3309</v>
      </c>
      <c r="AF917" s="598" t="s">
        <v>321</v>
      </c>
      <c r="AG917" s="598" t="s">
        <v>321</v>
      </c>
      <c r="AH917" s="598" t="s">
        <v>3309</v>
      </c>
      <c r="AI917" s="598" t="s">
        <v>321</v>
      </c>
      <c r="AJ917" s="599">
        <v>21</v>
      </c>
      <c r="AK917" s="600">
        <v>19</v>
      </c>
      <c r="AL917" s="602">
        <v>2</v>
      </c>
      <c r="AM917" s="601">
        <v>0</v>
      </c>
      <c r="AN917" s="599">
        <v>21</v>
      </c>
    </row>
    <row r="918" spans="1:40" ht="16.5" customHeight="1">
      <c r="A918" s="598" t="s">
        <v>3337</v>
      </c>
      <c r="B918" s="598" t="s">
        <v>3349</v>
      </c>
      <c r="C918" s="598" t="s">
        <v>1015</v>
      </c>
      <c r="D918" s="598" t="s">
        <v>1016</v>
      </c>
      <c r="E918" s="598" t="s">
        <v>321</v>
      </c>
      <c r="F918" s="598" t="s">
        <v>3317</v>
      </c>
      <c r="G918" s="598" t="s">
        <v>3317</v>
      </c>
      <c r="H918" s="598" t="s">
        <v>3317</v>
      </c>
      <c r="I918" s="598" t="s">
        <v>3317</v>
      </c>
      <c r="J918" s="598" t="s">
        <v>3317</v>
      </c>
      <c r="K918" s="598" t="s">
        <v>321</v>
      </c>
      <c r="L918" s="598" t="s">
        <v>321</v>
      </c>
      <c r="M918" s="598" t="s">
        <v>3317</v>
      </c>
      <c r="N918" s="598" t="s">
        <v>3317</v>
      </c>
      <c r="O918" s="598" t="s">
        <v>3317</v>
      </c>
      <c r="P918" s="598" t="s">
        <v>3317</v>
      </c>
      <c r="Q918" s="598" t="s">
        <v>3317</v>
      </c>
      <c r="R918" s="598" t="s">
        <v>321</v>
      </c>
      <c r="S918" s="598" t="s">
        <v>321</v>
      </c>
      <c r="T918" s="598" t="s">
        <v>3317</v>
      </c>
      <c r="U918" s="598" t="s">
        <v>3317</v>
      </c>
      <c r="V918" s="598" t="s">
        <v>3317</v>
      </c>
      <c r="W918" s="598" t="s">
        <v>3317</v>
      </c>
      <c r="X918" s="598" t="s">
        <v>3317</v>
      </c>
      <c r="Y918" s="598" t="s">
        <v>321</v>
      </c>
      <c r="Z918" s="598" t="s">
        <v>321</v>
      </c>
      <c r="AA918" s="598" t="s">
        <v>3317</v>
      </c>
      <c r="AB918" s="598" t="s">
        <v>3317</v>
      </c>
      <c r="AC918" s="598" t="s">
        <v>3317</v>
      </c>
      <c r="AD918" s="598" t="s">
        <v>3317</v>
      </c>
      <c r="AE918" s="598" t="s">
        <v>3317</v>
      </c>
      <c r="AF918" s="598" t="s">
        <v>321</v>
      </c>
      <c r="AG918" s="598" t="s">
        <v>321</v>
      </c>
      <c r="AH918" s="598" t="s">
        <v>3309</v>
      </c>
      <c r="AI918" s="598" t="s">
        <v>321</v>
      </c>
      <c r="AJ918" s="599">
        <v>21</v>
      </c>
      <c r="AK918" s="602">
        <v>1</v>
      </c>
      <c r="AL918" s="601">
        <v>0</v>
      </c>
      <c r="AM918" s="601">
        <v>0</v>
      </c>
      <c r="AN918" s="606">
        <v>1</v>
      </c>
    </row>
    <row r="919" spans="1:40" ht="16.5" customHeight="1">
      <c r="A919" s="598" t="s">
        <v>3337</v>
      </c>
      <c r="B919" s="598" t="s">
        <v>3349</v>
      </c>
      <c r="C919" s="598" t="s">
        <v>2429</v>
      </c>
      <c r="D919" s="598" t="s">
        <v>2430</v>
      </c>
      <c r="E919" s="598" t="s">
        <v>321</v>
      </c>
      <c r="F919" s="598" t="s">
        <v>3309</v>
      </c>
      <c r="G919" s="598" t="s">
        <v>3309</v>
      </c>
      <c r="H919" s="598" t="s">
        <v>3309</v>
      </c>
      <c r="I919" s="598" t="s">
        <v>3309</v>
      </c>
      <c r="J919" s="598" t="s">
        <v>3309</v>
      </c>
      <c r="K919" s="598" t="s">
        <v>321</v>
      </c>
      <c r="L919" s="598" t="s">
        <v>321</v>
      </c>
      <c r="M919" s="598" t="s">
        <v>3309</v>
      </c>
      <c r="N919" s="598" t="s">
        <v>3309</v>
      </c>
      <c r="O919" s="598" t="s">
        <v>3309</v>
      </c>
      <c r="P919" s="598" t="s">
        <v>3309</v>
      </c>
      <c r="Q919" s="598" t="s">
        <v>3309</v>
      </c>
      <c r="R919" s="598" t="s">
        <v>321</v>
      </c>
      <c r="S919" s="598" t="s">
        <v>321</v>
      </c>
      <c r="T919" s="598" t="s">
        <v>3309</v>
      </c>
      <c r="U919" s="598" t="s">
        <v>3309</v>
      </c>
      <c r="V919" s="598" t="s">
        <v>3309</v>
      </c>
      <c r="W919" s="598" t="s">
        <v>3309</v>
      </c>
      <c r="X919" s="598" t="s">
        <v>3309</v>
      </c>
      <c r="Y919" s="598" t="s">
        <v>321</v>
      </c>
      <c r="Z919" s="598" t="s">
        <v>321</v>
      </c>
      <c r="AA919" s="598" t="s">
        <v>3309</v>
      </c>
      <c r="AB919" s="598" t="s">
        <v>3309</v>
      </c>
      <c r="AC919" s="598" t="s">
        <v>3309</v>
      </c>
      <c r="AD919" s="598" t="s">
        <v>3309</v>
      </c>
      <c r="AE919" s="598" t="s">
        <v>3309</v>
      </c>
      <c r="AF919" s="598" t="s">
        <v>321</v>
      </c>
      <c r="AG919" s="598" t="s">
        <v>321</v>
      </c>
      <c r="AH919" s="598" t="s">
        <v>3309</v>
      </c>
      <c r="AI919" s="598" t="s">
        <v>321</v>
      </c>
      <c r="AJ919" s="599">
        <v>21</v>
      </c>
      <c r="AK919" s="600">
        <v>21</v>
      </c>
      <c r="AL919" s="601">
        <v>0</v>
      </c>
      <c r="AM919" s="601">
        <v>0</v>
      </c>
      <c r="AN919" s="599">
        <v>21</v>
      </c>
    </row>
    <row r="920" spans="1:40" ht="16.5" customHeight="1">
      <c r="A920" s="598" t="s">
        <v>3337</v>
      </c>
      <c r="B920" s="598" t="s">
        <v>3349</v>
      </c>
      <c r="C920" s="598" t="s">
        <v>2576</v>
      </c>
      <c r="D920" s="598" t="s">
        <v>2577</v>
      </c>
      <c r="E920" s="598" t="s">
        <v>321</v>
      </c>
      <c r="F920" s="598" t="s">
        <v>3309</v>
      </c>
      <c r="G920" s="598" t="s">
        <v>3309</v>
      </c>
      <c r="H920" s="598" t="s">
        <v>3309</v>
      </c>
      <c r="I920" s="598" t="s">
        <v>3314</v>
      </c>
      <c r="J920" s="598" t="s">
        <v>3312</v>
      </c>
      <c r="K920" s="598" t="s">
        <v>321</v>
      </c>
      <c r="L920" s="598" t="s">
        <v>321</v>
      </c>
      <c r="M920" s="598" t="s">
        <v>3309</v>
      </c>
      <c r="N920" s="598" t="s">
        <v>3309</v>
      </c>
      <c r="O920" s="598" t="s">
        <v>3309</v>
      </c>
      <c r="P920" s="598" t="s">
        <v>3309</v>
      </c>
      <c r="Q920" s="598" t="s">
        <v>3309</v>
      </c>
      <c r="R920" s="598" t="s">
        <v>321</v>
      </c>
      <c r="S920" s="598" t="s">
        <v>321</v>
      </c>
      <c r="T920" s="598" t="s">
        <v>3313</v>
      </c>
      <c r="U920" s="598" t="s">
        <v>3313</v>
      </c>
      <c r="V920" s="598" t="s">
        <v>3309</v>
      </c>
      <c r="W920" s="598" t="s">
        <v>3309</v>
      </c>
      <c r="X920" s="598" t="s">
        <v>3309</v>
      </c>
      <c r="Y920" s="598" t="s">
        <v>321</v>
      </c>
      <c r="Z920" s="598" t="s">
        <v>321</v>
      </c>
      <c r="AA920" s="598" t="s">
        <v>3309</v>
      </c>
      <c r="AB920" s="598" t="s">
        <v>3309</v>
      </c>
      <c r="AC920" s="598" t="s">
        <v>3309</v>
      </c>
      <c r="AD920" s="598" t="s">
        <v>3309</v>
      </c>
      <c r="AE920" s="598" t="s">
        <v>3309</v>
      </c>
      <c r="AF920" s="598" t="s">
        <v>321</v>
      </c>
      <c r="AG920" s="598" t="s">
        <v>321</v>
      </c>
      <c r="AH920" s="598" t="s">
        <v>3309</v>
      </c>
      <c r="AI920" s="598" t="s">
        <v>321</v>
      </c>
      <c r="AJ920" s="599">
        <v>21</v>
      </c>
      <c r="AK920" s="603">
        <v>19.5</v>
      </c>
      <c r="AL920" s="603">
        <v>1.5</v>
      </c>
      <c r="AM920" s="601">
        <v>0</v>
      </c>
      <c r="AN920" s="599">
        <v>21</v>
      </c>
    </row>
    <row r="921" spans="1:40" ht="16.5" customHeight="1">
      <c r="A921" s="598" t="s">
        <v>3337</v>
      </c>
      <c r="B921" s="598" t="s">
        <v>3349</v>
      </c>
      <c r="C921" s="598" t="s">
        <v>2388</v>
      </c>
      <c r="D921" s="598" t="s">
        <v>2389</v>
      </c>
      <c r="E921" s="598" t="s">
        <v>321</v>
      </c>
      <c r="F921" s="598" t="s">
        <v>3309</v>
      </c>
      <c r="G921" s="598" t="s">
        <v>3309</v>
      </c>
      <c r="H921" s="598" t="s">
        <v>3309</v>
      </c>
      <c r="I921" s="598" t="s">
        <v>3309</v>
      </c>
      <c r="J921" s="598" t="s">
        <v>3309</v>
      </c>
      <c r="K921" s="598" t="s">
        <v>321</v>
      </c>
      <c r="L921" s="598" t="s">
        <v>321</v>
      </c>
      <c r="M921" s="598" t="s">
        <v>3309</v>
      </c>
      <c r="N921" s="598" t="s">
        <v>3309</v>
      </c>
      <c r="O921" s="598" t="s">
        <v>3309</v>
      </c>
      <c r="P921" s="598" t="s">
        <v>3309</v>
      </c>
      <c r="Q921" s="598" t="s">
        <v>3309</v>
      </c>
      <c r="R921" s="598" t="s">
        <v>321</v>
      </c>
      <c r="S921" s="598" t="s">
        <v>321</v>
      </c>
      <c r="T921" s="598" t="s">
        <v>3309</v>
      </c>
      <c r="U921" s="598" t="s">
        <v>3309</v>
      </c>
      <c r="V921" s="598" t="s">
        <v>3309</v>
      </c>
      <c r="W921" s="598" t="s">
        <v>3309</v>
      </c>
      <c r="X921" s="598" t="s">
        <v>3309</v>
      </c>
      <c r="Y921" s="598" t="s">
        <v>321</v>
      </c>
      <c r="Z921" s="598" t="s">
        <v>321</v>
      </c>
      <c r="AA921" s="598" t="s">
        <v>3309</v>
      </c>
      <c r="AB921" s="598" t="s">
        <v>3309</v>
      </c>
      <c r="AC921" s="598" t="s">
        <v>3309</v>
      </c>
      <c r="AD921" s="598" t="s">
        <v>3309</v>
      </c>
      <c r="AE921" s="598" t="s">
        <v>3309</v>
      </c>
      <c r="AF921" s="598" t="s">
        <v>321</v>
      </c>
      <c r="AG921" s="598" t="s">
        <v>321</v>
      </c>
      <c r="AH921" s="598" t="s">
        <v>3309</v>
      </c>
      <c r="AI921" s="598" t="s">
        <v>321</v>
      </c>
      <c r="AJ921" s="599">
        <v>21</v>
      </c>
      <c r="AK921" s="600">
        <v>21</v>
      </c>
      <c r="AL921" s="601">
        <v>0</v>
      </c>
      <c r="AM921" s="601">
        <v>0</v>
      </c>
      <c r="AN921" s="599">
        <v>21</v>
      </c>
    </row>
    <row r="922" spans="1:40" ht="16.5" customHeight="1">
      <c r="A922" s="598" t="s">
        <v>3337</v>
      </c>
      <c r="B922" s="598" t="s">
        <v>3349</v>
      </c>
      <c r="C922" s="598" t="s">
        <v>1877</v>
      </c>
      <c r="D922" s="598" t="s">
        <v>1878</v>
      </c>
      <c r="E922" s="598" t="s">
        <v>321</v>
      </c>
      <c r="F922" s="598" t="s">
        <v>3309</v>
      </c>
      <c r="G922" s="598" t="s">
        <v>3309</v>
      </c>
      <c r="H922" s="598" t="s">
        <v>3309</v>
      </c>
      <c r="I922" s="598" t="s">
        <v>3309</v>
      </c>
      <c r="J922" s="598" t="s">
        <v>3309</v>
      </c>
      <c r="K922" s="598" t="s">
        <v>321</v>
      </c>
      <c r="L922" s="598" t="s">
        <v>321</v>
      </c>
      <c r="M922" s="598" t="s">
        <v>3309</v>
      </c>
      <c r="N922" s="598" t="s">
        <v>3309</v>
      </c>
      <c r="O922" s="598" t="s">
        <v>3309</v>
      </c>
      <c r="P922" s="598" t="s">
        <v>3309</v>
      </c>
      <c r="Q922" s="598" t="s">
        <v>3309</v>
      </c>
      <c r="R922" s="598" t="s">
        <v>321</v>
      </c>
      <c r="S922" s="598" t="s">
        <v>321</v>
      </c>
      <c r="T922" s="598" t="s">
        <v>3309</v>
      </c>
      <c r="U922" s="598" t="s">
        <v>3309</v>
      </c>
      <c r="V922" s="598" t="s">
        <v>3309</v>
      </c>
      <c r="W922" s="598" t="s">
        <v>3309</v>
      </c>
      <c r="X922" s="598" t="s">
        <v>3309</v>
      </c>
      <c r="Y922" s="598" t="s">
        <v>321</v>
      </c>
      <c r="Z922" s="598" t="s">
        <v>321</v>
      </c>
      <c r="AA922" s="598" t="s">
        <v>3309</v>
      </c>
      <c r="AB922" s="598" t="s">
        <v>3309</v>
      </c>
      <c r="AC922" s="598" t="s">
        <v>3309</v>
      </c>
      <c r="AD922" s="598" t="s">
        <v>3309</v>
      </c>
      <c r="AE922" s="598" t="s">
        <v>3309</v>
      </c>
      <c r="AF922" s="598" t="s">
        <v>321</v>
      </c>
      <c r="AG922" s="598" t="s">
        <v>321</v>
      </c>
      <c r="AH922" s="598" t="s">
        <v>3309</v>
      </c>
      <c r="AI922" s="598" t="s">
        <v>321</v>
      </c>
      <c r="AJ922" s="599">
        <v>21</v>
      </c>
      <c r="AK922" s="600">
        <v>21</v>
      </c>
      <c r="AL922" s="601">
        <v>0</v>
      </c>
      <c r="AM922" s="601">
        <v>0</v>
      </c>
      <c r="AN922" s="599">
        <v>21</v>
      </c>
    </row>
    <row r="923" spans="1:40" ht="16.5" customHeight="1">
      <c r="A923" s="598" t="s">
        <v>3337</v>
      </c>
      <c r="B923" s="598" t="s">
        <v>3349</v>
      </c>
      <c r="C923" s="598" t="s">
        <v>2235</v>
      </c>
      <c r="D923" s="598" t="s">
        <v>2236</v>
      </c>
      <c r="E923" s="598" t="s">
        <v>321</v>
      </c>
      <c r="F923" s="598" t="s">
        <v>3309</v>
      </c>
      <c r="G923" s="598" t="s">
        <v>3309</v>
      </c>
      <c r="H923" s="598" t="s">
        <v>3309</v>
      </c>
      <c r="I923" s="598" t="s">
        <v>3309</v>
      </c>
      <c r="J923" s="598" t="s">
        <v>3309</v>
      </c>
      <c r="K923" s="598" t="s">
        <v>321</v>
      </c>
      <c r="L923" s="598" t="s">
        <v>321</v>
      </c>
      <c r="M923" s="598" t="s">
        <v>321</v>
      </c>
      <c r="N923" s="598" t="s">
        <v>321</v>
      </c>
      <c r="O923" s="598" t="s">
        <v>321</v>
      </c>
      <c r="P923" s="598" t="s">
        <v>321</v>
      </c>
      <c r="Q923" s="598" t="s">
        <v>321</v>
      </c>
      <c r="R923" s="598" t="s">
        <v>321</v>
      </c>
      <c r="S923" s="598" t="s">
        <v>321</v>
      </c>
      <c r="T923" s="598" t="s">
        <v>321</v>
      </c>
      <c r="U923" s="598" t="s">
        <v>321</v>
      </c>
      <c r="V923" s="598" t="s">
        <v>321</v>
      </c>
      <c r="W923" s="598" t="s">
        <v>321</v>
      </c>
      <c r="X923" s="598" t="s">
        <v>321</v>
      </c>
      <c r="Y923" s="598" t="s">
        <v>321</v>
      </c>
      <c r="Z923" s="598" t="s">
        <v>321</v>
      </c>
      <c r="AA923" s="598" t="s">
        <v>321</v>
      </c>
      <c r="AB923" s="598" t="s">
        <v>321</v>
      </c>
      <c r="AC923" s="598" t="s">
        <v>321</v>
      </c>
      <c r="AD923" s="598" t="s">
        <v>321</v>
      </c>
      <c r="AE923" s="598" t="s">
        <v>321</v>
      </c>
      <c r="AF923" s="598" t="s">
        <v>321</v>
      </c>
      <c r="AG923" s="598" t="s">
        <v>321</v>
      </c>
      <c r="AH923" s="598" t="s">
        <v>321</v>
      </c>
      <c r="AI923" s="598" t="s">
        <v>321</v>
      </c>
      <c r="AJ923" s="599">
        <v>21</v>
      </c>
      <c r="AK923" s="602">
        <v>5</v>
      </c>
      <c r="AL923" s="601">
        <v>0</v>
      </c>
      <c r="AM923" s="601">
        <v>0</v>
      </c>
      <c r="AN923" s="606">
        <v>5</v>
      </c>
    </row>
    <row r="924" spans="1:40" ht="16.5" customHeight="1">
      <c r="A924" s="598" t="s">
        <v>3337</v>
      </c>
      <c r="B924" s="598" t="s">
        <v>3349</v>
      </c>
      <c r="C924" s="598" t="s">
        <v>2260</v>
      </c>
      <c r="D924" s="598" t="s">
        <v>2261</v>
      </c>
      <c r="E924" s="598" t="s">
        <v>321</v>
      </c>
      <c r="F924" s="598" t="s">
        <v>3309</v>
      </c>
      <c r="G924" s="598" t="s">
        <v>3309</v>
      </c>
      <c r="H924" s="598" t="s">
        <v>3309</v>
      </c>
      <c r="I924" s="598" t="s">
        <v>3309</v>
      </c>
      <c r="J924" s="598" t="s">
        <v>3309</v>
      </c>
      <c r="K924" s="598" t="s">
        <v>321</v>
      </c>
      <c r="L924" s="598" t="s">
        <v>321</v>
      </c>
      <c r="M924" s="598" t="s">
        <v>3309</v>
      </c>
      <c r="N924" s="598" t="s">
        <v>3309</v>
      </c>
      <c r="O924" s="598" t="s">
        <v>3314</v>
      </c>
      <c r="P924" s="598" t="s">
        <v>3313</v>
      </c>
      <c r="Q924" s="598" t="s">
        <v>3313</v>
      </c>
      <c r="R924" s="598" t="s">
        <v>321</v>
      </c>
      <c r="S924" s="598" t="s">
        <v>321</v>
      </c>
      <c r="T924" s="598" t="s">
        <v>3313</v>
      </c>
      <c r="U924" s="598" t="s">
        <v>3314</v>
      </c>
      <c r="V924" s="598" t="s">
        <v>3309</v>
      </c>
      <c r="W924" s="598" t="s">
        <v>3309</v>
      </c>
      <c r="X924" s="598" t="s">
        <v>3309</v>
      </c>
      <c r="Y924" s="598" t="s">
        <v>321</v>
      </c>
      <c r="Z924" s="598" t="s">
        <v>321</v>
      </c>
      <c r="AA924" s="598" t="s">
        <v>3309</v>
      </c>
      <c r="AB924" s="598" t="s">
        <v>3309</v>
      </c>
      <c r="AC924" s="598" t="s">
        <v>3309</v>
      </c>
      <c r="AD924" s="598" t="s">
        <v>3309</v>
      </c>
      <c r="AE924" s="598" t="s">
        <v>3309</v>
      </c>
      <c r="AF924" s="598" t="s">
        <v>321</v>
      </c>
      <c r="AG924" s="598" t="s">
        <v>321</v>
      </c>
      <c r="AH924" s="598" t="s">
        <v>3309</v>
      </c>
      <c r="AI924" s="598" t="s">
        <v>321</v>
      </c>
      <c r="AJ924" s="599">
        <v>21</v>
      </c>
      <c r="AK924" s="600">
        <v>20</v>
      </c>
      <c r="AL924" s="602">
        <v>1</v>
      </c>
      <c r="AM924" s="601">
        <v>0</v>
      </c>
      <c r="AN924" s="599">
        <v>21</v>
      </c>
    </row>
    <row r="925" spans="1:40" ht="16.5" customHeight="1">
      <c r="A925" s="598" t="s">
        <v>3337</v>
      </c>
      <c r="B925" s="598" t="s">
        <v>3349</v>
      </c>
      <c r="C925" s="598" t="s">
        <v>2911</v>
      </c>
      <c r="D925" s="598" t="s">
        <v>2912</v>
      </c>
      <c r="E925" s="598" t="s">
        <v>321</v>
      </c>
      <c r="F925" s="598" t="s">
        <v>3309</v>
      </c>
      <c r="G925" s="598" t="s">
        <v>3309</v>
      </c>
      <c r="H925" s="598" t="s">
        <v>3309</v>
      </c>
      <c r="I925" s="598" t="s">
        <v>3309</v>
      </c>
      <c r="J925" s="598" t="s">
        <v>3309</v>
      </c>
      <c r="K925" s="598" t="s">
        <v>321</v>
      </c>
      <c r="L925" s="598" t="s">
        <v>321</v>
      </c>
      <c r="M925" s="598" t="s">
        <v>3309</v>
      </c>
      <c r="N925" s="598" t="s">
        <v>3309</v>
      </c>
      <c r="O925" s="598" t="s">
        <v>3309</v>
      </c>
      <c r="P925" s="598" t="s">
        <v>3309</v>
      </c>
      <c r="Q925" s="598" t="s">
        <v>3309</v>
      </c>
      <c r="R925" s="598" t="s">
        <v>321</v>
      </c>
      <c r="S925" s="598" t="s">
        <v>321</v>
      </c>
      <c r="T925" s="598" t="s">
        <v>3309</v>
      </c>
      <c r="U925" s="598" t="s">
        <v>3309</v>
      </c>
      <c r="V925" s="598" t="s">
        <v>3309</v>
      </c>
      <c r="W925" s="598" t="s">
        <v>3309</v>
      </c>
      <c r="X925" s="598" t="s">
        <v>3309</v>
      </c>
      <c r="Y925" s="598" t="s">
        <v>321</v>
      </c>
      <c r="Z925" s="598" t="s">
        <v>321</v>
      </c>
      <c r="AA925" s="598" t="s">
        <v>3309</v>
      </c>
      <c r="AB925" s="598" t="s">
        <v>3309</v>
      </c>
      <c r="AC925" s="598" t="s">
        <v>3309</v>
      </c>
      <c r="AD925" s="598" t="s">
        <v>3309</v>
      </c>
      <c r="AE925" s="598" t="s">
        <v>3309</v>
      </c>
      <c r="AF925" s="598" t="s">
        <v>321</v>
      </c>
      <c r="AG925" s="598" t="s">
        <v>321</v>
      </c>
      <c r="AH925" s="598" t="s">
        <v>3309</v>
      </c>
      <c r="AI925" s="598" t="s">
        <v>321</v>
      </c>
      <c r="AJ925" s="599">
        <v>21</v>
      </c>
      <c r="AK925" s="600">
        <v>21</v>
      </c>
      <c r="AL925" s="601">
        <v>0</v>
      </c>
      <c r="AM925" s="601">
        <v>0</v>
      </c>
      <c r="AN925" s="599">
        <v>21</v>
      </c>
    </row>
    <row r="926" spans="1:40" ht="16.5" customHeight="1">
      <c r="A926" s="598" t="s">
        <v>3337</v>
      </c>
      <c r="B926" s="598" t="s">
        <v>3349</v>
      </c>
      <c r="C926" s="598" t="s">
        <v>1736</v>
      </c>
      <c r="D926" s="598" t="s">
        <v>1737</v>
      </c>
      <c r="E926" s="598" t="s">
        <v>321</v>
      </c>
      <c r="F926" s="598" t="s">
        <v>3309</v>
      </c>
      <c r="G926" s="598" t="s">
        <v>3309</v>
      </c>
      <c r="H926" s="598" t="s">
        <v>3309</v>
      </c>
      <c r="I926" s="598" t="s">
        <v>3309</v>
      </c>
      <c r="J926" s="598" t="s">
        <v>3309</v>
      </c>
      <c r="K926" s="598" t="s">
        <v>321</v>
      </c>
      <c r="L926" s="598" t="s">
        <v>321</v>
      </c>
      <c r="M926" s="598" t="s">
        <v>3309</v>
      </c>
      <c r="N926" s="598" t="s">
        <v>3309</v>
      </c>
      <c r="O926" s="598" t="s">
        <v>3309</v>
      </c>
      <c r="P926" s="598" t="s">
        <v>3309</v>
      </c>
      <c r="Q926" s="598" t="s">
        <v>3309</v>
      </c>
      <c r="R926" s="598" t="s">
        <v>321</v>
      </c>
      <c r="S926" s="598" t="s">
        <v>321</v>
      </c>
      <c r="T926" s="598" t="s">
        <v>3309</v>
      </c>
      <c r="U926" s="598" t="s">
        <v>3309</v>
      </c>
      <c r="V926" s="598" t="s">
        <v>3309</v>
      </c>
      <c r="W926" s="598" t="s">
        <v>3309</v>
      </c>
      <c r="X926" s="598" t="s">
        <v>3309</v>
      </c>
      <c r="Y926" s="598" t="s">
        <v>321</v>
      </c>
      <c r="Z926" s="598" t="s">
        <v>321</v>
      </c>
      <c r="AA926" s="598" t="s">
        <v>3309</v>
      </c>
      <c r="AB926" s="598" t="s">
        <v>3309</v>
      </c>
      <c r="AC926" s="598" t="s">
        <v>3309</v>
      </c>
      <c r="AD926" s="598" t="s">
        <v>3309</v>
      </c>
      <c r="AE926" s="598" t="s">
        <v>3312</v>
      </c>
      <c r="AF926" s="598" t="s">
        <v>321</v>
      </c>
      <c r="AG926" s="598" t="s">
        <v>321</v>
      </c>
      <c r="AH926" s="598" t="s">
        <v>3309</v>
      </c>
      <c r="AI926" s="598" t="s">
        <v>321</v>
      </c>
      <c r="AJ926" s="599">
        <v>21</v>
      </c>
      <c r="AK926" s="600">
        <v>20</v>
      </c>
      <c r="AL926" s="602">
        <v>1</v>
      </c>
      <c r="AM926" s="601">
        <v>0</v>
      </c>
      <c r="AN926" s="599">
        <v>21</v>
      </c>
    </row>
    <row r="927" spans="1:40" ht="16.5" customHeight="1">
      <c r="A927" s="598" t="s">
        <v>3337</v>
      </c>
      <c r="B927" s="598" t="s">
        <v>3349</v>
      </c>
      <c r="C927" s="598" t="s">
        <v>1523</v>
      </c>
      <c r="D927" s="598" t="s">
        <v>1524</v>
      </c>
      <c r="E927" s="598" t="s">
        <v>321</v>
      </c>
      <c r="F927" s="598" t="s">
        <v>3309</v>
      </c>
      <c r="G927" s="598" t="s">
        <v>3309</v>
      </c>
      <c r="H927" s="598" t="s">
        <v>3309</v>
      </c>
      <c r="I927" s="598" t="s">
        <v>3309</v>
      </c>
      <c r="J927" s="598" t="s">
        <v>3309</v>
      </c>
      <c r="K927" s="598" t="s">
        <v>321</v>
      </c>
      <c r="L927" s="598" t="s">
        <v>321</v>
      </c>
      <c r="M927" s="598" t="s">
        <v>3309</v>
      </c>
      <c r="N927" s="598" t="s">
        <v>3309</v>
      </c>
      <c r="O927" s="598" t="s">
        <v>3309</v>
      </c>
      <c r="P927" s="598" t="s">
        <v>3309</v>
      </c>
      <c r="Q927" s="598" t="s">
        <v>3309</v>
      </c>
      <c r="R927" s="598" t="s">
        <v>321</v>
      </c>
      <c r="S927" s="598" t="s">
        <v>321</v>
      </c>
      <c r="T927" s="598" t="s">
        <v>3309</v>
      </c>
      <c r="U927" s="598" t="s">
        <v>3309</v>
      </c>
      <c r="V927" s="598" t="s">
        <v>3309</v>
      </c>
      <c r="W927" s="598" t="s">
        <v>3309</v>
      </c>
      <c r="X927" s="598" t="s">
        <v>3309</v>
      </c>
      <c r="Y927" s="598" t="s">
        <v>321</v>
      </c>
      <c r="Z927" s="598" t="s">
        <v>321</v>
      </c>
      <c r="AA927" s="598" t="s">
        <v>3309</v>
      </c>
      <c r="AB927" s="598" t="s">
        <v>3309</v>
      </c>
      <c r="AC927" s="598" t="s">
        <v>3309</v>
      </c>
      <c r="AD927" s="598" t="s">
        <v>3309</v>
      </c>
      <c r="AE927" s="598" t="s">
        <v>3309</v>
      </c>
      <c r="AF927" s="598" t="s">
        <v>321</v>
      </c>
      <c r="AG927" s="598" t="s">
        <v>321</v>
      </c>
      <c r="AH927" s="598" t="s">
        <v>3309</v>
      </c>
      <c r="AI927" s="598" t="s">
        <v>321</v>
      </c>
      <c r="AJ927" s="599">
        <v>21</v>
      </c>
      <c r="AK927" s="600">
        <v>21</v>
      </c>
      <c r="AL927" s="601">
        <v>0</v>
      </c>
      <c r="AM927" s="601">
        <v>0</v>
      </c>
      <c r="AN927" s="599">
        <v>21</v>
      </c>
    </row>
    <row r="928" spans="1:40" ht="16.5" customHeight="1">
      <c r="A928" s="598" t="s">
        <v>3337</v>
      </c>
      <c r="B928" s="598" t="s">
        <v>3349</v>
      </c>
      <c r="C928" s="598" t="s">
        <v>1417</v>
      </c>
      <c r="D928" s="598" t="s">
        <v>1418</v>
      </c>
      <c r="E928" s="598" t="s">
        <v>321</v>
      </c>
      <c r="F928" s="598" t="s">
        <v>3309</v>
      </c>
      <c r="G928" s="598" t="s">
        <v>3309</v>
      </c>
      <c r="H928" s="598" t="s">
        <v>3309</v>
      </c>
      <c r="I928" s="598" t="s">
        <v>3309</v>
      </c>
      <c r="J928" s="598" t="s">
        <v>3309</v>
      </c>
      <c r="K928" s="598" t="s">
        <v>321</v>
      </c>
      <c r="L928" s="598" t="s">
        <v>321</v>
      </c>
      <c r="M928" s="598" t="s">
        <v>3309</v>
      </c>
      <c r="N928" s="598" t="s">
        <v>3309</v>
      </c>
      <c r="O928" s="598" t="s">
        <v>3309</v>
      </c>
      <c r="P928" s="598" t="s">
        <v>3309</v>
      </c>
      <c r="Q928" s="598" t="s">
        <v>3309</v>
      </c>
      <c r="R928" s="598" t="s">
        <v>321</v>
      </c>
      <c r="S928" s="598" t="s">
        <v>321</v>
      </c>
      <c r="T928" s="598" t="s">
        <v>3309</v>
      </c>
      <c r="U928" s="598" t="s">
        <v>3309</v>
      </c>
      <c r="V928" s="598" t="s">
        <v>3309</v>
      </c>
      <c r="W928" s="598" t="s">
        <v>3309</v>
      </c>
      <c r="X928" s="598" t="s">
        <v>3309</v>
      </c>
      <c r="Y928" s="598" t="s">
        <v>321</v>
      </c>
      <c r="Z928" s="598" t="s">
        <v>321</v>
      </c>
      <c r="AA928" s="598" t="s">
        <v>3309</v>
      </c>
      <c r="AB928" s="598" t="s">
        <v>3309</v>
      </c>
      <c r="AC928" s="598" t="s">
        <v>3309</v>
      </c>
      <c r="AD928" s="598" t="s">
        <v>3309</v>
      </c>
      <c r="AE928" s="598" t="s">
        <v>3309</v>
      </c>
      <c r="AF928" s="598" t="s">
        <v>321</v>
      </c>
      <c r="AG928" s="598" t="s">
        <v>321</v>
      </c>
      <c r="AH928" s="598" t="s">
        <v>3309</v>
      </c>
      <c r="AI928" s="598" t="s">
        <v>321</v>
      </c>
      <c r="AJ928" s="599">
        <v>21</v>
      </c>
      <c r="AK928" s="600">
        <v>21</v>
      </c>
      <c r="AL928" s="601">
        <v>0</v>
      </c>
      <c r="AM928" s="601">
        <v>0</v>
      </c>
      <c r="AN928" s="599">
        <v>21</v>
      </c>
    </row>
    <row r="929" spans="1:40" ht="16.5" customHeight="1">
      <c r="A929" s="598" t="s">
        <v>3337</v>
      </c>
      <c r="B929" s="598" t="s">
        <v>3349</v>
      </c>
      <c r="C929" s="598" t="s">
        <v>1031</v>
      </c>
      <c r="D929" s="598" t="s">
        <v>1032</v>
      </c>
      <c r="E929" s="598" t="s">
        <v>321</v>
      </c>
      <c r="F929" s="598" t="s">
        <v>3309</v>
      </c>
      <c r="G929" s="598" t="s">
        <v>3309</v>
      </c>
      <c r="H929" s="598" t="s">
        <v>3309</v>
      </c>
      <c r="I929" s="598" t="s">
        <v>3309</v>
      </c>
      <c r="J929" s="598" t="s">
        <v>3309</v>
      </c>
      <c r="K929" s="598" t="s">
        <v>321</v>
      </c>
      <c r="L929" s="598" t="s">
        <v>321</v>
      </c>
      <c r="M929" s="598" t="s">
        <v>3309</v>
      </c>
      <c r="N929" s="598" t="s">
        <v>3309</v>
      </c>
      <c r="O929" s="598" t="s">
        <v>3309</v>
      </c>
      <c r="P929" s="598" t="s">
        <v>3309</v>
      </c>
      <c r="Q929" s="598" t="s">
        <v>3309</v>
      </c>
      <c r="R929" s="598" t="s">
        <v>321</v>
      </c>
      <c r="S929" s="598" t="s">
        <v>321</v>
      </c>
      <c r="T929" s="598" t="s">
        <v>3309</v>
      </c>
      <c r="U929" s="598" t="s">
        <v>3309</v>
      </c>
      <c r="V929" s="598" t="s">
        <v>3309</v>
      </c>
      <c r="W929" s="598" t="s">
        <v>3309</v>
      </c>
      <c r="X929" s="598" t="s">
        <v>3309</v>
      </c>
      <c r="Y929" s="598" t="s">
        <v>321</v>
      </c>
      <c r="Z929" s="598" t="s">
        <v>321</v>
      </c>
      <c r="AA929" s="598" t="s">
        <v>3309</v>
      </c>
      <c r="AB929" s="598" t="s">
        <v>3309</v>
      </c>
      <c r="AC929" s="598" t="s">
        <v>3309</v>
      </c>
      <c r="AD929" s="598" t="s">
        <v>3309</v>
      </c>
      <c r="AE929" s="598" t="s">
        <v>3309</v>
      </c>
      <c r="AF929" s="598" t="s">
        <v>321</v>
      </c>
      <c r="AG929" s="598" t="s">
        <v>321</v>
      </c>
      <c r="AH929" s="598" t="s">
        <v>3309</v>
      </c>
      <c r="AI929" s="598" t="s">
        <v>321</v>
      </c>
      <c r="AJ929" s="599">
        <v>21</v>
      </c>
      <c r="AK929" s="600">
        <v>21</v>
      </c>
      <c r="AL929" s="601">
        <v>0</v>
      </c>
      <c r="AM929" s="601">
        <v>0</v>
      </c>
      <c r="AN929" s="599">
        <v>21</v>
      </c>
    </row>
    <row r="930" spans="1:40" ht="16.5" customHeight="1">
      <c r="A930" s="598" t="s">
        <v>3337</v>
      </c>
      <c r="B930" s="598" t="s">
        <v>3349</v>
      </c>
      <c r="C930" s="598" t="s">
        <v>1222</v>
      </c>
      <c r="D930" s="598" t="s">
        <v>1223</v>
      </c>
      <c r="E930" s="598" t="s">
        <v>321</v>
      </c>
      <c r="F930" s="598" t="s">
        <v>3309</v>
      </c>
      <c r="G930" s="598" t="s">
        <v>3309</v>
      </c>
      <c r="H930" s="598" t="s">
        <v>3309</v>
      </c>
      <c r="I930" s="598" t="s">
        <v>3309</v>
      </c>
      <c r="J930" s="598" t="s">
        <v>3309</v>
      </c>
      <c r="K930" s="598" t="s">
        <v>321</v>
      </c>
      <c r="L930" s="598" t="s">
        <v>321</v>
      </c>
      <c r="M930" s="598" t="s">
        <v>3309</v>
      </c>
      <c r="N930" s="598" t="s">
        <v>3309</v>
      </c>
      <c r="O930" s="598" t="s">
        <v>3309</v>
      </c>
      <c r="P930" s="598" t="s">
        <v>3309</v>
      </c>
      <c r="Q930" s="598" t="s">
        <v>3309</v>
      </c>
      <c r="R930" s="598" t="s">
        <v>321</v>
      </c>
      <c r="S930" s="598" t="s">
        <v>321</v>
      </c>
      <c r="T930" s="598" t="s">
        <v>3309</v>
      </c>
      <c r="U930" s="598" t="s">
        <v>3309</v>
      </c>
      <c r="V930" s="598" t="s">
        <v>3309</v>
      </c>
      <c r="W930" s="598" t="s">
        <v>3309</v>
      </c>
      <c r="X930" s="598" t="s">
        <v>3309</v>
      </c>
      <c r="Y930" s="598" t="s">
        <v>321</v>
      </c>
      <c r="Z930" s="598" t="s">
        <v>321</v>
      </c>
      <c r="AA930" s="598" t="s">
        <v>3309</v>
      </c>
      <c r="AB930" s="598" t="s">
        <v>3309</v>
      </c>
      <c r="AC930" s="598" t="s">
        <v>3309</v>
      </c>
      <c r="AD930" s="598" t="s">
        <v>3309</v>
      </c>
      <c r="AE930" s="598" t="s">
        <v>3309</v>
      </c>
      <c r="AF930" s="598" t="s">
        <v>321</v>
      </c>
      <c r="AG930" s="598" t="s">
        <v>321</v>
      </c>
      <c r="AH930" s="598" t="s">
        <v>3309</v>
      </c>
      <c r="AI930" s="598" t="s">
        <v>321</v>
      </c>
      <c r="AJ930" s="599">
        <v>21</v>
      </c>
      <c r="AK930" s="600">
        <v>21</v>
      </c>
      <c r="AL930" s="601">
        <v>0</v>
      </c>
      <c r="AM930" s="601">
        <v>0</v>
      </c>
      <c r="AN930" s="599">
        <v>21</v>
      </c>
    </row>
    <row r="931" spans="1:40" ht="16.5" customHeight="1">
      <c r="A931" s="598" t="s">
        <v>3337</v>
      </c>
      <c r="B931" s="598" t="s">
        <v>3350</v>
      </c>
      <c r="C931" s="598" t="s">
        <v>1141</v>
      </c>
      <c r="D931" s="598" t="s">
        <v>1142</v>
      </c>
      <c r="E931" s="598" t="s">
        <v>321</v>
      </c>
      <c r="F931" s="598" t="s">
        <v>3309</v>
      </c>
      <c r="G931" s="598" t="s">
        <v>3309</v>
      </c>
      <c r="H931" s="598" t="s">
        <v>3309</v>
      </c>
      <c r="I931" s="598" t="s">
        <v>3309</v>
      </c>
      <c r="J931" s="598" t="s">
        <v>3309</v>
      </c>
      <c r="K931" s="598" t="s">
        <v>321</v>
      </c>
      <c r="L931" s="598" t="s">
        <v>321</v>
      </c>
      <c r="M931" s="598" t="s">
        <v>3309</v>
      </c>
      <c r="N931" s="598" t="s">
        <v>3309</v>
      </c>
      <c r="O931" s="598" t="s">
        <v>3309</v>
      </c>
      <c r="P931" s="598" t="s">
        <v>3309</v>
      </c>
      <c r="Q931" s="598" t="s">
        <v>3309</v>
      </c>
      <c r="R931" s="598" t="s">
        <v>321</v>
      </c>
      <c r="S931" s="598" t="s">
        <v>321</v>
      </c>
      <c r="T931" s="598" t="s">
        <v>3309</v>
      </c>
      <c r="U931" s="598" t="s">
        <v>3309</v>
      </c>
      <c r="V931" s="598" t="s">
        <v>3309</v>
      </c>
      <c r="W931" s="598" t="s">
        <v>3309</v>
      </c>
      <c r="X931" s="598" t="s">
        <v>3309</v>
      </c>
      <c r="Y931" s="598" t="s">
        <v>321</v>
      </c>
      <c r="Z931" s="598" t="s">
        <v>321</v>
      </c>
      <c r="AA931" s="598" t="s">
        <v>3309</v>
      </c>
      <c r="AB931" s="598" t="s">
        <v>3309</v>
      </c>
      <c r="AC931" s="598" t="s">
        <v>3309</v>
      </c>
      <c r="AD931" s="598" t="s">
        <v>3309</v>
      </c>
      <c r="AE931" s="598" t="s">
        <v>3309</v>
      </c>
      <c r="AF931" s="598" t="s">
        <v>321</v>
      </c>
      <c r="AG931" s="598" t="s">
        <v>321</v>
      </c>
      <c r="AH931" s="598" t="s">
        <v>3309</v>
      </c>
      <c r="AI931" s="598" t="s">
        <v>321</v>
      </c>
      <c r="AJ931" s="599">
        <v>21</v>
      </c>
      <c r="AK931" s="600">
        <v>21</v>
      </c>
      <c r="AL931" s="601">
        <v>0</v>
      </c>
      <c r="AM931" s="601">
        <v>0</v>
      </c>
      <c r="AN931" s="599">
        <v>21</v>
      </c>
    </row>
    <row r="932" spans="1:40" ht="16.5" customHeight="1">
      <c r="A932" s="598" t="s">
        <v>3337</v>
      </c>
      <c r="B932" s="598" t="s">
        <v>3350</v>
      </c>
      <c r="C932" s="598" t="s">
        <v>1952</v>
      </c>
      <c r="D932" s="598" t="s">
        <v>1953</v>
      </c>
      <c r="E932" s="598" t="s">
        <v>321</v>
      </c>
      <c r="F932" s="598" t="s">
        <v>3309</v>
      </c>
      <c r="G932" s="598" t="s">
        <v>3309</v>
      </c>
      <c r="H932" s="598" t="s">
        <v>3309</v>
      </c>
      <c r="I932" s="598" t="s">
        <v>3309</v>
      </c>
      <c r="J932" s="598" t="s">
        <v>3309</v>
      </c>
      <c r="K932" s="598" t="s">
        <v>321</v>
      </c>
      <c r="L932" s="598" t="s">
        <v>321</v>
      </c>
      <c r="M932" s="598" t="s">
        <v>3309</v>
      </c>
      <c r="N932" s="598" t="s">
        <v>3309</v>
      </c>
      <c r="O932" s="598" t="s">
        <v>3309</v>
      </c>
      <c r="P932" s="598" t="s">
        <v>3309</v>
      </c>
      <c r="Q932" s="598" t="s">
        <v>3309</v>
      </c>
      <c r="R932" s="598" t="s">
        <v>321</v>
      </c>
      <c r="S932" s="598" t="s">
        <v>321</v>
      </c>
      <c r="T932" s="598" t="s">
        <v>3309</v>
      </c>
      <c r="U932" s="598" t="s">
        <v>3309</v>
      </c>
      <c r="V932" s="598" t="s">
        <v>3309</v>
      </c>
      <c r="W932" s="598" t="s">
        <v>3309</v>
      </c>
      <c r="X932" s="598" t="s">
        <v>3309</v>
      </c>
      <c r="Y932" s="598" t="s">
        <v>321</v>
      </c>
      <c r="Z932" s="598" t="s">
        <v>321</v>
      </c>
      <c r="AA932" s="598" t="s">
        <v>3309</v>
      </c>
      <c r="AB932" s="598" t="s">
        <v>3309</v>
      </c>
      <c r="AC932" s="598" t="s">
        <v>3309</v>
      </c>
      <c r="AD932" s="598" t="s">
        <v>3309</v>
      </c>
      <c r="AE932" s="598" t="s">
        <v>3309</v>
      </c>
      <c r="AF932" s="598" t="s">
        <v>321</v>
      </c>
      <c r="AG932" s="598" t="s">
        <v>321</v>
      </c>
      <c r="AH932" s="598" t="s">
        <v>3309</v>
      </c>
      <c r="AI932" s="598" t="s">
        <v>321</v>
      </c>
      <c r="AJ932" s="599">
        <v>21</v>
      </c>
      <c r="AK932" s="600">
        <v>21</v>
      </c>
      <c r="AL932" s="601">
        <v>0</v>
      </c>
      <c r="AM932" s="601">
        <v>0</v>
      </c>
      <c r="AN932" s="599">
        <v>21</v>
      </c>
    </row>
    <row r="933" spans="1:40" ht="16.5" customHeight="1">
      <c r="A933" s="598" t="s">
        <v>3337</v>
      </c>
      <c r="B933" s="598" t="s">
        <v>3350</v>
      </c>
      <c r="C933" s="598" t="s">
        <v>1865</v>
      </c>
      <c r="D933" s="598" t="s">
        <v>1866</v>
      </c>
      <c r="E933" s="598" t="s">
        <v>321</v>
      </c>
      <c r="F933" s="598" t="s">
        <v>3309</v>
      </c>
      <c r="G933" s="598" t="s">
        <v>3309</v>
      </c>
      <c r="H933" s="598" t="s">
        <v>3309</v>
      </c>
      <c r="I933" s="598" t="s">
        <v>3309</v>
      </c>
      <c r="J933" s="598" t="s">
        <v>3309</v>
      </c>
      <c r="K933" s="598" t="s">
        <v>321</v>
      </c>
      <c r="L933" s="598" t="s">
        <v>321</v>
      </c>
      <c r="M933" s="598" t="s">
        <v>3309</v>
      </c>
      <c r="N933" s="598" t="s">
        <v>3309</v>
      </c>
      <c r="O933" s="598" t="s">
        <v>3309</v>
      </c>
      <c r="P933" s="598" t="s">
        <v>3309</v>
      </c>
      <c r="Q933" s="598" t="s">
        <v>3309</v>
      </c>
      <c r="R933" s="598" t="s">
        <v>321</v>
      </c>
      <c r="S933" s="598" t="s">
        <v>321</v>
      </c>
      <c r="T933" s="598" t="s">
        <v>3309</v>
      </c>
      <c r="U933" s="598" t="s">
        <v>3309</v>
      </c>
      <c r="V933" s="598" t="s">
        <v>3309</v>
      </c>
      <c r="W933" s="598" t="s">
        <v>3309</v>
      </c>
      <c r="X933" s="598" t="s">
        <v>3309</v>
      </c>
      <c r="Y933" s="598" t="s">
        <v>321</v>
      </c>
      <c r="Z933" s="598" t="s">
        <v>321</v>
      </c>
      <c r="AA933" s="598" t="s">
        <v>3309</v>
      </c>
      <c r="AB933" s="598" t="s">
        <v>3309</v>
      </c>
      <c r="AC933" s="598" t="s">
        <v>3309</v>
      </c>
      <c r="AD933" s="598" t="s">
        <v>3309</v>
      </c>
      <c r="AE933" s="598" t="s">
        <v>3309</v>
      </c>
      <c r="AF933" s="598" t="s">
        <v>321</v>
      </c>
      <c r="AG933" s="598" t="s">
        <v>321</v>
      </c>
      <c r="AH933" s="598" t="s">
        <v>3309</v>
      </c>
      <c r="AI933" s="598" t="s">
        <v>321</v>
      </c>
      <c r="AJ933" s="599">
        <v>21</v>
      </c>
      <c r="AK933" s="600">
        <v>21</v>
      </c>
      <c r="AL933" s="601">
        <v>0</v>
      </c>
      <c r="AM933" s="601">
        <v>0</v>
      </c>
      <c r="AN933" s="599">
        <v>21</v>
      </c>
    </row>
    <row r="934" spans="1:40" ht="16.5" customHeight="1">
      <c r="A934" s="598" t="s">
        <v>3337</v>
      </c>
      <c r="B934" s="598" t="s">
        <v>3350</v>
      </c>
      <c r="C934" s="598" t="s">
        <v>1954</v>
      </c>
      <c r="D934" s="598" t="s">
        <v>1955</v>
      </c>
      <c r="E934" s="598" t="s">
        <v>321</v>
      </c>
      <c r="F934" s="598" t="s">
        <v>3309</v>
      </c>
      <c r="G934" s="598" t="s">
        <v>3309</v>
      </c>
      <c r="H934" s="598" t="s">
        <v>3309</v>
      </c>
      <c r="I934" s="598" t="s">
        <v>3309</v>
      </c>
      <c r="J934" s="598" t="s">
        <v>3309</v>
      </c>
      <c r="K934" s="598" t="s">
        <v>321</v>
      </c>
      <c r="L934" s="598" t="s">
        <v>321</v>
      </c>
      <c r="M934" s="598" t="s">
        <v>3309</v>
      </c>
      <c r="N934" s="598" t="s">
        <v>3309</v>
      </c>
      <c r="O934" s="598" t="s">
        <v>3309</v>
      </c>
      <c r="P934" s="598" t="s">
        <v>3309</v>
      </c>
      <c r="Q934" s="598" t="s">
        <v>3309</v>
      </c>
      <c r="R934" s="598" t="s">
        <v>321</v>
      </c>
      <c r="S934" s="598" t="s">
        <v>321</v>
      </c>
      <c r="T934" s="598" t="s">
        <v>3309</v>
      </c>
      <c r="U934" s="598" t="s">
        <v>3309</v>
      </c>
      <c r="V934" s="598" t="s">
        <v>3309</v>
      </c>
      <c r="W934" s="598" t="s">
        <v>3309</v>
      </c>
      <c r="X934" s="598" t="s">
        <v>3309</v>
      </c>
      <c r="Y934" s="598" t="s">
        <v>321</v>
      </c>
      <c r="Z934" s="598" t="s">
        <v>321</v>
      </c>
      <c r="AA934" s="598" t="s">
        <v>3309</v>
      </c>
      <c r="AB934" s="598" t="s">
        <v>3309</v>
      </c>
      <c r="AC934" s="598" t="s">
        <v>3309</v>
      </c>
      <c r="AD934" s="598" t="s">
        <v>3309</v>
      </c>
      <c r="AE934" s="598" t="s">
        <v>3312</v>
      </c>
      <c r="AF934" s="598" t="s">
        <v>321</v>
      </c>
      <c r="AG934" s="598" t="s">
        <v>321</v>
      </c>
      <c r="AH934" s="598" t="s">
        <v>3312</v>
      </c>
      <c r="AI934" s="598" t="s">
        <v>321</v>
      </c>
      <c r="AJ934" s="599">
        <v>21</v>
      </c>
      <c r="AK934" s="600">
        <v>19</v>
      </c>
      <c r="AL934" s="602">
        <v>2</v>
      </c>
      <c r="AM934" s="601">
        <v>0</v>
      </c>
      <c r="AN934" s="599">
        <v>21</v>
      </c>
    </row>
    <row r="935" spans="1:40" ht="16.5" customHeight="1">
      <c r="A935" s="598" t="s">
        <v>3337</v>
      </c>
      <c r="B935" s="598" t="s">
        <v>3350</v>
      </c>
      <c r="C935" s="598" t="s">
        <v>1578</v>
      </c>
      <c r="D935" s="598" t="s">
        <v>1579</v>
      </c>
      <c r="E935" s="598" t="s">
        <v>321</v>
      </c>
      <c r="F935" s="598" t="s">
        <v>3309</v>
      </c>
      <c r="G935" s="598" t="s">
        <v>3309</v>
      </c>
      <c r="H935" s="598" t="s">
        <v>3309</v>
      </c>
      <c r="I935" s="598" t="s">
        <v>3309</v>
      </c>
      <c r="J935" s="598" t="s">
        <v>3309</v>
      </c>
      <c r="K935" s="598" t="s">
        <v>321</v>
      </c>
      <c r="L935" s="598" t="s">
        <v>321</v>
      </c>
      <c r="M935" s="598" t="s">
        <v>3309</v>
      </c>
      <c r="N935" s="598" t="s">
        <v>3309</v>
      </c>
      <c r="O935" s="598" t="s">
        <v>3309</v>
      </c>
      <c r="P935" s="598" t="s">
        <v>3309</v>
      </c>
      <c r="Q935" s="598" t="s">
        <v>3309</v>
      </c>
      <c r="R935" s="598" t="s">
        <v>321</v>
      </c>
      <c r="S935" s="598" t="s">
        <v>321</v>
      </c>
      <c r="T935" s="598" t="s">
        <v>3309</v>
      </c>
      <c r="U935" s="598" t="s">
        <v>3309</v>
      </c>
      <c r="V935" s="598" t="s">
        <v>3309</v>
      </c>
      <c r="W935" s="598" t="s">
        <v>3309</v>
      </c>
      <c r="X935" s="598" t="s">
        <v>3309</v>
      </c>
      <c r="Y935" s="598" t="s">
        <v>321</v>
      </c>
      <c r="Z935" s="598" t="s">
        <v>321</v>
      </c>
      <c r="AA935" s="598" t="s">
        <v>3309</v>
      </c>
      <c r="AB935" s="598" t="s">
        <v>3309</v>
      </c>
      <c r="AC935" s="598" t="s">
        <v>3309</v>
      </c>
      <c r="AD935" s="598" t="s">
        <v>3309</v>
      </c>
      <c r="AE935" s="598" t="s">
        <v>3309</v>
      </c>
      <c r="AF935" s="598" t="s">
        <v>321</v>
      </c>
      <c r="AG935" s="598" t="s">
        <v>321</v>
      </c>
      <c r="AH935" s="598" t="s">
        <v>3309</v>
      </c>
      <c r="AI935" s="598" t="s">
        <v>321</v>
      </c>
      <c r="AJ935" s="599">
        <v>21</v>
      </c>
      <c r="AK935" s="600">
        <v>21</v>
      </c>
      <c r="AL935" s="601">
        <v>0</v>
      </c>
      <c r="AM935" s="601">
        <v>0</v>
      </c>
      <c r="AN935" s="599">
        <v>21</v>
      </c>
    </row>
    <row r="936" spans="1:40" ht="16.5" customHeight="1">
      <c r="A936" s="598" t="s">
        <v>3337</v>
      </c>
      <c r="B936" s="598" t="s">
        <v>3350</v>
      </c>
      <c r="C936" s="598" t="s">
        <v>2550</v>
      </c>
      <c r="D936" s="598" t="s">
        <v>2551</v>
      </c>
      <c r="E936" s="598" t="s">
        <v>321</v>
      </c>
      <c r="F936" s="598" t="s">
        <v>3309</v>
      </c>
      <c r="G936" s="598" t="s">
        <v>3309</v>
      </c>
      <c r="H936" s="598" t="s">
        <v>3309</v>
      </c>
      <c r="I936" s="598" t="s">
        <v>3309</v>
      </c>
      <c r="J936" s="598" t="s">
        <v>3309</v>
      </c>
      <c r="K936" s="598" t="s">
        <v>321</v>
      </c>
      <c r="L936" s="598" t="s">
        <v>321</v>
      </c>
      <c r="M936" s="598" t="s">
        <v>3309</v>
      </c>
      <c r="N936" s="598" t="s">
        <v>3309</v>
      </c>
      <c r="O936" s="598" t="s">
        <v>3314</v>
      </c>
      <c r="P936" s="598" t="s">
        <v>3309</v>
      </c>
      <c r="Q936" s="598" t="s">
        <v>3309</v>
      </c>
      <c r="R936" s="598" t="s">
        <v>321</v>
      </c>
      <c r="S936" s="598" t="s">
        <v>321</v>
      </c>
      <c r="T936" s="598" t="s">
        <v>3309</v>
      </c>
      <c r="U936" s="598" t="s">
        <v>3309</v>
      </c>
      <c r="V936" s="598" t="s">
        <v>3309</v>
      </c>
      <c r="W936" s="598" t="s">
        <v>3309</v>
      </c>
      <c r="X936" s="598" t="s">
        <v>3309</v>
      </c>
      <c r="Y936" s="598" t="s">
        <v>321</v>
      </c>
      <c r="Z936" s="598" t="s">
        <v>321</v>
      </c>
      <c r="AA936" s="598" t="s">
        <v>3309</v>
      </c>
      <c r="AB936" s="598" t="s">
        <v>3309</v>
      </c>
      <c r="AC936" s="598" t="s">
        <v>3309</v>
      </c>
      <c r="AD936" s="598" t="s">
        <v>3309</v>
      </c>
      <c r="AE936" s="598" t="s">
        <v>3309</v>
      </c>
      <c r="AF936" s="598" t="s">
        <v>321</v>
      </c>
      <c r="AG936" s="598" t="s">
        <v>321</v>
      </c>
      <c r="AH936" s="598" t="s">
        <v>3309</v>
      </c>
      <c r="AI936" s="598" t="s">
        <v>321</v>
      </c>
      <c r="AJ936" s="599">
        <v>21</v>
      </c>
      <c r="AK936" s="603">
        <v>20.5</v>
      </c>
      <c r="AL936" s="604">
        <v>0.5</v>
      </c>
      <c r="AM936" s="601">
        <v>0</v>
      </c>
      <c r="AN936" s="599">
        <v>21</v>
      </c>
    </row>
    <row r="937" spans="1:40" ht="16.5" customHeight="1">
      <c r="A937" s="598" t="s">
        <v>3337</v>
      </c>
      <c r="B937" s="598" t="s">
        <v>3350</v>
      </c>
      <c r="C937" s="598" t="s">
        <v>2237</v>
      </c>
      <c r="D937" s="598" t="s">
        <v>2238</v>
      </c>
      <c r="E937" s="598" t="s">
        <v>321</v>
      </c>
      <c r="F937" s="598" t="s">
        <v>3309</v>
      </c>
      <c r="G937" s="598" t="s">
        <v>3309</v>
      </c>
      <c r="H937" s="598" t="s">
        <v>3309</v>
      </c>
      <c r="I937" s="598" t="s">
        <v>3309</v>
      </c>
      <c r="J937" s="598" t="s">
        <v>3309</v>
      </c>
      <c r="K937" s="598" t="s">
        <v>321</v>
      </c>
      <c r="L937" s="598" t="s">
        <v>321</v>
      </c>
      <c r="M937" s="598" t="s">
        <v>3309</v>
      </c>
      <c r="N937" s="598" t="s">
        <v>3309</v>
      </c>
      <c r="O937" s="598" t="s">
        <v>3309</v>
      </c>
      <c r="P937" s="598" t="s">
        <v>3309</v>
      </c>
      <c r="Q937" s="598" t="s">
        <v>3309</v>
      </c>
      <c r="R937" s="598" t="s">
        <v>321</v>
      </c>
      <c r="S937" s="598" t="s">
        <v>321</v>
      </c>
      <c r="T937" s="598" t="s">
        <v>3309</v>
      </c>
      <c r="U937" s="598" t="s">
        <v>3309</v>
      </c>
      <c r="V937" s="598" t="s">
        <v>3309</v>
      </c>
      <c r="W937" s="598" t="s">
        <v>3309</v>
      </c>
      <c r="X937" s="598" t="s">
        <v>3309</v>
      </c>
      <c r="Y937" s="598" t="s">
        <v>321</v>
      </c>
      <c r="Z937" s="598" t="s">
        <v>321</v>
      </c>
      <c r="AA937" s="598" t="s">
        <v>3309</v>
      </c>
      <c r="AB937" s="598" t="s">
        <v>3309</v>
      </c>
      <c r="AC937" s="598" t="s">
        <v>3309</v>
      </c>
      <c r="AD937" s="598" t="s">
        <v>3309</v>
      </c>
      <c r="AE937" s="598" t="s">
        <v>3309</v>
      </c>
      <c r="AF937" s="598" t="s">
        <v>321</v>
      </c>
      <c r="AG937" s="598" t="s">
        <v>321</v>
      </c>
      <c r="AH937" s="598" t="s">
        <v>3309</v>
      </c>
      <c r="AI937" s="598" t="s">
        <v>321</v>
      </c>
      <c r="AJ937" s="599">
        <v>21</v>
      </c>
      <c r="AK937" s="600">
        <v>21</v>
      </c>
      <c r="AL937" s="601">
        <v>0</v>
      </c>
      <c r="AM937" s="601">
        <v>0</v>
      </c>
      <c r="AN937" s="599">
        <v>21</v>
      </c>
    </row>
    <row r="938" spans="1:40" ht="16.5" customHeight="1">
      <c r="A938" s="598" t="s">
        <v>3337</v>
      </c>
      <c r="B938" s="598" t="s">
        <v>3350</v>
      </c>
      <c r="C938" s="598" t="s">
        <v>2010</v>
      </c>
      <c r="D938" s="598" t="s">
        <v>2011</v>
      </c>
      <c r="E938" s="598" t="s">
        <v>321</v>
      </c>
      <c r="F938" s="598" t="s">
        <v>3309</v>
      </c>
      <c r="G938" s="598" t="s">
        <v>3309</v>
      </c>
      <c r="H938" s="598" t="s">
        <v>3309</v>
      </c>
      <c r="I938" s="598" t="s">
        <v>3309</v>
      </c>
      <c r="J938" s="598" t="s">
        <v>3309</v>
      </c>
      <c r="K938" s="598" t="s">
        <v>321</v>
      </c>
      <c r="L938" s="598" t="s">
        <v>321</v>
      </c>
      <c r="M938" s="598" t="s">
        <v>3309</v>
      </c>
      <c r="N938" s="598" t="s">
        <v>3309</v>
      </c>
      <c r="O938" s="598" t="s">
        <v>3309</v>
      </c>
      <c r="P938" s="598" t="s">
        <v>3309</v>
      </c>
      <c r="Q938" s="598" t="s">
        <v>3309</v>
      </c>
      <c r="R938" s="598" t="s">
        <v>321</v>
      </c>
      <c r="S938" s="598" t="s">
        <v>321</v>
      </c>
      <c r="T938" s="598" t="s">
        <v>3309</v>
      </c>
      <c r="U938" s="598" t="s">
        <v>3309</v>
      </c>
      <c r="V938" s="598" t="s">
        <v>3309</v>
      </c>
      <c r="W938" s="598" t="s">
        <v>3309</v>
      </c>
      <c r="X938" s="598" t="s">
        <v>3309</v>
      </c>
      <c r="Y938" s="598" t="s">
        <v>321</v>
      </c>
      <c r="Z938" s="598" t="s">
        <v>321</v>
      </c>
      <c r="AA938" s="598" t="s">
        <v>3309</v>
      </c>
      <c r="AB938" s="598" t="s">
        <v>3309</v>
      </c>
      <c r="AC938" s="598" t="s">
        <v>3309</v>
      </c>
      <c r="AD938" s="598" t="s">
        <v>3309</v>
      </c>
      <c r="AE938" s="598" t="s">
        <v>3309</v>
      </c>
      <c r="AF938" s="598" t="s">
        <v>321</v>
      </c>
      <c r="AG938" s="598" t="s">
        <v>321</v>
      </c>
      <c r="AH938" s="598" t="s">
        <v>3309</v>
      </c>
      <c r="AI938" s="598" t="s">
        <v>321</v>
      </c>
      <c r="AJ938" s="599">
        <v>21</v>
      </c>
      <c r="AK938" s="600">
        <v>21</v>
      </c>
      <c r="AL938" s="601">
        <v>0</v>
      </c>
      <c r="AM938" s="601">
        <v>0</v>
      </c>
      <c r="AN938" s="599">
        <v>21</v>
      </c>
    </row>
    <row r="939" spans="1:40" ht="16.5" customHeight="1">
      <c r="A939" s="598" t="s">
        <v>3337</v>
      </c>
      <c r="B939" s="598" t="s">
        <v>3350</v>
      </c>
      <c r="C939" s="598" t="s">
        <v>2985</v>
      </c>
      <c r="D939" s="598" t="s">
        <v>2986</v>
      </c>
      <c r="E939" s="598" t="s">
        <v>321</v>
      </c>
      <c r="F939" s="598" t="s">
        <v>3309</v>
      </c>
      <c r="G939" s="598" t="s">
        <v>3309</v>
      </c>
      <c r="H939" s="598" t="s">
        <v>3309</v>
      </c>
      <c r="I939" s="598" t="s">
        <v>3309</v>
      </c>
      <c r="J939" s="598" t="s">
        <v>3309</v>
      </c>
      <c r="K939" s="598" t="s">
        <v>321</v>
      </c>
      <c r="L939" s="598" t="s">
        <v>321</v>
      </c>
      <c r="M939" s="598" t="s">
        <v>3309</v>
      </c>
      <c r="N939" s="598" t="s">
        <v>3309</v>
      </c>
      <c r="O939" s="598" t="s">
        <v>3309</v>
      </c>
      <c r="P939" s="598" t="s">
        <v>3309</v>
      </c>
      <c r="Q939" s="598" t="s">
        <v>3309</v>
      </c>
      <c r="R939" s="598" t="s">
        <v>321</v>
      </c>
      <c r="S939" s="598" t="s">
        <v>321</v>
      </c>
      <c r="T939" s="598" t="s">
        <v>3309</v>
      </c>
      <c r="U939" s="598" t="s">
        <v>3309</v>
      </c>
      <c r="V939" s="598" t="s">
        <v>3309</v>
      </c>
      <c r="W939" s="598" t="s">
        <v>3309</v>
      </c>
      <c r="X939" s="598" t="s">
        <v>3309</v>
      </c>
      <c r="Y939" s="598" t="s">
        <v>321</v>
      </c>
      <c r="Z939" s="598" t="s">
        <v>321</v>
      </c>
      <c r="AA939" s="598" t="s">
        <v>3309</v>
      </c>
      <c r="AB939" s="598" t="s">
        <v>3309</v>
      </c>
      <c r="AC939" s="598" t="s">
        <v>3309</v>
      </c>
      <c r="AD939" s="598" t="s">
        <v>3309</v>
      </c>
      <c r="AE939" s="598" t="s">
        <v>3309</v>
      </c>
      <c r="AF939" s="598" t="s">
        <v>321</v>
      </c>
      <c r="AG939" s="598" t="s">
        <v>321</v>
      </c>
      <c r="AH939" s="598" t="s">
        <v>3309</v>
      </c>
      <c r="AI939" s="598" t="s">
        <v>321</v>
      </c>
      <c r="AJ939" s="599">
        <v>21</v>
      </c>
      <c r="AK939" s="600">
        <v>21</v>
      </c>
      <c r="AL939" s="601">
        <v>0</v>
      </c>
      <c r="AM939" s="601">
        <v>0</v>
      </c>
      <c r="AN939" s="599">
        <v>21</v>
      </c>
    </row>
    <row r="940" spans="1:40" ht="16.5" customHeight="1">
      <c r="A940" s="598" t="s">
        <v>3337</v>
      </c>
      <c r="B940" s="598" t="s">
        <v>3350</v>
      </c>
      <c r="C940" s="598" t="s">
        <v>1887</v>
      </c>
      <c r="D940" s="598" t="s">
        <v>1888</v>
      </c>
      <c r="E940" s="598" t="s">
        <v>321</v>
      </c>
      <c r="F940" s="598" t="s">
        <v>3309</v>
      </c>
      <c r="G940" s="598" t="s">
        <v>3309</v>
      </c>
      <c r="H940" s="598" t="s">
        <v>3309</v>
      </c>
      <c r="I940" s="598" t="s">
        <v>3309</v>
      </c>
      <c r="J940" s="598" t="s">
        <v>3309</v>
      </c>
      <c r="K940" s="598" t="s">
        <v>321</v>
      </c>
      <c r="L940" s="598" t="s">
        <v>321</v>
      </c>
      <c r="M940" s="598" t="s">
        <v>3309</v>
      </c>
      <c r="N940" s="598" t="s">
        <v>3309</v>
      </c>
      <c r="O940" s="598" t="s">
        <v>3309</v>
      </c>
      <c r="P940" s="598" t="s">
        <v>3309</v>
      </c>
      <c r="Q940" s="598" t="s">
        <v>3309</v>
      </c>
      <c r="R940" s="598" t="s">
        <v>321</v>
      </c>
      <c r="S940" s="598" t="s">
        <v>321</v>
      </c>
      <c r="T940" s="598" t="s">
        <v>3309</v>
      </c>
      <c r="U940" s="598" t="s">
        <v>3309</v>
      </c>
      <c r="V940" s="598" t="s">
        <v>3309</v>
      </c>
      <c r="W940" s="598" t="s">
        <v>3309</v>
      </c>
      <c r="X940" s="598" t="s">
        <v>3309</v>
      </c>
      <c r="Y940" s="598" t="s">
        <v>321</v>
      </c>
      <c r="Z940" s="598" t="s">
        <v>321</v>
      </c>
      <c r="AA940" s="598" t="s">
        <v>3309</v>
      </c>
      <c r="AB940" s="598" t="s">
        <v>3309</v>
      </c>
      <c r="AC940" s="598" t="s">
        <v>3309</v>
      </c>
      <c r="AD940" s="598" t="s">
        <v>3309</v>
      </c>
      <c r="AE940" s="598" t="s">
        <v>3309</v>
      </c>
      <c r="AF940" s="598" t="s">
        <v>321</v>
      </c>
      <c r="AG940" s="598" t="s">
        <v>321</v>
      </c>
      <c r="AH940" s="598" t="s">
        <v>3309</v>
      </c>
      <c r="AI940" s="598" t="s">
        <v>321</v>
      </c>
      <c r="AJ940" s="599">
        <v>21</v>
      </c>
      <c r="AK940" s="600">
        <v>21</v>
      </c>
      <c r="AL940" s="601">
        <v>0</v>
      </c>
      <c r="AM940" s="601">
        <v>0</v>
      </c>
      <c r="AN940" s="599">
        <v>21</v>
      </c>
    </row>
    <row r="941" spans="1:40" ht="16.5" customHeight="1">
      <c r="A941" s="598" t="s">
        <v>3337</v>
      </c>
      <c r="B941" s="598" t="s">
        <v>3350</v>
      </c>
      <c r="C941" s="598" t="s">
        <v>2049</v>
      </c>
      <c r="D941" s="598" t="s">
        <v>2050</v>
      </c>
      <c r="E941" s="598" t="s">
        <v>321</v>
      </c>
      <c r="F941" s="598" t="s">
        <v>3317</v>
      </c>
      <c r="G941" s="598" t="s">
        <v>3317</v>
      </c>
      <c r="H941" s="598" t="s">
        <v>3317</v>
      </c>
      <c r="I941" s="598" t="s">
        <v>3317</v>
      </c>
      <c r="J941" s="598" t="s">
        <v>3317</v>
      </c>
      <c r="K941" s="598" t="s">
        <v>321</v>
      </c>
      <c r="L941" s="598" t="s">
        <v>321</v>
      </c>
      <c r="M941" s="598" t="s">
        <v>3317</v>
      </c>
      <c r="N941" s="598" t="s">
        <v>3317</v>
      </c>
      <c r="O941" s="598" t="s">
        <v>3317</v>
      </c>
      <c r="P941" s="598" t="s">
        <v>3317</v>
      </c>
      <c r="Q941" s="598" t="s">
        <v>3317</v>
      </c>
      <c r="R941" s="598" t="s">
        <v>321</v>
      </c>
      <c r="S941" s="598" t="s">
        <v>321</v>
      </c>
      <c r="T941" s="598" t="s">
        <v>3317</v>
      </c>
      <c r="U941" s="598" t="s">
        <v>3317</v>
      </c>
      <c r="V941" s="598" t="s">
        <v>3317</v>
      </c>
      <c r="W941" s="598" t="s">
        <v>3317</v>
      </c>
      <c r="X941" s="598" t="s">
        <v>3317</v>
      </c>
      <c r="Y941" s="598" t="s">
        <v>321</v>
      </c>
      <c r="Z941" s="598" t="s">
        <v>321</v>
      </c>
      <c r="AA941" s="598" t="s">
        <v>3317</v>
      </c>
      <c r="AB941" s="598" t="s">
        <v>3317</v>
      </c>
      <c r="AC941" s="598" t="s">
        <v>3317</v>
      </c>
      <c r="AD941" s="598" t="s">
        <v>3317</v>
      </c>
      <c r="AE941" s="598" t="s">
        <v>3317</v>
      </c>
      <c r="AF941" s="598" t="s">
        <v>321</v>
      </c>
      <c r="AG941" s="598" t="s">
        <v>321</v>
      </c>
      <c r="AH941" s="598" t="s">
        <v>3317</v>
      </c>
      <c r="AI941" s="598" t="s">
        <v>321</v>
      </c>
      <c r="AJ941" s="599">
        <v>21</v>
      </c>
      <c r="AK941" s="601">
        <v>0</v>
      </c>
      <c r="AL941" s="601">
        <v>0</v>
      </c>
      <c r="AM941" s="601">
        <v>0</v>
      </c>
      <c r="AN941" s="605">
        <v>0</v>
      </c>
    </row>
    <row r="942" spans="1:40" ht="16.5" customHeight="1">
      <c r="A942" s="598" t="s">
        <v>3337</v>
      </c>
      <c r="B942" s="598" t="s">
        <v>3350</v>
      </c>
      <c r="C942" s="598" t="s">
        <v>1852</v>
      </c>
      <c r="D942" s="598" t="s">
        <v>1853</v>
      </c>
      <c r="E942" s="598" t="s">
        <v>321</v>
      </c>
      <c r="F942" s="598" t="s">
        <v>3309</v>
      </c>
      <c r="G942" s="598" t="s">
        <v>3309</v>
      </c>
      <c r="H942" s="598" t="s">
        <v>3309</v>
      </c>
      <c r="I942" s="598" t="s">
        <v>3309</v>
      </c>
      <c r="J942" s="598" t="s">
        <v>3309</v>
      </c>
      <c r="K942" s="598" t="s">
        <v>321</v>
      </c>
      <c r="L942" s="598" t="s">
        <v>321</v>
      </c>
      <c r="M942" s="598" t="s">
        <v>3309</v>
      </c>
      <c r="N942" s="598" t="s">
        <v>3309</v>
      </c>
      <c r="O942" s="598" t="s">
        <v>3309</v>
      </c>
      <c r="P942" s="598" t="s">
        <v>3309</v>
      </c>
      <c r="Q942" s="598" t="s">
        <v>3309</v>
      </c>
      <c r="R942" s="598" t="s">
        <v>321</v>
      </c>
      <c r="S942" s="598" t="s">
        <v>321</v>
      </c>
      <c r="T942" s="598" t="s">
        <v>3309</v>
      </c>
      <c r="U942" s="598" t="s">
        <v>3309</v>
      </c>
      <c r="V942" s="598" t="s">
        <v>3309</v>
      </c>
      <c r="W942" s="598" t="s">
        <v>3309</v>
      </c>
      <c r="X942" s="598" t="s">
        <v>3309</v>
      </c>
      <c r="Y942" s="598" t="s">
        <v>321</v>
      </c>
      <c r="Z942" s="598" t="s">
        <v>321</v>
      </c>
      <c r="AA942" s="598" t="s">
        <v>3309</v>
      </c>
      <c r="AB942" s="598" t="s">
        <v>3309</v>
      </c>
      <c r="AC942" s="598" t="s">
        <v>3309</v>
      </c>
      <c r="AD942" s="598" t="s">
        <v>3309</v>
      </c>
      <c r="AE942" s="598" t="s">
        <v>3309</v>
      </c>
      <c r="AF942" s="598" t="s">
        <v>321</v>
      </c>
      <c r="AG942" s="598" t="s">
        <v>321</v>
      </c>
      <c r="AH942" s="598" t="s">
        <v>3309</v>
      </c>
      <c r="AI942" s="598" t="s">
        <v>321</v>
      </c>
      <c r="AJ942" s="599">
        <v>21</v>
      </c>
      <c r="AK942" s="600">
        <v>21</v>
      </c>
      <c r="AL942" s="601">
        <v>0</v>
      </c>
      <c r="AM942" s="601">
        <v>0</v>
      </c>
      <c r="AN942" s="599">
        <v>21</v>
      </c>
    </row>
    <row r="943" spans="1:40" ht="16.5" customHeight="1">
      <c r="A943" s="598" t="s">
        <v>3337</v>
      </c>
      <c r="B943" s="598" t="s">
        <v>3350</v>
      </c>
      <c r="C943" s="598" t="s">
        <v>1834</v>
      </c>
      <c r="D943" s="598" t="s">
        <v>1835</v>
      </c>
      <c r="E943" s="598" t="s">
        <v>321</v>
      </c>
      <c r="F943" s="598" t="s">
        <v>3309</v>
      </c>
      <c r="G943" s="598" t="s">
        <v>3309</v>
      </c>
      <c r="H943" s="598" t="s">
        <v>3309</v>
      </c>
      <c r="I943" s="598" t="s">
        <v>3309</v>
      </c>
      <c r="J943" s="598" t="s">
        <v>3309</v>
      </c>
      <c r="K943" s="598" t="s">
        <v>321</v>
      </c>
      <c r="L943" s="598" t="s">
        <v>321</v>
      </c>
      <c r="M943" s="598" t="s">
        <v>3309</v>
      </c>
      <c r="N943" s="598" t="s">
        <v>3309</v>
      </c>
      <c r="O943" s="598" t="s">
        <v>3309</v>
      </c>
      <c r="P943" s="598" t="s">
        <v>3309</v>
      </c>
      <c r="Q943" s="598" t="s">
        <v>3309</v>
      </c>
      <c r="R943" s="598" t="s">
        <v>321</v>
      </c>
      <c r="S943" s="598" t="s">
        <v>321</v>
      </c>
      <c r="T943" s="598" t="s">
        <v>3345</v>
      </c>
      <c r="U943" s="598" t="s">
        <v>3309</v>
      </c>
      <c r="V943" s="598" t="s">
        <v>3309</v>
      </c>
      <c r="W943" s="598" t="s">
        <v>3309</v>
      </c>
      <c r="X943" s="598" t="s">
        <v>3309</v>
      </c>
      <c r="Y943" s="598" t="s">
        <v>321</v>
      </c>
      <c r="Z943" s="598" t="s">
        <v>321</v>
      </c>
      <c r="AA943" s="598" t="s">
        <v>3309</v>
      </c>
      <c r="AB943" s="598" t="s">
        <v>3309</v>
      </c>
      <c r="AC943" s="598" t="s">
        <v>3309</v>
      </c>
      <c r="AD943" s="598" t="s">
        <v>3309</v>
      </c>
      <c r="AE943" s="598" t="s">
        <v>3309</v>
      </c>
      <c r="AF943" s="598" t="s">
        <v>321</v>
      </c>
      <c r="AG943" s="598" t="s">
        <v>321</v>
      </c>
      <c r="AH943" s="598" t="s">
        <v>3309</v>
      </c>
      <c r="AI943" s="598" t="s">
        <v>321</v>
      </c>
      <c r="AJ943" s="599">
        <v>21</v>
      </c>
      <c r="AK943" s="600">
        <v>21</v>
      </c>
      <c r="AL943" s="601">
        <v>0</v>
      </c>
      <c r="AM943" s="601">
        <v>0</v>
      </c>
      <c r="AN943" s="599">
        <v>21</v>
      </c>
    </row>
    <row r="944" spans="1:40" ht="16.5" customHeight="1">
      <c r="A944" s="598" t="s">
        <v>3337</v>
      </c>
      <c r="B944" s="598" t="s">
        <v>3350</v>
      </c>
      <c r="C944" s="598" t="s">
        <v>1084</v>
      </c>
      <c r="D944" s="598" t="s">
        <v>1085</v>
      </c>
      <c r="E944" s="598" t="s">
        <v>321</v>
      </c>
      <c r="F944" s="598" t="s">
        <v>3309</v>
      </c>
      <c r="G944" s="598" t="s">
        <v>3309</v>
      </c>
      <c r="H944" s="598" t="s">
        <v>3309</v>
      </c>
      <c r="I944" s="598" t="s">
        <v>3309</v>
      </c>
      <c r="J944" s="598" t="s">
        <v>3309</v>
      </c>
      <c r="K944" s="598" t="s">
        <v>321</v>
      </c>
      <c r="L944" s="598" t="s">
        <v>321</v>
      </c>
      <c r="M944" s="598" t="s">
        <v>3309</v>
      </c>
      <c r="N944" s="598" t="s">
        <v>3314</v>
      </c>
      <c r="O944" s="598" t="s">
        <v>3309</v>
      </c>
      <c r="P944" s="598" t="s">
        <v>3309</v>
      </c>
      <c r="Q944" s="598" t="s">
        <v>3309</v>
      </c>
      <c r="R944" s="598" t="s">
        <v>321</v>
      </c>
      <c r="S944" s="598" t="s">
        <v>321</v>
      </c>
      <c r="T944" s="598" t="s">
        <v>3309</v>
      </c>
      <c r="U944" s="598" t="s">
        <v>3309</v>
      </c>
      <c r="V944" s="598" t="s">
        <v>3314</v>
      </c>
      <c r="W944" s="598" t="s">
        <v>3312</v>
      </c>
      <c r="X944" s="598" t="s">
        <v>3309</v>
      </c>
      <c r="Y944" s="598" t="s">
        <v>321</v>
      </c>
      <c r="Z944" s="598" t="s">
        <v>321</v>
      </c>
      <c r="AA944" s="598" t="s">
        <v>3309</v>
      </c>
      <c r="AB944" s="598" t="s">
        <v>3345</v>
      </c>
      <c r="AC944" s="598" t="s">
        <v>3309</v>
      </c>
      <c r="AD944" s="598" t="s">
        <v>3309</v>
      </c>
      <c r="AE944" s="598" t="s">
        <v>3309</v>
      </c>
      <c r="AF944" s="598" t="s">
        <v>321</v>
      </c>
      <c r="AG944" s="598" t="s">
        <v>321</v>
      </c>
      <c r="AH944" s="598" t="s">
        <v>3309</v>
      </c>
      <c r="AI944" s="598" t="s">
        <v>321</v>
      </c>
      <c r="AJ944" s="599">
        <v>21</v>
      </c>
      <c r="AK944" s="600">
        <v>19</v>
      </c>
      <c r="AL944" s="602">
        <v>2</v>
      </c>
      <c r="AM944" s="601">
        <v>0</v>
      </c>
      <c r="AN944" s="599">
        <v>21</v>
      </c>
    </row>
    <row r="945" spans="1:40" ht="16.5" customHeight="1">
      <c r="A945" s="598" t="s">
        <v>3337</v>
      </c>
      <c r="B945" s="598" t="s">
        <v>3350</v>
      </c>
      <c r="C945" s="598" t="s">
        <v>1773</v>
      </c>
      <c r="D945" s="598" t="s">
        <v>1774</v>
      </c>
      <c r="E945" s="598" t="s">
        <v>321</v>
      </c>
      <c r="F945" s="598" t="s">
        <v>3309</v>
      </c>
      <c r="G945" s="598" t="s">
        <v>3309</v>
      </c>
      <c r="H945" s="598" t="s">
        <v>3309</v>
      </c>
      <c r="I945" s="598" t="s">
        <v>3309</v>
      </c>
      <c r="J945" s="598" t="s">
        <v>3309</v>
      </c>
      <c r="K945" s="598" t="s">
        <v>321</v>
      </c>
      <c r="L945" s="598" t="s">
        <v>321</v>
      </c>
      <c r="M945" s="598" t="s">
        <v>3309</v>
      </c>
      <c r="N945" s="598" t="s">
        <v>3309</v>
      </c>
      <c r="O945" s="598" t="s">
        <v>3309</v>
      </c>
      <c r="P945" s="598" t="s">
        <v>3309</v>
      </c>
      <c r="Q945" s="598" t="s">
        <v>3309</v>
      </c>
      <c r="R945" s="598" t="s">
        <v>321</v>
      </c>
      <c r="S945" s="598" t="s">
        <v>321</v>
      </c>
      <c r="T945" s="598" t="s">
        <v>3309</v>
      </c>
      <c r="U945" s="598" t="s">
        <v>3309</v>
      </c>
      <c r="V945" s="598" t="s">
        <v>3309</v>
      </c>
      <c r="W945" s="598" t="s">
        <v>3309</v>
      </c>
      <c r="X945" s="598" t="s">
        <v>3309</v>
      </c>
      <c r="Y945" s="598" t="s">
        <v>321</v>
      </c>
      <c r="Z945" s="598" t="s">
        <v>321</v>
      </c>
      <c r="AA945" s="598" t="s">
        <v>3309</v>
      </c>
      <c r="AB945" s="598" t="s">
        <v>3309</v>
      </c>
      <c r="AC945" s="598" t="s">
        <v>3309</v>
      </c>
      <c r="AD945" s="598" t="s">
        <v>3309</v>
      </c>
      <c r="AE945" s="598" t="s">
        <v>3309</v>
      </c>
      <c r="AF945" s="598" t="s">
        <v>321</v>
      </c>
      <c r="AG945" s="598" t="s">
        <v>321</v>
      </c>
      <c r="AH945" s="598" t="s">
        <v>3309</v>
      </c>
      <c r="AI945" s="598" t="s">
        <v>321</v>
      </c>
      <c r="AJ945" s="599">
        <v>21</v>
      </c>
      <c r="AK945" s="600">
        <v>21</v>
      </c>
      <c r="AL945" s="601">
        <v>0</v>
      </c>
      <c r="AM945" s="601">
        <v>0</v>
      </c>
      <c r="AN945" s="599">
        <v>21</v>
      </c>
    </row>
    <row r="946" spans="1:40" ht="16.5" customHeight="1">
      <c r="A946" s="598" t="s">
        <v>3337</v>
      </c>
      <c r="B946" s="598" t="s">
        <v>3350</v>
      </c>
      <c r="C946" s="598" t="s">
        <v>1797</v>
      </c>
      <c r="D946" s="598" t="s">
        <v>1798</v>
      </c>
      <c r="E946" s="598" t="s">
        <v>321</v>
      </c>
      <c r="F946" s="598" t="s">
        <v>3309</v>
      </c>
      <c r="G946" s="598" t="s">
        <v>3309</v>
      </c>
      <c r="H946" s="598" t="s">
        <v>3309</v>
      </c>
      <c r="I946" s="598" t="s">
        <v>3309</v>
      </c>
      <c r="J946" s="598" t="s">
        <v>3309</v>
      </c>
      <c r="K946" s="598" t="s">
        <v>321</v>
      </c>
      <c r="L946" s="598" t="s">
        <v>321</v>
      </c>
      <c r="M946" s="598" t="s">
        <v>3309</v>
      </c>
      <c r="N946" s="598" t="s">
        <v>3309</v>
      </c>
      <c r="O946" s="598" t="s">
        <v>3309</v>
      </c>
      <c r="P946" s="598" t="s">
        <v>3309</v>
      </c>
      <c r="Q946" s="598" t="s">
        <v>3309</v>
      </c>
      <c r="R946" s="598" t="s">
        <v>321</v>
      </c>
      <c r="S946" s="598" t="s">
        <v>321</v>
      </c>
      <c r="T946" s="598" t="s">
        <v>3309</v>
      </c>
      <c r="U946" s="598" t="s">
        <v>3309</v>
      </c>
      <c r="V946" s="598" t="s">
        <v>3309</v>
      </c>
      <c r="W946" s="598" t="s">
        <v>3309</v>
      </c>
      <c r="X946" s="598" t="s">
        <v>3309</v>
      </c>
      <c r="Y946" s="598" t="s">
        <v>321</v>
      </c>
      <c r="Z946" s="598" t="s">
        <v>321</v>
      </c>
      <c r="AA946" s="598" t="s">
        <v>3309</v>
      </c>
      <c r="AB946" s="598" t="s">
        <v>3309</v>
      </c>
      <c r="AC946" s="598" t="s">
        <v>3309</v>
      </c>
      <c r="AD946" s="598" t="s">
        <v>3309</v>
      </c>
      <c r="AE946" s="598" t="s">
        <v>3309</v>
      </c>
      <c r="AF946" s="598" t="s">
        <v>321</v>
      </c>
      <c r="AG946" s="598" t="s">
        <v>321</v>
      </c>
      <c r="AH946" s="598" t="s">
        <v>3309</v>
      </c>
      <c r="AI946" s="598" t="s">
        <v>321</v>
      </c>
      <c r="AJ946" s="599">
        <v>21</v>
      </c>
      <c r="AK946" s="600">
        <v>21</v>
      </c>
      <c r="AL946" s="601">
        <v>0</v>
      </c>
      <c r="AM946" s="601">
        <v>0</v>
      </c>
      <c r="AN946" s="599">
        <v>21</v>
      </c>
    </row>
    <row r="947" spans="1:40" ht="16.5" customHeight="1">
      <c r="A947" s="598" t="s">
        <v>3337</v>
      </c>
      <c r="B947" s="598" t="s">
        <v>3350</v>
      </c>
      <c r="C947" s="598" t="s">
        <v>2020</v>
      </c>
      <c r="D947" s="598" t="s">
        <v>2021</v>
      </c>
      <c r="E947" s="598" t="s">
        <v>321</v>
      </c>
      <c r="F947" s="598" t="s">
        <v>3309</v>
      </c>
      <c r="G947" s="598" t="s">
        <v>3309</v>
      </c>
      <c r="H947" s="598" t="s">
        <v>3309</v>
      </c>
      <c r="I947" s="598" t="s">
        <v>3309</v>
      </c>
      <c r="J947" s="598" t="s">
        <v>3309</v>
      </c>
      <c r="K947" s="598" t="s">
        <v>321</v>
      </c>
      <c r="L947" s="598" t="s">
        <v>321</v>
      </c>
      <c r="M947" s="598" t="s">
        <v>3309</v>
      </c>
      <c r="N947" s="598" t="s">
        <v>3309</v>
      </c>
      <c r="O947" s="598" t="s">
        <v>3309</v>
      </c>
      <c r="P947" s="598" t="s">
        <v>3309</v>
      </c>
      <c r="Q947" s="598" t="s">
        <v>3309</v>
      </c>
      <c r="R947" s="598" t="s">
        <v>321</v>
      </c>
      <c r="S947" s="598" t="s">
        <v>321</v>
      </c>
      <c r="T947" s="598" t="s">
        <v>3309</v>
      </c>
      <c r="U947" s="598" t="s">
        <v>3309</v>
      </c>
      <c r="V947" s="598" t="s">
        <v>3309</v>
      </c>
      <c r="W947" s="598" t="s">
        <v>3309</v>
      </c>
      <c r="X947" s="598" t="s">
        <v>3309</v>
      </c>
      <c r="Y947" s="598" t="s">
        <v>321</v>
      </c>
      <c r="Z947" s="598" t="s">
        <v>321</v>
      </c>
      <c r="AA947" s="598" t="s">
        <v>3309</v>
      </c>
      <c r="AB947" s="598" t="s">
        <v>3309</v>
      </c>
      <c r="AC947" s="598" t="s">
        <v>3309</v>
      </c>
      <c r="AD947" s="598" t="s">
        <v>3309</v>
      </c>
      <c r="AE947" s="598" t="s">
        <v>3309</v>
      </c>
      <c r="AF947" s="598" t="s">
        <v>321</v>
      </c>
      <c r="AG947" s="598" t="s">
        <v>321</v>
      </c>
      <c r="AH947" s="598" t="s">
        <v>3309</v>
      </c>
      <c r="AI947" s="598" t="s">
        <v>321</v>
      </c>
      <c r="AJ947" s="599">
        <v>21</v>
      </c>
      <c r="AK947" s="600">
        <v>21</v>
      </c>
      <c r="AL947" s="601">
        <v>0</v>
      </c>
      <c r="AM947" s="601">
        <v>0</v>
      </c>
      <c r="AN947" s="599">
        <v>21</v>
      </c>
    </row>
    <row r="948" spans="1:40" ht="16.5" customHeight="1">
      <c r="A948" s="598" t="s">
        <v>3337</v>
      </c>
      <c r="B948" s="598" t="s">
        <v>3350</v>
      </c>
      <c r="C948" s="598" t="s">
        <v>1280</v>
      </c>
      <c r="D948" s="598" t="s">
        <v>1281</v>
      </c>
      <c r="E948" s="598" t="s">
        <v>321</v>
      </c>
      <c r="F948" s="598" t="s">
        <v>3309</v>
      </c>
      <c r="G948" s="598" t="s">
        <v>3309</v>
      </c>
      <c r="H948" s="598" t="s">
        <v>3309</v>
      </c>
      <c r="I948" s="598" t="s">
        <v>3309</v>
      </c>
      <c r="J948" s="598" t="s">
        <v>3309</v>
      </c>
      <c r="K948" s="598" t="s">
        <v>321</v>
      </c>
      <c r="L948" s="598" t="s">
        <v>321</v>
      </c>
      <c r="M948" s="598" t="s">
        <v>3309</v>
      </c>
      <c r="N948" s="598" t="s">
        <v>3309</v>
      </c>
      <c r="O948" s="598" t="s">
        <v>3309</v>
      </c>
      <c r="P948" s="598" t="s">
        <v>3309</v>
      </c>
      <c r="Q948" s="598" t="s">
        <v>3309</v>
      </c>
      <c r="R948" s="598" t="s">
        <v>321</v>
      </c>
      <c r="S948" s="598" t="s">
        <v>321</v>
      </c>
      <c r="T948" s="598" t="s">
        <v>3313</v>
      </c>
      <c r="U948" s="598" t="s">
        <v>3313</v>
      </c>
      <c r="V948" s="598" t="s">
        <v>3313</v>
      </c>
      <c r="W948" s="598" t="s">
        <v>3309</v>
      </c>
      <c r="X948" s="598" t="s">
        <v>3309</v>
      </c>
      <c r="Y948" s="598" t="s">
        <v>321</v>
      </c>
      <c r="Z948" s="598" t="s">
        <v>321</v>
      </c>
      <c r="AA948" s="598" t="s">
        <v>3309</v>
      </c>
      <c r="AB948" s="598" t="s">
        <v>3309</v>
      </c>
      <c r="AC948" s="598" t="s">
        <v>3309</v>
      </c>
      <c r="AD948" s="598" t="s">
        <v>3309</v>
      </c>
      <c r="AE948" s="598" t="s">
        <v>3309</v>
      </c>
      <c r="AF948" s="598" t="s">
        <v>321</v>
      </c>
      <c r="AG948" s="598" t="s">
        <v>321</v>
      </c>
      <c r="AH948" s="598" t="s">
        <v>3309</v>
      </c>
      <c r="AI948" s="598" t="s">
        <v>321</v>
      </c>
      <c r="AJ948" s="599">
        <v>21</v>
      </c>
      <c r="AK948" s="600">
        <v>21</v>
      </c>
      <c r="AL948" s="601">
        <v>0</v>
      </c>
      <c r="AM948" s="601">
        <v>0</v>
      </c>
      <c r="AN948" s="599">
        <v>21</v>
      </c>
    </row>
    <row r="949" spans="1:40" ht="16.5" customHeight="1">
      <c r="A949" s="598" t="s">
        <v>3337</v>
      </c>
      <c r="B949" s="598" t="s">
        <v>3350</v>
      </c>
      <c r="C949" s="598" t="s">
        <v>1828</v>
      </c>
      <c r="D949" s="598" t="s">
        <v>1829</v>
      </c>
      <c r="E949" s="598" t="s">
        <v>321</v>
      </c>
      <c r="F949" s="598" t="s">
        <v>3309</v>
      </c>
      <c r="G949" s="598" t="s">
        <v>3309</v>
      </c>
      <c r="H949" s="598" t="s">
        <v>3309</v>
      </c>
      <c r="I949" s="598" t="s">
        <v>3309</v>
      </c>
      <c r="J949" s="598" t="s">
        <v>3309</v>
      </c>
      <c r="K949" s="598" t="s">
        <v>321</v>
      </c>
      <c r="L949" s="598" t="s">
        <v>321</v>
      </c>
      <c r="M949" s="598" t="s">
        <v>3309</v>
      </c>
      <c r="N949" s="598" t="s">
        <v>3309</v>
      </c>
      <c r="O949" s="598" t="s">
        <v>3309</v>
      </c>
      <c r="P949" s="598" t="s">
        <v>3309</v>
      </c>
      <c r="Q949" s="598" t="s">
        <v>3309</v>
      </c>
      <c r="R949" s="598" t="s">
        <v>321</v>
      </c>
      <c r="S949" s="598" t="s">
        <v>321</v>
      </c>
      <c r="T949" s="598" t="s">
        <v>3309</v>
      </c>
      <c r="U949" s="598" t="s">
        <v>3309</v>
      </c>
      <c r="V949" s="598" t="s">
        <v>3309</v>
      </c>
      <c r="W949" s="598" t="s">
        <v>3309</v>
      </c>
      <c r="X949" s="598" t="s">
        <v>3309</v>
      </c>
      <c r="Y949" s="598" t="s">
        <v>321</v>
      </c>
      <c r="Z949" s="598" t="s">
        <v>321</v>
      </c>
      <c r="AA949" s="598" t="s">
        <v>3309</v>
      </c>
      <c r="AB949" s="598" t="s">
        <v>3309</v>
      </c>
      <c r="AC949" s="598" t="s">
        <v>3309</v>
      </c>
      <c r="AD949" s="598" t="s">
        <v>3309</v>
      </c>
      <c r="AE949" s="598" t="s">
        <v>3309</v>
      </c>
      <c r="AF949" s="598" t="s">
        <v>321</v>
      </c>
      <c r="AG949" s="598" t="s">
        <v>321</v>
      </c>
      <c r="AH949" s="598" t="s">
        <v>3309</v>
      </c>
      <c r="AI949" s="598" t="s">
        <v>321</v>
      </c>
      <c r="AJ949" s="599">
        <v>21</v>
      </c>
      <c r="AK949" s="600">
        <v>21</v>
      </c>
      <c r="AL949" s="601">
        <v>0</v>
      </c>
      <c r="AM949" s="601">
        <v>0</v>
      </c>
      <c r="AN949" s="599">
        <v>21</v>
      </c>
    </row>
    <row r="950" spans="1:40" ht="16.5" customHeight="1">
      <c r="A950" s="598" t="s">
        <v>3337</v>
      </c>
      <c r="B950" s="598" t="s">
        <v>3350</v>
      </c>
      <c r="C950" s="598" t="s">
        <v>1595</v>
      </c>
      <c r="D950" s="598" t="s">
        <v>1596</v>
      </c>
      <c r="E950" s="598" t="s">
        <v>321</v>
      </c>
      <c r="F950" s="598" t="s">
        <v>3309</v>
      </c>
      <c r="G950" s="598" t="s">
        <v>3309</v>
      </c>
      <c r="H950" s="598" t="s">
        <v>3309</v>
      </c>
      <c r="I950" s="598" t="s">
        <v>3309</v>
      </c>
      <c r="J950" s="598" t="s">
        <v>3309</v>
      </c>
      <c r="K950" s="598" t="s">
        <v>321</v>
      </c>
      <c r="L950" s="598" t="s">
        <v>321</v>
      </c>
      <c r="M950" s="598" t="s">
        <v>3309</v>
      </c>
      <c r="N950" s="598" t="s">
        <v>3309</v>
      </c>
      <c r="O950" s="598" t="s">
        <v>3309</v>
      </c>
      <c r="P950" s="598" t="s">
        <v>3309</v>
      </c>
      <c r="Q950" s="598" t="s">
        <v>3309</v>
      </c>
      <c r="R950" s="598" t="s">
        <v>321</v>
      </c>
      <c r="S950" s="598" t="s">
        <v>321</v>
      </c>
      <c r="T950" s="598" t="s">
        <v>3309</v>
      </c>
      <c r="U950" s="598" t="s">
        <v>3309</v>
      </c>
      <c r="V950" s="598" t="s">
        <v>3309</v>
      </c>
      <c r="W950" s="598" t="s">
        <v>3309</v>
      </c>
      <c r="X950" s="598" t="s">
        <v>3309</v>
      </c>
      <c r="Y950" s="598" t="s">
        <v>321</v>
      </c>
      <c r="Z950" s="598" t="s">
        <v>321</v>
      </c>
      <c r="AA950" s="598" t="s">
        <v>3309</v>
      </c>
      <c r="AB950" s="598" t="s">
        <v>3309</v>
      </c>
      <c r="AC950" s="598" t="s">
        <v>3309</v>
      </c>
      <c r="AD950" s="598" t="s">
        <v>3309</v>
      </c>
      <c r="AE950" s="598" t="s">
        <v>3309</v>
      </c>
      <c r="AF950" s="598" t="s">
        <v>321</v>
      </c>
      <c r="AG950" s="598" t="s">
        <v>321</v>
      </c>
      <c r="AH950" s="598" t="s">
        <v>3309</v>
      </c>
      <c r="AI950" s="598" t="s">
        <v>321</v>
      </c>
      <c r="AJ950" s="599">
        <v>21</v>
      </c>
      <c r="AK950" s="600">
        <v>21</v>
      </c>
      <c r="AL950" s="601">
        <v>0</v>
      </c>
      <c r="AM950" s="601">
        <v>0</v>
      </c>
      <c r="AN950" s="599">
        <v>21</v>
      </c>
    </row>
    <row r="951" spans="1:40" ht="16.5" customHeight="1">
      <c r="A951" s="598" t="s">
        <v>3337</v>
      </c>
      <c r="B951" s="598" t="s">
        <v>3350</v>
      </c>
      <c r="C951" s="598" t="s">
        <v>2730</v>
      </c>
      <c r="D951" s="598" t="s">
        <v>1227</v>
      </c>
      <c r="E951" s="598" t="s">
        <v>321</v>
      </c>
      <c r="F951" s="598" t="s">
        <v>3309</v>
      </c>
      <c r="G951" s="598" t="s">
        <v>3309</v>
      </c>
      <c r="H951" s="598" t="s">
        <v>3309</v>
      </c>
      <c r="I951" s="598" t="s">
        <v>3309</v>
      </c>
      <c r="J951" s="598" t="s">
        <v>3309</v>
      </c>
      <c r="K951" s="598" t="s">
        <v>321</v>
      </c>
      <c r="L951" s="598" t="s">
        <v>321</v>
      </c>
      <c r="M951" s="598" t="s">
        <v>3309</v>
      </c>
      <c r="N951" s="598" t="s">
        <v>3309</v>
      </c>
      <c r="O951" s="598" t="s">
        <v>3309</v>
      </c>
      <c r="P951" s="598" t="s">
        <v>3309</v>
      </c>
      <c r="Q951" s="598" t="s">
        <v>3309</v>
      </c>
      <c r="R951" s="598" t="s">
        <v>321</v>
      </c>
      <c r="S951" s="598" t="s">
        <v>321</v>
      </c>
      <c r="T951" s="598" t="s">
        <v>3309</v>
      </c>
      <c r="U951" s="598" t="s">
        <v>3309</v>
      </c>
      <c r="V951" s="598" t="s">
        <v>3309</v>
      </c>
      <c r="W951" s="598" t="s">
        <v>3309</v>
      </c>
      <c r="X951" s="598" t="s">
        <v>3309</v>
      </c>
      <c r="Y951" s="598" t="s">
        <v>321</v>
      </c>
      <c r="Z951" s="598" t="s">
        <v>321</v>
      </c>
      <c r="AA951" s="598" t="s">
        <v>3309</v>
      </c>
      <c r="AB951" s="598" t="s">
        <v>3309</v>
      </c>
      <c r="AC951" s="598" t="s">
        <v>3309</v>
      </c>
      <c r="AD951" s="598" t="s">
        <v>3309</v>
      </c>
      <c r="AE951" s="598" t="s">
        <v>3309</v>
      </c>
      <c r="AF951" s="598" t="s">
        <v>321</v>
      </c>
      <c r="AG951" s="598" t="s">
        <v>321</v>
      </c>
      <c r="AH951" s="598" t="s">
        <v>3309</v>
      </c>
      <c r="AI951" s="598" t="s">
        <v>321</v>
      </c>
      <c r="AJ951" s="599">
        <v>21</v>
      </c>
      <c r="AK951" s="600">
        <v>21</v>
      </c>
      <c r="AL951" s="601">
        <v>0</v>
      </c>
      <c r="AM951" s="601">
        <v>0</v>
      </c>
      <c r="AN951" s="599">
        <v>21</v>
      </c>
    </row>
    <row r="952" spans="1:40" ht="16.5" customHeight="1">
      <c r="A952" s="598" t="s">
        <v>3337</v>
      </c>
      <c r="B952" s="598" t="s">
        <v>3350</v>
      </c>
      <c r="C952" s="598" t="s">
        <v>2935</v>
      </c>
      <c r="D952" s="598" t="s">
        <v>2936</v>
      </c>
      <c r="E952" s="598" t="s">
        <v>321</v>
      </c>
      <c r="F952" s="598" t="s">
        <v>3309</v>
      </c>
      <c r="G952" s="598" t="s">
        <v>3309</v>
      </c>
      <c r="H952" s="598" t="s">
        <v>3309</v>
      </c>
      <c r="I952" s="598" t="s">
        <v>3309</v>
      </c>
      <c r="J952" s="598" t="s">
        <v>3309</v>
      </c>
      <c r="K952" s="598" t="s">
        <v>321</v>
      </c>
      <c r="L952" s="598" t="s">
        <v>321</v>
      </c>
      <c r="M952" s="598" t="s">
        <v>3309</v>
      </c>
      <c r="N952" s="598" t="s">
        <v>3309</v>
      </c>
      <c r="O952" s="598" t="s">
        <v>3309</v>
      </c>
      <c r="P952" s="598" t="s">
        <v>3309</v>
      </c>
      <c r="Q952" s="598" t="s">
        <v>3309</v>
      </c>
      <c r="R952" s="598" t="s">
        <v>321</v>
      </c>
      <c r="S952" s="598" t="s">
        <v>321</v>
      </c>
      <c r="T952" s="598" t="s">
        <v>3309</v>
      </c>
      <c r="U952" s="598" t="s">
        <v>3309</v>
      </c>
      <c r="V952" s="598" t="s">
        <v>3309</v>
      </c>
      <c r="W952" s="598" t="s">
        <v>3309</v>
      </c>
      <c r="X952" s="598" t="s">
        <v>3309</v>
      </c>
      <c r="Y952" s="598" t="s">
        <v>321</v>
      </c>
      <c r="Z952" s="598" t="s">
        <v>321</v>
      </c>
      <c r="AA952" s="598" t="s">
        <v>3309</v>
      </c>
      <c r="AB952" s="598" t="s">
        <v>3309</v>
      </c>
      <c r="AC952" s="598" t="s">
        <v>3309</v>
      </c>
      <c r="AD952" s="598" t="s">
        <v>3309</v>
      </c>
      <c r="AE952" s="598" t="s">
        <v>3309</v>
      </c>
      <c r="AF952" s="598" t="s">
        <v>321</v>
      </c>
      <c r="AG952" s="598" t="s">
        <v>321</v>
      </c>
      <c r="AH952" s="598" t="s">
        <v>3309</v>
      </c>
      <c r="AI952" s="598" t="s">
        <v>321</v>
      </c>
      <c r="AJ952" s="599">
        <v>21</v>
      </c>
      <c r="AK952" s="600">
        <v>21</v>
      </c>
      <c r="AL952" s="601">
        <v>0</v>
      </c>
      <c r="AM952" s="601">
        <v>0</v>
      </c>
      <c r="AN952" s="599">
        <v>21</v>
      </c>
    </row>
    <row r="953" spans="1:40" ht="16.5" customHeight="1">
      <c r="A953" s="598" t="s">
        <v>3337</v>
      </c>
      <c r="B953" s="598" t="s">
        <v>3350</v>
      </c>
      <c r="C953" s="598" t="s">
        <v>1228</v>
      </c>
      <c r="D953" s="598" t="s">
        <v>1229</v>
      </c>
      <c r="E953" s="598" t="s">
        <v>321</v>
      </c>
      <c r="F953" s="598" t="s">
        <v>3309</v>
      </c>
      <c r="G953" s="598" t="s">
        <v>3309</v>
      </c>
      <c r="H953" s="598" t="s">
        <v>3309</v>
      </c>
      <c r="I953" s="598" t="s">
        <v>3309</v>
      </c>
      <c r="J953" s="598" t="s">
        <v>3309</v>
      </c>
      <c r="K953" s="598" t="s">
        <v>321</v>
      </c>
      <c r="L953" s="598" t="s">
        <v>321</v>
      </c>
      <c r="M953" s="598" t="s">
        <v>3309</v>
      </c>
      <c r="N953" s="598" t="s">
        <v>3309</v>
      </c>
      <c r="O953" s="598" t="s">
        <v>3309</v>
      </c>
      <c r="P953" s="598" t="s">
        <v>3309</v>
      </c>
      <c r="Q953" s="598" t="s">
        <v>3309</v>
      </c>
      <c r="R953" s="598" t="s">
        <v>321</v>
      </c>
      <c r="S953" s="598" t="s">
        <v>321</v>
      </c>
      <c r="T953" s="598" t="s">
        <v>3309</v>
      </c>
      <c r="U953" s="598" t="s">
        <v>3309</v>
      </c>
      <c r="V953" s="598" t="s">
        <v>3309</v>
      </c>
      <c r="W953" s="598" t="s">
        <v>3309</v>
      </c>
      <c r="X953" s="598" t="s">
        <v>3309</v>
      </c>
      <c r="Y953" s="598" t="s">
        <v>321</v>
      </c>
      <c r="Z953" s="598" t="s">
        <v>321</v>
      </c>
      <c r="AA953" s="598" t="s">
        <v>3309</v>
      </c>
      <c r="AB953" s="598" t="s">
        <v>3309</v>
      </c>
      <c r="AC953" s="598" t="s">
        <v>3309</v>
      </c>
      <c r="AD953" s="598" t="s">
        <v>3309</v>
      </c>
      <c r="AE953" s="598" t="s">
        <v>3309</v>
      </c>
      <c r="AF953" s="598" t="s">
        <v>321</v>
      </c>
      <c r="AG953" s="598" t="s">
        <v>321</v>
      </c>
      <c r="AH953" s="598" t="s">
        <v>3309</v>
      </c>
      <c r="AI953" s="598" t="s">
        <v>321</v>
      </c>
      <c r="AJ953" s="599">
        <v>21</v>
      </c>
      <c r="AK953" s="600">
        <v>21</v>
      </c>
      <c r="AL953" s="601">
        <v>0</v>
      </c>
      <c r="AM953" s="601">
        <v>0</v>
      </c>
      <c r="AN953" s="599">
        <v>21</v>
      </c>
    </row>
    <row r="954" spans="1:40" ht="16.5" customHeight="1">
      <c r="A954" s="598" t="s">
        <v>3337</v>
      </c>
      <c r="B954" s="598" t="s">
        <v>3350</v>
      </c>
      <c r="C954" s="598" t="s">
        <v>1403</v>
      </c>
      <c r="D954" s="598" t="s">
        <v>1404</v>
      </c>
      <c r="E954" s="598" t="s">
        <v>321</v>
      </c>
      <c r="F954" s="598" t="s">
        <v>3309</v>
      </c>
      <c r="G954" s="598" t="s">
        <v>3309</v>
      </c>
      <c r="H954" s="598" t="s">
        <v>3309</v>
      </c>
      <c r="I954" s="598" t="s">
        <v>3309</v>
      </c>
      <c r="J954" s="598" t="s">
        <v>3309</v>
      </c>
      <c r="K954" s="598" t="s">
        <v>321</v>
      </c>
      <c r="L954" s="598" t="s">
        <v>321</v>
      </c>
      <c r="M954" s="598" t="s">
        <v>3309</v>
      </c>
      <c r="N954" s="598" t="s">
        <v>3309</v>
      </c>
      <c r="O954" s="598" t="s">
        <v>3309</v>
      </c>
      <c r="P954" s="598" t="s">
        <v>3309</v>
      </c>
      <c r="Q954" s="598" t="s">
        <v>3309</v>
      </c>
      <c r="R954" s="598" t="s">
        <v>321</v>
      </c>
      <c r="S954" s="598" t="s">
        <v>321</v>
      </c>
      <c r="T954" s="598" t="s">
        <v>3309</v>
      </c>
      <c r="U954" s="598" t="s">
        <v>3309</v>
      </c>
      <c r="V954" s="598" t="s">
        <v>3309</v>
      </c>
      <c r="W954" s="598" t="s">
        <v>3309</v>
      </c>
      <c r="X954" s="598" t="s">
        <v>3312</v>
      </c>
      <c r="Y954" s="598" t="s">
        <v>321</v>
      </c>
      <c r="Z954" s="598" t="s">
        <v>321</v>
      </c>
      <c r="AA954" s="598" t="s">
        <v>3312</v>
      </c>
      <c r="AB954" s="598" t="s">
        <v>3309</v>
      </c>
      <c r="AC954" s="598" t="s">
        <v>3309</v>
      </c>
      <c r="AD954" s="598" t="s">
        <v>3309</v>
      </c>
      <c r="AE954" s="598" t="s">
        <v>3309</v>
      </c>
      <c r="AF954" s="598" t="s">
        <v>321</v>
      </c>
      <c r="AG954" s="598" t="s">
        <v>321</v>
      </c>
      <c r="AH954" s="598" t="s">
        <v>3309</v>
      </c>
      <c r="AI954" s="598" t="s">
        <v>321</v>
      </c>
      <c r="AJ954" s="599">
        <v>21</v>
      </c>
      <c r="AK954" s="600">
        <v>19</v>
      </c>
      <c r="AL954" s="602">
        <v>2</v>
      </c>
      <c r="AM954" s="601">
        <v>0</v>
      </c>
      <c r="AN954" s="599">
        <v>21</v>
      </c>
    </row>
    <row r="955" spans="1:40" ht="16.5" customHeight="1">
      <c r="A955" s="598" t="s">
        <v>3337</v>
      </c>
      <c r="B955" s="598" t="s">
        <v>3350</v>
      </c>
      <c r="C955" s="598" t="s">
        <v>2356</v>
      </c>
      <c r="D955" s="598" t="s">
        <v>2357</v>
      </c>
      <c r="E955" s="598" t="s">
        <v>321</v>
      </c>
      <c r="F955" s="598" t="s">
        <v>3309</v>
      </c>
      <c r="G955" s="598" t="s">
        <v>3309</v>
      </c>
      <c r="H955" s="598" t="s">
        <v>3309</v>
      </c>
      <c r="I955" s="598" t="s">
        <v>3309</v>
      </c>
      <c r="J955" s="598" t="s">
        <v>3309</v>
      </c>
      <c r="K955" s="598" t="s">
        <v>321</v>
      </c>
      <c r="L955" s="598" t="s">
        <v>321</v>
      </c>
      <c r="M955" s="598" t="s">
        <v>3309</v>
      </c>
      <c r="N955" s="598" t="s">
        <v>3309</v>
      </c>
      <c r="O955" s="598" t="s">
        <v>3309</v>
      </c>
      <c r="P955" s="598" t="s">
        <v>3309</v>
      </c>
      <c r="Q955" s="598" t="s">
        <v>3309</v>
      </c>
      <c r="R955" s="598" t="s">
        <v>321</v>
      </c>
      <c r="S955" s="598" t="s">
        <v>321</v>
      </c>
      <c r="T955" s="598" t="s">
        <v>3309</v>
      </c>
      <c r="U955" s="598" t="s">
        <v>3309</v>
      </c>
      <c r="V955" s="598" t="s">
        <v>3309</v>
      </c>
      <c r="W955" s="598" t="s">
        <v>3309</v>
      </c>
      <c r="X955" s="598" t="s">
        <v>3309</v>
      </c>
      <c r="Y955" s="598" t="s">
        <v>321</v>
      </c>
      <c r="Z955" s="598" t="s">
        <v>321</v>
      </c>
      <c r="AA955" s="598" t="s">
        <v>3309</v>
      </c>
      <c r="AB955" s="598" t="s">
        <v>3309</v>
      </c>
      <c r="AC955" s="598" t="s">
        <v>3309</v>
      </c>
      <c r="AD955" s="598" t="s">
        <v>3309</v>
      </c>
      <c r="AE955" s="598" t="s">
        <v>3309</v>
      </c>
      <c r="AF955" s="598" t="s">
        <v>321</v>
      </c>
      <c r="AG955" s="598" t="s">
        <v>321</v>
      </c>
      <c r="AH955" s="598" t="s">
        <v>3309</v>
      </c>
      <c r="AI955" s="598" t="s">
        <v>321</v>
      </c>
      <c r="AJ955" s="599">
        <v>21</v>
      </c>
      <c r="AK955" s="600">
        <v>21</v>
      </c>
      <c r="AL955" s="601">
        <v>0</v>
      </c>
      <c r="AM955" s="601">
        <v>0</v>
      </c>
      <c r="AN955" s="599">
        <v>21</v>
      </c>
    </row>
    <row r="956" spans="1:40" ht="16.5" customHeight="1">
      <c r="A956" s="598" t="s">
        <v>3337</v>
      </c>
      <c r="B956" s="598" t="s">
        <v>3350</v>
      </c>
      <c r="C956" s="598" t="s">
        <v>1763</v>
      </c>
      <c r="D956" s="598" t="s">
        <v>1764</v>
      </c>
      <c r="E956" s="598" t="s">
        <v>321</v>
      </c>
      <c r="F956" s="598" t="s">
        <v>3309</v>
      </c>
      <c r="G956" s="598" t="s">
        <v>3309</v>
      </c>
      <c r="H956" s="598" t="s">
        <v>3309</v>
      </c>
      <c r="I956" s="598" t="s">
        <v>3309</v>
      </c>
      <c r="J956" s="598" t="s">
        <v>3309</v>
      </c>
      <c r="K956" s="598" t="s">
        <v>321</v>
      </c>
      <c r="L956" s="598" t="s">
        <v>321</v>
      </c>
      <c r="M956" s="598" t="s">
        <v>3309</v>
      </c>
      <c r="N956" s="598" t="s">
        <v>3309</v>
      </c>
      <c r="O956" s="598" t="s">
        <v>3309</v>
      </c>
      <c r="P956" s="598" t="s">
        <v>3309</v>
      </c>
      <c r="Q956" s="598" t="s">
        <v>3309</v>
      </c>
      <c r="R956" s="598" t="s">
        <v>321</v>
      </c>
      <c r="S956" s="598" t="s">
        <v>321</v>
      </c>
      <c r="T956" s="598" t="s">
        <v>3309</v>
      </c>
      <c r="U956" s="598" t="s">
        <v>3313</v>
      </c>
      <c r="V956" s="598" t="s">
        <v>3313</v>
      </c>
      <c r="W956" s="598" t="s">
        <v>3313</v>
      </c>
      <c r="X956" s="598" t="s">
        <v>3312</v>
      </c>
      <c r="Y956" s="598" t="s">
        <v>321</v>
      </c>
      <c r="Z956" s="598" t="s">
        <v>321</v>
      </c>
      <c r="AA956" s="598" t="s">
        <v>3309</v>
      </c>
      <c r="AB956" s="598" t="s">
        <v>3309</v>
      </c>
      <c r="AC956" s="598" t="s">
        <v>3309</v>
      </c>
      <c r="AD956" s="598" t="s">
        <v>3309</v>
      </c>
      <c r="AE956" s="598" t="s">
        <v>3309</v>
      </c>
      <c r="AF956" s="598" t="s">
        <v>321</v>
      </c>
      <c r="AG956" s="598" t="s">
        <v>321</v>
      </c>
      <c r="AH956" s="598" t="s">
        <v>3309</v>
      </c>
      <c r="AI956" s="598" t="s">
        <v>321</v>
      </c>
      <c r="AJ956" s="599">
        <v>21</v>
      </c>
      <c r="AK956" s="600">
        <v>20</v>
      </c>
      <c r="AL956" s="602">
        <v>1</v>
      </c>
      <c r="AM956" s="601">
        <v>0</v>
      </c>
      <c r="AN956" s="599">
        <v>21</v>
      </c>
    </row>
    <row r="957" spans="1:40" ht="16.5" customHeight="1">
      <c r="A957" s="598" t="s">
        <v>3337</v>
      </c>
      <c r="B957" s="598" t="s">
        <v>3350</v>
      </c>
      <c r="C957" s="598" t="s">
        <v>1204</v>
      </c>
      <c r="D957" s="598" t="s">
        <v>1205</v>
      </c>
      <c r="E957" s="598" t="s">
        <v>321</v>
      </c>
      <c r="F957" s="598" t="s">
        <v>3309</v>
      </c>
      <c r="G957" s="598" t="s">
        <v>3309</v>
      </c>
      <c r="H957" s="598" t="s">
        <v>3309</v>
      </c>
      <c r="I957" s="598" t="s">
        <v>3309</v>
      </c>
      <c r="J957" s="598" t="s">
        <v>3309</v>
      </c>
      <c r="K957" s="598" t="s">
        <v>321</v>
      </c>
      <c r="L957" s="598" t="s">
        <v>321</v>
      </c>
      <c r="M957" s="598" t="s">
        <v>3309</v>
      </c>
      <c r="N957" s="598" t="s">
        <v>3309</v>
      </c>
      <c r="O957" s="598" t="s">
        <v>3309</v>
      </c>
      <c r="P957" s="598" t="s">
        <v>3309</v>
      </c>
      <c r="Q957" s="598" t="s">
        <v>3309</v>
      </c>
      <c r="R957" s="598" t="s">
        <v>321</v>
      </c>
      <c r="S957" s="598" t="s">
        <v>321</v>
      </c>
      <c r="T957" s="598" t="s">
        <v>3309</v>
      </c>
      <c r="U957" s="598" t="s">
        <v>3309</v>
      </c>
      <c r="V957" s="598" t="s">
        <v>3309</v>
      </c>
      <c r="W957" s="598" t="s">
        <v>3309</v>
      </c>
      <c r="X957" s="598" t="s">
        <v>3309</v>
      </c>
      <c r="Y957" s="598" t="s">
        <v>321</v>
      </c>
      <c r="Z957" s="598" t="s">
        <v>321</v>
      </c>
      <c r="AA957" s="598" t="s">
        <v>3309</v>
      </c>
      <c r="AB957" s="598" t="s">
        <v>3309</v>
      </c>
      <c r="AC957" s="598" t="s">
        <v>3309</v>
      </c>
      <c r="AD957" s="598" t="s">
        <v>3309</v>
      </c>
      <c r="AE957" s="598" t="s">
        <v>3309</v>
      </c>
      <c r="AF957" s="598" t="s">
        <v>321</v>
      </c>
      <c r="AG957" s="598" t="s">
        <v>321</v>
      </c>
      <c r="AH957" s="598" t="s">
        <v>3309</v>
      </c>
      <c r="AI957" s="598" t="s">
        <v>321</v>
      </c>
      <c r="AJ957" s="599">
        <v>21</v>
      </c>
      <c r="AK957" s="600">
        <v>21</v>
      </c>
      <c r="AL957" s="601">
        <v>0</v>
      </c>
      <c r="AM957" s="601">
        <v>0</v>
      </c>
      <c r="AN957" s="599">
        <v>21</v>
      </c>
    </row>
    <row r="958" spans="1:40" ht="16.5" customHeight="1">
      <c r="A958" s="598" t="s">
        <v>3337</v>
      </c>
      <c r="B958" s="598" t="s">
        <v>3350</v>
      </c>
      <c r="C958" s="598" t="s">
        <v>1292</v>
      </c>
      <c r="D958" s="598" t="s">
        <v>1293</v>
      </c>
      <c r="E958" s="598" t="s">
        <v>321</v>
      </c>
      <c r="F958" s="598" t="s">
        <v>3309</v>
      </c>
      <c r="G958" s="598" t="s">
        <v>3313</v>
      </c>
      <c r="H958" s="598" t="s">
        <v>3309</v>
      </c>
      <c r="I958" s="598" t="s">
        <v>3309</v>
      </c>
      <c r="J958" s="598" t="s">
        <v>3309</v>
      </c>
      <c r="K958" s="598" t="s">
        <v>321</v>
      </c>
      <c r="L958" s="598" t="s">
        <v>321</v>
      </c>
      <c r="M958" s="598" t="s">
        <v>3309</v>
      </c>
      <c r="N958" s="598" t="s">
        <v>3309</v>
      </c>
      <c r="O958" s="598" t="s">
        <v>3309</v>
      </c>
      <c r="P958" s="598" t="s">
        <v>3309</v>
      </c>
      <c r="Q958" s="598" t="s">
        <v>3309</v>
      </c>
      <c r="R958" s="598" t="s">
        <v>321</v>
      </c>
      <c r="S958" s="598" t="s">
        <v>321</v>
      </c>
      <c r="T958" s="598" t="s">
        <v>3309</v>
      </c>
      <c r="U958" s="598" t="s">
        <v>3309</v>
      </c>
      <c r="V958" s="598" t="s">
        <v>3309</v>
      </c>
      <c r="W958" s="598" t="s">
        <v>3309</v>
      </c>
      <c r="X958" s="598" t="s">
        <v>3309</v>
      </c>
      <c r="Y958" s="598" t="s">
        <v>321</v>
      </c>
      <c r="Z958" s="598" t="s">
        <v>321</v>
      </c>
      <c r="AA958" s="598" t="s">
        <v>3309</v>
      </c>
      <c r="AB958" s="598" t="s">
        <v>3309</v>
      </c>
      <c r="AC958" s="598" t="s">
        <v>3309</v>
      </c>
      <c r="AD958" s="598" t="s">
        <v>3309</v>
      </c>
      <c r="AE958" s="598" t="s">
        <v>3309</v>
      </c>
      <c r="AF958" s="598" t="s">
        <v>321</v>
      </c>
      <c r="AG958" s="598" t="s">
        <v>321</v>
      </c>
      <c r="AH958" s="598" t="s">
        <v>3309</v>
      </c>
      <c r="AI958" s="598" t="s">
        <v>321</v>
      </c>
      <c r="AJ958" s="599">
        <v>21</v>
      </c>
      <c r="AK958" s="600">
        <v>21</v>
      </c>
      <c r="AL958" s="601">
        <v>0</v>
      </c>
      <c r="AM958" s="601">
        <v>0</v>
      </c>
      <c r="AN958" s="599">
        <v>21</v>
      </c>
    </row>
    <row r="959" spans="1:40" ht="16.5" customHeight="1">
      <c r="A959" s="598" t="s">
        <v>3337</v>
      </c>
      <c r="B959" s="598" t="s">
        <v>3350</v>
      </c>
      <c r="C959" s="598" t="s">
        <v>2046</v>
      </c>
      <c r="D959" s="598" t="s">
        <v>1182</v>
      </c>
      <c r="E959" s="598" t="s">
        <v>321</v>
      </c>
      <c r="F959" s="598" t="s">
        <v>3309</v>
      </c>
      <c r="G959" s="598" t="s">
        <v>3309</v>
      </c>
      <c r="H959" s="598" t="s">
        <v>3309</v>
      </c>
      <c r="I959" s="598" t="s">
        <v>3309</v>
      </c>
      <c r="J959" s="598" t="s">
        <v>3309</v>
      </c>
      <c r="K959" s="598" t="s">
        <v>321</v>
      </c>
      <c r="L959" s="598" t="s">
        <v>321</v>
      </c>
      <c r="M959" s="598" t="s">
        <v>3309</v>
      </c>
      <c r="N959" s="598" t="s">
        <v>3309</v>
      </c>
      <c r="O959" s="598" t="s">
        <v>3309</v>
      </c>
      <c r="P959" s="598" t="s">
        <v>3309</v>
      </c>
      <c r="Q959" s="598" t="s">
        <v>3309</v>
      </c>
      <c r="R959" s="598" t="s">
        <v>321</v>
      </c>
      <c r="S959" s="598" t="s">
        <v>321</v>
      </c>
      <c r="T959" s="598" t="s">
        <v>3312</v>
      </c>
      <c r="U959" s="598" t="s">
        <v>3309</v>
      </c>
      <c r="V959" s="598" t="s">
        <v>3309</v>
      </c>
      <c r="W959" s="598" t="s">
        <v>3309</v>
      </c>
      <c r="X959" s="598" t="s">
        <v>3309</v>
      </c>
      <c r="Y959" s="598" t="s">
        <v>321</v>
      </c>
      <c r="Z959" s="598" t="s">
        <v>321</v>
      </c>
      <c r="AA959" s="598" t="s">
        <v>3309</v>
      </c>
      <c r="AB959" s="598" t="s">
        <v>3309</v>
      </c>
      <c r="AC959" s="598" t="s">
        <v>3309</v>
      </c>
      <c r="AD959" s="598" t="s">
        <v>3309</v>
      </c>
      <c r="AE959" s="598" t="s">
        <v>3309</v>
      </c>
      <c r="AF959" s="598" t="s">
        <v>321</v>
      </c>
      <c r="AG959" s="598" t="s">
        <v>321</v>
      </c>
      <c r="AH959" s="598" t="s">
        <v>3309</v>
      </c>
      <c r="AI959" s="598" t="s">
        <v>321</v>
      </c>
      <c r="AJ959" s="599">
        <v>21</v>
      </c>
      <c r="AK959" s="600">
        <v>20</v>
      </c>
      <c r="AL959" s="602">
        <v>1</v>
      </c>
      <c r="AM959" s="601">
        <v>0</v>
      </c>
      <c r="AN959" s="599">
        <v>21</v>
      </c>
    </row>
    <row r="960" spans="1:40" ht="16.5" customHeight="1">
      <c r="A960" s="598" t="s">
        <v>3337</v>
      </c>
      <c r="B960" s="598" t="s">
        <v>3350</v>
      </c>
      <c r="C960" s="598" t="s">
        <v>1862</v>
      </c>
      <c r="D960" s="598" t="s">
        <v>1863</v>
      </c>
      <c r="E960" s="598" t="s">
        <v>321</v>
      </c>
      <c r="F960" s="598" t="s">
        <v>3312</v>
      </c>
      <c r="G960" s="598" t="s">
        <v>3312</v>
      </c>
      <c r="H960" s="598" t="s">
        <v>3312</v>
      </c>
      <c r="I960" s="598" t="s">
        <v>3309</v>
      </c>
      <c r="J960" s="598" t="s">
        <v>3309</v>
      </c>
      <c r="K960" s="598" t="s">
        <v>321</v>
      </c>
      <c r="L960" s="598" t="s">
        <v>321</v>
      </c>
      <c r="M960" s="598" t="s">
        <v>3309</v>
      </c>
      <c r="N960" s="598" t="s">
        <v>3309</v>
      </c>
      <c r="O960" s="598" t="s">
        <v>3309</v>
      </c>
      <c r="P960" s="598" t="s">
        <v>3309</v>
      </c>
      <c r="Q960" s="598" t="s">
        <v>3309</v>
      </c>
      <c r="R960" s="598" t="s">
        <v>321</v>
      </c>
      <c r="S960" s="598" t="s">
        <v>321</v>
      </c>
      <c r="T960" s="598" t="s">
        <v>3309</v>
      </c>
      <c r="U960" s="598" t="s">
        <v>3309</v>
      </c>
      <c r="V960" s="598" t="s">
        <v>3309</v>
      </c>
      <c r="W960" s="598" t="s">
        <v>3309</v>
      </c>
      <c r="X960" s="598" t="s">
        <v>3309</v>
      </c>
      <c r="Y960" s="598" t="s">
        <v>321</v>
      </c>
      <c r="Z960" s="598" t="s">
        <v>321</v>
      </c>
      <c r="AA960" s="598" t="s">
        <v>3309</v>
      </c>
      <c r="AB960" s="598" t="s">
        <v>3309</v>
      </c>
      <c r="AC960" s="598" t="s">
        <v>3345</v>
      </c>
      <c r="AD960" s="598" t="s">
        <v>3309</v>
      </c>
      <c r="AE960" s="598" t="s">
        <v>3309</v>
      </c>
      <c r="AF960" s="598" t="s">
        <v>321</v>
      </c>
      <c r="AG960" s="598" t="s">
        <v>321</v>
      </c>
      <c r="AH960" s="598" t="s">
        <v>3309</v>
      </c>
      <c r="AI960" s="598" t="s">
        <v>321</v>
      </c>
      <c r="AJ960" s="599">
        <v>21</v>
      </c>
      <c r="AK960" s="600">
        <v>18</v>
      </c>
      <c r="AL960" s="602">
        <v>3</v>
      </c>
      <c r="AM960" s="601">
        <v>0</v>
      </c>
      <c r="AN960" s="599">
        <v>21</v>
      </c>
    </row>
    <row r="961" spans="1:40" ht="16.5" customHeight="1">
      <c r="A961" s="598" t="s">
        <v>3337</v>
      </c>
      <c r="B961" s="598" t="s">
        <v>3350</v>
      </c>
      <c r="C961" s="598" t="s">
        <v>1123</v>
      </c>
      <c r="D961" s="598" t="s">
        <v>1124</v>
      </c>
      <c r="E961" s="598" t="s">
        <v>321</v>
      </c>
      <c r="F961" s="598" t="s">
        <v>3309</v>
      </c>
      <c r="G961" s="598" t="s">
        <v>3309</v>
      </c>
      <c r="H961" s="598" t="s">
        <v>3309</v>
      </c>
      <c r="I961" s="598" t="s">
        <v>3309</v>
      </c>
      <c r="J961" s="598" t="s">
        <v>3309</v>
      </c>
      <c r="K961" s="598" t="s">
        <v>321</v>
      </c>
      <c r="L961" s="598" t="s">
        <v>321</v>
      </c>
      <c r="M961" s="598" t="s">
        <v>3309</v>
      </c>
      <c r="N961" s="598" t="s">
        <v>3309</v>
      </c>
      <c r="O961" s="598" t="s">
        <v>3309</v>
      </c>
      <c r="P961" s="598" t="s">
        <v>3309</v>
      </c>
      <c r="Q961" s="598" t="s">
        <v>3309</v>
      </c>
      <c r="R961" s="598" t="s">
        <v>321</v>
      </c>
      <c r="S961" s="598" t="s">
        <v>321</v>
      </c>
      <c r="T961" s="598" t="s">
        <v>3309</v>
      </c>
      <c r="U961" s="598" t="s">
        <v>3309</v>
      </c>
      <c r="V961" s="598" t="s">
        <v>3309</v>
      </c>
      <c r="W961" s="598" t="s">
        <v>3309</v>
      </c>
      <c r="X961" s="598" t="s">
        <v>3309</v>
      </c>
      <c r="Y961" s="598" t="s">
        <v>321</v>
      </c>
      <c r="Z961" s="598" t="s">
        <v>321</v>
      </c>
      <c r="AA961" s="598" t="s">
        <v>3309</v>
      </c>
      <c r="AB961" s="598" t="s">
        <v>3309</v>
      </c>
      <c r="AC961" s="598" t="s">
        <v>3309</v>
      </c>
      <c r="AD961" s="598" t="s">
        <v>3309</v>
      </c>
      <c r="AE961" s="598" t="s">
        <v>3309</v>
      </c>
      <c r="AF961" s="598" t="s">
        <v>321</v>
      </c>
      <c r="AG961" s="598" t="s">
        <v>321</v>
      </c>
      <c r="AH961" s="598" t="s">
        <v>3309</v>
      </c>
      <c r="AI961" s="598" t="s">
        <v>321</v>
      </c>
      <c r="AJ961" s="599">
        <v>21</v>
      </c>
      <c r="AK961" s="600">
        <v>21</v>
      </c>
      <c r="AL961" s="601">
        <v>0</v>
      </c>
      <c r="AM961" s="601">
        <v>0</v>
      </c>
      <c r="AN961" s="599">
        <v>21</v>
      </c>
    </row>
    <row r="962" spans="1:40" ht="16.5" customHeight="1">
      <c r="A962" s="598" t="s">
        <v>3337</v>
      </c>
      <c r="B962" s="598" t="s">
        <v>3350</v>
      </c>
      <c r="C962" s="598" t="s">
        <v>1968</v>
      </c>
      <c r="D962" s="598" t="s">
        <v>1969</v>
      </c>
      <c r="E962" s="598" t="s">
        <v>321</v>
      </c>
      <c r="F962" s="598" t="s">
        <v>3309</v>
      </c>
      <c r="G962" s="598" t="s">
        <v>3309</v>
      </c>
      <c r="H962" s="598" t="s">
        <v>3309</v>
      </c>
      <c r="I962" s="598" t="s">
        <v>3345</v>
      </c>
      <c r="J962" s="598" t="s">
        <v>3309</v>
      </c>
      <c r="K962" s="598" t="s">
        <v>321</v>
      </c>
      <c r="L962" s="598" t="s">
        <v>321</v>
      </c>
      <c r="M962" s="598" t="s">
        <v>3309</v>
      </c>
      <c r="N962" s="598" t="s">
        <v>3309</v>
      </c>
      <c r="O962" s="598" t="s">
        <v>3309</v>
      </c>
      <c r="P962" s="598" t="s">
        <v>3309</v>
      </c>
      <c r="Q962" s="598" t="s">
        <v>3309</v>
      </c>
      <c r="R962" s="598" t="s">
        <v>321</v>
      </c>
      <c r="S962" s="598" t="s">
        <v>321</v>
      </c>
      <c r="T962" s="598" t="s">
        <v>3314</v>
      </c>
      <c r="U962" s="598" t="s">
        <v>3309</v>
      </c>
      <c r="V962" s="598" t="s">
        <v>3309</v>
      </c>
      <c r="W962" s="598" t="s">
        <v>3309</v>
      </c>
      <c r="X962" s="598" t="s">
        <v>3309</v>
      </c>
      <c r="Y962" s="598" t="s">
        <v>321</v>
      </c>
      <c r="Z962" s="598" t="s">
        <v>321</v>
      </c>
      <c r="AA962" s="598" t="s">
        <v>3309</v>
      </c>
      <c r="AB962" s="598" t="s">
        <v>3309</v>
      </c>
      <c r="AC962" s="598" t="s">
        <v>3309</v>
      </c>
      <c r="AD962" s="598" t="s">
        <v>3309</v>
      </c>
      <c r="AE962" s="598" t="s">
        <v>3309</v>
      </c>
      <c r="AF962" s="598" t="s">
        <v>321</v>
      </c>
      <c r="AG962" s="598" t="s">
        <v>321</v>
      </c>
      <c r="AH962" s="598" t="s">
        <v>3309</v>
      </c>
      <c r="AI962" s="598" t="s">
        <v>321</v>
      </c>
      <c r="AJ962" s="599">
        <v>21</v>
      </c>
      <c r="AK962" s="603">
        <v>20.5</v>
      </c>
      <c r="AL962" s="604">
        <v>0.5</v>
      </c>
      <c r="AM962" s="601">
        <v>0</v>
      </c>
      <c r="AN962" s="599">
        <v>21</v>
      </c>
    </row>
    <row r="963" spans="1:40" ht="16.5" customHeight="1">
      <c r="A963" s="598" t="s">
        <v>3337</v>
      </c>
      <c r="B963" s="598" t="s">
        <v>3350</v>
      </c>
      <c r="C963" s="598" t="s">
        <v>2974</v>
      </c>
      <c r="D963" s="598" t="s">
        <v>2975</v>
      </c>
      <c r="E963" s="598" t="s">
        <v>321</v>
      </c>
      <c r="F963" s="598" t="s">
        <v>3309</v>
      </c>
      <c r="G963" s="598" t="s">
        <v>3309</v>
      </c>
      <c r="H963" s="598" t="s">
        <v>3309</v>
      </c>
      <c r="I963" s="598" t="s">
        <v>3309</v>
      </c>
      <c r="J963" s="598" t="s">
        <v>3309</v>
      </c>
      <c r="K963" s="598" t="s">
        <v>321</v>
      </c>
      <c r="L963" s="598" t="s">
        <v>321</v>
      </c>
      <c r="M963" s="598" t="s">
        <v>3309</v>
      </c>
      <c r="N963" s="598" t="s">
        <v>3309</v>
      </c>
      <c r="O963" s="598" t="s">
        <v>3309</v>
      </c>
      <c r="P963" s="598" t="s">
        <v>3309</v>
      </c>
      <c r="Q963" s="598" t="s">
        <v>3309</v>
      </c>
      <c r="R963" s="598" t="s">
        <v>321</v>
      </c>
      <c r="S963" s="598" t="s">
        <v>321</v>
      </c>
      <c r="T963" s="598" t="s">
        <v>3309</v>
      </c>
      <c r="U963" s="598" t="s">
        <v>3309</v>
      </c>
      <c r="V963" s="598" t="s">
        <v>3309</v>
      </c>
      <c r="W963" s="598" t="s">
        <v>3309</v>
      </c>
      <c r="X963" s="598" t="s">
        <v>3309</v>
      </c>
      <c r="Y963" s="598" t="s">
        <v>321</v>
      </c>
      <c r="Z963" s="598" t="s">
        <v>321</v>
      </c>
      <c r="AA963" s="598" t="s">
        <v>3309</v>
      </c>
      <c r="AB963" s="598" t="s">
        <v>3309</v>
      </c>
      <c r="AC963" s="598" t="s">
        <v>3309</v>
      </c>
      <c r="AD963" s="598" t="s">
        <v>3309</v>
      </c>
      <c r="AE963" s="598" t="s">
        <v>3309</v>
      </c>
      <c r="AF963" s="598" t="s">
        <v>321</v>
      </c>
      <c r="AG963" s="598" t="s">
        <v>321</v>
      </c>
      <c r="AH963" s="598" t="s">
        <v>3309</v>
      </c>
      <c r="AI963" s="598" t="s">
        <v>321</v>
      </c>
      <c r="AJ963" s="599">
        <v>21</v>
      </c>
      <c r="AK963" s="600">
        <v>21</v>
      </c>
      <c r="AL963" s="601">
        <v>0</v>
      </c>
      <c r="AM963" s="601">
        <v>0</v>
      </c>
      <c r="AN963" s="599">
        <v>21</v>
      </c>
    </row>
    <row r="964" spans="1:40" ht="16.5" customHeight="1">
      <c r="A964" s="598" t="s">
        <v>3337</v>
      </c>
      <c r="B964" s="598" t="s">
        <v>3350</v>
      </c>
      <c r="C964" s="598" t="s">
        <v>2047</v>
      </c>
      <c r="D964" s="598" t="s">
        <v>2048</v>
      </c>
      <c r="E964" s="598" t="s">
        <v>321</v>
      </c>
      <c r="F964" s="598" t="s">
        <v>3309</v>
      </c>
      <c r="G964" s="598" t="s">
        <v>3309</v>
      </c>
      <c r="H964" s="598" t="s">
        <v>3309</v>
      </c>
      <c r="I964" s="598" t="s">
        <v>3309</v>
      </c>
      <c r="J964" s="598" t="s">
        <v>3309</v>
      </c>
      <c r="K964" s="598" t="s">
        <v>321</v>
      </c>
      <c r="L964" s="598" t="s">
        <v>321</v>
      </c>
      <c r="M964" s="598" t="s">
        <v>3309</v>
      </c>
      <c r="N964" s="598" t="s">
        <v>3309</v>
      </c>
      <c r="O964" s="598" t="s">
        <v>3309</v>
      </c>
      <c r="P964" s="598" t="s">
        <v>3309</v>
      </c>
      <c r="Q964" s="598" t="s">
        <v>3309</v>
      </c>
      <c r="R964" s="598" t="s">
        <v>321</v>
      </c>
      <c r="S964" s="598" t="s">
        <v>321</v>
      </c>
      <c r="T964" s="598" t="s">
        <v>3309</v>
      </c>
      <c r="U964" s="598" t="s">
        <v>3309</v>
      </c>
      <c r="V964" s="598" t="s">
        <v>3309</v>
      </c>
      <c r="W964" s="598" t="s">
        <v>3309</v>
      </c>
      <c r="X964" s="598" t="s">
        <v>3309</v>
      </c>
      <c r="Y964" s="598" t="s">
        <v>321</v>
      </c>
      <c r="Z964" s="598" t="s">
        <v>321</v>
      </c>
      <c r="AA964" s="598" t="s">
        <v>3309</v>
      </c>
      <c r="AB964" s="598" t="s">
        <v>3309</v>
      </c>
      <c r="AC964" s="598" t="s">
        <v>3309</v>
      </c>
      <c r="AD964" s="598" t="s">
        <v>3309</v>
      </c>
      <c r="AE964" s="598" t="s">
        <v>3309</v>
      </c>
      <c r="AF964" s="598" t="s">
        <v>321</v>
      </c>
      <c r="AG964" s="598" t="s">
        <v>321</v>
      </c>
      <c r="AH964" s="598" t="s">
        <v>3309</v>
      </c>
      <c r="AI964" s="598" t="s">
        <v>321</v>
      </c>
      <c r="AJ964" s="599">
        <v>21</v>
      </c>
      <c r="AK964" s="600">
        <v>21</v>
      </c>
      <c r="AL964" s="601">
        <v>0</v>
      </c>
      <c r="AM964" s="601">
        <v>0</v>
      </c>
      <c r="AN964" s="599">
        <v>21</v>
      </c>
    </row>
    <row r="965" spans="1:40" ht="16.5" customHeight="1">
      <c r="A965" s="598" t="s">
        <v>3337</v>
      </c>
      <c r="B965" s="598" t="s">
        <v>3350</v>
      </c>
      <c r="C965" s="598" t="s">
        <v>2925</v>
      </c>
      <c r="D965" s="598" t="s">
        <v>2926</v>
      </c>
      <c r="E965" s="598" t="s">
        <v>321</v>
      </c>
      <c r="F965" s="598" t="s">
        <v>3309</v>
      </c>
      <c r="G965" s="598" t="s">
        <v>3309</v>
      </c>
      <c r="H965" s="598" t="s">
        <v>3309</v>
      </c>
      <c r="I965" s="598" t="s">
        <v>3309</v>
      </c>
      <c r="J965" s="598" t="s">
        <v>3309</v>
      </c>
      <c r="K965" s="598" t="s">
        <v>321</v>
      </c>
      <c r="L965" s="598" t="s">
        <v>321</v>
      </c>
      <c r="M965" s="598" t="s">
        <v>3309</v>
      </c>
      <c r="N965" s="598" t="s">
        <v>3309</v>
      </c>
      <c r="O965" s="598" t="s">
        <v>3309</v>
      </c>
      <c r="P965" s="598" t="s">
        <v>3309</v>
      </c>
      <c r="Q965" s="598" t="s">
        <v>3309</v>
      </c>
      <c r="R965" s="598" t="s">
        <v>321</v>
      </c>
      <c r="S965" s="598" t="s">
        <v>321</v>
      </c>
      <c r="T965" s="598" t="s">
        <v>3309</v>
      </c>
      <c r="U965" s="598" t="s">
        <v>3309</v>
      </c>
      <c r="V965" s="598" t="s">
        <v>3309</v>
      </c>
      <c r="W965" s="598" t="s">
        <v>3309</v>
      </c>
      <c r="X965" s="598" t="s">
        <v>3309</v>
      </c>
      <c r="Y965" s="598" t="s">
        <v>321</v>
      </c>
      <c r="Z965" s="598" t="s">
        <v>321</v>
      </c>
      <c r="AA965" s="598" t="s">
        <v>3309</v>
      </c>
      <c r="AB965" s="598" t="s">
        <v>3309</v>
      </c>
      <c r="AC965" s="598" t="s">
        <v>3309</v>
      </c>
      <c r="AD965" s="598" t="s">
        <v>3309</v>
      </c>
      <c r="AE965" s="598" t="s">
        <v>3309</v>
      </c>
      <c r="AF965" s="598" t="s">
        <v>321</v>
      </c>
      <c r="AG965" s="598" t="s">
        <v>321</v>
      </c>
      <c r="AH965" s="598" t="s">
        <v>3309</v>
      </c>
      <c r="AI965" s="598" t="s">
        <v>321</v>
      </c>
      <c r="AJ965" s="599">
        <v>21</v>
      </c>
      <c r="AK965" s="600">
        <v>21</v>
      </c>
      <c r="AL965" s="601">
        <v>0</v>
      </c>
      <c r="AM965" s="601">
        <v>0</v>
      </c>
      <c r="AN965" s="599">
        <v>21</v>
      </c>
    </row>
    <row r="966" spans="1:40" ht="16.5" customHeight="1">
      <c r="A966" s="598" t="s">
        <v>3337</v>
      </c>
      <c r="B966" s="598" t="s">
        <v>3350</v>
      </c>
      <c r="C966" s="598" t="s">
        <v>2874</v>
      </c>
      <c r="D966" s="598" t="s">
        <v>1344</v>
      </c>
      <c r="E966" s="598" t="s">
        <v>321</v>
      </c>
      <c r="F966" s="598" t="s">
        <v>3309</v>
      </c>
      <c r="G966" s="598" t="s">
        <v>3309</v>
      </c>
      <c r="H966" s="598" t="s">
        <v>3309</v>
      </c>
      <c r="I966" s="598" t="s">
        <v>3309</v>
      </c>
      <c r="J966" s="598" t="s">
        <v>3309</v>
      </c>
      <c r="K966" s="598" t="s">
        <v>321</v>
      </c>
      <c r="L966" s="598" t="s">
        <v>321</v>
      </c>
      <c r="M966" s="598" t="s">
        <v>3309</v>
      </c>
      <c r="N966" s="598" t="s">
        <v>3309</v>
      </c>
      <c r="O966" s="598" t="s">
        <v>3309</v>
      </c>
      <c r="P966" s="598" t="s">
        <v>3309</v>
      </c>
      <c r="Q966" s="598" t="s">
        <v>3309</v>
      </c>
      <c r="R966" s="598" t="s">
        <v>321</v>
      </c>
      <c r="S966" s="598" t="s">
        <v>321</v>
      </c>
      <c r="T966" s="598" t="s">
        <v>3309</v>
      </c>
      <c r="U966" s="598" t="s">
        <v>3309</v>
      </c>
      <c r="V966" s="598" t="s">
        <v>3309</v>
      </c>
      <c r="W966" s="598" t="s">
        <v>3309</v>
      </c>
      <c r="X966" s="598" t="s">
        <v>3309</v>
      </c>
      <c r="Y966" s="598" t="s">
        <v>321</v>
      </c>
      <c r="Z966" s="598" t="s">
        <v>321</v>
      </c>
      <c r="AA966" s="598" t="s">
        <v>3309</v>
      </c>
      <c r="AB966" s="598" t="s">
        <v>3309</v>
      </c>
      <c r="AC966" s="598" t="s">
        <v>3309</v>
      </c>
      <c r="AD966" s="598" t="s">
        <v>3309</v>
      </c>
      <c r="AE966" s="598" t="s">
        <v>3309</v>
      </c>
      <c r="AF966" s="598" t="s">
        <v>321</v>
      </c>
      <c r="AG966" s="598" t="s">
        <v>321</v>
      </c>
      <c r="AH966" s="598" t="s">
        <v>3309</v>
      </c>
      <c r="AI966" s="598" t="s">
        <v>321</v>
      </c>
      <c r="AJ966" s="599">
        <v>21</v>
      </c>
      <c r="AK966" s="600">
        <v>21</v>
      </c>
      <c r="AL966" s="601">
        <v>0</v>
      </c>
      <c r="AM966" s="601">
        <v>0</v>
      </c>
      <c r="AN966" s="599">
        <v>21</v>
      </c>
    </row>
    <row r="967" spans="1:40" ht="16.5" customHeight="1">
      <c r="A967" s="598" t="s">
        <v>3337</v>
      </c>
      <c r="B967" s="598" t="s">
        <v>3350</v>
      </c>
      <c r="C967" s="598" t="s">
        <v>1405</v>
      </c>
      <c r="D967" s="598" t="s">
        <v>1406</v>
      </c>
      <c r="E967" s="598" t="s">
        <v>321</v>
      </c>
      <c r="F967" s="598" t="s">
        <v>3309</v>
      </c>
      <c r="G967" s="598" t="s">
        <v>3309</v>
      </c>
      <c r="H967" s="598" t="s">
        <v>3309</v>
      </c>
      <c r="I967" s="598" t="s">
        <v>3309</v>
      </c>
      <c r="J967" s="598" t="s">
        <v>3309</v>
      </c>
      <c r="K967" s="598" t="s">
        <v>321</v>
      </c>
      <c r="L967" s="598" t="s">
        <v>321</v>
      </c>
      <c r="M967" s="598" t="s">
        <v>3309</v>
      </c>
      <c r="N967" s="598" t="s">
        <v>3309</v>
      </c>
      <c r="O967" s="598" t="s">
        <v>3309</v>
      </c>
      <c r="P967" s="598" t="s">
        <v>3309</v>
      </c>
      <c r="Q967" s="598" t="s">
        <v>3309</v>
      </c>
      <c r="R967" s="598" t="s">
        <v>321</v>
      </c>
      <c r="S967" s="598" t="s">
        <v>321</v>
      </c>
      <c r="T967" s="598" t="s">
        <v>3309</v>
      </c>
      <c r="U967" s="598" t="s">
        <v>3309</v>
      </c>
      <c r="V967" s="598" t="s">
        <v>3309</v>
      </c>
      <c r="W967" s="598" t="s">
        <v>3309</v>
      </c>
      <c r="X967" s="598" t="s">
        <v>3309</v>
      </c>
      <c r="Y967" s="598" t="s">
        <v>321</v>
      </c>
      <c r="Z967" s="598" t="s">
        <v>321</v>
      </c>
      <c r="AA967" s="598" t="s">
        <v>3309</v>
      </c>
      <c r="AB967" s="598" t="s">
        <v>3309</v>
      </c>
      <c r="AC967" s="598" t="s">
        <v>3309</v>
      </c>
      <c r="AD967" s="598" t="s">
        <v>3309</v>
      </c>
      <c r="AE967" s="598" t="s">
        <v>3309</v>
      </c>
      <c r="AF967" s="598" t="s">
        <v>321</v>
      </c>
      <c r="AG967" s="598" t="s">
        <v>321</v>
      </c>
      <c r="AH967" s="598" t="s">
        <v>3309</v>
      </c>
      <c r="AI967" s="598" t="s">
        <v>321</v>
      </c>
      <c r="AJ967" s="599">
        <v>21</v>
      </c>
      <c r="AK967" s="600">
        <v>21</v>
      </c>
      <c r="AL967" s="601">
        <v>0</v>
      </c>
      <c r="AM967" s="601">
        <v>0</v>
      </c>
      <c r="AN967" s="599">
        <v>21</v>
      </c>
    </row>
    <row r="968" spans="1:40" ht="16.5" customHeight="1">
      <c r="A968" s="598" t="s">
        <v>3337</v>
      </c>
      <c r="B968" s="598" t="s">
        <v>3350</v>
      </c>
      <c r="C968" s="598" t="s">
        <v>1185</v>
      </c>
      <c r="D968" s="598" t="s">
        <v>845</v>
      </c>
      <c r="E968" s="598" t="s">
        <v>321</v>
      </c>
      <c r="F968" s="598" t="s">
        <v>3309</v>
      </c>
      <c r="G968" s="598" t="s">
        <v>3309</v>
      </c>
      <c r="H968" s="598" t="s">
        <v>3309</v>
      </c>
      <c r="I968" s="598" t="s">
        <v>3309</v>
      </c>
      <c r="J968" s="598" t="s">
        <v>3309</v>
      </c>
      <c r="K968" s="598" t="s">
        <v>321</v>
      </c>
      <c r="L968" s="598" t="s">
        <v>321</v>
      </c>
      <c r="M968" s="598" t="s">
        <v>3309</v>
      </c>
      <c r="N968" s="598" t="s">
        <v>3309</v>
      </c>
      <c r="O968" s="598" t="s">
        <v>3309</v>
      </c>
      <c r="P968" s="598" t="s">
        <v>3309</v>
      </c>
      <c r="Q968" s="598" t="s">
        <v>3309</v>
      </c>
      <c r="R968" s="598" t="s">
        <v>321</v>
      </c>
      <c r="S968" s="598" t="s">
        <v>321</v>
      </c>
      <c r="T968" s="598" t="s">
        <v>3309</v>
      </c>
      <c r="U968" s="598" t="s">
        <v>3309</v>
      </c>
      <c r="V968" s="598" t="s">
        <v>3309</v>
      </c>
      <c r="W968" s="598" t="s">
        <v>3309</v>
      </c>
      <c r="X968" s="598" t="s">
        <v>3309</v>
      </c>
      <c r="Y968" s="598" t="s">
        <v>321</v>
      </c>
      <c r="Z968" s="598" t="s">
        <v>321</v>
      </c>
      <c r="AA968" s="598" t="s">
        <v>3309</v>
      </c>
      <c r="AB968" s="598" t="s">
        <v>3309</v>
      </c>
      <c r="AC968" s="598" t="s">
        <v>3309</v>
      </c>
      <c r="AD968" s="598" t="s">
        <v>3309</v>
      </c>
      <c r="AE968" s="598" t="s">
        <v>3309</v>
      </c>
      <c r="AF968" s="598" t="s">
        <v>321</v>
      </c>
      <c r="AG968" s="598" t="s">
        <v>321</v>
      </c>
      <c r="AH968" s="598" t="s">
        <v>3314</v>
      </c>
      <c r="AI968" s="598" t="s">
        <v>321</v>
      </c>
      <c r="AJ968" s="599">
        <v>21</v>
      </c>
      <c r="AK968" s="603">
        <v>20.5</v>
      </c>
      <c r="AL968" s="604">
        <v>0.5</v>
      </c>
      <c r="AM968" s="601">
        <v>0</v>
      </c>
      <c r="AN968" s="599">
        <v>21</v>
      </c>
    </row>
    <row r="969" spans="1:40" ht="16.5" customHeight="1">
      <c r="A969" s="598" t="s">
        <v>3337</v>
      </c>
      <c r="B969" s="598" t="s">
        <v>3350</v>
      </c>
      <c r="C969" s="598" t="s">
        <v>1785</v>
      </c>
      <c r="D969" s="598" t="s">
        <v>1786</v>
      </c>
      <c r="E969" s="598" t="s">
        <v>321</v>
      </c>
      <c r="F969" s="598" t="s">
        <v>3309</v>
      </c>
      <c r="G969" s="598" t="s">
        <v>3309</v>
      </c>
      <c r="H969" s="598" t="s">
        <v>3309</v>
      </c>
      <c r="I969" s="598" t="s">
        <v>3309</v>
      </c>
      <c r="J969" s="598" t="s">
        <v>3309</v>
      </c>
      <c r="K969" s="598" t="s">
        <v>321</v>
      </c>
      <c r="L969" s="598" t="s">
        <v>321</v>
      </c>
      <c r="M969" s="598" t="s">
        <v>3309</v>
      </c>
      <c r="N969" s="598" t="s">
        <v>3309</v>
      </c>
      <c r="O969" s="598" t="s">
        <v>3309</v>
      </c>
      <c r="P969" s="598" t="s">
        <v>3309</v>
      </c>
      <c r="Q969" s="598" t="s">
        <v>3309</v>
      </c>
      <c r="R969" s="598" t="s">
        <v>321</v>
      </c>
      <c r="S969" s="598" t="s">
        <v>321</v>
      </c>
      <c r="T969" s="598" t="s">
        <v>3309</v>
      </c>
      <c r="U969" s="598" t="s">
        <v>3309</v>
      </c>
      <c r="V969" s="598" t="s">
        <v>3309</v>
      </c>
      <c r="W969" s="598" t="s">
        <v>3309</v>
      </c>
      <c r="X969" s="598" t="s">
        <v>3309</v>
      </c>
      <c r="Y969" s="598" t="s">
        <v>321</v>
      </c>
      <c r="Z969" s="598" t="s">
        <v>321</v>
      </c>
      <c r="AA969" s="598" t="s">
        <v>3309</v>
      </c>
      <c r="AB969" s="598" t="s">
        <v>3309</v>
      </c>
      <c r="AC969" s="598" t="s">
        <v>3309</v>
      </c>
      <c r="AD969" s="598" t="s">
        <v>3309</v>
      </c>
      <c r="AE969" s="598" t="s">
        <v>3309</v>
      </c>
      <c r="AF969" s="598" t="s">
        <v>321</v>
      </c>
      <c r="AG969" s="598" t="s">
        <v>321</v>
      </c>
      <c r="AH969" s="598" t="s">
        <v>3309</v>
      </c>
      <c r="AI969" s="598" t="s">
        <v>321</v>
      </c>
      <c r="AJ969" s="599">
        <v>21</v>
      </c>
      <c r="AK969" s="600">
        <v>21</v>
      </c>
      <c r="AL969" s="601">
        <v>0</v>
      </c>
      <c r="AM969" s="601">
        <v>0</v>
      </c>
      <c r="AN969" s="599">
        <v>21</v>
      </c>
    </row>
    <row r="970" spans="1:40" ht="16.5" customHeight="1">
      <c r="A970" s="598" t="s">
        <v>3337</v>
      </c>
      <c r="B970" s="598" t="s">
        <v>3350</v>
      </c>
      <c r="C970" s="598" t="s">
        <v>2075</v>
      </c>
      <c r="D970" s="598" t="s">
        <v>2076</v>
      </c>
      <c r="E970" s="598" t="s">
        <v>321</v>
      </c>
      <c r="F970" s="598" t="s">
        <v>3309</v>
      </c>
      <c r="G970" s="598" t="s">
        <v>3309</v>
      </c>
      <c r="H970" s="598" t="s">
        <v>3309</v>
      </c>
      <c r="I970" s="598" t="s">
        <v>3309</v>
      </c>
      <c r="J970" s="598" t="s">
        <v>3309</v>
      </c>
      <c r="K970" s="598" t="s">
        <v>321</v>
      </c>
      <c r="L970" s="598" t="s">
        <v>321</v>
      </c>
      <c r="M970" s="598" t="s">
        <v>3309</v>
      </c>
      <c r="N970" s="598" t="s">
        <v>3309</v>
      </c>
      <c r="O970" s="598" t="s">
        <v>3309</v>
      </c>
      <c r="P970" s="598" t="s">
        <v>3309</v>
      </c>
      <c r="Q970" s="598" t="s">
        <v>3309</v>
      </c>
      <c r="R970" s="598" t="s">
        <v>321</v>
      </c>
      <c r="S970" s="598" t="s">
        <v>321</v>
      </c>
      <c r="T970" s="598" t="s">
        <v>3309</v>
      </c>
      <c r="U970" s="598" t="s">
        <v>3309</v>
      </c>
      <c r="V970" s="598" t="s">
        <v>3309</v>
      </c>
      <c r="W970" s="598" t="s">
        <v>3309</v>
      </c>
      <c r="X970" s="598" t="s">
        <v>3309</v>
      </c>
      <c r="Y970" s="598" t="s">
        <v>321</v>
      </c>
      <c r="Z970" s="598" t="s">
        <v>321</v>
      </c>
      <c r="AA970" s="598" t="s">
        <v>3309</v>
      </c>
      <c r="AB970" s="598" t="s">
        <v>3309</v>
      </c>
      <c r="AC970" s="598" t="s">
        <v>3309</v>
      </c>
      <c r="AD970" s="598" t="s">
        <v>3309</v>
      </c>
      <c r="AE970" s="598" t="s">
        <v>3309</v>
      </c>
      <c r="AF970" s="598" t="s">
        <v>321</v>
      </c>
      <c r="AG970" s="598" t="s">
        <v>321</v>
      </c>
      <c r="AH970" s="598" t="s">
        <v>3309</v>
      </c>
      <c r="AI970" s="598" t="s">
        <v>321</v>
      </c>
      <c r="AJ970" s="599">
        <v>21</v>
      </c>
      <c r="AK970" s="600">
        <v>21</v>
      </c>
      <c r="AL970" s="601">
        <v>0</v>
      </c>
      <c r="AM970" s="601">
        <v>0</v>
      </c>
      <c r="AN970" s="599">
        <v>21</v>
      </c>
    </row>
    <row r="971" spans="1:40" ht="16.5" customHeight="1">
      <c r="A971" s="598" t="s">
        <v>3337</v>
      </c>
      <c r="B971" s="598" t="s">
        <v>3350</v>
      </c>
      <c r="C971" s="598" t="s">
        <v>2100</v>
      </c>
      <c r="D971" s="598" t="s">
        <v>2101</v>
      </c>
      <c r="E971" s="598" t="s">
        <v>321</v>
      </c>
      <c r="F971" s="598" t="s">
        <v>3309</v>
      </c>
      <c r="G971" s="598" t="s">
        <v>3309</v>
      </c>
      <c r="H971" s="598" t="s">
        <v>3309</v>
      </c>
      <c r="I971" s="598" t="s">
        <v>3309</v>
      </c>
      <c r="J971" s="598" t="s">
        <v>3309</v>
      </c>
      <c r="K971" s="598" t="s">
        <v>321</v>
      </c>
      <c r="L971" s="598" t="s">
        <v>321</v>
      </c>
      <c r="M971" s="598" t="s">
        <v>3309</v>
      </c>
      <c r="N971" s="598" t="s">
        <v>3309</v>
      </c>
      <c r="O971" s="598" t="s">
        <v>3309</v>
      </c>
      <c r="P971" s="598" t="s">
        <v>3309</v>
      </c>
      <c r="Q971" s="598" t="s">
        <v>3309</v>
      </c>
      <c r="R971" s="598" t="s">
        <v>321</v>
      </c>
      <c r="S971" s="598" t="s">
        <v>321</v>
      </c>
      <c r="T971" s="598" t="s">
        <v>3309</v>
      </c>
      <c r="U971" s="598" t="s">
        <v>3309</v>
      </c>
      <c r="V971" s="598" t="s">
        <v>3309</v>
      </c>
      <c r="W971" s="598" t="s">
        <v>3309</v>
      </c>
      <c r="X971" s="598" t="s">
        <v>3312</v>
      </c>
      <c r="Y971" s="598" t="s">
        <v>321</v>
      </c>
      <c r="Z971" s="598" t="s">
        <v>321</v>
      </c>
      <c r="AA971" s="598" t="s">
        <v>3309</v>
      </c>
      <c r="AB971" s="598" t="s">
        <v>3309</v>
      </c>
      <c r="AC971" s="598" t="s">
        <v>3309</v>
      </c>
      <c r="AD971" s="598" t="s">
        <v>3309</v>
      </c>
      <c r="AE971" s="598" t="s">
        <v>3309</v>
      </c>
      <c r="AF971" s="598" t="s">
        <v>321</v>
      </c>
      <c r="AG971" s="598" t="s">
        <v>321</v>
      </c>
      <c r="AH971" s="598" t="s">
        <v>3309</v>
      </c>
      <c r="AI971" s="598" t="s">
        <v>321</v>
      </c>
      <c r="AJ971" s="599">
        <v>21</v>
      </c>
      <c r="AK971" s="600">
        <v>20</v>
      </c>
      <c r="AL971" s="602">
        <v>1</v>
      </c>
      <c r="AM971" s="601">
        <v>0</v>
      </c>
      <c r="AN971" s="599">
        <v>21</v>
      </c>
    </row>
    <row r="972" spans="1:40" ht="16.5" customHeight="1">
      <c r="A972" s="598" t="s">
        <v>3337</v>
      </c>
      <c r="B972" s="598" t="s">
        <v>3350</v>
      </c>
      <c r="C972" s="598" t="s">
        <v>1580</v>
      </c>
      <c r="D972" s="598" t="s">
        <v>1038</v>
      </c>
      <c r="E972" s="598" t="s">
        <v>321</v>
      </c>
      <c r="F972" s="598" t="s">
        <v>3309</v>
      </c>
      <c r="G972" s="598" t="s">
        <v>3309</v>
      </c>
      <c r="H972" s="598" t="s">
        <v>3309</v>
      </c>
      <c r="I972" s="598" t="s">
        <v>3313</v>
      </c>
      <c r="J972" s="598" t="s">
        <v>3313</v>
      </c>
      <c r="K972" s="598" t="s">
        <v>321</v>
      </c>
      <c r="L972" s="598" t="s">
        <v>321</v>
      </c>
      <c r="M972" s="598" t="s">
        <v>3309</v>
      </c>
      <c r="N972" s="598" t="s">
        <v>3309</v>
      </c>
      <c r="O972" s="598" t="s">
        <v>3309</v>
      </c>
      <c r="P972" s="598" t="s">
        <v>3309</v>
      </c>
      <c r="Q972" s="598" t="s">
        <v>3309</v>
      </c>
      <c r="R972" s="598" t="s">
        <v>321</v>
      </c>
      <c r="S972" s="598" t="s">
        <v>321</v>
      </c>
      <c r="T972" s="598" t="s">
        <v>3309</v>
      </c>
      <c r="U972" s="598" t="s">
        <v>3345</v>
      </c>
      <c r="V972" s="598" t="s">
        <v>3309</v>
      </c>
      <c r="W972" s="598" t="s">
        <v>3309</v>
      </c>
      <c r="X972" s="598" t="s">
        <v>3309</v>
      </c>
      <c r="Y972" s="598" t="s">
        <v>321</v>
      </c>
      <c r="Z972" s="598" t="s">
        <v>321</v>
      </c>
      <c r="AA972" s="598" t="s">
        <v>3309</v>
      </c>
      <c r="AB972" s="598" t="s">
        <v>3309</v>
      </c>
      <c r="AC972" s="598" t="s">
        <v>3309</v>
      </c>
      <c r="AD972" s="598" t="s">
        <v>3309</v>
      </c>
      <c r="AE972" s="598" t="s">
        <v>3309</v>
      </c>
      <c r="AF972" s="598" t="s">
        <v>321</v>
      </c>
      <c r="AG972" s="598" t="s">
        <v>321</v>
      </c>
      <c r="AH972" s="598" t="s">
        <v>3309</v>
      </c>
      <c r="AI972" s="598" t="s">
        <v>321</v>
      </c>
      <c r="AJ972" s="599">
        <v>21</v>
      </c>
      <c r="AK972" s="600">
        <v>21</v>
      </c>
      <c r="AL972" s="601">
        <v>0</v>
      </c>
      <c r="AM972" s="601">
        <v>0</v>
      </c>
      <c r="AN972" s="599">
        <v>21</v>
      </c>
    </row>
    <row r="973" spans="1:40" ht="16.5" customHeight="1">
      <c r="A973" s="598" t="s">
        <v>3337</v>
      </c>
      <c r="B973" s="598" t="s">
        <v>3350</v>
      </c>
      <c r="C973" s="598" t="s">
        <v>822</v>
      </c>
      <c r="D973" s="598" t="s">
        <v>823</v>
      </c>
      <c r="E973" s="598" t="s">
        <v>321</v>
      </c>
      <c r="F973" s="598" t="s">
        <v>3309</v>
      </c>
      <c r="G973" s="598" t="s">
        <v>3309</v>
      </c>
      <c r="H973" s="598" t="s">
        <v>3309</v>
      </c>
      <c r="I973" s="598" t="s">
        <v>3309</v>
      </c>
      <c r="J973" s="598" t="s">
        <v>3309</v>
      </c>
      <c r="K973" s="598" t="s">
        <v>321</v>
      </c>
      <c r="L973" s="598" t="s">
        <v>321</v>
      </c>
      <c r="M973" s="598" t="s">
        <v>3309</v>
      </c>
      <c r="N973" s="598" t="s">
        <v>3309</v>
      </c>
      <c r="O973" s="598" t="s">
        <v>3309</v>
      </c>
      <c r="P973" s="598" t="s">
        <v>3309</v>
      </c>
      <c r="Q973" s="598" t="s">
        <v>3309</v>
      </c>
      <c r="R973" s="598" t="s">
        <v>321</v>
      </c>
      <c r="S973" s="598" t="s">
        <v>321</v>
      </c>
      <c r="T973" s="598" t="s">
        <v>3309</v>
      </c>
      <c r="U973" s="598" t="s">
        <v>3309</v>
      </c>
      <c r="V973" s="598" t="s">
        <v>3309</v>
      </c>
      <c r="W973" s="598" t="s">
        <v>3309</v>
      </c>
      <c r="X973" s="598" t="s">
        <v>3309</v>
      </c>
      <c r="Y973" s="598" t="s">
        <v>321</v>
      </c>
      <c r="Z973" s="598" t="s">
        <v>321</v>
      </c>
      <c r="AA973" s="598" t="s">
        <v>3309</v>
      </c>
      <c r="AB973" s="598" t="s">
        <v>3309</v>
      </c>
      <c r="AC973" s="598" t="s">
        <v>3309</v>
      </c>
      <c r="AD973" s="598" t="s">
        <v>3309</v>
      </c>
      <c r="AE973" s="598" t="s">
        <v>3309</v>
      </c>
      <c r="AF973" s="598" t="s">
        <v>321</v>
      </c>
      <c r="AG973" s="598" t="s">
        <v>321</v>
      </c>
      <c r="AH973" s="598" t="s">
        <v>3309</v>
      </c>
      <c r="AI973" s="598" t="s">
        <v>321</v>
      </c>
      <c r="AJ973" s="599">
        <v>21</v>
      </c>
      <c r="AK973" s="600">
        <v>21</v>
      </c>
      <c r="AL973" s="601">
        <v>0</v>
      </c>
      <c r="AM973" s="601">
        <v>0</v>
      </c>
      <c r="AN973" s="599">
        <v>21</v>
      </c>
    </row>
    <row r="974" spans="1:40" ht="16.5" customHeight="1">
      <c r="A974" s="598" t="s">
        <v>3337</v>
      </c>
      <c r="B974" s="598" t="s">
        <v>3350</v>
      </c>
      <c r="C974" s="598" t="s">
        <v>2552</v>
      </c>
      <c r="D974" s="598" t="s">
        <v>2553</v>
      </c>
      <c r="E974" s="598" t="s">
        <v>321</v>
      </c>
      <c r="F974" s="598" t="s">
        <v>3309</v>
      </c>
      <c r="G974" s="598" t="s">
        <v>3309</v>
      </c>
      <c r="H974" s="598" t="s">
        <v>3309</v>
      </c>
      <c r="I974" s="598" t="s">
        <v>3309</v>
      </c>
      <c r="J974" s="598" t="s">
        <v>3309</v>
      </c>
      <c r="K974" s="598" t="s">
        <v>321</v>
      </c>
      <c r="L974" s="598" t="s">
        <v>321</v>
      </c>
      <c r="M974" s="598" t="s">
        <v>3313</v>
      </c>
      <c r="N974" s="598" t="s">
        <v>3313</v>
      </c>
      <c r="O974" s="598" t="s">
        <v>3309</v>
      </c>
      <c r="P974" s="598" t="s">
        <v>3314</v>
      </c>
      <c r="Q974" s="598" t="s">
        <v>3309</v>
      </c>
      <c r="R974" s="598" t="s">
        <v>321</v>
      </c>
      <c r="S974" s="598" t="s">
        <v>321</v>
      </c>
      <c r="T974" s="598" t="s">
        <v>3309</v>
      </c>
      <c r="U974" s="598" t="s">
        <v>3309</v>
      </c>
      <c r="V974" s="598" t="s">
        <v>3309</v>
      </c>
      <c r="W974" s="598" t="s">
        <v>3309</v>
      </c>
      <c r="X974" s="598" t="s">
        <v>3309</v>
      </c>
      <c r="Y974" s="598" t="s">
        <v>321</v>
      </c>
      <c r="Z974" s="598" t="s">
        <v>321</v>
      </c>
      <c r="AA974" s="598" t="s">
        <v>3309</v>
      </c>
      <c r="AB974" s="598" t="s">
        <v>3309</v>
      </c>
      <c r="AC974" s="598" t="s">
        <v>3309</v>
      </c>
      <c r="AD974" s="598" t="s">
        <v>3309</v>
      </c>
      <c r="AE974" s="598" t="s">
        <v>3309</v>
      </c>
      <c r="AF974" s="598" t="s">
        <v>321</v>
      </c>
      <c r="AG974" s="598" t="s">
        <v>321</v>
      </c>
      <c r="AH974" s="598" t="s">
        <v>3312</v>
      </c>
      <c r="AI974" s="598" t="s">
        <v>321</v>
      </c>
      <c r="AJ974" s="599">
        <v>21</v>
      </c>
      <c r="AK974" s="603">
        <v>19.5</v>
      </c>
      <c r="AL974" s="603">
        <v>1.5</v>
      </c>
      <c r="AM974" s="601">
        <v>0</v>
      </c>
      <c r="AN974" s="599">
        <v>21</v>
      </c>
    </row>
    <row r="975" spans="1:40" ht="16.5" customHeight="1">
      <c r="A975" s="598" t="s">
        <v>3337</v>
      </c>
      <c r="B975" s="598" t="s">
        <v>3350</v>
      </c>
      <c r="C975" s="598" t="s">
        <v>1247</v>
      </c>
      <c r="D975" s="598" t="s">
        <v>1248</v>
      </c>
      <c r="E975" s="598" t="s">
        <v>321</v>
      </c>
      <c r="F975" s="598" t="s">
        <v>3309</v>
      </c>
      <c r="G975" s="598" t="s">
        <v>3309</v>
      </c>
      <c r="H975" s="598" t="s">
        <v>3309</v>
      </c>
      <c r="I975" s="598" t="s">
        <v>3309</v>
      </c>
      <c r="J975" s="598" t="s">
        <v>3309</v>
      </c>
      <c r="K975" s="598" t="s">
        <v>321</v>
      </c>
      <c r="L975" s="598" t="s">
        <v>321</v>
      </c>
      <c r="M975" s="598" t="s">
        <v>3309</v>
      </c>
      <c r="N975" s="598" t="s">
        <v>3309</v>
      </c>
      <c r="O975" s="598" t="s">
        <v>3309</v>
      </c>
      <c r="P975" s="598" t="s">
        <v>3309</v>
      </c>
      <c r="Q975" s="598" t="s">
        <v>3314</v>
      </c>
      <c r="R975" s="598" t="s">
        <v>321</v>
      </c>
      <c r="S975" s="598" t="s">
        <v>321</v>
      </c>
      <c r="T975" s="598" t="s">
        <v>3309</v>
      </c>
      <c r="U975" s="598" t="s">
        <v>3309</v>
      </c>
      <c r="V975" s="598" t="s">
        <v>3309</v>
      </c>
      <c r="W975" s="598" t="s">
        <v>3309</v>
      </c>
      <c r="X975" s="598" t="s">
        <v>3309</v>
      </c>
      <c r="Y975" s="598" t="s">
        <v>321</v>
      </c>
      <c r="Z975" s="598" t="s">
        <v>321</v>
      </c>
      <c r="AA975" s="598" t="s">
        <v>3313</v>
      </c>
      <c r="AB975" s="598" t="s">
        <v>3313</v>
      </c>
      <c r="AC975" s="598" t="s">
        <v>3313</v>
      </c>
      <c r="AD975" s="598" t="s">
        <v>3309</v>
      </c>
      <c r="AE975" s="598" t="s">
        <v>3309</v>
      </c>
      <c r="AF975" s="598" t="s">
        <v>321</v>
      </c>
      <c r="AG975" s="598" t="s">
        <v>321</v>
      </c>
      <c r="AH975" s="598" t="s">
        <v>3309</v>
      </c>
      <c r="AI975" s="598" t="s">
        <v>321</v>
      </c>
      <c r="AJ975" s="599">
        <v>21</v>
      </c>
      <c r="AK975" s="603">
        <v>20.5</v>
      </c>
      <c r="AL975" s="604">
        <v>0.5</v>
      </c>
      <c r="AM975" s="601">
        <v>0</v>
      </c>
      <c r="AN975" s="599">
        <v>21</v>
      </c>
    </row>
    <row r="976" spans="1:40" ht="16.5" customHeight="1">
      <c r="A976" s="598" t="s">
        <v>3337</v>
      </c>
      <c r="B976" s="598" t="s">
        <v>3350</v>
      </c>
      <c r="C976" s="598" t="s">
        <v>1486</v>
      </c>
      <c r="D976" s="598" t="s">
        <v>1487</v>
      </c>
      <c r="E976" s="598" t="s">
        <v>321</v>
      </c>
      <c r="F976" s="598" t="s">
        <v>3309</v>
      </c>
      <c r="G976" s="598" t="s">
        <v>3309</v>
      </c>
      <c r="H976" s="598" t="s">
        <v>3309</v>
      </c>
      <c r="I976" s="598" t="s">
        <v>3309</v>
      </c>
      <c r="J976" s="598" t="s">
        <v>3309</v>
      </c>
      <c r="K976" s="598" t="s">
        <v>321</v>
      </c>
      <c r="L976" s="598" t="s">
        <v>321</v>
      </c>
      <c r="M976" s="598" t="s">
        <v>3309</v>
      </c>
      <c r="N976" s="598" t="s">
        <v>3345</v>
      </c>
      <c r="O976" s="598" t="s">
        <v>3309</v>
      </c>
      <c r="P976" s="598" t="s">
        <v>3309</v>
      </c>
      <c r="Q976" s="598" t="s">
        <v>3309</v>
      </c>
      <c r="R976" s="598" t="s">
        <v>321</v>
      </c>
      <c r="S976" s="598" t="s">
        <v>321</v>
      </c>
      <c r="T976" s="598" t="s">
        <v>3309</v>
      </c>
      <c r="U976" s="598" t="s">
        <v>3309</v>
      </c>
      <c r="V976" s="598" t="s">
        <v>3309</v>
      </c>
      <c r="W976" s="598" t="s">
        <v>3309</v>
      </c>
      <c r="X976" s="598" t="s">
        <v>3309</v>
      </c>
      <c r="Y976" s="598" t="s">
        <v>321</v>
      </c>
      <c r="Z976" s="598" t="s">
        <v>321</v>
      </c>
      <c r="AA976" s="598" t="s">
        <v>3309</v>
      </c>
      <c r="AB976" s="598" t="s">
        <v>3309</v>
      </c>
      <c r="AC976" s="598" t="s">
        <v>3309</v>
      </c>
      <c r="AD976" s="598" t="s">
        <v>3309</v>
      </c>
      <c r="AE976" s="598" t="s">
        <v>3309</v>
      </c>
      <c r="AF976" s="598" t="s">
        <v>321</v>
      </c>
      <c r="AG976" s="598" t="s">
        <v>321</v>
      </c>
      <c r="AH976" s="598" t="s">
        <v>3309</v>
      </c>
      <c r="AI976" s="598" t="s">
        <v>321</v>
      </c>
      <c r="AJ976" s="599">
        <v>21</v>
      </c>
      <c r="AK976" s="600">
        <v>21</v>
      </c>
      <c r="AL976" s="601">
        <v>0</v>
      </c>
      <c r="AM976" s="601">
        <v>0</v>
      </c>
      <c r="AN976" s="599">
        <v>21</v>
      </c>
    </row>
    <row r="977" spans="1:40" ht="16.5" customHeight="1">
      <c r="A977" s="598" t="s">
        <v>3337</v>
      </c>
      <c r="B977" s="598" t="s">
        <v>3350</v>
      </c>
      <c r="C977" s="598" t="s">
        <v>1516</v>
      </c>
      <c r="D977" s="598" t="s">
        <v>1517</v>
      </c>
      <c r="E977" s="598" t="s">
        <v>321</v>
      </c>
      <c r="F977" s="598" t="s">
        <v>3309</v>
      </c>
      <c r="G977" s="598" t="s">
        <v>3309</v>
      </c>
      <c r="H977" s="598" t="s">
        <v>3309</v>
      </c>
      <c r="I977" s="598" t="s">
        <v>3309</v>
      </c>
      <c r="J977" s="598" t="s">
        <v>3309</v>
      </c>
      <c r="K977" s="598" t="s">
        <v>321</v>
      </c>
      <c r="L977" s="598" t="s">
        <v>321</v>
      </c>
      <c r="M977" s="598" t="s">
        <v>3309</v>
      </c>
      <c r="N977" s="598" t="s">
        <v>3309</v>
      </c>
      <c r="O977" s="598" t="s">
        <v>3309</v>
      </c>
      <c r="P977" s="598" t="s">
        <v>3309</v>
      </c>
      <c r="Q977" s="598" t="s">
        <v>3309</v>
      </c>
      <c r="R977" s="598" t="s">
        <v>321</v>
      </c>
      <c r="S977" s="598" t="s">
        <v>321</v>
      </c>
      <c r="T977" s="598" t="s">
        <v>3309</v>
      </c>
      <c r="U977" s="598" t="s">
        <v>3309</v>
      </c>
      <c r="V977" s="598" t="s">
        <v>3309</v>
      </c>
      <c r="W977" s="598" t="s">
        <v>3309</v>
      </c>
      <c r="X977" s="598" t="s">
        <v>3309</v>
      </c>
      <c r="Y977" s="598" t="s">
        <v>321</v>
      </c>
      <c r="Z977" s="598" t="s">
        <v>321</v>
      </c>
      <c r="AA977" s="598" t="s">
        <v>3309</v>
      </c>
      <c r="AB977" s="598" t="s">
        <v>3309</v>
      </c>
      <c r="AC977" s="598" t="s">
        <v>3309</v>
      </c>
      <c r="AD977" s="598" t="s">
        <v>3309</v>
      </c>
      <c r="AE977" s="598" t="s">
        <v>3309</v>
      </c>
      <c r="AF977" s="598" t="s">
        <v>321</v>
      </c>
      <c r="AG977" s="598" t="s">
        <v>321</v>
      </c>
      <c r="AH977" s="598" t="s">
        <v>3312</v>
      </c>
      <c r="AI977" s="598" t="s">
        <v>321</v>
      </c>
      <c r="AJ977" s="599">
        <v>21</v>
      </c>
      <c r="AK977" s="600">
        <v>20</v>
      </c>
      <c r="AL977" s="602">
        <v>1</v>
      </c>
      <c r="AM977" s="601">
        <v>0</v>
      </c>
      <c r="AN977" s="599">
        <v>21</v>
      </c>
    </row>
    <row r="978" spans="1:40" ht="16.5" customHeight="1">
      <c r="A978" s="598" t="s">
        <v>3337</v>
      </c>
      <c r="B978" s="598" t="s">
        <v>3350</v>
      </c>
      <c r="C978" s="598" t="s">
        <v>1688</v>
      </c>
      <c r="D978" s="598" t="s">
        <v>1689</v>
      </c>
      <c r="E978" s="598" t="s">
        <v>321</v>
      </c>
      <c r="F978" s="598" t="s">
        <v>3309</v>
      </c>
      <c r="G978" s="598" t="s">
        <v>3309</v>
      </c>
      <c r="H978" s="598" t="s">
        <v>3309</v>
      </c>
      <c r="I978" s="598" t="s">
        <v>3309</v>
      </c>
      <c r="J978" s="598" t="s">
        <v>3309</v>
      </c>
      <c r="K978" s="598" t="s">
        <v>321</v>
      </c>
      <c r="L978" s="598" t="s">
        <v>321</v>
      </c>
      <c r="M978" s="598" t="s">
        <v>3309</v>
      </c>
      <c r="N978" s="598" t="s">
        <v>3309</v>
      </c>
      <c r="O978" s="598" t="s">
        <v>3313</v>
      </c>
      <c r="P978" s="598" t="s">
        <v>3313</v>
      </c>
      <c r="Q978" s="598" t="s">
        <v>3313</v>
      </c>
      <c r="R978" s="598" t="s">
        <v>321</v>
      </c>
      <c r="S978" s="598" t="s">
        <v>321</v>
      </c>
      <c r="T978" s="598" t="s">
        <v>3309</v>
      </c>
      <c r="U978" s="598" t="s">
        <v>3309</v>
      </c>
      <c r="V978" s="598" t="s">
        <v>3309</v>
      </c>
      <c r="W978" s="598" t="s">
        <v>3309</v>
      </c>
      <c r="X978" s="598" t="s">
        <v>3309</v>
      </c>
      <c r="Y978" s="598" t="s">
        <v>321</v>
      </c>
      <c r="Z978" s="598" t="s">
        <v>321</v>
      </c>
      <c r="AA978" s="598" t="s">
        <v>3309</v>
      </c>
      <c r="AB978" s="598" t="s">
        <v>3309</v>
      </c>
      <c r="AC978" s="598" t="s">
        <v>3309</v>
      </c>
      <c r="AD978" s="598" t="s">
        <v>3309</v>
      </c>
      <c r="AE978" s="598" t="s">
        <v>3309</v>
      </c>
      <c r="AF978" s="598" t="s">
        <v>321</v>
      </c>
      <c r="AG978" s="598" t="s">
        <v>321</v>
      </c>
      <c r="AH978" s="598" t="s">
        <v>3309</v>
      </c>
      <c r="AI978" s="598" t="s">
        <v>321</v>
      </c>
      <c r="AJ978" s="599">
        <v>21</v>
      </c>
      <c r="AK978" s="600">
        <v>21</v>
      </c>
      <c r="AL978" s="601">
        <v>0</v>
      </c>
      <c r="AM978" s="601">
        <v>0</v>
      </c>
      <c r="AN978" s="599">
        <v>21</v>
      </c>
    </row>
    <row r="979" spans="1:40" ht="16.5" customHeight="1">
      <c r="A979" s="598" t="s">
        <v>3337</v>
      </c>
      <c r="B979" s="598" t="s">
        <v>3350</v>
      </c>
      <c r="C979" s="598" t="s">
        <v>2154</v>
      </c>
      <c r="D979" s="598" t="s">
        <v>2155</v>
      </c>
      <c r="E979" s="598" t="s">
        <v>321</v>
      </c>
      <c r="F979" s="598" t="s">
        <v>3309</v>
      </c>
      <c r="G979" s="598" t="s">
        <v>3309</v>
      </c>
      <c r="H979" s="598" t="s">
        <v>3309</v>
      </c>
      <c r="I979" s="598" t="s">
        <v>3309</v>
      </c>
      <c r="J979" s="598" t="s">
        <v>3309</v>
      </c>
      <c r="K979" s="598" t="s">
        <v>321</v>
      </c>
      <c r="L979" s="598" t="s">
        <v>321</v>
      </c>
      <c r="M979" s="598" t="s">
        <v>3309</v>
      </c>
      <c r="N979" s="598" t="s">
        <v>3309</v>
      </c>
      <c r="O979" s="598" t="s">
        <v>3309</v>
      </c>
      <c r="P979" s="598" t="s">
        <v>3309</v>
      </c>
      <c r="Q979" s="598" t="s">
        <v>3309</v>
      </c>
      <c r="R979" s="598" t="s">
        <v>321</v>
      </c>
      <c r="S979" s="598" t="s">
        <v>321</v>
      </c>
      <c r="T979" s="598" t="s">
        <v>3309</v>
      </c>
      <c r="U979" s="598" t="s">
        <v>3309</v>
      </c>
      <c r="V979" s="598" t="s">
        <v>3309</v>
      </c>
      <c r="W979" s="598" t="s">
        <v>3309</v>
      </c>
      <c r="X979" s="598" t="s">
        <v>3309</v>
      </c>
      <c r="Y979" s="598" t="s">
        <v>321</v>
      </c>
      <c r="Z979" s="598" t="s">
        <v>321</v>
      </c>
      <c r="AA979" s="598" t="s">
        <v>3309</v>
      </c>
      <c r="AB979" s="598" t="s">
        <v>3309</v>
      </c>
      <c r="AC979" s="598" t="s">
        <v>3309</v>
      </c>
      <c r="AD979" s="598" t="s">
        <v>3309</v>
      </c>
      <c r="AE979" s="598" t="s">
        <v>3309</v>
      </c>
      <c r="AF979" s="598" t="s">
        <v>321</v>
      </c>
      <c r="AG979" s="598" t="s">
        <v>321</v>
      </c>
      <c r="AH979" s="598" t="s">
        <v>3309</v>
      </c>
      <c r="AI979" s="598" t="s">
        <v>321</v>
      </c>
      <c r="AJ979" s="599">
        <v>21</v>
      </c>
      <c r="AK979" s="600">
        <v>21</v>
      </c>
      <c r="AL979" s="601">
        <v>0</v>
      </c>
      <c r="AM979" s="601">
        <v>0</v>
      </c>
      <c r="AN979" s="599">
        <v>21</v>
      </c>
    </row>
    <row r="980" spans="1:40" ht="16.5" customHeight="1">
      <c r="A980" s="598" t="s">
        <v>3337</v>
      </c>
      <c r="B980" s="598" t="s">
        <v>3350</v>
      </c>
      <c r="C980" s="598" t="s">
        <v>2166</v>
      </c>
      <c r="D980" s="598" t="s">
        <v>2167</v>
      </c>
      <c r="E980" s="598" t="s">
        <v>321</v>
      </c>
      <c r="F980" s="598" t="s">
        <v>3309</v>
      </c>
      <c r="G980" s="598" t="s">
        <v>3309</v>
      </c>
      <c r="H980" s="598" t="s">
        <v>3309</v>
      </c>
      <c r="I980" s="598" t="s">
        <v>3309</v>
      </c>
      <c r="J980" s="598" t="s">
        <v>3309</v>
      </c>
      <c r="K980" s="598" t="s">
        <v>321</v>
      </c>
      <c r="L980" s="598" t="s">
        <v>321</v>
      </c>
      <c r="M980" s="598" t="s">
        <v>3314</v>
      </c>
      <c r="N980" s="598" t="s">
        <v>3309</v>
      </c>
      <c r="O980" s="598" t="s">
        <v>3309</v>
      </c>
      <c r="P980" s="598" t="s">
        <v>3309</v>
      </c>
      <c r="Q980" s="598" t="s">
        <v>3309</v>
      </c>
      <c r="R980" s="598" t="s">
        <v>321</v>
      </c>
      <c r="S980" s="598" t="s">
        <v>321</v>
      </c>
      <c r="T980" s="598" t="s">
        <v>3309</v>
      </c>
      <c r="U980" s="598" t="s">
        <v>3309</v>
      </c>
      <c r="V980" s="598" t="s">
        <v>3309</v>
      </c>
      <c r="W980" s="598" t="s">
        <v>3309</v>
      </c>
      <c r="X980" s="598" t="s">
        <v>3309</v>
      </c>
      <c r="Y980" s="598" t="s">
        <v>321</v>
      </c>
      <c r="Z980" s="598" t="s">
        <v>321</v>
      </c>
      <c r="AA980" s="598" t="s">
        <v>3309</v>
      </c>
      <c r="AB980" s="598" t="s">
        <v>3309</v>
      </c>
      <c r="AC980" s="598" t="s">
        <v>3309</v>
      </c>
      <c r="AD980" s="598" t="s">
        <v>3309</v>
      </c>
      <c r="AE980" s="598" t="s">
        <v>3309</v>
      </c>
      <c r="AF980" s="598" t="s">
        <v>321</v>
      </c>
      <c r="AG980" s="598" t="s">
        <v>321</v>
      </c>
      <c r="AH980" s="598" t="s">
        <v>3309</v>
      </c>
      <c r="AI980" s="598" t="s">
        <v>321</v>
      </c>
      <c r="AJ980" s="599">
        <v>21</v>
      </c>
      <c r="AK980" s="603">
        <v>20.5</v>
      </c>
      <c r="AL980" s="604">
        <v>0.5</v>
      </c>
      <c r="AM980" s="601">
        <v>0</v>
      </c>
      <c r="AN980" s="599">
        <v>21</v>
      </c>
    </row>
    <row r="981" spans="1:40" ht="16.5" customHeight="1">
      <c r="A981" s="598" t="s">
        <v>3337</v>
      </c>
      <c r="B981" s="598" t="s">
        <v>3350</v>
      </c>
      <c r="C981" s="598" t="s">
        <v>870</v>
      </c>
      <c r="D981" s="598" t="s">
        <v>871</v>
      </c>
      <c r="E981" s="598" t="s">
        <v>321</v>
      </c>
      <c r="F981" s="598" t="s">
        <v>3309</v>
      </c>
      <c r="G981" s="598" t="s">
        <v>3312</v>
      </c>
      <c r="H981" s="598" t="s">
        <v>3309</v>
      </c>
      <c r="I981" s="598" t="s">
        <v>3312</v>
      </c>
      <c r="J981" s="598" t="s">
        <v>3309</v>
      </c>
      <c r="K981" s="598" t="s">
        <v>321</v>
      </c>
      <c r="L981" s="598" t="s">
        <v>321</v>
      </c>
      <c r="M981" s="598" t="s">
        <v>3309</v>
      </c>
      <c r="N981" s="598" t="s">
        <v>3309</v>
      </c>
      <c r="O981" s="598" t="s">
        <v>3309</v>
      </c>
      <c r="P981" s="598" t="s">
        <v>3309</v>
      </c>
      <c r="Q981" s="598" t="s">
        <v>3309</v>
      </c>
      <c r="R981" s="598" t="s">
        <v>321</v>
      </c>
      <c r="S981" s="598" t="s">
        <v>321</v>
      </c>
      <c r="T981" s="598" t="s">
        <v>3309</v>
      </c>
      <c r="U981" s="598" t="s">
        <v>3309</v>
      </c>
      <c r="V981" s="598" t="s">
        <v>3309</v>
      </c>
      <c r="W981" s="598" t="s">
        <v>3309</v>
      </c>
      <c r="X981" s="598" t="s">
        <v>3314</v>
      </c>
      <c r="Y981" s="598" t="s">
        <v>321</v>
      </c>
      <c r="Z981" s="598" t="s">
        <v>321</v>
      </c>
      <c r="AA981" s="598" t="s">
        <v>3309</v>
      </c>
      <c r="AB981" s="598" t="s">
        <v>3309</v>
      </c>
      <c r="AC981" s="598" t="s">
        <v>3309</v>
      </c>
      <c r="AD981" s="598" t="s">
        <v>3309</v>
      </c>
      <c r="AE981" s="598" t="s">
        <v>3309</v>
      </c>
      <c r="AF981" s="598" t="s">
        <v>321</v>
      </c>
      <c r="AG981" s="598" t="s">
        <v>321</v>
      </c>
      <c r="AH981" s="598" t="s">
        <v>3309</v>
      </c>
      <c r="AI981" s="598" t="s">
        <v>321</v>
      </c>
      <c r="AJ981" s="599">
        <v>21</v>
      </c>
      <c r="AK981" s="603">
        <v>18.5</v>
      </c>
      <c r="AL981" s="603">
        <v>2.5</v>
      </c>
      <c r="AM981" s="601">
        <v>0</v>
      </c>
      <c r="AN981" s="599">
        <v>21</v>
      </c>
    </row>
    <row r="982" spans="1:40" ht="16.5" customHeight="1">
      <c r="A982" s="598" t="s">
        <v>3337</v>
      </c>
      <c r="B982" s="598" t="s">
        <v>3350</v>
      </c>
      <c r="C982" s="598" t="s">
        <v>1062</v>
      </c>
      <c r="D982" s="598" t="s">
        <v>1063</v>
      </c>
      <c r="E982" s="598" t="s">
        <v>321</v>
      </c>
      <c r="F982" s="598" t="s">
        <v>3309</v>
      </c>
      <c r="G982" s="598" t="s">
        <v>3309</v>
      </c>
      <c r="H982" s="598" t="s">
        <v>3309</v>
      </c>
      <c r="I982" s="598" t="s">
        <v>3309</v>
      </c>
      <c r="J982" s="598" t="s">
        <v>3309</v>
      </c>
      <c r="K982" s="598" t="s">
        <v>321</v>
      </c>
      <c r="L982" s="598" t="s">
        <v>321</v>
      </c>
      <c r="M982" s="598" t="s">
        <v>3309</v>
      </c>
      <c r="N982" s="598" t="s">
        <v>3309</v>
      </c>
      <c r="O982" s="598" t="s">
        <v>3309</v>
      </c>
      <c r="P982" s="598" t="s">
        <v>3309</v>
      </c>
      <c r="Q982" s="598" t="s">
        <v>3309</v>
      </c>
      <c r="R982" s="598" t="s">
        <v>321</v>
      </c>
      <c r="S982" s="598" t="s">
        <v>321</v>
      </c>
      <c r="T982" s="598" t="s">
        <v>3309</v>
      </c>
      <c r="U982" s="598" t="s">
        <v>3309</v>
      </c>
      <c r="V982" s="598" t="s">
        <v>3309</v>
      </c>
      <c r="W982" s="598" t="s">
        <v>3309</v>
      </c>
      <c r="X982" s="598" t="s">
        <v>3309</v>
      </c>
      <c r="Y982" s="598" t="s">
        <v>321</v>
      </c>
      <c r="Z982" s="598" t="s">
        <v>321</v>
      </c>
      <c r="AA982" s="598" t="s">
        <v>3309</v>
      </c>
      <c r="AB982" s="598" t="s">
        <v>3309</v>
      </c>
      <c r="AC982" s="598" t="s">
        <v>3309</v>
      </c>
      <c r="AD982" s="598" t="s">
        <v>3309</v>
      </c>
      <c r="AE982" s="598" t="s">
        <v>3309</v>
      </c>
      <c r="AF982" s="598" t="s">
        <v>321</v>
      </c>
      <c r="AG982" s="598" t="s">
        <v>321</v>
      </c>
      <c r="AH982" s="598" t="s">
        <v>3309</v>
      </c>
      <c r="AI982" s="598" t="s">
        <v>321</v>
      </c>
      <c r="AJ982" s="599">
        <v>21</v>
      </c>
      <c r="AK982" s="600">
        <v>21</v>
      </c>
      <c r="AL982" s="601">
        <v>0</v>
      </c>
      <c r="AM982" s="601">
        <v>0</v>
      </c>
      <c r="AN982" s="599">
        <v>21</v>
      </c>
    </row>
    <row r="983" spans="1:40" ht="16.5" customHeight="1">
      <c r="A983" s="598" t="s">
        <v>3337</v>
      </c>
      <c r="B983" s="598" t="s">
        <v>3350</v>
      </c>
      <c r="C983" s="598" t="s">
        <v>2898</v>
      </c>
      <c r="D983" s="598" t="s">
        <v>2899</v>
      </c>
      <c r="E983" s="598" t="s">
        <v>321</v>
      </c>
      <c r="F983" s="598" t="s">
        <v>3309</v>
      </c>
      <c r="G983" s="598" t="s">
        <v>3309</v>
      </c>
      <c r="H983" s="598" t="s">
        <v>3309</v>
      </c>
      <c r="I983" s="598" t="s">
        <v>3309</v>
      </c>
      <c r="J983" s="598" t="s">
        <v>3309</v>
      </c>
      <c r="K983" s="598" t="s">
        <v>321</v>
      </c>
      <c r="L983" s="598" t="s">
        <v>321</v>
      </c>
      <c r="M983" s="598" t="s">
        <v>3309</v>
      </c>
      <c r="N983" s="598" t="s">
        <v>3309</v>
      </c>
      <c r="O983" s="598" t="s">
        <v>3309</v>
      </c>
      <c r="P983" s="598" t="s">
        <v>3309</v>
      </c>
      <c r="Q983" s="598" t="s">
        <v>3309</v>
      </c>
      <c r="R983" s="598" t="s">
        <v>321</v>
      </c>
      <c r="S983" s="598" t="s">
        <v>321</v>
      </c>
      <c r="T983" s="598" t="s">
        <v>3309</v>
      </c>
      <c r="U983" s="598" t="s">
        <v>3309</v>
      </c>
      <c r="V983" s="598" t="s">
        <v>3309</v>
      </c>
      <c r="W983" s="598" t="s">
        <v>3309</v>
      </c>
      <c r="X983" s="598" t="s">
        <v>3309</v>
      </c>
      <c r="Y983" s="598" t="s">
        <v>321</v>
      </c>
      <c r="Z983" s="598" t="s">
        <v>321</v>
      </c>
      <c r="AA983" s="598" t="s">
        <v>3309</v>
      </c>
      <c r="AB983" s="598" t="s">
        <v>3309</v>
      </c>
      <c r="AC983" s="598" t="s">
        <v>3309</v>
      </c>
      <c r="AD983" s="598" t="s">
        <v>3309</v>
      </c>
      <c r="AE983" s="598" t="s">
        <v>3309</v>
      </c>
      <c r="AF983" s="598" t="s">
        <v>321</v>
      </c>
      <c r="AG983" s="598" t="s">
        <v>321</v>
      </c>
      <c r="AH983" s="598" t="s">
        <v>3309</v>
      </c>
      <c r="AI983" s="598" t="s">
        <v>321</v>
      </c>
      <c r="AJ983" s="599">
        <v>21</v>
      </c>
      <c r="AK983" s="600">
        <v>21</v>
      </c>
      <c r="AL983" s="601">
        <v>0</v>
      </c>
      <c r="AM983" s="601">
        <v>0</v>
      </c>
      <c r="AN983" s="599">
        <v>21</v>
      </c>
    </row>
    <row r="984" spans="1:40" ht="16.5" customHeight="1">
      <c r="A984" s="598" t="s">
        <v>3337</v>
      </c>
      <c r="B984" s="598" t="s">
        <v>3350</v>
      </c>
      <c r="C984" s="598" t="s">
        <v>669</v>
      </c>
      <c r="D984" s="598" t="s">
        <v>670</v>
      </c>
      <c r="E984" s="598" t="s">
        <v>321</v>
      </c>
      <c r="F984" s="598" t="s">
        <v>3309</v>
      </c>
      <c r="G984" s="598" t="s">
        <v>3309</v>
      </c>
      <c r="H984" s="598" t="s">
        <v>3309</v>
      </c>
      <c r="I984" s="598" t="s">
        <v>3309</v>
      </c>
      <c r="J984" s="598" t="s">
        <v>3309</v>
      </c>
      <c r="K984" s="598" t="s">
        <v>321</v>
      </c>
      <c r="L984" s="598" t="s">
        <v>321</v>
      </c>
      <c r="M984" s="598" t="s">
        <v>3309</v>
      </c>
      <c r="N984" s="598" t="s">
        <v>3309</v>
      </c>
      <c r="O984" s="598" t="s">
        <v>3309</v>
      </c>
      <c r="P984" s="598" t="s">
        <v>3309</v>
      </c>
      <c r="Q984" s="598" t="s">
        <v>3309</v>
      </c>
      <c r="R984" s="598" t="s">
        <v>321</v>
      </c>
      <c r="S984" s="598" t="s">
        <v>321</v>
      </c>
      <c r="T984" s="598" t="s">
        <v>3309</v>
      </c>
      <c r="U984" s="598" t="s">
        <v>3309</v>
      </c>
      <c r="V984" s="598" t="s">
        <v>3309</v>
      </c>
      <c r="W984" s="598" t="s">
        <v>3309</v>
      </c>
      <c r="X984" s="598" t="s">
        <v>3309</v>
      </c>
      <c r="Y984" s="598" t="s">
        <v>321</v>
      </c>
      <c r="Z984" s="598" t="s">
        <v>321</v>
      </c>
      <c r="AA984" s="598" t="s">
        <v>3309</v>
      </c>
      <c r="AB984" s="598" t="s">
        <v>3309</v>
      </c>
      <c r="AC984" s="598" t="s">
        <v>3309</v>
      </c>
      <c r="AD984" s="598" t="s">
        <v>3309</v>
      </c>
      <c r="AE984" s="598" t="s">
        <v>3309</v>
      </c>
      <c r="AF984" s="598" t="s">
        <v>321</v>
      </c>
      <c r="AG984" s="598" t="s">
        <v>321</v>
      </c>
      <c r="AH984" s="598" t="s">
        <v>3309</v>
      </c>
      <c r="AI984" s="598" t="s">
        <v>321</v>
      </c>
      <c r="AJ984" s="599">
        <v>21</v>
      </c>
      <c r="AK984" s="600">
        <v>21</v>
      </c>
      <c r="AL984" s="601">
        <v>0</v>
      </c>
      <c r="AM984" s="601">
        <v>0</v>
      </c>
      <c r="AN984" s="599">
        <v>21</v>
      </c>
    </row>
    <row r="985" spans="1:40" ht="16.5" customHeight="1">
      <c r="A985" s="598" t="s">
        <v>3337</v>
      </c>
      <c r="B985" s="598" t="s">
        <v>3350</v>
      </c>
      <c r="C985" s="598" t="s">
        <v>2877</v>
      </c>
      <c r="D985" s="598" t="s">
        <v>2878</v>
      </c>
      <c r="E985" s="598" t="s">
        <v>321</v>
      </c>
      <c r="F985" s="598" t="s">
        <v>3309</v>
      </c>
      <c r="G985" s="598" t="s">
        <v>3309</v>
      </c>
      <c r="H985" s="598" t="s">
        <v>3309</v>
      </c>
      <c r="I985" s="598" t="s">
        <v>3309</v>
      </c>
      <c r="J985" s="598" t="s">
        <v>3309</v>
      </c>
      <c r="K985" s="598" t="s">
        <v>321</v>
      </c>
      <c r="L985" s="598" t="s">
        <v>321</v>
      </c>
      <c r="M985" s="598" t="s">
        <v>3309</v>
      </c>
      <c r="N985" s="598" t="s">
        <v>3309</v>
      </c>
      <c r="O985" s="598" t="s">
        <v>3309</v>
      </c>
      <c r="P985" s="598" t="s">
        <v>3309</v>
      </c>
      <c r="Q985" s="598" t="s">
        <v>3309</v>
      </c>
      <c r="R985" s="598" t="s">
        <v>321</v>
      </c>
      <c r="S985" s="598" t="s">
        <v>321</v>
      </c>
      <c r="T985" s="598" t="s">
        <v>3309</v>
      </c>
      <c r="U985" s="598" t="s">
        <v>3309</v>
      </c>
      <c r="V985" s="598" t="s">
        <v>3309</v>
      </c>
      <c r="W985" s="598" t="s">
        <v>3309</v>
      </c>
      <c r="X985" s="598" t="s">
        <v>3309</v>
      </c>
      <c r="Y985" s="598" t="s">
        <v>321</v>
      </c>
      <c r="Z985" s="598" t="s">
        <v>321</v>
      </c>
      <c r="AA985" s="598" t="s">
        <v>3309</v>
      </c>
      <c r="AB985" s="598" t="s">
        <v>3309</v>
      </c>
      <c r="AC985" s="598" t="s">
        <v>3309</v>
      </c>
      <c r="AD985" s="598" t="s">
        <v>3309</v>
      </c>
      <c r="AE985" s="598" t="s">
        <v>3309</v>
      </c>
      <c r="AF985" s="598" t="s">
        <v>321</v>
      </c>
      <c r="AG985" s="598" t="s">
        <v>321</v>
      </c>
      <c r="AH985" s="598" t="s">
        <v>3309</v>
      </c>
      <c r="AI985" s="598" t="s">
        <v>321</v>
      </c>
      <c r="AJ985" s="599">
        <v>21</v>
      </c>
      <c r="AK985" s="600">
        <v>21</v>
      </c>
      <c r="AL985" s="601">
        <v>0</v>
      </c>
      <c r="AM985" s="601">
        <v>0</v>
      </c>
      <c r="AN985" s="599">
        <v>21</v>
      </c>
    </row>
    <row r="986" spans="1:40" ht="16.5" customHeight="1">
      <c r="A986" s="598" t="s">
        <v>3337</v>
      </c>
      <c r="B986" s="598" t="s">
        <v>3350</v>
      </c>
      <c r="C986" s="598" t="s">
        <v>1230</v>
      </c>
      <c r="D986" s="598" t="s">
        <v>1231</v>
      </c>
      <c r="E986" s="598" t="s">
        <v>321</v>
      </c>
      <c r="F986" s="598" t="s">
        <v>3309</v>
      </c>
      <c r="G986" s="598" t="s">
        <v>3309</v>
      </c>
      <c r="H986" s="598" t="s">
        <v>3309</v>
      </c>
      <c r="I986" s="598" t="s">
        <v>3309</v>
      </c>
      <c r="J986" s="598" t="s">
        <v>3309</v>
      </c>
      <c r="K986" s="598" t="s">
        <v>321</v>
      </c>
      <c r="L986" s="598" t="s">
        <v>321</v>
      </c>
      <c r="M986" s="598" t="s">
        <v>3309</v>
      </c>
      <c r="N986" s="598" t="s">
        <v>3309</v>
      </c>
      <c r="O986" s="598" t="s">
        <v>3309</v>
      </c>
      <c r="P986" s="598" t="s">
        <v>3309</v>
      </c>
      <c r="Q986" s="598" t="s">
        <v>3309</v>
      </c>
      <c r="R986" s="598" t="s">
        <v>321</v>
      </c>
      <c r="S986" s="598" t="s">
        <v>321</v>
      </c>
      <c r="T986" s="598" t="s">
        <v>3309</v>
      </c>
      <c r="U986" s="598" t="s">
        <v>3309</v>
      </c>
      <c r="V986" s="598" t="s">
        <v>3309</v>
      </c>
      <c r="W986" s="598" t="s">
        <v>3309</v>
      </c>
      <c r="X986" s="598" t="s">
        <v>3309</v>
      </c>
      <c r="Y986" s="598" t="s">
        <v>321</v>
      </c>
      <c r="Z986" s="598" t="s">
        <v>321</v>
      </c>
      <c r="AA986" s="598" t="s">
        <v>3309</v>
      </c>
      <c r="AB986" s="598" t="s">
        <v>3309</v>
      </c>
      <c r="AC986" s="598" t="s">
        <v>3309</v>
      </c>
      <c r="AD986" s="598" t="s">
        <v>3309</v>
      </c>
      <c r="AE986" s="598" t="s">
        <v>3309</v>
      </c>
      <c r="AF986" s="598" t="s">
        <v>321</v>
      </c>
      <c r="AG986" s="598" t="s">
        <v>321</v>
      </c>
      <c r="AH986" s="598" t="s">
        <v>3309</v>
      </c>
      <c r="AI986" s="598" t="s">
        <v>321</v>
      </c>
      <c r="AJ986" s="599">
        <v>21</v>
      </c>
      <c r="AK986" s="600">
        <v>21</v>
      </c>
      <c r="AL986" s="601">
        <v>0</v>
      </c>
      <c r="AM986" s="601">
        <v>0</v>
      </c>
      <c r="AN986" s="599">
        <v>21</v>
      </c>
    </row>
    <row r="987" spans="1:40" ht="16.5" customHeight="1">
      <c r="A987" s="598" t="s">
        <v>3337</v>
      </c>
      <c r="B987" s="598" t="s">
        <v>3350</v>
      </c>
      <c r="C987" s="598" t="s">
        <v>2193</v>
      </c>
      <c r="D987" s="598" t="s">
        <v>2194</v>
      </c>
      <c r="E987" s="598" t="s">
        <v>321</v>
      </c>
      <c r="F987" s="598" t="s">
        <v>3309</v>
      </c>
      <c r="G987" s="598" t="s">
        <v>3309</v>
      </c>
      <c r="H987" s="598" t="s">
        <v>3309</v>
      </c>
      <c r="I987" s="598" t="s">
        <v>3309</v>
      </c>
      <c r="J987" s="598" t="s">
        <v>3309</v>
      </c>
      <c r="K987" s="598" t="s">
        <v>321</v>
      </c>
      <c r="L987" s="598" t="s">
        <v>321</v>
      </c>
      <c r="M987" s="598" t="s">
        <v>3309</v>
      </c>
      <c r="N987" s="598" t="s">
        <v>3309</v>
      </c>
      <c r="O987" s="598" t="s">
        <v>3309</v>
      </c>
      <c r="P987" s="598" t="s">
        <v>3309</v>
      </c>
      <c r="Q987" s="598" t="s">
        <v>3309</v>
      </c>
      <c r="R987" s="598" t="s">
        <v>321</v>
      </c>
      <c r="S987" s="598" t="s">
        <v>321</v>
      </c>
      <c r="T987" s="598" t="s">
        <v>3309</v>
      </c>
      <c r="U987" s="598" t="s">
        <v>3309</v>
      </c>
      <c r="V987" s="598" t="s">
        <v>3309</v>
      </c>
      <c r="W987" s="598" t="s">
        <v>3309</v>
      </c>
      <c r="X987" s="598" t="s">
        <v>3309</v>
      </c>
      <c r="Y987" s="598" t="s">
        <v>321</v>
      </c>
      <c r="Z987" s="598" t="s">
        <v>321</v>
      </c>
      <c r="AA987" s="598" t="s">
        <v>3309</v>
      </c>
      <c r="AB987" s="598" t="s">
        <v>3309</v>
      </c>
      <c r="AC987" s="598" t="s">
        <v>3309</v>
      </c>
      <c r="AD987" s="598" t="s">
        <v>3309</v>
      </c>
      <c r="AE987" s="598" t="s">
        <v>3309</v>
      </c>
      <c r="AF987" s="598" t="s">
        <v>321</v>
      </c>
      <c r="AG987" s="598" t="s">
        <v>321</v>
      </c>
      <c r="AH987" s="598" t="s">
        <v>3309</v>
      </c>
      <c r="AI987" s="598" t="s">
        <v>321</v>
      </c>
      <c r="AJ987" s="599">
        <v>21</v>
      </c>
      <c r="AK987" s="600">
        <v>21</v>
      </c>
      <c r="AL987" s="601">
        <v>0</v>
      </c>
      <c r="AM987" s="601">
        <v>0</v>
      </c>
      <c r="AN987" s="599">
        <v>21</v>
      </c>
    </row>
    <row r="988" spans="1:40" ht="16.5" customHeight="1">
      <c r="A988" s="598" t="s">
        <v>3337</v>
      </c>
      <c r="B988" s="598" t="s">
        <v>3350</v>
      </c>
      <c r="C988" s="598" t="s">
        <v>1074</v>
      </c>
      <c r="D988" s="598" t="s">
        <v>1075</v>
      </c>
      <c r="E988" s="598" t="s">
        <v>321</v>
      </c>
      <c r="F988" s="598" t="s">
        <v>3345</v>
      </c>
      <c r="G988" s="598" t="s">
        <v>3309</v>
      </c>
      <c r="H988" s="598" t="s">
        <v>3309</v>
      </c>
      <c r="I988" s="598" t="s">
        <v>3309</v>
      </c>
      <c r="J988" s="598" t="s">
        <v>3309</v>
      </c>
      <c r="K988" s="598" t="s">
        <v>321</v>
      </c>
      <c r="L988" s="598" t="s">
        <v>321</v>
      </c>
      <c r="M988" s="598" t="s">
        <v>3309</v>
      </c>
      <c r="N988" s="598" t="s">
        <v>3309</v>
      </c>
      <c r="O988" s="598" t="s">
        <v>3309</v>
      </c>
      <c r="P988" s="598" t="s">
        <v>3309</v>
      </c>
      <c r="Q988" s="598" t="s">
        <v>3309</v>
      </c>
      <c r="R988" s="598" t="s">
        <v>321</v>
      </c>
      <c r="S988" s="598" t="s">
        <v>321</v>
      </c>
      <c r="T988" s="598" t="s">
        <v>3309</v>
      </c>
      <c r="U988" s="598" t="s">
        <v>3309</v>
      </c>
      <c r="V988" s="598" t="s">
        <v>3309</v>
      </c>
      <c r="W988" s="598" t="s">
        <v>3309</v>
      </c>
      <c r="X988" s="598" t="s">
        <v>3309</v>
      </c>
      <c r="Y988" s="598" t="s">
        <v>321</v>
      </c>
      <c r="Z988" s="598" t="s">
        <v>321</v>
      </c>
      <c r="AA988" s="598" t="s">
        <v>3309</v>
      </c>
      <c r="AB988" s="598" t="s">
        <v>3309</v>
      </c>
      <c r="AC988" s="598" t="s">
        <v>3309</v>
      </c>
      <c r="AD988" s="598" t="s">
        <v>3309</v>
      </c>
      <c r="AE988" s="598" t="s">
        <v>3309</v>
      </c>
      <c r="AF988" s="598" t="s">
        <v>321</v>
      </c>
      <c r="AG988" s="598" t="s">
        <v>321</v>
      </c>
      <c r="AH988" s="598" t="s">
        <v>3309</v>
      </c>
      <c r="AI988" s="598" t="s">
        <v>321</v>
      </c>
      <c r="AJ988" s="599">
        <v>21</v>
      </c>
      <c r="AK988" s="600">
        <v>21</v>
      </c>
      <c r="AL988" s="601">
        <v>0</v>
      </c>
      <c r="AM988" s="601">
        <v>0</v>
      </c>
      <c r="AN988" s="599">
        <v>21</v>
      </c>
    </row>
    <row r="989" spans="1:40" ht="16.5" customHeight="1">
      <c r="A989" s="598" t="s">
        <v>3337</v>
      </c>
      <c r="B989" s="598" t="s">
        <v>3350</v>
      </c>
      <c r="C989" s="598" t="s">
        <v>2014</v>
      </c>
      <c r="D989" s="598" t="s">
        <v>2015</v>
      </c>
      <c r="E989" s="598" t="s">
        <v>321</v>
      </c>
      <c r="F989" s="598" t="s">
        <v>3309</v>
      </c>
      <c r="G989" s="598" t="s">
        <v>3309</v>
      </c>
      <c r="H989" s="598" t="s">
        <v>3309</v>
      </c>
      <c r="I989" s="598" t="s">
        <v>3309</v>
      </c>
      <c r="J989" s="598" t="s">
        <v>3309</v>
      </c>
      <c r="K989" s="598" t="s">
        <v>321</v>
      </c>
      <c r="L989" s="598" t="s">
        <v>321</v>
      </c>
      <c r="M989" s="598" t="s">
        <v>3309</v>
      </c>
      <c r="N989" s="598" t="s">
        <v>3309</v>
      </c>
      <c r="O989" s="598" t="s">
        <v>3309</v>
      </c>
      <c r="P989" s="598" t="s">
        <v>3309</v>
      </c>
      <c r="Q989" s="598" t="s">
        <v>3309</v>
      </c>
      <c r="R989" s="598" t="s">
        <v>321</v>
      </c>
      <c r="S989" s="598" t="s">
        <v>321</v>
      </c>
      <c r="T989" s="598" t="s">
        <v>3309</v>
      </c>
      <c r="U989" s="598" t="s">
        <v>3309</v>
      </c>
      <c r="V989" s="598" t="s">
        <v>3309</v>
      </c>
      <c r="W989" s="598" t="s">
        <v>3309</v>
      </c>
      <c r="X989" s="598" t="s">
        <v>3309</v>
      </c>
      <c r="Y989" s="598" t="s">
        <v>321</v>
      </c>
      <c r="Z989" s="598" t="s">
        <v>321</v>
      </c>
      <c r="AA989" s="598" t="s">
        <v>3309</v>
      </c>
      <c r="AB989" s="598" t="s">
        <v>3309</v>
      </c>
      <c r="AC989" s="598" t="s">
        <v>3313</v>
      </c>
      <c r="AD989" s="598" t="s">
        <v>3313</v>
      </c>
      <c r="AE989" s="598" t="s">
        <v>3313</v>
      </c>
      <c r="AF989" s="598" t="s">
        <v>321</v>
      </c>
      <c r="AG989" s="598" t="s">
        <v>321</v>
      </c>
      <c r="AH989" s="598" t="s">
        <v>3309</v>
      </c>
      <c r="AI989" s="598" t="s">
        <v>321</v>
      </c>
      <c r="AJ989" s="599">
        <v>21</v>
      </c>
      <c r="AK989" s="600">
        <v>21</v>
      </c>
      <c r="AL989" s="601">
        <v>0</v>
      </c>
      <c r="AM989" s="601">
        <v>0</v>
      </c>
      <c r="AN989" s="599">
        <v>21</v>
      </c>
    </row>
    <row r="990" spans="1:40" ht="16.5" customHeight="1">
      <c r="A990" s="598" t="s">
        <v>3337</v>
      </c>
      <c r="B990" s="598" t="s">
        <v>3350</v>
      </c>
      <c r="C990" s="598" t="s">
        <v>2079</v>
      </c>
      <c r="D990" s="598" t="s">
        <v>2080</v>
      </c>
      <c r="E990" s="598" t="s">
        <v>321</v>
      </c>
      <c r="F990" s="598" t="s">
        <v>3309</v>
      </c>
      <c r="G990" s="598" t="s">
        <v>3309</v>
      </c>
      <c r="H990" s="598" t="s">
        <v>3309</v>
      </c>
      <c r="I990" s="598" t="s">
        <v>3309</v>
      </c>
      <c r="J990" s="598" t="s">
        <v>3309</v>
      </c>
      <c r="K990" s="598" t="s">
        <v>321</v>
      </c>
      <c r="L990" s="598" t="s">
        <v>321</v>
      </c>
      <c r="M990" s="598" t="s">
        <v>3309</v>
      </c>
      <c r="N990" s="598" t="s">
        <v>3309</v>
      </c>
      <c r="O990" s="598" t="s">
        <v>3309</v>
      </c>
      <c r="P990" s="598" t="s">
        <v>3309</v>
      </c>
      <c r="Q990" s="598" t="s">
        <v>3309</v>
      </c>
      <c r="R990" s="598" t="s">
        <v>321</v>
      </c>
      <c r="S990" s="598" t="s">
        <v>321</v>
      </c>
      <c r="T990" s="598" t="s">
        <v>3309</v>
      </c>
      <c r="U990" s="598" t="s">
        <v>3309</v>
      </c>
      <c r="V990" s="598" t="s">
        <v>3309</v>
      </c>
      <c r="W990" s="598" t="s">
        <v>3309</v>
      </c>
      <c r="X990" s="598" t="s">
        <v>3309</v>
      </c>
      <c r="Y990" s="598" t="s">
        <v>321</v>
      </c>
      <c r="Z990" s="598" t="s">
        <v>321</v>
      </c>
      <c r="AA990" s="598" t="s">
        <v>3309</v>
      </c>
      <c r="AB990" s="598" t="s">
        <v>3309</v>
      </c>
      <c r="AC990" s="598" t="s">
        <v>3309</v>
      </c>
      <c r="AD990" s="598" t="s">
        <v>3309</v>
      </c>
      <c r="AE990" s="598" t="s">
        <v>3309</v>
      </c>
      <c r="AF990" s="598" t="s">
        <v>321</v>
      </c>
      <c r="AG990" s="598" t="s">
        <v>321</v>
      </c>
      <c r="AH990" s="598" t="s">
        <v>3309</v>
      </c>
      <c r="AI990" s="598" t="s">
        <v>321</v>
      </c>
      <c r="AJ990" s="599">
        <v>21</v>
      </c>
      <c r="AK990" s="600">
        <v>21</v>
      </c>
      <c r="AL990" s="601">
        <v>0</v>
      </c>
      <c r="AM990" s="601">
        <v>0</v>
      </c>
      <c r="AN990" s="599">
        <v>21</v>
      </c>
    </row>
    <row r="991" spans="1:40" ht="16.5" customHeight="1">
      <c r="A991" s="598" t="s">
        <v>3337</v>
      </c>
      <c r="B991" s="598" t="s">
        <v>3350</v>
      </c>
      <c r="C991" s="598" t="s">
        <v>2879</v>
      </c>
      <c r="D991" s="598" t="s">
        <v>2880</v>
      </c>
      <c r="E991" s="598" t="s">
        <v>321</v>
      </c>
      <c r="F991" s="598" t="s">
        <v>3309</v>
      </c>
      <c r="G991" s="598" t="s">
        <v>3309</v>
      </c>
      <c r="H991" s="598" t="s">
        <v>3309</v>
      </c>
      <c r="I991" s="598" t="s">
        <v>3309</v>
      </c>
      <c r="J991" s="598" t="s">
        <v>3309</v>
      </c>
      <c r="K991" s="598" t="s">
        <v>321</v>
      </c>
      <c r="L991" s="598" t="s">
        <v>321</v>
      </c>
      <c r="M991" s="598" t="s">
        <v>3309</v>
      </c>
      <c r="N991" s="598" t="s">
        <v>3309</v>
      </c>
      <c r="O991" s="598" t="s">
        <v>3309</v>
      </c>
      <c r="P991" s="598" t="s">
        <v>3309</v>
      </c>
      <c r="Q991" s="598" t="s">
        <v>3309</v>
      </c>
      <c r="R991" s="598" t="s">
        <v>321</v>
      </c>
      <c r="S991" s="598" t="s">
        <v>321</v>
      </c>
      <c r="T991" s="598" t="s">
        <v>3309</v>
      </c>
      <c r="U991" s="598" t="s">
        <v>3309</v>
      </c>
      <c r="V991" s="598" t="s">
        <v>3309</v>
      </c>
      <c r="W991" s="598" t="s">
        <v>3309</v>
      </c>
      <c r="X991" s="598" t="s">
        <v>3309</v>
      </c>
      <c r="Y991" s="598" t="s">
        <v>321</v>
      </c>
      <c r="Z991" s="598" t="s">
        <v>321</v>
      </c>
      <c r="AA991" s="598" t="s">
        <v>3309</v>
      </c>
      <c r="AB991" s="598" t="s">
        <v>3309</v>
      </c>
      <c r="AC991" s="598" t="s">
        <v>3309</v>
      </c>
      <c r="AD991" s="598" t="s">
        <v>3309</v>
      </c>
      <c r="AE991" s="598" t="s">
        <v>3309</v>
      </c>
      <c r="AF991" s="598" t="s">
        <v>321</v>
      </c>
      <c r="AG991" s="598" t="s">
        <v>321</v>
      </c>
      <c r="AH991" s="598" t="s">
        <v>3309</v>
      </c>
      <c r="AI991" s="598" t="s">
        <v>321</v>
      </c>
      <c r="AJ991" s="599">
        <v>21</v>
      </c>
      <c r="AK991" s="600">
        <v>21</v>
      </c>
      <c r="AL991" s="601">
        <v>0</v>
      </c>
      <c r="AM991" s="601">
        <v>0</v>
      </c>
      <c r="AN991" s="599">
        <v>21</v>
      </c>
    </row>
    <row r="992" spans="1:40" ht="16.5" customHeight="1">
      <c r="A992" s="598" t="s">
        <v>3337</v>
      </c>
      <c r="B992" s="598" t="s">
        <v>3350</v>
      </c>
      <c r="C992" s="598" t="s">
        <v>1950</v>
      </c>
      <c r="D992" s="598" t="s">
        <v>1951</v>
      </c>
      <c r="E992" s="598" t="s">
        <v>321</v>
      </c>
      <c r="F992" s="598" t="s">
        <v>3309</v>
      </c>
      <c r="G992" s="598" t="s">
        <v>3309</v>
      </c>
      <c r="H992" s="598" t="s">
        <v>3309</v>
      </c>
      <c r="I992" s="598" t="s">
        <v>3309</v>
      </c>
      <c r="J992" s="598" t="s">
        <v>3309</v>
      </c>
      <c r="K992" s="598" t="s">
        <v>321</v>
      </c>
      <c r="L992" s="598" t="s">
        <v>321</v>
      </c>
      <c r="M992" s="598" t="s">
        <v>3309</v>
      </c>
      <c r="N992" s="598" t="s">
        <v>3309</v>
      </c>
      <c r="O992" s="598" t="s">
        <v>3309</v>
      </c>
      <c r="P992" s="598" t="s">
        <v>3309</v>
      </c>
      <c r="Q992" s="598" t="s">
        <v>3309</v>
      </c>
      <c r="R992" s="598" t="s">
        <v>321</v>
      </c>
      <c r="S992" s="598" t="s">
        <v>321</v>
      </c>
      <c r="T992" s="598" t="s">
        <v>3309</v>
      </c>
      <c r="U992" s="598" t="s">
        <v>3309</v>
      </c>
      <c r="V992" s="598" t="s">
        <v>3309</v>
      </c>
      <c r="W992" s="598" t="s">
        <v>3309</v>
      </c>
      <c r="X992" s="598" t="s">
        <v>3309</v>
      </c>
      <c r="Y992" s="598" t="s">
        <v>321</v>
      </c>
      <c r="Z992" s="598" t="s">
        <v>321</v>
      </c>
      <c r="AA992" s="598" t="s">
        <v>3309</v>
      </c>
      <c r="AB992" s="598" t="s">
        <v>3309</v>
      </c>
      <c r="AC992" s="598" t="s">
        <v>3309</v>
      </c>
      <c r="AD992" s="598" t="s">
        <v>3309</v>
      </c>
      <c r="AE992" s="598" t="s">
        <v>3309</v>
      </c>
      <c r="AF992" s="598" t="s">
        <v>321</v>
      </c>
      <c r="AG992" s="598" t="s">
        <v>321</v>
      </c>
      <c r="AH992" s="598" t="s">
        <v>3309</v>
      </c>
      <c r="AI992" s="598" t="s">
        <v>321</v>
      </c>
      <c r="AJ992" s="599">
        <v>21</v>
      </c>
      <c r="AK992" s="600">
        <v>21</v>
      </c>
      <c r="AL992" s="601">
        <v>0</v>
      </c>
      <c r="AM992" s="601">
        <v>0</v>
      </c>
      <c r="AN992" s="599">
        <v>21</v>
      </c>
    </row>
    <row r="993" spans="1:40" ht="16.5" customHeight="1">
      <c r="A993" s="598" t="s">
        <v>3337</v>
      </c>
      <c r="B993" s="598" t="s">
        <v>3350</v>
      </c>
      <c r="C993" s="598" t="s">
        <v>2032</v>
      </c>
      <c r="D993" s="598" t="s">
        <v>2033</v>
      </c>
      <c r="E993" s="598" t="s">
        <v>321</v>
      </c>
      <c r="F993" s="598" t="s">
        <v>3309</v>
      </c>
      <c r="G993" s="598" t="s">
        <v>3309</v>
      </c>
      <c r="H993" s="598" t="s">
        <v>3309</v>
      </c>
      <c r="I993" s="598" t="s">
        <v>3309</v>
      </c>
      <c r="J993" s="598" t="s">
        <v>3309</v>
      </c>
      <c r="K993" s="598" t="s">
        <v>321</v>
      </c>
      <c r="L993" s="598" t="s">
        <v>321</v>
      </c>
      <c r="M993" s="598" t="s">
        <v>3309</v>
      </c>
      <c r="N993" s="598" t="s">
        <v>3309</v>
      </c>
      <c r="O993" s="598" t="s">
        <v>3309</v>
      </c>
      <c r="P993" s="598" t="s">
        <v>3309</v>
      </c>
      <c r="Q993" s="598" t="s">
        <v>3309</v>
      </c>
      <c r="R993" s="598" t="s">
        <v>321</v>
      </c>
      <c r="S993" s="598" t="s">
        <v>321</v>
      </c>
      <c r="T993" s="598" t="s">
        <v>3309</v>
      </c>
      <c r="U993" s="598" t="s">
        <v>3309</v>
      </c>
      <c r="V993" s="598" t="s">
        <v>3309</v>
      </c>
      <c r="W993" s="598" t="s">
        <v>3309</v>
      </c>
      <c r="X993" s="598" t="s">
        <v>3309</v>
      </c>
      <c r="Y993" s="598" t="s">
        <v>321</v>
      </c>
      <c r="Z993" s="598" t="s">
        <v>321</v>
      </c>
      <c r="AA993" s="598" t="s">
        <v>3309</v>
      </c>
      <c r="AB993" s="598" t="s">
        <v>3309</v>
      </c>
      <c r="AC993" s="598" t="s">
        <v>3309</v>
      </c>
      <c r="AD993" s="598" t="s">
        <v>3309</v>
      </c>
      <c r="AE993" s="598" t="s">
        <v>3309</v>
      </c>
      <c r="AF993" s="598" t="s">
        <v>321</v>
      </c>
      <c r="AG993" s="598" t="s">
        <v>321</v>
      </c>
      <c r="AH993" s="598" t="s">
        <v>3309</v>
      </c>
      <c r="AI993" s="598" t="s">
        <v>321</v>
      </c>
      <c r="AJ993" s="599">
        <v>21</v>
      </c>
      <c r="AK993" s="600">
        <v>21</v>
      </c>
      <c r="AL993" s="601">
        <v>0</v>
      </c>
      <c r="AM993" s="601">
        <v>0</v>
      </c>
      <c r="AN993" s="599">
        <v>21</v>
      </c>
    </row>
    <row r="994" spans="1:40" ht="16.5" customHeight="1">
      <c r="A994" s="598" t="s">
        <v>3337</v>
      </c>
      <c r="B994" s="598" t="s">
        <v>3351</v>
      </c>
      <c r="C994" s="598" t="s">
        <v>2871</v>
      </c>
      <c r="D994" s="598" t="s">
        <v>2482</v>
      </c>
      <c r="E994" s="598" t="s">
        <v>321</v>
      </c>
      <c r="F994" s="598" t="s">
        <v>3309</v>
      </c>
      <c r="G994" s="598" t="s">
        <v>3309</v>
      </c>
      <c r="H994" s="598" t="s">
        <v>3309</v>
      </c>
      <c r="I994" s="598" t="s">
        <v>3309</v>
      </c>
      <c r="J994" s="598" t="s">
        <v>3309</v>
      </c>
      <c r="K994" s="598" t="s">
        <v>321</v>
      </c>
      <c r="L994" s="598" t="s">
        <v>321</v>
      </c>
      <c r="M994" s="598" t="s">
        <v>3309</v>
      </c>
      <c r="N994" s="598" t="s">
        <v>3309</v>
      </c>
      <c r="O994" s="598" t="s">
        <v>3309</v>
      </c>
      <c r="P994" s="598" t="s">
        <v>3309</v>
      </c>
      <c r="Q994" s="598" t="s">
        <v>3309</v>
      </c>
      <c r="R994" s="598" t="s">
        <v>321</v>
      </c>
      <c r="S994" s="598" t="s">
        <v>321</v>
      </c>
      <c r="T994" s="598" t="s">
        <v>3309</v>
      </c>
      <c r="U994" s="598" t="s">
        <v>3309</v>
      </c>
      <c r="V994" s="598" t="s">
        <v>3309</v>
      </c>
      <c r="W994" s="598" t="s">
        <v>3309</v>
      </c>
      <c r="X994" s="598" t="s">
        <v>3309</v>
      </c>
      <c r="Y994" s="598" t="s">
        <v>321</v>
      </c>
      <c r="Z994" s="598" t="s">
        <v>321</v>
      </c>
      <c r="AA994" s="598" t="s">
        <v>3309</v>
      </c>
      <c r="AB994" s="598" t="s">
        <v>3309</v>
      </c>
      <c r="AC994" s="598" t="s">
        <v>3309</v>
      </c>
      <c r="AD994" s="598" t="s">
        <v>3309</v>
      </c>
      <c r="AE994" s="598" t="s">
        <v>3309</v>
      </c>
      <c r="AF994" s="598" t="s">
        <v>321</v>
      </c>
      <c r="AG994" s="598" t="s">
        <v>321</v>
      </c>
      <c r="AH994" s="598" t="s">
        <v>3309</v>
      </c>
      <c r="AI994" s="598" t="s">
        <v>321</v>
      </c>
      <c r="AJ994" s="599">
        <v>21</v>
      </c>
      <c r="AK994" s="600">
        <v>21</v>
      </c>
      <c r="AL994" s="601">
        <v>0</v>
      </c>
      <c r="AM994" s="601">
        <v>0</v>
      </c>
      <c r="AN994" s="599">
        <v>21</v>
      </c>
    </row>
    <row r="995" spans="1:40" ht="16.5" customHeight="1">
      <c r="A995" s="598" t="s">
        <v>3337</v>
      </c>
      <c r="B995" s="598" t="s">
        <v>3351</v>
      </c>
      <c r="C995" s="598" t="s">
        <v>778</v>
      </c>
      <c r="D995" s="598" t="s">
        <v>779</v>
      </c>
      <c r="E995" s="598" t="s">
        <v>321</v>
      </c>
      <c r="F995" s="598" t="s">
        <v>3309</v>
      </c>
      <c r="G995" s="598" t="s">
        <v>3309</v>
      </c>
      <c r="H995" s="598" t="s">
        <v>3309</v>
      </c>
      <c r="I995" s="598" t="s">
        <v>3309</v>
      </c>
      <c r="J995" s="598" t="s">
        <v>3309</v>
      </c>
      <c r="K995" s="598" t="s">
        <v>321</v>
      </c>
      <c r="L995" s="598" t="s">
        <v>321</v>
      </c>
      <c r="M995" s="598" t="s">
        <v>3309</v>
      </c>
      <c r="N995" s="598" t="s">
        <v>3309</v>
      </c>
      <c r="O995" s="598" t="s">
        <v>3309</v>
      </c>
      <c r="P995" s="598" t="s">
        <v>3309</v>
      </c>
      <c r="Q995" s="598" t="s">
        <v>3309</v>
      </c>
      <c r="R995" s="598" t="s">
        <v>321</v>
      </c>
      <c r="S995" s="598" t="s">
        <v>321</v>
      </c>
      <c r="T995" s="598" t="s">
        <v>3309</v>
      </c>
      <c r="U995" s="598" t="s">
        <v>3309</v>
      </c>
      <c r="V995" s="598" t="s">
        <v>3309</v>
      </c>
      <c r="W995" s="598" t="s">
        <v>3309</v>
      </c>
      <c r="X995" s="598" t="s">
        <v>3309</v>
      </c>
      <c r="Y995" s="598" t="s">
        <v>321</v>
      </c>
      <c r="Z995" s="598" t="s">
        <v>321</v>
      </c>
      <c r="AA995" s="598" t="s">
        <v>3309</v>
      </c>
      <c r="AB995" s="598" t="s">
        <v>3309</v>
      </c>
      <c r="AC995" s="598" t="s">
        <v>3309</v>
      </c>
      <c r="AD995" s="598" t="s">
        <v>3309</v>
      </c>
      <c r="AE995" s="598" t="s">
        <v>3309</v>
      </c>
      <c r="AF995" s="598" t="s">
        <v>321</v>
      </c>
      <c r="AG995" s="598" t="s">
        <v>321</v>
      </c>
      <c r="AH995" s="598" t="s">
        <v>3309</v>
      </c>
      <c r="AI995" s="598" t="s">
        <v>321</v>
      </c>
      <c r="AJ995" s="599">
        <v>21</v>
      </c>
      <c r="AK995" s="600">
        <v>21</v>
      </c>
      <c r="AL995" s="601">
        <v>0</v>
      </c>
      <c r="AM995" s="601">
        <v>0</v>
      </c>
      <c r="AN995" s="599">
        <v>21</v>
      </c>
    </row>
    <row r="996" spans="1:40" ht="16.5" customHeight="1">
      <c r="A996" s="598" t="s">
        <v>3337</v>
      </c>
      <c r="B996" s="598" t="s">
        <v>3351</v>
      </c>
      <c r="C996" s="598" t="s">
        <v>1243</v>
      </c>
      <c r="D996" s="598" t="s">
        <v>1244</v>
      </c>
      <c r="E996" s="598" t="s">
        <v>321</v>
      </c>
      <c r="F996" s="598" t="s">
        <v>3309</v>
      </c>
      <c r="G996" s="598" t="s">
        <v>3309</v>
      </c>
      <c r="H996" s="598" t="s">
        <v>3309</v>
      </c>
      <c r="I996" s="598" t="s">
        <v>3309</v>
      </c>
      <c r="J996" s="598" t="s">
        <v>3309</v>
      </c>
      <c r="K996" s="598" t="s">
        <v>321</v>
      </c>
      <c r="L996" s="598" t="s">
        <v>321</v>
      </c>
      <c r="M996" s="598" t="s">
        <v>3309</v>
      </c>
      <c r="N996" s="598" t="s">
        <v>3309</v>
      </c>
      <c r="O996" s="598" t="s">
        <v>3309</v>
      </c>
      <c r="P996" s="598" t="s">
        <v>3309</v>
      </c>
      <c r="Q996" s="598" t="s">
        <v>3309</v>
      </c>
      <c r="R996" s="598" t="s">
        <v>321</v>
      </c>
      <c r="S996" s="598" t="s">
        <v>321</v>
      </c>
      <c r="T996" s="598" t="s">
        <v>3309</v>
      </c>
      <c r="U996" s="598" t="s">
        <v>3309</v>
      </c>
      <c r="V996" s="598" t="s">
        <v>3309</v>
      </c>
      <c r="W996" s="598" t="s">
        <v>3309</v>
      </c>
      <c r="X996" s="598" t="s">
        <v>3309</v>
      </c>
      <c r="Y996" s="598" t="s">
        <v>321</v>
      </c>
      <c r="Z996" s="598" t="s">
        <v>321</v>
      </c>
      <c r="AA996" s="598" t="s">
        <v>3309</v>
      </c>
      <c r="AB996" s="598" t="s">
        <v>3309</v>
      </c>
      <c r="AC996" s="598" t="s">
        <v>3309</v>
      </c>
      <c r="AD996" s="598" t="s">
        <v>3309</v>
      </c>
      <c r="AE996" s="598" t="s">
        <v>3309</v>
      </c>
      <c r="AF996" s="598" t="s">
        <v>321</v>
      </c>
      <c r="AG996" s="598" t="s">
        <v>321</v>
      </c>
      <c r="AH996" s="598" t="s">
        <v>3309</v>
      </c>
      <c r="AI996" s="598" t="s">
        <v>321</v>
      </c>
      <c r="AJ996" s="599">
        <v>21</v>
      </c>
      <c r="AK996" s="600">
        <v>21</v>
      </c>
      <c r="AL996" s="601">
        <v>0</v>
      </c>
      <c r="AM996" s="601">
        <v>0</v>
      </c>
      <c r="AN996" s="599">
        <v>21</v>
      </c>
    </row>
    <row r="997" spans="1:40" ht="16.5" customHeight="1">
      <c r="A997" s="598" t="s">
        <v>3337</v>
      </c>
      <c r="B997" s="598" t="s">
        <v>3351</v>
      </c>
      <c r="C997" s="598" t="s">
        <v>2651</v>
      </c>
      <c r="D997" s="598" t="s">
        <v>2652</v>
      </c>
      <c r="E997" s="598" t="s">
        <v>321</v>
      </c>
      <c r="F997" s="598" t="s">
        <v>3309</v>
      </c>
      <c r="G997" s="598" t="s">
        <v>3309</v>
      </c>
      <c r="H997" s="598" t="s">
        <v>3309</v>
      </c>
      <c r="I997" s="598" t="s">
        <v>3309</v>
      </c>
      <c r="J997" s="598" t="s">
        <v>3309</v>
      </c>
      <c r="K997" s="598" t="s">
        <v>321</v>
      </c>
      <c r="L997" s="598" t="s">
        <v>321</v>
      </c>
      <c r="M997" s="598" t="s">
        <v>3309</v>
      </c>
      <c r="N997" s="598" t="s">
        <v>3309</v>
      </c>
      <c r="O997" s="598" t="s">
        <v>3309</v>
      </c>
      <c r="P997" s="598" t="s">
        <v>3309</v>
      </c>
      <c r="Q997" s="598" t="s">
        <v>3309</v>
      </c>
      <c r="R997" s="598" t="s">
        <v>321</v>
      </c>
      <c r="S997" s="598" t="s">
        <v>321</v>
      </c>
      <c r="T997" s="598" t="s">
        <v>3309</v>
      </c>
      <c r="U997" s="598" t="s">
        <v>3309</v>
      </c>
      <c r="V997" s="598" t="s">
        <v>3309</v>
      </c>
      <c r="W997" s="598" t="s">
        <v>3309</v>
      </c>
      <c r="X997" s="598" t="s">
        <v>3309</v>
      </c>
      <c r="Y997" s="598" t="s">
        <v>321</v>
      </c>
      <c r="Z997" s="598" t="s">
        <v>321</v>
      </c>
      <c r="AA997" s="598" t="s">
        <v>3309</v>
      </c>
      <c r="AB997" s="598" t="s">
        <v>3309</v>
      </c>
      <c r="AC997" s="598" t="s">
        <v>3309</v>
      </c>
      <c r="AD997" s="598" t="s">
        <v>3309</v>
      </c>
      <c r="AE997" s="598" t="s">
        <v>3309</v>
      </c>
      <c r="AF997" s="598" t="s">
        <v>321</v>
      </c>
      <c r="AG997" s="598" t="s">
        <v>321</v>
      </c>
      <c r="AH997" s="598" t="s">
        <v>3309</v>
      </c>
      <c r="AI997" s="598" t="s">
        <v>321</v>
      </c>
      <c r="AJ997" s="599">
        <v>21</v>
      </c>
      <c r="AK997" s="600">
        <v>21</v>
      </c>
      <c r="AL997" s="601">
        <v>0</v>
      </c>
      <c r="AM997" s="601">
        <v>0</v>
      </c>
      <c r="AN997" s="599">
        <v>21</v>
      </c>
    </row>
    <row r="998" spans="1:40" ht="16.5" customHeight="1">
      <c r="A998" s="598" t="s">
        <v>3337</v>
      </c>
      <c r="B998" s="598" t="s">
        <v>3351</v>
      </c>
      <c r="C998" s="598" t="s">
        <v>591</v>
      </c>
      <c r="D998" s="598" t="s">
        <v>592</v>
      </c>
      <c r="E998" s="598" t="s">
        <v>321</v>
      </c>
      <c r="F998" s="598" t="s">
        <v>3309</v>
      </c>
      <c r="G998" s="598" t="s">
        <v>3309</v>
      </c>
      <c r="H998" s="598" t="s">
        <v>3309</v>
      </c>
      <c r="I998" s="598" t="s">
        <v>3314</v>
      </c>
      <c r="J998" s="598" t="s">
        <v>3309</v>
      </c>
      <c r="K998" s="598" t="s">
        <v>321</v>
      </c>
      <c r="L998" s="598" t="s">
        <v>321</v>
      </c>
      <c r="M998" s="598" t="s">
        <v>3309</v>
      </c>
      <c r="N998" s="598" t="s">
        <v>3309</v>
      </c>
      <c r="O998" s="598" t="s">
        <v>3309</v>
      </c>
      <c r="P998" s="598" t="s">
        <v>3309</v>
      </c>
      <c r="Q998" s="598" t="s">
        <v>3309</v>
      </c>
      <c r="R998" s="598" t="s">
        <v>321</v>
      </c>
      <c r="S998" s="598" t="s">
        <v>321</v>
      </c>
      <c r="T998" s="598" t="s">
        <v>3309</v>
      </c>
      <c r="U998" s="598" t="s">
        <v>3309</v>
      </c>
      <c r="V998" s="598" t="s">
        <v>3309</v>
      </c>
      <c r="W998" s="598" t="s">
        <v>3309</v>
      </c>
      <c r="X998" s="598" t="s">
        <v>3312</v>
      </c>
      <c r="Y998" s="598" t="s">
        <v>321</v>
      </c>
      <c r="Z998" s="598" t="s">
        <v>321</v>
      </c>
      <c r="AA998" s="598" t="s">
        <v>3309</v>
      </c>
      <c r="AB998" s="598" t="s">
        <v>3309</v>
      </c>
      <c r="AC998" s="598" t="s">
        <v>3309</v>
      </c>
      <c r="AD998" s="598" t="s">
        <v>3309</v>
      </c>
      <c r="AE998" s="598" t="s">
        <v>3309</v>
      </c>
      <c r="AF998" s="598" t="s">
        <v>321</v>
      </c>
      <c r="AG998" s="598" t="s">
        <v>321</v>
      </c>
      <c r="AH998" s="598" t="s">
        <v>3309</v>
      </c>
      <c r="AI998" s="598" t="s">
        <v>321</v>
      </c>
      <c r="AJ998" s="599">
        <v>21</v>
      </c>
      <c r="AK998" s="603">
        <v>19.5</v>
      </c>
      <c r="AL998" s="603">
        <v>1.5</v>
      </c>
      <c r="AM998" s="601">
        <v>0</v>
      </c>
      <c r="AN998" s="599">
        <v>21</v>
      </c>
    </row>
    <row r="999" spans="1:40" ht="16.5" customHeight="1">
      <c r="A999" s="598" t="s">
        <v>3337</v>
      </c>
      <c r="B999" s="598" t="s">
        <v>3351</v>
      </c>
      <c r="C999" s="598" t="s">
        <v>2756</v>
      </c>
      <c r="D999" s="598" t="s">
        <v>2757</v>
      </c>
      <c r="E999" s="598" t="s">
        <v>321</v>
      </c>
      <c r="F999" s="598" t="s">
        <v>3309</v>
      </c>
      <c r="G999" s="598" t="s">
        <v>3309</v>
      </c>
      <c r="H999" s="598" t="s">
        <v>3309</v>
      </c>
      <c r="I999" s="598" t="s">
        <v>3309</v>
      </c>
      <c r="J999" s="598" t="s">
        <v>3345</v>
      </c>
      <c r="K999" s="598" t="s">
        <v>321</v>
      </c>
      <c r="L999" s="598" t="s">
        <v>321</v>
      </c>
      <c r="M999" s="598" t="s">
        <v>3345</v>
      </c>
      <c r="N999" s="598" t="s">
        <v>3309</v>
      </c>
      <c r="O999" s="598" t="s">
        <v>3345</v>
      </c>
      <c r="P999" s="598" t="s">
        <v>3309</v>
      </c>
      <c r="Q999" s="598" t="s">
        <v>3345</v>
      </c>
      <c r="R999" s="598" t="s">
        <v>321</v>
      </c>
      <c r="S999" s="598" t="s">
        <v>321</v>
      </c>
      <c r="T999" s="598" t="s">
        <v>3309</v>
      </c>
      <c r="U999" s="598" t="s">
        <v>3345</v>
      </c>
      <c r="V999" s="598" t="s">
        <v>3309</v>
      </c>
      <c r="W999" s="598" t="s">
        <v>3309</v>
      </c>
      <c r="X999" s="598" t="s">
        <v>3345</v>
      </c>
      <c r="Y999" s="598" t="s">
        <v>321</v>
      </c>
      <c r="Z999" s="598" t="s">
        <v>321</v>
      </c>
      <c r="AA999" s="598" t="s">
        <v>3309</v>
      </c>
      <c r="AB999" s="598" t="s">
        <v>3309</v>
      </c>
      <c r="AC999" s="598" t="s">
        <v>3345</v>
      </c>
      <c r="AD999" s="598" t="s">
        <v>3309</v>
      </c>
      <c r="AE999" s="598" t="s">
        <v>3309</v>
      </c>
      <c r="AF999" s="598" t="s">
        <v>321</v>
      </c>
      <c r="AG999" s="598" t="s">
        <v>321</v>
      </c>
      <c r="AH999" s="598" t="s">
        <v>3309</v>
      </c>
      <c r="AI999" s="598" t="s">
        <v>321</v>
      </c>
      <c r="AJ999" s="599">
        <v>21</v>
      </c>
      <c r="AK999" s="600">
        <v>21</v>
      </c>
      <c r="AL999" s="601">
        <v>0</v>
      </c>
      <c r="AM999" s="601">
        <v>0</v>
      </c>
      <c r="AN999" s="599">
        <v>21</v>
      </c>
    </row>
    <row r="1000" spans="1:40" ht="16.5" customHeight="1">
      <c r="A1000" s="598" t="s">
        <v>3337</v>
      </c>
      <c r="B1000" s="598" t="s">
        <v>3351</v>
      </c>
      <c r="C1000" s="598" t="s">
        <v>770</v>
      </c>
      <c r="D1000" s="598" t="s">
        <v>771</v>
      </c>
      <c r="E1000" s="598" t="s">
        <v>321</v>
      </c>
      <c r="F1000" s="598" t="s">
        <v>3312</v>
      </c>
      <c r="G1000" s="598" t="s">
        <v>3309</v>
      </c>
      <c r="H1000" s="598" t="s">
        <v>3309</v>
      </c>
      <c r="I1000" s="598" t="s">
        <v>3309</v>
      </c>
      <c r="J1000" s="598" t="s">
        <v>3309</v>
      </c>
      <c r="K1000" s="598" t="s">
        <v>321</v>
      </c>
      <c r="L1000" s="598" t="s">
        <v>321</v>
      </c>
      <c r="M1000" s="598" t="s">
        <v>3309</v>
      </c>
      <c r="N1000" s="598" t="s">
        <v>3309</v>
      </c>
      <c r="O1000" s="598" t="s">
        <v>3309</v>
      </c>
      <c r="P1000" s="598" t="s">
        <v>3309</v>
      </c>
      <c r="Q1000" s="598" t="s">
        <v>3309</v>
      </c>
      <c r="R1000" s="598" t="s">
        <v>321</v>
      </c>
      <c r="S1000" s="598" t="s">
        <v>321</v>
      </c>
      <c r="T1000" s="598" t="s">
        <v>3309</v>
      </c>
      <c r="U1000" s="598" t="s">
        <v>3309</v>
      </c>
      <c r="V1000" s="598" t="s">
        <v>3309</v>
      </c>
      <c r="W1000" s="598" t="s">
        <v>3309</v>
      </c>
      <c r="X1000" s="598" t="s">
        <v>3309</v>
      </c>
      <c r="Y1000" s="598" t="s">
        <v>321</v>
      </c>
      <c r="Z1000" s="598" t="s">
        <v>321</v>
      </c>
      <c r="AA1000" s="598" t="s">
        <v>3309</v>
      </c>
      <c r="AB1000" s="598" t="s">
        <v>3309</v>
      </c>
      <c r="AC1000" s="598" t="s">
        <v>3309</v>
      </c>
      <c r="AD1000" s="598" t="s">
        <v>3309</v>
      </c>
      <c r="AE1000" s="598" t="s">
        <v>3309</v>
      </c>
      <c r="AF1000" s="598" t="s">
        <v>321</v>
      </c>
      <c r="AG1000" s="598" t="s">
        <v>321</v>
      </c>
      <c r="AH1000" s="598" t="s">
        <v>3309</v>
      </c>
      <c r="AI1000" s="598" t="s">
        <v>321</v>
      </c>
      <c r="AJ1000" s="599">
        <v>21</v>
      </c>
      <c r="AK1000" s="600">
        <v>20</v>
      </c>
      <c r="AL1000" s="602">
        <v>1</v>
      </c>
      <c r="AM1000" s="601">
        <v>0</v>
      </c>
      <c r="AN1000" s="599">
        <v>21</v>
      </c>
    </row>
    <row r="1001" spans="1:40" ht="16.5" customHeight="1">
      <c r="A1001" s="598" t="s">
        <v>3337</v>
      </c>
      <c r="B1001" s="598" t="s">
        <v>3351</v>
      </c>
      <c r="C1001" s="598" t="s">
        <v>1214</v>
      </c>
      <c r="D1001" s="598" t="s">
        <v>1215</v>
      </c>
      <c r="E1001" s="598" t="s">
        <v>321</v>
      </c>
      <c r="F1001" s="598" t="s">
        <v>3309</v>
      </c>
      <c r="G1001" s="598" t="s">
        <v>3309</v>
      </c>
      <c r="H1001" s="598" t="s">
        <v>3309</v>
      </c>
      <c r="I1001" s="598" t="s">
        <v>3309</v>
      </c>
      <c r="J1001" s="598" t="s">
        <v>3309</v>
      </c>
      <c r="K1001" s="598" t="s">
        <v>321</v>
      </c>
      <c r="L1001" s="598" t="s">
        <v>321</v>
      </c>
      <c r="M1001" s="598" t="s">
        <v>3309</v>
      </c>
      <c r="N1001" s="598" t="s">
        <v>3309</v>
      </c>
      <c r="O1001" s="598" t="s">
        <v>3309</v>
      </c>
      <c r="P1001" s="598" t="s">
        <v>3309</v>
      </c>
      <c r="Q1001" s="598" t="s">
        <v>3309</v>
      </c>
      <c r="R1001" s="598" t="s">
        <v>321</v>
      </c>
      <c r="S1001" s="598" t="s">
        <v>321</v>
      </c>
      <c r="T1001" s="598" t="s">
        <v>3309</v>
      </c>
      <c r="U1001" s="598" t="s">
        <v>3309</v>
      </c>
      <c r="V1001" s="598" t="s">
        <v>3309</v>
      </c>
      <c r="W1001" s="598" t="s">
        <v>3309</v>
      </c>
      <c r="X1001" s="598" t="s">
        <v>3309</v>
      </c>
      <c r="Y1001" s="598" t="s">
        <v>321</v>
      </c>
      <c r="Z1001" s="598" t="s">
        <v>321</v>
      </c>
      <c r="AA1001" s="598" t="s">
        <v>3309</v>
      </c>
      <c r="AB1001" s="598" t="s">
        <v>3309</v>
      </c>
      <c r="AC1001" s="598" t="s">
        <v>3309</v>
      </c>
      <c r="AD1001" s="598" t="s">
        <v>3309</v>
      </c>
      <c r="AE1001" s="598" t="s">
        <v>3309</v>
      </c>
      <c r="AF1001" s="598" t="s">
        <v>321</v>
      </c>
      <c r="AG1001" s="598" t="s">
        <v>321</v>
      </c>
      <c r="AH1001" s="598" t="s">
        <v>3309</v>
      </c>
      <c r="AI1001" s="598" t="s">
        <v>321</v>
      </c>
      <c r="AJ1001" s="599">
        <v>21</v>
      </c>
      <c r="AK1001" s="600">
        <v>21</v>
      </c>
      <c r="AL1001" s="601">
        <v>0</v>
      </c>
      <c r="AM1001" s="601">
        <v>0</v>
      </c>
      <c r="AN1001" s="599">
        <v>21</v>
      </c>
    </row>
    <row r="1002" spans="1:40" ht="16.5" customHeight="1">
      <c r="A1002" s="598" t="s">
        <v>3337</v>
      </c>
      <c r="B1002" s="598" t="s">
        <v>3351</v>
      </c>
      <c r="C1002" s="598" t="s">
        <v>1482</v>
      </c>
      <c r="D1002" s="598" t="s">
        <v>1483</v>
      </c>
      <c r="E1002" s="598" t="s">
        <v>321</v>
      </c>
      <c r="F1002" s="598" t="s">
        <v>3309</v>
      </c>
      <c r="G1002" s="598" t="s">
        <v>3309</v>
      </c>
      <c r="H1002" s="598" t="s">
        <v>3309</v>
      </c>
      <c r="I1002" s="598" t="s">
        <v>3309</v>
      </c>
      <c r="J1002" s="598" t="s">
        <v>3309</v>
      </c>
      <c r="K1002" s="598" t="s">
        <v>321</v>
      </c>
      <c r="L1002" s="598" t="s">
        <v>321</v>
      </c>
      <c r="M1002" s="598" t="s">
        <v>3309</v>
      </c>
      <c r="N1002" s="598" t="s">
        <v>3345</v>
      </c>
      <c r="O1002" s="598" t="s">
        <v>3309</v>
      </c>
      <c r="P1002" s="598" t="s">
        <v>3309</v>
      </c>
      <c r="Q1002" s="598" t="s">
        <v>3309</v>
      </c>
      <c r="R1002" s="598" t="s">
        <v>321</v>
      </c>
      <c r="S1002" s="598" t="s">
        <v>321</v>
      </c>
      <c r="T1002" s="598" t="s">
        <v>3309</v>
      </c>
      <c r="U1002" s="598" t="s">
        <v>3309</v>
      </c>
      <c r="V1002" s="598" t="s">
        <v>3309</v>
      </c>
      <c r="W1002" s="598" t="s">
        <v>3345</v>
      </c>
      <c r="X1002" s="598" t="s">
        <v>3309</v>
      </c>
      <c r="Y1002" s="598" t="s">
        <v>321</v>
      </c>
      <c r="Z1002" s="598" t="s">
        <v>321</v>
      </c>
      <c r="AA1002" s="598" t="s">
        <v>3309</v>
      </c>
      <c r="AB1002" s="598" t="s">
        <v>3309</v>
      </c>
      <c r="AC1002" s="598" t="s">
        <v>3309</v>
      </c>
      <c r="AD1002" s="598" t="s">
        <v>3309</v>
      </c>
      <c r="AE1002" s="598" t="s">
        <v>3309</v>
      </c>
      <c r="AF1002" s="598" t="s">
        <v>321</v>
      </c>
      <c r="AG1002" s="598" t="s">
        <v>321</v>
      </c>
      <c r="AH1002" s="598" t="s">
        <v>3309</v>
      </c>
      <c r="AI1002" s="598" t="s">
        <v>321</v>
      </c>
      <c r="AJ1002" s="599">
        <v>21</v>
      </c>
      <c r="AK1002" s="600">
        <v>21</v>
      </c>
      <c r="AL1002" s="601">
        <v>0</v>
      </c>
      <c r="AM1002" s="601">
        <v>0</v>
      </c>
      <c r="AN1002" s="599">
        <v>21</v>
      </c>
    </row>
    <row r="1003" spans="1:40" ht="16.5" customHeight="1">
      <c r="A1003" s="598" t="s">
        <v>3337</v>
      </c>
      <c r="B1003" s="598" t="s">
        <v>3351</v>
      </c>
      <c r="C1003" s="598" t="s">
        <v>2872</v>
      </c>
      <c r="D1003" s="598" t="s">
        <v>2648</v>
      </c>
      <c r="E1003" s="598" t="s">
        <v>321</v>
      </c>
      <c r="F1003" s="598" t="s">
        <v>3309</v>
      </c>
      <c r="G1003" s="598" t="s">
        <v>3309</v>
      </c>
      <c r="H1003" s="598" t="s">
        <v>3309</v>
      </c>
      <c r="I1003" s="598" t="s">
        <v>3309</v>
      </c>
      <c r="J1003" s="598" t="s">
        <v>3309</v>
      </c>
      <c r="K1003" s="598" t="s">
        <v>321</v>
      </c>
      <c r="L1003" s="598" t="s">
        <v>321</v>
      </c>
      <c r="M1003" s="598" t="s">
        <v>3309</v>
      </c>
      <c r="N1003" s="598" t="s">
        <v>3309</v>
      </c>
      <c r="O1003" s="598" t="s">
        <v>3309</v>
      </c>
      <c r="P1003" s="598" t="s">
        <v>3309</v>
      </c>
      <c r="Q1003" s="598" t="s">
        <v>3309</v>
      </c>
      <c r="R1003" s="598" t="s">
        <v>321</v>
      </c>
      <c r="S1003" s="598" t="s">
        <v>321</v>
      </c>
      <c r="T1003" s="598" t="s">
        <v>3309</v>
      </c>
      <c r="U1003" s="598" t="s">
        <v>3309</v>
      </c>
      <c r="V1003" s="598" t="s">
        <v>3309</v>
      </c>
      <c r="W1003" s="598" t="s">
        <v>3309</v>
      </c>
      <c r="X1003" s="598" t="s">
        <v>3309</v>
      </c>
      <c r="Y1003" s="598" t="s">
        <v>321</v>
      </c>
      <c r="Z1003" s="598" t="s">
        <v>321</v>
      </c>
      <c r="AA1003" s="598" t="s">
        <v>3309</v>
      </c>
      <c r="AB1003" s="598" t="s">
        <v>3309</v>
      </c>
      <c r="AC1003" s="598" t="s">
        <v>3309</v>
      </c>
      <c r="AD1003" s="598" t="s">
        <v>3309</v>
      </c>
      <c r="AE1003" s="598" t="s">
        <v>3309</v>
      </c>
      <c r="AF1003" s="598" t="s">
        <v>321</v>
      </c>
      <c r="AG1003" s="598" t="s">
        <v>321</v>
      </c>
      <c r="AH1003" s="598" t="s">
        <v>3309</v>
      </c>
      <c r="AI1003" s="598" t="s">
        <v>321</v>
      </c>
      <c r="AJ1003" s="599">
        <v>21</v>
      </c>
      <c r="AK1003" s="600">
        <v>21</v>
      </c>
      <c r="AL1003" s="601">
        <v>0</v>
      </c>
      <c r="AM1003" s="601">
        <v>0</v>
      </c>
      <c r="AN1003" s="599">
        <v>21</v>
      </c>
    </row>
    <row r="1004" spans="1:40" ht="16.5" customHeight="1">
      <c r="A1004" s="598" t="s">
        <v>3337</v>
      </c>
      <c r="B1004" s="598" t="s">
        <v>3351</v>
      </c>
      <c r="C1004" s="598" t="s">
        <v>1306</v>
      </c>
      <c r="D1004" s="598" t="s">
        <v>1307</v>
      </c>
      <c r="E1004" s="598" t="s">
        <v>321</v>
      </c>
      <c r="F1004" s="598" t="s">
        <v>3345</v>
      </c>
      <c r="G1004" s="598" t="s">
        <v>3309</v>
      </c>
      <c r="H1004" s="598" t="s">
        <v>3345</v>
      </c>
      <c r="I1004" s="598" t="s">
        <v>3309</v>
      </c>
      <c r="J1004" s="598" t="s">
        <v>3345</v>
      </c>
      <c r="K1004" s="598" t="s">
        <v>321</v>
      </c>
      <c r="L1004" s="598" t="s">
        <v>321</v>
      </c>
      <c r="M1004" s="598" t="s">
        <v>3345</v>
      </c>
      <c r="N1004" s="598" t="s">
        <v>3309</v>
      </c>
      <c r="O1004" s="598" t="s">
        <v>3345</v>
      </c>
      <c r="P1004" s="598" t="s">
        <v>3309</v>
      </c>
      <c r="Q1004" s="598" t="s">
        <v>3345</v>
      </c>
      <c r="R1004" s="598" t="s">
        <v>321</v>
      </c>
      <c r="S1004" s="598" t="s">
        <v>321</v>
      </c>
      <c r="T1004" s="598" t="s">
        <v>3345</v>
      </c>
      <c r="U1004" s="598" t="s">
        <v>3309</v>
      </c>
      <c r="V1004" s="598" t="s">
        <v>3345</v>
      </c>
      <c r="W1004" s="598" t="s">
        <v>3309</v>
      </c>
      <c r="X1004" s="598" t="s">
        <v>3345</v>
      </c>
      <c r="Y1004" s="598" t="s">
        <v>321</v>
      </c>
      <c r="Z1004" s="598" t="s">
        <v>321</v>
      </c>
      <c r="AA1004" s="598" t="s">
        <v>3345</v>
      </c>
      <c r="AB1004" s="598" t="s">
        <v>3309</v>
      </c>
      <c r="AC1004" s="598" t="s">
        <v>3352</v>
      </c>
      <c r="AD1004" s="598" t="s">
        <v>3309</v>
      </c>
      <c r="AE1004" s="598" t="s">
        <v>3345</v>
      </c>
      <c r="AF1004" s="598" t="s">
        <v>321</v>
      </c>
      <c r="AG1004" s="598" t="s">
        <v>321</v>
      </c>
      <c r="AH1004" s="598" t="s">
        <v>3309</v>
      </c>
      <c r="AI1004" s="598" t="s">
        <v>321</v>
      </c>
      <c r="AJ1004" s="599">
        <v>21</v>
      </c>
      <c r="AK1004" s="600">
        <v>20</v>
      </c>
      <c r="AL1004" s="602">
        <v>1</v>
      </c>
      <c r="AM1004" s="601">
        <v>0</v>
      </c>
      <c r="AN1004" s="599">
        <v>21</v>
      </c>
    </row>
    <row r="1005" spans="1:40" ht="16.5" customHeight="1">
      <c r="A1005" s="598" t="s">
        <v>3337</v>
      </c>
      <c r="B1005" s="598" t="s">
        <v>3351</v>
      </c>
      <c r="C1005" s="598" t="s">
        <v>631</v>
      </c>
      <c r="D1005" s="598" t="s">
        <v>632</v>
      </c>
      <c r="E1005" s="598" t="s">
        <v>321</v>
      </c>
      <c r="F1005" s="598" t="s">
        <v>3309</v>
      </c>
      <c r="G1005" s="598" t="s">
        <v>3309</v>
      </c>
      <c r="H1005" s="598" t="s">
        <v>3309</v>
      </c>
      <c r="I1005" s="598" t="s">
        <v>3309</v>
      </c>
      <c r="J1005" s="598" t="s">
        <v>3309</v>
      </c>
      <c r="K1005" s="598" t="s">
        <v>321</v>
      </c>
      <c r="L1005" s="598" t="s">
        <v>321</v>
      </c>
      <c r="M1005" s="598" t="s">
        <v>3309</v>
      </c>
      <c r="N1005" s="598" t="s">
        <v>3309</v>
      </c>
      <c r="O1005" s="598" t="s">
        <v>3309</v>
      </c>
      <c r="P1005" s="598" t="s">
        <v>3309</v>
      </c>
      <c r="Q1005" s="598" t="s">
        <v>3309</v>
      </c>
      <c r="R1005" s="598" t="s">
        <v>321</v>
      </c>
      <c r="S1005" s="598" t="s">
        <v>321</v>
      </c>
      <c r="T1005" s="598" t="s">
        <v>3309</v>
      </c>
      <c r="U1005" s="598" t="s">
        <v>3309</v>
      </c>
      <c r="V1005" s="598" t="s">
        <v>3309</v>
      </c>
      <c r="W1005" s="598" t="s">
        <v>3309</v>
      </c>
      <c r="X1005" s="598" t="s">
        <v>3309</v>
      </c>
      <c r="Y1005" s="598" t="s">
        <v>321</v>
      </c>
      <c r="Z1005" s="598" t="s">
        <v>321</v>
      </c>
      <c r="AA1005" s="598" t="s">
        <v>3309</v>
      </c>
      <c r="AB1005" s="598" t="s">
        <v>3309</v>
      </c>
      <c r="AC1005" s="598" t="s">
        <v>3309</v>
      </c>
      <c r="AD1005" s="598" t="s">
        <v>3309</v>
      </c>
      <c r="AE1005" s="598" t="s">
        <v>3309</v>
      </c>
      <c r="AF1005" s="598" t="s">
        <v>321</v>
      </c>
      <c r="AG1005" s="598" t="s">
        <v>321</v>
      </c>
      <c r="AH1005" s="598" t="s">
        <v>3309</v>
      </c>
      <c r="AI1005" s="598" t="s">
        <v>321</v>
      </c>
      <c r="AJ1005" s="599">
        <v>21</v>
      </c>
      <c r="AK1005" s="600">
        <v>21</v>
      </c>
      <c r="AL1005" s="601">
        <v>0</v>
      </c>
      <c r="AM1005" s="601">
        <v>0</v>
      </c>
      <c r="AN1005" s="599">
        <v>21</v>
      </c>
    </row>
    <row r="1006" spans="1:40" ht="16.5" customHeight="1">
      <c r="A1006" s="598" t="s">
        <v>3337</v>
      </c>
      <c r="B1006" s="598" t="s">
        <v>3351</v>
      </c>
      <c r="C1006" s="598" t="s">
        <v>689</v>
      </c>
      <c r="D1006" s="598" t="s">
        <v>690</v>
      </c>
      <c r="E1006" s="598" t="s">
        <v>321</v>
      </c>
      <c r="F1006" s="598" t="s">
        <v>3309</v>
      </c>
      <c r="G1006" s="598" t="s">
        <v>3309</v>
      </c>
      <c r="H1006" s="598" t="s">
        <v>3312</v>
      </c>
      <c r="I1006" s="598" t="s">
        <v>3309</v>
      </c>
      <c r="J1006" s="598" t="s">
        <v>3309</v>
      </c>
      <c r="K1006" s="598" t="s">
        <v>321</v>
      </c>
      <c r="L1006" s="598" t="s">
        <v>321</v>
      </c>
      <c r="M1006" s="598" t="s">
        <v>3309</v>
      </c>
      <c r="N1006" s="598" t="s">
        <v>3309</v>
      </c>
      <c r="O1006" s="598" t="s">
        <v>3309</v>
      </c>
      <c r="P1006" s="598" t="s">
        <v>3309</v>
      </c>
      <c r="Q1006" s="598" t="s">
        <v>3309</v>
      </c>
      <c r="R1006" s="598" t="s">
        <v>321</v>
      </c>
      <c r="S1006" s="598" t="s">
        <v>321</v>
      </c>
      <c r="T1006" s="598" t="s">
        <v>3309</v>
      </c>
      <c r="U1006" s="598" t="s">
        <v>3309</v>
      </c>
      <c r="V1006" s="598" t="s">
        <v>3309</v>
      </c>
      <c r="W1006" s="598" t="s">
        <v>3309</v>
      </c>
      <c r="X1006" s="598" t="s">
        <v>3309</v>
      </c>
      <c r="Y1006" s="598" t="s">
        <v>321</v>
      </c>
      <c r="Z1006" s="598" t="s">
        <v>321</v>
      </c>
      <c r="AA1006" s="598" t="s">
        <v>3309</v>
      </c>
      <c r="AB1006" s="598" t="s">
        <v>3309</v>
      </c>
      <c r="AC1006" s="598" t="s">
        <v>3309</v>
      </c>
      <c r="AD1006" s="598" t="s">
        <v>3309</v>
      </c>
      <c r="AE1006" s="598" t="s">
        <v>3309</v>
      </c>
      <c r="AF1006" s="598" t="s">
        <v>321</v>
      </c>
      <c r="AG1006" s="598" t="s">
        <v>321</v>
      </c>
      <c r="AH1006" s="598" t="s">
        <v>3309</v>
      </c>
      <c r="AI1006" s="598" t="s">
        <v>321</v>
      </c>
      <c r="AJ1006" s="599">
        <v>21</v>
      </c>
      <c r="AK1006" s="600">
        <v>20</v>
      </c>
      <c r="AL1006" s="602">
        <v>1</v>
      </c>
      <c r="AM1006" s="601">
        <v>0</v>
      </c>
      <c r="AN1006" s="599">
        <v>21</v>
      </c>
    </row>
    <row r="1007" spans="1:40" ht="16.5" customHeight="1">
      <c r="A1007" s="598" t="s">
        <v>3337</v>
      </c>
      <c r="B1007" s="598" t="s">
        <v>3351</v>
      </c>
      <c r="C1007" s="598" t="s">
        <v>2792</v>
      </c>
      <c r="D1007" s="598" t="s">
        <v>2793</v>
      </c>
      <c r="E1007" s="598" t="s">
        <v>321</v>
      </c>
      <c r="F1007" s="598" t="s">
        <v>3309</v>
      </c>
      <c r="G1007" s="598" t="s">
        <v>3309</v>
      </c>
      <c r="H1007" s="598" t="s">
        <v>3309</v>
      </c>
      <c r="I1007" s="598" t="s">
        <v>3309</v>
      </c>
      <c r="J1007" s="598" t="s">
        <v>3309</v>
      </c>
      <c r="K1007" s="598" t="s">
        <v>321</v>
      </c>
      <c r="L1007" s="598" t="s">
        <v>321</v>
      </c>
      <c r="M1007" s="598" t="s">
        <v>3309</v>
      </c>
      <c r="N1007" s="598" t="s">
        <v>3309</v>
      </c>
      <c r="O1007" s="598" t="s">
        <v>3309</v>
      </c>
      <c r="P1007" s="598" t="s">
        <v>3309</v>
      </c>
      <c r="Q1007" s="598" t="s">
        <v>3309</v>
      </c>
      <c r="R1007" s="598" t="s">
        <v>321</v>
      </c>
      <c r="S1007" s="598" t="s">
        <v>321</v>
      </c>
      <c r="T1007" s="598" t="s">
        <v>3309</v>
      </c>
      <c r="U1007" s="598" t="s">
        <v>3309</v>
      </c>
      <c r="V1007" s="598" t="s">
        <v>3309</v>
      </c>
      <c r="W1007" s="598" t="s">
        <v>3309</v>
      </c>
      <c r="X1007" s="598" t="s">
        <v>3345</v>
      </c>
      <c r="Y1007" s="598" t="s">
        <v>321</v>
      </c>
      <c r="Z1007" s="598" t="s">
        <v>321</v>
      </c>
      <c r="AA1007" s="598" t="s">
        <v>3345</v>
      </c>
      <c r="AB1007" s="598" t="s">
        <v>3345</v>
      </c>
      <c r="AC1007" s="598" t="s">
        <v>3309</v>
      </c>
      <c r="AD1007" s="598" t="s">
        <v>3309</v>
      </c>
      <c r="AE1007" s="598" t="s">
        <v>3309</v>
      </c>
      <c r="AF1007" s="598" t="s">
        <v>321</v>
      </c>
      <c r="AG1007" s="598" t="s">
        <v>321</v>
      </c>
      <c r="AH1007" s="598" t="s">
        <v>3309</v>
      </c>
      <c r="AI1007" s="598" t="s">
        <v>321</v>
      </c>
      <c r="AJ1007" s="599">
        <v>21</v>
      </c>
      <c r="AK1007" s="600">
        <v>21</v>
      </c>
      <c r="AL1007" s="601">
        <v>0</v>
      </c>
      <c r="AM1007" s="601">
        <v>0</v>
      </c>
      <c r="AN1007" s="599">
        <v>21</v>
      </c>
    </row>
    <row r="1008" spans="1:40" ht="16.5" customHeight="1">
      <c r="A1008" s="598" t="s">
        <v>3337</v>
      </c>
      <c r="B1008" s="598" t="s">
        <v>3351</v>
      </c>
      <c r="C1008" s="598" t="s">
        <v>471</v>
      </c>
      <c r="D1008" s="598" t="s">
        <v>472</v>
      </c>
      <c r="E1008" s="598" t="s">
        <v>321</v>
      </c>
      <c r="F1008" s="598" t="s">
        <v>3309</v>
      </c>
      <c r="G1008" s="598" t="s">
        <v>3309</v>
      </c>
      <c r="H1008" s="598" t="s">
        <v>3309</v>
      </c>
      <c r="I1008" s="598" t="s">
        <v>3309</v>
      </c>
      <c r="J1008" s="598" t="s">
        <v>3309</v>
      </c>
      <c r="K1008" s="598" t="s">
        <v>321</v>
      </c>
      <c r="L1008" s="598" t="s">
        <v>321</v>
      </c>
      <c r="M1008" s="598" t="s">
        <v>3309</v>
      </c>
      <c r="N1008" s="598" t="s">
        <v>3309</v>
      </c>
      <c r="O1008" s="598" t="s">
        <v>3309</v>
      </c>
      <c r="P1008" s="598" t="s">
        <v>3309</v>
      </c>
      <c r="Q1008" s="598" t="s">
        <v>3309</v>
      </c>
      <c r="R1008" s="598" t="s">
        <v>321</v>
      </c>
      <c r="S1008" s="598" t="s">
        <v>321</v>
      </c>
      <c r="T1008" s="598" t="s">
        <v>3309</v>
      </c>
      <c r="U1008" s="598" t="s">
        <v>3309</v>
      </c>
      <c r="V1008" s="598" t="s">
        <v>3309</v>
      </c>
      <c r="W1008" s="598" t="s">
        <v>3309</v>
      </c>
      <c r="X1008" s="598" t="s">
        <v>3309</v>
      </c>
      <c r="Y1008" s="598" t="s">
        <v>321</v>
      </c>
      <c r="Z1008" s="598" t="s">
        <v>321</v>
      </c>
      <c r="AA1008" s="598" t="s">
        <v>3309</v>
      </c>
      <c r="AB1008" s="598" t="s">
        <v>3309</v>
      </c>
      <c r="AC1008" s="598" t="s">
        <v>3309</v>
      </c>
      <c r="AD1008" s="598" t="s">
        <v>3309</v>
      </c>
      <c r="AE1008" s="598" t="s">
        <v>3309</v>
      </c>
      <c r="AF1008" s="598" t="s">
        <v>321</v>
      </c>
      <c r="AG1008" s="598" t="s">
        <v>321</v>
      </c>
      <c r="AH1008" s="598" t="s">
        <v>3309</v>
      </c>
      <c r="AI1008" s="598" t="s">
        <v>321</v>
      </c>
      <c r="AJ1008" s="599">
        <v>21</v>
      </c>
      <c r="AK1008" s="600">
        <v>21</v>
      </c>
      <c r="AL1008" s="601">
        <v>0</v>
      </c>
      <c r="AM1008" s="601">
        <v>0</v>
      </c>
      <c r="AN1008" s="599">
        <v>21</v>
      </c>
    </row>
    <row r="1009" spans="1:40" ht="16.5" customHeight="1">
      <c r="A1009" s="598" t="s">
        <v>3337</v>
      </c>
      <c r="B1009" s="598" t="s">
        <v>3351</v>
      </c>
      <c r="C1009" s="598" t="s">
        <v>427</v>
      </c>
      <c r="D1009" s="598" t="s">
        <v>428</v>
      </c>
      <c r="E1009" s="598" t="s">
        <v>321</v>
      </c>
      <c r="F1009" s="598" t="s">
        <v>3309</v>
      </c>
      <c r="G1009" s="598" t="s">
        <v>3309</v>
      </c>
      <c r="H1009" s="598" t="s">
        <v>3309</v>
      </c>
      <c r="I1009" s="598" t="s">
        <v>3309</v>
      </c>
      <c r="J1009" s="598" t="s">
        <v>3309</v>
      </c>
      <c r="K1009" s="598" t="s">
        <v>321</v>
      </c>
      <c r="L1009" s="598" t="s">
        <v>321</v>
      </c>
      <c r="M1009" s="598" t="s">
        <v>3309</v>
      </c>
      <c r="N1009" s="598" t="s">
        <v>3309</v>
      </c>
      <c r="O1009" s="598" t="s">
        <v>3309</v>
      </c>
      <c r="P1009" s="598" t="s">
        <v>3309</v>
      </c>
      <c r="Q1009" s="598" t="s">
        <v>3309</v>
      </c>
      <c r="R1009" s="598" t="s">
        <v>321</v>
      </c>
      <c r="S1009" s="598" t="s">
        <v>321</v>
      </c>
      <c r="T1009" s="598" t="s">
        <v>3309</v>
      </c>
      <c r="U1009" s="598" t="s">
        <v>3309</v>
      </c>
      <c r="V1009" s="598" t="s">
        <v>3309</v>
      </c>
      <c r="W1009" s="598" t="s">
        <v>3309</v>
      </c>
      <c r="X1009" s="598" t="s">
        <v>3309</v>
      </c>
      <c r="Y1009" s="598" t="s">
        <v>321</v>
      </c>
      <c r="Z1009" s="598" t="s">
        <v>321</v>
      </c>
      <c r="AA1009" s="598" t="s">
        <v>3309</v>
      </c>
      <c r="AB1009" s="598" t="s">
        <v>3309</v>
      </c>
      <c r="AC1009" s="598" t="s">
        <v>3309</v>
      </c>
      <c r="AD1009" s="598" t="s">
        <v>3309</v>
      </c>
      <c r="AE1009" s="598" t="s">
        <v>3309</v>
      </c>
      <c r="AF1009" s="598" t="s">
        <v>321</v>
      </c>
      <c r="AG1009" s="598" t="s">
        <v>321</v>
      </c>
      <c r="AH1009" s="598" t="s">
        <v>3309</v>
      </c>
      <c r="AI1009" s="598" t="s">
        <v>321</v>
      </c>
      <c r="AJ1009" s="599">
        <v>21</v>
      </c>
      <c r="AK1009" s="600">
        <v>21</v>
      </c>
      <c r="AL1009" s="601">
        <v>0</v>
      </c>
      <c r="AM1009" s="601">
        <v>0</v>
      </c>
      <c r="AN1009" s="599">
        <v>21</v>
      </c>
    </row>
    <row r="1010" spans="1:40" ht="16.5" customHeight="1">
      <c r="A1010" s="598" t="s">
        <v>3337</v>
      </c>
      <c r="B1010" s="598" t="s">
        <v>3351</v>
      </c>
      <c r="C1010" s="598" t="s">
        <v>919</v>
      </c>
      <c r="D1010" s="598" t="s">
        <v>920</v>
      </c>
      <c r="E1010" s="598" t="s">
        <v>321</v>
      </c>
      <c r="F1010" s="598" t="s">
        <v>3309</v>
      </c>
      <c r="G1010" s="598" t="s">
        <v>3309</v>
      </c>
      <c r="H1010" s="598" t="s">
        <v>3309</v>
      </c>
      <c r="I1010" s="598" t="s">
        <v>3309</v>
      </c>
      <c r="J1010" s="598" t="s">
        <v>3309</v>
      </c>
      <c r="K1010" s="598" t="s">
        <v>321</v>
      </c>
      <c r="L1010" s="598" t="s">
        <v>321</v>
      </c>
      <c r="M1010" s="598" t="s">
        <v>3309</v>
      </c>
      <c r="N1010" s="598" t="s">
        <v>3309</v>
      </c>
      <c r="O1010" s="598" t="s">
        <v>3309</v>
      </c>
      <c r="P1010" s="598" t="s">
        <v>3309</v>
      </c>
      <c r="Q1010" s="598" t="s">
        <v>3309</v>
      </c>
      <c r="R1010" s="598" t="s">
        <v>321</v>
      </c>
      <c r="S1010" s="598" t="s">
        <v>321</v>
      </c>
      <c r="T1010" s="598" t="s">
        <v>3309</v>
      </c>
      <c r="U1010" s="598" t="s">
        <v>3309</v>
      </c>
      <c r="V1010" s="598" t="s">
        <v>3309</v>
      </c>
      <c r="W1010" s="598" t="s">
        <v>3309</v>
      </c>
      <c r="X1010" s="598" t="s">
        <v>3309</v>
      </c>
      <c r="Y1010" s="598" t="s">
        <v>321</v>
      </c>
      <c r="Z1010" s="598" t="s">
        <v>321</v>
      </c>
      <c r="AA1010" s="598" t="s">
        <v>3309</v>
      </c>
      <c r="AB1010" s="598" t="s">
        <v>3309</v>
      </c>
      <c r="AC1010" s="598" t="s">
        <v>3309</v>
      </c>
      <c r="AD1010" s="598" t="s">
        <v>3309</v>
      </c>
      <c r="AE1010" s="598" t="s">
        <v>3309</v>
      </c>
      <c r="AF1010" s="598" t="s">
        <v>321</v>
      </c>
      <c r="AG1010" s="598" t="s">
        <v>321</v>
      </c>
      <c r="AH1010" s="598" t="s">
        <v>3309</v>
      </c>
      <c r="AI1010" s="598" t="s">
        <v>321</v>
      </c>
      <c r="AJ1010" s="599">
        <v>21</v>
      </c>
      <c r="AK1010" s="600">
        <v>21</v>
      </c>
      <c r="AL1010" s="601">
        <v>0</v>
      </c>
      <c r="AM1010" s="601">
        <v>0</v>
      </c>
      <c r="AN1010" s="599">
        <v>21</v>
      </c>
    </row>
    <row r="1011" spans="1:40" ht="16.5" customHeight="1">
      <c r="A1011" s="598" t="s">
        <v>3337</v>
      </c>
      <c r="B1011" s="598" t="s">
        <v>3351</v>
      </c>
      <c r="C1011" s="598" t="s">
        <v>1121</v>
      </c>
      <c r="D1011" s="598" t="s">
        <v>1122</v>
      </c>
      <c r="E1011" s="598" t="s">
        <v>321</v>
      </c>
      <c r="F1011" s="598" t="s">
        <v>3309</v>
      </c>
      <c r="G1011" s="598" t="s">
        <v>3309</v>
      </c>
      <c r="H1011" s="598" t="s">
        <v>3309</v>
      </c>
      <c r="I1011" s="598" t="s">
        <v>3309</v>
      </c>
      <c r="J1011" s="598" t="s">
        <v>3309</v>
      </c>
      <c r="K1011" s="598" t="s">
        <v>321</v>
      </c>
      <c r="L1011" s="598" t="s">
        <v>321</v>
      </c>
      <c r="M1011" s="598" t="s">
        <v>3309</v>
      </c>
      <c r="N1011" s="598" t="s">
        <v>3309</v>
      </c>
      <c r="O1011" s="598" t="s">
        <v>3309</v>
      </c>
      <c r="P1011" s="598" t="s">
        <v>3309</v>
      </c>
      <c r="Q1011" s="598" t="s">
        <v>3309</v>
      </c>
      <c r="R1011" s="598" t="s">
        <v>321</v>
      </c>
      <c r="S1011" s="598" t="s">
        <v>321</v>
      </c>
      <c r="T1011" s="598" t="s">
        <v>3309</v>
      </c>
      <c r="U1011" s="598" t="s">
        <v>3309</v>
      </c>
      <c r="V1011" s="598" t="s">
        <v>3309</v>
      </c>
      <c r="W1011" s="598" t="s">
        <v>3309</v>
      </c>
      <c r="X1011" s="598" t="s">
        <v>3309</v>
      </c>
      <c r="Y1011" s="598" t="s">
        <v>321</v>
      </c>
      <c r="Z1011" s="598" t="s">
        <v>321</v>
      </c>
      <c r="AA1011" s="598" t="s">
        <v>3309</v>
      </c>
      <c r="AB1011" s="598" t="s">
        <v>3309</v>
      </c>
      <c r="AC1011" s="598" t="s">
        <v>3309</v>
      </c>
      <c r="AD1011" s="598" t="s">
        <v>3309</v>
      </c>
      <c r="AE1011" s="598" t="s">
        <v>3309</v>
      </c>
      <c r="AF1011" s="598" t="s">
        <v>321</v>
      </c>
      <c r="AG1011" s="598" t="s">
        <v>321</v>
      </c>
      <c r="AH1011" s="598" t="s">
        <v>3309</v>
      </c>
      <c r="AI1011" s="598" t="s">
        <v>321</v>
      </c>
      <c r="AJ1011" s="599">
        <v>21</v>
      </c>
      <c r="AK1011" s="600">
        <v>21</v>
      </c>
      <c r="AL1011" s="601">
        <v>0</v>
      </c>
      <c r="AM1011" s="601">
        <v>0</v>
      </c>
      <c r="AN1011" s="599">
        <v>21</v>
      </c>
    </row>
    <row r="1012" spans="1:40" ht="16.5" customHeight="1">
      <c r="A1012" s="598" t="s">
        <v>3337</v>
      </c>
      <c r="B1012" s="598" t="s">
        <v>3351</v>
      </c>
      <c r="C1012" s="598" t="s">
        <v>864</v>
      </c>
      <c r="D1012" s="598" t="s">
        <v>865</v>
      </c>
      <c r="E1012" s="598" t="s">
        <v>321</v>
      </c>
      <c r="F1012" s="598" t="s">
        <v>3309</v>
      </c>
      <c r="G1012" s="598" t="s">
        <v>3345</v>
      </c>
      <c r="H1012" s="598" t="s">
        <v>3309</v>
      </c>
      <c r="I1012" s="598" t="s">
        <v>3345</v>
      </c>
      <c r="J1012" s="598" t="s">
        <v>3309</v>
      </c>
      <c r="K1012" s="598" t="s">
        <v>321</v>
      </c>
      <c r="L1012" s="598" t="s">
        <v>321</v>
      </c>
      <c r="M1012" s="598" t="s">
        <v>3309</v>
      </c>
      <c r="N1012" s="598" t="s">
        <v>3345</v>
      </c>
      <c r="O1012" s="598" t="s">
        <v>3309</v>
      </c>
      <c r="P1012" s="598" t="s">
        <v>3345</v>
      </c>
      <c r="Q1012" s="598" t="s">
        <v>3309</v>
      </c>
      <c r="R1012" s="598" t="s">
        <v>321</v>
      </c>
      <c r="S1012" s="598" t="s">
        <v>321</v>
      </c>
      <c r="T1012" s="598" t="s">
        <v>3309</v>
      </c>
      <c r="U1012" s="598" t="s">
        <v>3345</v>
      </c>
      <c r="V1012" s="598" t="s">
        <v>3309</v>
      </c>
      <c r="W1012" s="598" t="s">
        <v>3345</v>
      </c>
      <c r="X1012" s="598" t="s">
        <v>3309</v>
      </c>
      <c r="Y1012" s="598" t="s">
        <v>321</v>
      </c>
      <c r="Z1012" s="598" t="s">
        <v>321</v>
      </c>
      <c r="AA1012" s="598" t="s">
        <v>3309</v>
      </c>
      <c r="AB1012" s="598" t="s">
        <v>3345</v>
      </c>
      <c r="AC1012" s="598" t="s">
        <v>3309</v>
      </c>
      <c r="AD1012" s="598" t="s">
        <v>3345</v>
      </c>
      <c r="AE1012" s="598" t="s">
        <v>3309</v>
      </c>
      <c r="AF1012" s="598" t="s">
        <v>321</v>
      </c>
      <c r="AG1012" s="598" t="s">
        <v>321</v>
      </c>
      <c r="AH1012" s="598" t="s">
        <v>3309</v>
      </c>
      <c r="AI1012" s="598" t="s">
        <v>321</v>
      </c>
      <c r="AJ1012" s="599">
        <v>21</v>
      </c>
      <c r="AK1012" s="600">
        <v>21</v>
      </c>
      <c r="AL1012" s="601">
        <v>0</v>
      </c>
      <c r="AM1012" s="601">
        <v>0</v>
      </c>
      <c r="AN1012" s="599">
        <v>21</v>
      </c>
    </row>
    <row r="1013" spans="1:40" ht="16.5" customHeight="1">
      <c r="A1013" s="598" t="s">
        <v>3337</v>
      </c>
      <c r="B1013" s="598" t="s">
        <v>3351</v>
      </c>
      <c r="C1013" s="598" t="s">
        <v>2662</v>
      </c>
      <c r="D1013" s="598" t="s">
        <v>2663</v>
      </c>
      <c r="E1013" s="598" t="s">
        <v>321</v>
      </c>
      <c r="F1013" s="598" t="s">
        <v>3309</v>
      </c>
      <c r="G1013" s="598" t="s">
        <v>3309</v>
      </c>
      <c r="H1013" s="598" t="s">
        <v>3309</v>
      </c>
      <c r="I1013" s="598" t="s">
        <v>3345</v>
      </c>
      <c r="J1013" s="598" t="s">
        <v>3309</v>
      </c>
      <c r="K1013" s="598" t="s">
        <v>321</v>
      </c>
      <c r="L1013" s="598" t="s">
        <v>321</v>
      </c>
      <c r="M1013" s="598" t="s">
        <v>3309</v>
      </c>
      <c r="N1013" s="598" t="s">
        <v>3345</v>
      </c>
      <c r="O1013" s="598" t="s">
        <v>3309</v>
      </c>
      <c r="P1013" s="598" t="s">
        <v>3345</v>
      </c>
      <c r="Q1013" s="598" t="s">
        <v>3309</v>
      </c>
      <c r="R1013" s="598" t="s">
        <v>321</v>
      </c>
      <c r="S1013" s="598" t="s">
        <v>321</v>
      </c>
      <c r="T1013" s="598" t="s">
        <v>3309</v>
      </c>
      <c r="U1013" s="598" t="s">
        <v>3345</v>
      </c>
      <c r="V1013" s="598" t="s">
        <v>3309</v>
      </c>
      <c r="W1013" s="598" t="s">
        <v>3345</v>
      </c>
      <c r="X1013" s="598" t="s">
        <v>3309</v>
      </c>
      <c r="Y1013" s="598" t="s">
        <v>321</v>
      </c>
      <c r="Z1013" s="598" t="s">
        <v>321</v>
      </c>
      <c r="AA1013" s="598" t="s">
        <v>3309</v>
      </c>
      <c r="AB1013" s="598" t="s">
        <v>3345</v>
      </c>
      <c r="AC1013" s="598" t="s">
        <v>3309</v>
      </c>
      <c r="AD1013" s="598" t="s">
        <v>3345</v>
      </c>
      <c r="AE1013" s="598" t="s">
        <v>3309</v>
      </c>
      <c r="AF1013" s="598" t="s">
        <v>321</v>
      </c>
      <c r="AG1013" s="598" t="s">
        <v>321</v>
      </c>
      <c r="AH1013" s="598" t="s">
        <v>3309</v>
      </c>
      <c r="AI1013" s="598" t="s">
        <v>321</v>
      </c>
      <c r="AJ1013" s="599">
        <v>21</v>
      </c>
      <c r="AK1013" s="600">
        <v>21</v>
      </c>
      <c r="AL1013" s="601">
        <v>0</v>
      </c>
      <c r="AM1013" s="601">
        <v>0</v>
      </c>
      <c r="AN1013" s="599">
        <v>21</v>
      </c>
    </row>
    <row r="1014" spans="1:40" ht="16.5" customHeight="1">
      <c r="A1014" s="598" t="s">
        <v>3337</v>
      </c>
      <c r="B1014" s="598" t="s">
        <v>3351</v>
      </c>
      <c r="C1014" s="598" t="s">
        <v>1125</v>
      </c>
      <c r="D1014" s="598" t="s">
        <v>1126</v>
      </c>
      <c r="E1014" s="598" t="s">
        <v>321</v>
      </c>
      <c r="F1014" s="598" t="s">
        <v>3309</v>
      </c>
      <c r="G1014" s="598" t="s">
        <v>3345</v>
      </c>
      <c r="H1014" s="598" t="s">
        <v>3309</v>
      </c>
      <c r="I1014" s="598" t="s">
        <v>3345</v>
      </c>
      <c r="J1014" s="598" t="s">
        <v>3309</v>
      </c>
      <c r="K1014" s="598" t="s">
        <v>321</v>
      </c>
      <c r="L1014" s="598" t="s">
        <v>321</v>
      </c>
      <c r="M1014" s="598" t="s">
        <v>3309</v>
      </c>
      <c r="N1014" s="598" t="s">
        <v>3345</v>
      </c>
      <c r="O1014" s="598" t="s">
        <v>3309</v>
      </c>
      <c r="P1014" s="598" t="s">
        <v>3309</v>
      </c>
      <c r="Q1014" s="598" t="s">
        <v>3309</v>
      </c>
      <c r="R1014" s="598" t="s">
        <v>321</v>
      </c>
      <c r="S1014" s="598" t="s">
        <v>321</v>
      </c>
      <c r="T1014" s="598" t="s">
        <v>3309</v>
      </c>
      <c r="U1014" s="598" t="s">
        <v>3309</v>
      </c>
      <c r="V1014" s="598" t="s">
        <v>3309</v>
      </c>
      <c r="W1014" s="598" t="s">
        <v>3309</v>
      </c>
      <c r="X1014" s="598" t="s">
        <v>3309</v>
      </c>
      <c r="Y1014" s="598" t="s">
        <v>321</v>
      </c>
      <c r="Z1014" s="598" t="s">
        <v>321</v>
      </c>
      <c r="AA1014" s="598" t="s">
        <v>3345</v>
      </c>
      <c r="AB1014" s="598" t="s">
        <v>3309</v>
      </c>
      <c r="AC1014" s="598" t="s">
        <v>3345</v>
      </c>
      <c r="AD1014" s="598" t="s">
        <v>3309</v>
      </c>
      <c r="AE1014" s="598" t="s">
        <v>3345</v>
      </c>
      <c r="AF1014" s="598" t="s">
        <v>321</v>
      </c>
      <c r="AG1014" s="598" t="s">
        <v>321</v>
      </c>
      <c r="AH1014" s="598" t="s">
        <v>3309</v>
      </c>
      <c r="AI1014" s="598" t="s">
        <v>321</v>
      </c>
      <c r="AJ1014" s="599">
        <v>21</v>
      </c>
      <c r="AK1014" s="600">
        <v>21</v>
      </c>
      <c r="AL1014" s="601">
        <v>0</v>
      </c>
      <c r="AM1014" s="601">
        <v>0</v>
      </c>
      <c r="AN1014" s="599">
        <v>21</v>
      </c>
    </row>
    <row r="1015" spans="1:40" ht="16.5" customHeight="1">
      <c r="A1015" s="598" t="s">
        <v>3337</v>
      </c>
      <c r="B1015" s="598" t="s">
        <v>3351</v>
      </c>
      <c r="C1015" s="598" t="s">
        <v>651</v>
      </c>
      <c r="D1015" s="598" t="s">
        <v>652</v>
      </c>
      <c r="E1015" s="598" t="s">
        <v>321</v>
      </c>
      <c r="F1015" s="598" t="s">
        <v>3312</v>
      </c>
      <c r="G1015" s="598" t="s">
        <v>3312</v>
      </c>
      <c r="H1015" s="598" t="s">
        <v>3312</v>
      </c>
      <c r="I1015" s="598" t="s">
        <v>3309</v>
      </c>
      <c r="J1015" s="598" t="s">
        <v>3309</v>
      </c>
      <c r="K1015" s="598" t="s">
        <v>321</v>
      </c>
      <c r="L1015" s="598" t="s">
        <v>321</v>
      </c>
      <c r="M1015" s="598" t="s">
        <v>3309</v>
      </c>
      <c r="N1015" s="598" t="s">
        <v>3309</v>
      </c>
      <c r="O1015" s="598" t="s">
        <v>3309</v>
      </c>
      <c r="P1015" s="598" t="s">
        <v>3309</v>
      </c>
      <c r="Q1015" s="598" t="s">
        <v>3309</v>
      </c>
      <c r="R1015" s="598" t="s">
        <v>321</v>
      </c>
      <c r="S1015" s="598" t="s">
        <v>321</v>
      </c>
      <c r="T1015" s="598" t="s">
        <v>3309</v>
      </c>
      <c r="U1015" s="598" t="s">
        <v>3309</v>
      </c>
      <c r="V1015" s="598" t="s">
        <v>3309</v>
      </c>
      <c r="W1015" s="598" t="s">
        <v>3309</v>
      </c>
      <c r="X1015" s="598" t="s">
        <v>3309</v>
      </c>
      <c r="Y1015" s="598" t="s">
        <v>321</v>
      </c>
      <c r="Z1015" s="598" t="s">
        <v>321</v>
      </c>
      <c r="AA1015" s="598" t="s">
        <v>3309</v>
      </c>
      <c r="AB1015" s="598" t="s">
        <v>3309</v>
      </c>
      <c r="AC1015" s="598" t="s">
        <v>3309</v>
      </c>
      <c r="AD1015" s="598" t="s">
        <v>3309</v>
      </c>
      <c r="AE1015" s="598" t="s">
        <v>3309</v>
      </c>
      <c r="AF1015" s="598" t="s">
        <v>321</v>
      </c>
      <c r="AG1015" s="598" t="s">
        <v>321</v>
      </c>
      <c r="AH1015" s="598" t="s">
        <v>3309</v>
      </c>
      <c r="AI1015" s="598" t="s">
        <v>321</v>
      </c>
      <c r="AJ1015" s="599">
        <v>21</v>
      </c>
      <c r="AK1015" s="600">
        <v>18</v>
      </c>
      <c r="AL1015" s="602">
        <v>3</v>
      </c>
      <c r="AM1015" s="601">
        <v>0</v>
      </c>
      <c r="AN1015" s="599">
        <v>21</v>
      </c>
    </row>
    <row r="1016" spans="1:40" ht="16.5" customHeight="1">
      <c r="A1016" s="598" t="s">
        <v>3337</v>
      </c>
      <c r="B1016" s="598" t="s">
        <v>3351</v>
      </c>
      <c r="C1016" s="598" t="s">
        <v>886</v>
      </c>
      <c r="D1016" s="598" t="s">
        <v>887</v>
      </c>
      <c r="E1016" s="598" t="s">
        <v>321</v>
      </c>
      <c r="F1016" s="598" t="s">
        <v>3309</v>
      </c>
      <c r="G1016" s="598" t="s">
        <v>3309</v>
      </c>
      <c r="H1016" s="598" t="s">
        <v>3309</v>
      </c>
      <c r="I1016" s="598" t="s">
        <v>3309</v>
      </c>
      <c r="J1016" s="598" t="s">
        <v>3309</v>
      </c>
      <c r="K1016" s="598" t="s">
        <v>321</v>
      </c>
      <c r="L1016" s="598" t="s">
        <v>321</v>
      </c>
      <c r="M1016" s="598" t="s">
        <v>3309</v>
      </c>
      <c r="N1016" s="598" t="s">
        <v>3309</v>
      </c>
      <c r="O1016" s="598" t="s">
        <v>3309</v>
      </c>
      <c r="P1016" s="598" t="s">
        <v>3309</v>
      </c>
      <c r="Q1016" s="598" t="s">
        <v>3309</v>
      </c>
      <c r="R1016" s="598" t="s">
        <v>321</v>
      </c>
      <c r="S1016" s="598" t="s">
        <v>321</v>
      </c>
      <c r="T1016" s="598" t="s">
        <v>3309</v>
      </c>
      <c r="U1016" s="598" t="s">
        <v>3309</v>
      </c>
      <c r="V1016" s="598" t="s">
        <v>3309</v>
      </c>
      <c r="W1016" s="598" t="s">
        <v>3309</v>
      </c>
      <c r="X1016" s="598" t="s">
        <v>3309</v>
      </c>
      <c r="Y1016" s="598" t="s">
        <v>321</v>
      </c>
      <c r="Z1016" s="598" t="s">
        <v>321</v>
      </c>
      <c r="AA1016" s="598" t="s">
        <v>3309</v>
      </c>
      <c r="AB1016" s="598" t="s">
        <v>3309</v>
      </c>
      <c r="AC1016" s="598" t="s">
        <v>3309</v>
      </c>
      <c r="AD1016" s="598" t="s">
        <v>3309</v>
      </c>
      <c r="AE1016" s="598" t="s">
        <v>3309</v>
      </c>
      <c r="AF1016" s="598" t="s">
        <v>321</v>
      </c>
      <c r="AG1016" s="598" t="s">
        <v>321</v>
      </c>
      <c r="AH1016" s="598" t="s">
        <v>3309</v>
      </c>
      <c r="AI1016" s="598" t="s">
        <v>321</v>
      </c>
      <c r="AJ1016" s="599">
        <v>21</v>
      </c>
      <c r="AK1016" s="600">
        <v>21</v>
      </c>
      <c r="AL1016" s="601">
        <v>0</v>
      </c>
      <c r="AM1016" s="601">
        <v>0</v>
      </c>
      <c r="AN1016" s="599">
        <v>21</v>
      </c>
    </row>
    <row r="1017" spans="1:40" ht="16.5" customHeight="1">
      <c r="A1017" s="598" t="s">
        <v>3353</v>
      </c>
      <c r="B1017" s="598" t="s">
        <v>3354</v>
      </c>
      <c r="C1017" s="598" t="s">
        <v>475</v>
      </c>
      <c r="D1017" s="598" t="s">
        <v>476</v>
      </c>
      <c r="E1017" s="598" t="s">
        <v>321</v>
      </c>
      <c r="F1017" s="598" t="s">
        <v>3309</v>
      </c>
      <c r="G1017" s="598" t="s">
        <v>3309</v>
      </c>
      <c r="H1017" s="598" t="s">
        <v>3309</v>
      </c>
      <c r="I1017" s="598" t="s">
        <v>3309</v>
      </c>
      <c r="J1017" s="598" t="s">
        <v>3309</v>
      </c>
      <c r="K1017" s="598" t="s">
        <v>321</v>
      </c>
      <c r="L1017" s="598" t="s">
        <v>321</v>
      </c>
      <c r="M1017" s="598" t="s">
        <v>3309</v>
      </c>
      <c r="N1017" s="598" t="s">
        <v>3309</v>
      </c>
      <c r="O1017" s="598" t="s">
        <v>3309</v>
      </c>
      <c r="P1017" s="598" t="s">
        <v>3309</v>
      </c>
      <c r="Q1017" s="598" t="s">
        <v>3309</v>
      </c>
      <c r="R1017" s="598" t="s">
        <v>321</v>
      </c>
      <c r="S1017" s="598" t="s">
        <v>321</v>
      </c>
      <c r="T1017" s="598" t="s">
        <v>3309</v>
      </c>
      <c r="U1017" s="598" t="s">
        <v>3309</v>
      </c>
      <c r="V1017" s="598" t="s">
        <v>3309</v>
      </c>
      <c r="W1017" s="598" t="s">
        <v>3309</v>
      </c>
      <c r="X1017" s="598" t="s">
        <v>3309</v>
      </c>
      <c r="Y1017" s="598" t="s">
        <v>321</v>
      </c>
      <c r="Z1017" s="598" t="s">
        <v>321</v>
      </c>
      <c r="AA1017" s="598" t="s">
        <v>3309</v>
      </c>
      <c r="AB1017" s="598" t="s">
        <v>3309</v>
      </c>
      <c r="AC1017" s="598" t="s">
        <v>3309</v>
      </c>
      <c r="AD1017" s="598" t="s">
        <v>3309</v>
      </c>
      <c r="AE1017" s="598" t="s">
        <v>3309</v>
      </c>
      <c r="AF1017" s="598" t="s">
        <v>321</v>
      </c>
      <c r="AG1017" s="598" t="s">
        <v>321</v>
      </c>
      <c r="AH1017" s="598" t="s">
        <v>3309</v>
      </c>
      <c r="AI1017" s="598" t="s">
        <v>321</v>
      </c>
      <c r="AJ1017" s="599">
        <v>21</v>
      </c>
      <c r="AK1017" s="600">
        <v>21</v>
      </c>
      <c r="AL1017" s="601">
        <v>0</v>
      </c>
      <c r="AM1017" s="601">
        <v>0</v>
      </c>
      <c r="AN1017" s="599">
        <v>21</v>
      </c>
    </row>
    <row r="1018" spans="1:40" ht="16.5" customHeight="1">
      <c r="A1018" s="598" t="s">
        <v>3353</v>
      </c>
      <c r="B1018" s="598" t="s">
        <v>3355</v>
      </c>
      <c r="C1018" s="598" t="s">
        <v>1261</v>
      </c>
      <c r="D1018" s="598" t="s">
        <v>1262</v>
      </c>
      <c r="E1018" s="598" t="s">
        <v>321</v>
      </c>
      <c r="F1018" s="598" t="s">
        <v>3309</v>
      </c>
      <c r="G1018" s="598" t="s">
        <v>3309</v>
      </c>
      <c r="H1018" s="598" t="s">
        <v>3309</v>
      </c>
      <c r="I1018" s="598" t="s">
        <v>3309</v>
      </c>
      <c r="J1018" s="598" t="s">
        <v>3309</v>
      </c>
      <c r="K1018" s="598" t="s">
        <v>321</v>
      </c>
      <c r="L1018" s="598" t="s">
        <v>321</v>
      </c>
      <c r="M1018" s="598" t="s">
        <v>3309</v>
      </c>
      <c r="N1018" s="598" t="s">
        <v>3309</v>
      </c>
      <c r="O1018" s="598" t="s">
        <v>3309</v>
      </c>
      <c r="P1018" s="598" t="s">
        <v>3312</v>
      </c>
      <c r="Q1018" s="598" t="s">
        <v>3309</v>
      </c>
      <c r="R1018" s="598" t="s">
        <v>321</v>
      </c>
      <c r="S1018" s="598" t="s">
        <v>321</v>
      </c>
      <c r="T1018" s="598" t="s">
        <v>3312</v>
      </c>
      <c r="U1018" s="598" t="s">
        <v>3309</v>
      </c>
      <c r="V1018" s="598" t="s">
        <v>3309</v>
      </c>
      <c r="W1018" s="598" t="s">
        <v>3309</v>
      </c>
      <c r="X1018" s="598" t="s">
        <v>3309</v>
      </c>
      <c r="Y1018" s="598" t="s">
        <v>321</v>
      </c>
      <c r="Z1018" s="598" t="s">
        <v>321</v>
      </c>
      <c r="AA1018" s="598" t="s">
        <v>3309</v>
      </c>
      <c r="AB1018" s="598" t="s">
        <v>3309</v>
      </c>
      <c r="AC1018" s="598" t="s">
        <v>3309</v>
      </c>
      <c r="AD1018" s="598" t="s">
        <v>3309</v>
      </c>
      <c r="AE1018" s="598" t="s">
        <v>3309</v>
      </c>
      <c r="AF1018" s="598" t="s">
        <v>321</v>
      </c>
      <c r="AG1018" s="598" t="s">
        <v>321</v>
      </c>
      <c r="AH1018" s="598" t="s">
        <v>3309</v>
      </c>
      <c r="AI1018" s="598" t="s">
        <v>321</v>
      </c>
      <c r="AJ1018" s="599">
        <v>21</v>
      </c>
      <c r="AK1018" s="600">
        <v>19</v>
      </c>
      <c r="AL1018" s="602">
        <v>2</v>
      </c>
      <c r="AM1018" s="601">
        <v>0</v>
      </c>
      <c r="AN1018" s="599">
        <v>21</v>
      </c>
    </row>
    <row r="1019" spans="1:40" ht="16.5" customHeight="1">
      <c r="A1019" s="598" t="s">
        <v>3353</v>
      </c>
      <c r="B1019" s="598" t="s">
        <v>3355</v>
      </c>
      <c r="C1019" s="598" t="s">
        <v>1492</v>
      </c>
      <c r="D1019" s="598" t="s">
        <v>1493</v>
      </c>
      <c r="E1019" s="598" t="s">
        <v>321</v>
      </c>
      <c r="F1019" s="598" t="s">
        <v>3309</v>
      </c>
      <c r="G1019" s="598" t="s">
        <v>3309</v>
      </c>
      <c r="H1019" s="598" t="s">
        <v>3309</v>
      </c>
      <c r="I1019" s="598" t="s">
        <v>3309</v>
      </c>
      <c r="J1019" s="598" t="s">
        <v>3309</v>
      </c>
      <c r="K1019" s="598" t="s">
        <v>321</v>
      </c>
      <c r="L1019" s="598" t="s">
        <v>321</v>
      </c>
      <c r="M1019" s="598" t="s">
        <v>3309</v>
      </c>
      <c r="N1019" s="598" t="s">
        <v>3309</v>
      </c>
      <c r="O1019" s="598" t="s">
        <v>3309</v>
      </c>
      <c r="P1019" s="598" t="s">
        <v>3309</v>
      </c>
      <c r="Q1019" s="598" t="s">
        <v>3309</v>
      </c>
      <c r="R1019" s="598" t="s">
        <v>321</v>
      </c>
      <c r="S1019" s="598" t="s">
        <v>321</v>
      </c>
      <c r="T1019" s="598" t="s">
        <v>3309</v>
      </c>
      <c r="U1019" s="598" t="s">
        <v>3309</v>
      </c>
      <c r="V1019" s="598" t="s">
        <v>3309</v>
      </c>
      <c r="W1019" s="598" t="s">
        <v>3309</v>
      </c>
      <c r="X1019" s="598" t="s">
        <v>3309</v>
      </c>
      <c r="Y1019" s="598" t="s">
        <v>321</v>
      </c>
      <c r="Z1019" s="598" t="s">
        <v>321</v>
      </c>
      <c r="AA1019" s="598" t="s">
        <v>3309</v>
      </c>
      <c r="AB1019" s="598" t="s">
        <v>3309</v>
      </c>
      <c r="AC1019" s="598" t="s">
        <v>3309</v>
      </c>
      <c r="AD1019" s="598" t="s">
        <v>3309</v>
      </c>
      <c r="AE1019" s="598" t="s">
        <v>3309</v>
      </c>
      <c r="AF1019" s="598" t="s">
        <v>321</v>
      </c>
      <c r="AG1019" s="598" t="s">
        <v>321</v>
      </c>
      <c r="AH1019" s="598" t="s">
        <v>3309</v>
      </c>
      <c r="AI1019" s="598" t="s">
        <v>321</v>
      </c>
      <c r="AJ1019" s="599">
        <v>21</v>
      </c>
      <c r="AK1019" s="600">
        <v>21</v>
      </c>
      <c r="AL1019" s="601">
        <v>0</v>
      </c>
      <c r="AM1019" s="601">
        <v>0</v>
      </c>
      <c r="AN1019" s="599">
        <v>21</v>
      </c>
    </row>
    <row r="1020" spans="1:40" ht="16.5" customHeight="1">
      <c r="A1020" s="598" t="s">
        <v>3353</v>
      </c>
      <c r="B1020" s="598" t="s">
        <v>3355</v>
      </c>
      <c r="C1020" s="598" t="s">
        <v>2271</v>
      </c>
      <c r="D1020" s="598" t="s">
        <v>323</v>
      </c>
      <c r="E1020" s="598" t="s">
        <v>321</v>
      </c>
      <c r="F1020" s="598" t="s">
        <v>3309</v>
      </c>
      <c r="G1020" s="598" t="s">
        <v>3309</v>
      </c>
      <c r="H1020" s="598" t="s">
        <v>3309</v>
      </c>
      <c r="I1020" s="598" t="s">
        <v>3313</v>
      </c>
      <c r="J1020" s="598" t="s">
        <v>3313</v>
      </c>
      <c r="K1020" s="598" t="s">
        <v>321</v>
      </c>
      <c r="L1020" s="598" t="s">
        <v>321</v>
      </c>
      <c r="M1020" s="598" t="s">
        <v>3309</v>
      </c>
      <c r="N1020" s="598" t="s">
        <v>3309</v>
      </c>
      <c r="O1020" s="598" t="s">
        <v>3309</v>
      </c>
      <c r="P1020" s="598" t="s">
        <v>3309</v>
      </c>
      <c r="Q1020" s="598" t="s">
        <v>3309</v>
      </c>
      <c r="R1020" s="598" t="s">
        <v>321</v>
      </c>
      <c r="S1020" s="598" t="s">
        <v>321</v>
      </c>
      <c r="T1020" s="598" t="s">
        <v>3309</v>
      </c>
      <c r="U1020" s="598" t="s">
        <v>3309</v>
      </c>
      <c r="V1020" s="598" t="s">
        <v>3309</v>
      </c>
      <c r="W1020" s="598" t="s">
        <v>3309</v>
      </c>
      <c r="X1020" s="598" t="s">
        <v>3309</v>
      </c>
      <c r="Y1020" s="598" t="s">
        <v>321</v>
      </c>
      <c r="Z1020" s="598" t="s">
        <v>321</v>
      </c>
      <c r="AA1020" s="598" t="s">
        <v>3309</v>
      </c>
      <c r="AB1020" s="598" t="s">
        <v>3309</v>
      </c>
      <c r="AC1020" s="598" t="s">
        <v>3309</v>
      </c>
      <c r="AD1020" s="598" t="s">
        <v>3309</v>
      </c>
      <c r="AE1020" s="598" t="s">
        <v>3309</v>
      </c>
      <c r="AF1020" s="598" t="s">
        <v>321</v>
      </c>
      <c r="AG1020" s="598" t="s">
        <v>321</v>
      </c>
      <c r="AH1020" s="598" t="s">
        <v>3309</v>
      </c>
      <c r="AI1020" s="598" t="s">
        <v>321</v>
      </c>
      <c r="AJ1020" s="599">
        <v>21</v>
      </c>
      <c r="AK1020" s="600">
        <v>21</v>
      </c>
      <c r="AL1020" s="601">
        <v>0</v>
      </c>
      <c r="AM1020" s="601">
        <v>0</v>
      </c>
      <c r="AN1020" s="599">
        <v>21</v>
      </c>
    </row>
    <row r="1021" spans="1:40" ht="16.5" customHeight="1">
      <c r="A1021" s="598" t="s">
        <v>3353</v>
      </c>
      <c r="B1021" s="598" t="s">
        <v>3355</v>
      </c>
      <c r="C1021" s="598" t="s">
        <v>439</v>
      </c>
      <c r="D1021" s="598" t="s">
        <v>440</v>
      </c>
      <c r="E1021" s="598" t="s">
        <v>321</v>
      </c>
      <c r="F1021" s="598" t="s">
        <v>3309</v>
      </c>
      <c r="G1021" s="598" t="s">
        <v>3309</v>
      </c>
      <c r="H1021" s="598" t="s">
        <v>3309</v>
      </c>
      <c r="I1021" s="598" t="s">
        <v>3309</v>
      </c>
      <c r="J1021" s="598" t="s">
        <v>3309</v>
      </c>
      <c r="K1021" s="598" t="s">
        <v>321</v>
      </c>
      <c r="L1021" s="598" t="s">
        <v>321</v>
      </c>
      <c r="M1021" s="598" t="s">
        <v>3309</v>
      </c>
      <c r="N1021" s="598" t="s">
        <v>3309</v>
      </c>
      <c r="O1021" s="598" t="s">
        <v>3309</v>
      </c>
      <c r="P1021" s="598" t="s">
        <v>3312</v>
      </c>
      <c r="Q1021" s="598" t="s">
        <v>3309</v>
      </c>
      <c r="R1021" s="598" t="s">
        <v>321</v>
      </c>
      <c r="S1021" s="598" t="s">
        <v>321</v>
      </c>
      <c r="T1021" s="598" t="s">
        <v>3309</v>
      </c>
      <c r="U1021" s="598" t="s">
        <v>3312</v>
      </c>
      <c r="V1021" s="598" t="s">
        <v>3309</v>
      </c>
      <c r="W1021" s="598" t="s">
        <v>3309</v>
      </c>
      <c r="X1021" s="598" t="s">
        <v>3309</v>
      </c>
      <c r="Y1021" s="598" t="s">
        <v>321</v>
      </c>
      <c r="Z1021" s="598" t="s">
        <v>321</v>
      </c>
      <c r="AA1021" s="598" t="s">
        <v>3309</v>
      </c>
      <c r="AB1021" s="598" t="s">
        <v>3309</v>
      </c>
      <c r="AC1021" s="598" t="s">
        <v>3309</v>
      </c>
      <c r="AD1021" s="598" t="s">
        <v>3314</v>
      </c>
      <c r="AE1021" s="598" t="s">
        <v>3309</v>
      </c>
      <c r="AF1021" s="598" t="s">
        <v>321</v>
      </c>
      <c r="AG1021" s="598" t="s">
        <v>321</v>
      </c>
      <c r="AH1021" s="598" t="s">
        <v>3309</v>
      </c>
      <c r="AI1021" s="598" t="s">
        <v>321</v>
      </c>
      <c r="AJ1021" s="599">
        <v>21</v>
      </c>
      <c r="AK1021" s="603">
        <v>18.5</v>
      </c>
      <c r="AL1021" s="603">
        <v>2.5</v>
      </c>
      <c r="AM1021" s="601">
        <v>0</v>
      </c>
      <c r="AN1021" s="599">
        <v>21</v>
      </c>
    </row>
    <row r="1022" spans="1:40" ht="16.5" customHeight="1">
      <c r="A1022" s="598" t="s">
        <v>3353</v>
      </c>
      <c r="B1022" s="598" t="s">
        <v>3355</v>
      </c>
      <c r="C1022" s="598" t="s">
        <v>2121</v>
      </c>
      <c r="D1022" s="598" t="s">
        <v>2122</v>
      </c>
      <c r="E1022" s="598" t="s">
        <v>321</v>
      </c>
      <c r="F1022" s="598" t="s">
        <v>3309</v>
      </c>
      <c r="G1022" s="598" t="s">
        <v>3309</v>
      </c>
      <c r="H1022" s="598" t="s">
        <v>3309</v>
      </c>
      <c r="I1022" s="598" t="s">
        <v>3309</v>
      </c>
      <c r="J1022" s="598" t="s">
        <v>3309</v>
      </c>
      <c r="K1022" s="598" t="s">
        <v>321</v>
      </c>
      <c r="L1022" s="598" t="s">
        <v>321</v>
      </c>
      <c r="M1022" s="598" t="s">
        <v>3309</v>
      </c>
      <c r="N1022" s="598" t="s">
        <v>3309</v>
      </c>
      <c r="O1022" s="598" t="s">
        <v>3309</v>
      </c>
      <c r="P1022" s="598" t="s">
        <v>3309</v>
      </c>
      <c r="Q1022" s="598" t="s">
        <v>3309</v>
      </c>
      <c r="R1022" s="598" t="s">
        <v>321</v>
      </c>
      <c r="S1022" s="598" t="s">
        <v>321</v>
      </c>
      <c r="T1022" s="598" t="s">
        <v>3309</v>
      </c>
      <c r="U1022" s="598" t="s">
        <v>3309</v>
      </c>
      <c r="V1022" s="598" t="s">
        <v>3309</v>
      </c>
      <c r="W1022" s="598" t="s">
        <v>3309</v>
      </c>
      <c r="X1022" s="598" t="s">
        <v>3309</v>
      </c>
      <c r="Y1022" s="598" t="s">
        <v>321</v>
      </c>
      <c r="Z1022" s="598" t="s">
        <v>321</v>
      </c>
      <c r="AA1022" s="598" t="s">
        <v>3309</v>
      </c>
      <c r="AB1022" s="598" t="s">
        <v>3309</v>
      </c>
      <c r="AC1022" s="598" t="s">
        <v>3309</v>
      </c>
      <c r="AD1022" s="598" t="s">
        <v>3309</v>
      </c>
      <c r="AE1022" s="598" t="s">
        <v>3312</v>
      </c>
      <c r="AF1022" s="598" t="s">
        <v>321</v>
      </c>
      <c r="AG1022" s="598" t="s">
        <v>321</v>
      </c>
      <c r="AH1022" s="598" t="s">
        <v>3309</v>
      </c>
      <c r="AI1022" s="598" t="s">
        <v>321</v>
      </c>
      <c r="AJ1022" s="599">
        <v>21</v>
      </c>
      <c r="AK1022" s="600">
        <v>20</v>
      </c>
      <c r="AL1022" s="602">
        <v>1</v>
      </c>
      <c r="AM1022" s="601">
        <v>0</v>
      </c>
      <c r="AN1022" s="599">
        <v>21</v>
      </c>
    </row>
    <row r="1023" spans="1:40" ht="16.5" customHeight="1">
      <c r="A1023" s="598" t="s">
        <v>3353</v>
      </c>
      <c r="B1023" s="598" t="s">
        <v>3356</v>
      </c>
      <c r="C1023" s="598" t="s">
        <v>1678</v>
      </c>
      <c r="D1023" s="598" t="s">
        <v>1679</v>
      </c>
      <c r="E1023" s="598" t="s">
        <v>321</v>
      </c>
      <c r="F1023" s="598" t="s">
        <v>3309</v>
      </c>
      <c r="G1023" s="598" t="s">
        <v>3309</v>
      </c>
      <c r="H1023" s="598" t="s">
        <v>3309</v>
      </c>
      <c r="I1023" s="598" t="s">
        <v>3309</v>
      </c>
      <c r="J1023" s="598" t="s">
        <v>3309</v>
      </c>
      <c r="K1023" s="598" t="s">
        <v>321</v>
      </c>
      <c r="L1023" s="598" t="s">
        <v>321</v>
      </c>
      <c r="M1023" s="598" t="s">
        <v>3309</v>
      </c>
      <c r="N1023" s="598" t="s">
        <v>3309</v>
      </c>
      <c r="O1023" s="598" t="s">
        <v>3309</v>
      </c>
      <c r="P1023" s="598" t="s">
        <v>3309</v>
      </c>
      <c r="Q1023" s="598" t="s">
        <v>3309</v>
      </c>
      <c r="R1023" s="598" t="s">
        <v>321</v>
      </c>
      <c r="S1023" s="598" t="s">
        <v>321</v>
      </c>
      <c r="T1023" s="598" t="s">
        <v>3309</v>
      </c>
      <c r="U1023" s="598" t="s">
        <v>3309</v>
      </c>
      <c r="V1023" s="598" t="s">
        <v>3309</v>
      </c>
      <c r="W1023" s="598" t="s">
        <v>3309</v>
      </c>
      <c r="X1023" s="598" t="s">
        <v>3309</v>
      </c>
      <c r="Y1023" s="598" t="s">
        <v>321</v>
      </c>
      <c r="Z1023" s="598" t="s">
        <v>321</v>
      </c>
      <c r="AA1023" s="598" t="s">
        <v>3309</v>
      </c>
      <c r="AB1023" s="598" t="s">
        <v>3309</v>
      </c>
      <c r="AC1023" s="598" t="s">
        <v>3309</v>
      </c>
      <c r="AD1023" s="598" t="s">
        <v>3309</v>
      </c>
      <c r="AE1023" s="598" t="s">
        <v>3309</v>
      </c>
      <c r="AF1023" s="598" t="s">
        <v>321</v>
      </c>
      <c r="AG1023" s="598" t="s">
        <v>321</v>
      </c>
      <c r="AH1023" s="598" t="s">
        <v>3309</v>
      </c>
      <c r="AI1023" s="598" t="s">
        <v>321</v>
      </c>
      <c r="AJ1023" s="599">
        <v>21</v>
      </c>
      <c r="AK1023" s="600">
        <v>21</v>
      </c>
      <c r="AL1023" s="601">
        <v>0</v>
      </c>
      <c r="AM1023" s="601">
        <v>0</v>
      </c>
      <c r="AN1023" s="599">
        <v>21</v>
      </c>
    </row>
    <row r="1024" spans="1:40" ht="16.5" customHeight="1">
      <c r="A1024" s="598" t="s">
        <v>3353</v>
      </c>
      <c r="B1024" s="598" t="s">
        <v>3356</v>
      </c>
      <c r="C1024" s="598" t="s">
        <v>1119</v>
      </c>
      <c r="D1024" s="598" t="s">
        <v>1120</v>
      </c>
      <c r="E1024" s="598" t="s">
        <v>321</v>
      </c>
      <c r="F1024" s="598" t="s">
        <v>3309</v>
      </c>
      <c r="G1024" s="598" t="s">
        <v>3309</v>
      </c>
      <c r="H1024" s="598" t="s">
        <v>3309</v>
      </c>
      <c r="I1024" s="598" t="s">
        <v>3309</v>
      </c>
      <c r="J1024" s="598" t="s">
        <v>3309</v>
      </c>
      <c r="K1024" s="598" t="s">
        <v>321</v>
      </c>
      <c r="L1024" s="598" t="s">
        <v>321</v>
      </c>
      <c r="M1024" s="598" t="s">
        <v>3309</v>
      </c>
      <c r="N1024" s="598" t="s">
        <v>3309</v>
      </c>
      <c r="O1024" s="598" t="s">
        <v>3309</v>
      </c>
      <c r="P1024" s="598" t="s">
        <v>3309</v>
      </c>
      <c r="Q1024" s="598" t="s">
        <v>3309</v>
      </c>
      <c r="R1024" s="598" t="s">
        <v>321</v>
      </c>
      <c r="S1024" s="598" t="s">
        <v>321</v>
      </c>
      <c r="T1024" s="598" t="s">
        <v>3309</v>
      </c>
      <c r="U1024" s="598" t="s">
        <v>3309</v>
      </c>
      <c r="V1024" s="598" t="s">
        <v>3309</v>
      </c>
      <c r="W1024" s="598" t="s">
        <v>3309</v>
      </c>
      <c r="X1024" s="598" t="s">
        <v>3309</v>
      </c>
      <c r="Y1024" s="598" t="s">
        <v>321</v>
      </c>
      <c r="Z1024" s="598" t="s">
        <v>321</v>
      </c>
      <c r="AA1024" s="598" t="s">
        <v>3309</v>
      </c>
      <c r="AB1024" s="598" t="s">
        <v>3309</v>
      </c>
      <c r="AC1024" s="598" t="s">
        <v>3309</v>
      </c>
      <c r="AD1024" s="598" t="s">
        <v>3309</v>
      </c>
      <c r="AE1024" s="598" t="s">
        <v>3309</v>
      </c>
      <c r="AF1024" s="598" t="s">
        <v>321</v>
      </c>
      <c r="AG1024" s="598" t="s">
        <v>321</v>
      </c>
      <c r="AH1024" s="598" t="s">
        <v>3309</v>
      </c>
      <c r="AI1024" s="598" t="s">
        <v>321</v>
      </c>
      <c r="AJ1024" s="599">
        <v>21</v>
      </c>
      <c r="AK1024" s="600">
        <v>21</v>
      </c>
      <c r="AL1024" s="601">
        <v>0</v>
      </c>
      <c r="AM1024" s="601">
        <v>0</v>
      </c>
      <c r="AN1024" s="599">
        <v>21</v>
      </c>
    </row>
    <row r="1025" spans="1:40" ht="16.5" customHeight="1">
      <c r="A1025" s="598" t="s">
        <v>3353</v>
      </c>
      <c r="B1025" s="598" t="s">
        <v>3356</v>
      </c>
      <c r="C1025" s="598" t="s">
        <v>2053</v>
      </c>
      <c r="D1025" s="598" t="s">
        <v>2054</v>
      </c>
      <c r="E1025" s="598" t="s">
        <v>321</v>
      </c>
      <c r="F1025" s="598" t="s">
        <v>3309</v>
      </c>
      <c r="G1025" s="598" t="s">
        <v>3309</v>
      </c>
      <c r="H1025" s="598" t="s">
        <v>3309</v>
      </c>
      <c r="I1025" s="598" t="s">
        <v>3309</v>
      </c>
      <c r="J1025" s="598" t="s">
        <v>3309</v>
      </c>
      <c r="K1025" s="598" t="s">
        <v>321</v>
      </c>
      <c r="L1025" s="598" t="s">
        <v>321</v>
      </c>
      <c r="M1025" s="598" t="s">
        <v>3309</v>
      </c>
      <c r="N1025" s="598" t="s">
        <v>3309</v>
      </c>
      <c r="O1025" s="598" t="s">
        <v>3309</v>
      </c>
      <c r="P1025" s="598" t="s">
        <v>3309</v>
      </c>
      <c r="Q1025" s="598" t="s">
        <v>3309</v>
      </c>
      <c r="R1025" s="598" t="s">
        <v>321</v>
      </c>
      <c r="S1025" s="598" t="s">
        <v>321</v>
      </c>
      <c r="T1025" s="598" t="s">
        <v>3309</v>
      </c>
      <c r="U1025" s="598" t="s">
        <v>3309</v>
      </c>
      <c r="V1025" s="598" t="s">
        <v>3309</v>
      </c>
      <c r="W1025" s="598" t="s">
        <v>3309</v>
      </c>
      <c r="X1025" s="598" t="s">
        <v>3309</v>
      </c>
      <c r="Y1025" s="598" t="s">
        <v>321</v>
      </c>
      <c r="Z1025" s="598" t="s">
        <v>321</v>
      </c>
      <c r="AA1025" s="598" t="s">
        <v>3309</v>
      </c>
      <c r="AB1025" s="598" t="s">
        <v>3309</v>
      </c>
      <c r="AC1025" s="598" t="s">
        <v>3309</v>
      </c>
      <c r="AD1025" s="598" t="s">
        <v>3309</v>
      </c>
      <c r="AE1025" s="598" t="s">
        <v>3309</v>
      </c>
      <c r="AF1025" s="598" t="s">
        <v>321</v>
      </c>
      <c r="AG1025" s="598" t="s">
        <v>321</v>
      </c>
      <c r="AH1025" s="598" t="s">
        <v>3309</v>
      </c>
      <c r="AI1025" s="598" t="s">
        <v>321</v>
      </c>
      <c r="AJ1025" s="599">
        <v>21</v>
      </c>
      <c r="AK1025" s="600">
        <v>21</v>
      </c>
      <c r="AL1025" s="601">
        <v>0</v>
      </c>
      <c r="AM1025" s="601">
        <v>0</v>
      </c>
      <c r="AN1025" s="599">
        <v>21</v>
      </c>
    </row>
    <row r="1026" spans="1:40" ht="16.5" customHeight="1">
      <c r="A1026" s="598" t="s">
        <v>3353</v>
      </c>
      <c r="B1026" s="598" t="s">
        <v>3356</v>
      </c>
      <c r="C1026" s="598" t="s">
        <v>2961</v>
      </c>
      <c r="D1026" s="598" t="s">
        <v>2962</v>
      </c>
      <c r="E1026" s="598" t="s">
        <v>321</v>
      </c>
      <c r="F1026" s="598" t="s">
        <v>3309</v>
      </c>
      <c r="G1026" s="598" t="s">
        <v>3309</v>
      </c>
      <c r="H1026" s="598" t="s">
        <v>3309</v>
      </c>
      <c r="I1026" s="598" t="s">
        <v>3309</v>
      </c>
      <c r="J1026" s="598" t="s">
        <v>3309</v>
      </c>
      <c r="K1026" s="598" t="s">
        <v>321</v>
      </c>
      <c r="L1026" s="598" t="s">
        <v>321</v>
      </c>
      <c r="M1026" s="598" t="s">
        <v>3309</v>
      </c>
      <c r="N1026" s="598" t="s">
        <v>3309</v>
      </c>
      <c r="O1026" s="598" t="s">
        <v>3309</v>
      </c>
      <c r="P1026" s="598" t="s">
        <v>3309</v>
      </c>
      <c r="Q1026" s="598" t="s">
        <v>3309</v>
      </c>
      <c r="R1026" s="598" t="s">
        <v>321</v>
      </c>
      <c r="S1026" s="598" t="s">
        <v>321</v>
      </c>
      <c r="T1026" s="598" t="s">
        <v>3309</v>
      </c>
      <c r="U1026" s="598" t="s">
        <v>3309</v>
      </c>
      <c r="V1026" s="598" t="s">
        <v>3309</v>
      </c>
      <c r="W1026" s="598" t="s">
        <v>3309</v>
      </c>
      <c r="X1026" s="598" t="s">
        <v>3309</v>
      </c>
      <c r="Y1026" s="598" t="s">
        <v>321</v>
      </c>
      <c r="Z1026" s="598" t="s">
        <v>321</v>
      </c>
      <c r="AA1026" s="598" t="s">
        <v>3309</v>
      </c>
      <c r="AB1026" s="598" t="s">
        <v>3309</v>
      </c>
      <c r="AC1026" s="598" t="s">
        <v>3309</v>
      </c>
      <c r="AD1026" s="598" t="s">
        <v>3309</v>
      </c>
      <c r="AE1026" s="598" t="s">
        <v>3309</v>
      </c>
      <c r="AF1026" s="598" t="s">
        <v>321</v>
      </c>
      <c r="AG1026" s="598" t="s">
        <v>321</v>
      </c>
      <c r="AH1026" s="598" t="s">
        <v>3309</v>
      </c>
      <c r="AI1026" s="598" t="s">
        <v>321</v>
      </c>
      <c r="AJ1026" s="599">
        <v>21</v>
      </c>
      <c r="AK1026" s="600">
        <v>21</v>
      </c>
      <c r="AL1026" s="601">
        <v>0</v>
      </c>
      <c r="AM1026" s="601">
        <v>0</v>
      </c>
      <c r="AN1026" s="599">
        <v>21</v>
      </c>
    </row>
    <row r="1027" spans="1:40" ht="16.5" customHeight="1">
      <c r="A1027" s="598" t="s">
        <v>3353</v>
      </c>
      <c r="B1027" s="598" t="s">
        <v>3356</v>
      </c>
      <c r="C1027" s="598" t="s">
        <v>2414</v>
      </c>
      <c r="D1027" s="598" t="s">
        <v>1006</v>
      </c>
      <c r="E1027" s="598" t="s">
        <v>321</v>
      </c>
      <c r="F1027" s="598" t="s">
        <v>3309</v>
      </c>
      <c r="G1027" s="598" t="s">
        <v>3309</v>
      </c>
      <c r="H1027" s="598" t="s">
        <v>3309</v>
      </c>
      <c r="I1027" s="598" t="s">
        <v>3309</v>
      </c>
      <c r="J1027" s="598" t="s">
        <v>3309</v>
      </c>
      <c r="K1027" s="598" t="s">
        <v>321</v>
      </c>
      <c r="L1027" s="598" t="s">
        <v>321</v>
      </c>
      <c r="M1027" s="598" t="s">
        <v>3309</v>
      </c>
      <c r="N1027" s="598" t="s">
        <v>3309</v>
      </c>
      <c r="O1027" s="598" t="s">
        <v>3309</v>
      </c>
      <c r="P1027" s="598" t="s">
        <v>3309</v>
      </c>
      <c r="Q1027" s="598" t="s">
        <v>3309</v>
      </c>
      <c r="R1027" s="598" t="s">
        <v>321</v>
      </c>
      <c r="S1027" s="598" t="s">
        <v>321</v>
      </c>
      <c r="T1027" s="598" t="s">
        <v>3309</v>
      </c>
      <c r="U1027" s="598" t="s">
        <v>3309</v>
      </c>
      <c r="V1027" s="598" t="s">
        <v>3309</v>
      </c>
      <c r="W1027" s="598" t="s">
        <v>3309</v>
      </c>
      <c r="X1027" s="598" t="s">
        <v>3309</v>
      </c>
      <c r="Y1027" s="598" t="s">
        <v>321</v>
      </c>
      <c r="Z1027" s="598" t="s">
        <v>321</v>
      </c>
      <c r="AA1027" s="598" t="s">
        <v>3309</v>
      </c>
      <c r="AB1027" s="598" t="s">
        <v>3309</v>
      </c>
      <c r="AC1027" s="598" t="s">
        <v>3309</v>
      </c>
      <c r="AD1027" s="598" t="s">
        <v>3309</v>
      </c>
      <c r="AE1027" s="598" t="s">
        <v>3309</v>
      </c>
      <c r="AF1027" s="598" t="s">
        <v>321</v>
      </c>
      <c r="AG1027" s="598" t="s">
        <v>321</v>
      </c>
      <c r="AH1027" s="598" t="s">
        <v>3309</v>
      </c>
      <c r="AI1027" s="598" t="s">
        <v>321</v>
      </c>
      <c r="AJ1027" s="599">
        <v>21</v>
      </c>
      <c r="AK1027" s="600">
        <v>21</v>
      </c>
      <c r="AL1027" s="601">
        <v>0</v>
      </c>
      <c r="AM1027" s="601">
        <v>0</v>
      </c>
      <c r="AN1027" s="599">
        <v>21</v>
      </c>
    </row>
    <row r="1028" spans="1:40" ht="16.5" customHeight="1">
      <c r="A1028" s="598" t="s">
        <v>3353</v>
      </c>
      <c r="B1028" s="598" t="s">
        <v>3356</v>
      </c>
      <c r="C1028" s="598" t="s">
        <v>2556</v>
      </c>
      <c r="D1028" s="598" t="s">
        <v>498</v>
      </c>
      <c r="E1028" s="598" t="s">
        <v>321</v>
      </c>
      <c r="F1028" s="598" t="s">
        <v>3309</v>
      </c>
      <c r="G1028" s="598" t="s">
        <v>3309</v>
      </c>
      <c r="H1028" s="598" t="s">
        <v>3309</v>
      </c>
      <c r="I1028" s="598" t="s">
        <v>3309</v>
      </c>
      <c r="J1028" s="598" t="s">
        <v>3309</v>
      </c>
      <c r="K1028" s="598" t="s">
        <v>321</v>
      </c>
      <c r="L1028" s="598" t="s">
        <v>321</v>
      </c>
      <c r="M1028" s="598" t="s">
        <v>3309</v>
      </c>
      <c r="N1028" s="598" t="s">
        <v>3309</v>
      </c>
      <c r="O1028" s="598" t="s">
        <v>3309</v>
      </c>
      <c r="P1028" s="598" t="s">
        <v>3309</v>
      </c>
      <c r="Q1028" s="598" t="s">
        <v>3309</v>
      </c>
      <c r="R1028" s="598" t="s">
        <v>321</v>
      </c>
      <c r="S1028" s="598" t="s">
        <v>321</v>
      </c>
      <c r="T1028" s="598" t="s">
        <v>3309</v>
      </c>
      <c r="U1028" s="598" t="s">
        <v>3309</v>
      </c>
      <c r="V1028" s="598" t="s">
        <v>3309</v>
      </c>
      <c r="W1028" s="598" t="s">
        <v>3309</v>
      </c>
      <c r="X1028" s="598" t="s">
        <v>3309</v>
      </c>
      <c r="Y1028" s="598" t="s">
        <v>321</v>
      </c>
      <c r="Z1028" s="598" t="s">
        <v>321</v>
      </c>
      <c r="AA1028" s="598" t="s">
        <v>3309</v>
      </c>
      <c r="AB1028" s="598" t="s">
        <v>3309</v>
      </c>
      <c r="AC1028" s="598" t="s">
        <v>3309</v>
      </c>
      <c r="AD1028" s="598" t="s">
        <v>3309</v>
      </c>
      <c r="AE1028" s="598" t="s">
        <v>3309</v>
      </c>
      <c r="AF1028" s="598" t="s">
        <v>321</v>
      </c>
      <c r="AG1028" s="598" t="s">
        <v>321</v>
      </c>
      <c r="AH1028" s="598" t="s">
        <v>3309</v>
      </c>
      <c r="AI1028" s="598" t="s">
        <v>321</v>
      </c>
      <c r="AJ1028" s="599">
        <v>21</v>
      </c>
      <c r="AK1028" s="600">
        <v>21</v>
      </c>
      <c r="AL1028" s="601">
        <v>0</v>
      </c>
      <c r="AM1028" s="601">
        <v>0</v>
      </c>
      <c r="AN1028" s="599">
        <v>21</v>
      </c>
    </row>
    <row r="1029" spans="1:40" ht="16.5" customHeight="1">
      <c r="A1029" s="598" t="s">
        <v>3353</v>
      </c>
      <c r="B1029" s="598" t="s">
        <v>3356</v>
      </c>
      <c r="C1029" s="598" t="s">
        <v>1816</v>
      </c>
      <c r="D1029" s="598" t="s">
        <v>1817</v>
      </c>
      <c r="E1029" s="598" t="s">
        <v>321</v>
      </c>
      <c r="F1029" s="598" t="s">
        <v>3309</v>
      </c>
      <c r="G1029" s="598" t="s">
        <v>3309</v>
      </c>
      <c r="H1029" s="598" t="s">
        <v>3309</v>
      </c>
      <c r="I1029" s="598" t="s">
        <v>3309</v>
      </c>
      <c r="J1029" s="598" t="s">
        <v>3309</v>
      </c>
      <c r="K1029" s="598" t="s">
        <v>321</v>
      </c>
      <c r="L1029" s="598" t="s">
        <v>321</v>
      </c>
      <c r="M1029" s="598" t="s">
        <v>3309</v>
      </c>
      <c r="N1029" s="598" t="s">
        <v>3309</v>
      </c>
      <c r="O1029" s="598" t="s">
        <v>3309</v>
      </c>
      <c r="P1029" s="598" t="s">
        <v>3309</v>
      </c>
      <c r="Q1029" s="598" t="s">
        <v>3314</v>
      </c>
      <c r="R1029" s="598" t="s">
        <v>321</v>
      </c>
      <c r="S1029" s="598" t="s">
        <v>321</v>
      </c>
      <c r="T1029" s="598" t="s">
        <v>3309</v>
      </c>
      <c r="U1029" s="598" t="s">
        <v>3309</v>
      </c>
      <c r="V1029" s="598" t="s">
        <v>3309</v>
      </c>
      <c r="W1029" s="598" t="s">
        <v>3309</v>
      </c>
      <c r="X1029" s="598" t="s">
        <v>3309</v>
      </c>
      <c r="Y1029" s="598" t="s">
        <v>321</v>
      </c>
      <c r="Z1029" s="598" t="s">
        <v>321</v>
      </c>
      <c r="AA1029" s="598" t="s">
        <v>3309</v>
      </c>
      <c r="AB1029" s="598" t="s">
        <v>3309</v>
      </c>
      <c r="AC1029" s="598" t="s">
        <v>3309</v>
      </c>
      <c r="AD1029" s="598" t="s">
        <v>3309</v>
      </c>
      <c r="AE1029" s="598" t="s">
        <v>3309</v>
      </c>
      <c r="AF1029" s="598" t="s">
        <v>321</v>
      </c>
      <c r="AG1029" s="598" t="s">
        <v>321</v>
      </c>
      <c r="AH1029" s="598" t="s">
        <v>3309</v>
      </c>
      <c r="AI1029" s="598" t="s">
        <v>321</v>
      </c>
      <c r="AJ1029" s="599">
        <v>21</v>
      </c>
      <c r="AK1029" s="603">
        <v>20.5</v>
      </c>
      <c r="AL1029" s="604">
        <v>0.5</v>
      </c>
      <c r="AM1029" s="601">
        <v>0</v>
      </c>
      <c r="AN1029" s="599">
        <v>21</v>
      </c>
    </row>
    <row r="1030" spans="1:40" ht="16.5" customHeight="1">
      <c r="A1030" s="598" t="s">
        <v>3353</v>
      </c>
      <c r="B1030" s="598" t="s">
        <v>3356</v>
      </c>
      <c r="C1030" s="598" t="s">
        <v>1255</v>
      </c>
      <c r="D1030" s="598" t="s">
        <v>1256</v>
      </c>
      <c r="E1030" s="598" t="s">
        <v>321</v>
      </c>
      <c r="F1030" s="598" t="s">
        <v>3309</v>
      </c>
      <c r="G1030" s="598" t="s">
        <v>3309</v>
      </c>
      <c r="H1030" s="598" t="s">
        <v>3312</v>
      </c>
      <c r="I1030" s="598" t="s">
        <v>3309</v>
      </c>
      <c r="J1030" s="598" t="s">
        <v>3309</v>
      </c>
      <c r="K1030" s="598" t="s">
        <v>321</v>
      </c>
      <c r="L1030" s="598" t="s">
        <v>321</v>
      </c>
      <c r="M1030" s="598" t="s">
        <v>3309</v>
      </c>
      <c r="N1030" s="598" t="s">
        <v>3309</v>
      </c>
      <c r="O1030" s="598" t="s">
        <v>3309</v>
      </c>
      <c r="P1030" s="598" t="s">
        <v>3309</v>
      </c>
      <c r="Q1030" s="598" t="s">
        <v>3309</v>
      </c>
      <c r="R1030" s="598" t="s">
        <v>321</v>
      </c>
      <c r="S1030" s="598" t="s">
        <v>321</v>
      </c>
      <c r="T1030" s="598" t="s">
        <v>3309</v>
      </c>
      <c r="U1030" s="598" t="s">
        <v>3309</v>
      </c>
      <c r="V1030" s="598" t="s">
        <v>3309</v>
      </c>
      <c r="W1030" s="598" t="s">
        <v>3309</v>
      </c>
      <c r="X1030" s="598" t="s">
        <v>3309</v>
      </c>
      <c r="Y1030" s="598" t="s">
        <v>321</v>
      </c>
      <c r="Z1030" s="598" t="s">
        <v>321</v>
      </c>
      <c r="AA1030" s="598" t="s">
        <v>3309</v>
      </c>
      <c r="AB1030" s="598" t="s">
        <v>3309</v>
      </c>
      <c r="AC1030" s="598" t="s">
        <v>3309</v>
      </c>
      <c r="AD1030" s="598" t="s">
        <v>3309</v>
      </c>
      <c r="AE1030" s="598" t="s">
        <v>3309</v>
      </c>
      <c r="AF1030" s="598" t="s">
        <v>321</v>
      </c>
      <c r="AG1030" s="598" t="s">
        <v>321</v>
      </c>
      <c r="AH1030" s="598" t="s">
        <v>3309</v>
      </c>
      <c r="AI1030" s="598" t="s">
        <v>321</v>
      </c>
      <c r="AJ1030" s="599">
        <v>21</v>
      </c>
      <c r="AK1030" s="600">
        <v>20</v>
      </c>
      <c r="AL1030" s="602">
        <v>1</v>
      </c>
      <c r="AM1030" s="601">
        <v>0</v>
      </c>
      <c r="AN1030" s="599">
        <v>21</v>
      </c>
    </row>
    <row r="1031" spans="1:40" ht="16.5" customHeight="1">
      <c r="A1031" s="598" t="s">
        <v>3353</v>
      </c>
      <c r="B1031" s="598" t="s">
        <v>3357</v>
      </c>
      <c r="C1031" s="598" t="s">
        <v>715</v>
      </c>
      <c r="D1031" s="598" t="s">
        <v>716</v>
      </c>
      <c r="E1031" s="598" t="s">
        <v>321</v>
      </c>
      <c r="F1031" s="598" t="s">
        <v>3309</v>
      </c>
      <c r="G1031" s="598" t="s">
        <v>3309</v>
      </c>
      <c r="H1031" s="598" t="s">
        <v>3309</v>
      </c>
      <c r="I1031" s="598" t="s">
        <v>3309</v>
      </c>
      <c r="J1031" s="598" t="s">
        <v>3309</v>
      </c>
      <c r="K1031" s="598" t="s">
        <v>321</v>
      </c>
      <c r="L1031" s="598" t="s">
        <v>321</v>
      </c>
      <c r="M1031" s="598" t="s">
        <v>3309</v>
      </c>
      <c r="N1031" s="598" t="s">
        <v>3309</v>
      </c>
      <c r="O1031" s="598" t="s">
        <v>3309</v>
      </c>
      <c r="P1031" s="598" t="s">
        <v>3309</v>
      </c>
      <c r="Q1031" s="598" t="s">
        <v>3309</v>
      </c>
      <c r="R1031" s="598" t="s">
        <v>321</v>
      </c>
      <c r="S1031" s="598" t="s">
        <v>321</v>
      </c>
      <c r="T1031" s="598" t="s">
        <v>3309</v>
      </c>
      <c r="U1031" s="598" t="s">
        <v>3309</v>
      </c>
      <c r="V1031" s="598" t="s">
        <v>3309</v>
      </c>
      <c r="W1031" s="598" t="s">
        <v>3309</v>
      </c>
      <c r="X1031" s="598" t="s">
        <v>3309</v>
      </c>
      <c r="Y1031" s="598" t="s">
        <v>321</v>
      </c>
      <c r="Z1031" s="598" t="s">
        <v>321</v>
      </c>
      <c r="AA1031" s="598" t="s">
        <v>3309</v>
      </c>
      <c r="AB1031" s="598" t="s">
        <v>3309</v>
      </c>
      <c r="AC1031" s="598" t="s">
        <v>3309</v>
      </c>
      <c r="AD1031" s="598" t="s">
        <v>3312</v>
      </c>
      <c r="AE1031" s="598" t="s">
        <v>3309</v>
      </c>
      <c r="AF1031" s="598" t="s">
        <v>321</v>
      </c>
      <c r="AG1031" s="598" t="s">
        <v>321</v>
      </c>
      <c r="AH1031" s="598" t="s">
        <v>3309</v>
      </c>
      <c r="AI1031" s="598" t="s">
        <v>321</v>
      </c>
      <c r="AJ1031" s="599">
        <v>21</v>
      </c>
      <c r="AK1031" s="600">
        <v>20</v>
      </c>
      <c r="AL1031" s="602">
        <v>1</v>
      </c>
      <c r="AM1031" s="601">
        <v>0</v>
      </c>
      <c r="AN1031" s="599">
        <v>21</v>
      </c>
    </row>
    <row r="1032" spans="1:40" ht="16.5" customHeight="1">
      <c r="A1032" s="598" t="s">
        <v>3353</v>
      </c>
      <c r="B1032" s="598" t="s">
        <v>3357</v>
      </c>
      <c r="C1032" s="598" t="s">
        <v>1345</v>
      </c>
      <c r="D1032" s="598" t="s">
        <v>1346</v>
      </c>
      <c r="E1032" s="598" t="s">
        <v>321</v>
      </c>
      <c r="F1032" s="598" t="s">
        <v>3309</v>
      </c>
      <c r="G1032" s="598" t="s">
        <v>3309</v>
      </c>
      <c r="H1032" s="598" t="s">
        <v>3309</v>
      </c>
      <c r="I1032" s="598" t="s">
        <v>3309</v>
      </c>
      <c r="J1032" s="598" t="s">
        <v>3309</v>
      </c>
      <c r="K1032" s="598" t="s">
        <v>321</v>
      </c>
      <c r="L1032" s="598" t="s">
        <v>321</v>
      </c>
      <c r="M1032" s="598" t="s">
        <v>3309</v>
      </c>
      <c r="N1032" s="598" t="s">
        <v>3309</v>
      </c>
      <c r="O1032" s="598" t="s">
        <v>3309</v>
      </c>
      <c r="P1032" s="598" t="s">
        <v>3309</v>
      </c>
      <c r="Q1032" s="598" t="s">
        <v>3309</v>
      </c>
      <c r="R1032" s="598" t="s">
        <v>321</v>
      </c>
      <c r="S1032" s="598" t="s">
        <v>321</v>
      </c>
      <c r="T1032" s="598" t="s">
        <v>3309</v>
      </c>
      <c r="U1032" s="598" t="s">
        <v>3309</v>
      </c>
      <c r="V1032" s="598" t="s">
        <v>3309</v>
      </c>
      <c r="W1032" s="598" t="s">
        <v>3309</v>
      </c>
      <c r="X1032" s="598" t="s">
        <v>3309</v>
      </c>
      <c r="Y1032" s="598" t="s">
        <v>321</v>
      </c>
      <c r="Z1032" s="598" t="s">
        <v>321</v>
      </c>
      <c r="AA1032" s="598" t="s">
        <v>3309</v>
      </c>
      <c r="AB1032" s="598" t="s">
        <v>3309</v>
      </c>
      <c r="AC1032" s="598" t="s">
        <v>3309</v>
      </c>
      <c r="AD1032" s="598" t="s">
        <v>3309</v>
      </c>
      <c r="AE1032" s="598" t="s">
        <v>3309</v>
      </c>
      <c r="AF1032" s="598" t="s">
        <v>321</v>
      </c>
      <c r="AG1032" s="598" t="s">
        <v>321</v>
      </c>
      <c r="AH1032" s="598" t="s">
        <v>3309</v>
      </c>
      <c r="AI1032" s="598" t="s">
        <v>321</v>
      </c>
      <c r="AJ1032" s="599">
        <v>21</v>
      </c>
      <c r="AK1032" s="600">
        <v>21</v>
      </c>
      <c r="AL1032" s="601">
        <v>0</v>
      </c>
      <c r="AM1032" s="601">
        <v>0</v>
      </c>
      <c r="AN1032" s="599">
        <v>21</v>
      </c>
    </row>
    <row r="1033" spans="1:40" ht="16.5" customHeight="1">
      <c r="A1033" s="598" t="s">
        <v>3353</v>
      </c>
      <c r="B1033" s="598" t="s">
        <v>3357</v>
      </c>
      <c r="C1033" s="598" t="s">
        <v>469</v>
      </c>
      <c r="D1033" s="598" t="s">
        <v>470</v>
      </c>
      <c r="E1033" s="598" t="s">
        <v>321</v>
      </c>
      <c r="F1033" s="598" t="s">
        <v>3309</v>
      </c>
      <c r="G1033" s="598" t="s">
        <v>3309</v>
      </c>
      <c r="H1033" s="598" t="s">
        <v>3309</v>
      </c>
      <c r="I1033" s="598" t="s">
        <v>3309</v>
      </c>
      <c r="J1033" s="598" t="s">
        <v>3309</v>
      </c>
      <c r="K1033" s="598" t="s">
        <v>321</v>
      </c>
      <c r="L1033" s="598" t="s">
        <v>321</v>
      </c>
      <c r="M1033" s="598" t="s">
        <v>3309</v>
      </c>
      <c r="N1033" s="598" t="s">
        <v>3309</v>
      </c>
      <c r="O1033" s="598" t="s">
        <v>3309</v>
      </c>
      <c r="P1033" s="598" t="s">
        <v>3309</v>
      </c>
      <c r="Q1033" s="598" t="s">
        <v>3309</v>
      </c>
      <c r="R1033" s="598" t="s">
        <v>321</v>
      </c>
      <c r="S1033" s="598" t="s">
        <v>321</v>
      </c>
      <c r="T1033" s="598" t="s">
        <v>3309</v>
      </c>
      <c r="U1033" s="598" t="s">
        <v>3312</v>
      </c>
      <c r="V1033" s="598" t="s">
        <v>3309</v>
      </c>
      <c r="W1033" s="598" t="s">
        <v>3309</v>
      </c>
      <c r="X1033" s="598" t="s">
        <v>3309</v>
      </c>
      <c r="Y1033" s="598" t="s">
        <v>321</v>
      </c>
      <c r="Z1033" s="598" t="s">
        <v>321</v>
      </c>
      <c r="AA1033" s="598" t="s">
        <v>3309</v>
      </c>
      <c r="AB1033" s="598" t="s">
        <v>3309</v>
      </c>
      <c r="AC1033" s="598" t="s">
        <v>3309</v>
      </c>
      <c r="AD1033" s="598" t="s">
        <v>3309</v>
      </c>
      <c r="AE1033" s="598" t="s">
        <v>3309</v>
      </c>
      <c r="AF1033" s="598" t="s">
        <v>321</v>
      </c>
      <c r="AG1033" s="598" t="s">
        <v>321</v>
      </c>
      <c r="AH1033" s="598" t="s">
        <v>3309</v>
      </c>
      <c r="AI1033" s="598" t="s">
        <v>321</v>
      </c>
      <c r="AJ1033" s="599">
        <v>21</v>
      </c>
      <c r="AK1033" s="600">
        <v>20</v>
      </c>
      <c r="AL1033" s="602">
        <v>1</v>
      </c>
      <c r="AM1033" s="601">
        <v>0</v>
      </c>
      <c r="AN1033" s="599">
        <v>21</v>
      </c>
    </row>
    <row r="1034" spans="1:40" ht="16.5" customHeight="1">
      <c r="A1034" s="598" t="s">
        <v>3353</v>
      </c>
      <c r="B1034" s="598" t="s">
        <v>3357</v>
      </c>
      <c r="C1034" s="598" t="s">
        <v>505</v>
      </c>
      <c r="D1034" s="598" t="s">
        <v>506</v>
      </c>
      <c r="E1034" s="598" t="s">
        <v>321</v>
      </c>
      <c r="F1034" s="598" t="s">
        <v>3309</v>
      </c>
      <c r="G1034" s="598" t="s">
        <v>3309</v>
      </c>
      <c r="H1034" s="598" t="s">
        <v>3309</v>
      </c>
      <c r="I1034" s="598" t="s">
        <v>3312</v>
      </c>
      <c r="J1034" s="598" t="s">
        <v>3312</v>
      </c>
      <c r="K1034" s="598" t="s">
        <v>321</v>
      </c>
      <c r="L1034" s="598" t="s">
        <v>321</v>
      </c>
      <c r="M1034" s="598" t="s">
        <v>3309</v>
      </c>
      <c r="N1034" s="598" t="s">
        <v>3313</v>
      </c>
      <c r="O1034" s="598" t="s">
        <v>3313</v>
      </c>
      <c r="P1034" s="598" t="s">
        <v>3313</v>
      </c>
      <c r="Q1034" s="598" t="s">
        <v>3309</v>
      </c>
      <c r="R1034" s="598" t="s">
        <v>321</v>
      </c>
      <c r="S1034" s="598" t="s">
        <v>321</v>
      </c>
      <c r="T1034" s="598" t="s">
        <v>3309</v>
      </c>
      <c r="U1034" s="598" t="s">
        <v>3309</v>
      </c>
      <c r="V1034" s="598" t="s">
        <v>3309</v>
      </c>
      <c r="W1034" s="598" t="s">
        <v>3309</v>
      </c>
      <c r="X1034" s="598" t="s">
        <v>3309</v>
      </c>
      <c r="Y1034" s="598" t="s">
        <v>321</v>
      </c>
      <c r="Z1034" s="598" t="s">
        <v>321</v>
      </c>
      <c r="AA1034" s="598" t="s">
        <v>3309</v>
      </c>
      <c r="AB1034" s="598" t="s">
        <v>3309</v>
      </c>
      <c r="AC1034" s="598" t="s">
        <v>3309</v>
      </c>
      <c r="AD1034" s="598" t="s">
        <v>3309</v>
      </c>
      <c r="AE1034" s="598" t="s">
        <v>3309</v>
      </c>
      <c r="AF1034" s="598" t="s">
        <v>321</v>
      </c>
      <c r="AG1034" s="598" t="s">
        <v>321</v>
      </c>
      <c r="AH1034" s="598" t="s">
        <v>3309</v>
      </c>
      <c r="AI1034" s="598" t="s">
        <v>321</v>
      </c>
      <c r="AJ1034" s="599">
        <v>21</v>
      </c>
      <c r="AK1034" s="600">
        <v>19</v>
      </c>
      <c r="AL1034" s="602">
        <v>2</v>
      </c>
      <c r="AM1034" s="601">
        <v>0</v>
      </c>
      <c r="AN1034" s="599">
        <v>21</v>
      </c>
    </row>
    <row r="1035" spans="1:40" ht="16.5" customHeight="1">
      <c r="A1035" s="598" t="s">
        <v>3353</v>
      </c>
      <c r="B1035" s="598" t="s">
        <v>3357</v>
      </c>
      <c r="C1035" s="598" t="s">
        <v>545</v>
      </c>
      <c r="D1035" s="598" t="s">
        <v>546</v>
      </c>
      <c r="E1035" s="598" t="s">
        <v>321</v>
      </c>
      <c r="F1035" s="598" t="s">
        <v>3309</v>
      </c>
      <c r="G1035" s="598" t="s">
        <v>3309</v>
      </c>
      <c r="H1035" s="598" t="s">
        <v>3309</v>
      </c>
      <c r="I1035" s="598" t="s">
        <v>3309</v>
      </c>
      <c r="J1035" s="598" t="s">
        <v>3309</v>
      </c>
      <c r="K1035" s="598" t="s">
        <v>321</v>
      </c>
      <c r="L1035" s="598" t="s">
        <v>321</v>
      </c>
      <c r="M1035" s="598" t="s">
        <v>3309</v>
      </c>
      <c r="N1035" s="598" t="s">
        <v>3309</v>
      </c>
      <c r="O1035" s="598" t="s">
        <v>3309</v>
      </c>
      <c r="P1035" s="598" t="s">
        <v>3309</v>
      </c>
      <c r="Q1035" s="598" t="s">
        <v>3309</v>
      </c>
      <c r="R1035" s="598" t="s">
        <v>321</v>
      </c>
      <c r="S1035" s="598" t="s">
        <v>321</v>
      </c>
      <c r="T1035" s="598" t="s">
        <v>3309</v>
      </c>
      <c r="U1035" s="598" t="s">
        <v>3309</v>
      </c>
      <c r="V1035" s="598" t="s">
        <v>3309</v>
      </c>
      <c r="W1035" s="598" t="s">
        <v>3309</v>
      </c>
      <c r="X1035" s="598" t="s">
        <v>3309</v>
      </c>
      <c r="Y1035" s="598" t="s">
        <v>321</v>
      </c>
      <c r="Z1035" s="598" t="s">
        <v>321</v>
      </c>
      <c r="AA1035" s="598" t="s">
        <v>3309</v>
      </c>
      <c r="AB1035" s="598" t="s">
        <v>3309</v>
      </c>
      <c r="AC1035" s="598" t="s">
        <v>3309</v>
      </c>
      <c r="AD1035" s="598" t="s">
        <v>3309</v>
      </c>
      <c r="AE1035" s="598" t="s">
        <v>3309</v>
      </c>
      <c r="AF1035" s="598" t="s">
        <v>321</v>
      </c>
      <c r="AG1035" s="598" t="s">
        <v>321</v>
      </c>
      <c r="AH1035" s="598" t="s">
        <v>3309</v>
      </c>
      <c r="AI1035" s="598" t="s">
        <v>321</v>
      </c>
      <c r="AJ1035" s="599">
        <v>21</v>
      </c>
      <c r="AK1035" s="600">
        <v>21</v>
      </c>
      <c r="AL1035" s="601">
        <v>0</v>
      </c>
      <c r="AM1035" s="601">
        <v>0</v>
      </c>
      <c r="AN1035" s="599">
        <v>21</v>
      </c>
    </row>
    <row r="1036" spans="1:40" ht="16.5" customHeight="1">
      <c r="A1036" s="598" t="s">
        <v>3353</v>
      </c>
      <c r="B1036" s="598" t="s">
        <v>3358</v>
      </c>
      <c r="C1036" s="598" t="s">
        <v>1374</v>
      </c>
      <c r="D1036" s="598" t="s">
        <v>1375</v>
      </c>
      <c r="E1036" s="598" t="s">
        <v>321</v>
      </c>
      <c r="F1036" s="598" t="s">
        <v>3309</v>
      </c>
      <c r="G1036" s="598" t="s">
        <v>3309</v>
      </c>
      <c r="H1036" s="598" t="s">
        <v>3309</v>
      </c>
      <c r="I1036" s="598" t="s">
        <v>3309</v>
      </c>
      <c r="J1036" s="598" t="s">
        <v>3309</v>
      </c>
      <c r="K1036" s="598" t="s">
        <v>321</v>
      </c>
      <c r="L1036" s="598" t="s">
        <v>321</v>
      </c>
      <c r="M1036" s="598" t="s">
        <v>3309</v>
      </c>
      <c r="N1036" s="598" t="s">
        <v>3309</v>
      </c>
      <c r="O1036" s="598" t="s">
        <v>3309</v>
      </c>
      <c r="P1036" s="598" t="s">
        <v>3309</v>
      </c>
      <c r="Q1036" s="598" t="s">
        <v>3309</v>
      </c>
      <c r="R1036" s="598" t="s">
        <v>321</v>
      </c>
      <c r="S1036" s="598" t="s">
        <v>321</v>
      </c>
      <c r="T1036" s="598" t="s">
        <v>3309</v>
      </c>
      <c r="U1036" s="598" t="s">
        <v>3309</v>
      </c>
      <c r="V1036" s="598" t="s">
        <v>3309</v>
      </c>
      <c r="W1036" s="598" t="s">
        <v>3309</v>
      </c>
      <c r="X1036" s="598" t="s">
        <v>3309</v>
      </c>
      <c r="Y1036" s="598" t="s">
        <v>321</v>
      </c>
      <c r="Z1036" s="598" t="s">
        <v>321</v>
      </c>
      <c r="AA1036" s="598" t="s">
        <v>3309</v>
      </c>
      <c r="AB1036" s="598" t="s">
        <v>3309</v>
      </c>
      <c r="AC1036" s="598" t="s">
        <v>3309</v>
      </c>
      <c r="AD1036" s="598" t="s">
        <v>3309</v>
      </c>
      <c r="AE1036" s="598" t="s">
        <v>3309</v>
      </c>
      <c r="AF1036" s="598" t="s">
        <v>321</v>
      </c>
      <c r="AG1036" s="598" t="s">
        <v>321</v>
      </c>
      <c r="AH1036" s="598" t="s">
        <v>3309</v>
      </c>
      <c r="AI1036" s="598" t="s">
        <v>321</v>
      </c>
      <c r="AJ1036" s="599">
        <v>21</v>
      </c>
      <c r="AK1036" s="600">
        <v>21</v>
      </c>
      <c r="AL1036" s="601">
        <v>0</v>
      </c>
      <c r="AM1036" s="601">
        <v>0</v>
      </c>
      <c r="AN1036" s="599">
        <v>21</v>
      </c>
    </row>
    <row r="1037" spans="1:40" ht="16.5" customHeight="1">
      <c r="A1037" s="598" t="s">
        <v>3353</v>
      </c>
      <c r="B1037" s="598" t="s">
        <v>3358</v>
      </c>
      <c r="C1037" s="598" t="s">
        <v>2605</v>
      </c>
      <c r="D1037" s="598" t="s">
        <v>2606</v>
      </c>
      <c r="E1037" s="598" t="s">
        <v>321</v>
      </c>
      <c r="F1037" s="598" t="s">
        <v>3309</v>
      </c>
      <c r="G1037" s="598" t="s">
        <v>3309</v>
      </c>
      <c r="H1037" s="598" t="s">
        <v>3309</v>
      </c>
      <c r="I1037" s="598" t="s">
        <v>3309</v>
      </c>
      <c r="J1037" s="598" t="s">
        <v>3309</v>
      </c>
      <c r="K1037" s="598" t="s">
        <v>321</v>
      </c>
      <c r="L1037" s="598" t="s">
        <v>321</v>
      </c>
      <c r="M1037" s="598" t="s">
        <v>3309</v>
      </c>
      <c r="N1037" s="598" t="s">
        <v>3309</v>
      </c>
      <c r="O1037" s="598" t="s">
        <v>3309</v>
      </c>
      <c r="P1037" s="598" t="s">
        <v>3309</v>
      </c>
      <c r="Q1037" s="598" t="s">
        <v>3309</v>
      </c>
      <c r="R1037" s="598" t="s">
        <v>321</v>
      </c>
      <c r="S1037" s="598" t="s">
        <v>321</v>
      </c>
      <c r="T1037" s="598" t="s">
        <v>3309</v>
      </c>
      <c r="U1037" s="598" t="s">
        <v>3309</v>
      </c>
      <c r="V1037" s="598" t="s">
        <v>3309</v>
      </c>
      <c r="W1037" s="598" t="s">
        <v>3309</v>
      </c>
      <c r="X1037" s="598" t="s">
        <v>3309</v>
      </c>
      <c r="Y1037" s="598" t="s">
        <v>321</v>
      </c>
      <c r="Z1037" s="598" t="s">
        <v>321</v>
      </c>
      <c r="AA1037" s="598" t="s">
        <v>3309</v>
      </c>
      <c r="AB1037" s="598" t="s">
        <v>3309</v>
      </c>
      <c r="AC1037" s="598" t="s">
        <v>3309</v>
      </c>
      <c r="AD1037" s="598" t="s">
        <v>3309</v>
      </c>
      <c r="AE1037" s="598" t="s">
        <v>3309</v>
      </c>
      <c r="AF1037" s="598" t="s">
        <v>321</v>
      </c>
      <c r="AG1037" s="598" t="s">
        <v>321</v>
      </c>
      <c r="AH1037" s="598" t="s">
        <v>3309</v>
      </c>
      <c r="AI1037" s="598" t="s">
        <v>321</v>
      </c>
      <c r="AJ1037" s="599">
        <v>21</v>
      </c>
      <c r="AK1037" s="600">
        <v>21</v>
      </c>
      <c r="AL1037" s="601">
        <v>0</v>
      </c>
      <c r="AM1037" s="601">
        <v>0</v>
      </c>
      <c r="AN1037" s="599">
        <v>21</v>
      </c>
    </row>
    <row r="1038" spans="1:40" ht="16.5" customHeight="1">
      <c r="A1038" s="598" t="s">
        <v>3353</v>
      </c>
      <c r="B1038" s="598" t="s">
        <v>3358</v>
      </c>
      <c r="C1038" s="598" t="s">
        <v>2987</v>
      </c>
      <c r="D1038" s="598" t="s">
        <v>2988</v>
      </c>
      <c r="E1038" s="598" t="s">
        <v>321</v>
      </c>
      <c r="F1038" s="598" t="s">
        <v>3309</v>
      </c>
      <c r="G1038" s="598" t="s">
        <v>3309</v>
      </c>
      <c r="H1038" s="598" t="s">
        <v>3309</v>
      </c>
      <c r="I1038" s="598" t="s">
        <v>3309</v>
      </c>
      <c r="J1038" s="598" t="s">
        <v>3309</v>
      </c>
      <c r="K1038" s="598" t="s">
        <v>321</v>
      </c>
      <c r="L1038" s="598" t="s">
        <v>321</v>
      </c>
      <c r="M1038" s="598" t="s">
        <v>3309</v>
      </c>
      <c r="N1038" s="598" t="s">
        <v>3309</v>
      </c>
      <c r="O1038" s="598" t="s">
        <v>3309</v>
      </c>
      <c r="P1038" s="598" t="s">
        <v>3309</v>
      </c>
      <c r="Q1038" s="598" t="s">
        <v>3309</v>
      </c>
      <c r="R1038" s="598" t="s">
        <v>321</v>
      </c>
      <c r="S1038" s="598" t="s">
        <v>321</v>
      </c>
      <c r="T1038" s="598" t="s">
        <v>3309</v>
      </c>
      <c r="U1038" s="598" t="s">
        <v>3309</v>
      </c>
      <c r="V1038" s="598" t="s">
        <v>3309</v>
      </c>
      <c r="W1038" s="598" t="s">
        <v>3309</v>
      </c>
      <c r="X1038" s="598" t="s">
        <v>3309</v>
      </c>
      <c r="Y1038" s="598" t="s">
        <v>321</v>
      </c>
      <c r="Z1038" s="598" t="s">
        <v>321</v>
      </c>
      <c r="AA1038" s="598" t="s">
        <v>3309</v>
      </c>
      <c r="AB1038" s="598" t="s">
        <v>3309</v>
      </c>
      <c r="AC1038" s="598" t="s">
        <v>3309</v>
      </c>
      <c r="AD1038" s="598" t="s">
        <v>3309</v>
      </c>
      <c r="AE1038" s="598" t="s">
        <v>3309</v>
      </c>
      <c r="AF1038" s="598" t="s">
        <v>321</v>
      </c>
      <c r="AG1038" s="598" t="s">
        <v>321</v>
      </c>
      <c r="AH1038" s="598" t="s">
        <v>3309</v>
      </c>
      <c r="AI1038" s="598" t="s">
        <v>321</v>
      </c>
      <c r="AJ1038" s="599">
        <v>21</v>
      </c>
      <c r="AK1038" s="600">
        <v>21</v>
      </c>
      <c r="AL1038" s="601">
        <v>0</v>
      </c>
      <c r="AM1038" s="601">
        <v>0</v>
      </c>
      <c r="AN1038" s="599">
        <v>21</v>
      </c>
    </row>
    <row r="1039" spans="1:40" ht="16.5" customHeight="1">
      <c r="A1039" s="598" t="s">
        <v>3353</v>
      </c>
      <c r="B1039" s="598" t="s">
        <v>3358</v>
      </c>
      <c r="C1039" s="598" t="s">
        <v>2943</v>
      </c>
      <c r="D1039" s="598" t="s">
        <v>2944</v>
      </c>
      <c r="E1039" s="598" t="s">
        <v>321</v>
      </c>
      <c r="F1039" s="598" t="s">
        <v>3309</v>
      </c>
      <c r="G1039" s="598" t="s">
        <v>3309</v>
      </c>
      <c r="H1039" s="598" t="s">
        <v>3309</v>
      </c>
      <c r="I1039" s="598" t="s">
        <v>3309</v>
      </c>
      <c r="J1039" s="598" t="s">
        <v>3309</v>
      </c>
      <c r="K1039" s="598" t="s">
        <v>321</v>
      </c>
      <c r="L1039" s="598" t="s">
        <v>321</v>
      </c>
      <c r="M1039" s="598" t="s">
        <v>3309</v>
      </c>
      <c r="N1039" s="598" t="s">
        <v>3309</v>
      </c>
      <c r="O1039" s="598" t="s">
        <v>3314</v>
      </c>
      <c r="P1039" s="598" t="s">
        <v>3309</v>
      </c>
      <c r="Q1039" s="598" t="s">
        <v>3309</v>
      </c>
      <c r="R1039" s="598" t="s">
        <v>321</v>
      </c>
      <c r="S1039" s="598" t="s">
        <v>321</v>
      </c>
      <c r="T1039" s="598" t="s">
        <v>3309</v>
      </c>
      <c r="U1039" s="598" t="s">
        <v>3309</v>
      </c>
      <c r="V1039" s="598" t="s">
        <v>3309</v>
      </c>
      <c r="W1039" s="598" t="s">
        <v>3309</v>
      </c>
      <c r="X1039" s="598" t="s">
        <v>3309</v>
      </c>
      <c r="Y1039" s="598" t="s">
        <v>321</v>
      </c>
      <c r="Z1039" s="598" t="s">
        <v>321</v>
      </c>
      <c r="AA1039" s="598" t="s">
        <v>3309</v>
      </c>
      <c r="AB1039" s="598" t="s">
        <v>3309</v>
      </c>
      <c r="AC1039" s="598" t="s">
        <v>3309</v>
      </c>
      <c r="AD1039" s="598" t="s">
        <v>3309</v>
      </c>
      <c r="AE1039" s="598" t="s">
        <v>3309</v>
      </c>
      <c r="AF1039" s="598" t="s">
        <v>321</v>
      </c>
      <c r="AG1039" s="598" t="s">
        <v>321</v>
      </c>
      <c r="AH1039" s="598" t="s">
        <v>3309</v>
      </c>
      <c r="AI1039" s="598" t="s">
        <v>321</v>
      </c>
      <c r="AJ1039" s="599">
        <v>21</v>
      </c>
      <c r="AK1039" s="603">
        <v>20.5</v>
      </c>
      <c r="AL1039" s="604">
        <v>0.5</v>
      </c>
      <c r="AM1039" s="601">
        <v>0</v>
      </c>
      <c r="AN1039" s="599">
        <v>21</v>
      </c>
    </row>
    <row r="1040" spans="1:40" ht="16.5" customHeight="1">
      <c r="A1040" s="598" t="s">
        <v>3353</v>
      </c>
      <c r="B1040" s="598" t="s">
        <v>3358</v>
      </c>
      <c r="C1040" s="598" t="s">
        <v>2158</v>
      </c>
      <c r="D1040" s="598" t="s">
        <v>2159</v>
      </c>
      <c r="E1040" s="598" t="s">
        <v>321</v>
      </c>
      <c r="F1040" s="598" t="s">
        <v>3309</v>
      </c>
      <c r="G1040" s="598" t="s">
        <v>3309</v>
      </c>
      <c r="H1040" s="598" t="s">
        <v>3309</v>
      </c>
      <c r="I1040" s="598" t="s">
        <v>3309</v>
      </c>
      <c r="J1040" s="598" t="s">
        <v>3309</v>
      </c>
      <c r="K1040" s="598" t="s">
        <v>321</v>
      </c>
      <c r="L1040" s="598" t="s">
        <v>321</v>
      </c>
      <c r="M1040" s="598" t="s">
        <v>3309</v>
      </c>
      <c r="N1040" s="598" t="s">
        <v>3309</v>
      </c>
      <c r="O1040" s="598" t="s">
        <v>3309</v>
      </c>
      <c r="P1040" s="598" t="s">
        <v>3309</v>
      </c>
      <c r="Q1040" s="598" t="s">
        <v>3309</v>
      </c>
      <c r="R1040" s="598" t="s">
        <v>321</v>
      </c>
      <c r="S1040" s="598" t="s">
        <v>321</v>
      </c>
      <c r="T1040" s="598" t="s">
        <v>3309</v>
      </c>
      <c r="U1040" s="598" t="s">
        <v>3309</v>
      </c>
      <c r="V1040" s="598" t="s">
        <v>3309</v>
      </c>
      <c r="W1040" s="598" t="s">
        <v>3309</v>
      </c>
      <c r="X1040" s="598" t="s">
        <v>3309</v>
      </c>
      <c r="Y1040" s="598" t="s">
        <v>321</v>
      </c>
      <c r="Z1040" s="598" t="s">
        <v>321</v>
      </c>
      <c r="AA1040" s="598" t="s">
        <v>3309</v>
      </c>
      <c r="AB1040" s="598" t="s">
        <v>3309</v>
      </c>
      <c r="AC1040" s="598" t="s">
        <v>3309</v>
      </c>
      <c r="AD1040" s="598" t="s">
        <v>3309</v>
      </c>
      <c r="AE1040" s="598" t="s">
        <v>3309</v>
      </c>
      <c r="AF1040" s="598" t="s">
        <v>321</v>
      </c>
      <c r="AG1040" s="598" t="s">
        <v>321</v>
      </c>
      <c r="AH1040" s="598" t="s">
        <v>3309</v>
      </c>
      <c r="AI1040" s="598" t="s">
        <v>321</v>
      </c>
      <c r="AJ1040" s="599">
        <v>21</v>
      </c>
      <c r="AK1040" s="600">
        <v>21</v>
      </c>
      <c r="AL1040" s="601">
        <v>0</v>
      </c>
      <c r="AM1040" s="601">
        <v>0</v>
      </c>
      <c r="AN1040" s="599">
        <v>21</v>
      </c>
    </row>
    <row r="1041" spans="1:40" ht="16.5" customHeight="1">
      <c r="A1041" s="598" t="s">
        <v>3353</v>
      </c>
      <c r="B1041" s="598" t="s">
        <v>3358</v>
      </c>
      <c r="C1041" s="598" t="s">
        <v>2088</v>
      </c>
      <c r="D1041" s="598" t="s">
        <v>2089</v>
      </c>
      <c r="E1041" s="598" t="s">
        <v>321</v>
      </c>
      <c r="F1041" s="598" t="s">
        <v>3309</v>
      </c>
      <c r="G1041" s="598" t="s">
        <v>3309</v>
      </c>
      <c r="H1041" s="598" t="s">
        <v>3309</v>
      </c>
      <c r="I1041" s="598" t="s">
        <v>3309</v>
      </c>
      <c r="J1041" s="598" t="s">
        <v>3309</v>
      </c>
      <c r="K1041" s="598" t="s">
        <v>321</v>
      </c>
      <c r="L1041" s="598" t="s">
        <v>321</v>
      </c>
      <c r="M1041" s="598" t="s">
        <v>3309</v>
      </c>
      <c r="N1041" s="598" t="s">
        <v>3309</v>
      </c>
      <c r="O1041" s="598" t="s">
        <v>3309</v>
      </c>
      <c r="P1041" s="598" t="s">
        <v>3309</v>
      </c>
      <c r="Q1041" s="598" t="s">
        <v>3309</v>
      </c>
      <c r="R1041" s="598" t="s">
        <v>321</v>
      </c>
      <c r="S1041" s="598" t="s">
        <v>321</v>
      </c>
      <c r="T1041" s="598" t="s">
        <v>3309</v>
      </c>
      <c r="U1041" s="598" t="s">
        <v>3309</v>
      </c>
      <c r="V1041" s="598" t="s">
        <v>3309</v>
      </c>
      <c r="W1041" s="598" t="s">
        <v>3309</v>
      </c>
      <c r="X1041" s="598" t="s">
        <v>3309</v>
      </c>
      <c r="Y1041" s="598" t="s">
        <v>321</v>
      </c>
      <c r="Z1041" s="598" t="s">
        <v>321</v>
      </c>
      <c r="AA1041" s="598" t="s">
        <v>3309</v>
      </c>
      <c r="AB1041" s="598" t="s">
        <v>3309</v>
      </c>
      <c r="AC1041" s="598" t="s">
        <v>3309</v>
      </c>
      <c r="AD1041" s="598" t="s">
        <v>3309</v>
      </c>
      <c r="AE1041" s="598" t="s">
        <v>3309</v>
      </c>
      <c r="AF1041" s="598" t="s">
        <v>321</v>
      </c>
      <c r="AG1041" s="598" t="s">
        <v>321</v>
      </c>
      <c r="AH1041" s="598" t="s">
        <v>3309</v>
      </c>
      <c r="AI1041" s="598" t="s">
        <v>321</v>
      </c>
      <c r="AJ1041" s="599">
        <v>21</v>
      </c>
      <c r="AK1041" s="600">
        <v>21</v>
      </c>
      <c r="AL1041" s="601">
        <v>0</v>
      </c>
      <c r="AM1041" s="601">
        <v>0</v>
      </c>
      <c r="AN1041" s="599">
        <v>21</v>
      </c>
    </row>
    <row r="1042" spans="1:40" ht="16.5" customHeight="1">
      <c r="A1042" s="598" t="s">
        <v>3353</v>
      </c>
      <c r="B1042" s="598" t="s">
        <v>3358</v>
      </c>
      <c r="C1042" s="598" t="s">
        <v>2042</v>
      </c>
      <c r="D1042" s="598" t="s">
        <v>2043</v>
      </c>
      <c r="E1042" s="598" t="s">
        <v>321</v>
      </c>
      <c r="F1042" s="598" t="s">
        <v>3309</v>
      </c>
      <c r="G1042" s="598" t="s">
        <v>3309</v>
      </c>
      <c r="H1042" s="598" t="s">
        <v>3309</v>
      </c>
      <c r="I1042" s="598" t="s">
        <v>3309</v>
      </c>
      <c r="J1042" s="598" t="s">
        <v>3309</v>
      </c>
      <c r="K1042" s="598" t="s">
        <v>321</v>
      </c>
      <c r="L1042" s="598" t="s">
        <v>321</v>
      </c>
      <c r="M1042" s="598" t="s">
        <v>3309</v>
      </c>
      <c r="N1042" s="598" t="s">
        <v>3309</v>
      </c>
      <c r="O1042" s="598" t="s">
        <v>3309</v>
      </c>
      <c r="P1042" s="598" t="s">
        <v>3309</v>
      </c>
      <c r="Q1042" s="598" t="s">
        <v>3309</v>
      </c>
      <c r="R1042" s="598" t="s">
        <v>321</v>
      </c>
      <c r="S1042" s="598" t="s">
        <v>321</v>
      </c>
      <c r="T1042" s="598" t="s">
        <v>3309</v>
      </c>
      <c r="U1042" s="598" t="s">
        <v>3309</v>
      </c>
      <c r="V1042" s="598" t="s">
        <v>3309</v>
      </c>
      <c r="W1042" s="598" t="s">
        <v>3309</v>
      </c>
      <c r="X1042" s="598" t="s">
        <v>3309</v>
      </c>
      <c r="Y1042" s="598" t="s">
        <v>321</v>
      </c>
      <c r="Z1042" s="598" t="s">
        <v>321</v>
      </c>
      <c r="AA1042" s="598" t="s">
        <v>3309</v>
      </c>
      <c r="AB1042" s="598" t="s">
        <v>3309</v>
      </c>
      <c r="AC1042" s="598" t="s">
        <v>3309</v>
      </c>
      <c r="AD1042" s="598" t="s">
        <v>3309</v>
      </c>
      <c r="AE1042" s="598" t="s">
        <v>3309</v>
      </c>
      <c r="AF1042" s="598" t="s">
        <v>321</v>
      </c>
      <c r="AG1042" s="598" t="s">
        <v>321</v>
      </c>
      <c r="AH1042" s="598" t="s">
        <v>3309</v>
      </c>
      <c r="AI1042" s="598" t="s">
        <v>321</v>
      </c>
      <c r="AJ1042" s="599">
        <v>21</v>
      </c>
      <c r="AK1042" s="600">
        <v>21</v>
      </c>
      <c r="AL1042" s="601">
        <v>0</v>
      </c>
      <c r="AM1042" s="601">
        <v>0</v>
      </c>
      <c r="AN1042" s="599">
        <v>21</v>
      </c>
    </row>
    <row r="1043" spans="1:40" ht="16.5" customHeight="1">
      <c r="A1043" s="598" t="s">
        <v>3353</v>
      </c>
      <c r="B1043" s="598" t="s">
        <v>3358</v>
      </c>
      <c r="C1043" s="598" t="s">
        <v>2443</v>
      </c>
      <c r="D1043" s="598" t="s">
        <v>2444</v>
      </c>
      <c r="E1043" s="598" t="s">
        <v>321</v>
      </c>
      <c r="F1043" s="598" t="s">
        <v>3309</v>
      </c>
      <c r="G1043" s="598" t="s">
        <v>3309</v>
      </c>
      <c r="H1043" s="598" t="s">
        <v>3309</v>
      </c>
      <c r="I1043" s="598" t="s">
        <v>3309</v>
      </c>
      <c r="J1043" s="598" t="s">
        <v>3309</v>
      </c>
      <c r="K1043" s="598" t="s">
        <v>321</v>
      </c>
      <c r="L1043" s="598" t="s">
        <v>321</v>
      </c>
      <c r="M1043" s="598" t="s">
        <v>3309</v>
      </c>
      <c r="N1043" s="598" t="s">
        <v>3309</v>
      </c>
      <c r="O1043" s="598" t="s">
        <v>3309</v>
      </c>
      <c r="P1043" s="598" t="s">
        <v>3309</v>
      </c>
      <c r="Q1043" s="598" t="s">
        <v>3309</v>
      </c>
      <c r="R1043" s="598" t="s">
        <v>321</v>
      </c>
      <c r="S1043" s="598" t="s">
        <v>321</v>
      </c>
      <c r="T1043" s="598" t="s">
        <v>3309</v>
      </c>
      <c r="U1043" s="598" t="s">
        <v>3309</v>
      </c>
      <c r="V1043" s="598" t="s">
        <v>3309</v>
      </c>
      <c r="W1043" s="598" t="s">
        <v>3309</v>
      </c>
      <c r="X1043" s="598" t="s">
        <v>3309</v>
      </c>
      <c r="Y1043" s="598" t="s">
        <v>321</v>
      </c>
      <c r="Z1043" s="598" t="s">
        <v>321</v>
      </c>
      <c r="AA1043" s="598" t="s">
        <v>3309</v>
      </c>
      <c r="AB1043" s="598" t="s">
        <v>3309</v>
      </c>
      <c r="AC1043" s="598" t="s">
        <v>3309</v>
      </c>
      <c r="AD1043" s="598" t="s">
        <v>3314</v>
      </c>
      <c r="AE1043" s="598" t="s">
        <v>3309</v>
      </c>
      <c r="AF1043" s="598" t="s">
        <v>321</v>
      </c>
      <c r="AG1043" s="598" t="s">
        <v>321</v>
      </c>
      <c r="AH1043" s="598" t="s">
        <v>3309</v>
      </c>
      <c r="AI1043" s="598" t="s">
        <v>321</v>
      </c>
      <c r="AJ1043" s="599">
        <v>21</v>
      </c>
      <c r="AK1043" s="603">
        <v>20.5</v>
      </c>
      <c r="AL1043" s="604">
        <v>0.5</v>
      </c>
      <c r="AM1043" s="601">
        <v>0</v>
      </c>
      <c r="AN1043" s="599">
        <v>21</v>
      </c>
    </row>
    <row r="1044" spans="1:40" ht="16.5" customHeight="1">
      <c r="A1044" s="598" t="s">
        <v>3353</v>
      </c>
      <c r="B1044" s="598" t="s">
        <v>3358</v>
      </c>
      <c r="C1044" s="598" t="s">
        <v>1742</v>
      </c>
      <c r="D1044" s="598" t="s">
        <v>1445</v>
      </c>
      <c r="E1044" s="598" t="s">
        <v>321</v>
      </c>
      <c r="F1044" s="598" t="s">
        <v>3309</v>
      </c>
      <c r="G1044" s="598" t="s">
        <v>3309</v>
      </c>
      <c r="H1044" s="598" t="s">
        <v>3309</v>
      </c>
      <c r="I1044" s="598" t="s">
        <v>3309</v>
      </c>
      <c r="J1044" s="598" t="s">
        <v>3309</v>
      </c>
      <c r="K1044" s="598" t="s">
        <v>321</v>
      </c>
      <c r="L1044" s="598" t="s">
        <v>321</v>
      </c>
      <c r="M1044" s="598" t="s">
        <v>3309</v>
      </c>
      <c r="N1044" s="598" t="s">
        <v>3309</v>
      </c>
      <c r="O1044" s="598" t="s">
        <v>3309</v>
      </c>
      <c r="P1044" s="598" t="s">
        <v>3309</v>
      </c>
      <c r="Q1044" s="598" t="s">
        <v>3309</v>
      </c>
      <c r="R1044" s="598" t="s">
        <v>321</v>
      </c>
      <c r="S1044" s="598" t="s">
        <v>321</v>
      </c>
      <c r="T1044" s="598" t="s">
        <v>3309</v>
      </c>
      <c r="U1044" s="598" t="s">
        <v>3309</v>
      </c>
      <c r="V1044" s="598" t="s">
        <v>3309</v>
      </c>
      <c r="W1044" s="598" t="s">
        <v>3309</v>
      </c>
      <c r="X1044" s="598" t="s">
        <v>3309</v>
      </c>
      <c r="Y1044" s="598" t="s">
        <v>321</v>
      </c>
      <c r="Z1044" s="598" t="s">
        <v>321</v>
      </c>
      <c r="AA1044" s="598" t="s">
        <v>3309</v>
      </c>
      <c r="AB1044" s="598" t="s">
        <v>3309</v>
      </c>
      <c r="AC1044" s="598" t="s">
        <v>3309</v>
      </c>
      <c r="AD1044" s="598" t="s">
        <v>3309</v>
      </c>
      <c r="AE1044" s="598" t="s">
        <v>3309</v>
      </c>
      <c r="AF1044" s="598" t="s">
        <v>321</v>
      </c>
      <c r="AG1044" s="598" t="s">
        <v>321</v>
      </c>
      <c r="AH1044" s="598" t="s">
        <v>3309</v>
      </c>
      <c r="AI1044" s="598" t="s">
        <v>321</v>
      </c>
      <c r="AJ1044" s="599">
        <v>21</v>
      </c>
      <c r="AK1044" s="600">
        <v>21</v>
      </c>
      <c r="AL1044" s="601">
        <v>0</v>
      </c>
      <c r="AM1044" s="601">
        <v>0</v>
      </c>
      <c r="AN1044" s="599">
        <v>21</v>
      </c>
    </row>
    <row r="1045" spans="1:40" ht="16.5" customHeight="1">
      <c r="A1045" s="598" t="s">
        <v>3353</v>
      </c>
      <c r="B1045" s="598" t="s">
        <v>3358</v>
      </c>
      <c r="C1045" s="598" t="s">
        <v>1789</v>
      </c>
      <c r="D1045" s="598" t="s">
        <v>1790</v>
      </c>
      <c r="E1045" s="598" t="s">
        <v>321</v>
      </c>
      <c r="F1045" s="598" t="s">
        <v>3309</v>
      </c>
      <c r="G1045" s="598" t="s">
        <v>3309</v>
      </c>
      <c r="H1045" s="598" t="s">
        <v>3309</v>
      </c>
      <c r="I1045" s="598" t="s">
        <v>3309</v>
      </c>
      <c r="J1045" s="598" t="s">
        <v>3309</v>
      </c>
      <c r="K1045" s="598" t="s">
        <v>321</v>
      </c>
      <c r="L1045" s="598" t="s">
        <v>321</v>
      </c>
      <c r="M1045" s="598" t="s">
        <v>3309</v>
      </c>
      <c r="N1045" s="598" t="s">
        <v>3309</v>
      </c>
      <c r="O1045" s="598" t="s">
        <v>3309</v>
      </c>
      <c r="P1045" s="598" t="s">
        <v>3309</v>
      </c>
      <c r="Q1045" s="598" t="s">
        <v>3309</v>
      </c>
      <c r="R1045" s="598" t="s">
        <v>321</v>
      </c>
      <c r="S1045" s="598" t="s">
        <v>321</v>
      </c>
      <c r="T1045" s="598" t="s">
        <v>3309</v>
      </c>
      <c r="U1045" s="598" t="s">
        <v>3309</v>
      </c>
      <c r="V1045" s="598" t="s">
        <v>3309</v>
      </c>
      <c r="W1045" s="598" t="s">
        <v>3309</v>
      </c>
      <c r="X1045" s="598" t="s">
        <v>3309</v>
      </c>
      <c r="Y1045" s="598" t="s">
        <v>321</v>
      </c>
      <c r="Z1045" s="598" t="s">
        <v>321</v>
      </c>
      <c r="AA1045" s="598" t="s">
        <v>3309</v>
      </c>
      <c r="AB1045" s="598" t="s">
        <v>3309</v>
      </c>
      <c r="AC1045" s="598" t="s">
        <v>3309</v>
      </c>
      <c r="AD1045" s="598" t="s">
        <v>3309</v>
      </c>
      <c r="AE1045" s="598" t="s">
        <v>3309</v>
      </c>
      <c r="AF1045" s="598" t="s">
        <v>321</v>
      </c>
      <c r="AG1045" s="598" t="s">
        <v>321</v>
      </c>
      <c r="AH1045" s="598" t="s">
        <v>3309</v>
      </c>
      <c r="AI1045" s="598" t="s">
        <v>321</v>
      </c>
      <c r="AJ1045" s="599">
        <v>21</v>
      </c>
      <c r="AK1045" s="600">
        <v>21</v>
      </c>
      <c r="AL1045" s="601">
        <v>0</v>
      </c>
      <c r="AM1045" s="601">
        <v>0</v>
      </c>
      <c r="AN1045" s="599">
        <v>21</v>
      </c>
    </row>
    <row r="1046" spans="1:40" ht="16.5" customHeight="1">
      <c r="A1046" s="598" t="s">
        <v>3353</v>
      </c>
      <c r="B1046" s="598" t="s">
        <v>3358</v>
      </c>
      <c r="C1046" s="598" t="s">
        <v>2929</v>
      </c>
      <c r="D1046" s="598" t="s">
        <v>2930</v>
      </c>
      <c r="E1046" s="598" t="s">
        <v>321</v>
      </c>
      <c r="F1046" s="598" t="s">
        <v>3309</v>
      </c>
      <c r="G1046" s="598" t="s">
        <v>3309</v>
      </c>
      <c r="H1046" s="598" t="s">
        <v>3309</v>
      </c>
      <c r="I1046" s="598" t="s">
        <v>3309</v>
      </c>
      <c r="J1046" s="598" t="s">
        <v>3309</v>
      </c>
      <c r="K1046" s="598" t="s">
        <v>321</v>
      </c>
      <c r="L1046" s="598" t="s">
        <v>321</v>
      </c>
      <c r="M1046" s="598" t="s">
        <v>3309</v>
      </c>
      <c r="N1046" s="598" t="s">
        <v>3309</v>
      </c>
      <c r="O1046" s="598" t="s">
        <v>3309</v>
      </c>
      <c r="P1046" s="598" t="s">
        <v>3309</v>
      </c>
      <c r="Q1046" s="598" t="s">
        <v>3309</v>
      </c>
      <c r="R1046" s="598" t="s">
        <v>321</v>
      </c>
      <c r="S1046" s="598" t="s">
        <v>321</v>
      </c>
      <c r="T1046" s="598" t="s">
        <v>3309</v>
      </c>
      <c r="U1046" s="598" t="s">
        <v>3309</v>
      </c>
      <c r="V1046" s="598" t="s">
        <v>3309</v>
      </c>
      <c r="W1046" s="598" t="s">
        <v>3309</v>
      </c>
      <c r="X1046" s="598" t="s">
        <v>3309</v>
      </c>
      <c r="Y1046" s="598" t="s">
        <v>321</v>
      </c>
      <c r="Z1046" s="598" t="s">
        <v>321</v>
      </c>
      <c r="AA1046" s="598" t="s">
        <v>3309</v>
      </c>
      <c r="AB1046" s="598" t="s">
        <v>3309</v>
      </c>
      <c r="AC1046" s="598" t="s">
        <v>3309</v>
      </c>
      <c r="AD1046" s="598" t="s">
        <v>3309</v>
      </c>
      <c r="AE1046" s="598" t="s">
        <v>3309</v>
      </c>
      <c r="AF1046" s="598" t="s">
        <v>321</v>
      </c>
      <c r="AG1046" s="598" t="s">
        <v>321</v>
      </c>
      <c r="AH1046" s="598" t="s">
        <v>3309</v>
      </c>
      <c r="AI1046" s="598" t="s">
        <v>321</v>
      </c>
      <c r="AJ1046" s="599">
        <v>21</v>
      </c>
      <c r="AK1046" s="600">
        <v>21</v>
      </c>
      <c r="AL1046" s="601">
        <v>0</v>
      </c>
      <c r="AM1046" s="601">
        <v>0</v>
      </c>
      <c r="AN1046" s="599">
        <v>21</v>
      </c>
    </row>
    <row r="1047" spans="1:40" ht="16.5" customHeight="1">
      <c r="A1047" s="598" t="s">
        <v>3353</v>
      </c>
      <c r="B1047" s="598" t="s">
        <v>3358</v>
      </c>
      <c r="C1047" s="598" t="s">
        <v>1684</v>
      </c>
      <c r="D1047" s="598" t="s">
        <v>1685</v>
      </c>
      <c r="E1047" s="598" t="s">
        <v>321</v>
      </c>
      <c r="F1047" s="598" t="s">
        <v>3309</v>
      </c>
      <c r="G1047" s="598" t="s">
        <v>3309</v>
      </c>
      <c r="H1047" s="598" t="s">
        <v>3309</v>
      </c>
      <c r="I1047" s="598" t="s">
        <v>3309</v>
      </c>
      <c r="J1047" s="598" t="s">
        <v>3309</v>
      </c>
      <c r="K1047" s="598" t="s">
        <v>321</v>
      </c>
      <c r="L1047" s="598" t="s">
        <v>321</v>
      </c>
      <c r="M1047" s="598" t="s">
        <v>3309</v>
      </c>
      <c r="N1047" s="598" t="s">
        <v>3309</v>
      </c>
      <c r="O1047" s="598" t="s">
        <v>3309</v>
      </c>
      <c r="P1047" s="598" t="s">
        <v>3309</v>
      </c>
      <c r="Q1047" s="598" t="s">
        <v>3309</v>
      </c>
      <c r="R1047" s="598" t="s">
        <v>321</v>
      </c>
      <c r="S1047" s="598" t="s">
        <v>321</v>
      </c>
      <c r="T1047" s="598" t="s">
        <v>3309</v>
      </c>
      <c r="U1047" s="598" t="s">
        <v>3309</v>
      </c>
      <c r="V1047" s="598" t="s">
        <v>3309</v>
      </c>
      <c r="W1047" s="598" t="s">
        <v>3309</v>
      </c>
      <c r="X1047" s="598" t="s">
        <v>3309</v>
      </c>
      <c r="Y1047" s="598" t="s">
        <v>321</v>
      </c>
      <c r="Z1047" s="598" t="s">
        <v>321</v>
      </c>
      <c r="AA1047" s="598" t="s">
        <v>3309</v>
      </c>
      <c r="AB1047" s="598" t="s">
        <v>3309</v>
      </c>
      <c r="AC1047" s="598" t="s">
        <v>3309</v>
      </c>
      <c r="AD1047" s="598" t="s">
        <v>3309</v>
      </c>
      <c r="AE1047" s="598" t="s">
        <v>3309</v>
      </c>
      <c r="AF1047" s="598" t="s">
        <v>321</v>
      </c>
      <c r="AG1047" s="598" t="s">
        <v>321</v>
      </c>
      <c r="AH1047" s="598" t="s">
        <v>3309</v>
      </c>
      <c r="AI1047" s="598" t="s">
        <v>321</v>
      </c>
      <c r="AJ1047" s="599">
        <v>21</v>
      </c>
      <c r="AK1047" s="600">
        <v>21</v>
      </c>
      <c r="AL1047" s="601">
        <v>0</v>
      </c>
      <c r="AM1047" s="601">
        <v>0</v>
      </c>
      <c r="AN1047" s="599">
        <v>21</v>
      </c>
    </row>
    <row r="1048" spans="1:40" ht="16.5" customHeight="1">
      <c r="A1048" s="598" t="s">
        <v>3353</v>
      </c>
      <c r="B1048" s="598" t="s">
        <v>3358</v>
      </c>
      <c r="C1048" s="598" t="s">
        <v>1029</v>
      </c>
      <c r="D1048" s="598" t="s">
        <v>1030</v>
      </c>
      <c r="E1048" s="598" t="s">
        <v>321</v>
      </c>
      <c r="F1048" s="598" t="s">
        <v>3309</v>
      </c>
      <c r="G1048" s="598" t="s">
        <v>3309</v>
      </c>
      <c r="H1048" s="598" t="s">
        <v>3309</v>
      </c>
      <c r="I1048" s="598" t="s">
        <v>3309</v>
      </c>
      <c r="J1048" s="598" t="s">
        <v>3309</v>
      </c>
      <c r="K1048" s="598" t="s">
        <v>321</v>
      </c>
      <c r="L1048" s="598" t="s">
        <v>321</v>
      </c>
      <c r="M1048" s="598" t="s">
        <v>3309</v>
      </c>
      <c r="N1048" s="598" t="s">
        <v>3309</v>
      </c>
      <c r="O1048" s="598" t="s">
        <v>3309</v>
      </c>
      <c r="P1048" s="598" t="s">
        <v>3309</v>
      </c>
      <c r="Q1048" s="598" t="s">
        <v>3309</v>
      </c>
      <c r="R1048" s="598" t="s">
        <v>321</v>
      </c>
      <c r="S1048" s="598" t="s">
        <v>321</v>
      </c>
      <c r="T1048" s="598" t="s">
        <v>3309</v>
      </c>
      <c r="U1048" s="598" t="s">
        <v>3309</v>
      </c>
      <c r="V1048" s="598" t="s">
        <v>3312</v>
      </c>
      <c r="W1048" s="598" t="s">
        <v>3309</v>
      </c>
      <c r="X1048" s="598" t="s">
        <v>3309</v>
      </c>
      <c r="Y1048" s="598" t="s">
        <v>321</v>
      </c>
      <c r="Z1048" s="598" t="s">
        <v>321</v>
      </c>
      <c r="AA1048" s="598" t="s">
        <v>3309</v>
      </c>
      <c r="AB1048" s="598" t="s">
        <v>3309</v>
      </c>
      <c r="AC1048" s="598" t="s">
        <v>3309</v>
      </c>
      <c r="AD1048" s="598" t="s">
        <v>3309</v>
      </c>
      <c r="AE1048" s="598" t="s">
        <v>3309</v>
      </c>
      <c r="AF1048" s="598" t="s">
        <v>321</v>
      </c>
      <c r="AG1048" s="598" t="s">
        <v>321</v>
      </c>
      <c r="AH1048" s="598" t="s">
        <v>3309</v>
      </c>
      <c r="AI1048" s="598" t="s">
        <v>321</v>
      </c>
      <c r="AJ1048" s="599">
        <v>21</v>
      </c>
      <c r="AK1048" s="600">
        <v>20</v>
      </c>
      <c r="AL1048" s="602">
        <v>1</v>
      </c>
      <c r="AM1048" s="601">
        <v>0</v>
      </c>
      <c r="AN1048" s="599">
        <v>21</v>
      </c>
    </row>
    <row r="1049" spans="1:40" ht="16.5" customHeight="1">
      <c r="A1049" s="598" t="s">
        <v>3353</v>
      </c>
      <c r="B1049" s="598" t="s">
        <v>3358</v>
      </c>
      <c r="C1049" s="598" t="s">
        <v>2449</v>
      </c>
      <c r="D1049" s="598" t="s">
        <v>2450</v>
      </c>
      <c r="E1049" s="598" t="s">
        <v>321</v>
      </c>
      <c r="F1049" s="598" t="s">
        <v>3309</v>
      </c>
      <c r="G1049" s="598" t="s">
        <v>3309</v>
      </c>
      <c r="H1049" s="598" t="s">
        <v>3309</v>
      </c>
      <c r="I1049" s="598" t="s">
        <v>3309</v>
      </c>
      <c r="J1049" s="598" t="s">
        <v>3309</v>
      </c>
      <c r="K1049" s="598" t="s">
        <v>321</v>
      </c>
      <c r="L1049" s="598" t="s">
        <v>321</v>
      </c>
      <c r="M1049" s="598" t="s">
        <v>3309</v>
      </c>
      <c r="N1049" s="598" t="s">
        <v>3309</v>
      </c>
      <c r="O1049" s="598" t="s">
        <v>3309</v>
      </c>
      <c r="P1049" s="598" t="s">
        <v>3309</v>
      </c>
      <c r="Q1049" s="598" t="s">
        <v>3309</v>
      </c>
      <c r="R1049" s="598" t="s">
        <v>321</v>
      </c>
      <c r="S1049" s="598" t="s">
        <v>321</v>
      </c>
      <c r="T1049" s="598" t="s">
        <v>3309</v>
      </c>
      <c r="U1049" s="598" t="s">
        <v>3309</v>
      </c>
      <c r="V1049" s="598" t="s">
        <v>3309</v>
      </c>
      <c r="W1049" s="598" t="s">
        <v>3309</v>
      </c>
      <c r="X1049" s="598" t="s">
        <v>3309</v>
      </c>
      <c r="Y1049" s="598" t="s">
        <v>321</v>
      </c>
      <c r="Z1049" s="598" t="s">
        <v>321</v>
      </c>
      <c r="AA1049" s="598" t="s">
        <v>3309</v>
      </c>
      <c r="AB1049" s="598" t="s">
        <v>3309</v>
      </c>
      <c r="AC1049" s="598" t="s">
        <v>3309</v>
      </c>
      <c r="AD1049" s="598" t="s">
        <v>3309</v>
      </c>
      <c r="AE1049" s="598" t="s">
        <v>3309</v>
      </c>
      <c r="AF1049" s="598" t="s">
        <v>321</v>
      </c>
      <c r="AG1049" s="598" t="s">
        <v>321</v>
      </c>
      <c r="AH1049" s="598" t="s">
        <v>3309</v>
      </c>
      <c r="AI1049" s="598" t="s">
        <v>321</v>
      </c>
      <c r="AJ1049" s="599">
        <v>21</v>
      </c>
      <c r="AK1049" s="600">
        <v>21</v>
      </c>
      <c r="AL1049" s="601">
        <v>0</v>
      </c>
      <c r="AM1049" s="601">
        <v>0</v>
      </c>
      <c r="AN1049" s="599">
        <v>21</v>
      </c>
    </row>
    <row r="1050" spans="1:40" ht="16.5" customHeight="1">
      <c r="A1050" s="598" t="s">
        <v>3353</v>
      </c>
      <c r="B1050" s="598" t="s">
        <v>3358</v>
      </c>
      <c r="C1050" s="598" t="s">
        <v>1338</v>
      </c>
      <c r="D1050" s="598" t="s">
        <v>1339</v>
      </c>
      <c r="E1050" s="598" t="s">
        <v>321</v>
      </c>
      <c r="F1050" s="598" t="s">
        <v>3309</v>
      </c>
      <c r="G1050" s="598" t="s">
        <v>3309</v>
      </c>
      <c r="H1050" s="598" t="s">
        <v>3309</v>
      </c>
      <c r="I1050" s="598" t="s">
        <v>3309</v>
      </c>
      <c r="J1050" s="598" t="s">
        <v>3309</v>
      </c>
      <c r="K1050" s="598" t="s">
        <v>321</v>
      </c>
      <c r="L1050" s="598" t="s">
        <v>321</v>
      </c>
      <c r="M1050" s="598" t="s">
        <v>3309</v>
      </c>
      <c r="N1050" s="598" t="s">
        <v>3309</v>
      </c>
      <c r="O1050" s="598" t="s">
        <v>3309</v>
      </c>
      <c r="P1050" s="598" t="s">
        <v>3309</v>
      </c>
      <c r="Q1050" s="598" t="s">
        <v>3309</v>
      </c>
      <c r="R1050" s="598" t="s">
        <v>321</v>
      </c>
      <c r="S1050" s="598" t="s">
        <v>321</v>
      </c>
      <c r="T1050" s="598" t="s">
        <v>3309</v>
      </c>
      <c r="U1050" s="598" t="s">
        <v>3309</v>
      </c>
      <c r="V1050" s="598" t="s">
        <v>3309</v>
      </c>
      <c r="W1050" s="598" t="s">
        <v>3309</v>
      </c>
      <c r="X1050" s="598" t="s">
        <v>3312</v>
      </c>
      <c r="Y1050" s="598" t="s">
        <v>321</v>
      </c>
      <c r="Z1050" s="598" t="s">
        <v>321</v>
      </c>
      <c r="AA1050" s="598" t="s">
        <v>3309</v>
      </c>
      <c r="AB1050" s="598" t="s">
        <v>3309</v>
      </c>
      <c r="AC1050" s="598" t="s">
        <v>3309</v>
      </c>
      <c r="AD1050" s="598" t="s">
        <v>3309</v>
      </c>
      <c r="AE1050" s="598" t="s">
        <v>3309</v>
      </c>
      <c r="AF1050" s="598" t="s">
        <v>321</v>
      </c>
      <c r="AG1050" s="598" t="s">
        <v>321</v>
      </c>
      <c r="AH1050" s="598" t="s">
        <v>3309</v>
      </c>
      <c r="AI1050" s="598" t="s">
        <v>321</v>
      </c>
      <c r="AJ1050" s="599">
        <v>21</v>
      </c>
      <c r="AK1050" s="600">
        <v>20</v>
      </c>
      <c r="AL1050" s="602">
        <v>1</v>
      </c>
      <c r="AM1050" s="601">
        <v>0</v>
      </c>
      <c r="AN1050" s="599">
        <v>21</v>
      </c>
    </row>
    <row r="1051" spans="1:40" ht="16.5" customHeight="1">
      <c r="A1051" s="598" t="s">
        <v>3353</v>
      </c>
      <c r="B1051" s="598" t="s">
        <v>3358</v>
      </c>
      <c r="C1051" s="598" t="s">
        <v>2824</v>
      </c>
      <c r="D1051" s="598" t="s">
        <v>2825</v>
      </c>
      <c r="E1051" s="598" t="s">
        <v>321</v>
      </c>
      <c r="F1051" s="598" t="s">
        <v>3312</v>
      </c>
      <c r="G1051" s="598" t="s">
        <v>3309</v>
      </c>
      <c r="H1051" s="598" t="s">
        <v>3309</v>
      </c>
      <c r="I1051" s="598" t="s">
        <v>3309</v>
      </c>
      <c r="J1051" s="598" t="s">
        <v>3309</v>
      </c>
      <c r="K1051" s="598" t="s">
        <v>321</v>
      </c>
      <c r="L1051" s="598" t="s">
        <v>321</v>
      </c>
      <c r="M1051" s="598" t="s">
        <v>3309</v>
      </c>
      <c r="N1051" s="598" t="s">
        <v>3309</v>
      </c>
      <c r="O1051" s="598" t="s">
        <v>3309</v>
      </c>
      <c r="P1051" s="598" t="s">
        <v>3309</v>
      </c>
      <c r="Q1051" s="598" t="s">
        <v>3309</v>
      </c>
      <c r="R1051" s="598" t="s">
        <v>321</v>
      </c>
      <c r="S1051" s="598" t="s">
        <v>321</v>
      </c>
      <c r="T1051" s="598" t="s">
        <v>3309</v>
      </c>
      <c r="U1051" s="598" t="s">
        <v>3309</v>
      </c>
      <c r="V1051" s="598" t="s">
        <v>3309</v>
      </c>
      <c r="W1051" s="598" t="s">
        <v>3309</v>
      </c>
      <c r="X1051" s="598" t="s">
        <v>3309</v>
      </c>
      <c r="Y1051" s="598" t="s">
        <v>321</v>
      </c>
      <c r="Z1051" s="598" t="s">
        <v>321</v>
      </c>
      <c r="AA1051" s="598" t="s">
        <v>3309</v>
      </c>
      <c r="AB1051" s="598" t="s">
        <v>3309</v>
      </c>
      <c r="AC1051" s="598" t="s">
        <v>3309</v>
      </c>
      <c r="AD1051" s="598" t="s">
        <v>3309</v>
      </c>
      <c r="AE1051" s="598" t="s">
        <v>3309</v>
      </c>
      <c r="AF1051" s="598" t="s">
        <v>321</v>
      </c>
      <c r="AG1051" s="598" t="s">
        <v>321</v>
      </c>
      <c r="AH1051" s="598" t="s">
        <v>3309</v>
      </c>
      <c r="AI1051" s="598" t="s">
        <v>321</v>
      </c>
      <c r="AJ1051" s="599">
        <v>21</v>
      </c>
      <c r="AK1051" s="600">
        <v>20</v>
      </c>
      <c r="AL1051" s="602">
        <v>1</v>
      </c>
      <c r="AM1051" s="601">
        <v>0</v>
      </c>
      <c r="AN1051" s="599">
        <v>21</v>
      </c>
    </row>
    <row r="1052" spans="1:40" ht="16.5" customHeight="1">
      <c r="A1052" s="598" t="s">
        <v>3353</v>
      </c>
      <c r="B1052" s="598" t="s">
        <v>3358</v>
      </c>
      <c r="C1052" s="598" t="s">
        <v>1958</v>
      </c>
      <c r="D1052" s="598" t="s">
        <v>1959</v>
      </c>
      <c r="E1052" s="598" t="s">
        <v>321</v>
      </c>
      <c r="F1052" s="598" t="s">
        <v>3312</v>
      </c>
      <c r="G1052" s="598" t="s">
        <v>3312</v>
      </c>
      <c r="H1052" s="598" t="s">
        <v>3312</v>
      </c>
      <c r="I1052" s="598" t="s">
        <v>3312</v>
      </c>
      <c r="J1052" s="598" t="s">
        <v>3312</v>
      </c>
      <c r="K1052" s="598" t="s">
        <v>321</v>
      </c>
      <c r="L1052" s="598" t="s">
        <v>321</v>
      </c>
      <c r="M1052" s="598" t="s">
        <v>3309</v>
      </c>
      <c r="N1052" s="598" t="s">
        <v>3309</v>
      </c>
      <c r="O1052" s="598" t="s">
        <v>3309</v>
      </c>
      <c r="P1052" s="598" t="s">
        <v>3309</v>
      </c>
      <c r="Q1052" s="598" t="s">
        <v>3309</v>
      </c>
      <c r="R1052" s="598" t="s">
        <v>321</v>
      </c>
      <c r="S1052" s="598" t="s">
        <v>321</v>
      </c>
      <c r="T1052" s="598" t="s">
        <v>3309</v>
      </c>
      <c r="U1052" s="598" t="s">
        <v>3309</v>
      </c>
      <c r="V1052" s="598" t="s">
        <v>3309</v>
      </c>
      <c r="W1052" s="598" t="s">
        <v>3309</v>
      </c>
      <c r="X1052" s="598" t="s">
        <v>3309</v>
      </c>
      <c r="Y1052" s="598" t="s">
        <v>321</v>
      </c>
      <c r="Z1052" s="598" t="s">
        <v>321</v>
      </c>
      <c r="AA1052" s="598" t="s">
        <v>3309</v>
      </c>
      <c r="AB1052" s="598" t="s">
        <v>3309</v>
      </c>
      <c r="AC1052" s="598" t="s">
        <v>3309</v>
      </c>
      <c r="AD1052" s="598" t="s">
        <v>3309</v>
      </c>
      <c r="AE1052" s="598" t="s">
        <v>3309</v>
      </c>
      <c r="AF1052" s="598" t="s">
        <v>321</v>
      </c>
      <c r="AG1052" s="598" t="s">
        <v>321</v>
      </c>
      <c r="AH1052" s="598" t="s">
        <v>3309</v>
      </c>
      <c r="AI1052" s="598" t="s">
        <v>321</v>
      </c>
      <c r="AJ1052" s="599">
        <v>21</v>
      </c>
      <c r="AK1052" s="600">
        <v>16</v>
      </c>
      <c r="AL1052" s="602">
        <v>5</v>
      </c>
      <c r="AM1052" s="601">
        <v>0</v>
      </c>
      <c r="AN1052" s="599">
        <v>21</v>
      </c>
    </row>
    <row r="1053" spans="1:40" ht="16.5" customHeight="1">
      <c r="A1053" s="598" t="s">
        <v>3353</v>
      </c>
      <c r="B1053" s="598" t="s">
        <v>3358</v>
      </c>
      <c r="C1053" s="598" t="s">
        <v>2402</v>
      </c>
      <c r="D1053" s="598" t="s">
        <v>2403</v>
      </c>
      <c r="E1053" s="598" t="s">
        <v>321</v>
      </c>
      <c r="F1053" s="598" t="s">
        <v>3309</v>
      </c>
      <c r="G1053" s="598" t="s">
        <v>3309</v>
      </c>
      <c r="H1053" s="598" t="s">
        <v>3309</v>
      </c>
      <c r="I1053" s="598" t="s">
        <v>3309</v>
      </c>
      <c r="J1053" s="598" t="s">
        <v>3313</v>
      </c>
      <c r="K1053" s="598" t="s">
        <v>321</v>
      </c>
      <c r="L1053" s="598" t="s">
        <v>321</v>
      </c>
      <c r="M1053" s="598" t="s">
        <v>3309</v>
      </c>
      <c r="N1053" s="598" t="s">
        <v>3309</v>
      </c>
      <c r="O1053" s="598" t="s">
        <v>3309</v>
      </c>
      <c r="P1053" s="598" t="s">
        <v>3309</v>
      </c>
      <c r="Q1053" s="598" t="s">
        <v>3309</v>
      </c>
      <c r="R1053" s="598" t="s">
        <v>321</v>
      </c>
      <c r="S1053" s="598" t="s">
        <v>321</v>
      </c>
      <c r="T1053" s="598" t="s">
        <v>3309</v>
      </c>
      <c r="U1053" s="598" t="s">
        <v>3309</v>
      </c>
      <c r="V1053" s="598" t="s">
        <v>3309</v>
      </c>
      <c r="W1053" s="598" t="s">
        <v>3309</v>
      </c>
      <c r="X1053" s="598" t="s">
        <v>3309</v>
      </c>
      <c r="Y1053" s="598" t="s">
        <v>321</v>
      </c>
      <c r="Z1053" s="598" t="s">
        <v>321</v>
      </c>
      <c r="AA1053" s="598" t="s">
        <v>3309</v>
      </c>
      <c r="AB1053" s="598" t="s">
        <v>3309</v>
      </c>
      <c r="AC1053" s="598" t="s">
        <v>3309</v>
      </c>
      <c r="AD1053" s="598" t="s">
        <v>3309</v>
      </c>
      <c r="AE1053" s="598" t="s">
        <v>3309</v>
      </c>
      <c r="AF1053" s="598" t="s">
        <v>321</v>
      </c>
      <c r="AG1053" s="598" t="s">
        <v>321</v>
      </c>
      <c r="AH1053" s="598" t="s">
        <v>3309</v>
      </c>
      <c r="AI1053" s="598" t="s">
        <v>321</v>
      </c>
      <c r="AJ1053" s="599">
        <v>21</v>
      </c>
      <c r="AK1053" s="600">
        <v>21</v>
      </c>
      <c r="AL1053" s="601">
        <v>0</v>
      </c>
      <c r="AM1053" s="601">
        <v>0</v>
      </c>
      <c r="AN1053" s="599">
        <v>21</v>
      </c>
    </row>
    <row r="1054" spans="1:40" ht="16.5" customHeight="1">
      <c r="A1054" s="598" t="s">
        <v>3353</v>
      </c>
      <c r="B1054" s="598" t="s">
        <v>3358</v>
      </c>
      <c r="C1054" s="598" t="s">
        <v>2779</v>
      </c>
      <c r="D1054" s="598" t="s">
        <v>2780</v>
      </c>
      <c r="E1054" s="598" t="s">
        <v>321</v>
      </c>
      <c r="F1054" s="598" t="s">
        <v>3309</v>
      </c>
      <c r="G1054" s="598" t="s">
        <v>3309</v>
      </c>
      <c r="H1054" s="598" t="s">
        <v>3309</v>
      </c>
      <c r="I1054" s="598" t="s">
        <v>3309</v>
      </c>
      <c r="J1054" s="598" t="s">
        <v>3309</v>
      </c>
      <c r="K1054" s="598" t="s">
        <v>321</v>
      </c>
      <c r="L1054" s="598" t="s">
        <v>321</v>
      </c>
      <c r="M1054" s="598" t="s">
        <v>3309</v>
      </c>
      <c r="N1054" s="598" t="s">
        <v>3309</v>
      </c>
      <c r="O1054" s="598" t="s">
        <v>3309</v>
      </c>
      <c r="P1054" s="598" t="s">
        <v>3309</v>
      </c>
      <c r="Q1054" s="598" t="s">
        <v>3309</v>
      </c>
      <c r="R1054" s="598" t="s">
        <v>321</v>
      </c>
      <c r="S1054" s="598" t="s">
        <v>321</v>
      </c>
      <c r="T1054" s="598" t="s">
        <v>3309</v>
      </c>
      <c r="U1054" s="598" t="s">
        <v>3309</v>
      </c>
      <c r="V1054" s="598" t="s">
        <v>3309</v>
      </c>
      <c r="W1054" s="598" t="s">
        <v>3309</v>
      </c>
      <c r="X1054" s="598" t="s">
        <v>3309</v>
      </c>
      <c r="Y1054" s="598" t="s">
        <v>321</v>
      </c>
      <c r="Z1054" s="598" t="s">
        <v>321</v>
      </c>
      <c r="AA1054" s="598" t="s">
        <v>3309</v>
      </c>
      <c r="AB1054" s="598" t="s">
        <v>3309</v>
      </c>
      <c r="AC1054" s="598" t="s">
        <v>3309</v>
      </c>
      <c r="AD1054" s="598" t="s">
        <v>3309</v>
      </c>
      <c r="AE1054" s="598" t="s">
        <v>3309</v>
      </c>
      <c r="AF1054" s="598" t="s">
        <v>321</v>
      </c>
      <c r="AG1054" s="598" t="s">
        <v>321</v>
      </c>
      <c r="AH1054" s="598" t="s">
        <v>3309</v>
      </c>
      <c r="AI1054" s="598" t="s">
        <v>321</v>
      </c>
      <c r="AJ1054" s="599">
        <v>21</v>
      </c>
      <c r="AK1054" s="600">
        <v>21</v>
      </c>
      <c r="AL1054" s="601">
        <v>0</v>
      </c>
      <c r="AM1054" s="601">
        <v>0</v>
      </c>
      <c r="AN1054" s="599">
        <v>21</v>
      </c>
    </row>
    <row r="1055" spans="1:40" ht="16.5" customHeight="1">
      <c r="A1055" s="598" t="s">
        <v>3353</v>
      </c>
      <c r="B1055" s="598" t="s">
        <v>3358</v>
      </c>
      <c r="C1055" s="598" t="s">
        <v>2875</v>
      </c>
      <c r="D1055" s="598" t="s">
        <v>2876</v>
      </c>
      <c r="E1055" s="598" t="s">
        <v>321</v>
      </c>
      <c r="F1055" s="598" t="s">
        <v>3309</v>
      </c>
      <c r="G1055" s="598" t="s">
        <v>3309</v>
      </c>
      <c r="H1055" s="598" t="s">
        <v>3309</v>
      </c>
      <c r="I1055" s="598" t="s">
        <v>3309</v>
      </c>
      <c r="J1055" s="598" t="s">
        <v>3309</v>
      </c>
      <c r="K1055" s="598" t="s">
        <v>321</v>
      </c>
      <c r="L1055" s="598" t="s">
        <v>321</v>
      </c>
      <c r="M1055" s="598" t="s">
        <v>3309</v>
      </c>
      <c r="N1055" s="598" t="s">
        <v>3309</v>
      </c>
      <c r="O1055" s="598" t="s">
        <v>3309</v>
      </c>
      <c r="P1055" s="598" t="s">
        <v>3309</v>
      </c>
      <c r="Q1055" s="598" t="s">
        <v>3309</v>
      </c>
      <c r="R1055" s="598" t="s">
        <v>321</v>
      </c>
      <c r="S1055" s="598" t="s">
        <v>321</v>
      </c>
      <c r="T1055" s="598" t="s">
        <v>3309</v>
      </c>
      <c r="U1055" s="598" t="s">
        <v>3309</v>
      </c>
      <c r="V1055" s="598" t="s">
        <v>3309</v>
      </c>
      <c r="W1055" s="598" t="s">
        <v>3312</v>
      </c>
      <c r="X1055" s="598" t="s">
        <v>3312</v>
      </c>
      <c r="Y1055" s="598" t="s">
        <v>321</v>
      </c>
      <c r="Z1055" s="598" t="s">
        <v>321</v>
      </c>
      <c r="AA1055" s="598" t="s">
        <v>3309</v>
      </c>
      <c r="AB1055" s="598" t="s">
        <v>3309</v>
      </c>
      <c r="AC1055" s="598" t="s">
        <v>3309</v>
      </c>
      <c r="AD1055" s="598" t="s">
        <v>3309</v>
      </c>
      <c r="AE1055" s="598" t="s">
        <v>3309</v>
      </c>
      <c r="AF1055" s="598" t="s">
        <v>321</v>
      </c>
      <c r="AG1055" s="598" t="s">
        <v>321</v>
      </c>
      <c r="AH1055" s="598" t="s">
        <v>3309</v>
      </c>
      <c r="AI1055" s="598" t="s">
        <v>321</v>
      </c>
      <c r="AJ1055" s="599">
        <v>21</v>
      </c>
      <c r="AK1055" s="600">
        <v>19</v>
      </c>
      <c r="AL1055" s="602">
        <v>2</v>
      </c>
      <c r="AM1055" s="601">
        <v>0</v>
      </c>
      <c r="AN1055" s="599">
        <v>21</v>
      </c>
    </row>
    <row r="1056" spans="1:40" ht="16.5" customHeight="1">
      <c r="A1056" s="598" t="s">
        <v>3353</v>
      </c>
      <c r="B1056" s="598" t="s">
        <v>3358</v>
      </c>
      <c r="C1056" s="598" t="s">
        <v>1478</v>
      </c>
      <c r="D1056" s="598" t="s">
        <v>1479</v>
      </c>
      <c r="E1056" s="598" t="s">
        <v>321</v>
      </c>
      <c r="F1056" s="598" t="s">
        <v>3309</v>
      </c>
      <c r="G1056" s="598" t="s">
        <v>3309</v>
      </c>
      <c r="H1056" s="598" t="s">
        <v>3309</v>
      </c>
      <c r="I1056" s="598" t="s">
        <v>3309</v>
      </c>
      <c r="J1056" s="598" t="s">
        <v>3309</v>
      </c>
      <c r="K1056" s="598" t="s">
        <v>321</v>
      </c>
      <c r="L1056" s="598" t="s">
        <v>321</v>
      </c>
      <c r="M1056" s="598" t="s">
        <v>3313</v>
      </c>
      <c r="N1056" s="598" t="s">
        <v>3313</v>
      </c>
      <c r="O1056" s="598" t="s">
        <v>3313</v>
      </c>
      <c r="P1056" s="598" t="s">
        <v>3309</v>
      </c>
      <c r="Q1056" s="598" t="s">
        <v>3309</v>
      </c>
      <c r="R1056" s="598" t="s">
        <v>321</v>
      </c>
      <c r="S1056" s="598" t="s">
        <v>321</v>
      </c>
      <c r="T1056" s="598" t="s">
        <v>3309</v>
      </c>
      <c r="U1056" s="598" t="s">
        <v>3309</v>
      </c>
      <c r="V1056" s="598" t="s">
        <v>3309</v>
      </c>
      <c r="W1056" s="598" t="s">
        <v>3309</v>
      </c>
      <c r="X1056" s="598" t="s">
        <v>3309</v>
      </c>
      <c r="Y1056" s="598" t="s">
        <v>321</v>
      </c>
      <c r="Z1056" s="598" t="s">
        <v>321</v>
      </c>
      <c r="AA1056" s="598" t="s">
        <v>3309</v>
      </c>
      <c r="AB1056" s="598" t="s">
        <v>3309</v>
      </c>
      <c r="AC1056" s="598" t="s">
        <v>3309</v>
      </c>
      <c r="AD1056" s="598" t="s">
        <v>3309</v>
      </c>
      <c r="AE1056" s="598" t="s">
        <v>3309</v>
      </c>
      <c r="AF1056" s="598" t="s">
        <v>321</v>
      </c>
      <c r="AG1056" s="598" t="s">
        <v>321</v>
      </c>
      <c r="AH1056" s="598" t="s">
        <v>3309</v>
      </c>
      <c r="AI1056" s="598" t="s">
        <v>321</v>
      </c>
      <c r="AJ1056" s="599">
        <v>21</v>
      </c>
      <c r="AK1056" s="600">
        <v>21</v>
      </c>
      <c r="AL1056" s="601">
        <v>0</v>
      </c>
      <c r="AM1056" s="601">
        <v>0</v>
      </c>
      <c r="AN1056" s="599">
        <v>21</v>
      </c>
    </row>
    <row r="1057" spans="1:40" ht="16.5" customHeight="1">
      <c r="A1057" s="598" t="s">
        <v>3353</v>
      </c>
      <c r="B1057" s="598" t="s">
        <v>3358</v>
      </c>
      <c r="C1057" s="598" t="s">
        <v>2034</v>
      </c>
      <c r="D1057" s="598" t="s">
        <v>1483</v>
      </c>
      <c r="E1057" s="598" t="s">
        <v>321</v>
      </c>
      <c r="F1057" s="598" t="s">
        <v>3309</v>
      </c>
      <c r="G1057" s="598" t="s">
        <v>3309</v>
      </c>
      <c r="H1057" s="598" t="s">
        <v>3309</v>
      </c>
      <c r="I1057" s="598" t="s">
        <v>3309</v>
      </c>
      <c r="J1057" s="598" t="s">
        <v>3309</v>
      </c>
      <c r="K1057" s="598" t="s">
        <v>321</v>
      </c>
      <c r="L1057" s="598" t="s">
        <v>321</v>
      </c>
      <c r="M1057" s="598" t="s">
        <v>3309</v>
      </c>
      <c r="N1057" s="598" t="s">
        <v>3309</v>
      </c>
      <c r="O1057" s="598" t="s">
        <v>3309</v>
      </c>
      <c r="P1057" s="598" t="s">
        <v>3309</v>
      </c>
      <c r="Q1057" s="598" t="s">
        <v>3309</v>
      </c>
      <c r="R1057" s="598" t="s">
        <v>321</v>
      </c>
      <c r="S1057" s="598" t="s">
        <v>321</v>
      </c>
      <c r="T1057" s="598" t="s">
        <v>3309</v>
      </c>
      <c r="U1057" s="598" t="s">
        <v>3309</v>
      </c>
      <c r="V1057" s="598" t="s">
        <v>3309</v>
      </c>
      <c r="W1057" s="598" t="s">
        <v>3309</v>
      </c>
      <c r="X1057" s="598" t="s">
        <v>3309</v>
      </c>
      <c r="Y1057" s="598" t="s">
        <v>321</v>
      </c>
      <c r="Z1057" s="598" t="s">
        <v>321</v>
      </c>
      <c r="AA1057" s="598" t="s">
        <v>3309</v>
      </c>
      <c r="AB1057" s="598" t="s">
        <v>3309</v>
      </c>
      <c r="AC1057" s="598" t="s">
        <v>3309</v>
      </c>
      <c r="AD1057" s="598" t="s">
        <v>3309</v>
      </c>
      <c r="AE1057" s="598" t="s">
        <v>3309</v>
      </c>
      <c r="AF1057" s="598" t="s">
        <v>321</v>
      </c>
      <c r="AG1057" s="598" t="s">
        <v>321</v>
      </c>
      <c r="AH1057" s="598" t="s">
        <v>3309</v>
      </c>
      <c r="AI1057" s="598" t="s">
        <v>321</v>
      </c>
      <c r="AJ1057" s="599">
        <v>21</v>
      </c>
      <c r="AK1057" s="600">
        <v>21</v>
      </c>
      <c r="AL1057" s="601">
        <v>0</v>
      </c>
      <c r="AM1057" s="601">
        <v>0</v>
      </c>
      <c r="AN1057" s="599">
        <v>21</v>
      </c>
    </row>
    <row r="1058" spans="1:40" ht="16.5" customHeight="1">
      <c r="A1058" s="598" t="s">
        <v>3353</v>
      </c>
      <c r="B1058" s="598" t="s">
        <v>3358</v>
      </c>
      <c r="C1058" s="598" t="s">
        <v>569</v>
      </c>
      <c r="D1058" s="598" t="s">
        <v>570</v>
      </c>
      <c r="E1058" s="598" t="s">
        <v>321</v>
      </c>
      <c r="F1058" s="598" t="s">
        <v>3309</v>
      </c>
      <c r="G1058" s="598" t="s">
        <v>3309</v>
      </c>
      <c r="H1058" s="598" t="s">
        <v>3309</v>
      </c>
      <c r="I1058" s="598" t="s">
        <v>3309</v>
      </c>
      <c r="J1058" s="598" t="s">
        <v>3313</v>
      </c>
      <c r="K1058" s="598" t="s">
        <v>321</v>
      </c>
      <c r="L1058" s="598" t="s">
        <v>321</v>
      </c>
      <c r="M1058" s="598" t="s">
        <v>3313</v>
      </c>
      <c r="N1058" s="598" t="s">
        <v>3313</v>
      </c>
      <c r="O1058" s="598" t="s">
        <v>3309</v>
      </c>
      <c r="P1058" s="598" t="s">
        <v>3309</v>
      </c>
      <c r="Q1058" s="598" t="s">
        <v>3309</v>
      </c>
      <c r="R1058" s="598" t="s">
        <v>321</v>
      </c>
      <c r="S1058" s="598" t="s">
        <v>321</v>
      </c>
      <c r="T1058" s="598" t="s">
        <v>3309</v>
      </c>
      <c r="U1058" s="598" t="s">
        <v>3309</v>
      </c>
      <c r="V1058" s="598" t="s">
        <v>3309</v>
      </c>
      <c r="W1058" s="598" t="s">
        <v>3309</v>
      </c>
      <c r="X1058" s="598" t="s">
        <v>3309</v>
      </c>
      <c r="Y1058" s="598" t="s">
        <v>321</v>
      </c>
      <c r="Z1058" s="598" t="s">
        <v>321</v>
      </c>
      <c r="AA1058" s="598" t="s">
        <v>3309</v>
      </c>
      <c r="AB1058" s="598" t="s">
        <v>3309</v>
      </c>
      <c r="AC1058" s="598" t="s">
        <v>3309</v>
      </c>
      <c r="AD1058" s="598" t="s">
        <v>3309</v>
      </c>
      <c r="AE1058" s="598" t="s">
        <v>3309</v>
      </c>
      <c r="AF1058" s="598" t="s">
        <v>321</v>
      </c>
      <c r="AG1058" s="598" t="s">
        <v>321</v>
      </c>
      <c r="AH1058" s="598" t="s">
        <v>3309</v>
      </c>
      <c r="AI1058" s="598" t="s">
        <v>321</v>
      </c>
      <c r="AJ1058" s="599">
        <v>21</v>
      </c>
      <c r="AK1058" s="600">
        <v>21</v>
      </c>
      <c r="AL1058" s="601">
        <v>0</v>
      </c>
      <c r="AM1058" s="601">
        <v>0</v>
      </c>
      <c r="AN1058" s="599">
        <v>21</v>
      </c>
    </row>
    <row r="1059" spans="1:40" ht="16.5" customHeight="1">
      <c r="A1059" s="598" t="s">
        <v>3353</v>
      </c>
      <c r="B1059" s="598" t="s">
        <v>3358</v>
      </c>
      <c r="C1059" s="598" t="s">
        <v>2495</v>
      </c>
      <c r="D1059" s="598" t="s">
        <v>2496</v>
      </c>
      <c r="E1059" s="598" t="s">
        <v>321</v>
      </c>
      <c r="F1059" s="598" t="s">
        <v>3309</v>
      </c>
      <c r="G1059" s="598" t="s">
        <v>3309</v>
      </c>
      <c r="H1059" s="598" t="s">
        <v>3309</v>
      </c>
      <c r="I1059" s="598" t="s">
        <v>3309</v>
      </c>
      <c r="J1059" s="598" t="s">
        <v>3309</v>
      </c>
      <c r="K1059" s="598" t="s">
        <v>321</v>
      </c>
      <c r="L1059" s="598" t="s">
        <v>321</v>
      </c>
      <c r="M1059" s="598" t="s">
        <v>3309</v>
      </c>
      <c r="N1059" s="598" t="s">
        <v>3309</v>
      </c>
      <c r="O1059" s="598" t="s">
        <v>3309</v>
      </c>
      <c r="P1059" s="598" t="s">
        <v>3309</v>
      </c>
      <c r="Q1059" s="598" t="s">
        <v>3309</v>
      </c>
      <c r="R1059" s="598" t="s">
        <v>321</v>
      </c>
      <c r="S1059" s="598" t="s">
        <v>321</v>
      </c>
      <c r="T1059" s="598" t="s">
        <v>3309</v>
      </c>
      <c r="U1059" s="598" t="s">
        <v>3309</v>
      </c>
      <c r="V1059" s="598" t="s">
        <v>3309</v>
      </c>
      <c r="W1059" s="598" t="s">
        <v>3309</v>
      </c>
      <c r="X1059" s="598" t="s">
        <v>3309</v>
      </c>
      <c r="Y1059" s="598" t="s">
        <v>321</v>
      </c>
      <c r="Z1059" s="598" t="s">
        <v>321</v>
      </c>
      <c r="AA1059" s="598" t="s">
        <v>3309</v>
      </c>
      <c r="AB1059" s="598" t="s">
        <v>3309</v>
      </c>
      <c r="AC1059" s="598" t="s">
        <v>3309</v>
      </c>
      <c r="AD1059" s="598" t="s">
        <v>3309</v>
      </c>
      <c r="AE1059" s="598" t="s">
        <v>3309</v>
      </c>
      <c r="AF1059" s="598" t="s">
        <v>321</v>
      </c>
      <c r="AG1059" s="598" t="s">
        <v>321</v>
      </c>
      <c r="AH1059" s="598" t="s">
        <v>3309</v>
      </c>
      <c r="AI1059" s="598" t="s">
        <v>321</v>
      </c>
      <c r="AJ1059" s="599">
        <v>21</v>
      </c>
      <c r="AK1059" s="600">
        <v>21</v>
      </c>
      <c r="AL1059" s="601">
        <v>0</v>
      </c>
      <c r="AM1059" s="601">
        <v>0</v>
      </c>
      <c r="AN1059" s="599">
        <v>21</v>
      </c>
    </row>
    <row r="1060" spans="1:40" ht="16.5" customHeight="1">
      <c r="A1060" s="598" t="s">
        <v>3353</v>
      </c>
      <c r="B1060" s="598" t="s">
        <v>3358</v>
      </c>
      <c r="C1060" s="598" t="s">
        <v>2306</v>
      </c>
      <c r="D1060" s="598" t="s">
        <v>2307</v>
      </c>
      <c r="E1060" s="598" t="s">
        <v>321</v>
      </c>
      <c r="F1060" s="598" t="s">
        <v>3309</v>
      </c>
      <c r="G1060" s="598" t="s">
        <v>3309</v>
      </c>
      <c r="H1060" s="598" t="s">
        <v>3309</v>
      </c>
      <c r="I1060" s="598" t="s">
        <v>3309</v>
      </c>
      <c r="J1060" s="598" t="s">
        <v>3309</v>
      </c>
      <c r="K1060" s="598" t="s">
        <v>321</v>
      </c>
      <c r="L1060" s="598" t="s">
        <v>321</v>
      </c>
      <c r="M1060" s="598" t="s">
        <v>3309</v>
      </c>
      <c r="N1060" s="598" t="s">
        <v>3309</v>
      </c>
      <c r="O1060" s="598" t="s">
        <v>3309</v>
      </c>
      <c r="P1060" s="598" t="s">
        <v>3309</v>
      </c>
      <c r="Q1060" s="598" t="s">
        <v>3309</v>
      </c>
      <c r="R1060" s="598" t="s">
        <v>321</v>
      </c>
      <c r="S1060" s="598" t="s">
        <v>321</v>
      </c>
      <c r="T1060" s="598" t="s">
        <v>3309</v>
      </c>
      <c r="U1060" s="598" t="s">
        <v>3309</v>
      </c>
      <c r="V1060" s="598" t="s">
        <v>3309</v>
      </c>
      <c r="W1060" s="598" t="s">
        <v>3309</v>
      </c>
      <c r="X1060" s="598" t="s">
        <v>3309</v>
      </c>
      <c r="Y1060" s="598" t="s">
        <v>321</v>
      </c>
      <c r="Z1060" s="598" t="s">
        <v>321</v>
      </c>
      <c r="AA1060" s="598" t="s">
        <v>3309</v>
      </c>
      <c r="AB1060" s="598" t="s">
        <v>3309</v>
      </c>
      <c r="AC1060" s="598" t="s">
        <v>3309</v>
      </c>
      <c r="AD1060" s="598" t="s">
        <v>3309</v>
      </c>
      <c r="AE1060" s="598" t="s">
        <v>3309</v>
      </c>
      <c r="AF1060" s="598" t="s">
        <v>321</v>
      </c>
      <c r="AG1060" s="598" t="s">
        <v>321</v>
      </c>
      <c r="AH1060" s="598" t="s">
        <v>3309</v>
      </c>
      <c r="AI1060" s="598" t="s">
        <v>321</v>
      </c>
      <c r="AJ1060" s="599">
        <v>21</v>
      </c>
      <c r="AK1060" s="600">
        <v>21</v>
      </c>
      <c r="AL1060" s="601">
        <v>0</v>
      </c>
      <c r="AM1060" s="601">
        <v>0</v>
      </c>
      <c r="AN1060" s="599">
        <v>21</v>
      </c>
    </row>
    <row r="1061" spans="1:40" ht="16.5" customHeight="1">
      <c r="A1061" s="598" t="s">
        <v>3353</v>
      </c>
      <c r="B1061" s="598" t="s">
        <v>3358</v>
      </c>
      <c r="C1061" s="598" t="s">
        <v>539</v>
      </c>
      <c r="D1061" s="598" t="s">
        <v>540</v>
      </c>
      <c r="E1061" s="598" t="s">
        <v>321</v>
      </c>
      <c r="F1061" s="598" t="s">
        <v>3314</v>
      </c>
      <c r="G1061" s="598" t="s">
        <v>3309</v>
      </c>
      <c r="H1061" s="598" t="s">
        <v>3309</v>
      </c>
      <c r="I1061" s="598" t="s">
        <v>3309</v>
      </c>
      <c r="J1061" s="598" t="s">
        <v>3309</v>
      </c>
      <c r="K1061" s="598" t="s">
        <v>321</v>
      </c>
      <c r="L1061" s="598" t="s">
        <v>321</v>
      </c>
      <c r="M1061" s="598" t="s">
        <v>3309</v>
      </c>
      <c r="N1061" s="598" t="s">
        <v>3309</v>
      </c>
      <c r="O1061" s="598" t="s">
        <v>3309</v>
      </c>
      <c r="P1061" s="598" t="s">
        <v>3309</v>
      </c>
      <c r="Q1061" s="598" t="s">
        <v>3309</v>
      </c>
      <c r="R1061" s="598" t="s">
        <v>321</v>
      </c>
      <c r="S1061" s="598" t="s">
        <v>321</v>
      </c>
      <c r="T1061" s="598" t="s">
        <v>3309</v>
      </c>
      <c r="U1061" s="598" t="s">
        <v>3309</v>
      </c>
      <c r="V1061" s="598" t="s">
        <v>3313</v>
      </c>
      <c r="W1061" s="598" t="s">
        <v>3313</v>
      </c>
      <c r="X1061" s="598" t="s">
        <v>3313</v>
      </c>
      <c r="Y1061" s="598" t="s">
        <v>321</v>
      </c>
      <c r="Z1061" s="598" t="s">
        <v>321</v>
      </c>
      <c r="AA1061" s="598" t="s">
        <v>3309</v>
      </c>
      <c r="AB1061" s="598" t="s">
        <v>3309</v>
      </c>
      <c r="AC1061" s="598" t="s">
        <v>3309</v>
      </c>
      <c r="AD1061" s="598" t="s">
        <v>3309</v>
      </c>
      <c r="AE1061" s="598" t="s">
        <v>3309</v>
      </c>
      <c r="AF1061" s="598" t="s">
        <v>321</v>
      </c>
      <c r="AG1061" s="598" t="s">
        <v>321</v>
      </c>
      <c r="AH1061" s="598" t="s">
        <v>3309</v>
      </c>
      <c r="AI1061" s="598" t="s">
        <v>321</v>
      </c>
      <c r="AJ1061" s="599">
        <v>21</v>
      </c>
      <c r="AK1061" s="603">
        <v>20.5</v>
      </c>
      <c r="AL1061" s="604">
        <v>0.5</v>
      </c>
      <c r="AM1061" s="601">
        <v>0</v>
      </c>
      <c r="AN1061" s="599">
        <v>21</v>
      </c>
    </row>
    <row r="1062" spans="1:40" ht="16.5" customHeight="1">
      <c r="A1062" s="598" t="s">
        <v>3353</v>
      </c>
      <c r="B1062" s="598" t="s">
        <v>3358</v>
      </c>
      <c r="C1062" s="598" t="s">
        <v>1092</v>
      </c>
      <c r="D1062" s="598" t="s">
        <v>1093</v>
      </c>
      <c r="E1062" s="598" t="s">
        <v>321</v>
      </c>
      <c r="F1062" s="598" t="s">
        <v>3309</v>
      </c>
      <c r="G1062" s="598" t="s">
        <v>3309</v>
      </c>
      <c r="H1062" s="598" t="s">
        <v>3309</v>
      </c>
      <c r="I1062" s="598" t="s">
        <v>3309</v>
      </c>
      <c r="J1062" s="598" t="s">
        <v>3309</v>
      </c>
      <c r="K1062" s="598" t="s">
        <v>321</v>
      </c>
      <c r="L1062" s="598" t="s">
        <v>321</v>
      </c>
      <c r="M1062" s="598" t="s">
        <v>3309</v>
      </c>
      <c r="N1062" s="598" t="s">
        <v>3309</v>
      </c>
      <c r="O1062" s="598" t="s">
        <v>3309</v>
      </c>
      <c r="P1062" s="598" t="s">
        <v>3309</v>
      </c>
      <c r="Q1062" s="598" t="s">
        <v>3309</v>
      </c>
      <c r="R1062" s="598" t="s">
        <v>321</v>
      </c>
      <c r="S1062" s="598" t="s">
        <v>321</v>
      </c>
      <c r="T1062" s="598" t="s">
        <v>3312</v>
      </c>
      <c r="U1062" s="598" t="s">
        <v>3309</v>
      </c>
      <c r="V1062" s="598" t="s">
        <v>3309</v>
      </c>
      <c r="W1062" s="598" t="s">
        <v>3309</v>
      </c>
      <c r="X1062" s="598" t="s">
        <v>3309</v>
      </c>
      <c r="Y1062" s="598" t="s">
        <v>321</v>
      </c>
      <c r="Z1062" s="598" t="s">
        <v>321</v>
      </c>
      <c r="AA1062" s="598" t="s">
        <v>3309</v>
      </c>
      <c r="AB1062" s="598" t="s">
        <v>3309</v>
      </c>
      <c r="AC1062" s="598" t="s">
        <v>3309</v>
      </c>
      <c r="AD1062" s="598" t="s">
        <v>3309</v>
      </c>
      <c r="AE1062" s="598" t="s">
        <v>3309</v>
      </c>
      <c r="AF1062" s="598" t="s">
        <v>321</v>
      </c>
      <c r="AG1062" s="598" t="s">
        <v>321</v>
      </c>
      <c r="AH1062" s="598" t="s">
        <v>3309</v>
      </c>
      <c r="AI1062" s="598" t="s">
        <v>321</v>
      </c>
      <c r="AJ1062" s="599">
        <v>21</v>
      </c>
      <c r="AK1062" s="600">
        <v>20</v>
      </c>
      <c r="AL1062" s="602">
        <v>1</v>
      </c>
      <c r="AM1062" s="601">
        <v>0</v>
      </c>
      <c r="AN1062" s="599">
        <v>21</v>
      </c>
    </row>
    <row r="1063" spans="1:40" ht="16.5" customHeight="1">
      <c r="A1063" s="598" t="s">
        <v>3353</v>
      </c>
      <c r="B1063" s="598" t="s">
        <v>3358</v>
      </c>
      <c r="C1063" s="598" t="s">
        <v>2963</v>
      </c>
      <c r="D1063" s="598" t="s">
        <v>2964</v>
      </c>
      <c r="E1063" s="598" t="s">
        <v>321</v>
      </c>
      <c r="F1063" s="598" t="s">
        <v>3309</v>
      </c>
      <c r="G1063" s="598" t="s">
        <v>3309</v>
      </c>
      <c r="H1063" s="598" t="s">
        <v>3309</v>
      </c>
      <c r="I1063" s="598" t="s">
        <v>3309</v>
      </c>
      <c r="J1063" s="598" t="s">
        <v>3309</v>
      </c>
      <c r="K1063" s="598" t="s">
        <v>321</v>
      </c>
      <c r="L1063" s="598" t="s">
        <v>321</v>
      </c>
      <c r="M1063" s="598" t="s">
        <v>3309</v>
      </c>
      <c r="N1063" s="598" t="s">
        <v>3309</v>
      </c>
      <c r="O1063" s="598" t="s">
        <v>3309</v>
      </c>
      <c r="P1063" s="598" t="s">
        <v>3309</v>
      </c>
      <c r="Q1063" s="598" t="s">
        <v>3309</v>
      </c>
      <c r="R1063" s="598" t="s">
        <v>321</v>
      </c>
      <c r="S1063" s="598" t="s">
        <v>321</v>
      </c>
      <c r="T1063" s="598" t="s">
        <v>3309</v>
      </c>
      <c r="U1063" s="598" t="s">
        <v>3309</v>
      </c>
      <c r="V1063" s="598" t="s">
        <v>3309</v>
      </c>
      <c r="W1063" s="598" t="s">
        <v>3309</v>
      </c>
      <c r="X1063" s="598" t="s">
        <v>3309</v>
      </c>
      <c r="Y1063" s="598" t="s">
        <v>321</v>
      </c>
      <c r="Z1063" s="598" t="s">
        <v>321</v>
      </c>
      <c r="AA1063" s="598" t="s">
        <v>3309</v>
      </c>
      <c r="AB1063" s="598" t="s">
        <v>3309</v>
      </c>
      <c r="AC1063" s="598" t="s">
        <v>3309</v>
      </c>
      <c r="AD1063" s="598" t="s">
        <v>3309</v>
      </c>
      <c r="AE1063" s="598" t="s">
        <v>3309</v>
      </c>
      <c r="AF1063" s="598" t="s">
        <v>321</v>
      </c>
      <c r="AG1063" s="598" t="s">
        <v>321</v>
      </c>
      <c r="AH1063" s="598" t="s">
        <v>3309</v>
      </c>
      <c r="AI1063" s="598" t="s">
        <v>321</v>
      </c>
      <c r="AJ1063" s="599">
        <v>21</v>
      </c>
      <c r="AK1063" s="600">
        <v>21</v>
      </c>
      <c r="AL1063" s="601">
        <v>0</v>
      </c>
      <c r="AM1063" s="601">
        <v>0</v>
      </c>
      <c r="AN1063" s="599">
        <v>21</v>
      </c>
    </row>
    <row r="1064" spans="1:40" ht="16.5" customHeight="1">
      <c r="A1064" s="598" t="s">
        <v>3353</v>
      </c>
      <c r="B1064" s="598" t="s">
        <v>3358</v>
      </c>
      <c r="C1064" s="598" t="s">
        <v>2314</v>
      </c>
      <c r="D1064" s="598" t="s">
        <v>2315</v>
      </c>
      <c r="E1064" s="598" t="s">
        <v>321</v>
      </c>
      <c r="F1064" s="598" t="s">
        <v>3309</v>
      </c>
      <c r="G1064" s="598" t="s">
        <v>3309</v>
      </c>
      <c r="H1064" s="598" t="s">
        <v>3309</v>
      </c>
      <c r="I1064" s="598" t="s">
        <v>3309</v>
      </c>
      <c r="J1064" s="598" t="s">
        <v>3309</v>
      </c>
      <c r="K1064" s="598" t="s">
        <v>321</v>
      </c>
      <c r="L1064" s="598" t="s">
        <v>321</v>
      </c>
      <c r="M1064" s="598" t="s">
        <v>3309</v>
      </c>
      <c r="N1064" s="598" t="s">
        <v>3309</v>
      </c>
      <c r="O1064" s="598" t="s">
        <v>3309</v>
      </c>
      <c r="P1064" s="598" t="s">
        <v>3309</v>
      </c>
      <c r="Q1064" s="598" t="s">
        <v>3309</v>
      </c>
      <c r="R1064" s="598" t="s">
        <v>321</v>
      </c>
      <c r="S1064" s="598" t="s">
        <v>321</v>
      </c>
      <c r="T1064" s="598" t="s">
        <v>3309</v>
      </c>
      <c r="U1064" s="598" t="s">
        <v>3309</v>
      </c>
      <c r="V1064" s="598" t="s">
        <v>3309</v>
      </c>
      <c r="W1064" s="598" t="s">
        <v>3309</v>
      </c>
      <c r="X1064" s="598" t="s">
        <v>3309</v>
      </c>
      <c r="Y1064" s="598" t="s">
        <v>321</v>
      </c>
      <c r="Z1064" s="598" t="s">
        <v>321</v>
      </c>
      <c r="AA1064" s="598" t="s">
        <v>3309</v>
      </c>
      <c r="AB1064" s="598" t="s">
        <v>3309</v>
      </c>
      <c r="AC1064" s="598" t="s">
        <v>3309</v>
      </c>
      <c r="AD1064" s="598" t="s">
        <v>3309</v>
      </c>
      <c r="AE1064" s="598" t="s">
        <v>3309</v>
      </c>
      <c r="AF1064" s="598" t="s">
        <v>321</v>
      </c>
      <c r="AG1064" s="598" t="s">
        <v>321</v>
      </c>
      <c r="AH1064" s="598" t="s">
        <v>3309</v>
      </c>
      <c r="AI1064" s="598" t="s">
        <v>321</v>
      </c>
      <c r="AJ1064" s="599">
        <v>21</v>
      </c>
      <c r="AK1064" s="600">
        <v>21</v>
      </c>
      <c r="AL1064" s="601">
        <v>0</v>
      </c>
      <c r="AM1064" s="601">
        <v>0</v>
      </c>
      <c r="AN1064" s="599">
        <v>21</v>
      </c>
    </row>
    <row r="1065" spans="1:40" ht="16.5" customHeight="1">
      <c r="A1065" s="598" t="s">
        <v>3353</v>
      </c>
      <c r="B1065" s="598" t="s">
        <v>3358</v>
      </c>
      <c r="C1065" s="598" t="s">
        <v>2433</v>
      </c>
      <c r="D1065" s="598" t="s">
        <v>2434</v>
      </c>
      <c r="E1065" s="598" t="s">
        <v>321</v>
      </c>
      <c r="F1065" s="598" t="s">
        <v>3317</v>
      </c>
      <c r="G1065" s="598" t="s">
        <v>3317</v>
      </c>
      <c r="H1065" s="598" t="s">
        <v>3317</v>
      </c>
      <c r="I1065" s="598" t="s">
        <v>3317</v>
      </c>
      <c r="J1065" s="598" t="s">
        <v>3317</v>
      </c>
      <c r="K1065" s="598" t="s">
        <v>321</v>
      </c>
      <c r="L1065" s="598" t="s">
        <v>321</v>
      </c>
      <c r="M1065" s="598" t="s">
        <v>3317</v>
      </c>
      <c r="N1065" s="598" t="s">
        <v>3317</v>
      </c>
      <c r="O1065" s="598" t="s">
        <v>3317</v>
      </c>
      <c r="P1065" s="598" t="s">
        <v>3317</v>
      </c>
      <c r="Q1065" s="598" t="s">
        <v>3317</v>
      </c>
      <c r="R1065" s="598" t="s">
        <v>321</v>
      </c>
      <c r="S1065" s="598" t="s">
        <v>321</v>
      </c>
      <c r="T1065" s="598" t="s">
        <v>3317</v>
      </c>
      <c r="U1065" s="598" t="s">
        <v>3317</v>
      </c>
      <c r="V1065" s="598" t="s">
        <v>3317</v>
      </c>
      <c r="W1065" s="598" t="s">
        <v>3317</v>
      </c>
      <c r="X1065" s="598" t="s">
        <v>3317</v>
      </c>
      <c r="Y1065" s="598" t="s">
        <v>321</v>
      </c>
      <c r="Z1065" s="598" t="s">
        <v>321</v>
      </c>
      <c r="AA1065" s="598" t="s">
        <v>3317</v>
      </c>
      <c r="AB1065" s="598" t="s">
        <v>3317</v>
      </c>
      <c r="AC1065" s="598" t="s">
        <v>3317</v>
      </c>
      <c r="AD1065" s="598" t="s">
        <v>3317</v>
      </c>
      <c r="AE1065" s="598" t="s">
        <v>3317</v>
      </c>
      <c r="AF1065" s="598" t="s">
        <v>321</v>
      </c>
      <c r="AG1065" s="598" t="s">
        <v>321</v>
      </c>
      <c r="AH1065" s="598" t="s">
        <v>3317</v>
      </c>
      <c r="AI1065" s="598" t="s">
        <v>321</v>
      </c>
      <c r="AJ1065" s="599">
        <v>21</v>
      </c>
      <c r="AK1065" s="601">
        <v>0</v>
      </c>
      <c r="AL1065" s="601">
        <v>0</v>
      </c>
      <c r="AM1065" s="601">
        <v>0</v>
      </c>
      <c r="AN1065" s="605">
        <v>0</v>
      </c>
    </row>
    <row r="1066" spans="1:40" ht="16.5" customHeight="1">
      <c r="A1066" s="598" t="s">
        <v>3353</v>
      </c>
      <c r="B1066" s="598" t="s">
        <v>3358</v>
      </c>
      <c r="C1066" s="598" t="s">
        <v>809</v>
      </c>
      <c r="D1066" s="598" t="s">
        <v>810</v>
      </c>
      <c r="E1066" s="598" t="s">
        <v>321</v>
      </c>
      <c r="F1066" s="598" t="s">
        <v>3309</v>
      </c>
      <c r="G1066" s="598" t="s">
        <v>3314</v>
      </c>
      <c r="H1066" s="598" t="s">
        <v>3312</v>
      </c>
      <c r="I1066" s="598" t="s">
        <v>3312</v>
      </c>
      <c r="J1066" s="598" t="s">
        <v>3312</v>
      </c>
      <c r="K1066" s="598" t="s">
        <v>321</v>
      </c>
      <c r="L1066" s="598" t="s">
        <v>321</v>
      </c>
      <c r="M1066" s="598" t="s">
        <v>3309</v>
      </c>
      <c r="N1066" s="598" t="s">
        <v>3309</v>
      </c>
      <c r="O1066" s="598" t="s">
        <v>3309</v>
      </c>
      <c r="P1066" s="598" t="s">
        <v>3309</v>
      </c>
      <c r="Q1066" s="598" t="s">
        <v>3309</v>
      </c>
      <c r="R1066" s="598" t="s">
        <v>321</v>
      </c>
      <c r="S1066" s="598" t="s">
        <v>321</v>
      </c>
      <c r="T1066" s="598" t="s">
        <v>3309</v>
      </c>
      <c r="U1066" s="598" t="s">
        <v>3309</v>
      </c>
      <c r="V1066" s="598" t="s">
        <v>3309</v>
      </c>
      <c r="W1066" s="598" t="s">
        <v>3309</v>
      </c>
      <c r="X1066" s="598" t="s">
        <v>3309</v>
      </c>
      <c r="Y1066" s="598" t="s">
        <v>321</v>
      </c>
      <c r="Z1066" s="598" t="s">
        <v>321</v>
      </c>
      <c r="AA1066" s="598" t="s">
        <v>3309</v>
      </c>
      <c r="AB1066" s="598" t="s">
        <v>3309</v>
      </c>
      <c r="AC1066" s="598" t="s">
        <v>3309</v>
      </c>
      <c r="AD1066" s="598" t="s">
        <v>3309</v>
      </c>
      <c r="AE1066" s="598" t="s">
        <v>3309</v>
      </c>
      <c r="AF1066" s="598" t="s">
        <v>321</v>
      </c>
      <c r="AG1066" s="598" t="s">
        <v>321</v>
      </c>
      <c r="AH1066" s="598" t="s">
        <v>3309</v>
      </c>
      <c r="AI1066" s="598" t="s">
        <v>321</v>
      </c>
      <c r="AJ1066" s="599">
        <v>21</v>
      </c>
      <c r="AK1066" s="603">
        <v>17.5</v>
      </c>
      <c r="AL1066" s="603">
        <v>3.5</v>
      </c>
      <c r="AM1066" s="601">
        <v>0</v>
      </c>
      <c r="AN1066" s="599">
        <v>21</v>
      </c>
    </row>
    <row r="1067" spans="1:40" ht="16.5" customHeight="1">
      <c r="A1067" s="598" t="s">
        <v>3353</v>
      </c>
      <c r="B1067" s="598" t="s">
        <v>3358</v>
      </c>
      <c r="C1067" s="598" t="s">
        <v>2540</v>
      </c>
      <c r="D1067" s="598" t="s">
        <v>1344</v>
      </c>
      <c r="E1067" s="598" t="s">
        <v>321</v>
      </c>
      <c r="F1067" s="598" t="s">
        <v>3309</v>
      </c>
      <c r="G1067" s="598" t="s">
        <v>3309</v>
      </c>
      <c r="H1067" s="598" t="s">
        <v>3309</v>
      </c>
      <c r="I1067" s="598" t="s">
        <v>3309</v>
      </c>
      <c r="J1067" s="598" t="s">
        <v>3309</v>
      </c>
      <c r="K1067" s="598" t="s">
        <v>321</v>
      </c>
      <c r="L1067" s="598" t="s">
        <v>321</v>
      </c>
      <c r="M1067" s="598" t="s">
        <v>3309</v>
      </c>
      <c r="N1067" s="598" t="s">
        <v>3312</v>
      </c>
      <c r="O1067" s="598" t="s">
        <v>3309</v>
      </c>
      <c r="P1067" s="598" t="s">
        <v>3309</v>
      </c>
      <c r="Q1067" s="598" t="s">
        <v>3309</v>
      </c>
      <c r="R1067" s="598" t="s">
        <v>321</v>
      </c>
      <c r="S1067" s="598" t="s">
        <v>321</v>
      </c>
      <c r="T1067" s="598" t="s">
        <v>3309</v>
      </c>
      <c r="U1067" s="598" t="s">
        <v>3309</v>
      </c>
      <c r="V1067" s="598" t="s">
        <v>3309</v>
      </c>
      <c r="W1067" s="598" t="s">
        <v>3309</v>
      </c>
      <c r="X1067" s="598" t="s">
        <v>3309</v>
      </c>
      <c r="Y1067" s="598" t="s">
        <v>321</v>
      </c>
      <c r="Z1067" s="598" t="s">
        <v>321</v>
      </c>
      <c r="AA1067" s="598" t="s">
        <v>3309</v>
      </c>
      <c r="AB1067" s="598" t="s">
        <v>3309</v>
      </c>
      <c r="AC1067" s="598" t="s">
        <v>3309</v>
      </c>
      <c r="AD1067" s="598" t="s">
        <v>3309</v>
      </c>
      <c r="AE1067" s="598" t="s">
        <v>3309</v>
      </c>
      <c r="AF1067" s="598" t="s">
        <v>321</v>
      </c>
      <c r="AG1067" s="598" t="s">
        <v>321</v>
      </c>
      <c r="AH1067" s="598" t="s">
        <v>3309</v>
      </c>
      <c r="AI1067" s="598" t="s">
        <v>321</v>
      </c>
      <c r="AJ1067" s="599">
        <v>21</v>
      </c>
      <c r="AK1067" s="600">
        <v>20</v>
      </c>
      <c r="AL1067" s="602">
        <v>1</v>
      </c>
      <c r="AM1067" s="601">
        <v>0</v>
      </c>
      <c r="AN1067" s="599">
        <v>21</v>
      </c>
    </row>
    <row r="1068" spans="1:40" ht="16.5" customHeight="1">
      <c r="A1068" s="598" t="s">
        <v>3353</v>
      </c>
      <c r="B1068" s="598" t="s">
        <v>3358</v>
      </c>
      <c r="C1068" s="598" t="s">
        <v>2466</v>
      </c>
      <c r="D1068" s="598" t="s">
        <v>2467</v>
      </c>
      <c r="E1068" s="598" t="s">
        <v>321</v>
      </c>
      <c r="F1068" s="598" t="s">
        <v>3309</v>
      </c>
      <c r="G1068" s="598" t="s">
        <v>3309</v>
      </c>
      <c r="H1068" s="598" t="s">
        <v>3309</v>
      </c>
      <c r="I1068" s="598" t="s">
        <v>3309</v>
      </c>
      <c r="J1068" s="598" t="s">
        <v>3309</v>
      </c>
      <c r="K1068" s="598" t="s">
        <v>321</v>
      </c>
      <c r="L1068" s="598" t="s">
        <v>321</v>
      </c>
      <c r="M1068" s="598" t="s">
        <v>3309</v>
      </c>
      <c r="N1068" s="598" t="s">
        <v>3309</v>
      </c>
      <c r="O1068" s="598" t="s">
        <v>3309</v>
      </c>
      <c r="P1068" s="598" t="s">
        <v>3309</v>
      </c>
      <c r="Q1068" s="598" t="s">
        <v>3309</v>
      </c>
      <c r="R1068" s="598" t="s">
        <v>321</v>
      </c>
      <c r="S1068" s="598" t="s">
        <v>321</v>
      </c>
      <c r="T1068" s="598" t="s">
        <v>3309</v>
      </c>
      <c r="U1068" s="598" t="s">
        <v>3309</v>
      </c>
      <c r="V1068" s="598" t="s">
        <v>3309</v>
      </c>
      <c r="W1068" s="598" t="s">
        <v>3309</v>
      </c>
      <c r="X1068" s="598" t="s">
        <v>3309</v>
      </c>
      <c r="Y1068" s="598" t="s">
        <v>321</v>
      </c>
      <c r="Z1068" s="598" t="s">
        <v>321</v>
      </c>
      <c r="AA1068" s="598" t="s">
        <v>3309</v>
      </c>
      <c r="AB1068" s="598" t="s">
        <v>3309</v>
      </c>
      <c r="AC1068" s="598" t="s">
        <v>3309</v>
      </c>
      <c r="AD1068" s="598" t="s">
        <v>3309</v>
      </c>
      <c r="AE1068" s="598" t="s">
        <v>3309</v>
      </c>
      <c r="AF1068" s="598" t="s">
        <v>321</v>
      </c>
      <c r="AG1068" s="598" t="s">
        <v>321</v>
      </c>
      <c r="AH1068" s="598" t="s">
        <v>3309</v>
      </c>
      <c r="AI1068" s="598" t="s">
        <v>321</v>
      </c>
      <c r="AJ1068" s="599">
        <v>21</v>
      </c>
      <c r="AK1068" s="600">
        <v>21</v>
      </c>
      <c r="AL1068" s="601">
        <v>0</v>
      </c>
      <c r="AM1068" s="601">
        <v>0</v>
      </c>
      <c r="AN1068" s="599">
        <v>21</v>
      </c>
    </row>
    <row r="1069" spans="1:40" ht="16.5" customHeight="1">
      <c r="A1069" s="598" t="s">
        <v>3353</v>
      </c>
      <c r="B1069" s="598" t="s">
        <v>3358</v>
      </c>
      <c r="C1069" s="598" t="s">
        <v>2423</v>
      </c>
      <c r="D1069" s="598" t="s">
        <v>2424</v>
      </c>
      <c r="E1069" s="598" t="s">
        <v>321</v>
      </c>
      <c r="F1069" s="598" t="s">
        <v>3309</v>
      </c>
      <c r="G1069" s="598" t="s">
        <v>3309</v>
      </c>
      <c r="H1069" s="598" t="s">
        <v>3309</v>
      </c>
      <c r="I1069" s="598" t="s">
        <v>3309</v>
      </c>
      <c r="J1069" s="598" t="s">
        <v>3309</v>
      </c>
      <c r="K1069" s="598" t="s">
        <v>321</v>
      </c>
      <c r="L1069" s="598" t="s">
        <v>321</v>
      </c>
      <c r="M1069" s="598" t="s">
        <v>3309</v>
      </c>
      <c r="N1069" s="598" t="s">
        <v>3309</v>
      </c>
      <c r="O1069" s="598" t="s">
        <v>3309</v>
      </c>
      <c r="P1069" s="598" t="s">
        <v>3309</v>
      </c>
      <c r="Q1069" s="598" t="s">
        <v>3309</v>
      </c>
      <c r="R1069" s="598" t="s">
        <v>321</v>
      </c>
      <c r="S1069" s="598" t="s">
        <v>321</v>
      </c>
      <c r="T1069" s="598" t="s">
        <v>3309</v>
      </c>
      <c r="U1069" s="598" t="s">
        <v>3309</v>
      </c>
      <c r="V1069" s="598" t="s">
        <v>3309</v>
      </c>
      <c r="W1069" s="598" t="s">
        <v>3309</v>
      </c>
      <c r="X1069" s="598" t="s">
        <v>3309</v>
      </c>
      <c r="Y1069" s="598" t="s">
        <v>321</v>
      </c>
      <c r="Z1069" s="598" t="s">
        <v>321</v>
      </c>
      <c r="AA1069" s="598" t="s">
        <v>3313</v>
      </c>
      <c r="AB1069" s="598" t="s">
        <v>3309</v>
      </c>
      <c r="AC1069" s="598" t="s">
        <v>3309</v>
      </c>
      <c r="AD1069" s="598" t="s">
        <v>3309</v>
      </c>
      <c r="AE1069" s="598" t="s">
        <v>3309</v>
      </c>
      <c r="AF1069" s="598" t="s">
        <v>321</v>
      </c>
      <c r="AG1069" s="598" t="s">
        <v>321</v>
      </c>
      <c r="AH1069" s="598" t="s">
        <v>3309</v>
      </c>
      <c r="AI1069" s="598" t="s">
        <v>321</v>
      </c>
      <c r="AJ1069" s="599">
        <v>21</v>
      </c>
      <c r="AK1069" s="600">
        <v>21</v>
      </c>
      <c r="AL1069" s="601">
        <v>0</v>
      </c>
      <c r="AM1069" s="601">
        <v>0</v>
      </c>
      <c r="AN1069" s="599">
        <v>21</v>
      </c>
    </row>
    <row r="1070" spans="1:40" ht="16.5" customHeight="1">
      <c r="A1070" s="598" t="s">
        <v>3353</v>
      </c>
      <c r="B1070" s="598" t="s">
        <v>3358</v>
      </c>
      <c r="C1070" s="598" t="s">
        <v>1480</v>
      </c>
      <c r="D1070" s="598" t="s">
        <v>1481</v>
      </c>
      <c r="E1070" s="598" t="s">
        <v>321</v>
      </c>
      <c r="F1070" s="598" t="s">
        <v>3309</v>
      </c>
      <c r="G1070" s="598" t="s">
        <v>3309</v>
      </c>
      <c r="H1070" s="598" t="s">
        <v>3309</v>
      </c>
      <c r="I1070" s="598" t="s">
        <v>3309</v>
      </c>
      <c r="J1070" s="598" t="s">
        <v>3309</v>
      </c>
      <c r="K1070" s="598" t="s">
        <v>321</v>
      </c>
      <c r="L1070" s="598" t="s">
        <v>321</v>
      </c>
      <c r="M1070" s="598" t="s">
        <v>3309</v>
      </c>
      <c r="N1070" s="598" t="s">
        <v>3309</v>
      </c>
      <c r="O1070" s="598" t="s">
        <v>3309</v>
      </c>
      <c r="P1070" s="598" t="s">
        <v>3309</v>
      </c>
      <c r="Q1070" s="598" t="s">
        <v>3309</v>
      </c>
      <c r="R1070" s="598" t="s">
        <v>321</v>
      </c>
      <c r="S1070" s="598" t="s">
        <v>321</v>
      </c>
      <c r="T1070" s="598" t="s">
        <v>3309</v>
      </c>
      <c r="U1070" s="598" t="s">
        <v>3309</v>
      </c>
      <c r="V1070" s="598" t="s">
        <v>3309</v>
      </c>
      <c r="W1070" s="598" t="s">
        <v>3309</v>
      </c>
      <c r="X1070" s="598" t="s">
        <v>3309</v>
      </c>
      <c r="Y1070" s="598" t="s">
        <v>321</v>
      </c>
      <c r="Z1070" s="598" t="s">
        <v>321</v>
      </c>
      <c r="AA1070" s="598" t="s">
        <v>3309</v>
      </c>
      <c r="AB1070" s="598" t="s">
        <v>3309</v>
      </c>
      <c r="AC1070" s="598" t="s">
        <v>3309</v>
      </c>
      <c r="AD1070" s="598" t="s">
        <v>3309</v>
      </c>
      <c r="AE1070" s="598" t="s">
        <v>3309</v>
      </c>
      <c r="AF1070" s="598" t="s">
        <v>321</v>
      </c>
      <c r="AG1070" s="598" t="s">
        <v>321</v>
      </c>
      <c r="AH1070" s="598" t="s">
        <v>3309</v>
      </c>
      <c r="AI1070" s="598" t="s">
        <v>321</v>
      </c>
      <c r="AJ1070" s="599">
        <v>21</v>
      </c>
      <c r="AK1070" s="600">
        <v>21</v>
      </c>
      <c r="AL1070" s="601">
        <v>0</v>
      </c>
      <c r="AM1070" s="601">
        <v>0</v>
      </c>
      <c r="AN1070" s="599">
        <v>21</v>
      </c>
    </row>
    <row r="1071" spans="1:40" ht="16.5" customHeight="1">
      <c r="A1071" s="598" t="s">
        <v>3353</v>
      </c>
      <c r="B1071" s="598" t="s">
        <v>3358</v>
      </c>
      <c r="C1071" s="598" t="s">
        <v>1433</v>
      </c>
      <c r="D1071" s="598" t="s">
        <v>1434</v>
      </c>
      <c r="E1071" s="598" t="s">
        <v>321</v>
      </c>
      <c r="F1071" s="598" t="s">
        <v>3309</v>
      </c>
      <c r="G1071" s="598" t="s">
        <v>3309</v>
      </c>
      <c r="H1071" s="598" t="s">
        <v>3309</v>
      </c>
      <c r="I1071" s="598" t="s">
        <v>3309</v>
      </c>
      <c r="J1071" s="598" t="s">
        <v>3309</v>
      </c>
      <c r="K1071" s="598" t="s">
        <v>321</v>
      </c>
      <c r="L1071" s="598" t="s">
        <v>321</v>
      </c>
      <c r="M1071" s="598" t="s">
        <v>3309</v>
      </c>
      <c r="N1071" s="598" t="s">
        <v>3309</v>
      </c>
      <c r="O1071" s="598" t="s">
        <v>3309</v>
      </c>
      <c r="P1071" s="598" t="s">
        <v>3309</v>
      </c>
      <c r="Q1071" s="598" t="s">
        <v>3309</v>
      </c>
      <c r="R1071" s="598" t="s">
        <v>321</v>
      </c>
      <c r="S1071" s="598" t="s">
        <v>321</v>
      </c>
      <c r="T1071" s="598" t="s">
        <v>3309</v>
      </c>
      <c r="U1071" s="598" t="s">
        <v>3309</v>
      </c>
      <c r="V1071" s="598" t="s">
        <v>3309</v>
      </c>
      <c r="W1071" s="598" t="s">
        <v>3309</v>
      </c>
      <c r="X1071" s="598" t="s">
        <v>3309</v>
      </c>
      <c r="Y1071" s="598" t="s">
        <v>321</v>
      </c>
      <c r="Z1071" s="598" t="s">
        <v>321</v>
      </c>
      <c r="AA1071" s="598" t="s">
        <v>3309</v>
      </c>
      <c r="AB1071" s="598" t="s">
        <v>3309</v>
      </c>
      <c r="AC1071" s="598" t="s">
        <v>3309</v>
      </c>
      <c r="AD1071" s="598" t="s">
        <v>3309</v>
      </c>
      <c r="AE1071" s="598" t="s">
        <v>3309</v>
      </c>
      <c r="AF1071" s="598" t="s">
        <v>321</v>
      </c>
      <c r="AG1071" s="598" t="s">
        <v>321</v>
      </c>
      <c r="AH1071" s="598" t="s">
        <v>3309</v>
      </c>
      <c r="AI1071" s="598" t="s">
        <v>321</v>
      </c>
      <c r="AJ1071" s="599">
        <v>21</v>
      </c>
      <c r="AK1071" s="600">
        <v>21</v>
      </c>
      <c r="AL1071" s="601">
        <v>0</v>
      </c>
      <c r="AM1071" s="601">
        <v>0</v>
      </c>
      <c r="AN1071" s="599">
        <v>21</v>
      </c>
    </row>
    <row r="1072" spans="1:40" ht="16.5" customHeight="1">
      <c r="A1072" s="598" t="s">
        <v>3353</v>
      </c>
      <c r="B1072" s="598" t="s">
        <v>3358</v>
      </c>
      <c r="C1072" s="598" t="s">
        <v>1864</v>
      </c>
      <c r="D1072" s="598" t="s">
        <v>1557</v>
      </c>
      <c r="E1072" s="598" t="s">
        <v>321</v>
      </c>
      <c r="F1072" s="598" t="s">
        <v>3309</v>
      </c>
      <c r="G1072" s="598" t="s">
        <v>3309</v>
      </c>
      <c r="H1072" s="598" t="s">
        <v>3309</v>
      </c>
      <c r="I1072" s="598" t="s">
        <v>3309</v>
      </c>
      <c r="J1072" s="598" t="s">
        <v>3309</v>
      </c>
      <c r="K1072" s="598" t="s">
        <v>321</v>
      </c>
      <c r="L1072" s="598" t="s">
        <v>321</v>
      </c>
      <c r="M1072" s="598" t="s">
        <v>3309</v>
      </c>
      <c r="N1072" s="598" t="s">
        <v>3309</v>
      </c>
      <c r="O1072" s="598" t="s">
        <v>3312</v>
      </c>
      <c r="P1072" s="598" t="s">
        <v>3309</v>
      </c>
      <c r="Q1072" s="598" t="s">
        <v>3309</v>
      </c>
      <c r="R1072" s="598" t="s">
        <v>321</v>
      </c>
      <c r="S1072" s="598" t="s">
        <v>321</v>
      </c>
      <c r="T1072" s="598" t="s">
        <v>3309</v>
      </c>
      <c r="U1072" s="598" t="s">
        <v>3309</v>
      </c>
      <c r="V1072" s="598" t="s">
        <v>3309</v>
      </c>
      <c r="W1072" s="598" t="s">
        <v>3309</v>
      </c>
      <c r="X1072" s="598" t="s">
        <v>3309</v>
      </c>
      <c r="Y1072" s="598" t="s">
        <v>321</v>
      </c>
      <c r="Z1072" s="598" t="s">
        <v>321</v>
      </c>
      <c r="AA1072" s="598" t="s">
        <v>3309</v>
      </c>
      <c r="AB1072" s="598" t="s">
        <v>3309</v>
      </c>
      <c r="AC1072" s="598" t="s">
        <v>3309</v>
      </c>
      <c r="AD1072" s="598" t="s">
        <v>3309</v>
      </c>
      <c r="AE1072" s="598" t="s">
        <v>3309</v>
      </c>
      <c r="AF1072" s="598" t="s">
        <v>321</v>
      </c>
      <c r="AG1072" s="598" t="s">
        <v>321</v>
      </c>
      <c r="AH1072" s="598" t="s">
        <v>3309</v>
      </c>
      <c r="AI1072" s="598" t="s">
        <v>321</v>
      </c>
      <c r="AJ1072" s="599">
        <v>21</v>
      </c>
      <c r="AK1072" s="600">
        <v>20</v>
      </c>
      <c r="AL1072" s="602">
        <v>1</v>
      </c>
      <c r="AM1072" s="601">
        <v>0</v>
      </c>
      <c r="AN1072" s="599">
        <v>21</v>
      </c>
    </row>
    <row r="1073" spans="1:40" ht="16.5" customHeight="1">
      <c r="A1073" s="598" t="s">
        <v>3353</v>
      </c>
      <c r="B1073" s="598" t="s">
        <v>3358</v>
      </c>
      <c r="C1073" s="598" t="s">
        <v>1915</v>
      </c>
      <c r="D1073" s="598" t="s">
        <v>1916</v>
      </c>
      <c r="E1073" s="598" t="s">
        <v>321</v>
      </c>
      <c r="F1073" s="598" t="s">
        <v>3309</v>
      </c>
      <c r="G1073" s="598" t="s">
        <v>3309</v>
      </c>
      <c r="H1073" s="598" t="s">
        <v>3309</v>
      </c>
      <c r="I1073" s="598" t="s">
        <v>3309</v>
      </c>
      <c r="J1073" s="598" t="s">
        <v>3312</v>
      </c>
      <c r="K1073" s="598" t="s">
        <v>321</v>
      </c>
      <c r="L1073" s="598" t="s">
        <v>321</v>
      </c>
      <c r="M1073" s="598" t="s">
        <v>3309</v>
      </c>
      <c r="N1073" s="598" t="s">
        <v>3309</v>
      </c>
      <c r="O1073" s="598" t="s">
        <v>3309</v>
      </c>
      <c r="P1073" s="598" t="s">
        <v>3309</v>
      </c>
      <c r="Q1073" s="598" t="s">
        <v>3309</v>
      </c>
      <c r="R1073" s="598" t="s">
        <v>321</v>
      </c>
      <c r="S1073" s="598" t="s">
        <v>321</v>
      </c>
      <c r="T1073" s="598" t="s">
        <v>3309</v>
      </c>
      <c r="U1073" s="598" t="s">
        <v>3309</v>
      </c>
      <c r="V1073" s="598" t="s">
        <v>3309</v>
      </c>
      <c r="W1073" s="598" t="s">
        <v>3309</v>
      </c>
      <c r="X1073" s="598" t="s">
        <v>3309</v>
      </c>
      <c r="Y1073" s="598" t="s">
        <v>321</v>
      </c>
      <c r="Z1073" s="598" t="s">
        <v>321</v>
      </c>
      <c r="AA1073" s="598" t="s">
        <v>3309</v>
      </c>
      <c r="AB1073" s="598" t="s">
        <v>3309</v>
      </c>
      <c r="AC1073" s="598" t="s">
        <v>3309</v>
      </c>
      <c r="AD1073" s="598" t="s">
        <v>3309</v>
      </c>
      <c r="AE1073" s="598" t="s">
        <v>3314</v>
      </c>
      <c r="AF1073" s="598" t="s">
        <v>321</v>
      </c>
      <c r="AG1073" s="598" t="s">
        <v>321</v>
      </c>
      <c r="AH1073" s="598" t="s">
        <v>3309</v>
      </c>
      <c r="AI1073" s="598" t="s">
        <v>321</v>
      </c>
      <c r="AJ1073" s="599">
        <v>21</v>
      </c>
      <c r="AK1073" s="603">
        <v>19.5</v>
      </c>
      <c r="AL1073" s="603">
        <v>1.5</v>
      </c>
      <c r="AM1073" s="601">
        <v>0</v>
      </c>
      <c r="AN1073" s="599">
        <v>21</v>
      </c>
    </row>
    <row r="1074" spans="1:40" ht="16.5" customHeight="1">
      <c r="A1074" s="598" t="s">
        <v>3353</v>
      </c>
      <c r="B1074" s="598" t="s">
        <v>3358</v>
      </c>
      <c r="C1074" s="598" t="s">
        <v>2919</v>
      </c>
      <c r="D1074" s="598" t="s">
        <v>2920</v>
      </c>
      <c r="E1074" s="598" t="s">
        <v>321</v>
      </c>
      <c r="F1074" s="598" t="s">
        <v>3309</v>
      </c>
      <c r="G1074" s="598" t="s">
        <v>3309</v>
      </c>
      <c r="H1074" s="598" t="s">
        <v>3309</v>
      </c>
      <c r="I1074" s="598" t="s">
        <v>3309</v>
      </c>
      <c r="J1074" s="598" t="s">
        <v>3309</v>
      </c>
      <c r="K1074" s="598" t="s">
        <v>321</v>
      </c>
      <c r="L1074" s="598" t="s">
        <v>321</v>
      </c>
      <c r="M1074" s="598" t="s">
        <v>3309</v>
      </c>
      <c r="N1074" s="598" t="s">
        <v>3309</v>
      </c>
      <c r="O1074" s="598" t="s">
        <v>3309</v>
      </c>
      <c r="P1074" s="598" t="s">
        <v>3309</v>
      </c>
      <c r="Q1074" s="598" t="s">
        <v>3309</v>
      </c>
      <c r="R1074" s="598" t="s">
        <v>321</v>
      </c>
      <c r="S1074" s="598" t="s">
        <v>321</v>
      </c>
      <c r="T1074" s="598" t="s">
        <v>3309</v>
      </c>
      <c r="U1074" s="598" t="s">
        <v>3309</v>
      </c>
      <c r="V1074" s="598" t="s">
        <v>3309</v>
      </c>
      <c r="W1074" s="598" t="s">
        <v>3309</v>
      </c>
      <c r="X1074" s="598" t="s">
        <v>3309</v>
      </c>
      <c r="Y1074" s="598" t="s">
        <v>321</v>
      </c>
      <c r="Z1074" s="598" t="s">
        <v>321</v>
      </c>
      <c r="AA1074" s="598" t="s">
        <v>3309</v>
      </c>
      <c r="AB1074" s="598" t="s">
        <v>3309</v>
      </c>
      <c r="AC1074" s="598" t="s">
        <v>3309</v>
      </c>
      <c r="AD1074" s="598" t="s">
        <v>3309</v>
      </c>
      <c r="AE1074" s="598" t="s">
        <v>3309</v>
      </c>
      <c r="AF1074" s="598" t="s">
        <v>321</v>
      </c>
      <c r="AG1074" s="598" t="s">
        <v>321</v>
      </c>
      <c r="AH1074" s="598" t="s">
        <v>3309</v>
      </c>
      <c r="AI1074" s="598" t="s">
        <v>321</v>
      </c>
      <c r="AJ1074" s="599">
        <v>21</v>
      </c>
      <c r="AK1074" s="600">
        <v>21</v>
      </c>
      <c r="AL1074" s="601">
        <v>0</v>
      </c>
      <c r="AM1074" s="601">
        <v>0</v>
      </c>
      <c r="AN1074" s="599">
        <v>21</v>
      </c>
    </row>
    <row r="1075" spans="1:40" ht="16.5" customHeight="1">
      <c r="A1075" s="598" t="s">
        <v>3353</v>
      </c>
      <c r="B1075" s="598" t="s">
        <v>3358</v>
      </c>
      <c r="C1075" s="598" t="s">
        <v>2867</v>
      </c>
      <c r="D1075" s="598" t="s">
        <v>2868</v>
      </c>
      <c r="E1075" s="598" t="s">
        <v>321</v>
      </c>
      <c r="F1075" s="598" t="s">
        <v>3309</v>
      </c>
      <c r="G1075" s="598" t="s">
        <v>3309</v>
      </c>
      <c r="H1075" s="598" t="s">
        <v>3309</v>
      </c>
      <c r="I1075" s="598" t="s">
        <v>3309</v>
      </c>
      <c r="J1075" s="598" t="s">
        <v>3309</v>
      </c>
      <c r="K1075" s="598" t="s">
        <v>321</v>
      </c>
      <c r="L1075" s="598" t="s">
        <v>321</v>
      </c>
      <c r="M1075" s="598" t="s">
        <v>3309</v>
      </c>
      <c r="N1075" s="598" t="s">
        <v>3309</v>
      </c>
      <c r="O1075" s="598" t="s">
        <v>3309</v>
      </c>
      <c r="P1075" s="598" t="s">
        <v>3309</v>
      </c>
      <c r="Q1075" s="598" t="s">
        <v>3309</v>
      </c>
      <c r="R1075" s="598" t="s">
        <v>321</v>
      </c>
      <c r="S1075" s="598" t="s">
        <v>321</v>
      </c>
      <c r="T1075" s="598" t="s">
        <v>3309</v>
      </c>
      <c r="U1075" s="598" t="s">
        <v>3309</v>
      </c>
      <c r="V1075" s="598" t="s">
        <v>3309</v>
      </c>
      <c r="W1075" s="598" t="s">
        <v>3309</v>
      </c>
      <c r="X1075" s="598" t="s">
        <v>3309</v>
      </c>
      <c r="Y1075" s="598" t="s">
        <v>321</v>
      </c>
      <c r="Z1075" s="598" t="s">
        <v>321</v>
      </c>
      <c r="AA1075" s="598" t="s">
        <v>3309</v>
      </c>
      <c r="AB1075" s="598" t="s">
        <v>3309</v>
      </c>
      <c r="AC1075" s="598" t="s">
        <v>3309</v>
      </c>
      <c r="AD1075" s="598" t="s">
        <v>3309</v>
      </c>
      <c r="AE1075" s="598" t="s">
        <v>3309</v>
      </c>
      <c r="AF1075" s="598" t="s">
        <v>321</v>
      </c>
      <c r="AG1075" s="598" t="s">
        <v>321</v>
      </c>
      <c r="AH1075" s="598" t="s">
        <v>3309</v>
      </c>
      <c r="AI1075" s="598" t="s">
        <v>321</v>
      </c>
      <c r="AJ1075" s="599">
        <v>21</v>
      </c>
      <c r="AK1075" s="600">
        <v>21</v>
      </c>
      <c r="AL1075" s="601">
        <v>0</v>
      </c>
      <c r="AM1075" s="601">
        <v>0</v>
      </c>
      <c r="AN1075" s="599">
        <v>21</v>
      </c>
    </row>
    <row r="1076" spans="1:40" ht="16.5" customHeight="1">
      <c r="A1076" s="598" t="s">
        <v>3353</v>
      </c>
      <c r="B1076" s="598" t="s">
        <v>3358</v>
      </c>
      <c r="C1076" s="598" t="s">
        <v>2623</v>
      </c>
      <c r="D1076" s="598" t="s">
        <v>2624</v>
      </c>
      <c r="E1076" s="598" t="s">
        <v>321</v>
      </c>
      <c r="F1076" s="598" t="s">
        <v>3309</v>
      </c>
      <c r="G1076" s="598" t="s">
        <v>3309</v>
      </c>
      <c r="H1076" s="598" t="s">
        <v>3309</v>
      </c>
      <c r="I1076" s="598" t="s">
        <v>3309</v>
      </c>
      <c r="J1076" s="598" t="s">
        <v>3309</v>
      </c>
      <c r="K1076" s="598" t="s">
        <v>321</v>
      </c>
      <c r="L1076" s="598" t="s">
        <v>321</v>
      </c>
      <c r="M1076" s="598" t="s">
        <v>3309</v>
      </c>
      <c r="N1076" s="598" t="s">
        <v>3309</v>
      </c>
      <c r="O1076" s="598" t="s">
        <v>3309</v>
      </c>
      <c r="P1076" s="598" t="s">
        <v>3309</v>
      </c>
      <c r="Q1076" s="598" t="s">
        <v>3309</v>
      </c>
      <c r="R1076" s="598" t="s">
        <v>321</v>
      </c>
      <c r="S1076" s="598" t="s">
        <v>321</v>
      </c>
      <c r="T1076" s="598" t="s">
        <v>3309</v>
      </c>
      <c r="U1076" s="598" t="s">
        <v>3309</v>
      </c>
      <c r="V1076" s="598" t="s">
        <v>3309</v>
      </c>
      <c r="W1076" s="598" t="s">
        <v>3309</v>
      </c>
      <c r="X1076" s="598" t="s">
        <v>3309</v>
      </c>
      <c r="Y1076" s="598" t="s">
        <v>321</v>
      </c>
      <c r="Z1076" s="598" t="s">
        <v>321</v>
      </c>
      <c r="AA1076" s="598" t="s">
        <v>3309</v>
      </c>
      <c r="AB1076" s="598" t="s">
        <v>3309</v>
      </c>
      <c r="AC1076" s="598" t="s">
        <v>3309</v>
      </c>
      <c r="AD1076" s="598" t="s">
        <v>3309</v>
      </c>
      <c r="AE1076" s="598" t="s">
        <v>3309</v>
      </c>
      <c r="AF1076" s="598" t="s">
        <v>321</v>
      </c>
      <c r="AG1076" s="598" t="s">
        <v>321</v>
      </c>
      <c r="AH1076" s="598" t="s">
        <v>3309</v>
      </c>
      <c r="AI1076" s="598" t="s">
        <v>321</v>
      </c>
      <c r="AJ1076" s="599">
        <v>21</v>
      </c>
      <c r="AK1076" s="600">
        <v>21</v>
      </c>
      <c r="AL1076" s="601">
        <v>0</v>
      </c>
      <c r="AM1076" s="601">
        <v>0</v>
      </c>
      <c r="AN1076" s="599">
        <v>21</v>
      </c>
    </row>
    <row r="1077" spans="1:40" ht="16.5" customHeight="1">
      <c r="A1077" s="598" t="s">
        <v>3353</v>
      </c>
      <c r="B1077" s="598" t="s">
        <v>3358</v>
      </c>
      <c r="C1077" s="598" t="s">
        <v>2570</v>
      </c>
      <c r="D1077" s="598" t="s">
        <v>2571</v>
      </c>
      <c r="E1077" s="598" t="s">
        <v>321</v>
      </c>
      <c r="F1077" s="598" t="s">
        <v>3329</v>
      </c>
      <c r="G1077" s="598" t="s">
        <v>3313</v>
      </c>
      <c r="H1077" s="598" t="s">
        <v>3309</v>
      </c>
      <c r="I1077" s="598" t="s">
        <v>3309</v>
      </c>
      <c r="J1077" s="598" t="s">
        <v>3309</v>
      </c>
      <c r="K1077" s="598" t="s">
        <v>321</v>
      </c>
      <c r="L1077" s="598" t="s">
        <v>321</v>
      </c>
      <c r="M1077" s="598" t="s">
        <v>3309</v>
      </c>
      <c r="N1077" s="598" t="s">
        <v>3309</v>
      </c>
      <c r="O1077" s="598" t="s">
        <v>3309</v>
      </c>
      <c r="P1077" s="598" t="s">
        <v>3309</v>
      </c>
      <c r="Q1077" s="598" t="s">
        <v>3309</v>
      </c>
      <c r="R1077" s="598" t="s">
        <v>321</v>
      </c>
      <c r="S1077" s="598" t="s">
        <v>321</v>
      </c>
      <c r="T1077" s="598" t="s">
        <v>3309</v>
      </c>
      <c r="U1077" s="598" t="s">
        <v>3309</v>
      </c>
      <c r="V1077" s="598" t="s">
        <v>3309</v>
      </c>
      <c r="W1077" s="598" t="s">
        <v>3309</v>
      </c>
      <c r="X1077" s="598" t="s">
        <v>3309</v>
      </c>
      <c r="Y1077" s="598" t="s">
        <v>321</v>
      </c>
      <c r="Z1077" s="598" t="s">
        <v>321</v>
      </c>
      <c r="AA1077" s="598" t="s">
        <v>3329</v>
      </c>
      <c r="AB1077" s="598" t="s">
        <v>3309</v>
      </c>
      <c r="AC1077" s="598" t="s">
        <v>3309</v>
      </c>
      <c r="AD1077" s="598" t="s">
        <v>3309</v>
      </c>
      <c r="AE1077" s="598" t="s">
        <v>3309</v>
      </c>
      <c r="AF1077" s="598" t="s">
        <v>321</v>
      </c>
      <c r="AG1077" s="598" t="s">
        <v>321</v>
      </c>
      <c r="AH1077" s="598" t="s">
        <v>3309</v>
      </c>
      <c r="AI1077" s="598" t="s">
        <v>321</v>
      </c>
      <c r="AJ1077" s="599">
        <v>21</v>
      </c>
      <c r="AK1077" s="600">
        <v>21</v>
      </c>
      <c r="AL1077" s="601">
        <v>0</v>
      </c>
      <c r="AM1077" s="601">
        <v>0</v>
      </c>
      <c r="AN1077" s="599">
        <v>21</v>
      </c>
    </row>
    <row r="1078" spans="1:40" ht="16.5" customHeight="1">
      <c r="A1078" s="598" t="s">
        <v>3353</v>
      </c>
      <c r="B1078" s="598" t="s">
        <v>3358</v>
      </c>
      <c r="C1078" s="598" t="s">
        <v>1407</v>
      </c>
      <c r="D1078" s="598" t="s">
        <v>1408</v>
      </c>
      <c r="E1078" s="598" t="s">
        <v>321</v>
      </c>
      <c r="F1078" s="598" t="s">
        <v>3309</v>
      </c>
      <c r="G1078" s="598" t="s">
        <v>3309</v>
      </c>
      <c r="H1078" s="598" t="s">
        <v>3309</v>
      </c>
      <c r="I1078" s="598" t="s">
        <v>3309</v>
      </c>
      <c r="J1078" s="598" t="s">
        <v>3309</v>
      </c>
      <c r="K1078" s="598" t="s">
        <v>321</v>
      </c>
      <c r="L1078" s="598" t="s">
        <v>321</v>
      </c>
      <c r="M1078" s="598" t="s">
        <v>3309</v>
      </c>
      <c r="N1078" s="598" t="s">
        <v>3309</v>
      </c>
      <c r="O1078" s="598" t="s">
        <v>3309</v>
      </c>
      <c r="P1078" s="598" t="s">
        <v>3309</v>
      </c>
      <c r="Q1078" s="598" t="s">
        <v>3309</v>
      </c>
      <c r="R1078" s="598" t="s">
        <v>321</v>
      </c>
      <c r="S1078" s="598" t="s">
        <v>321</v>
      </c>
      <c r="T1078" s="598" t="s">
        <v>3309</v>
      </c>
      <c r="U1078" s="598" t="s">
        <v>3309</v>
      </c>
      <c r="V1078" s="598" t="s">
        <v>3309</v>
      </c>
      <c r="W1078" s="598" t="s">
        <v>3309</v>
      </c>
      <c r="X1078" s="598" t="s">
        <v>3309</v>
      </c>
      <c r="Y1078" s="598" t="s">
        <v>321</v>
      </c>
      <c r="Z1078" s="598" t="s">
        <v>321</v>
      </c>
      <c r="AA1078" s="598" t="s">
        <v>3309</v>
      </c>
      <c r="AB1078" s="598" t="s">
        <v>3309</v>
      </c>
      <c r="AC1078" s="598" t="s">
        <v>3309</v>
      </c>
      <c r="AD1078" s="598" t="s">
        <v>3309</v>
      </c>
      <c r="AE1078" s="598" t="s">
        <v>3309</v>
      </c>
      <c r="AF1078" s="598" t="s">
        <v>321</v>
      </c>
      <c r="AG1078" s="598" t="s">
        <v>321</v>
      </c>
      <c r="AH1078" s="598" t="s">
        <v>3309</v>
      </c>
      <c r="AI1078" s="598" t="s">
        <v>321</v>
      </c>
      <c r="AJ1078" s="599">
        <v>21</v>
      </c>
      <c r="AK1078" s="600">
        <v>21</v>
      </c>
      <c r="AL1078" s="601">
        <v>0</v>
      </c>
      <c r="AM1078" s="601">
        <v>0</v>
      </c>
      <c r="AN1078" s="599">
        <v>21</v>
      </c>
    </row>
    <row r="1079" spans="1:40" ht="16.5" customHeight="1">
      <c r="A1079" s="598" t="s">
        <v>3353</v>
      </c>
      <c r="B1079" s="598" t="s">
        <v>3358</v>
      </c>
      <c r="C1079" s="598" t="s">
        <v>2894</v>
      </c>
      <c r="D1079" s="598" t="s">
        <v>2895</v>
      </c>
      <c r="E1079" s="598" t="s">
        <v>321</v>
      </c>
      <c r="F1079" s="598" t="s">
        <v>3309</v>
      </c>
      <c r="G1079" s="598" t="s">
        <v>3309</v>
      </c>
      <c r="H1079" s="598" t="s">
        <v>3309</v>
      </c>
      <c r="I1079" s="598" t="s">
        <v>3309</v>
      </c>
      <c r="J1079" s="598" t="s">
        <v>3309</v>
      </c>
      <c r="K1079" s="598" t="s">
        <v>321</v>
      </c>
      <c r="L1079" s="598" t="s">
        <v>321</v>
      </c>
      <c r="M1079" s="598" t="s">
        <v>3309</v>
      </c>
      <c r="N1079" s="598" t="s">
        <v>3309</v>
      </c>
      <c r="O1079" s="598" t="s">
        <v>3309</v>
      </c>
      <c r="P1079" s="598" t="s">
        <v>3309</v>
      </c>
      <c r="Q1079" s="598" t="s">
        <v>3309</v>
      </c>
      <c r="R1079" s="598" t="s">
        <v>321</v>
      </c>
      <c r="S1079" s="598" t="s">
        <v>321</v>
      </c>
      <c r="T1079" s="598" t="s">
        <v>3309</v>
      </c>
      <c r="U1079" s="598" t="s">
        <v>3309</v>
      </c>
      <c r="V1079" s="598" t="s">
        <v>3309</v>
      </c>
      <c r="W1079" s="598" t="s">
        <v>3309</v>
      </c>
      <c r="X1079" s="598" t="s">
        <v>3309</v>
      </c>
      <c r="Y1079" s="598" t="s">
        <v>321</v>
      </c>
      <c r="Z1079" s="598" t="s">
        <v>321</v>
      </c>
      <c r="AA1079" s="598" t="s">
        <v>3309</v>
      </c>
      <c r="AB1079" s="598" t="s">
        <v>3309</v>
      </c>
      <c r="AC1079" s="598" t="s">
        <v>3309</v>
      </c>
      <c r="AD1079" s="598" t="s">
        <v>3309</v>
      </c>
      <c r="AE1079" s="598" t="s">
        <v>3309</v>
      </c>
      <c r="AF1079" s="598" t="s">
        <v>321</v>
      </c>
      <c r="AG1079" s="598" t="s">
        <v>321</v>
      </c>
      <c r="AH1079" s="598" t="s">
        <v>3309</v>
      </c>
      <c r="AI1079" s="598" t="s">
        <v>321</v>
      </c>
      <c r="AJ1079" s="599">
        <v>21</v>
      </c>
      <c r="AK1079" s="600">
        <v>21</v>
      </c>
      <c r="AL1079" s="601">
        <v>0</v>
      </c>
      <c r="AM1079" s="601">
        <v>0</v>
      </c>
      <c r="AN1079" s="599">
        <v>21</v>
      </c>
    </row>
    <row r="1080" spans="1:40" ht="16.5" customHeight="1">
      <c r="A1080" s="598" t="s">
        <v>3353</v>
      </c>
      <c r="B1080" s="598" t="s">
        <v>3358</v>
      </c>
      <c r="C1080" s="598" t="s">
        <v>2372</v>
      </c>
      <c r="D1080" s="598" t="s">
        <v>2373</v>
      </c>
      <c r="E1080" s="598" t="s">
        <v>321</v>
      </c>
      <c r="F1080" s="598" t="s">
        <v>3309</v>
      </c>
      <c r="G1080" s="598" t="s">
        <v>3309</v>
      </c>
      <c r="H1080" s="598" t="s">
        <v>3309</v>
      </c>
      <c r="I1080" s="598" t="s">
        <v>3309</v>
      </c>
      <c r="J1080" s="598" t="s">
        <v>3309</v>
      </c>
      <c r="K1080" s="598" t="s">
        <v>321</v>
      </c>
      <c r="L1080" s="598" t="s">
        <v>321</v>
      </c>
      <c r="M1080" s="598" t="s">
        <v>3309</v>
      </c>
      <c r="N1080" s="598" t="s">
        <v>3309</v>
      </c>
      <c r="O1080" s="598" t="s">
        <v>3309</v>
      </c>
      <c r="P1080" s="598" t="s">
        <v>3314</v>
      </c>
      <c r="Q1080" s="598" t="s">
        <v>3309</v>
      </c>
      <c r="R1080" s="598" t="s">
        <v>321</v>
      </c>
      <c r="S1080" s="598" t="s">
        <v>321</v>
      </c>
      <c r="T1080" s="598" t="s">
        <v>3309</v>
      </c>
      <c r="U1080" s="598" t="s">
        <v>3309</v>
      </c>
      <c r="V1080" s="598" t="s">
        <v>3309</v>
      </c>
      <c r="W1080" s="598" t="s">
        <v>3309</v>
      </c>
      <c r="X1080" s="598" t="s">
        <v>3309</v>
      </c>
      <c r="Y1080" s="598" t="s">
        <v>321</v>
      </c>
      <c r="Z1080" s="598" t="s">
        <v>321</v>
      </c>
      <c r="AA1080" s="598" t="s">
        <v>3309</v>
      </c>
      <c r="AB1080" s="598" t="s">
        <v>3309</v>
      </c>
      <c r="AC1080" s="598" t="s">
        <v>3309</v>
      </c>
      <c r="AD1080" s="598" t="s">
        <v>3309</v>
      </c>
      <c r="AE1080" s="598" t="s">
        <v>3309</v>
      </c>
      <c r="AF1080" s="598" t="s">
        <v>321</v>
      </c>
      <c r="AG1080" s="598" t="s">
        <v>321</v>
      </c>
      <c r="AH1080" s="598" t="s">
        <v>3309</v>
      </c>
      <c r="AI1080" s="598" t="s">
        <v>321</v>
      </c>
      <c r="AJ1080" s="599">
        <v>21</v>
      </c>
      <c r="AK1080" s="603">
        <v>20.5</v>
      </c>
      <c r="AL1080" s="604">
        <v>0.5</v>
      </c>
      <c r="AM1080" s="601">
        <v>0</v>
      </c>
      <c r="AN1080" s="599">
        <v>21</v>
      </c>
    </row>
    <row r="1081" spans="1:40" ht="16.5" customHeight="1">
      <c r="A1081" s="598" t="s">
        <v>3353</v>
      </c>
      <c r="B1081" s="598" t="s">
        <v>3358</v>
      </c>
      <c r="C1081" s="598" t="s">
        <v>2455</v>
      </c>
      <c r="D1081" s="598" t="s">
        <v>2456</v>
      </c>
      <c r="E1081" s="598" t="s">
        <v>321</v>
      </c>
      <c r="F1081" s="598" t="s">
        <v>3309</v>
      </c>
      <c r="G1081" s="598" t="s">
        <v>3309</v>
      </c>
      <c r="H1081" s="598" t="s">
        <v>3309</v>
      </c>
      <c r="I1081" s="598" t="s">
        <v>3329</v>
      </c>
      <c r="J1081" s="598" t="s">
        <v>3329</v>
      </c>
      <c r="K1081" s="598" t="s">
        <v>321</v>
      </c>
      <c r="L1081" s="598" t="s">
        <v>321</v>
      </c>
      <c r="M1081" s="598" t="s">
        <v>3309</v>
      </c>
      <c r="N1081" s="598" t="s">
        <v>3309</v>
      </c>
      <c r="O1081" s="598" t="s">
        <v>3309</v>
      </c>
      <c r="P1081" s="598" t="s">
        <v>3309</v>
      </c>
      <c r="Q1081" s="598" t="s">
        <v>3313</v>
      </c>
      <c r="R1081" s="598" t="s">
        <v>321</v>
      </c>
      <c r="S1081" s="598" t="s">
        <v>321</v>
      </c>
      <c r="T1081" s="598" t="s">
        <v>3309</v>
      </c>
      <c r="U1081" s="598" t="s">
        <v>3309</v>
      </c>
      <c r="V1081" s="598" t="s">
        <v>3309</v>
      </c>
      <c r="W1081" s="598" t="s">
        <v>3309</v>
      </c>
      <c r="X1081" s="598" t="s">
        <v>3309</v>
      </c>
      <c r="Y1081" s="598" t="s">
        <v>321</v>
      </c>
      <c r="Z1081" s="598" t="s">
        <v>321</v>
      </c>
      <c r="AA1081" s="598" t="s">
        <v>3309</v>
      </c>
      <c r="AB1081" s="598" t="s">
        <v>3309</v>
      </c>
      <c r="AC1081" s="598" t="s">
        <v>3309</v>
      </c>
      <c r="AD1081" s="598" t="s">
        <v>3309</v>
      </c>
      <c r="AE1081" s="598" t="s">
        <v>3309</v>
      </c>
      <c r="AF1081" s="598" t="s">
        <v>321</v>
      </c>
      <c r="AG1081" s="598" t="s">
        <v>321</v>
      </c>
      <c r="AH1081" s="598" t="s">
        <v>3309</v>
      </c>
      <c r="AI1081" s="598" t="s">
        <v>321</v>
      </c>
      <c r="AJ1081" s="599">
        <v>21</v>
      </c>
      <c r="AK1081" s="600">
        <v>21</v>
      </c>
      <c r="AL1081" s="601">
        <v>0</v>
      </c>
      <c r="AM1081" s="601">
        <v>0</v>
      </c>
      <c r="AN1081" s="599">
        <v>21</v>
      </c>
    </row>
    <row r="1082" spans="1:40" ht="16.5" customHeight="1">
      <c r="A1082" s="598" t="s">
        <v>3353</v>
      </c>
      <c r="B1082" s="598" t="s">
        <v>3358</v>
      </c>
      <c r="C1082" s="598" t="s">
        <v>2625</v>
      </c>
      <c r="D1082" s="598" t="s">
        <v>2626</v>
      </c>
      <c r="E1082" s="598" t="s">
        <v>321</v>
      </c>
      <c r="F1082" s="598" t="s">
        <v>3309</v>
      </c>
      <c r="G1082" s="598" t="s">
        <v>3309</v>
      </c>
      <c r="H1082" s="598" t="s">
        <v>3309</v>
      </c>
      <c r="I1082" s="598" t="s">
        <v>3309</v>
      </c>
      <c r="J1082" s="598" t="s">
        <v>3309</v>
      </c>
      <c r="K1082" s="598" t="s">
        <v>321</v>
      </c>
      <c r="L1082" s="598" t="s">
        <v>321</v>
      </c>
      <c r="M1082" s="598" t="s">
        <v>3309</v>
      </c>
      <c r="N1082" s="598" t="s">
        <v>3309</v>
      </c>
      <c r="O1082" s="598" t="s">
        <v>3309</v>
      </c>
      <c r="P1082" s="598" t="s">
        <v>3309</v>
      </c>
      <c r="Q1082" s="598" t="s">
        <v>3309</v>
      </c>
      <c r="R1082" s="598" t="s">
        <v>321</v>
      </c>
      <c r="S1082" s="598" t="s">
        <v>321</v>
      </c>
      <c r="T1082" s="598" t="s">
        <v>3309</v>
      </c>
      <c r="U1082" s="598" t="s">
        <v>3309</v>
      </c>
      <c r="V1082" s="598" t="s">
        <v>3309</v>
      </c>
      <c r="W1082" s="598" t="s">
        <v>3309</v>
      </c>
      <c r="X1082" s="598" t="s">
        <v>3309</v>
      </c>
      <c r="Y1082" s="598" t="s">
        <v>321</v>
      </c>
      <c r="Z1082" s="598" t="s">
        <v>321</v>
      </c>
      <c r="AA1082" s="598" t="s">
        <v>3309</v>
      </c>
      <c r="AB1082" s="598" t="s">
        <v>3309</v>
      </c>
      <c r="AC1082" s="598" t="s">
        <v>3309</v>
      </c>
      <c r="AD1082" s="598" t="s">
        <v>3309</v>
      </c>
      <c r="AE1082" s="598" t="s">
        <v>3309</v>
      </c>
      <c r="AF1082" s="598" t="s">
        <v>321</v>
      </c>
      <c r="AG1082" s="598" t="s">
        <v>321</v>
      </c>
      <c r="AH1082" s="598" t="s">
        <v>3309</v>
      </c>
      <c r="AI1082" s="598" t="s">
        <v>321</v>
      </c>
      <c r="AJ1082" s="599">
        <v>21</v>
      </c>
      <c r="AK1082" s="600">
        <v>21</v>
      </c>
      <c r="AL1082" s="601">
        <v>0</v>
      </c>
      <c r="AM1082" s="601">
        <v>0</v>
      </c>
      <c r="AN1082" s="599">
        <v>21</v>
      </c>
    </row>
    <row r="1083" spans="1:40" ht="16.5" customHeight="1">
      <c r="A1083" s="598" t="s">
        <v>3353</v>
      </c>
      <c r="B1083" s="598" t="s">
        <v>3358</v>
      </c>
      <c r="C1083" s="598" t="s">
        <v>2927</v>
      </c>
      <c r="D1083" s="598" t="s">
        <v>2928</v>
      </c>
      <c r="E1083" s="598" t="s">
        <v>321</v>
      </c>
      <c r="F1083" s="598" t="s">
        <v>3309</v>
      </c>
      <c r="G1083" s="598" t="s">
        <v>3309</v>
      </c>
      <c r="H1083" s="598" t="s">
        <v>3309</v>
      </c>
      <c r="I1083" s="598" t="s">
        <v>3309</v>
      </c>
      <c r="J1083" s="598" t="s">
        <v>3309</v>
      </c>
      <c r="K1083" s="598" t="s">
        <v>321</v>
      </c>
      <c r="L1083" s="598" t="s">
        <v>321</v>
      </c>
      <c r="M1083" s="598" t="s">
        <v>3309</v>
      </c>
      <c r="N1083" s="598" t="s">
        <v>3309</v>
      </c>
      <c r="O1083" s="598" t="s">
        <v>3309</v>
      </c>
      <c r="P1083" s="598" t="s">
        <v>3309</v>
      </c>
      <c r="Q1083" s="598" t="s">
        <v>3309</v>
      </c>
      <c r="R1083" s="598" t="s">
        <v>321</v>
      </c>
      <c r="S1083" s="598" t="s">
        <v>321</v>
      </c>
      <c r="T1083" s="598" t="s">
        <v>3309</v>
      </c>
      <c r="U1083" s="598" t="s">
        <v>3309</v>
      </c>
      <c r="V1083" s="598" t="s">
        <v>3309</v>
      </c>
      <c r="W1083" s="598" t="s">
        <v>3309</v>
      </c>
      <c r="X1083" s="598" t="s">
        <v>3309</v>
      </c>
      <c r="Y1083" s="598" t="s">
        <v>321</v>
      </c>
      <c r="Z1083" s="598" t="s">
        <v>321</v>
      </c>
      <c r="AA1083" s="598" t="s">
        <v>3309</v>
      </c>
      <c r="AB1083" s="598" t="s">
        <v>3309</v>
      </c>
      <c r="AC1083" s="598" t="s">
        <v>3309</v>
      </c>
      <c r="AD1083" s="598" t="s">
        <v>3309</v>
      </c>
      <c r="AE1083" s="598" t="s">
        <v>3309</v>
      </c>
      <c r="AF1083" s="598" t="s">
        <v>321</v>
      </c>
      <c r="AG1083" s="598" t="s">
        <v>321</v>
      </c>
      <c r="AH1083" s="598" t="s">
        <v>3309</v>
      </c>
      <c r="AI1083" s="598" t="s">
        <v>321</v>
      </c>
      <c r="AJ1083" s="599">
        <v>21</v>
      </c>
      <c r="AK1083" s="600">
        <v>21</v>
      </c>
      <c r="AL1083" s="601">
        <v>0</v>
      </c>
      <c r="AM1083" s="601">
        <v>0</v>
      </c>
      <c r="AN1083" s="599">
        <v>21</v>
      </c>
    </row>
    <row r="1084" spans="1:40" ht="16.5" customHeight="1">
      <c r="A1084" s="598" t="s">
        <v>3353</v>
      </c>
      <c r="B1084" s="598" t="s">
        <v>3358</v>
      </c>
      <c r="C1084" s="598" t="s">
        <v>2316</v>
      </c>
      <c r="D1084" s="598" t="s">
        <v>2317</v>
      </c>
      <c r="E1084" s="598" t="s">
        <v>321</v>
      </c>
      <c r="F1084" s="598" t="s">
        <v>3309</v>
      </c>
      <c r="G1084" s="598" t="s">
        <v>3309</v>
      </c>
      <c r="H1084" s="598" t="s">
        <v>3309</v>
      </c>
      <c r="I1084" s="598" t="s">
        <v>3309</v>
      </c>
      <c r="J1084" s="598" t="s">
        <v>3309</v>
      </c>
      <c r="K1084" s="598" t="s">
        <v>321</v>
      </c>
      <c r="L1084" s="598" t="s">
        <v>321</v>
      </c>
      <c r="M1084" s="598" t="s">
        <v>3309</v>
      </c>
      <c r="N1084" s="598" t="s">
        <v>3309</v>
      </c>
      <c r="O1084" s="598" t="s">
        <v>3309</v>
      </c>
      <c r="P1084" s="598" t="s">
        <v>3309</v>
      </c>
      <c r="Q1084" s="598" t="s">
        <v>3309</v>
      </c>
      <c r="R1084" s="598" t="s">
        <v>321</v>
      </c>
      <c r="S1084" s="598" t="s">
        <v>321</v>
      </c>
      <c r="T1084" s="598" t="s">
        <v>3309</v>
      </c>
      <c r="U1084" s="598" t="s">
        <v>3309</v>
      </c>
      <c r="V1084" s="598" t="s">
        <v>3309</v>
      </c>
      <c r="W1084" s="598" t="s">
        <v>3309</v>
      </c>
      <c r="X1084" s="598" t="s">
        <v>3309</v>
      </c>
      <c r="Y1084" s="598" t="s">
        <v>321</v>
      </c>
      <c r="Z1084" s="598" t="s">
        <v>321</v>
      </c>
      <c r="AA1084" s="598" t="s">
        <v>3309</v>
      </c>
      <c r="AB1084" s="598" t="s">
        <v>3309</v>
      </c>
      <c r="AC1084" s="598" t="s">
        <v>3312</v>
      </c>
      <c r="AD1084" s="598" t="s">
        <v>3309</v>
      </c>
      <c r="AE1084" s="598" t="s">
        <v>3309</v>
      </c>
      <c r="AF1084" s="598" t="s">
        <v>321</v>
      </c>
      <c r="AG1084" s="598" t="s">
        <v>321</v>
      </c>
      <c r="AH1084" s="598" t="s">
        <v>3309</v>
      </c>
      <c r="AI1084" s="598" t="s">
        <v>321</v>
      </c>
      <c r="AJ1084" s="599">
        <v>21</v>
      </c>
      <c r="AK1084" s="600">
        <v>20</v>
      </c>
      <c r="AL1084" s="602">
        <v>1</v>
      </c>
      <c r="AM1084" s="601">
        <v>0</v>
      </c>
      <c r="AN1084" s="599">
        <v>21</v>
      </c>
    </row>
    <row r="1085" spans="1:40" ht="16.5" customHeight="1">
      <c r="A1085" s="598" t="s">
        <v>3353</v>
      </c>
      <c r="B1085" s="598" t="s">
        <v>3358</v>
      </c>
      <c r="C1085" s="598" t="s">
        <v>1302</v>
      </c>
      <c r="D1085" s="598" t="s">
        <v>1303</v>
      </c>
      <c r="E1085" s="598" t="s">
        <v>321</v>
      </c>
      <c r="F1085" s="598" t="s">
        <v>3309</v>
      </c>
      <c r="G1085" s="598" t="s">
        <v>3309</v>
      </c>
      <c r="H1085" s="598" t="s">
        <v>3309</v>
      </c>
      <c r="I1085" s="598" t="s">
        <v>3309</v>
      </c>
      <c r="J1085" s="598" t="s">
        <v>3309</v>
      </c>
      <c r="K1085" s="598" t="s">
        <v>321</v>
      </c>
      <c r="L1085" s="598" t="s">
        <v>321</v>
      </c>
      <c r="M1085" s="598" t="s">
        <v>3309</v>
      </c>
      <c r="N1085" s="598" t="s">
        <v>3309</v>
      </c>
      <c r="O1085" s="598" t="s">
        <v>3309</v>
      </c>
      <c r="P1085" s="598" t="s">
        <v>3309</v>
      </c>
      <c r="Q1085" s="598" t="s">
        <v>3309</v>
      </c>
      <c r="R1085" s="598" t="s">
        <v>321</v>
      </c>
      <c r="S1085" s="598" t="s">
        <v>321</v>
      </c>
      <c r="T1085" s="598" t="s">
        <v>3309</v>
      </c>
      <c r="U1085" s="598" t="s">
        <v>3309</v>
      </c>
      <c r="V1085" s="598" t="s">
        <v>3309</v>
      </c>
      <c r="W1085" s="598" t="s">
        <v>3309</v>
      </c>
      <c r="X1085" s="598" t="s">
        <v>3309</v>
      </c>
      <c r="Y1085" s="598" t="s">
        <v>321</v>
      </c>
      <c r="Z1085" s="598" t="s">
        <v>321</v>
      </c>
      <c r="AA1085" s="598" t="s">
        <v>3309</v>
      </c>
      <c r="AB1085" s="598" t="s">
        <v>3309</v>
      </c>
      <c r="AC1085" s="598" t="s">
        <v>3309</v>
      </c>
      <c r="AD1085" s="598" t="s">
        <v>3309</v>
      </c>
      <c r="AE1085" s="598" t="s">
        <v>3309</v>
      </c>
      <c r="AF1085" s="598" t="s">
        <v>321</v>
      </c>
      <c r="AG1085" s="598" t="s">
        <v>321</v>
      </c>
      <c r="AH1085" s="598" t="s">
        <v>3309</v>
      </c>
      <c r="AI1085" s="598" t="s">
        <v>321</v>
      </c>
      <c r="AJ1085" s="599">
        <v>21</v>
      </c>
      <c r="AK1085" s="600">
        <v>21</v>
      </c>
      <c r="AL1085" s="601">
        <v>0</v>
      </c>
      <c r="AM1085" s="601">
        <v>0</v>
      </c>
      <c r="AN1085" s="599">
        <v>21</v>
      </c>
    </row>
    <row r="1086" spans="1:40" ht="16.5" customHeight="1">
      <c r="A1086" s="598" t="s">
        <v>3353</v>
      </c>
      <c r="B1086" s="598" t="s">
        <v>3358</v>
      </c>
      <c r="C1086" s="598" t="s">
        <v>2239</v>
      </c>
      <c r="D1086" s="598" t="s">
        <v>2240</v>
      </c>
      <c r="E1086" s="598" t="s">
        <v>321</v>
      </c>
      <c r="F1086" s="598" t="s">
        <v>3309</v>
      </c>
      <c r="G1086" s="598" t="s">
        <v>3309</v>
      </c>
      <c r="H1086" s="598" t="s">
        <v>3309</v>
      </c>
      <c r="I1086" s="598" t="s">
        <v>3309</v>
      </c>
      <c r="J1086" s="598" t="s">
        <v>3309</v>
      </c>
      <c r="K1086" s="598" t="s">
        <v>321</v>
      </c>
      <c r="L1086" s="598" t="s">
        <v>321</v>
      </c>
      <c r="M1086" s="598" t="s">
        <v>3309</v>
      </c>
      <c r="N1086" s="598" t="s">
        <v>3309</v>
      </c>
      <c r="O1086" s="598" t="s">
        <v>3309</v>
      </c>
      <c r="P1086" s="598" t="s">
        <v>3309</v>
      </c>
      <c r="Q1086" s="598" t="s">
        <v>3309</v>
      </c>
      <c r="R1086" s="598" t="s">
        <v>321</v>
      </c>
      <c r="S1086" s="598" t="s">
        <v>321</v>
      </c>
      <c r="T1086" s="598" t="s">
        <v>3309</v>
      </c>
      <c r="U1086" s="598" t="s">
        <v>3309</v>
      </c>
      <c r="V1086" s="598" t="s">
        <v>3309</v>
      </c>
      <c r="W1086" s="598" t="s">
        <v>3309</v>
      </c>
      <c r="X1086" s="598" t="s">
        <v>3309</v>
      </c>
      <c r="Y1086" s="598" t="s">
        <v>321</v>
      </c>
      <c r="Z1086" s="598" t="s">
        <v>321</v>
      </c>
      <c r="AA1086" s="598" t="s">
        <v>3309</v>
      </c>
      <c r="AB1086" s="598" t="s">
        <v>3309</v>
      </c>
      <c r="AC1086" s="598" t="s">
        <v>3309</v>
      </c>
      <c r="AD1086" s="598" t="s">
        <v>3309</v>
      </c>
      <c r="AE1086" s="598" t="s">
        <v>3309</v>
      </c>
      <c r="AF1086" s="598" t="s">
        <v>321</v>
      </c>
      <c r="AG1086" s="598" t="s">
        <v>321</v>
      </c>
      <c r="AH1086" s="598" t="s">
        <v>3309</v>
      </c>
      <c r="AI1086" s="598" t="s">
        <v>321</v>
      </c>
      <c r="AJ1086" s="599">
        <v>21</v>
      </c>
      <c r="AK1086" s="600">
        <v>21</v>
      </c>
      <c r="AL1086" s="601">
        <v>0</v>
      </c>
      <c r="AM1086" s="601">
        <v>0</v>
      </c>
      <c r="AN1086" s="599">
        <v>21</v>
      </c>
    </row>
    <row r="1087" spans="1:40" ht="16.5" customHeight="1">
      <c r="A1087" s="598" t="s">
        <v>3353</v>
      </c>
      <c r="B1087" s="598" t="s">
        <v>3358</v>
      </c>
      <c r="C1087" s="598" t="s">
        <v>2682</v>
      </c>
      <c r="D1087" s="598" t="s">
        <v>2683</v>
      </c>
      <c r="E1087" s="598" t="s">
        <v>321</v>
      </c>
      <c r="F1087" s="598" t="s">
        <v>3309</v>
      </c>
      <c r="G1087" s="598" t="s">
        <v>3309</v>
      </c>
      <c r="H1087" s="598" t="s">
        <v>3309</v>
      </c>
      <c r="I1087" s="598" t="s">
        <v>3309</v>
      </c>
      <c r="J1087" s="598" t="s">
        <v>3309</v>
      </c>
      <c r="K1087" s="598" t="s">
        <v>321</v>
      </c>
      <c r="L1087" s="598" t="s">
        <v>321</v>
      </c>
      <c r="M1087" s="598" t="s">
        <v>3309</v>
      </c>
      <c r="N1087" s="598" t="s">
        <v>3309</v>
      </c>
      <c r="O1087" s="598" t="s">
        <v>3309</v>
      </c>
      <c r="P1087" s="598" t="s">
        <v>3309</v>
      </c>
      <c r="Q1087" s="598" t="s">
        <v>3309</v>
      </c>
      <c r="R1087" s="598" t="s">
        <v>321</v>
      </c>
      <c r="S1087" s="598" t="s">
        <v>321</v>
      </c>
      <c r="T1087" s="598" t="s">
        <v>3314</v>
      </c>
      <c r="U1087" s="598" t="s">
        <v>3309</v>
      </c>
      <c r="V1087" s="598" t="s">
        <v>3309</v>
      </c>
      <c r="W1087" s="598" t="s">
        <v>3309</v>
      </c>
      <c r="X1087" s="598" t="s">
        <v>3309</v>
      </c>
      <c r="Y1087" s="598" t="s">
        <v>321</v>
      </c>
      <c r="Z1087" s="598" t="s">
        <v>321</v>
      </c>
      <c r="AA1087" s="598" t="s">
        <v>3309</v>
      </c>
      <c r="AB1087" s="598" t="s">
        <v>3309</v>
      </c>
      <c r="AC1087" s="598" t="s">
        <v>3309</v>
      </c>
      <c r="AD1087" s="598" t="s">
        <v>3309</v>
      </c>
      <c r="AE1087" s="598" t="s">
        <v>3309</v>
      </c>
      <c r="AF1087" s="598" t="s">
        <v>321</v>
      </c>
      <c r="AG1087" s="598" t="s">
        <v>321</v>
      </c>
      <c r="AH1087" s="598" t="s">
        <v>3309</v>
      </c>
      <c r="AI1087" s="598" t="s">
        <v>321</v>
      </c>
      <c r="AJ1087" s="599">
        <v>21</v>
      </c>
      <c r="AK1087" s="603">
        <v>20.5</v>
      </c>
      <c r="AL1087" s="604">
        <v>0.5</v>
      </c>
      <c r="AM1087" s="601">
        <v>0</v>
      </c>
      <c r="AN1087" s="599">
        <v>21</v>
      </c>
    </row>
    <row r="1088" spans="1:40" ht="16.5" customHeight="1">
      <c r="A1088" s="598" t="s">
        <v>3353</v>
      </c>
      <c r="B1088" s="598" t="s">
        <v>3358</v>
      </c>
      <c r="C1088" s="598" t="s">
        <v>70</v>
      </c>
      <c r="D1088" s="598" t="s">
        <v>942</v>
      </c>
      <c r="E1088" s="598" t="s">
        <v>321</v>
      </c>
      <c r="F1088" s="598" t="s">
        <v>3309</v>
      </c>
      <c r="G1088" s="598" t="s">
        <v>3309</v>
      </c>
      <c r="H1088" s="598" t="s">
        <v>3309</v>
      </c>
      <c r="I1088" s="598" t="s">
        <v>3309</v>
      </c>
      <c r="J1088" s="598" t="s">
        <v>3309</v>
      </c>
      <c r="K1088" s="598" t="s">
        <v>321</v>
      </c>
      <c r="L1088" s="598" t="s">
        <v>321</v>
      </c>
      <c r="M1088" s="598" t="s">
        <v>3309</v>
      </c>
      <c r="N1088" s="598" t="s">
        <v>3309</v>
      </c>
      <c r="O1088" s="598" t="s">
        <v>3309</v>
      </c>
      <c r="P1088" s="598" t="s">
        <v>3309</v>
      </c>
      <c r="Q1088" s="598" t="s">
        <v>3309</v>
      </c>
      <c r="R1088" s="598" t="s">
        <v>321</v>
      </c>
      <c r="S1088" s="598" t="s">
        <v>321</v>
      </c>
      <c r="T1088" s="598" t="s">
        <v>3309</v>
      </c>
      <c r="U1088" s="598" t="s">
        <v>3309</v>
      </c>
      <c r="V1088" s="598" t="s">
        <v>3309</v>
      </c>
      <c r="W1088" s="598" t="s">
        <v>3309</v>
      </c>
      <c r="X1088" s="598" t="s">
        <v>3309</v>
      </c>
      <c r="Y1088" s="598" t="s">
        <v>321</v>
      </c>
      <c r="Z1088" s="598" t="s">
        <v>321</v>
      </c>
      <c r="AA1088" s="598" t="s">
        <v>3309</v>
      </c>
      <c r="AB1088" s="598" t="s">
        <v>3309</v>
      </c>
      <c r="AC1088" s="598" t="s">
        <v>3309</v>
      </c>
      <c r="AD1088" s="598" t="s">
        <v>3309</v>
      </c>
      <c r="AE1088" s="598" t="s">
        <v>3309</v>
      </c>
      <c r="AF1088" s="598" t="s">
        <v>321</v>
      </c>
      <c r="AG1088" s="598" t="s">
        <v>321</v>
      </c>
      <c r="AH1088" s="598" t="s">
        <v>3309</v>
      </c>
      <c r="AI1088" s="598" t="s">
        <v>321</v>
      </c>
      <c r="AJ1088" s="599">
        <v>21</v>
      </c>
      <c r="AK1088" s="600">
        <v>21</v>
      </c>
      <c r="AL1088" s="601">
        <v>0</v>
      </c>
      <c r="AM1088" s="601">
        <v>0</v>
      </c>
      <c r="AN1088" s="599">
        <v>21</v>
      </c>
    </row>
    <row r="1089" spans="1:40" ht="16.5" customHeight="1">
      <c r="A1089" s="598" t="s">
        <v>3353</v>
      </c>
      <c r="B1089" s="598" t="s">
        <v>3358</v>
      </c>
      <c r="C1089" s="598" t="s">
        <v>2063</v>
      </c>
      <c r="D1089" s="598" t="s">
        <v>2064</v>
      </c>
      <c r="E1089" s="598" t="s">
        <v>321</v>
      </c>
      <c r="F1089" s="598" t="s">
        <v>3312</v>
      </c>
      <c r="G1089" s="598" t="s">
        <v>3309</v>
      </c>
      <c r="H1089" s="598" t="s">
        <v>3309</v>
      </c>
      <c r="I1089" s="598" t="s">
        <v>3309</v>
      </c>
      <c r="J1089" s="598" t="s">
        <v>3309</v>
      </c>
      <c r="K1089" s="598" t="s">
        <v>321</v>
      </c>
      <c r="L1089" s="598" t="s">
        <v>321</v>
      </c>
      <c r="M1089" s="598" t="s">
        <v>3309</v>
      </c>
      <c r="N1089" s="598" t="s">
        <v>3309</v>
      </c>
      <c r="O1089" s="598" t="s">
        <v>3309</v>
      </c>
      <c r="P1089" s="598" t="s">
        <v>3309</v>
      </c>
      <c r="Q1089" s="598" t="s">
        <v>3309</v>
      </c>
      <c r="R1089" s="598" t="s">
        <v>321</v>
      </c>
      <c r="S1089" s="598" t="s">
        <v>321</v>
      </c>
      <c r="T1089" s="598" t="s">
        <v>3309</v>
      </c>
      <c r="U1089" s="598" t="s">
        <v>3309</v>
      </c>
      <c r="V1089" s="598" t="s">
        <v>3309</v>
      </c>
      <c r="W1089" s="598" t="s">
        <v>3309</v>
      </c>
      <c r="X1089" s="598" t="s">
        <v>3309</v>
      </c>
      <c r="Y1089" s="598" t="s">
        <v>321</v>
      </c>
      <c r="Z1089" s="598" t="s">
        <v>321</v>
      </c>
      <c r="AA1089" s="598" t="s">
        <v>3309</v>
      </c>
      <c r="AB1089" s="598" t="s">
        <v>3309</v>
      </c>
      <c r="AC1089" s="598" t="s">
        <v>3309</v>
      </c>
      <c r="AD1089" s="598" t="s">
        <v>3313</v>
      </c>
      <c r="AE1089" s="598" t="s">
        <v>3313</v>
      </c>
      <c r="AF1089" s="598" t="s">
        <v>321</v>
      </c>
      <c r="AG1089" s="598" t="s">
        <v>321</v>
      </c>
      <c r="AH1089" s="598" t="s">
        <v>3313</v>
      </c>
      <c r="AI1089" s="598" t="s">
        <v>321</v>
      </c>
      <c r="AJ1089" s="599">
        <v>21</v>
      </c>
      <c r="AK1089" s="600">
        <v>20</v>
      </c>
      <c r="AL1089" s="602">
        <v>1</v>
      </c>
      <c r="AM1089" s="601">
        <v>0</v>
      </c>
      <c r="AN1089" s="599">
        <v>21</v>
      </c>
    </row>
    <row r="1090" spans="1:40" ht="16.5" customHeight="1">
      <c r="A1090" s="598" t="s">
        <v>3353</v>
      </c>
      <c r="B1090" s="598" t="s">
        <v>3358</v>
      </c>
      <c r="C1090" s="598" t="s">
        <v>1210</v>
      </c>
      <c r="D1090" s="598" t="s">
        <v>1211</v>
      </c>
      <c r="E1090" s="598" t="s">
        <v>321</v>
      </c>
      <c r="F1090" s="598" t="s">
        <v>3309</v>
      </c>
      <c r="G1090" s="598" t="s">
        <v>3309</v>
      </c>
      <c r="H1090" s="598" t="s">
        <v>3309</v>
      </c>
      <c r="I1090" s="598" t="s">
        <v>3309</v>
      </c>
      <c r="J1090" s="598" t="s">
        <v>3309</v>
      </c>
      <c r="K1090" s="598" t="s">
        <v>321</v>
      </c>
      <c r="L1090" s="598" t="s">
        <v>321</v>
      </c>
      <c r="M1090" s="598" t="s">
        <v>3309</v>
      </c>
      <c r="N1090" s="598" t="s">
        <v>3309</v>
      </c>
      <c r="O1090" s="598" t="s">
        <v>3309</v>
      </c>
      <c r="P1090" s="598" t="s">
        <v>3309</v>
      </c>
      <c r="Q1090" s="598" t="s">
        <v>3309</v>
      </c>
      <c r="R1090" s="598" t="s">
        <v>321</v>
      </c>
      <c r="S1090" s="598" t="s">
        <v>321</v>
      </c>
      <c r="T1090" s="598" t="s">
        <v>3309</v>
      </c>
      <c r="U1090" s="598" t="s">
        <v>3309</v>
      </c>
      <c r="V1090" s="598" t="s">
        <v>3309</v>
      </c>
      <c r="W1090" s="598" t="s">
        <v>3309</v>
      </c>
      <c r="X1090" s="598" t="s">
        <v>3309</v>
      </c>
      <c r="Y1090" s="598" t="s">
        <v>321</v>
      </c>
      <c r="Z1090" s="598" t="s">
        <v>321</v>
      </c>
      <c r="AA1090" s="598" t="s">
        <v>3309</v>
      </c>
      <c r="AB1090" s="598" t="s">
        <v>3309</v>
      </c>
      <c r="AC1090" s="598" t="s">
        <v>3309</v>
      </c>
      <c r="AD1090" s="598" t="s">
        <v>3309</v>
      </c>
      <c r="AE1090" s="598" t="s">
        <v>3309</v>
      </c>
      <c r="AF1090" s="598" t="s">
        <v>321</v>
      </c>
      <c r="AG1090" s="598" t="s">
        <v>321</v>
      </c>
      <c r="AH1090" s="598" t="s">
        <v>3309</v>
      </c>
      <c r="AI1090" s="598" t="s">
        <v>321</v>
      </c>
      <c r="AJ1090" s="599">
        <v>21</v>
      </c>
      <c r="AK1090" s="600">
        <v>21</v>
      </c>
      <c r="AL1090" s="601">
        <v>0</v>
      </c>
      <c r="AM1090" s="601">
        <v>0</v>
      </c>
      <c r="AN1090" s="599">
        <v>21</v>
      </c>
    </row>
    <row r="1091" spans="1:40" ht="16.5" customHeight="1">
      <c r="A1091" s="598" t="s">
        <v>3353</v>
      </c>
      <c r="B1091" s="598" t="s">
        <v>3358</v>
      </c>
      <c r="C1091" s="598" t="s">
        <v>2404</v>
      </c>
      <c r="D1091" s="598" t="s">
        <v>2405</v>
      </c>
      <c r="E1091" s="598" t="s">
        <v>321</v>
      </c>
      <c r="F1091" s="598" t="s">
        <v>3309</v>
      </c>
      <c r="G1091" s="598" t="s">
        <v>3309</v>
      </c>
      <c r="H1091" s="598" t="s">
        <v>3309</v>
      </c>
      <c r="I1091" s="598" t="s">
        <v>3309</v>
      </c>
      <c r="J1091" s="598" t="s">
        <v>3309</v>
      </c>
      <c r="K1091" s="598" t="s">
        <v>321</v>
      </c>
      <c r="L1091" s="598" t="s">
        <v>321</v>
      </c>
      <c r="M1091" s="598" t="s">
        <v>3309</v>
      </c>
      <c r="N1091" s="598" t="s">
        <v>3309</v>
      </c>
      <c r="O1091" s="598" t="s">
        <v>3309</v>
      </c>
      <c r="P1091" s="598" t="s">
        <v>3309</v>
      </c>
      <c r="Q1091" s="598" t="s">
        <v>3309</v>
      </c>
      <c r="R1091" s="598" t="s">
        <v>321</v>
      </c>
      <c r="S1091" s="598" t="s">
        <v>321</v>
      </c>
      <c r="T1091" s="598" t="s">
        <v>3309</v>
      </c>
      <c r="U1091" s="598" t="s">
        <v>3309</v>
      </c>
      <c r="V1091" s="598" t="s">
        <v>3309</v>
      </c>
      <c r="W1091" s="598" t="s">
        <v>3309</v>
      </c>
      <c r="X1091" s="598" t="s">
        <v>3309</v>
      </c>
      <c r="Y1091" s="598" t="s">
        <v>321</v>
      </c>
      <c r="Z1091" s="598" t="s">
        <v>321</v>
      </c>
      <c r="AA1091" s="598" t="s">
        <v>3309</v>
      </c>
      <c r="AB1091" s="598" t="s">
        <v>3309</v>
      </c>
      <c r="AC1091" s="598" t="s">
        <v>3309</v>
      </c>
      <c r="AD1091" s="598" t="s">
        <v>3309</v>
      </c>
      <c r="AE1091" s="598" t="s">
        <v>3309</v>
      </c>
      <c r="AF1091" s="598" t="s">
        <v>321</v>
      </c>
      <c r="AG1091" s="598" t="s">
        <v>321</v>
      </c>
      <c r="AH1091" s="598" t="s">
        <v>3309</v>
      </c>
      <c r="AI1091" s="598" t="s">
        <v>321</v>
      </c>
      <c r="AJ1091" s="599">
        <v>21</v>
      </c>
      <c r="AK1091" s="600">
        <v>21</v>
      </c>
      <c r="AL1091" s="601">
        <v>0</v>
      </c>
      <c r="AM1091" s="601">
        <v>0</v>
      </c>
      <c r="AN1091" s="599">
        <v>21</v>
      </c>
    </row>
    <row r="1092" spans="1:40" ht="16.5" customHeight="1">
      <c r="A1092" s="598" t="s">
        <v>3353</v>
      </c>
      <c r="B1092" s="598" t="s">
        <v>3358</v>
      </c>
      <c r="C1092" s="598" t="s">
        <v>2896</v>
      </c>
      <c r="D1092" s="598" t="s">
        <v>2897</v>
      </c>
      <c r="E1092" s="598" t="s">
        <v>321</v>
      </c>
      <c r="F1092" s="598" t="s">
        <v>3309</v>
      </c>
      <c r="G1092" s="598" t="s">
        <v>3309</v>
      </c>
      <c r="H1092" s="598" t="s">
        <v>3309</v>
      </c>
      <c r="I1092" s="598" t="s">
        <v>3309</v>
      </c>
      <c r="J1092" s="598" t="s">
        <v>3309</v>
      </c>
      <c r="K1092" s="598" t="s">
        <v>321</v>
      </c>
      <c r="L1092" s="598" t="s">
        <v>321</v>
      </c>
      <c r="M1092" s="598" t="s">
        <v>3309</v>
      </c>
      <c r="N1092" s="598" t="s">
        <v>3309</v>
      </c>
      <c r="O1092" s="598" t="s">
        <v>3309</v>
      </c>
      <c r="P1092" s="598" t="s">
        <v>3309</v>
      </c>
      <c r="Q1092" s="598" t="s">
        <v>3309</v>
      </c>
      <c r="R1092" s="598" t="s">
        <v>321</v>
      </c>
      <c r="S1092" s="598" t="s">
        <v>321</v>
      </c>
      <c r="T1092" s="598" t="s">
        <v>3309</v>
      </c>
      <c r="U1092" s="598" t="s">
        <v>3309</v>
      </c>
      <c r="V1092" s="598" t="s">
        <v>3309</v>
      </c>
      <c r="W1092" s="598" t="s">
        <v>3309</v>
      </c>
      <c r="X1092" s="598" t="s">
        <v>3309</v>
      </c>
      <c r="Y1092" s="598" t="s">
        <v>321</v>
      </c>
      <c r="Z1092" s="598" t="s">
        <v>321</v>
      </c>
      <c r="AA1092" s="598" t="s">
        <v>3309</v>
      </c>
      <c r="AB1092" s="598" t="s">
        <v>3309</v>
      </c>
      <c r="AC1092" s="598" t="s">
        <v>3309</v>
      </c>
      <c r="AD1092" s="598" t="s">
        <v>3309</v>
      </c>
      <c r="AE1092" s="598" t="s">
        <v>3309</v>
      </c>
      <c r="AF1092" s="598" t="s">
        <v>321</v>
      </c>
      <c r="AG1092" s="598" t="s">
        <v>321</v>
      </c>
      <c r="AH1092" s="598" t="s">
        <v>3309</v>
      </c>
      <c r="AI1092" s="598" t="s">
        <v>321</v>
      </c>
      <c r="AJ1092" s="599">
        <v>21</v>
      </c>
      <c r="AK1092" s="600">
        <v>21</v>
      </c>
      <c r="AL1092" s="601">
        <v>0</v>
      </c>
      <c r="AM1092" s="601">
        <v>0</v>
      </c>
      <c r="AN1092" s="599">
        <v>21</v>
      </c>
    </row>
    <row r="1093" spans="1:40" ht="16.5" customHeight="1">
      <c r="A1093" s="598" t="s">
        <v>3353</v>
      </c>
      <c r="B1093" s="598" t="s">
        <v>3358</v>
      </c>
      <c r="C1093" s="598" t="s">
        <v>1560</v>
      </c>
      <c r="D1093" s="598" t="s">
        <v>1561</v>
      </c>
      <c r="E1093" s="598" t="s">
        <v>321</v>
      </c>
      <c r="F1093" s="598" t="s">
        <v>3309</v>
      </c>
      <c r="G1093" s="598" t="s">
        <v>3309</v>
      </c>
      <c r="H1093" s="598" t="s">
        <v>3309</v>
      </c>
      <c r="I1093" s="598" t="s">
        <v>3309</v>
      </c>
      <c r="J1093" s="598" t="s">
        <v>3309</v>
      </c>
      <c r="K1093" s="598" t="s">
        <v>321</v>
      </c>
      <c r="L1093" s="598" t="s">
        <v>321</v>
      </c>
      <c r="M1093" s="598" t="s">
        <v>3309</v>
      </c>
      <c r="N1093" s="598" t="s">
        <v>3309</v>
      </c>
      <c r="O1093" s="598" t="s">
        <v>3309</v>
      </c>
      <c r="P1093" s="598" t="s">
        <v>3309</v>
      </c>
      <c r="Q1093" s="598" t="s">
        <v>3309</v>
      </c>
      <c r="R1093" s="598" t="s">
        <v>321</v>
      </c>
      <c r="S1093" s="598" t="s">
        <v>321</v>
      </c>
      <c r="T1093" s="598" t="s">
        <v>3309</v>
      </c>
      <c r="U1093" s="598" t="s">
        <v>3309</v>
      </c>
      <c r="V1093" s="598" t="s">
        <v>3309</v>
      </c>
      <c r="W1093" s="598" t="s">
        <v>3309</v>
      </c>
      <c r="X1093" s="598" t="s">
        <v>3309</v>
      </c>
      <c r="Y1093" s="598" t="s">
        <v>321</v>
      </c>
      <c r="Z1093" s="598" t="s">
        <v>321</v>
      </c>
      <c r="AA1093" s="598" t="s">
        <v>3309</v>
      </c>
      <c r="AB1093" s="598" t="s">
        <v>3309</v>
      </c>
      <c r="AC1093" s="598" t="s">
        <v>3309</v>
      </c>
      <c r="AD1093" s="598" t="s">
        <v>3309</v>
      </c>
      <c r="AE1093" s="598" t="s">
        <v>3309</v>
      </c>
      <c r="AF1093" s="598" t="s">
        <v>321</v>
      </c>
      <c r="AG1093" s="598" t="s">
        <v>321</v>
      </c>
      <c r="AH1093" s="598" t="s">
        <v>3309</v>
      </c>
      <c r="AI1093" s="598" t="s">
        <v>321</v>
      </c>
      <c r="AJ1093" s="599">
        <v>21</v>
      </c>
      <c r="AK1093" s="600">
        <v>21</v>
      </c>
      <c r="AL1093" s="601">
        <v>0</v>
      </c>
      <c r="AM1093" s="601">
        <v>0</v>
      </c>
      <c r="AN1093" s="599">
        <v>21</v>
      </c>
    </row>
    <row r="1094" spans="1:40" ht="16.5" customHeight="1">
      <c r="A1094" s="598" t="s">
        <v>3353</v>
      </c>
      <c r="B1094" s="598" t="s">
        <v>3358</v>
      </c>
      <c r="C1094" s="598" t="s">
        <v>2970</v>
      </c>
      <c r="D1094" s="598" t="s">
        <v>2971</v>
      </c>
      <c r="E1094" s="598" t="s">
        <v>321</v>
      </c>
      <c r="F1094" s="598" t="s">
        <v>3309</v>
      </c>
      <c r="G1094" s="598" t="s">
        <v>3309</v>
      </c>
      <c r="H1094" s="598" t="s">
        <v>3309</v>
      </c>
      <c r="I1094" s="598" t="s">
        <v>3309</v>
      </c>
      <c r="J1094" s="598" t="s">
        <v>3309</v>
      </c>
      <c r="K1094" s="598" t="s">
        <v>321</v>
      </c>
      <c r="L1094" s="598" t="s">
        <v>321</v>
      </c>
      <c r="M1094" s="598" t="s">
        <v>3309</v>
      </c>
      <c r="N1094" s="598" t="s">
        <v>3309</v>
      </c>
      <c r="O1094" s="598" t="s">
        <v>3309</v>
      </c>
      <c r="P1094" s="598" t="s">
        <v>3309</v>
      </c>
      <c r="Q1094" s="598" t="s">
        <v>3309</v>
      </c>
      <c r="R1094" s="598" t="s">
        <v>321</v>
      </c>
      <c r="S1094" s="598" t="s">
        <v>321</v>
      </c>
      <c r="T1094" s="598" t="s">
        <v>3309</v>
      </c>
      <c r="U1094" s="598" t="s">
        <v>3309</v>
      </c>
      <c r="V1094" s="598" t="s">
        <v>3309</v>
      </c>
      <c r="W1094" s="598" t="s">
        <v>3309</v>
      </c>
      <c r="X1094" s="598" t="s">
        <v>3309</v>
      </c>
      <c r="Y1094" s="598" t="s">
        <v>321</v>
      </c>
      <c r="Z1094" s="598" t="s">
        <v>321</v>
      </c>
      <c r="AA1094" s="598" t="s">
        <v>3309</v>
      </c>
      <c r="AB1094" s="598" t="s">
        <v>3309</v>
      </c>
      <c r="AC1094" s="598" t="s">
        <v>3309</v>
      </c>
      <c r="AD1094" s="598" t="s">
        <v>3309</v>
      </c>
      <c r="AE1094" s="598" t="s">
        <v>3309</v>
      </c>
      <c r="AF1094" s="598" t="s">
        <v>321</v>
      </c>
      <c r="AG1094" s="598" t="s">
        <v>321</v>
      </c>
      <c r="AH1094" s="598" t="s">
        <v>3309</v>
      </c>
      <c r="AI1094" s="598" t="s">
        <v>321</v>
      </c>
      <c r="AJ1094" s="599">
        <v>21</v>
      </c>
      <c r="AK1094" s="600">
        <v>21</v>
      </c>
      <c r="AL1094" s="601">
        <v>0</v>
      </c>
      <c r="AM1094" s="601">
        <v>0</v>
      </c>
      <c r="AN1094" s="599">
        <v>21</v>
      </c>
    </row>
    <row r="1095" spans="1:40" ht="16.5" customHeight="1">
      <c r="A1095" s="598" t="s">
        <v>3353</v>
      </c>
      <c r="B1095" s="598" t="s">
        <v>3358</v>
      </c>
      <c r="C1095" s="598" t="s">
        <v>1858</v>
      </c>
      <c r="D1095" s="598" t="s">
        <v>1859</v>
      </c>
      <c r="E1095" s="598" t="s">
        <v>321</v>
      </c>
      <c r="F1095" s="598" t="s">
        <v>3309</v>
      </c>
      <c r="G1095" s="598" t="s">
        <v>3309</v>
      </c>
      <c r="H1095" s="598" t="s">
        <v>3309</v>
      </c>
      <c r="I1095" s="598" t="s">
        <v>3309</v>
      </c>
      <c r="J1095" s="598" t="s">
        <v>3309</v>
      </c>
      <c r="K1095" s="598" t="s">
        <v>321</v>
      </c>
      <c r="L1095" s="598" t="s">
        <v>321</v>
      </c>
      <c r="M1095" s="598" t="s">
        <v>3309</v>
      </c>
      <c r="N1095" s="598" t="s">
        <v>3309</v>
      </c>
      <c r="O1095" s="598" t="s">
        <v>3309</v>
      </c>
      <c r="P1095" s="598" t="s">
        <v>3309</v>
      </c>
      <c r="Q1095" s="598" t="s">
        <v>3309</v>
      </c>
      <c r="R1095" s="598" t="s">
        <v>321</v>
      </c>
      <c r="S1095" s="598" t="s">
        <v>321</v>
      </c>
      <c r="T1095" s="598" t="s">
        <v>3309</v>
      </c>
      <c r="U1095" s="598" t="s">
        <v>3309</v>
      </c>
      <c r="V1095" s="598" t="s">
        <v>3309</v>
      </c>
      <c r="W1095" s="598" t="s">
        <v>3309</v>
      </c>
      <c r="X1095" s="598" t="s">
        <v>3309</v>
      </c>
      <c r="Y1095" s="598" t="s">
        <v>321</v>
      </c>
      <c r="Z1095" s="598" t="s">
        <v>321</v>
      </c>
      <c r="AA1095" s="598" t="s">
        <v>3309</v>
      </c>
      <c r="AB1095" s="598" t="s">
        <v>3309</v>
      </c>
      <c r="AC1095" s="598" t="s">
        <v>3309</v>
      </c>
      <c r="AD1095" s="598" t="s">
        <v>3309</v>
      </c>
      <c r="AE1095" s="598" t="s">
        <v>3309</v>
      </c>
      <c r="AF1095" s="598" t="s">
        <v>321</v>
      </c>
      <c r="AG1095" s="598" t="s">
        <v>321</v>
      </c>
      <c r="AH1095" s="598" t="s">
        <v>3309</v>
      </c>
      <c r="AI1095" s="598" t="s">
        <v>321</v>
      </c>
      <c r="AJ1095" s="599">
        <v>21</v>
      </c>
      <c r="AK1095" s="600">
        <v>21</v>
      </c>
      <c r="AL1095" s="601">
        <v>0</v>
      </c>
      <c r="AM1095" s="601">
        <v>0</v>
      </c>
      <c r="AN1095" s="599">
        <v>21</v>
      </c>
    </row>
    <row r="1096" spans="1:40" ht="16.5" customHeight="1">
      <c r="A1096" s="598" t="s">
        <v>3353</v>
      </c>
      <c r="B1096" s="598" t="s">
        <v>3358</v>
      </c>
      <c r="C1096" s="598" t="s">
        <v>2738</v>
      </c>
      <c r="D1096" s="598" t="s">
        <v>2739</v>
      </c>
      <c r="E1096" s="598" t="s">
        <v>321</v>
      </c>
      <c r="F1096" s="598" t="s">
        <v>3309</v>
      </c>
      <c r="G1096" s="598" t="s">
        <v>3309</v>
      </c>
      <c r="H1096" s="598" t="s">
        <v>3309</v>
      </c>
      <c r="I1096" s="598" t="s">
        <v>3309</v>
      </c>
      <c r="J1096" s="598" t="s">
        <v>3309</v>
      </c>
      <c r="K1096" s="598" t="s">
        <v>321</v>
      </c>
      <c r="L1096" s="598" t="s">
        <v>321</v>
      </c>
      <c r="M1096" s="598" t="s">
        <v>3309</v>
      </c>
      <c r="N1096" s="598" t="s">
        <v>3309</v>
      </c>
      <c r="O1096" s="598" t="s">
        <v>3309</v>
      </c>
      <c r="P1096" s="598" t="s">
        <v>3309</v>
      </c>
      <c r="Q1096" s="598" t="s">
        <v>3309</v>
      </c>
      <c r="R1096" s="598" t="s">
        <v>321</v>
      </c>
      <c r="S1096" s="598" t="s">
        <v>321</v>
      </c>
      <c r="T1096" s="598" t="s">
        <v>3309</v>
      </c>
      <c r="U1096" s="598" t="s">
        <v>3309</v>
      </c>
      <c r="V1096" s="598" t="s">
        <v>3309</v>
      </c>
      <c r="W1096" s="598" t="s">
        <v>3309</v>
      </c>
      <c r="X1096" s="598" t="s">
        <v>3309</v>
      </c>
      <c r="Y1096" s="598" t="s">
        <v>321</v>
      </c>
      <c r="Z1096" s="598" t="s">
        <v>321</v>
      </c>
      <c r="AA1096" s="598" t="s">
        <v>3309</v>
      </c>
      <c r="AB1096" s="598" t="s">
        <v>3309</v>
      </c>
      <c r="AC1096" s="598" t="s">
        <v>3309</v>
      </c>
      <c r="AD1096" s="598" t="s">
        <v>3309</v>
      </c>
      <c r="AE1096" s="598" t="s">
        <v>3309</v>
      </c>
      <c r="AF1096" s="598" t="s">
        <v>321</v>
      </c>
      <c r="AG1096" s="598" t="s">
        <v>321</v>
      </c>
      <c r="AH1096" s="598" t="s">
        <v>3309</v>
      </c>
      <c r="AI1096" s="598" t="s">
        <v>321</v>
      </c>
      <c r="AJ1096" s="599">
        <v>21</v>
      </c>
      <c r="AK1096" s="600">
        <v>21</v>
      </c>
      <c r="AL1096" s="601">
        <v>0</v>
      </c>
      <c r="AM1096" s="601">
        <v>0</v>
      </c>
      <c r="AN1096" s="599">
        <v>21</v>
      </c>
    </row>
    <row r="1097" spans="1:40" ht="16.5" customHeight="1">
      <c r="A1097" s="598" t="s">
        <v>3353</v>
      </c>
      <c r="B1097" s="598" t="s">
        <v>3358</v>
      </c>
      <c r="C1097" s="598" t="s">
        <v>2684</v>
      </c>
      <c r="D1097" s="598" t="s">
        <v>2685</v>
      </c>
      <c r="E1097" s="598" t="s">
        <v>321</v>
      </c>
      <c r="F1097" s="598" t="s">
        <v>3314</v>
      </c>
      <c r="G1097" s="598" t="s">
        <v>3309</v>
      </c>
      <c r="H1097" s="598" t="s">
        <v>3309</v>
      </c>
      <c r="I1097" s="598" t="s">
        <v>3314</v>
      </c>
      <c r="J1097" s="598" t="s">
        <v>3309</v>
      </c>
      <c r="K1097" s="598" t="s">
        <v>321</v>
      </c>
      <c r="L1097" s="598" t="s">
        <v>321</v>
      </c>
      <c r="M1097" s="598" t="s">
        <v>3309</v>
      </c>
      <c r="N1097" s="598" t="s">
        <v>3309</v>
      </c>
      <c r="O1097" s="598" t="s">
        <v>3309</v>
      </c>
      <c r="P1097" s="598" t="s">
        <v>3309</v>
      </c>
      <c r="Q1097" s="598" t="s">
        <v>3309</v>
      </c>
      <c r="R1097" s="598" t="s">
        <v>321</v>
      </c>
      <c r="S1097" s="598" t="s">
        <v>321</v>
      </c>
      <c r="T1097" s="598" t="s">
        <v>3309</v>
      </c>
      <c r="U1097" s="598" t="s">
        <v>3309</v>
      </c>
      <c r="V1097" s="598" t="s">
        <v>3309</v>
      </c>
      <c r="W1097" s="598" t="s">
        <v>3309</v>
      </c>
      <c r="X1097" s="598" t="s">
        <v>3309</v>
      </c>
      <c r="Y1097" s="598" t="s">
        <v>321</v>
      </c>
      <c r="Z1097" s="598" t="s">
        <v>321</v>
      </c>
      <c r="AA1097" s="598" t="s">
        <v>3309</v>
      </c>
      <c r="AB1097" s="598" t="s">
        <v>3309</v>
      </c>
      <c r="AC1097" s="598" t="s">
        <v>3309</v>
      </c>
      <c r="AD1097" s="598" t="s">
        <v>3309</v>
      </c>
      <c r="AE1097" s="598" t="s">
        <v>3309</v>
      </c>
      <c r="AF1097" s="598" t="s">
        <v>321</v>
      </c>
      <c r="AG1097" s="598" t="s">
        <v>321</v>
      </c>
      <c r="AH1097" s="598" t="s">
        <v>3309</v>
      </c>
      <c r="AI1097" s="598" t="s">
        <v>321</v>
      </c>
      <c r="AJ1097" s="599">
        <v>21</v>
      </c>
      <c r="AK1097" s="600">
        <v>20</v>
      </c>
      <c r="AL1097" s="602">
        <v>1</v>
      </c>
      <c r="AM1097" s="601">
        <v>0</v>
      </c>
      <c r="AN1097" s="599">
        <v>21</v>
      </c>
    </row>
    <row r="1098" spans="1:40" ht="16.5" customHeight="1">
      <c r="A1098" s="598" t="s">
        <v>3353</v>
      </c>
      <c r="B1098" s="598" t="s">
        <v>3358</v>
      </c>
      <c r="C1098" s="598" t="s">
        <v>589</v>
      </c>
      <c r="D1098" s="598" t="s">
        <v>590</v>
      </c>
      <c r="E1098" s="598" t="s">
        <v>321</v>
      </c>
      <c r="F1098" s="598" t="s">
        <v>3309</v>
      </c>
      <c r="G1098" s="598" t="s">
        <v>3309</v>
      </c>
      <c r="H1098" s="598" t="s">
        <v>3309</v>
      </c>
      <c r="I1098" s="598" t="s">
        <v>3314</v>
      </c>
      <c r="J1098" s="598" t="s">
        <v>3309</v>
      </c>
      <c r="K1098" s="598" t="s">
        <v>321</v>
      </c>
      <c r="L1098" s="598" t="s">
        <v>321</v>
      </c>
      <c r="M1098" s="598" t="s">
        <v>3309</v>
      </c>
      <c r="N1098" s="598" t="s">
        <v>3309</v>
      </c>
      <c r="O1098" s="598" t="s">
        <v>3309</v>
      </c>
      <c r="P1098" s="598" t="s">
        <v>3309</v>
      </c>
      <c r="Q1098" s="598" t="s">
        <v>3309</v>
      </c>
      <c r="R1098" s="598" t="s">
        <v>321</v>
      </c>
      <c r="S1098" s="598" t="s">
        <v>321</v>
      </c>
      <c r="T1098" s="598" t="s">
        <v>3309</v>
      </c>
      <c r="U1098" s="598" t="s">
        <v>3309</v>
      </c>
      <c r="V1098" s="598" t="s">
        <v>3309</v>
      </c>
      <c r="W1098" s="598" t="s">
        <v>3309</v>
      </c>
      <c r="X1098" s="598" t="s">
        <v>3309</v>
      </c>
      <c r="Y1098" s="598" t="s">
        <v>321</v>
      </c>
      <c r="Z1098" s="598" t="s">
        <v>321</v>
      </c>
      <c r="AA1098" s="598" t="s">
        <v>3309</v>
      </c>
      <c r="AB1098" s="598" t="s">
        <v>3309</v>
      </c>
      <c r="AC1098" s="598" t="s">
        <v>3309</v>
      </c>
      <c r="AD1098" s="598" t="s">
        <v>3309</v>
      </c>
      <c r="AE1098" s="598" t="s">
        <v>3309</v>
      </c>
      <c r="AF1098" s="598" t="s">
        <v>321</v>
      </c>
      <c r="AG1098" s="598" t="s">
        <v>321</v>
      </c>
      <c r="AH1098" s="598" t="s">
        <v>3309</v>
      </c>
      <c r="AI1098" s="598" t="s">
        <v>321</v>
      </c>
      <c r="AJ1098" s="599">
        <v>21</v>
      </c>
      <c r="AK1098" s="603">
        <v>20.5</v>
      </c>
      <c r="AL1098" s="604">
        <v>0.5</v>
      </c>
      <c r="AM1098" s="601">
        <v>0</v>
      </c>
      <c r="AN1098" s="599">
        <v>21</v>
      </c>
    </row>
    <row r="1099" spans="1:40" ht="16.5" customHeight="1">
      <c r="A1099" s="598" t="s">
        <v>3353</v>
      </c>
      <c r="B1099" s="598" t="s">
        <v>3358</v>
      </c>
      <c r="C1099" s="598" t="s">
        <v>1638</v>
      </c>
      <c r="D1099" s="598" t="s">
        <v>1639</v>
      </c>
      <c r="E1099" s="598" t="s">
        <v>321</v>
      </c>
      <c r="F1099" s="598" t="s">
        <v>3309</v>
      </c>
      <c r="G1099" s="598" t="s">
        <v>3309</v>
      </c>
      <c r="H1099" s="598" t="s">
        <v>3309</v>
      </c>
      <c r="I1099" s="598" t="s">
        <v>3309</v>
      </c>
      <c r="J1099" s="598" t="s">
        <v>3309</v>
      </c>
      <c r="K1099" s="598" t="s">
        <v>321</v>
      </c>
      <c r="L1099" s="598" t="s">
        <v>321</v>
      </c>
      <c r="M1099" s="598" t="s">
        <v>3309</v>
      </c>
      <c r="N1099" s="598" t="s">
        <v>3309</v>
      </c>
      <c r="O1099" s="598" t="s">
        <v>3309</v>
      </c>
      <c r="P1099" s="598" t="s">
        <v>3309</v>
      </c>
      <c r="Q1099" s="598" t="s">
        <v>3309</v>
      </c>
      <c r="R1099" s="598" t="s">
        <v>321</v>
      </c>
      <c r="S1099" s="598" t="s">
        <v>321</v>
      </c>
      <c r="T1099" s="598" t="s">
        <v>3309</v>
      </c>
      <c r="U1099" s="598" t="s">
        <v>3309</v>
      </c>
      <c r="V1099" s="598" t="s">
        <v>3309</v>
      </c>
      <c r="W1099" s="598" t="s">
        <v>3309</v>
      </c>
      <c r="X1099" s="598" t="s">
        <v>3309</v>
      </c>
      <c r="Y1099" s="598" t="s">
        <v>321</v>
      </c>
      <c r="Z1099" s="598" t="s">
        <v>321</v>
      </c>
      <c r="AA1099" s="598" t="s">
        <v>3309</v>
      </c>
      <c r="AB1099" s="598" t="s">
        <v>3309</v>
      </c>
      <c r="AC1099" s="598" t="s">
        <v>3309</v>
      </c>
      <c r="AD1099" s="598" t="s">
        <v>3309</v>
      </c>
      <c r="AE1099" s="598" t="s">
        <v>3309</v>
      </c>
      <c r="AF1099" s="598" t="s">
        <v>321</v>
      </c>
      <c r="AG1099" s="598" t="s">
        <v>321</v>
      </c>
      <c r="AH1099" s="598" t="s">
        <v>3309</v>
      </c>
      <c r="AI1099" s="598" t="s">
        <v>321</v>
      </c>
      <c r="AJ1099" s="599">
        <v>21</v>
      </c>
      <c r="AK1099" s="600">
        <v>21</v>
      </c>
      <c r="AL1099" s="601">
        <v>0</v>
      </c>
      <c r="AM1099" s="601">
        <v>0</v>
      </c>
      <c r="AN1099" s="599">
        <v>21</v>
      </c>
    </row>
    <row r="1100" spans="1:40" ht="16.5" customHeight="1">
      <c r="A1100" s="598" t="s">
        <v>3353</v>
      </c>
      <c r="B1100" s="598" t="s">
        <v>3358</v>
      </c>
      <c r="C1100" s="598" t="s">
        <v>2978</v>
      </c>
      <c r="D1100" s="598" t="s">
        <v>2979</v>
      </c>
      <c r="E1100" s="598" t="s">
        <v>321</v>
      </c>
      <c r="F1100" s="598" t="s">
        <v>3309</v>
      </c>
      <c r="G1100" s="598" t="s">
        <v>3309</v>
      </c>
      <c r="H1100" s="598" t="s">
        <v>3309</v>
      </c>
      <c r="I1100" s="598" t="s">
        <v>3309</v>
      </c>
      <c r="J1100" s="598" t="s">
        <v>3309</v>
      </c>
      <c r="K1100" s="598" t="s">
        <v>321</v>
      </c>
      <c r="L1100" s="598" t="s">
        <v>321</v>
      </c>
      <c r="M1100" s="598" t="s">
        <v>3309</v>
      </c>
      <c r="N1100" s="598" t="s">
        <v>3309</v>
      </c>
      <c r="O1100" s="598" t="s">
        <v>3309</v>
      </c>
      <c r="P1100" s="598" t="s">
        <v>3309</v>
      </c>
      <c r="Q1100" s="598" t="s">
        <v>3309</v>
      </c>
      <c r="R1100" s="598" t="s">
        <v>321</v>
      </c>
      <c r="S1100" s="598" t="s">
        <v>321</v>
      </c>
      <c r="T1100" s="598" t="s">
        <v>3309</v>
      </c>
      <c r="U1100" s="598" t="s">
        <v>3309</v>
      </c>
      <c r="V1100" s="598" t="s">
        <v>3309</v>
      </c>
      <c r="W1100" s="598" t="s">
        <v>3309</v>
      </c>
      <c r="X1100" s="598" t="s">
        <v>3309</v>
      </c>
      <c r="Y1100" s="598" t="s">
        <v>321</v>
      </c>
      <c r="Z1100" s="598" t="s">
        <v>321</v>
      </c>
      <c r="AA1100" s="598" t="s">
        <v>3309</v>
      </c>
      <c r="AB1100" s="598" t="s">
        <v>3309</v>
      </c>
      <c r="AC1100" s="598" t="s">
        <v>3309</v>
      </c>
      <c r="AD1100" s="598" t="s">
        <v>3309</v>
      </c>
      <c r="AE1100" s="598" t="s">
        <v>3309</v>
      </c>
      <c r="AF1100" s="598" t="s">
        <v>321</v>
      </c>
      <c r="AG1100" s="598" t="s">
        <v>321</v>
      </c>
      <c r="AH1100" s="598" t="s">
        <v>3309</v>
      </c>
      <c r="AI1100" s="598" t="s">
        <v>321</v>
      </c>
      <c r="AJ1100" s="599">
        <v>21</v>
      </c>
      <c r="AK1100" s="600">
        <v>21</v>
      </c>
      <c r="AL1100" s="601">
        <v>0</v>
      </c>
      <c r="AM1100" s="601">
        <v>0</v>
      </c>
      <c r="AN1100" s="599">
        <v>21</v>
      </c>
    </row>
    <row r="1101" spans="1:40" ht="16.5" customHeight="1">
      <c r="A1101" s="598" t="s">
        <v>3353</v>
      </c>
      <c r="B1101" s="598" t="s">
        <v>3358</v>
      </c>
      <c r="C1101" s="598" t="s">
        <v>1672</v>
      </c>
      <c r="D1101" s="598" t="s">
        <v>1673</v>
      </c>
      <c r="E1101" s="598" t="s">
        <v>321</v>
      </c>
      <c r="F1101" s="598" t="s">
        <v>3309</v>
      </c>
      <c r="G1101" s="598" t="s">
        <v>3309</v>
      </c>
      <c r="H1101" s="598" t="s">
        <v>3309</v>
      </c>
      <c r="I1101" s="598" t="s">
        <v>3309</v>
      </c>
      <c r="J1101" s="598" t="s">
        <v>3309</v>
      </c>
      <c r="K1101" s="598" t="s">
        <v>321</v>
      </c>
      <c r="L1101" s="598" t="s">
        <v>321</v>
      </c>
      <c r="M1101" s="598" t="s">
        <v>3309</v>
      </c>
      <c r="N1101" s="598" t="s">
        <v>3309</v>
      </c>
      <c r="O1101" s="598" t="s">
        <v>3309</v>
      </c>
      <c r="P1101" s="598" t="s">
        <v>3309</v>
      </c>
      <c r="Q1101" s="598" t="s">
        <v>3309</v>
      </c>
      <c r="R1101" s="598" t="s">
        <v>321</v>
      </c>
      <c r="S1101" s="598" t="s">
        <v>321</v>
      </c>
      <c r="T1101" s="598" t="s">
        <v>3309</v>
      </c>
      <c r="U1101" s="598" t="s">
        <v>3309</v>
      </c>
      <c r="V1101" s="598" t="s">
        <v>3309</v>
      </c>
      <c r="W1101" s="598" t="s">
        <v>3309</v>
      </c>
      <c r="X1101" s="598" t="s">
        <v>3309</v>
      </c>
      <c r="Y1101" s="598" t="s">
        <v>321</v>
      </c>
      <c r="Z1101" s="598" t="s">
        <v>321</v>
      </c>
      <c r="AA1101" s="598" t="s">
        <v>3309</v>
      </c>
      <c r="AB1101" s="598" t="s">
        <v>3309</v>
      </c>
      <c r="AC1101" s="598" t="s">
        <v>3309</v>
      </c>
      <c r="AD1101" s="598" t="s">
        <v>3309</v>
      </c>
      <c r="AE1101" s="598" t="s">
        <v>3309</v>
      </c>
      <c r="AF1101" s="598" t="s">
        <v>321</v>
      </c>
      <c r="AG1101" s="598" t="s">
        <v>321</v>
      </c>
      <c r="AH1101" s="598" t="s">
        <v>3309</v>
      </c>
      <c r="AI1101" s="598" t="s">
        <v>321</v>
      </c>
      <c r="AJ1101" s="599">
        <v>21</v>
      </c>
      <c r="AK1101" s="600">
        <v>21</v>
      </c>
      <c r="AL1101" s="601">
        <v>0</v>
      </c>
      <c r="AM1101" s="601">
        <v>0</v>
      </c>
      <c r="AN1101" s="599">
        <v>21</v>
      </c>
    </row>
    <row r="1102" spans="1:40" ht="16.5" customHeight="1">
      <c r="A1102" s="598" t="s">
        <v>3353</v>
      </c>
      <c r="B1102" s="598" t="s">
        <v>3358</v>
      </c>
      <c r="C1102" s="598" t="s">
        <v>2842</v>
      </c>
      <c r="D1102" s="598" t="s">
        <v>2843</v>
      </c>
      <c r="E1102" s="598" t="s">
        <v>321</v>
      </c>
      <c r="F1102" s="598" t="s">
        <v>3309</v>
      </c>
      <c r="G1102" s="598" t="s">
        <v>3309</v>
      </c>
      <c r="H1102" s="598" t="s">
        <v>3309</v>
      </c>
      <c r="I1102" s="598" t="s">
        <v>3309</v>
      </c>
      <c r="J1102" s="598" t="s">
        <v>3309</v>
      </c>
      <c r="K1102" s="598" t="s">
        <v>321</v>
      </c>
      <c r="L1102" s="598" t="s">
        <v>321</v>
      </c>
      <c r="M1102" s="598" t="s">
        <v>3309</v>
      </c>
      <c r="N1102" s="598" t="s">
        <v>3309</v>
      </c>
      <c r="O1102" s="598" t="s">
        <v>3309</v>
      </c>
      <c r="P1102" s="598" t="s">
        <v>3309</v>
      </c>
      <c r="Q1102" s="598" t="s">
        <v>3309</v>
      </c>
      <c r="R1102" s="598" t="s">
        <v>321</v>
      </c>
      <c r="S1102" s="598" t="s">
        <v>321</v>
      </c>
      <c r="T1102" s="598" t="s">
        <v>3309</v>
      </c>
      <c r="U1102" s="598" t="s">
        <v>3309</v>
      </c>
      <c r="V1102" s="598" t="s">
        <v>3309</v>
      </c>
      <c r="W1102" s="598" t="s">
        <v>3309</v>
      </c>
      <c r="X1102" s="598" t="s">
        <v>3309</v>
      </c>
      <c r="Y1102" s="598" t="s">
        <v>321</v>
      </c>
      <c r="Z1102" s="598" t="s">
        <v>321</v>
      </c>
      <c r="AA1102" s="598" t="s">
        <v>3309</v>
      </c>
      <c r="AB1102" s="598" t="s">
        <v>3309</v>
      </c>
      <c r="AC1102" s="598" t="s">
        <v>3309</v>
      </c>
      <c r="AD1102" s="598" t="s">
        <v>3309</v>
      </c>
      <c r="AE1102" s="598" t="s">
        <v>3309</v>
      </c>
      <c r="AF1102" s="598" t="s">
        <v>321</v>
      </c>
      <c r="AG1102" s="598" t="s">
        <v>321</v>
      </c>
      <c r="AH1102" s="598" t="s">
        <v>3309</v>
      </c>
      <c r="AI1102" s="598" t="s">
        <v>321</v>
      </c>
      <c r="AJ1102" s="599">
        <v>21</v>
      </c>
      <c r="AK1102" s="600">
        <v>21</v>
      </c>
      <c r="AL1102" s="601">
        <v>0</v>
      </c>
      <c r="AM1102" s="601">
        <v>0</v>
      </c>
      <c r="AN1102" s="599">
        <v>21</v>
      </c>
    </row>
    <row r="1103" spans="1:40" ht="16.5" customHeight="1">
      <c r="A1103" s="598" t="s">
        <v>3353</v>
      </c>
      <c r="B1103" s="598" t="s">
        <v>3358</v>
      </c>
      <c r="C1103" s="598" t="s">
        <v>921</v>
      </c>
      <c r="D1103" s="598" t="s">
        <v>922</v>
      </c>
      <c r="E1103" s="598" t="s">
        <v>321</v>
      </c>
      <c r="F1103" s="598" t="s">
        <v>3309</v>
      </c>
      <c r="G1103" s="598" t="s">
        <v>3309</v>
      </c>
      <c r="H1103" s="598" t="s">
        <v>3309</v>
      </c>
      <c r="I1103" s="598" t="s">
        <v>3309</v>
      </c>
      <c r="J1103" s="598" t="s">
        <v>3309</v>
      </c>
      <c r="K1103" s="598" t="s">
        <v>321</v>
      </c>
      <c r="L1103" s="598" t="s">
        <v>321</v>
      </c>
      <c r="M1103" s="598" t="s">
        <v>3309</v>
      </c>
      <c r="N1103" s="598" t="s">
        <v>3309</v>
      </c>
      <c r="O1103" s="598" t="s">
        <v>3309</v>
      </c>
      <c r="P1103" s="598" t="s">
        <v>3309</v>
      </c>
      <c r="Q1103" s="598" t="s">
        <v>3309</v>
      </c>
      <c r="R1103" s="598" t="s">
        <v>321</v>
      </c>
      <c r="S1103" s="598" t="s">
        <v>321</v>
      </c>
      <c r="T1103" s="598" t="s">
        <v>3309</v>
      </c>
      <c r="U1103" s="598" t="s">
        <v>3309</v>
      </c>
      <c r="V1103" s="598" t="s">
        <v>3309</v>
      </c>
      <c r="W1103" s="598" t="s">
        <v>3309</v>
      </c>
      <c r="X1103" s="598" t="s">
        <v>3309</v>
      </c>
      <c r="Y1103" s="598" t="s">
        <v>321</v>
      </c>
      <c r="Z1103" s="598" t="s">
        <v>321</v>
      </c>
      <c r="AA1103" s="598" t="s">
        <v>3309</v>
      </c>
      <c r="AB1103" s="598" t="s">
        <v>3309</v>
      </c>
      <c r="AC1103" s="598" t="s">
        <v>3309</v>
      </c>
      <c r="AD1103" s="598" t="s">
        <v>3309</v>
      </c>
      <c r="AE1103" s="598" t="s">
        <v>3309</v>
      </c>
      <c r="AF1103" s="598" t="s">
        <v>321</v>
      </c>
      <c r="AG1103" s="598" t="s">
        <v>321</v>
      </c>
      <c r="AH1103" s="598" t="s">
        <v>3309</v>
      </c>
      <c r="AI1103" s="598" t="s">
        <v>321</v>
      </c>
      <c r="AJ1103" s="599">
        <v>21</v>
      </c>
      <c r="AK1103" s="600">
        <v>21</v>
      </c>
      <c r="AL1103" s="601">
        <v>0</v>
      </c>
      <c r="AM1103" s="601">
        <v>0</v>
      </c>
      <c r="AN1103" s="599">
        <v>21</v>
      </c>
    </row>
    <row r="1104" spans="1:40" ht="16.5" customHeight="1">
      <c r="A1104" s="598" t="s">
        <v>3353</v>
      </c>
      <c r="B1104" s="598" t="s">
        <v>3358</v>
      </c>
      <c r="C1104" s="598" t="s">
        <v>1713</v>
      </c>
      <c r="D1104" s="598" t="s">
        <v>1714</v>
      </c>
      <c r="E1104" s="598" t="s">
        <v>321</v>
      </c>
      <c r="F1104" s="598" t="s">
        <v>3309</v>
      </c>
      <c r="G1104" s="598" t="s">
        <v>3309</v>
      </c>
      <c r="H1104" s="598" t="s">
        <v>3309</v>
      </c>
      <c r="I1104" s="598" t="s">
        <v>3309</v>
      </c>
      <c r="J1104" s="598" t="s">
        <v>3309</v>
      </c>
      <c r="K1104" s="598" t="s">
        <v>321</v>
      </c>
      <c r="L1104" s="598" t="s">
        <v>321</v>
      </c>
      <c r="M1104" s="598" t="s">
        <v>3309</v>
      </c>
      <c r="N1104" s="598" t="s">
        <v>3309</v>
      </c>
      <c r="O1104" s="598" t="s">
        <v>3309</v>
      </c>
      <c r="P1104" s="598" t="s">
        <v>3309</v>
      </c>
      <c r="Q1104" s="598" t="s">
        <v>3309</v>
      </c>
      <c r="R1104" s="598" t="s">
        <v>321</v>
      </c>
      <c r="S1104" s="598" t="s">
        <v>321</v>
      </c>
      <c r="T1104" s="598" t="s">
        <v>3309</v>
      </c>
      <c r="U1104" s="598" t="s">
        <v>3309</v>
      </c>
      <c r="V1104" s="598" t="s">
        <v>3309</v>
      </c>
      <c r="W1104" s="598" t="s">
        <v>3309</v>
      </c>
      <c r="X1104" s="598" t="s">
        <v>3309</v>
      </c>
      <c r="Y1104" s="598" t="s">
        <v>321</v>
      </c>
      <c r="Z1104" s="598" t="s">
        <v>321</v>
      </c>
      <c r="AA1104" s="598" t="s">
        <v>3309</v>
      </c>
      <c r="AB1104" s="598" t="s">
        <v>3309</v>
      </c>
      <c r="AC1104" s="598" t="s">
        <v>3309</v>
      </c>
      <c r="AD1104" s="598" t="s">
        <v>3309</v>
      </c>
      <c r="AE1104" s="598" t="s">
        <v>3309</v>
      </c>
      <c r="AF1104" s="598" t="s">
        <v>321</v>
      </c>
      <c r="AG1104" s="598" t="s">
        <v>321</v>
      </c>
      <c r="AH1104" s="598" t="s">
        <v>3309</v>
      </c>
      <c r="AI1104" s="598" t="s">
        <v>321</v>
      </c>
      <c r="AJ1104" s="599">
        <v>21</v>
      </c>
      <c r="AK1104" s="600">
        <v>21</v>
      </c>
      <c r="AL1104" s="601">
        <v>0</v>
      </c>
      <c r="AM1104" s="601">
        <v>0</v>
      </c>
      <c r="AN1104" s="599">
        <v>21</v>
      </c>
    </row>
    <row r="1105" spans="1:40" ht="16.5" customHeight="1">
      <c r="A1105" s="598" t="s">
        <v>3353</v>
      </c>
      <c r="B1105" s="598" t="s">
        <v>3358</v>
      </c>
      <c r="C1105" s="598" t="s">
        <v>1987</v>
      </c>
      <c r="D1105" s="598" t="s">
        <v>1988</v>
      </c>
      <c r="E1105" s="598" t="s">
        <v>321</v>
      </c>
      <c r="F1105" s="598" t="s">
        <v>3309</v>
      </c>
      <c r="G1105" s="598" t="s">
        <v>3309</v>
      </c>
      <c r="H1105" s="598" t="s">
        <v>3309</v>
      </c>
      <c r="I1105" s="598" t="s">
        <v>3309</v>
      </c>
      <c r="J1105" s="598" t="s">
        <v>3309</v>
      </c>
      <c r="K1105" s="598" t="s">
        <v>321</v>
      </c>
      <c r="L1105" s="598" t="s">
        <v>321</v>
      </c>
      <c r="M1105" s="598" t="s">
        <v>3309</v>
      </c>
      <c r="N1105" s="598" t="s">
        <v>3309</v>
      </c>
      <c r="O1105" s="598" t="s">
        <v>3309</v>
      </c>
      <c r="P1105" s="598" t="s">
        <v>3309</v>
      </c>
      <c r="Q1105" s="598" t="s">
        <v>3309</v>
      </c>
      <c r="R1105" s="598" t="s">
        <v>321</v>
      </c>
      <c r="S1105" s="598" t="s">
        <v>321</v>
      </c>
      <c r="T1105" s="598" t="s">
        <v>3309</v>
      </c>
      <c r="U1105" s="598" t="s">
        <v>3309</v>
      </c>
      <c r="V1105" s="598" t="s">
        <v>3309</v>
      </c>
      <c r="W1105" s="598" t="s">
        <v>3309</v>
      </c>
      <c r="X1105" s="598" t="s">
        <v>3309</v>
      </c>
      <c r="Y1105" s="598" t="s">
        <v>321</v>
      </c>
      <c r="Z1105" s="598" t="s">
        <v>321</v>
      </c>
      <c r="AA1105" s="598" t="s">
        <v>3309</v>
      </c>
      <c r="AB1105" s="598" t="s">
        <v>3309</v>
      </c>
      <c r="AC1105" s="598" t="s">
        <v>3309</v>
      </c>
      <c r="AD1105" s="598" t="s">
        <v>3309</v>
      </c>
      <c r="AE1105" s="598" t="s">
        <v>3309</v>
      </c>
      <c r="AF1105" s="598" t="s">
        <v>321</v>
      </c>
      <c r="AG1105" s="598" t="s">
        <v>321</v>
      </c>
      <c r="AH1105" s="598" t="s">
        <v>3309</v>
      </c>
      <c r="AI1105" s="598" t="s">
        <v>321</v>
      </c>
      <c r="AJ1105" s="599">
        <v>21</v>
      </c>
      <c r="AK1105" s="600">
        <v>21</v>
      </c>
      <c r="AL1105" s="601">
        <v>0</v>
      </c>
      <c r="AM1105" s="601">
        <v>0</v>
      </c>
      <c r="AN1105" s="599">
        <v>21</v>
      </c>
    </row>
    <row r="1106" spans="1:40" ht="16.5" customHeight="1">
      <c r="A1106" s="598" t="s">
        <v>3353</v>
      </c>
      <c r="B1106" s="598" t="s">
        <v>3358</v>
      </c>
      <c r="C1106" s="598" t="s">
        <v>1284</v>
      </c>
      <c r="D1106" s="598" t="s">
        <v>1285</v>
      </c>
      <c r="E1106" s="598" t="s">
        <v>321</v>
      </c>
      <c r="F1106" s="598" t="s">
        <v>3309</v>
      </c>
      <c r="G1106" s="598" t="s">
        <v>3309</v>
      </c>
      <c r="H1106" s="598" t="s">
        <v>3309</v>
      </c>
      <c r="I1106" s="598" t="s">
        <v>3309</v>
      </c>
      <c r="J1106" s="598" t="s">
        <v>3309</v>
      </c>
      <c r="K1106" s="598" t="s">
        <v>321</v>
      </c>
      <c r="L1106" s="598" t="s">
        <v>321</v>
      </c>
      <c r="M1106" s="598" t="s">
        <v>3309</v>
      </c>
      <c r="N1106" s="598" t="s">
        <v>3309</v>
      </c>
      <c r="O1106" s="598" t="s">
        <v>3309</v>
      </c>
      <c r="P1106" s="598" t="s">
        <v>3309</v>
      </c>
      <c r="Q1106" s="598" t="s">
        <v>3309</v>
      </c>
      <c r="R1106" s="598" t="s">
        <v>321</v>
      </c>
      <c r="S1106" s="598" t="s">
        <v>321</v>
      </c>
      <c r="T1106" s="598" t="s">
        <v>3309</v>
      </c>
      <c r="U1106" s="598" t="s">
        <v>3309</v>
      </c>
      <c r="V1106" s="598" t="s">
        <v>3309</v>
      </c>
      <c r="W1106" s="598" t="s">
        <v>3309</v>
      </c>
      <c r="X1106" s="598" t="s">
        <v>3309</v>
      </c>
      <c r="Y1106" s="598" t="s">
        <v>321</v>
      </c>
      <c r="Z1106" s="598" t="s">
        <v>321</v>
      </c>
      <c r="AA1106" s="598" t="s">
        <v>3309</v>
      </c>
      <c r="AB1106" s="598" t="s">
        <v>3309</v>
      </c>
      <c r="AC1106" s="598" t="s">
        <v>3309</v>
      </c>
      <c r="AD1106" s="598" t="s">
        <v>3309</v>
      </c>
      <c r="AE1106" s="598" t="s">
        <v>3309</v>
      </c>
      <c r="AF1106" s="598" t="s">
        <v>321</v>
      </c>
      <c r="AG1106" s="598" t="s">
        <v>321</v>
      </c>
      <c r="AH1106" s="598" t="s">
        <v>3309</v>
      </c>
      <c r="AI1106" s="598" t="s">
        <v>321</v>
      </c>
      <c r="AJ1106" s="599">
        <v>21</v>
      </c>
      <c r="AK1106" s="600">
        <v>21</v>
      </c>
      <c r="AL1106" s="601">
        <v>0</v>
      </c>
      <c r="AM1106" s="601">
        <v>0</v>
      </c>
      <c r="AN1106" s="599">
        <v>21</v>
      </c>
    </row>
    <row r="1107" spans="1:40" ht="16.5" customHeight="1">
      <c r="A1107" s="598" t="s">
        <v>3353</v>
      </c>
      <c r="B1107" s="598" t="s">
        <v>3358</v>
      </c>
      <c r="C1107" s="598" t="s">
        <v>2600</v>
      </c>
      <c r="D1107" s="598" t="s">
        <v>2601</v>
      </c>
      <c r="E1107" s="598" t="s">
        <v>321</v>
      </c>
      <c r="F1107" s="598" t="s">
        <v>3309</v>
      </c>
      <c r="G1107" s="598" t="s">
        <v>3309</v>
      </c>
      <c r="H1107" s="598" t="s">
        <v>3309</v>
      </c>
      <c r="I1107" s="598" t="s">
        <v>3309</v>
      </c>
      <c r="J1107" s="598" t="s">
        <v>3309</v>
      </c>
      <c r="K1107" s="598" t="s">
        <v>321</v>
      </c>
      <c r="L1107" s="598" t="s">
        <v>321</v>
      </c>
      <c r="M1107" s="598" t="s">
        <v>3309</v>
      </c>
      <c r="N1107" s="598" t="s">
        <v>3309</v>
      </c>
      <c r="O1107" s="598" t="s">
        <v>3309</v>
      </c>
      <c r="P1107" s="598" t="s">
        <v>3309</v>
      </c>
      <c r="Q1107" s="598" t="s">
        <v>3309</v>
      </c>
      <c r="R1107" s="598" t="s">
        <v>321</v>
      </c>
      <c r="S1107" s="598" t="s">
        <v>321</v>
      </c>
      <c r="T1107" s="598" t="s">
        <v>3309</v>
      </c>
      <c r="U1107" s="598" t="s">
        <v>3309</v>
      </c>
      <c r="V1107" s="598" t="s">
        <v>3309</v>
      </c>
      <c r="W1107" s="598" t="s">
        <v>3309</v>
      </c>
      <c r="X1107" s="598" t="s">
        <v>3309</v>
      </c>
      <c r="Y1107" s="598" t="s">
        <v>321</v>
      </c>
      <c r="Z1107" s="598" t="s">
        <v>321</v>
      </c>
      <c r="AA1107" s="598" t="s">
        <v>3309</v>
      </c>
      <c r="AB1107" s="598" t="s">
        <v>3309</v>
      </c>
      <c r="AC1107" s="598" t="s">
        <v>3309</v>
      </c>
      <c r="AD1107" s="598" t="s">
        <v>3309</v>
      </c>
      <c r="AE1107" s="598" t="s">
        <v>3309</v>
      </c>
      <c r="AF1107" s="598" t="s">
        <v>321</v>
      </c>
      <c r="AG1107" s="598" t="s">
        <v>321</v>
      </c>
      <c r="AH1107" s="598" t="s">
        <v>3309</v>
      </c>
      <c r="AI1107" s="598" t="s">
        <v>321</v>
      </c>
      <c r="AJ1107" s="599">
        <v>21</v>
      </c>
      <c r="AK1107" s="600">
        <v>21</v>
      </c>
      <c r="AL1107" s="601">
        <v>0</v>
      </c>
      <c r="AM1107" s="601">
        <v>0</v>
      </c>
      <c r="AN1107" s="599">
        <v>21</v>
      </c>
    </row>
    <row r="1108" spans="1:40" ht="16.5" customHeight="1">
      <c r="A1108" s="598" t="s">
        <v>3353</v>
      </c>
      <c r="B1108" s="598" t="s">
        <v>3358</v>
      </c>
      <c r="C1108" s="598" t="s">
        <v>2818</v>
      </c>
      <c r="D1108" s="598" t="s">
        <v>2819</v>
      </c>
      <c r="E1108" s="598" t="s">
        <v>321</v>
      </c>
      <c r="F1108" s="598" t="s">
        <v>3309</v>
      </c>
      <c r="G1108" s="598" t="s">
        <v>3309</v>
      </c>
      <c r="H1108" s="598" t="s">
        <v>3309</v>
      </c>
      <c r="I1108" s="598" t="s">
        <v>3309</v>
      </c>
      <c r="J1108" s="598" t="s">
        <v>3309</v>
      </c>
      <c r="K1108" s="598" t="s">
        <v>321</v>
      </c>
      <c r="L1108" s="598" t="s">
        <v>321</v>
      </c>
      <c r="M1108" s="598" t="s">
        <v>3309</v>
      </c>
      <c r="N1108" s="598" t="s">
        <v>3309</v>
      </c>
      <c r="O1108" s="598" t="s">
        <v>3309</v>
      </c>
      <c r="P1108" s="598" t="s">
        <v>3309</v>
      </c>
      <c r="Q1108" s="598" t="s">
        <v>3309</v>
      </c>
      <c r="R1108" s="598" t="s">
        <v>321</v>
      </c>
      <c r="S1108" s="598" t="s">
        <v>321</v>
      </c>
      <c r="T1108" s="598" t="s">
        <v>3309</v>
      </c>
      <c r="U1108" s="598" t="s">
        <v>3309</v>
      </c>
      <c r="V1108" s="598" t="s">
        <v>3309</v>
      </c>
      <c r="W1108" s="598" t="s">
        <v>3309</v>
      </c>
      <c r="X1108" s="598" t="s">
        <v>3309</v>
      </c>
      <c r="Y1108" s="598" t="s">
        <v>321</v>
      </c>
      <c r="Z1108" s="598" t="s">
        <v>321</v>
      </c>
      <c r="AA1108" s="598" t="s">
        <v>3309</v>
      </c>
      <c r="AB1108" s="598" t="s">
        <v>3309</v>
      </c>
      <c r="AC1108" s="598" t="s">
        <v>3309</v>
      </c>
      <c r="AD1108" s="598" t="s">
        <v>3309</v>
      </c>
      <c r="AE1108" s="598" t="s">
        <v>3309</v>
      </c>
      <c r="AF1108" s="598" t="s">
        <v>321</v>
      </c>
      <c r="AG1108" s="598" t="s">
        <v>321</v>
      </c>
      <c r="AH1108" s="598" t="s">
        <v>3309</v>
      </c>
      <c r="AI1108" s="598" t="s">
        <v>321</v>
      </c>
      <c r="AJ1108" s="599">
        <v>21</v>
      </c>
      <c r="AK1108" s="600">
        <v>21</v>
      </c>
      <c r="AL1108" s="601">
        <v>0</v>
      </c>
      <c r="AM1108" s="601">
        <v>0</v>
      </c>
      <c r="AN1108" s="599">
        <v>21</v>
      </c>
    </row>
    <row r="1109" spans="1:40" ht="16.5" customHeight="1">
      <c r="A1109" s="598" t="s">
        <v>3353</v>
      </c>
      <c r="B1109" s="598" t="s">
        <v>3358</v>
      </c>
      <c r="C1109" s="598" t="s">
        <v>1775</v>
      </c>
      <c r="D1109" s="598" t="s">
        <v>1776</v>
      </c>
      <c r="E1109" s="598" t="s">
        <v>321</v>
      </c>
      <c r="F1109" s="598" t="s">
        <v>3309</v>
      </c>
      <c r="G1109" s="598" t="s">
        <v>3309</v>
      </c>
      <c r="H1109" s="598" t="s">
        <v>3309</v>
      </c>
      <c r="I1109" s="598" t="s">
        <v>3309</v>
      </c>
      <c r="J1109" s="598" t="s">
        <v>3309</v>
      </c>
      <c r="K1109" s="598" t="s">
        <v>321</v>
      </c>
      <c r="L1109" s="598" t="s">
        <v>321</v>
      </c>
      <c r="M1109" s="598" t="s">
        <v>3309</v>
      </c>
      <c r="N1109" s="598" t="s">
        <v>3309</v>
      </c>
      <c r="O1109" s="598" t="s">
        <v>3313</v>
      </c>
      <c r="P1109" s="598" t="s">
        <v>3313</v>
      </c>
      <c r="Q1109" s="598" t="s">
        <v>3313</v>
      </c>
      <c r="R1109" s="598" t="s">
        <v>321</v>
      </c>
      <c r="S1109" s="598" t="s">
        <v>321</v>
      </c>
      <c r="T1109" s="598" t="s">
        <v>3309</v>
      </c>
      <c r="U1109" s="598" t="s">
        <v>3309</v>
      </c>
      <c r="V1109" s="598" t="s">
        <v>3309</v>
      </c>
      <c r="W1109" s="598" t="s">
        <v>3309</v>
      </c>
      <c r="X1109" s="598" t="s">
        <v>3309</v>
      </c>
      <c r="Y1109" s="598" t="s">
        <v>321</v>
      </c>
      <c r="Z1109" s="598" t="s">
        <v>321</v>
      </c>
      <c r="AA1109" s="598" t="s">
        <v>3309</v>
      </c>
      <c r="AB1109" s="598" t="s">
        <v>3309</v>
      </c>
      <c r="AC1109" s="598" t="s">
        <v>3309</v>
      </c>
      <c r="AD1109" s="598" t="s">
        <v>3309</v>
      </c>
      <c r="AE1109" s="598" t="s">
        <v>3309</v>
      </c>
      <c r="AF1109" s="598" t="s">
        <v>321</v>
      </c>
      <c r="AG1109" s="598" t="s">
        <v>321</v>
      </c>
      <c r="AH1109" s="598" t="s">
        <v>3309</v>
      </c>
      <c r="AI1109" s="598" t="s">
        <v>321</v>
      </c>
      <c r="AJ1109" s="599">
        <v>21</v>
      </c>
      <c r="AK1109" s="600">
        <v>21</v>
      </c>
      <c r="AL1109" s="601">
        <v>0</v>
      </c>
      <c r="AM1109" s="601">
        <v>0</v>
      </c>
      <c r="AN1109" s="599">
        <v>21</v>
      </c>
    </row>
    <row r="1110" spans="1:40" ht="16.5" customHeight="1">
      <c r="A1110" s="598" t="s">
        <v>3353</v>
      </c>
      <c r="B1110" s="598" t="s">
        <v>3359</v>
      </c>
      <c r="C1110" s="598" t="s">
        <v>2670</v>
      </c>
      <c r="D1110" s="598" t="s">
        <v>2671</v>
      </c>
      <c r="E1110" s="598" t="s">
        <v>321</v>
      </c>
      <c r="F1110" s="598" t="s">
        <v>3309</v>
      </c>
      <c r="G1110" s="598" t="s">
        <v>3309</v>
      </c>
      <c r="H1110" s="598" t="s">
        <v>3309</v>
      </c>
      <c r="I1110" s="598" t="s">
        <v>3309</v>
      </c>
      <c r="J1110" s="598" t="s">
        <v>3309</v>
      </c>
      <c r="K1110" s="598" t="s">
        <v>321</v>
      </c>
      <c r="L1110" s="598" t="s">
        <v>321</v>
      </c>
      <c r="M1110" s="598" t="s">
        <v>3309</v>
      </c>
      <c r="N1110" s="598" t="s">
        <v>3309</v>
      </c>
      <c r="O1110" s="598" t="s">
        <v>3309</v>
      </c>
      <c r="P1110" s="598" t="s">
        <v>3309</v>
      </c>
      <c r="Q1110" s="598" t="s">
        <v>3309</v>
      </c>
      <c r="R1110" s="598" t="s">
        <v>321</v>
      </c>
      <c r="S1110" s="598" t="s">
        <v>321</v>
      </c>
      <c r="T1110" s="598" t="s">
        <v>3309</v>
      </c>
      <c r="U1110" s="598" t="s">
        <v>3309</v>
      </c>
      <c r="V1110" s="598" t="s">
        <v>3309</v>
      </c>
      <c r="W1110" s="598" t="s">
        <v>3309</v>
      </c>
      <c r="X1110" s="598" t="s">
        <v>3309</v>
      </c>
      <c r="Y1110" s="598" t="s">
        <v>321</v>
      </c>
      <c r="Z1110" s="598" t="s">
        <v>321</v>
      </c>
      <c r="AA1110" s="598" t="s">
        <v>3309</v>
      </c>
      <c r="AB1110" s="598" t="s">
        <v>3309</v>
      </c>
      <c r="AC1110" s="598" t="s">
        <v>3309</v>
      </c>
      <c r="AD1110" s="598" t="s">
        <v>3309</v>
      </c>
      <c r="AE1110" s="598" t="s">
        <v>3309</v>
      </c>
      <c r="AF1110" s="598" t="s">
        <v>321</v>
      </c>
      <c r="AG1110" s="598" t="s">
        <v>321</v>
      </c>
      <c r="AH1110" s="598" t="s">
        <v>3309</v>
      </c>
      <c r="AI1110" s="598" t="s">
        <v>321</v>
      </c>
      <c r="AJ1110" s="599">
        <v>21</v>
      </c>
      <c r="AK1110" s="600">
        <v>21</v>
      </c>
      <c r="AL1110" s="601">
        <v>0</v>
      </c>
      <c r="AM1110" s="601">
        <v>0</v>
      </c>
      <c r="AN1110" s="599">
        <v>21</v>
      </c>
    </row>
    <row r="1111" spans="1:40" ht="16.5" customHeight="1">
      <c r="A1111" s="598" t="s">
        <v>3353</v>
      </c>
      <c r="B1111" s="598" t="s">
        <v>3359</v>
      </c>
      <c r="C1111" s="598" t="s">
        <v>2171</v>
      </c>
      <c r="D1111" s="598" t="s">
        <v>2172</v>
      </c>
      <c r="E1111" s="598" t="s">
        <v>321</v>
      </c>
      <c r="F1111" s="598" t="s">
        <v>3309</v>
      </c>
      <c r="G1111" s="598" t="s">
        <v>3309</v>
      </c>
      <c r="H1111" s="598" t="s">
        <v>3309</v>
      </c>
      <c r="I1111" s="598" t="s">
        <v>3309</v>
      </c>
      <c r="J1111" s="598" t="s">
        <v>3309</v>
      </c>
      <c r="K1111" s="598" t="s">
        <v>321</v>
      </c>
      <c r="L1111" s="598" t="s">
        <v>321</v>
      </c>
      <c r="M1111" s="598" t="s">
        <v>3309</v>
      </c>
      <c r="N1111" s="598" t="s">
        <v>3309</v>
      </c>
      <c r="O1111" s="598" t="s">
        <v>3309</v>
      </c>
      <c r="P1111" s="598" t="s">
        <v>3309</v>
      </c>
      <c r="Q1111" s="598" t="s">
        <v>3309</v>
      </c>
      <c r="R1111" s="598" t="s">
        <v>321</v>
      </c>
      <c r="S1111" s="598" t="s">
        <v>321</v>
      </c>
      <c r="T1111" s="598" t="s">
        <v>3309</v>
      </c>
      <c r="U1111" s="598" t="s">
        <v>3309</v>
      </c>
      <c r="V1111" s="598" t="s">
        <v>3309</v>
      </c>
      <c r="W1111" s="598" t="s">
        <v>3309</v>
      </c>
      <c r="X1111" s="598" t="s">
        <v>3309</v>
      </c>
      <c r="Y1111" s="598" t="s">
        <v>321</v>
      </c>
      <c r="Z1111" s="598" t="s">
        <v>321</v>
      </c>
      <c r="AA1111" s="598" t="s">
        <v>3309</v>
      </c>
      <c r="AB1111" s="598" t="s">
        <v>3309</v>
      </c>
      <c r="AC1111" s="598" t="s">
        <v>3309</v>
      </c>
      <c r="AD1111" s="598" t="s">
        <v>3309</v>
      </c>
      <c r="AE1111" s="598" t="s">
        <v>3309</v>
      </c>
      <c r="AF1111" s="598" t="s">
        <v>321</v>
      </c>
      <c r="AG1111" s="598" t="s">
        <v>321</v>
      </c>
      <c r="AH1111" s="598" t="s">
        <v>3309</v>
      </c>
      <c r="AI1111" s="598" t="s">
        <v>321</v>
      </c>
      <c r="AJ1111" s="599">
        <v>21</v>
      </c>
      <c r="AK1111" s="600">
        <v>21</v>
      </c>
      <c r="AL1111" s="601">
        <v>0</v>
      </c>
      <c r="AM1111" s="601">
        <v>0</v>
      </c>
      <c r="AN1111" s="599">
        <v>21</v>
      </c>
    </row>
    <row r="1112" spans="1:40" ht="16.5" customHeight="1">
      <c r="A1112" s="598" t="s">
        <v>3353</v>
      </c>
      <c r="B1112" s="598" t="s">
        <v>3359</v>
      </c>
      <c r="C1112" s="598" t="s">
        <v>2592</v>
      </c>
      <c r="D1112" s="598" t="s">
        <v>2593</v>
      </c>
      <c r="E1112" s="598" t="s">
        <v>321</v>
      </c>
      <c r="F1112" s="598" t="s">
        <v>3309</v>
      </c>
      <c r="G1112" s="598" t="s">
        <v>3309</v>
      </c>
      <c r="H1112" s="598" t="s">
        <v>3309</v>
      </c>
      <c r="I1112" s="598" t="s">
        <v>3309</v>
      </c>
      <c r="J1112" s="598" t="s">
        <v>3309</v>
      </c>
      <c r="K1112" s="598" t="s">
        <v>321</v>
      </c>
      <c r="L1112" s="598" t="s">
        <v>321</v>
      </c>
      <c r="M1112" s="598" t="s">
        <v>3309</v>
      </c>
      <c r="N1112" s="598" t="s">
        <v>3309</v>
      </c>
      <c r="O1112" s="598" t="s">
        <v>3309</v>
      </c>
      <c r="P1112" s="598" t="s">
        <v>3309</v>
      </c>
      <c r="Q1112" s="598" t="s">
        <v>3309</v>
      </c>
      <c r="R1112" s="598" t="s">
        <v>321</v>
      </c>
      <c r="S1112" s="598" t="s">
        <v>321</v>
      </c>
      <c r="T1112" s="598" t="s">
        <v>3309</v>
      </c>
      <c r="U1112" s="598" t="s">
        <v>3309</v>
      </c>
      <c r="V1112" s="598" t="s">
        <v>3309</v>
      </c>
      <c r="W1112" s="598" t="s">
        <v>3309</v>
      </c>
      <c r="X1112" s="598" t="s">
        <v>3309</v>
      </c>
      <c r="Y1112" s="598" t="s">
        <v>321</v>
      </c>
      <c r="Z1112" s="598" t="s">
        <v>321</v>
      </c>
      <c r="AA1112" s="598" t="s">
        <v>3309</v>
      </c>
      <c r="AB1112" s="598" t="s">
        <v>3309</v>
      </c>
      <c r="AC1112" s="598" t="s">
        <v>3309</v>
      </c>
      <c r="AD1112" s="598" t="s">
        <v>3309</v>
      </c>
      <c r="AE1112" s="598" t="s">
        <v>3309</v>
      </c>
      <c r="AF1112" s="598" t="s">
        <v>321</v>
      </c>
      <c r="AG1112" s="598" t="s">
        <v>321</v>
      </c>
      <c r="AH1112" s="598" t="s">
        <v>3309</v>
      </c>
      <c r="AI1112" s="598" t="s">
        <v>321</v>
      </c>
      <c r="AJ1112" s="599">
        <v>21</v>
      </c>
      <c r="AK1112" s="600">
        <v>21</v>
      </c>
      <c r="AL1112" s="601">
        <v>0</v>
      </c>
      <c r="AM1112" s="601">
        <v>0</v>
      </c>
      <c r="AN1112" s="599">
        <v>21</v>
      </c>
    </row>
    <row r="1113" spans="1:40" ht="16.5" customHeight="1">
      <c r="A1113" s="598" t="s">
        <v>3353</v>
      </c>
      <c r="B1113" s="598" t="s">
        <v>3359</v>
      </c>
      <c r="C1113" s="598" t="s">
        <v>2594</v>
      </c>
      <c r="D1113" s="598" t="s">
        <v>2595</v>
      </c>
      <c r="E1113" s="598" t="s">
        <v>321</v>
      </c>
      <c r="F1113" s="598" t="s">
        <v>3309</v>
      </c>
      <c r="G1113" s="598" t="s">
        <v>3309</v>
      </c>
      <c r="H1113" s="598" t="s">
        <v>3309</v>
      </c>
      <c r="I1113" s="598" t="s">
        <v>3309</v>
      </c>
      <c r="J1113" s="598" t="s">
        <v>3309</v>
      </c>
      <c r="K1113" s="598" t="s">
        <v>321</v>
      </c>
      <c r="L1113" s="598" t="s">
        <v>321</v>
      </c>
      <c r="M1113" s="598" t="s">
        <v>3309</v>
      </c>
      <c r="N1113" s="598" t="s">
        <v>3309</v>
      </c>
      <c r="O1113" s="598" t="s">
        <v>3309</v>
      </c>
      <c r="P1113" s="598" t="s">
        <v>3309</v>
      </c>
      <c r="Q1113" s="598" t="s">
        <v>3309</v>
      </c>
      <c r="R1113" s="598" t="s">
        <v>321</v>
      </c>
      <c r="S1113" s="598" t="s">
        <v>321</v>
      </c>
      <c r="T1113" s="598" t="s">
        <v>3309</v>
      </c>
      <c r="U1113" s="598" t="s">
        <v>3309</v>
      </c>
      <c r="V1113" s="598" t="s">
        <v>3309</v>
      </c>
      <c r="W1113" s="598" t="s">
        <v>3309</v>
      </c>
      <c r="X1113" s="598" t="s">
        <v>3309</v>
      </c>
      <c r="Y1113" s="598" t="s">
        <v>321</v>
      </c>
      <c r="Z1113" s="598" t="s">
        <v>321</v>
      </c>
      <c r="AA1113" s="598" t="s">
        <v>3309</v>
      </c>
      <c r="AB1113" s="598" t="s">
        <v>3309</v>
      </c>
      <c r="AC1113" s="598" t="s">
        <v>3309</v>
      </c>
      <c r="AD1113" s="598" t="s">
        <v>3309</v>
      </c>
      <c r="AE1113" s="598" t="s">
        <v>3309</v>
      </c>
      <c r="AF1113" s="598" t="s">
        <v>321</v>
      </c>
      <c r="AG1113" s="598" t="s">
        <v>321</v>
      </c>
      <c r="AH1113" s="598" t="s">
        <v>3309</v>
      </c>
      <c r="AI1113" s="598" t="s">
        <v>321</v>
      </c>
      <c r="AJ1113" s="599">
        <v>21</v>
      </c>
      <c r="AK1113" s="600">
        <v>21</v>
      </c>
      <c r="AL1113" s="601">
        <v>0</v>
      </c>
      <c r="AM1113" s="601">
        <v>0</v>
      </c>
      <c r="AN1113" s="599">
        <v>21</v>
      </c>
    </row>
    <row r="1114" spans="1:40" ht="16.5" customHeight="1">
      <c r="A1114" s="598" t="s">
        <v>3353</v>
      </c>
      <c r="B1114" s="598" t="s">
        <v>3359</v>
      </c>
      <c r="C1114" s="598" t="s">
        <v>2980</v>
      </c>
      <c r="D1114" s="598" t="s">
        <v>2981</v>
      </c>
      <c r="E1114" s="598" t="s">
        <v>321</v>
      </c>
      <c r="F1114" s="598" t="s">
        <v>3309</v>
      </c>
      <c r="G1114" s="598" t="s">
        <v>3312</v>
      </c>
      <c r="H1114" s="598" t="s">
        <v>3312</v>
      </c>
      <c r="I1114" s="598" t="s">
        <v>3312</v>
      </c>
      <c r="J1114" s="598" t="s">
        <v>3309</v>
      </c>
      <c r="K1114" s="598" t="s">
        <v>321</v>
      </c>
      <c r="L1114" s="598" t="s">
        <v>321</v>
      </c>
      <c r="M1114" s="598" t="s">
        <v>3309</v>
      </c>
      <c r="N1114" s="598" t="s">
        <v>3309</v>
      </c>
      <c r="O1114" s="598" t="s">
        <v>3309</v>
      </c>
      <c r="P1114" s="598" t="s">
        <v>3309</v>
      </c>
      <c r="Q1114" s="598" t="s">
        <v>3309</v>
      </c>
      <c r="R1114" s="598" t="s">
        <v>321</v>
      </c>
      <c r="S1114" s="598" t="s">
        <v>321</v>
      </c>
      <c r="T1114" s="598" t="s">
        <v>3309</v>
      </c>
      <c r="U1114" s="598" t="s">
        <v>3309</v>
      </c>
      <c r="V1114" s="598" t="s">
        <v>3309</v>
      </c>
      <c r="W1114" s="598" t="s">
        <v>3309</v>
      </c>
      <c r="X1114" s="598" t="s">
        <v>3309</v>
      </c>
      <c r="Y1114" s="598" t="s">
        <v>321</v>
      </c>
      <c r="Z1114" s="598" t="s">
        <v>321</v>
      </c>
      <c r="AA1114" s="598" t="s">
        <v>3309</v>
      </c>
      <c r="AB1114" s="598" t="s">
        <v>3309</v>
      </c>
      <c r="AC1114" s="598" t="s">
        <v>3309</v>
      </c>
      <c r="AD1114" s="598" t="s">
        <v>3309</v>
      </c>
      <c r="AE1114" s="598" t="s">
        <v>3309</v>
      </c>
      <c r="AF1114" s="598" t="s">
        <v>321</v>
      </c>
      <c r="AG1114" s="598" t="s">
        <v>321</v>
      </c>
      <c r="AH1114" s="598" t="s">
        <v>3309</v>
      </c>
      <c r="AI1114" s="598" t="s">
        <v>321</v>
      </c>
      <c r="AJ1114" s="599">
        <v>21</v>
      </c>
      <c r="AK1114" s="600">
        <v>18</v>
      </c>
      <c r="AL1114" s="602">
        <v>3</v>
      </c>
      <c r="AM1114" s="601">
        <v>0</v>
      </c>
      <c r="AN1114" s="599">
        <v>21</v>
      </c>
    </row>
    <row r="1115" spans="1:40" ht="16.5" customHeight="1">
      <c r="A1115" s="598" t="s">
        <v>3353</v>
      </c>
      <c r="B1115" s="598" t="s">
        <v>3359</v>
      </c>
      <c r="C1115" s="598" t="s">
        <v>2506</v>
      </c>
      <c r="D1115" s="598" t="s">
        <v>2507</v>
      </c>
      <c r="E1115" s="598" t="s">
        <v>321</v>
      </c>
      <c r="F1115" s="598" t="s">
        <v>3309</v>
      </c>
      <c r="G1115" s="598" t="s">
        <v>3309</v>
      </c>
      <c r="H1115" s="598" t="s">
        <v>3309</v>
      </c>
      <c r="I1115" s="598" t="s">
        <v>3309</v>
      </c>
      <c r="J1115" s="598" t="s">
        <v>3309</v>
      </c>
      <c r="K1115" s="598" t="s">
        <v>321</v>
      </c>
      <c r="L1115" s="598" t="s">
        <v>321</v>
      </c>
      <c r="M1115" s="598" t="s">
        <v>3309</v>
      </c>
      <c r="N1115" s="598" t="s">
        <v>3309</v>
      </c>
      <c r="O1115" s="598" t="s">
        <v>3309</v>
      </c>
      <c r="P1115" s="598" t="s">
        <v>3309</v>
      </c>
      <c r="Q1115" s="598" t="s">
        <v>3309</v>
      </c>
      <c r="R1115" s="598" t="s">
        <v>321</v>
      </c>
      <c r="S1115" s="598" t="s">
        <v>321</v>
      </c>
      <c r="T1115" s="598" t="s">
        <v>3309</v>
      </c>
      <c r="U1115" s="598" t="s">
        <v>3309</v>
      </c>
      <c r="V1115" s="598" t="s">
        <v>3309</v>
      </c>
      <c r="W1115" s="598" t="s">
        <v>3309</v>
      </c>
      <c r="X1115" s="598" t="s">
        <v>3309</v>
      </c>
      <c r="Y1115" s="598" t="s">
        <v>321</v>
      </c>
      <c r="Z1115" s="598" t="s">
        <v>321</v>
      </c>
      <c r="AA1115" s="598" t="s">
        <v>3309</v>
      </c>
      <c r="AB1115" s="598" t="s">
        <v>3309</v>
      </c>
      <c r="AC1115" s="598" t="s">
        <v>3309</v>
      </c>
      <c r="AD1115" s="598" t="s">
        <v>3309</v>
      </c>
      <c r="AE1115" s="598" t="s">
        <v>3309</v>
      </c>
      <c r="AF1115" s="598" t="s">
        <v>321</v>
      </c>
      <c r="AG1115" s="598" t="s">
        <v>321</v>
      </c>
      <c r="AH1115" s="598" t="s">
        <v>3309</v>
      </c>
      <c r="AI1115" s="598" t="s">
        <v>321</v>
      </c>
      <c r="AJ1115" s="599">
        <v>21</v>
      </c>
      <c r="AK1115" s="600">
        <v>21</v>
      </c>
      <c r="AL1115" s="601">
        <v>0</v>
      </c>
      <c r="AM1115" s="601">
        <v>0</v>
      </c>
      <c r="AN1115" s="599">
        <v>21</v>
      </c>
    </row>
    <row r="1116" spans="1:40" ht="16.5" customHeight="1">
      <c r="A1116" s="598" t="s">
        <v>3353</v>
      </c>
      <c r="B1116" s="598" t="s">
        <v>3359</v>
      </c>
      <c r="C1116" s="598" t="s">
        <v>1241</v>
      </c>
      <c r="D1116" s="598" t="s">
        <v>1242</v>
      </c>
      <c r="E1116" s="598" t="s">
        <v>321</v>
      </c>
      <c r="F1116" s="598" t="s">
        <v>3309</v>
      </c>
      <c r="G1116" s="598" t="s">
        <v>3309</v>
      </c>
      <c r="H1116" s="598" t="s">
        <v>3309</v>
      </c>
      <c r="I1116" s="598" t="s">
        <v>3309</v>
      </c>
      <c r="J1116" s="598" t="s">
        <v>3309</v>
      </c>
      <c r="K1116" s="598" t="s">
        <v>321</v>
      </c>
      <c r="L1116" s="598" t="s">
        <v>321</v>
      </c>
      <c r="M1116" s="598" t="s">
        <v>3309</v>
      </c>
      <c r="N1116" s="598" t="s">
        <v>3309</v>
      </c>
      <c r="O1116" s="598" t="s">
        <v>3309</v>
      </c>
      <c r="P1116" s="598" t="s">
        <v>3309</v>
      </c>
      <c r="Q1116" s="598" t="s">
        <v>3309</v>
      </c>
      <c r="R1116" s="598" t="s">
        <v>321</v>
      </c>
      <c r="S1116" s="598" t="s">
        <v>321</v>
      </c>
      <c r="T1116" s="598" t="s">
        <v>3309</v>
      </c>
      <c r="U1116" s="598" t="s">
        <v>3309</v>
      </c>
      <c r="V1116" s="598" t="s">
        <v>3309</v>
      </c>
      <c r="W1116" s="598" t="s">
        <v>3309</v>
      </c>
      <c r="X1116" s="598" t="s">
        <v>3309</v>
      </c>
      <c r="Y1116" s="598" t="s">
        <v>321</v>
      </c>
      <c r="Z1116" s="598" t="s">
        <v>321</v>
      </c>
      <c r="AA1116" s="598" t="s">
        <v>3309</v>
      </c>
      <c r="AB1116" s="598" t="s">
        <v>3309</v>
      </c>
      <c r="AC1116" s="598" t="s">
        <v>3309</v>
      </c>
      <c r="AD1116" s="598" t="s">
        <v>3309</v>
      </c>
      <c r="AE1116" s="598" t="s">
        <v>3309</v>
      </c>
      <c r="AF1116" s="598" t="s">
        <v>321</v>
      </c>
      <c r="AG1116" s="598" t="s">
        <v>321</v>
      </c>
      <c r="AH1116" s="598" t="s">
        <v>3309</v>
      </c>
      <c r="AI1116" s="598" t="s">
        <v>321</v>
      </c>
      <c r="AJ1116" s="599">
        <v>21</v>
      </c>
      <c r="AK1116" s="600">
        <v>21</v>
      </c>
      <c r="AL1116" s="601">
        <v>0</v>
      </c>
      <c r="AM1116" s="601">
        <v>0</v>
      </c>
      <c r="AN1116" s="599">
        <v>21</v>
      </c>
    </row>
    <row r="1117" spans="1:40" ht="16.5" customHeight="1">
      <c r="A1117" s="598" t="s">
        <v>3353</v>
      </c>
      <c r="B1117" s="598" t="s">
        <v>3359</v>
      </c>
      <c r="C1117" s="598" t="s">
        <v>2352</v>
      </c>
      <c r="D1117" s="598" t="s">
        <v>2353</v>
      </c>
      <c r="E1117" s="598" t="s">
        <v>321</v>
      </c>
      <c r="F1117" s="598" t="s">
        <v>3309</v>
      </c>
      <c r="G1117" s="598" t="s">
        <v>3309</v>
      </c>
      <c r="H1117" s="598" t="s">
        <v>3309</v>
      </c>
      <c r="I1117" s="598" t="s">
        <v>3309</v>
      </c>
      <c r="J1117" s="598" t="s">
        <v>3309</v>
      </c>
      <c r="K1117" s="598" t="s">
        <v>321</v>
      </c>
      <c r="L1117" s="598" t="s">
        <v>321</v>
      </c>
      <c r="M1117" s="598" t="s">
        <v>3309</v>
      </c>
      <c r="N1117" s="598" t="s">
        <v>3309</v>
      </c>
      <c r="O1117" s="598" t="s">
        <v>3309</v>
      </c>
      <c r="P1117" s="598" t="s">
        <v>3309</v>
      </c>
      <c r="Q1117" s="598" t="s">
        <v>3309</v>
      </c>
      <c r="R1117" s="598" t="s">
        <v>321</v>
      </c>
      <c r="S1117" s="598" t="s">
        <v>321</v>
      </c>
      <c r="T1117" s="598" t="s">
        <v>3309</v>
      </c>
      <c r="U1117" s="598" t="s">
        <v>3309</v>
      </c>
      <c r="V1117" s="598" t="s">
        <v>3309</v>
      </c>
      <c r="W1117" s="598" t="s">
        <v>3309</v>
      </c>
      <c r="X1117" s="598" t="s">
        <v>3309</v>
      </c>
      <c r="Y1117" s="598" t="s">
        <v>321</v>
      </c>
      <c r="Z1117" s="598" t="s">
        <v>321</v>
      </c>
      <c r="AA1117" s="598" t="s">
        <v>3309</v>
      </c>
      <c r="AB1117" s="598" t="s">
        <v>3309</v>
      </c>
      <c r="AC1117" s="598" t="s">
        <v>3309</v>
      </c>
      <c r="AD1117" s="598" t="s">
        <v>3309</v>
      </c>
      <c r="AE1117" s="598" t="s">
        <v>3309</v>
      </c>
      <c r="AF1117" s="598" t="s">
        <v>321</v>
      </c>
      <c r="AG1117" s="598" t="s">
        <v>321</v>
      </c>
      <c r="AH1117" s="598" t="s">
        <v>3309</v>
      </c>
      <c r="AI1117" s="598" t="s">
        <v>321</v>
      </c>
      <c r="AJ1117" s="599">
        <v>21</v>
      </c>
      <c r="AK1117" s="600">
        <v>21</v>
      </c>
      <c r="AL1117" s="601">
        <v>0</v>
      </c>
      <c r="AM1117" s="601">
        <v>0</v>
      </c>
      <c r="AN1117" s="599">
        <v>21</v>
      </c>
    </row>
    <row r="1118" spans="1:40" ht="16.5" customHeight="1">
      <c r="A1118" s="598" t="s">
        <v>3353</v>
      </c>
      <c r="B1118" s="598" t="s">
        <v>3359</v>
      </c>
      <c r="C1118" s="598" t="s">
        <v>1632</v>
      </c>
      <c r="D1118" s="598" t="s">
        <v>1633</v>
      </c>
      <c r="E1118" s="598" t="s">
        <v>321</v>
      </c>
      <c r="F1118" s="598" t="s">
        <v>3309</v>
      </c>
      <c r="G1118" s="598" t="s">
        <v>3309</v>
      </c>
      <c r="H1118" s="598" t="s">
        <v>3309</v>
      </c>
      <c r="I1118" s="598" t="s">
        <v>3309</v>
      </c>
      <c r="J1118" s="598" t="s">
        <v>3309</v>
      </c>
      <c r="K1118" s="598" t="s">
        <v>321</v>
      </c>
      <c r="L1118" s="598" t="s">
        <v>321</v>
      </c>
      <c r="M1118" s="598" t="s">
        <v>3309</v>
      </c>
      <c r="N1118" s="598" t="s">
        <v>3309</v>
      </c>
      <c r="O1118" s="598" t="s">
        <v>3309</v>
      </c>
      <c r="P1118" s="598" t="s">
        <v>3309</v>
      </c>
      <c r="Q1118" s="598" t="s">
        <v>3309</v>
      </c>
      <c r="R1118" s="598" t="s">
        <v>321</v>
      </c>
      <c r="S1118" s="598" t="s">
        <v>321</v>
      </c>
      <c r="T1118" s="598" t="s">
        <v>3309</v>
      </c>
      <c r="U1118" s="598" t="s">
        <v>3309</v>
      </c>
      <c r="V1118" s="598" t="s">
        <v>3309</v>
      </c>
      <c r="W1118" s="598" t="s">
        <v>3309</v>
      </c>
      <c r="X1118" s="598" t="s">
        <v>3309</v>
      </c>
      <c r="Y1118" s="598" t="s">
        <v>321</v>
      </c>
      <c r="Z1118" s="598" t="s">
        <v>321</v>
      </c>
      <c r="AA1118" s="598" t="s">
        <v>3309</v>
      </c>
      <c r="AB1118" s="598" t="s">
        <v>3309</v>
      </c>
      <c r="AC1118" s="598" t="s">
        <v>3309</v>
      </c>
      <c r="AD1118" s="598" t="s">
        <v>3309</v>
      </c>
      <c r="AE1118" s="598" t="s">
        <v>3309</v>
      </c>
      <c r="AF1118" s="598" t="s">
        <v>321</v>
      </c>
      <c r="AG1118" s="598" t="s">
        <v>321</v>
      </c>
      <c r="AH1118" s="598" t="s">
        <v>3309</v>
      </c>
      <c r="AI1118" s="598" t="s">
        <v>321</v>
      </c>
      <c r="AJ1118" s="599">
        <v>21</v>
      </c>
      <c r="AK1118" s="600">
        <v>21</v>
      </c>
      <c r="AL1118" s="601">
        <v>0</v>
      </c>
      <c r="AM1118" s="601">
        <v>0</v>
      </c>
      <c r="AN1118" s="599">
        <v>21</v>
      </c>
    </row>
    <row r="1119" spans="1:40" ht="16.5" customHeight="1">
      <c r="A1119" s="598" t="s">
        <v>3353</v>
      </c>
      <c r="B1119" s="598" t="s">
        <v>3359</v>
      </c>
      <c r="C1119" s="598" t="s">
        <v>1860</v>
      </c>
      <c r="D1119" s="598" t="s">
        <v>1861</v>
      </c>
      <c r="E1119" s="598" t="s">
        <v>321</v>
      </c>
      <c r="F1119" s="598" t="s">
        <v>3309</v>
      </c>
      <c r="G1119" s="598" t="s">
        <v>3309</v>
      </c>
      <c r="H1119" s="598" t="s">
        <v>3309</v>
      </c>
      <c r="I1119" s="598" t="s">
        <v>3309</v>
      </c>
      <c r="J1119" s="598" t="s">
        <v>3309</v>
      </c>
      <c r="K1119" s="598" t="s">
        <v>321</v>
      </c>
      <c r="L1119" s="598" t="s">
        <v>321</v>
      </c>
      <c r="M1119" s="598" t="s">
        <v>3309</v>
      </c>
      <c r="N1119" s="598" t="s">
        <v>3309</v>
      </c>
      <c r="O1119" s="598" t="s">
        <v>3309</v>
      </c>
      <c r="P1119" s="598" t="s">
        <v>3309</v>
      </c>
      <c r="Q1119" s="598" t="s">
        <v>3309</v>
      </c>
      <c r="R1119" s="598" t="s">
        <v>321</v>
      </c>
      <c r="S1119" s="598" t="s">
        <v>321</v>
      </c>
      <c r="T1119" s="598" t="s">
        <v>3309</v>
      </c>
      <c r="U1119" s="598" t="s">
        <v>3309</v>
      </c>
      <c r="V1119" s="598" t="s">
        <v>3309</v>
      </c>
      <c r="W1119" s="598" t="s">
        <v>3309</v>
      </c>
      <c r="X1119" s="598" t="s">
        <v>3309</v>
      </c>
      <c r="Y1119" s="598" t="s">
        <v>321</v>
      </c>
      <c r="Z1119" s="598" t="s">
        <v>321</v>
      </c>
      <c r="AA1119" s="598" t="s">
        <v>3309</v>
      </c>
      <c r="AB1119" s="598" t="s">
        <v>3309</v>
      </c>
      <c r="AC1119" s="598" t="s">
        <v>3309</v>
      </c>
      <c r="AD1119" s="598" t="s">
        <v>3309</v>
      </c>
      <c r="AE1119" s="598" t="s">
        <v>3309</v>
      </c>
      <c r="AF1119" s="598" t="s">
        <v>321</v>
      </c>
      <c r="AG1119" s="598" t="s">
        <v>321</v>
      </c>
      <c r="AH1119" s="598" t="s">
        <v>3309</v>
      </c>
      <c r="AI1119" s="598" t="s">
        <v>321</v>
      </c>
      <c r="AJ1119" s="599">
        <v>21</v>
      </c>
      <c r="AK1119" s="600">
        <v>21</v>
      </c>
      <c r="AL1119" s="601">
        <v>0</v>
      </c>
      <c r="AM1119" s="601">
        <v>0</v>
      </c>
      <c r="AN1119" s="599">
        <v>21</v>
      </c>
    </row>
    <row r="1120" spans="1:40" ht="16.5" customHeight="1">
      <c r="A1120" s="598" t="s">
        <v>3353</v>
      </c>
      <c r="B1120" s="598" t="s">
        <v>3359</v>
      </c>
      <c r="C1120" s="598" t="s">
        <v>2707</v>
      </c>
      <c r="D1120" s="598" t="s">
        <v>2708</v>
      </c>
      <c r="E1120" s="598" t="s">
        <v>321</v>
      </c>
      <c r="F1120" s="598" t="s">
        <v>3309</v>
      </c>
      <c r="G1120" s="598" t="s">
        <v>3309</v>
      </c>
      <c r="H1120" s="598" t="s">
        <v>3309</v>
      </c>
      <c r="I1120" s="598" t="s">
        <v>3309</v>
      </c>
      <c r="J1120" s="598" t="s">
        <v>3309</v>
      </c>
      <c r="K1120" s="598" t="s">
        <v>321</v>
      </c>
      <c r="L1120" s="598" t="s">
        <v>321</v>
      </c>
      <c r="M1120" s="598" t="s">
        <v>3309</v>
      </c>
      <c r="N1120" s="598" t="s">
        <v>3309</v>
      </c>
      <c r="O1120" s="598" t="s">
        <v>3309</v>
      </c>
      <c r="P1120" s="598" t="s">
        <v>3309</v>
      </c>
      <c r="Q1120" s="598" t="s">
        <v>3309</v>
      </c>
      <c r="R1120" s="598" t="s">
        <v>321</v>
      </c>
      <c r="S1120" s="598" t="s">
        <v>321</v>
      </c>
      <c r="T1120" s="598" t="s">
        <v>3309</v>
      </c>
      <c r="U1120" s="598" t="s">
        <v>3309</v>
      </c>
      <c r="V1120" s="598" t="s">
        <v>3309</v>
      </c>
      <c r="W1120" s="598" t="s">
        <v>3309</v>
      </c>
      <c r="X1120" s="598" t="s">
        <v>3309</v>
      </c>
      <c r="Y1120" s="598" t="s">
        <v>321</v>
      </c>
      <c r="Z1120" s="598" t="s">
        <v>321</v>
      </c>
      <c r="AA1120" s="598" t="s">
        <v>3309</v>
      </c>
      <c r="AB1120" s="598" t="s">
        <v>3309</v>
      </c>
      <c r="AC1120" s="598" t="s">
        <v>3309</v>
      </c>
      <c r="AD1120" s="598" t="s">
        <v>3309</v>
      </c>
      <c r="AE1120" s="598" t="s">
        <v>3309</v>
      </c>
      <c r="AF1120" s="598" t="s">
        <v>321</v>
      </c>
      <c r="AG1120" s="598" t="s">
        <v>321</v>
      </c>
      <c r="AH1120" s="598" t="s">
        <v>3309</v>
      </c>
      <c r="AI1120" s="598" t="s">
        <v>321</v>
      </c>
      <c r="AJ1120" s="599">
        <v>21</v>
      </c>
      <c r="AK1120" s="600">
        <v>21</v>
      </c>
      <c r="AL1120" s="601">
        <v>0</v>
      </c>
      <c r="AM1120" s="601">
        <v>0</v>
      </c>
      <c r="AN1120" s="599">
        <v>21</v>
      </c>
    </row>
    <row r="1121" spans="1:40" ht="16.5" customHeight="1">
      <c r="A1121" s="598" t="s">
        <v>3353</v>
      </c>
      <c r="B1121" s="598" t="s">
        <v>3359</v>
      </c>
      <c r="C1121" s="598" t="s">
        <v>1974</v>
      </c>
      <c r="D1121" s="598" t="s">
        <v>1975</v>
      </c>
      <c r="E1121" s="598" t="s">
        <v>321</v>
      </c>
      <c r="F1121" s="598" t="s">
        <v>3309</v>
      </c>
      <c r="G1121" s="598" t="s">
        <v>3309</v>
      </c>
      <c r="H1121" s="598" t="s">
        <v>3309</v>
      </c>
      <c r="I1121" s="598" t="s">
        <v>3309</v>
      </c>
      <c r="J1121" s="598" t="s">
        <v>3309</v>
      </c>
      <c r="K1121" s="598" t="s">
        <v>321</v>
      </c>
      <c r="L1121" s="598" t="s">
        <v>321</v>
      </c>
      <c r="M1121" s="598" t="s">
        <v>3309</v>
      </c>
      <c r="N1121" s="598" t="s">
        <v>3309</v>
      </c>
      <c r="O1121" s="598" t="s">
        <v>3309</v>
      </c>
      <c r="P1121" s="598" t="s">
        <v>3312</v>
      </c>
      <c r="Q1121" s="598" t="s">
        <v>3312</v>
      </c>
      <c r="R1121" s="598" t="s">
        <v>321</v>
      </c>
      <c r="S1121" s="598" t="s">
        <v>321</v>
      </c>
      <c r="T1121" s="598" t="s">
        <v>3309</v>
      </c>
      <c r="U1121" s="598" t="s">
        <v>3309</v>
      </c>
      <c r="V1121" s="598" t="s">
        <v>3309</v>
      </c>
      <c r="W1121" s="598" t="s">
        <v>3309</v>
      </c>
      <c r="X1121" s="598" t="s">
        <v>3309</v>
      </c>
      <c r="Y1121" s="598" t="s">
        <v>321</v>
      </c>
      <c r="Z1121" s="598" t="s">
        <v>321</v>
      </c>
      <c r="AA1121" s="598" t="s">
        <v>3309</v>
      </c>
      <c r="AB1121" s="598" t="s">
        <v>3309</v>
      </c>
      <c r="AC1121" s="598" t="s">
        <v>3309</v>
      </c>
      <c r="AD1121" s="598" t="s">
        <v>3309</v>
      </c>
      <c r="AE1121" s="598" t="s">
        <v>3309</v>
      </c>
      <c r="AF1121" s="598" t="s">
        <v>321</v>
      </c>
      <c r="AG1121" s="598" t="s">
        <v>321</v>
      </c>
      <c r="AH1121" s="598" t="s">
        <v>3309</v>
      </c>
      <c r="AI1121" s="598" t="s">
        <v>321</v>
      </c>
      <c r="AJ1121" s="599">
        <v>21</v>
      </c>
      <c r="AK1121" s="600">
        <v>19</v>
      </c>
      <c r="AL1121" s="602">
        <v>2</v>
      </c>
      <c r="AM1121" s="601">
        <v>0</v>
      </c>
      <c r="AN1121" s="599">
        <v>21</v>
      </c>
    </row>
    <row r="1122" spans="1:40" ht="16.5" customHeight="1">
      <c r="A1122" s="598" t="s">
        <v>3353</v>
      </c>
      <c r="B1122" s="598" t="s">
        <v>3359</v>
      </c>
      <c r="C1122" s="598" t="s">
        <v>1314</v>
      </c>
      <c r="D1122" s="598" t="s">
        <v>1315</v>
      </c>
      <c r="E1122" s="598" t="s">
        <v>321</v>
      </c>
      <c r="F1122" s="598" t="s">
        <v>3309</v>
      </c>
      <c r="G1122" s="598" t="s">
        <v>3309</v>
      </c>
      <c r="H1122" s="598" t="s">
        <v>3309</v>
      </c>
      <c r="I1122" s="598" t="s">
        <v>3309</v>
      </c>
      <c r="J1122" s="598" t="s">
        <v>3309</v>
      </c>
      <c r="K1122" s="598" t="s">
        <v>321</v>
      </c>
      <c r="L1122" s="598" t="s">
        <v>321</v>
      </c>
      <c r="M1122" s="598" t="s">
        <v>3309</v>
      </c>
      <c r="N1122" s="598" t="s">
        <v>3309</v>
      </c>
      <c r="O1122" s="598" t="s">
        <v>3309</v>
      </c>
      <c r="P1122" s="598" t="s">
        <v>3309</v>
      </c>
      <c r="Q1122" s="598" t="s">
        <v>3309</v>
      </c>
      <c r="R1122" s="598" t="s">
        <v>321</v>
      </c>
      <c r="S1122" s="598" t="s">
        <v>321</v>
      </c>
      <c r="T1122" s="598" t="s">
        <v>3309</v>
      </c>
      <c r="U1122" s="598" t="s">
        <v>3309</v>
      </c>
      <c r="V1122" s="598" t="s">
        <v>3309</v>
      </c>
      <c r="W1122" s="598" t="s">
        <v>3309</v>
      </c>
      <c r="X1122" s="598" t="s">
        <v>3309</v>
      </c>
      <c r="Y1122" s="598" t="s">
        <v>321</v>
      </c>
      <c r="Z1122" s="598" t="s">
        <v>321</v>
      </c>
      <c r="AA1122" s="598" t="s">
        <v>3309</v>
      </c>
      <c r="AB1122" s="598" t="s">
        <v>3309</v>
      </c>
      <c r="AC1122" s="598" t="s">
        <v>3309</v>
      </c>
      <c r="AD1122" s="598" t="s">
        <v>3309</v>
      </c>
      <c r="AE1122" s="598" t="s">
        <v>3309</v>
      </c>
      <c r="AF1122" s="598" t="s">
        <v>321</v>
      </c>
      <c r="AG1122" s="598" t="s">
        <v>321</v>
      </c>
      <c r="AH1122" s="598" t="s">
        <v>3309</v>
      </c>
      <c r="AI1122" s="598" t="s">
        <v>321</v>
      </c>
      <c r="AJ1122" s="599">
        <v>21</v>
      </c>
      <c r="AK1122" s="600">
        <v>21</v>
      </c>
      <c r="AL1122" s="601">
        <v>0</v>
      </c>
      <c r="AM1122" s="601">
        <v>0</v>
      </c>
      <c r="AN1122" s="599">
        <v>21</v>
      </c>
    </row>
    <row r="1123" spans="1:40" ht="16.5" customHeight="1">
      <c r="A1123" s="598" t="s">
        <v>3353</v>
      </c>
      <c r="B1123" s="598" t="s">
        <v>3359</v>
      </c>
      <c r="C1123" s="598" t="s">
        <v>2228</v>
      </c>
      <c r="D1123" s="598" t="s">
        <v>406</v>
      </c>
      <c r="E1123" s="598" t="s">
        <v>321</v>
      </c>
      <c r="F1123" s="598" t="s">
        <v>3309</v>
      </c>
      <c r="G1123" s="598" t="s">
        <v>3309</v>
      </c>
      <c r="H1123" s="598" t="s">
        <v>3309</v>
      </c>
      <c r="I1123" s="598" t="s">
        <v>3309</v>
      </c>
      <c r="J1123" s="598" t="s">
        <v>3309</v>
      </c>
      <c r="K1123" s="598" t="s">
        <v>321</v>
      </c>
      <c r="L1123" s="598" t="s">
        <v>321</v>
      </c>
      <c r="M1123" s="598" t="s">
        <v>3309</v>
      </c>
      <c r="N1123" s="598" t="s">
        <v>3309</v>
      </c>
      <c r="O1123" s="598" t="s">
        <v>3309</v>
      </c>
      <c r="P1123" s="598" t="s">
        <v>3309</v>
      </c>
      <c r="Q1123" s="598" t="s">
        <v>3309</v>
      </c>
      <c r="R1123" s="598" t="s">
        <v>321</v>
      </c>
      <c r="S1123" s="598" t="s">
        <v>321</v>
      </c>
      <c r="T1123" s="598" t="s">
        <v>3309</v>
      </c>
      <c r="U1123" s="598" t="s">
        <v>3309</v>
      </c>
      <c r="V1123" s="598" t="s">
        <v>3309</v>
      </c>
      <c r="W1123" s="598" t="s">
        <v>3309</v>
      </c>
      <c r="X1123" s="598" t="s">
        <v>3309</v>
      </c>
      <c r="Y1123" s="598" t="s">
        <v>321</v>
      </c>
      <c r="Z1123" s="598" t="s">
        <v>321</v>
      </c>
      <c r="AA1123" s="598" t="s">
        <v>3309</v>
      </c>
      <c r="AB1123" s="598" t="s">
        <v>3309</v>
      </c>
      <c r="AC1123" s="598" t="s">
        <v>3309</v>
      </c>
      <c r="AD1123" s="598" t="s">
        <v>3309</v>
      </c>
      <c r="AE1123" s="598" t="s">
        <v>3309</v>
      </c>
      <c r="AF1123" s="598" t="s">
        <v>321</v>
      </c>
      <c r="AG1123" s="598" t="s">
        <v>321</v>
      </c>
      <c r="AH1123" s="598" t="s">
        <v>3309</v>
      </c>
      <c r="AI1123" s="598" t="s">
        <v>321</v>
      </c>
      <c r="AJ1123" s="599">
        <v>21</v>
      </c>
      <c r="AK1123" s="600">
        <v>21</v>
      </c>
      <c r="AL1123" s="601">
        <v>0</v>
      </c>
      <c r="AM1123" s="601">
        <v>0</v>
      </c>
      <c r="AN1123" s="599">
        <v>21</v>
      </c>
    </row>
    <row r="1124" spans="1:40" ht="16.5" customHeight="1">
      <c r="A1124" s="598" t="s">
        <v>3353</v>
      </c>
      <c r="B1124" s="598" t="s">
        <v>3359</v>
      </c>
      <c r="C1124" s="598" t="s">
        <v>2758</v>
      </c>
      <c r="D1124" s="598" t="s">
        <v>1217</v>
      </c>
      <c r="E1124" s="598" t="s">
        <v>321</v>
      </c>
      <c r="F1124" s="598" t="s">
        <v>3309</v>
      </c>
      <c r="G1124" s="598" t="s">
        <v>3309</v>
      </c>
      <c r="H1124" s="598" t="s">
        <v>3309</v>
      </c>
      <c r="I1124" s="598" t="s">
        <v>3309</v>
      </c>
      <c r="J1124" s="598" t="s">
        <v>3312</v>
      </c>
      <c r="K1124" s="598" t="s">
        <v>321</v>
      </c>
      <c r="L1124" s="598" t="s">
        <v>321</v>
      </c>
      <c r="M1124" s="598" t="s">
        <v>3312</v>
      </c>
      <c r="N1124" s="598" t="s">
        <v>3309</v>
      </c>
      <c r="O1124" s="598" t="s">
        <v>3309</v>
      </c>
      <c r="P1124" s="598" t="s">
        <v>3309</v>
      </c>
      <c r="Q1124" s="598" t="s">
        <v>3309</v>
      </c>
      <c r="R1124" s="598" t="s">
        <v>321</v>
      </c>
      <c r="S1124" s="598" t="s">
        <v>321</v>
      </c>
      <c r="T1124" s="598" t="s">
        <v>3309</v>
      </c>
      <c r="U1124" s="598" t="s">
        <v>3309</v>
      </c>
      <c r="V1124" s="598" t="s">
        <v>3309</v>
      </c>
      <c r="W1124" s="598" t="s">
        <v>3309</v>
      </c>
      <c r="X1124" s="598" t="s">
        <v>3309</v>
      </c>
      <c r="Y1124" s="598" t="s">
        <v>321</v>
      </c>
      <c r="Z1124" s="598" t="s">
        <v>321</v>
      </c>
      <c r="AA1124" s="598" t="s">
        <v>3309</v>
      </c>
      <c r="AB1124" s="598" t="s">
        <v>3309</v>
      </c>
      <c r="AC1124" s="598" t="s">
        <v>3309</v>
      </c>
      <c r="AD1124" s="598" t="s">
        <v>3309</v>
      </c>
      <c r="AE1124" s="598" t="s">
        <v>3309</v>
      </c>
      <c r="AF1124" s="598" t="s">
        <v>321</v>
      </c>
      <c r="AG1124" s="598" t="s">
        <v>321</v>
      </c>
      <c r="AH1124" s="598" t="s">
        <v>3309</v>
      </c>
      <c r="AI1124" s="598" t="s">
        <v>321</v>
      </c>
      <c r="AJ1124" s="599">
        <v>21</v>
      </c>
      <c r="AK1124" s="600">
        <v>19</v>
      </c>
      <c r="AL1124" s="602">
        <v>2</v>
      </c>
      <c r="AM1124" s="601">
        <v>0</v>
      </c>
      <c r="AN1124" s="599">
        <v>21</v>
      </c>
    </row>
    <row r="1125" spans="1:40" ht="16.5" customHeight="1">
      <c r="A1125" s="598" t="s">
        <v>3353</v>
      </c>
      <c r="B1125" s="598" t="s">
        <v>3359</v>
      </c>
      <c r="C1125" s="598" t="s">
        <v>1359</v>
      </c>
      <c r="D1125" s="598" t="s">
        <v>1360</v>
      </c>
      <c r="E1125" s="598" t="s">
        <v>321</v>
      </c>
      <c r="F1125" s="598" t="s">
        <v>3309</v>
      </c>
      <c r="G1125" s="598" t="s">
        <v>3309</v>
      </c>
      <c r="H1125" s="598" t="s">
        <v>3309</v>
      </c>
      <c r="I1125" s="598" t="s">
        <v>3314</v>
      </c>
      <c r="J1125" s="598" t="s">
        <v>3312</v>
      </c>
      <c r="K1125" s="598" t="s">
        <v>321</v>
      </c>
      <c r="L1125" s="598" t="s">
        <v>321</v>
      </c>
      <c r="M1125" s="598" t="s">
        <v>3309</v>
      </c>
      <c r="N1125" s="598" t="s">
        <v>3309</v>
      </c>
      <c r="O1125" s="598" t="s">
        <v>3309</v>
      </c>
      <c r="P1125" s="598" t="s">
        <v>3309</v>
      </c>
      <c r="Q1125" s="598" t="s">
        <v>3309</v>
      </c>
      <c r="R1125" s="598" t="s">
        <v>321</v>
      </c>
      <c r="S1125" s="598" t="s">
        <v>321</v>
      </c>
      <c r="T1125" s="598" t="s">
        <v>3309</v>
      </c>
      <c r="U1125" s="598" t="s">
        <v>3309</v>
      </c>
      <c r="V1125" s="598" t="s">
        <v>3309</v>
      </c>
      <c r="W1125" s="598" t="s">
        <v>3309</v>
      </c>
      <c r="X1125" s="598" t="s">
        <v>3309</v>
      </c>
      <c r="Y1125" s="598" t="s">
        <v>321</v>
      </c>
      <c r="Z1125" s="598" t="s">
        <v>321</v>
      </c>
      <c r="AA1125" s="598" t="s">
        <v>3309</v>
      </c>
      <c r="AB1125" s="598" t="s">
        <v>3309</v>
      </c>
      <c r="AC1125" s="598" t="s">
        <v>3309</v>
      </c>
      <c r="AD1125" s="598" t="s">
        <v>3309</v>
      </c>
      <c r="AE1125" s="598" t="s">
        <v>3309</v>
      </c>
      <c r="AF1125" s="598" t="s">
        <v>321</v>
      </c>
      <c r="AG1125" s="598" t="s">
        <v>321</v>
      </c>
      <c r="AH1125" s="598" t="s">
        <v>3309</v>
      </c>
      <c r="AI1125" s="598" t="s">
        <v>321</v>
      </c>
      <c r="AJ1125" s="599">
        <v>21</v>
      </c>
      <c r="AK1125" s="603">
        <v>19.5</v>
      </c>
      <c r="AL1125" s="603">
        <v>1.5</v>
      </c>
      <c r="AM1125" s="601">
        <v>0</v>
      </c>
      <c r="AN1125" s="599">
        <v>21</v>
      </c>
    </row>
    <row r="1126" spans="1:40" ht="16.5" customHeight="1">
      <c r="A1126" s="598" t="s">
        <v>3353</v>
      </c>
      <c r="B1126" s="598" t="s">
        <v>3359</v>
      </c>
      <c r="C1126" s="598" t="s">
        <v>2528</v>
      </c>
      <c r="D1126" s="598" t="s">
        <v>1967</v>
      </c>
      <c r="E1126" s="598" t="s">
        <v>321</v>
      </c>
      <c r="F1126" s="598" t="s">
        <v>3309</v>
      </c>
      <c r="G1126" s="598" t="s">
        <v>3309</v>
      </c>
      <c r="H1126" s="598" t="s">
        <v>3309</v>
      </c>
      <c r="I1126" s="598" t="s">
        <v>3309</v>
      </c>
      <c r="J1126" s="598" t="s">
        <v>3309</v>
      </c>
      <c r="K1126" s="598" t="s">
        <v>321</v>
      </c>
      <c r="L1126" s="598" t="s">
        <v>321</v>
      </c>
      <c r="M1126" s="598" t="s">
        <v>3309</v>
      </c>
      <c r="N1126" s="598" t="s">
        <v>3309</v>
      </c>
      <c r="O1126" s="598" t="s">
        <v>3309</v>
      </c>
      <c r="P1126" s="598" t="s">
        <v>3309</v>
      </c>
      <c r="Q1126" s="598" t="s">
        <v>3309</v>
      </c>
      <c r="R1126" s="598" t="s">
        <v>321</v>
      </c>
      <c r="S1126" s="598" t="s">
        <v>321</v>
      </c>
      <c r="T1126" s="598" t="s">
        <v>3309</v>
      </c>
      <c r="U1126" s="598" t="s">
        <v>3309</v>
      </c>
      <c r="V1126" s="598" t="s">
        <v>3309</v>
      </c>
      <c r="W1126" s="598" t="s">
        <v>3309</v>
      </c>
      <c r="X1126" s="598" t="s">
        <v>3309</v>
      </c>
      <c r="Y1126" s="598" t="s">
        <v>321</v>
      </c>
      <c r="Z1126" s="598" t="s">
        <v>321</v>
      </c>
      <c r="AA1126" s="598" t="s">
        <v>3309</v>
      </c>
      <c r="AB1126" s="598" t="s">
        <v>3309</v>
      </c>
      <c r="AC1126" s="598" t="s">
        <v>3309</v>
      </c>
      <c r="AD1126" s="598" t="s">
        <v>3309</v>
      </c>
      <c r="AE1126" s="598" t="s">
        <v>3309</v>
      </c>
      <c r="AF1126" s="598" t="s">
        <v>321</v>
      </c>
      <c r="AG1126" s="598" t="s">
        <v>321</v>
      </c>
      <c r="AH1126" s="598" t="s">
        <v>3309</v>
      </c>
      <c r="AI1126" s="598" t="s">
        <v>321</v>
      </c>
      <c r="AJ1126" s="599">
        <v>21</v>
      </c>
      <c r="AK1126" s="600">
        <v>21</v>
      </c>
      <c r="AL1126" s="601">
        <v>0</v>
      </c>
      <c r="AM1126" s="601">
        <v>0</v>
      </c>
      <c r="AN1126" s="599">
        <v>21</v>
      </c>
    </row>
    <row r="1127" spans="1:40" ht="16.5" customHeight="1">
      <c r="A1127" s="598" t="s">
        <v>3353</v>
      </c>
      <c r="B1127" s="598" t="s">
        <v>3359</v>
      </c>
      <c r="C1127" s="598" t="s">
        <v>2338</v>
      </c>
      <c r="D1127" s="598" t="s">
        <v>2339</v>
      </c>
      <c r="E1127" s="598" t="s">
        <v>321</v>
      </c>
      <c r="F1127" s="598" t="s">
        <v>3309</v>
      </c>
      <c r="G1127" s="598" t="s">
        <v>3309</v>
      </c>
      <c r="H1127" s="598" t="s">
        <v>3309</v>
      </c>
      <c r="I1127" s="598" t="s">
        <v>3309</v>
      </c>
      <c r="J1127" s="598" t="s">
        <v>3309</v>
      </c>
      <c r="K1127" s="598" t="s">
        <v>321</v>
      </c>
      <c r="L1127" s="598" t="s">
        <v>321</v>
      </c>
      <c r="M1127" s="598" t="s">
        <v>3309</v>
      </c>
      <c r="N1127" s="598" t="s">
        <v>3309</v>
      </c>
      <c r="O1127" s="598" t="s">
        <v>3309</v>
      </c>
      <c r="P1127" s="598" t="s">
        <v>3309</v>
      </c>
      <c r="Q1127" s="598" t="s">
        <v>3309</v>
      </c>
      <c r="R1127" s="598" t="s">
        <v>321</v>
      </c>
      <c r="S1127" s="598" t="s">
        <v>321</v>
      </c>
      <c r="T1127" s="598" t="s">
        <v>3309</v>
      </c>
      <c r="U1127" s="598" t="s">
        <v>3309</v>
      </c>
      <c r="V1127" s="598" t="s">
        <v>3309</v>
      </c>
      <c r="W1127" s="598" t="s">
        <v>3309</v>
      </c>
      <c r="X1127" s="598" t="s">
        <v>3309</v>
      </c>
      <c r="Y1127" s="598" t="s">
        <v>321</v>
      </c>
      <c r="Z1127" s="598" t="s">
        <v>321</v>
      </c>
      <c r="AA1127" s="598" t="s">
        <v>3309</v>
      </c>
      <c r="AB1127" s="598" t="s">
        <v>3309</v>
      </c>
      <c r="AC1127" s="598" t="s">
        <v>3309</v>
      </c>
      <c r="AD1127" s="598" t="s">
        <v>3309</v>
      </c>
      <c r="AE1127" s="598" t="s">
        <v>3309</v>
      </c>
      <c r="AF1127" s="598" t="s">
        <v>321</v>
      </c>
      <c r="AG1127" s="598" t="s">
        <v>321</v>
      </c>
      <c r="AH1127" s="598" t="s">
        <v>3309</v>
      </c>
      <c r="AI1127" s="598" t="s">
        <v>321</v>
      </c>
      <c r="AJ1127" s="599">
        <v>21</v>
      </c>
      <c r="AK1127" s="600">
        <v>21</v>
      </c>
      <c r="AL1127" s="601">
        <v>0</v>
      </c>
      <c r="AM1127" s="601">
        <v>0</v>
      </c>
      <c r="AN1127" s="599">
        <v>21</v>
      </c>
    </row>
    <row r="1128" spans="1:40" ht="16.5" customHeight="1">
      <c r="A1128" s="598" t="s">
        <v>3353</v>
      </c>
      <c r="B1128" s="598" t="s">
        <v>3359</v>
      </c>
      <c r="C1128" s="598" t="s">
        <v>2817</v>
      </c>
      <c r="D1128" s="598" t="s">
        <v>2706</v>
      </c>
      <c r="E1128" s="598" t="s">
        <v>321</v>
      </c>
      <c r="F1128" s="598" t="s">
        <v>3309</v>
      </c>
      <c r="G1128" s="598" t="s">
        <v>3309</v>
      </c>
      <c r="H1128" s="598" t="s">
        <v>3309</v>
      </c>
      <c r="I1128" s="598" t="s">
        <v>3309</v>
      </c>
      <c r="J1128" s="598" t="s">
        <v>3309</v>
      </c>
      <c r="K1128" s="598" t="s">
        <v>321</v>
      </c>
      <c r="L1128" s="598" t="s">
        <v>321</v>
      </c>
      <c r="M1128" s="598" t="s">
        <v>3309</v>
      </c>
      <c r="N1128" s="598" t="s">
        <v>3309</v>
      </c>
      <c r="O1128" s="598" t="s">
        <v>3309</v>
      </c>
      <c r="P1128" s="598" t="s">
        <v>3309</v>
      </c>
      <c r="Q1128" s="598" t="s">
        <v>3309</v>
      </c>
      <c r="R1128" s="598" t="s">
        <v>321</v>
      </c>
      <c r="S1128" s="598" t="s">
        <v>321</v>
      </c>
      <c r="T1128" s="598" t="s">
        <v>3309</v>
      </c>
      <c r="U1128" s="598" t="s">
        <v>3309</v>
      </c>
      <c r="V1128" s="598" t="s">
        <v>3309</v>
      </c>
      <c r="W1128" s="598" t="s">
        <v>3309</v>
      </c>
      <c r="X1128" s="598" t="s">
        <v>3309</v>
      </c>
      <c r="Y1128" s="598" t="s">
        <v>321</v>
      </c>
      <c r="Z1128" s="598" t="s">
        <v>321</v>
      </c>
      <c r="AA1128" s="598" t="s">
        <v>3309</v>
      </c>
      <c r="AB1128" s="598" t="s">
        <v>3309</v>
      </c>
      <c r="AC1128" s="598" t="s">
        <v>3309</v>
      </c>
      <c r="AD1128" s="598" t="s">
        <v>3309</v>
      </c>
      <c r="AE1128" s="598" t="s">
        <v>3309</v>
      </c>
      <c r="AF1128" s="598" t="s">
        <v>321</v>
      </c>
      <c r="AG1128" s="598" t="s">
        <v>321</v>
      </c>
      <c r="AH1128" s="598" t="s">
        <v>3309</v>
      </c>
      <c r="AI1128" s="598" t="s">
        <v>321</v>
      </c>
      <c r="AJ1128" s="599">
        <v>21</v>
      </c>
      <c r="AK1128" s="600">
        <v>21</v>
      </c>
      <c r="AL1128" s="601">
        <v>0</v>
      </c>
      <c r="AM1128" s="601">
        <v>0</v>
      </c>
      <c r="AN1128" s="599">
        <v>21</v>
      </c>
    </row>
    <row r="1129" spans="1:40" ht="16.5" customHeight="1">
      <c r="A1129" s="598" t="s">
        <v>3353</v>
      </c>
      <c r="B1129" s="598" t="s">
        <v>3359</v>
      </c>
      <c r="C1129" s="598" t="s">
        <v>2674</v>
      </c>
      <c r="D1129" s="598" t="s">
        <v>2675</v>
      </c>
      <c r="E1129" s="598" t="s">
        <v>321</v>
      </c>
      <c r="F1129" s="598" t="s">
        <v>3309</v>
      </c>
      <c r="G1129" s="598" t="s">
        <v>3309</v>
      </c>
      <c r="H1129" s="598" t="s">
        <v>3309</v>
      </c>
      <c r="I1129" s="598" t="s">
        <v>3309</v>
      </c>
      <c r="J1129" s="598" t="s">
        <v>3309</v>
      </c>
      <c r="K1129" s="598" t="s">
        <v>321</v>
      </c>
      <c r="L1129" s="598" t="s">
        <v>321</v>
      </c>
      <c r="M1129" s="598" t="s">
        <v>3309</v>
      </c>
      <c r="N1129" s="598" t="s">
        <v>3309</v>
      </c>
      <c r="O1129" s="598" t="s">
        <v>3309</v>
      </c>
      <c r="P1129" s="598" t="s">
        <v>3309</v>
      </c>
      <c r="Q1129" s="598" t="s">
        <v>3309</v>
      </c>
      <c r="R1129" s="598" t="s">
        <v>321</v>
      </c>
      <c r="S1129" s="598" t="s">
        <v>321</v>
      </c>
      <c r="T1129" s="598" t="s">
        <v>3309</v>
      </c>
      <c r="U1129" s="598" t="s">
        <v>3309</v>
      </c>
      <c r="V1129" s="598" t="s">
        <v>3309</v>
      </c>
      <c r="W1129" s="598" t="s">
        <v>3309</v>
      </c>
      <c r="X1129" s="598" t="s">
        <v>3309</v>
      </c>
      <c r="Y1129" s="598" t="s">
        <v>321</v>
      </c>
      <c r="Z1129" s="598" t="s">
        <v>321</v>
      </c>
      <c r="AA1129" s="598" t="s">
        <v>3309</v>
      </c>
      <c r="AB1129" s="598" t="s">
        <v>3309</v>
      </c>
      <c r="AC1129" s="598" t="s">
        <v>3309</v>
      </c>
      <c r="AD1129" s="598" t="s">
        <v>3309</v>
      </c>
      <c r="AE1129" s="598" t="s">
        <v>3312</v>
      </c>
      <c r="AF1129" s="598" t="s">
        <v>321</v>
      </c>
      <c r="AG1129" s="598" t="s">
        <v>321</v>
      </c>
      <c r="AH1129" s="598" t="s">
        <v>3309</v>
      </c>
      <c r="AI1129" s="598" t="s">
        <v>321</v>
      </c>
      <c r="AJ1129" s="599">
        <v>21</v>
      </c>
      <c r="AK1129" s="600">
        <v>20</v>
      </c>
      <c r="AL1129" s="602">
        <v>1</v>
      </c>
      <c r="AM1129" s="601">
        <v>0</v>
      </c>
      <c r="AN1129" s="599">
        <v>21</v>
      </c>
    </row>
    <row r="1130" spans="1:40" ht="16.5" customHeight="1">
      <c r="A1130" s="598" t="s">
        <v>3353</v>
      </c>
      <c r="B1130" s="598" t="s">
        <v>3359</v>
      </c>
      <c r="C1130" s="598" t="s">
        <v>2303</v>
      </c>
      <c r="D1130" s="598" t="s">
        <v>2304</v>
      </c>
      <c r="E1130" s="598" t="s">
        <v>321</v>
      </c>
      <c r="F1130" s="598" t="s">
        <v>3309</v>
      </c>
      <c r="G1130" s="598" t="s">
        <v>3309</v>
      </c>
      <c r="H1130" s="598" t="s">
        <v>3309</v>
      </c>
      <c r="I1130" s="598" t="s">
        <v>3309</v>
      </c>
      <c r="J1130" s="598" t="s">
        <v>3309</v>
      </c>
      <c r="K1130" s="598" t="s">
        <v>321</v>
      </c>
      <c r="L1130" s="598" t="s">
        <v>321</v>
      </c>
      <c r="M1130" s="598" t="s">
        <v>3309</v>
      </c>
      <c r="N1130" s="598" t="s">
        <v>3309</v>
      </c>
      <c r="O1130" s="598" t="s">
        <v>3309</v>
      </c>
      <c r="P1130" s="598" t="s">
        <v>3309</v>
      </c>
      <c r="Q1130" s="598" t="s">
        <v>3309</v>
      </c>
      <c r="R1130" s="598" t="s">
        <v>321</v>
      </c>
      <c r="S1130" s="598" t="s">
        <v>321</v>
      </c>
      <c r="T1130" s="598" t="s">
        <v>3309</v>
      </c>
      <c r="U1130" s="598" t="s">
        <v>3309</v>
      </c>
      <c r="V1130" s="598" t="s">
        <v>3309</v>
      </c>
      <c r="W1130" s="598" t="s">
        <v>3309</v>
      </c>
      <c r="X1130" s="598" t="s">
        <v>3309</v>
      </c>
      <c r="Y1130" s="598" t="s">
        <v>321</v>
      </c>
      <c r="Z1130" s="598" t="s">
        <v>321</v>
      </c>
      <c r="AA1130" s="598" t="s">
        <v>3309</v>
      </c>
      <c r="AB1130" s="598" t="s">
        <v>3309</v>
      </c>
      <c r="AC1130" s="598" t="s">
        <v>3309</v>
      </c>
      <c r="AD1130" s="598" t="s">
        <v>3309</v>
      </c>
      <c r="AE1130" s="598" t="s">
        <v>3309</v>
      </c>
      <c r="AF1130" s="598" t="s">
        <v>321</v>
      </c>
      <c r="AG1130" s="598" t="s">
        <v>321</v>
      </c>
      <c r="AH1130" s="598" t="s">
        <v>3312</v>
      </c>
      <c r="AI1130" s="598" t="s">
        <v>321</v>
      </c>
      <c r="AJ1130" s="599">
        <v>21</v>
      </c>
      <c r="AK1130" s="600">
        <v>20</v>
      </c>
      <c r="AL1130" s="602">
        <v>1</v>
      </c>
      <c r="AM1130" s="601">
        <v>0</v>
      </c>
      <c r="AN1130" s="599">
        <v>21</v>
      </c>
    </row>
    <row r="1131" spans="1:40" ht="16.5" customHeight="1">
      <c r="A1131" s="598" t="s">
        <v>3353</v>
      </c>
      <c r="B1131" s="598" t="s">
        <v>3359</v>
      </c>
      <c r="C1131" s="598" t="s">
        <v>2336</v>
      </c>
      <c r="D1131" s="598" t="s">
        <v>2337</v>
      </c>
      <c r="E1131" s="598" t="s">
        <v>321</v>
      </c>
      <c r="F1131" s="598" t="s">
        <v>3309</v>
      </c>
      <c r="G1131" s="598" t="s">
        <v>3309</v>
      </c>
      <c r="H1131" s="598" t="s">
        <v>3309</v>
      </c>
      <c r="I1131" s="598" t="s">
        <v>3309</v>
      </c>
      <c r="J1131" s="598" t="s">
        <v>3309</v>
      </c>
      <c r="K1131" s="598" t="s">
        <v>321</v>
      </c>
      <c r="L1131" s="598" t="s">
        <v>321</v>
      </c>
      <c r="M1131" s="598" t="s">
        <v>3309</v>
      </c>
      <c r="N1131" s="598" t="s">
        <v>3309</v>
      </c>
      <c r="O1131" s="598" t="s">
        <v>3309</v>
      </c>
      <c r="P1131" s="598" t="s">
        <v>3309</v>
      </c>
      <c r="Q1131" s="598" t="s">
        <v>3309</v>
      </c>
      <c r="R1131" s="598" t="s">
        <v>321</v>
      </c>
      <c r="S1131" s="598" t="s">
        <v>321</v>
      </c>
      <c r="T1131" s="598" t="s">
        <v>3309</v>
      </c>
      <c r="U1131" s="598" t="s">
        <v>3309</v>
      </c>
      <c r="V1131" s="598" t="s">
        <v>3309</v>
      </c>
      <c r="W1131" s="598" t="s">
        <v>3309</v>
      </c>
      <c r="X1131" s="598" t="s">
        <v>3309</v>
      </c>
      <c r="Y1131" s="598" t="s">
        <v>321</v>
      </c>
      <c r="Z1131" s="598" t="s">
        <v>321</v>
      </c>
      <c r="AA1131" s="598" t="s">
        <v>3309</v>
      </c>
      <c r="AB1131" s="598" t="s">
        <v>3309</v>
      </c>
      <c r="AC1131" s="598" t="s">
        <v>3309</v>
      </c>
      <c r="AD1131" s="598" t="s">
        <v>3309</v>
      </c>
      <c r="AE1131" s="598" t="s">
        <v>3309</v>
      </c>
      <c r="AF1131" s="598" t="s">
        <v>321</v>
      </c>
      <c r="AG1131" s="598" t="s">
        <v>321</v>
      </c>
      <c r="AH1131" s="598" t="s">
        <v>3309</v>
      </c>
      <c r="AI1131" s="598" t="s">
        <v>321</v>
      </c>
      <c r="AJ1131" s="599">
        <v>21</v>
      </c>
      <c r="AK1131" s="600">
        <v>21</v>
      </c>
      <c r="AL1131" s="601">
        <v>0</v>
      </c>
      <c r="AM1131" s="601">
        <v>0</v>
      </c>
      <c r="AN1131" s="599">
        <v>21</v>
      </c>
    </row>
    <row r="1132" spans="1:40" ht="16.5" customHeight="1">
      <c r="A1132" s="598" t="s">
        <v>3353</v>
      </c>
      <c r="B1132" s="598" t="s">
        <v>3359</v>
      </c>
      <c r="C1132" s="598" t="s">
        <v>2354</v>
      </c>
      <c r="D1132" s="598" t="s">
        <v>2355</v>
      </c>
      <c r="E1132" s="598" t="s">
        <v>321</v>
      </c>
      <c r="F1132" s="598" t="s">
        <v>3309</v>
      </c>
      <c r="G1132" s="598" t="s">
        <v>3309</v>
      </c>
      <c r="H1132" s="598" t="s">
        <v>3309</v>
      </c>
      <c r="I1132" s="598" t="s">
        <v>3309</v>
      </c>
      <c r="J1132" s="598" t="s">
        <v>3309</v>
      </c>
      <c r="K1132" s="598" t="s">
        <v>321</v>
      </c>
      <c r="L1132" s="598" t="s">
        <v>321</v>
      </c>
      <c r="M1132" s="598" t="s">
        <v>3309</v>
      </c>
      <c r="N1132" s="598" t="s">
        <v>3309</v>
      </c>
      <c r="O1132" s="598" t="s">
        <v>3309</v>
      </c>
      <c r="P1132" s="598" t="s">
        <v>3309</v>
      </c>
      <c r="Q1132" s="598" t="s">
        <v>3309</v>
      </c>
      <c r="R1132" s="598" t="s">
        <v>321</v>
      </c>
      <c r="S1132" s="598" t="s">
        <v>321</v>
      </c>
      <c r="T1132" s="598" t="s">
        <v>3309</v>
      </c>
      <c r="U1132" s="598" t="s">
        <v>3309</v>
      </c>
      <c r="V1132" s="598" t="s">
        <v>3309</v>
      </c>
      <c r="W1132" s="598" t="s">
        <v>3309</v>
      </c>
      <c r="X1132" s="598" t="s">
        <v>3309</v>
      </c>
      <c r="Y1132" s="598" t="s">
        <v>321</v>
      </c>
      <c r="Z1132" s="598" t="s">
        <v>321</v>
      </c>
      <c r="AA1132" s="598" t="s">
        <v>3309</v>
      </c>
      <c r="AB1132" s="598" t="s">
        <v>3309</v>
      </c>
      <c r="AC1132" s="598" t="s">
        <v>3309</v>
      </c>
      <c r="AD1132" s="598" t="s">
        <v>3309</v>
      </c>
      <c r="AE1132" s="598" t="s">
        <v>3309</v>
      </c>
      <c r="AF1132" s="598" t="s">
        <v>321</v>
      </c>
      <c r="AG1132" s="598" t="s">
        <v>321</v>
      </c>
      <c r="AH1132" s="598" t="s">
        <v>3309</v>
      </c>
      <c r="AI1132" s="598" t="s">
        <v>321</v>
      </c>
      <c r="AJ1132" s="599">
        <v>21</v>
      </c>
      <c r="AK1132" s="600">
        <v>21</v>
      </c>
      <c r="AL1132" s="601">
        <v>0</v>
      </c>
      <c r="AM1132" s="601">
        <v>0</v>
      </c>
      <c r="AN1132" s="599">
        <v>21</v>
      </c>
    </row>
    <row r="1133" spans="1:40" ht="16.5" customHeight="1">
      <c r="A1133" s="598" t="s">
        <v>3353</v>
      </c>
      <c r="B1133" s="598" t="s">
        <v>3359</v>
      </c>
      <c r="C1133" s="598" t="s">
        <v>2590</v>
      </c>
      <c r="D1133" s="598" t="s">
        <v>2591</v>
      </c>
      <c r="E1133" s="598" t="s">
        <v>321</v>
      </c>
      <c r="F1133" s="598" t="s">
        <v>3309</v>
      </c>
      <c r="G1133" s="598" t="s">
        <v>3309</v>
      </c>
      <c r="H1133" s="598" t="s">
        <v>3309</v>
      </c>
      <c r="I1133" s="598" t="s">
        <v>3309</v>
      </c>
      <c r="J1133" s="598" t="s">
        <v>3309</v>
      </c>
      <c r="K1133" s="598" t="s">
        <v>321</v>
      </c>
      <c r="L1133" s="598" t="s">
        <v>321</v>
      </c>
      <c r="M1133" s="598" t="s">
        <v>3309</v>
      </c>
      <c r="N1133" s="598" t="s">
        <v>3309</v>
      </c>
      <c r="O1133" s="598" t="s">
        <v>3309</v>
      </c>
      <c r="P1133" s="598" t="s">
        <v>3309</v>
      </c>
      <c r="Q1133" s="598" t="s">
        <v>3309</v>
      </c>
      <c r="R1133" s="598" t="s">
        <v>321</v>
      </c>
      <c r="S1133" s="598" t="s">
        <v>321</v>
      </c>
      <c r="T1133" s="598" t="s">
        <v>3309</v>
      </c>
      <c r="U1133" s="598" t="s">
        <v>3309</v>
      </c>
      <c r="V1133" s="598" t="s">
        <v>3309</v>
      </c>
      <c r="W1133" s="598" t="s">
        <v>3309</v>
      </c>
      <c r="X1133" s="598" t="s">
        <v>3309</v>
      </c>
      <c r="Y1133" s="598" t="s">
        <v>321</v>
      </c>
      <c r="Z1133" s="598" t="s">
        <v>321</v>
      </c>
      <c r="AA1133" s="598" t="s">
        <v>3309</v>
      </c>
      <c r="AB1133" s="598" t="s">
        <v>3309</v>
      </c>
      <c r="AC1133" s="598" t="s">
        <v>3309</v>
      </c>
      <c r="AD1133" s="598" t="s">
        <v>3309</v>
      </c>
      <c r="AE1133" s="598" t="s">
        <v>3309</v>
      </c>
      <c r="AF1133" s="598" t="s">
        <v>321</v>
      </c>
      <c r="AG1133" s="598" t="s">
        <v>321</v>
      </c>
      <c r="AH1133" s="598" t="s">
        <v>3309</v>
      </c>
      <c r="AI1133" s="598" t="s">
        <v>321</v>
      </c>
      <c r="AJ1133" s="599">
        <v>21</v>
      </c>
      <c r="AK1133" s="600">
        <v>21</v>
      </c>
      <c r="AL1133" s="601">
        <v>0</v>
      </c>
      <c r="AM1133" s="601">
        <v>0</v>
      </c>
      <c r="AN1133" s="599">
        <v>21</v>
      </c>
    </row>
    <row r="1134" spans="1:40" ht="16.5" customHeight="1">
      <c r="A1134" s="598" t="s">
        <v>3353</v>
      </c>
      <c r="B1134" s="598" t="s">
        <v>3359</v>
      </c>
      <c r="C1134" s="598" t="s">
        <v>2419</v>
      </c>
      <c r="D1134" s="598" t="s">
        <v>2420</v>
      </c>
      <c r="E1134" s="598" t="s">
        <v>321</v>
      </c>
      <c r="F1134" s="598" t="s">
        <v>3309</v>
      </c>
      <c r="G1134" s="598" t="s">
        <v>3309</v>
      </c>
      <c r="H1134" s="598" t="s">
        <v>3309</v>
      </c>
      <c r="I1134" s="598" t="s">
        <v>3309</v>
      </c>
      <c r="J1134" s="598" t="s">
        <v>3309</v>
      </c>
      <c r="K1134" s="598" t="s">
        <v>321</v>
      </c>
      <c r="L1134" s="598" t="s">
        <v>321</v>
      </c>
      <c r="M1134" s="598" t="s">
        <v>3309</v>
      </c>
      <c r="N1134" s="598" t="s">
        <v>3309</v>
      </c>
      <c r="O1134" s="598" t="s">
        <v>3309</v>
      </c>
      <c r="P1134" s="598" t="s">
        <v>3309</v>
      </c>
      <c r="Q1134" s="598" t="s">
        <v>3309</v>
      </c>
      <c r="R1134" s="598" t="s">
        <v>321</v>
      </c>
      <c r="S1134" s="598" t="s">
        <v>321</v>
      </c>
      <c r="T1134" s="598" t="s">
        <v>3309</v>
      </c>
      <c r="U1134" s="598" t="s">
        <v>3309</v>
      </c>
      <c r="V1134" s="598" t="s">
        <v>3309</v>
      </c>
      <c r="W1134" s="598" t="s">
        <v>3309</v>
      </c>
      <c r="X1134" s="598" t="s">
        <v>3309</v>
      </c>
      <c r="Y1134" s="598" t="s">
        <v>321</v>
      </c>
      <c r="Z1134" s="598" t="s">
        <v>321</v>
      </c>
      <c r="AA1134" s="598" t="s">
        <v>3309</v>
      </c>
      <c r="AB1134" s="598" t="s">
        <v>3309</v>
      </c>
      <c r="AC1134" s="598" t="s">
        <v>3309</v>
      </c>
      <c r="AD1134" s="598" t="s">
        <v>3309</v>
      </c>
      <c r="AE1134" s="598" t="s">
        <v>3309</v>
      </c>
      <c r="AF1134" s="598" t="s">
        <v>321</v>
      </c>
      <c r="AG1134" s="598" t="s">
        <v>321</v>
      </c>
      <c r="AH1134" s="598" t="s">
        <v>3309</v>
      </c>
      <c r="AI1134" s="598" t="s">
        <v>321</v>
      </c>
      <c r="AJ1134" s="599">
        <v>21</v>
      </c>
      <c r="AK1134" s="600">
        <v>21</v>
      </c>
      <c r="AL1134" s="601">
        <v>0</v>
      </c>
      <c r="AM1134" s="601">
        <v>0</v>
      </c>
      <c r="AN1134" s="599">
        <v>21</v>
      </c>
    </row>
    <row r="1135" spans="1:40" ht="16.5" customHeight="1">
      <c r="A1135" s="598" t="s">
        <v>3353</v>
      </c>
      <c r="B1135" s="598" t="s">
        <v>3359</v>
      </c>
      <c r="C1135" s="598" t="s">
        <v>1208</v>
      </c>
      <c r="D1135" s="598" t="s">
        <v>1209</v>
      </c>
      <c r="E1135" s="598" t="s">
        <v>321</v>
      </c>
      <c r="F1135" s="598" t="s">
        <v>3309</v>
      </c>
      <c r="G1135" s="598" t="s">
        <v>3309</v>
      </c>
      <c r="H1135" s="598" t="s">
        <v>3309</v>
      </c>
      <c r="I1135" s="598" t="s">
        <v>3309</v>
      </c>
      <c r="J1135" s="598" t="s">
        <v>3309</v>
      </c>
      <c r="K1135" s="598" t="s">
        <v>321</v>
      </c>
      <c r="L1135" s="598" t="s">
        <v>321</v>
      </c>
      <c r="M1135" s="598" t="s">
        <v>3309</v>
      </c>
      <c r="N1135" s="598" t="s">
        <v>3309</v>
      </c>
      <c r="O1135" s="598" t="s">
        <v>3309</v>
      </c>
      <c r="P1135" s="598" t="s">
        <v>3309</v>
      </c>
      <c r="Q1135" s="598" t="s">
        <v>3309</v>
      </c>
      <c r="R1135" s="598" t="s">
        <v>321</v>
      </c>
      <c r="S1135" s="598" t="s">
        <v>321</v>
      </c>
      <c r="T1135" s="598" t="s">
        <v>3309</v>
      </c>
      <c r="U1135" s="598" t="s">
        <v>3309</v>
      </c>
      <c r="V1135" s="598" t="s">
        <v>3309</v>
      </c>
      <c r="W1135" s="598" t="s">
        <v>3309</v>
      </c>
      <c r="X1135" s="598" t="s">
        <v>3309</v>
      </c>
      <c r="Y1135" s="598" t="s">
        <v>321</v>
      </c>
      <c r="Z1135" s="598" t="s">
        <v>321</v>
      </c>
      <c r="AA1135" s="598" t="s">
        <v>3309</v>
      </c>
      <c r="AB1135" s="598" t="s">
        <v>3309</v>
      </c>
      <c r="AC1135" s="598" t="s">
        <v>3309</v>
      </c>
      <c r="AD1135" s="598" t="s">
        <v>3309</v>
      </c>
      <c r="AE1135" s="598" t="s">
        <v>3309</v>
      </c>
      <c r="AF1135" s="598" t="s">
        <v>321</v>
      </c>
      <c r="AG1135" s="598" t="s">
        <v>321</v>
      </c>
      <c r="AH1135" s="598" t="s">
        <v>3309</v>
      </c>
      <c r="AI1135" s="598" t="s">
        <v>321</v>
      </c>
      <c r="AJ1135" s="599">
        <v>21</v>
      </c>
      <c r="AK1135" s="600">
        <v>21</v>
      </c>
      <c r="AL1135" s="601">
        <v>0</v>
      </c>
      <c r="AM1135" s="601">
        <v>0</v>
      </c>
      <c r="AN1135" s="599">
        <v>21</v>
      </c>
    </row>
    <row r="1136" spans="1:40" ht="16.5" customHeight="1">
      <c r="A1136" s="598" t="s">
        <v>3353</v>
      </c>
      <c r="B1136" s="598" t="s">
        <v>3359</v>
      </c>
      <c r="C1136" s="598" t="s">
        <v>2588</v>
      </c>
      <c r="D1136" s="598" t="s">
        <v>2589</v>
      </c>
      <c r="E1136" s="598" t="s">
        <v>321</v>
      </c>
      <c r="F1136" s="598" t="s">
        <v>3309</v>
      </c>
      <c r="G1136" s="598" t="s">
        <v>3309</v>
      </c>
      <c r="H1136" s="598" t="s">
        <v>3309</v>
      </c>
      <c r="I1136" s="598" t="s">
        <v>3309</v>
      </c>
      <c r="J1136" s="598" t="s">
        <v>3309</v>
      </c>
      <c r="K1136" s="598" t="s">
        <v>321</v>
      </c>
      <c r="L1136" s="598" t="s">
        <v>321</v>
      </c>
      <c r="M1136" s="598" t="s">
        <v>3309</v>
      </c>
      <c r="N1136" s="598" t="s">
        <v>3309</v>
      </c>
      <c r="O1136" s="598" t="s">
        <v>3309</v>
      </c>
      <c r="P1136" s="598" t="s">
        <v>3309</v>
      </c>
      <c r="Q1136" s="598" t="s">
        <v>3309</v>
      </c>
      <c r="R1136" s="598" t="s">
        <v>321</v>
      </c>
      <c r="S1136" s="598" t="s">
        <v>321</v>
      </c>
      <c r="T1136" s="598" t="s">
        <v>3309</v>
      </c>
      <c r="U1136" s="598" t="s">
        <v>3309</v>
      </c>
      <c r="V1136" s="598" t="s">
        <v>3309</v>
      </c>
      <c r="W1136" s="598" t="s">
        <v>3309</v>
      </c>
      <c r="X1136" s="598" t="s">
        <v>3309</v>
      </c>
      <c r="Y1136" s="598" t="s">
        <v>321</v>
      </c>
      <c r="Z1136" s="598" t="s">
        <v>321</v>
      </c>
      <c r="AA1136" s="598" t="s">
        <v>3309</v>
      </c>
      <c r="AB1136" s="598" t="s">
        <v>3309</v>
      </c>
      <c r="AC1136" s="598" t="s">
        <v>3309</v>
      </c>
      <c r="AD1136" s="598" t="s">
        <v>3309</v>
      </c>
      <c r="AE1136" s="598" t="s">
        <v>3309</v>
      </c>
      <c r="AF1136" s="598" t="s">
        <v>321</v>
      </c>
      <c r="AG1136" s="598" t="s">
        <v>321</v>
      </c>
      <c r="AH1136" s="598" t="s">
        <v>3309</v>
      </c>
      <c r="AI1136" s="598" t="s">
        <v>321</v>
      </c>
      <c r="AJ1136" s="599">
        <v>21</v>
      </c>
      <c r="AK1136" s="600">
        <v>21</v>
      </c>
      <c r="AL1136" s="601">
        <v>0</v>
      </c>
      <c r="AM1136" s="601">
        <v>0</v>
      </c>
      <c r="AN1136" s="599">
        <v>21</v>
      </c>
    </row>
    <row r="1137" spans="1:40" ht="16.5" customHeight="1">
      <c r="A1137" s="598" t="s">
        <v>3353</v>
      </c>
      <c r="B1137" s="598" t="s">
        <v>3359</v>
      </c>
      <c r="C1137" s="598" t="s">
        <v>2116</v>
      </c>
      <c r="D1137" s="598" t="s">
        <v>1776</v>
      </c>
      <c r="E1137" s="598" t="s">
        <v>321</v>
      </c>
      <c r="F1137" s="598" t="s">
        <v>3309</v>
      </c>
      <c r="G1137" s="598" t="s">
        <v>3309</v>
      </c>
      <c r="H1137" s="598" t="s">
        <v>3309</v>
      </c>
      <c r="I1137" s="598" t="s">
        <v>3309</v>
      </c>
      <c r="J1137" s="598" t="s">
        <v>3309</v>
      </c>
      <c r="K1137" s="598" t="s">
        <v>321</v>
      </c>
      <c r="L1137" s="598" t="s">
        <v>321</v>
      </c>
      <c r="M1137" s="598" t="s">
        <v>3309</v>
      </c>
      <c r="N1137" s="598" t="s">
        <v>3309</v>
      </c>
      <c r="O1137" s="598" t="s">
        <v>3309</v>
      </c>
      <c r="P1137" s="598" t="s">
        <v>3309</v>
      </c>
      <c r="Q1137" s="598" t="s">
        <v>3309</v>
      </c>
      <c r="R1137" s="598" t="s">
        <v>321</v>
      </c>
      <c r="S1137" s="598" t="s">
        <v>321</v>
      </c>
      <c r="T1137" s="598" t="s">
        <v>3309</v>
      </c>
      <c r="U1137" s="598" t="s">
        <v>3309</v>
      </c>
      <c r="V1137" s="598" t="s">
        <v>3309</v>
      </c>
      <c r="W1137" s="598" t="s">
        <v>3309</v>
      </c>
      <c r="X1137" s="598" t="s">
        <v>3309</v>
      </c>
      <c r="Y1137" s="598" t="s">
        <v>321</v>
      </c>
      <c r="Z1137" s="598" t="s">
        <v>321</v>
      </c>
      <c r="AA1137" s="598" t="s">
        <v>3309</v>
      </c>
      <c r="AB1137" s="598" t="s">
        <v>3309</v>
      </c>
      <c r="AC1137" s="598" t="s">
        <v>3309</v>
      </c>
      <c r="AD1137" s="598" t="s">
        <v>3309</v>
      </c>
      <c r="AE1137" s="598" t="s">
        <v>3309</v>
      </c>
      <c r="AF1137" s="598" t="s">
        <v>321</v>
      </c>
      <c r="AG1137" s="598" t="s">
        <v>321</v>
      </c>
      <c r="AH1137" s="598" t="s">
        <v>3309</v>
      </c>
      <c r="AI1137" s="598" t="s">
        <v>321</v>
      </c>
      <c r="AJ1137" s="599">
        <v>21</v>
      </c>
      <c r="AK1137" s="600">
        <v>21</v>
      </c>
      <c r="AL1137" s="601">
        <v>0</v>
      </c>
      <c r="AM1137" s="601">
        <v>0</v>
      </c>
      <c r="AN1137" s="599">
        <v>21</v>
      </c>
    </row>
    <row r="1138" spans="1:40" ht="16.5" customHeight="1">
      <c r="A1138" s="598" t="s">
        <v>3353</v>
      </c>
      <c r="B1138" s="598" t="s">
        <v>3359</v>
      </c>
      <c r="C1138" s="598" t="s">
        <v>1401</v>
      </c>
      <c r="D1138" s="598" t="s">
        <v>1402</v>
      </c>
      <c r="E1138" s="598" t="s">
        <v>321</v>
      </c>
      <c r="F1138" s="598" t="s">
        <v>3312</v>
      </c>
      <c r="G1138" s="598" t="s">
        <v>3309</v>
      </c>
      <c r="H1138" s="598" t="s">
        <v>3309</v>
      </c>
      <c r="I1138" s="598" t="s">
        <v>3309</v>
      </c>
      <c r="J1138" s="598" t="s">
        <v>3309</v>
      </c>
      <c r="K1138" s="598" t="s">
        <v>321</v>
      </c>
      <c r="L1138" s="598" t="s">
        <v>321</v>
      </c>
      <c r="M1138" s="598" t="s">
        <v>3309</v>
      </c>
      <c r="N1138" s="598" t="s">
        <v>3309</v>
      </c>
      <c r="O1138" s="598" t="s">
        <v>3309</v>
      </c>
      <c r="P1138" s="598" t="s">
        <v>3309</v>
      </c>
      <c r="Q1138" s="598" t="s">
        <v>3309</v>
      </c>
      <c r="R1138" s="598" t="s">
        <v>321</v>
      </c>
      <c r="S1138" s="598" t="s">
        <v>321</v>
      </c>
      <c r="T1138" s="598" t="s">
        <v>3309</v>
      </c>
      <c r="U1138" s="598" t="s">
        <v>3309</v>
      </c>
      <c r="V1138" s="598" t="s">
        <v>3309</v>
      </c>
      <c r="W1138" s="598" t="s">
        <v>3309</v>
      </c>
      <c r="X1138" s="598" t="s">
        <v>3309</v>
      </c>
      <c r="Y1138" s="598" t="s">
        <v>321</v>
      </c>
      <c r="Z1138" s="598" t="s">
        <v>321</v>
      </c>
      <c r="AA1138" s="598" t="s">
        <v>3309</v>
      </c>
      <c r="AB1138" s="598" t="s">
        <v>3309</v>
      </c>
      <c r="AC1138" s="598" t="s">
        <v>3309</v>
      </c>
      <c r="AD1138" s="598" t="s">
        <v>3309</v>
      </c>
      <c r="AE1138" s="598" t="s">
        <v>3309</v>
      </c>
      <c r="AF1138" s="598" t="s">
        <v>321</v>
      </c>
      <c r="AG1138" s="598" t="s">
        <v>321</v>
      </c>
      <c r="AH1138" s="598" t="s">
        <v>3309</v>
      </c>
      <c r="AI1138" s="598" t="s">
        <v>321</v>
      </c>
      <c r="AJ1138" s="599">
        <v>21</v>
      </c>
      <c r="AK1138" s="600">
        <v>20</v>
      </c>
      <c r="AL1138" s="602">
        <v>1</v>
      </c>
      <c r="AM1138" s="601">
        <v>0</v>
      </c>
      <c r="AN1138" s="599">
        <v>21</v>
      </c>
    </row>
    <row r="1139" spans="1:40" ht="16.5" customHeight="1">
      <c r="A1139" s="598" t="s">
        <v>3353</v>
      </c>
      <c r="B1139" s="598" t="s">
        <v>3359</v>
      </c>
      <c r="C1139" s="598" t="s">
        <v>1840</v>
      </c>
      <c r="D1139" s="598" t="s">
        <v>1841</v>
      </c>
      <c r="E1139" s="598" t="s">
        <v>321</v>
      </c>
      <c r="F1139" s="598" t="s">
        <v>3309</v>
      </c>
      <c r="G1139" s="598" t="s">
        <v>3309</v>
      </c>
      <c r="H1139" s="598" t="s">
        <v>3309</v>
      </c>
      <c r="I1139" s="598" t="s">
        <v>3309</v>
      </c>
      <c r="J1139" s="598" t="s">
        <v>3309</v>
      </c>
      <c r="K1139" s="598" t="s">
        <v>321</v>
      </c>
      <c r="L1139" s="598" t="s">
        <v>321</v>
      </c>
      <c r="M1139" s="598" t="s">
        <v>3312</v>
      </c>
      <c r="N1139" s="598" t="s">
        <v>3312</v>
      </c>
      <c r="O1139" s="598" t="s">
        <v>3312</v>
      </c>
      <c r="P1139" s="598" t="s">
        <v>3309</v>
      </c>
      <c r="Q1139" s="598" t="s">
        <v>3309</v>
      </c>
      <c r="R1139" s="598" t="s">
        <v>321</v>
      </c>
      <c r="S1139" s="598" t="s">
        <v>321</v>
      </c>
      <c r="T1139" s="598" t="s">
        <v>3309</v>
      </c>
      <c r="U1139" s="598" t="s">
        <v>3309</v>
      </c>
      <c r="V1139" s="598" t="s">
        <v>3309</v>
      </c>
      <c r="W1139" s="598" t="s">
        <v>3309</v>
      </c>
      <c r="X1139" s="598" t="s">
        <v>3309</v>
      </c>
      <c r="Y1139" s="598" t="s">
        <v>321</v>
      </c>
      <c r="Z1139" s="598" t="s">
        <v>321</v>
      </c>
      <c r="AA1139" s="598" t="s">
        <v>3309</v>
      </c>
      <c r="AB1139" s="598" t="s">
        <v>3309</v>
      </c>
      <c r="AC1139" s="598" t="s">
        <v>3309</v>
      </c>
      <c r="AD1139" s="598" t="s">
        <v>3309</v>
      </c>
      <c r="AE1139" s="598" t="s">
        <v>3309</v>
      </c>
      <c r="AF1139" s="598" t="s">
        <v>321</v>
      </c>
      <c r="AG1139" s="598" t="s">
        <v>321</v>
      </c>
      <c r="AH1139" s="598" t="s">
        <v>3309</v>
      </c>
      <c r="AI1139" s="598" t="s">
        <v>321</v>
      </c>
      <c r="AJ1139" s="599">
        <v>21</v>
      </c>
      <c r="AK1139" s="600">
        <v>18</v>
      </c>
      <c r="AL1139" s="602">
        <v>3</v>
      </c>
      <c r="AM1139" s="601">
        <v>0</v>
      </c>
      <c r="AN1139" s="599">
        <v>21</v>
      </c>
    </row>
    <row r="1140" spans="1:40" ht="16.5" customHeight="1">
      <c r="A1140" s="598" t="s">
        <v>3360</v>
      </c>
      <c r="B1140" s="598" t="s">
        <v>3361</v>
      </c>
      <c r="C1140" s="598" t="s">
        <v>1664</v>
      </c>
      <c r="D1140" s="598" t="s">
        <v>1665</v>
      </c>
      <c r="E1140" s="598" t="s">
        <v>321</v>
      </c>
      <c r="F1140" s="598" t="s">
        <v>3309</v>
      </c>
      <c r="G1140" s="598" t="s">
        <v>3309</v>
      </c>
      <c r="H1140" s="598" t="s">
        <v>3309</v>
      </c>
      <c r="I1140" s="598" t="s">
        <v>3309</v>
      </c>
      <c r="J1140" s="598" t="s">
        <v>3309</v>
      </c>
      <c r="K1140" s="598" t="s">
        <v>321</v>
      </c>
      <c r="L1140" s="598" t="s">
        <v>321</v>
      </c>
      <c r="M1140" s="598" t="s">
        <v>3309</v>
      </c>
      <c r="N1140" s="598" t="s">
        <v>3309</v>
      </c>
      <c r="O1140" s="598" t="s">
        <v>3309</v>
      </c>
      <c r="P1140" s="598" t="s">
        <v>3309</v>
      </c>
      <c r="Q1140" s="598" t="s">
        <v>3309</v>
      </c>
      <c r="R1140" s="598" t="s">
        <v>321</v>
      </c>
      <c r="S1140" s="598" t="s">
        <v>321</v>
      </c>
      <c r="T1140" s="598" t="s">
        <v>3309</v>
      </c>
      <c r="U1140" s="598" t="s">
        <v>3309</v>
      </c>
      <c r="V1140" s="598" t="s">
        <v>3309</v>
      </c>
      <c r="W1140" s="598" t="s">
        <v>3309</v>
      </c>
      <c r="X1140" s="598" t="s">
        <v>3309</v>
      </c>
      <c r="Y1140" s="598" t="s">
        <v>321</v>
      </c>
      <c r="Z1140" s="598" t="s">
        <v>321</v>
      </c>
      <c r="AA1140" s="598" t="s">
        <v>3309</v>
      </c>
      <c r="AB1140" s="598" t="s">
        <v>3309</v>
      </c>
      <c r="AC1140" s="598" t="s">
        <v>3309</v>
      </c>
      <c r="AD1140" s="598" t="s">
        <v>3309</v>
      </c>
      <c r="AE1140" s="598" t="s">
        <v>3309</v>
      </c>
      <c r="AF1140" s="598" t="s">
        <v>321</v>
      </c>
      <c r="AG1140" s="598" t="s">
        <v>321</v>
      </c>
      <c r="AH1140" s="598" t="s">
        <v>3309</v>
      </c>
      <c r="AI1140" s="598" t="s">
        <v>321</v>
      </c>
      <c r="AJ1140" s="599">
        <v>21</v>
      </c>
      <c r="AK1140" s="600">
        <v>21</v>
      </c>
      <c r="AL1140" s="601">
        <v>0</v>
      </c>
      <c r="AM1140" s="601">
        <v>0</v>
      </c>
      <c r="AN1140" s="599">
        <v>21</v>
      </c>
    </row>
    <row r="1141" spans="1:40" ht="16.5" customHeight="1">
      <c r="A1141" s="598" t="s">
        <v>3360</v>
      </c>
      <c r="B1141" s="598" t="s">
        <v>3361</v>
      </c>
      <c r="C1141" s="598" t="s">
        <v>531</v>
      </c>
      <c r="D1141" s="598" t="s">
        <v>532</v>
      </c>
      <c r="E1141" s="598" t="s">
        <v>321</v>
      </c>
      <c r="F1141" s="598" t="s">
        <v>3309</v>
      </c>
      <c r="G1141" s="598" t="s">
        <v>3309</v>
      </c>
      <c r="H1141" s="598" t="s">
        <v>3309</v>
      </c>
      <c r="I1141" s="598" t="s">
        <v>3309</v>
      </c>
      <c r="J1141" s="598" t="s">
        <v>3309</v>
      </c>
      <c r="K1141" s="598" t="s">
        <v>321</v>
      </c>
      <c r="L1141" s="598" t="s">
        <v>321</v>
      </c>
      <c r="M1141" s="598" t="s">
        <v>3309</v>
      </c>
      <c r="N1141" s="598" t="s">
        <v>3312</v>
      </c>
      <c r="O1141" s="598" t="s">
        <v>3312</v>
      </c>
      <c r="P1141" s="598" t="s">
        <v>3312</v>
      </c>
      <c r="Q1141" s="598" t="s">
        <v>3309</v>
      </c>
      <c r="R1141" s="598" t="s">
        <v>321</v>
      </c>
      <c r="S1141" s="598" t="s">
        <v>321</v>
      </c>
      <c r="T1141" s="598" t="s">
        <v>3309</v>
      </c>
      <c r="U1141" s="598" t="s">
        <v>3309</v>
      </c>
      <c r="V1141" s="598" t="s">
        <v>3309</v>
      </c>
      <c r="W1141" s="598" t="s">
        <v>3309</v>
      </c>
      <c r="X1141" s="598" t="s">
        <v>3309</v>
      </c>
      <c r="Y1141" s="598" t="s">
        <v>321</v>
      </c>
      <c r="Z1141" s="598" t="s">
        <v>321</v>
      </c>
      <c r="AA1141" s="598" t="s">
        <v>3309</v>
      </c>
      <c r="AB1141" s="598" t="s">
        <v>3309</v>
      </c>
      <c r="AC1141" s="598" t="s">
        <v>3309</v>
      </c>
      <c r="AD1141" s="598" t="s">
        <v>3309</v>
      </c>
      <c r="AE1141" s="598" t="s">
        <v>3309</v>
      </c>
      <c r="AF1141" s="598" t="s">
        <v>321</v>
      </c>
      <c r="AG1141" s="598" t="s">
        <v>321</v>
      </c>
      <c r="AH1141" s="598" t="s">
        <v>3309</v>
      </c>
      <c r="AI1141" s="598" t="s">
        <v>321</v>
      </c>
      <c r="AJ1141" s="599">
        <v>21</v>
      </c>
      <c r="AK1141" s="600">
        <v>18</v>
      </c>
      <c r="AL1141" s="602">
        <v>3</v>
      </c>
      <c r="AM1141" s="601">
        <v>0</v>
      </c>
      <c r="AN1141" s="599">
        <v>21</v>
      </c>
    </row>
    <row r="1142" spans="1:40" ht="16.5" customHeight="1">
      <c r="A1142" s="598" t="s">
        <v>3360</v>
      </c>
      <c r="B1142" s="598" t="s">
        <v>3361</v>
      </c>
      <c r="C1142" s="598" t="s">
        <v>419</v>
      </c>
      <c r="D1142" s="598" t="s">
        <v>420</v>
      </c>
      <c r="E1142" s="598" t="s">
        <v>321</v>
      </c>
      <c r="F1142" s="598" t="s">
        <v>3309</v>
      </c>
      <c r="G1142" s="598" t="s">
        <v>3309</v>
      </c>
      <c r="H1142" s="598" t="s">
        <v>3309</v>
      </c>
      <c r="I1142" s="598" t="s">
        <v>3309</v>
      </c>
      <c r="J1142" s="598" t="s">
        <v>3309</v>
      </c>
      <c r="K1142" s="598" t="s">
        <v>321</v>
      </c>
      <c r="L1142" s="598" t="s">
        <v>321</v>
      </c>
      <c r="M1142" s="598" t="s">
        <v>3309</v>
      </c>
      <c r="N1142" s="598" t="s">
        <v>3309</v>
      </c>
      <c r="O1142" s="598" t="s">
        <v>3309</v>
      </c>
      <c r="P1142" s="598" t="s">
        <v>3309</v>
      </c>
      <c r="Q1142" s="598" t="s">
        <v>3309</v>
      </c>
      <c r="R1142" s="598" t="s">
        <v>321</v>
      </c>
      <c r="S1142" s="598" t="s">
        <v>321</v>
      </c>
      <c r="T1142" s="598" t="s">
        <v>3309</v>
      </c>
      <c r="U1142" s="598" t="s">
        <v>3309</v>
      </c>
      <c r="V1142" s="598" t="s">
        <v>3309</v>
      </c>
      <c r="W1142" s="598" t="s">
        <v>3309</v>
      </c>
      <c r="X1142" s="598" t="s">
        <v>3309</v>
      </c>
      <c r="Y1142" s="598" t="s">
        <v>321</v>
      </c>
      <c r="Z1142" s="598" t="s">
        <v>321</v>
      </c>
      <c r="AA1142" s="598" t="s">
        <v>3309</v>
      </c>
      <c r="AB1142" s="598" t="s">
        <v>3309</v>
      </c>
      <c r="AC1142" s="598" t="s">
        <v>3309</v>
      </c>
      <c r="AD1142" s="598" t="s">
        <v>3309</v>
      </c>
      <c r="AE1142" s="598" t="s">
        <v>3309</v>
      </c>
      <c r="AF1142" s="598" t="s">
        <v>321</v>
      </c>
      <c r="AG1142" s="598" t="s">
        <v>321</v>
      </c>
      <c r="AH1142" s="598" t="s">
        <v>3309</v>
      </c>
      <c r="AI1142" s="598" t="s">
        <v>321</v>
      </c>
      <c r="AJ1142" s="599">
        <v>21</v>
      </c>
      <c r="AK1142" s="600">
        <v>21</v>
      </c>
      <c r="AL1142" s="601">
        <v>0</v>
      </c>
      <c r="AM1142" s="601">
        <v>0</v>
      </c>
      <c r="AN1142" s="599">
        <v>21</v>
      </c>
    </row>
    <row r="1143" spans="1:40" ht="16.5" customHeight="1">
      <c r="A1143" s="598" t="s">
        <v>3360</v>
      </c>
      <c r="B1143" s="598" t="s">
        <v>3362</v>
      </c>
      <c r="C1143" s="598" t="s">
        <v>495</v>
      </c>
      <c r="D1143" s="598" t="s">
        <v>496</v>
      </c>
      <c r="E1143" s="598" t="s">
        <v>321</v>
      </c>
      <c r="F1143" s="598" t="s">
        <v>3309</v>
      </c>
      <c r="G1143" s="598" t="s">
        <v>3312</v>
      </c>
      <c r="H1143" s="598" t="s">
        <v>3309</v>
      </c>
      <c r="I1143" s="598" t="s">
        <v>3309</v>
      </c>
      <c r="J1143" s="598" t="s">
        <v>3309</v>
      </c>
      <c r="K1143" s="598" t="s">
        <v>321</v>
      </c>
      <c r="L1143" s="598" t="s">
        <v>321</v>
      </c>
      <c r="M1143" s="598" t="s">
        <v>3309</v>
      </c>
      <c r="N1143" s="598" t="s">
        <v>3309</v>
      </c>
      <c r="O1143" s="598" t="s">
        <v>3309</v>
      </c>
      <c r="P1143" s="598" t="s">
        <v>3309</v>
      </c>
      <c r="Q1143" s="598" t="s">
        <v>3309</v>
      </c>
      <c r="R1143" s="598" t="s">
        <v>321</v>
      </c>
      <c r="S1143" s="598" t="s">
        <v>321</v>
      </c>
      <c r="T1143" s="598" t="s">
        <v>3309</v>
      </c>
      <c r="U1143" s="598" t="s">
        <v>3309</v>
      </c>
      <c r="V1143" s="598" t="s">
        <v>3309</v>
      </c>
      <c r="W1143" s="598" t="s">
        <v>3309</v>
      </c>
      <c r="X1143" s="598" t="s">
        <v>3309</v>
      </c>
      <c r="Y1143" s="598" t="s">
        <v>321</v>
      </c>
      <c r="Z1143" s="598" t="s">
        <v>321</v>
      </c>
      <c r="AA1143" s="598" t="s">
        <v>3309</v>
      </c>
      <c r="AB1143" s="598" t="s">
        <v>3309</v>
      </c>
      <c r="AC1143" s="598" t="s">
        <v>3309</v>
      </c>
      <c r="AD1143" s="598" t="s">
        <v>3309</v>
      </c>
      <c r="AE1143" s="598" t="s">
        <v>3309</v>
      </c>
      <c r="AF1143" s="598" t="s">
        <v>321</v>
      </c>
      <c r="AG1143" s="598" t="s">
        <v>321</v>
      </c>
      <c r="AH1143" s="598" t="s">
        <v>3309</v>
      </c>
      <c r="AI1143" s="598" t="s">
        <v>321</v>
      </c>
      <c r="AJ1143" s="599">
        <v>21</v>
      </c>
      <c r="AK1143" s="600">
        <v>20</v>
      </c>
      <c r="AL1143" s="602">
        <v>1</v>
      </c>
      <c r="AM1143" s="601">
        <v>0</v>
      </c>
      <c r="AN1143" s="599">
        <v>21</v>
      </c>
    </row>
    <row r="1144" spans="1:40" ht="16.5" customHeight="1">
      <c r="A1144" s="598" t="s">
        <v>3360</v>
      </c>
      <c r="B1144" s="598" t="s">
        <v>3362</v>
      </c>
      <c r="C1144" s="598" t="s">
        <v>1905</v>
      </c>
      <c r="D1144" s="598" t="s">
        <v>1906</v>
      </c>
      <c r="E1144" s="598" t="s">
        <v>321</v>
      </c>
      <c r="F1144" s="598" t="s">
        <v>3317</v>
      </c>
      <c r="G1144" s="598" t="s">
        <v>3317</v>
      </c>
      <c r="H1144" s="598" t="s">
        <v>3317</v>
      </c>
      <c r="I1144" s="598" t="s">
        <v>3317</v>
      </c>
      <c r="J1144" s="598" t="s">
        <v>3317</v>
      </c>
      <c r="K1144" s="598" t="s">
        <v>321</v>
      </c>
      <c r="L1144" s="598" t="s">
        <v>321</v>
      </c>
      <c r="M1144" s="598" t="s">
        <v>3317</v>
      </c>
      <c r="N1144" s="598" t="s">
        <v>3317</v>
      </c>
      <c r="O1144" s="598" t="s">
        <v>3317</v>
      </c>
      <c r="P1144" s="598" t="s">
        <v>3317</v>
      </c>
      <c r="Q1144" s="598" t="s">
        <v>3317</v>
      </c>
      <c r="R1144" s="598" t="s">
        <v>321</v>
      </c>
      <c r="S1144" s="598" t="s">
        <v>321</v>
      </c>
      <c r="T1144" s="598" t="s">
        <v>3317</v>
      </c>
      <c r="U1144" s="598" t="s">
        <v>3317</v>
      </c>
      <c r="V1144" s="598" t="s">
        <v>3317</v>
      </c>
      <c r="W1144" s="598" t="s">
        <v>3317</v>
      </c>
      <c r="X1144" s="598" t="s">
        <v>3309</v>
      </c>
      <c r="Y1144" s="598" t="s">
        <v>321</v>
      </c>
      <c r="Z1144" s="598" t="s">
        <v>321</v>
      </c>
      <c r="AA1144" s="598" t="s">
        <v>3309</v>
      </c>
      <c r="AB1144" s="598" t="s">
        <v>3309</v>
      </c>
      <c r="AC1144" s="598" t="s">
        <v>3309</v>
      </c>
      <c r="AD1144" s="598" t="s">
        <v>3309</v>
      </c>
      <c r="AE1144" s="598" t="s">
        <v>3309</v>
      </c>
      <c r="AF1144" s="598" t="s">
        <v>321</v>
      </c>
      <c r="AG1144" s="598" t="s">
        <v>321</v>
      </c>
      <c r="AH1144" s="598" t="s">
        <v>3309</v>
      </c>
      <c r="AI1144" s="598" t="s">
        <v>321</v>
      </c>
      <c r="AJ1144" s="599">
        <v>21</v>
      </c>
      <c r="AK1144" s="602">
        <v>7</v>
      </c>
      <c r="AL1144" s="601">
        <v>0</v>
      </c>
      <c r="AM1144" s="601">
        <v>0</v>
      </c>
      <c r="AN1144" s="606">
        <v>7</v>
      </c>
    </row>
    <row r="1145" spans="1:40" ht="16.5" customHeight="1">
      <c r="A1145" s="598" t="s">
        <v>3360</v>
      </c>
      <c r="B1145" s="598" t="s">
        <v>3362</v>
      </c>
      <c r="C1145" s="598" t="s">
        <v>1131</v>
      </c>
      <c r="D1145" s="598" t="s">
        <v>1132</v>
      </c>
      <c r="E1145" s="598" t="s">
        <v>321</v>
      </c>
      <c r="F1145" s="598" t="s">
        <v>3309</v>
      </c>
      <c r="G1145" s="598" t="s">
        <v>3309</v>
      </c>
      <c r="H1145" s="598" t="s">
        <v>3309</v>
      </c>
      <c r="I1145" s="598" t="s">
        <v>3312</v>
      </c>
      <c r="J1145" s="598" t="s">
        <v>3312</v>
      </c>
      <c r="K1145" s="598" t="s">
        <v>321</v>
      </c>
      <c r="L1145" s="598" t="s">
        <v>321</v>
      </c>
      <c r="M1145" s="598" t="s">
        <v>3309</v>
      </c>
      <c r="N1145" s="598" t="s">
        <v>3309</v>
      </c>
      <c r="O1145" s="598" t="s">
        <v>3309</v>
      </c>
      <c r="P1145" s="598" t="s">
        <v>3309</v>
      </c>
      <c r="Q1145" s="598" t="s">
        <v>3309</v>
      </c>
      <c r="R1145" s="598" t="s">
        <v>321</v>
      </c>
      <c r="S1145" s="598" t="s">
        <v>321</v>
      </c>
      <c r="T1145" s="598" t="s">
        <v>3309</v>
      </c>
      <c r="U1145" s="598" t="s">
        <v>3309</v>
      </c>
      <c r="V1145" s="598" t="s">
        <v>3309</v>
      </c>
      <c r="W1145" s="598" t="s">
        <v>3309</v>
      </c>
      <c r="X1145" s="598" t="s">
        <v>3309</v>
      </c>
      <c r="Y1145" s="598" t="s">
        <v>321</v>
      </c>
      <c r="Z1145" s="598" t="s">
        <v>321</v>
      </c>
      <c r="AA1145" s="598" t="s">
        <v>3309</v>
      </c>
      <c r="AB1145" s="598" t="s">
        <v>3309</v>
      </c>
      <c r="AC1145" s="598" t="s">
        <v>3309</v>
      </c>
      <c r="AD1145" s="598" t="s">
        <v>3309</v>
      </c>
      <c r="AE1145" s="598" t="s">
        <v>3309</v>
      </c>
      <c r="AF1145" s="598" t="s">
        <v>321</v>
      </c>
      <c r="AG1145" s="598" t="s">
        <v>321</v>
      </c>
      <c r="AH1145" s="598" t="s">
        <v>3309</v>
      </c>
      <c r="AI1145" s="598" t="s">
        <v>321</v>
      </c>
      <c r="AJ1145" s="599">
        <v>21</v>
      </c>
      <c r="AK1145" s="600">
        <v>19</v>
      </c>
      <c r="AL1145" s="602">
        <v>2</v>
      </c>
      <c r="AM1145" s="601">
        <v>0</v>
      </c>
      <c r="AN1145" s="599">
        <v>21</v>
      </c>
    </row>
    <row r="1146" spans="1:40" ht="16.5" customHeight="1">
      <c r="A1146" s="598" t="s">
        <v>3360</v>
      </c>
      <c r="B1146" s="598" t="s">
        <v>3362</v>
      </c>
      <c r="C1146" s="598" t="s">
        <v>603</v>
      </c>
      <c r="D1146" s="598" t="s">
        <v>604</v>
      </c>
      <c r="E1146" s="598" t="s">
        <v>321</v>
      </c>
      <c r="F1146" s="598" t="s">
        <v>3309</v>
      </c>
      <c r="G1146" s="598" t="s">
        <v>3309</v>
      </c>
      <c r="H1146" s="598" t="s">
        <v>3309</v>
      </c>
      <c r="I1146" s="598" t="s">
        <v>3309</v>
      </c>
      <c r="J1146" s="598" t="s">
        <v>3309</v>
      </c>
      <c r="K1146" s="598" t="s">
        <v>321</v>
      </c>
      <c r="L1146" s="598" t="s">
        <v>321</v>
      </c>
      <c r="M1146" s="598" t="s">
        <v>3309</v>
      </c>
      <c r="N1146" s="598" t="s">
        <v>3309</v>
      </c>
      <c r="O1146" s="598" t="s">
        <v>3313</v>
      </c>
      <c r="P1146" s="598" t="s">
        <v>3313</v>
      </c>
      <c r="Q1146" s="598" t="s">
        <v>3313</v>
      </c>
      <c r="R1146" s="598" t="s">
        <v>321</v>
      </c>
      <c r="S1146" s="598" t="s">
        <v>321</v>
      </c>
      <c r="T1146" s="598" t="s">
        <v>3309</v>
      </c>
      <c r="U1146" s="598" t="s">
        <v>3309</v>
      </c>
      <c r="V1146" s="598" t="s">
        <v>3309</v>
      </c>
      <c r="W1146" s="598" t="s">
        <v>3309</v>
      </c>
      <c r="X1146" s="598" t="s">
        <v>3309</v>
      </c>
      <c r="Y1146" s="598" t="s">
        <v>321</v>
      </c>
      <c r="Z1146" s="598" t="s">
        <v>321</v>
      </c>
      <c r="AA1146" s="598" t="s">
        <v>3309</v>
      </c>
      <c r="AB1146" s="598" t="s">
        <v>3309</v>
      </c>
      <c r="AC1146" s="598" t="s">
        <v>3309</v>
      </c>
      <c r="AD1146" s="598" t="s">
        <v>3309</v>
      </c>
      <c r="AE1146" s="598" t="s">
        <v>3309</v>
      </c>
      <c r="AF1146" s="598" t="s">
        <v>321</v>
      </c>
      <c r="AG1146" s="598" t="s">
        <v>321</v>
      </c>
      <c r="AH1146" s="598" t="s">
        <v>3309</v>
      </c>
      <c r="AI1146" s="598" t="s">
        <v>321</v>
      </c>
      <c r="AJ1146" s="599">
        <v>21</v>
      </c>
      <c r="AK1146" s="600">
        <v>21</v>
      </c>
      <c r="AL1146" s="601">
        <v>0</v>
      </c>
      <c r="AM1146" s="601">
        <v>0</v>
      </c>
      <c r="AN1146" s="599">
        <v>21</v>
      </c>
    </row>
    <row r="1147" spans="1:40" ht="16.5" customHeight="1">
      <c r="A1147" s="598" t="s">
        <v>3360</v>
      </c>
      <c r="B1147" s="598" t="s">
        <v>3363</v>
      </c>
      <c r="C1147" s="598" t="s">
        <v>2713</v>
      </c>
      <c r="D1147" s="598" t="s">
        <v>2714</v>
      </c>
      <c r="E1147" s="598" t="s">
        <v>321</v>
      </c>
      <c r="F1147" s="598" t="s">
        <v>3312</v>
      </c>
      <c r="G1147" s="598" t="s">
        <v>3309</v>
      </c>
      <c r="H1147" s="598" t="s">
        <v>3309</v>
      </c>
      <c r="I1147" s="598" t="s">
        <v>3309</v>
      </c>
      <c r="J1147" s="598" t="s">
        <v>3309</v>
      </c>
      <c r="K1147" s="598" t="s">
        <v>321</v>
      </c>
      <c r="L1147" s="598" t="s">
        <v>321</v>
      </c>
      <c r="M1147" s="598" t="s">
        <v>3309</v>
      </c>
      <c r="N1147" s="598" t="s">
        <v>3309</v>
      </c>
      <c r="O1147" s="598" t="s">
        <v>3309</v>
      </c>
      <c r="P1147" s="598" t="s">
        <v>3309</v>
      </c>
      <c r="Q1147" s="598" t="s">
        <v>3309</v>
      </c>
      <c r="R1147" s="598" t="s">
        <v>321</v>
      </c>
      <c r="S1147" s="598" t="s">
        <v>321</v>
      </c>
      <c r="T1147" s="598" t="s">
        <v>3309</v>
      </c>
      <c r="U1147" s="598" t="s">
        <v>3309</v>
      </c>
      <c r="V1147" s="598" t="s">
        <v>3309</v>
      </c>
      <c r="W1147" s="598" t="s">
        <v>3309</v>
      </c>
      <c r="X1147" s="598" t="s">
        <v>3309</v>
      </c>
      <c r="Y1147" s="598" t="s">
        <v>321</v>
      </c>
      <c r="Z1147" s="598" t="s">
        <v>321</v>
      </c>
      <c r="AA1147" s="598" t="s">
        <v>3309</v>
      </c>
      <c r="AB1147" s="598" t="s">
        <v>3309</v>
      </c>
      <c r="AC1147" s="598" t="s">
        <v>3309</v>
      </c>
      <c r="AD1147" s="598" t="s">
        <v>3309</v>
      </c>
      <c r="AE1147" s="598" t="s">
        <v>3309</v>
      </c>
      <c r="AF1147" s="598" t="s">
        <v>321</v>
      </c>
      <c r="AG1147" s="598" t="s">
        <v>321</v>
      </c>
      <c r="AH1147" s="598" t="s">
        <v>3309</v>
      </c>
      <c r="AI1147" s="598" t="s">
        <v>321</v>
      </c>
      <c r="AJ1147" s="599">
        <v>21</v>
      </c>
      <c r="AK1147" s="600">
        <v>20</v>
      </c>
      <c r="AL1147" s="602">
        <v>1</v>
      </c>
      <c r="AM1147" s="601">
        <v>0</v>
      </c>
      <c r="AN1147" s="599">
        <v>21</v>
      </c>
    </row>
    <row r="1148" spans="1:40" ht="16.5" customHeight="1">
      <c r="A1148" s="598" t="s">
        <v>3360</v>
      </c>
      <c r="B1148" s="598" t="s">
        <v>3363</v>
      </c>
      <c r="C1148" s="598" t="s">
        <v>2965</v>
      </c>
      <c r="D1148" s="598" t="s">
        <v>1365</v>
      </c>
      <c r="E1148" s="598" t="s">
        <v>321</v>
      </c>
      <c r="F1148" s="598" t="s">
        <v>3309</v>
      </c>
      <c r="G1148" s="598" t="s">
        <v>3309</v>
      </c>
      <c r="H1148" s="598" t="s">
        <v>3309</v>
      </c>
      <c r="I1148" s="598" t="s">
        <v>3309</v>
      </c>
      <c r="J1148" s="598" t="s">
        <v>3309</v>
      </c>
      <c r="K1148" s="598" t="s">
        <v>321</v>
      </c>
      <c r="L1148" s="598" t="s">
        <v>321</v>
      </c>
      <c r="M1148" s="598" t="s">
        <v>3309</v>
      </c>
      <c r="N1148" s="598" t="s">
        <v>3309</v>
      </c>
      <c r="O1148" s="598" t="s">
        <v>3309</v>
      </c>
      <c r="P1148" s="598" t="s">
        <v>3309</v>
      </c>
      <c r="Q1148" s="598" t="s">
        <v>3309</v>
      </c>
      <c r="R1148" s="598" t="s">
        <v>321</v>
      </c>
      <c r="S1148" s="598" t="s">
        <v>321</v>
      </c>
      <c r="T1148" s="598" t="s">
        <v>3309</v>
      </c>
      <c r="U1148" s="598" t="s">
        <v>3309</v>
      </c>
      <c r="V1148" s="598" t="s">
        <v>3309</v>
      </c>
      <c r="W1148" s="598" t="s">
        <v>3309</v>
      </c>
      <c r="X1148" s="598" t="s">
        <v>3309</v>
      </c>
      <c r="Y1148" s="598" t="s">
        <v>321</v>
      </c>
      <c r="Z1148" s="598" t="s">
        <v>321</v>
      </c>
      <c r="AA1148" s="598" t="s">
        <v>3309</v>
      </c>
      <c r="AB1148" s="598" t="s">
        <v>3309</v>
      </c>
      <c r="AC1148" s="598" t="s">
        <v>3309</v>
      </c>
      <c r="AD1148" s="598" t="s">
        <v>3309</v>
      </c>
      <c r="AE1148" s="598" t="s">
        <v>3309</v>
      </c>
      <c r="AF1148" s="598" t="s">
        <v>321</v>
      </c>
      <c r="AG1148" s="598" t="s">
        <v>321</v>
      </c>
      <c r="AH1148" s="598" t="s">
        <v>3309</v>
      </c>
      <c r="AI1148" s="598" t="s">
        <v>321</v>
      </c>
      <c r="AJ1148" s="599">
        <v>21</v>
      </c>
      <c r="AK1148" s="600">
        <v>21</v>
      </c>
      <c r="AL1148" s="601">
        <v>0</v>
      </c>
      <c r="AM1148" s="601">
        <v>0</v>
      </c>
      <c r="AN1148" s="599">
        <v>21</v>
      </c>
    </row>
    <row r="1149" spans="1:40" ht="16.5" customHeight="1">
      <c r="A1149" s="598" t="s">
        <v>3360</v>
      </c>
      <c r="B1149" s="598" t="s">
        <v>3364</v>
      </c>
      <c r="C1149" s="598" t="s">
        <v>1604</v>
      </c>
      <c r="D1149" s="598" t="s">
        <v>1605</v>
      </c>
      <c r="E1149" s="598" t="s">
        <v>321</v>
      </c>
      <c r="F1149" s="598" t="s">
        <v>3309</v>
      </c>
      <c r="G1149" s="598" t="s">
        <v>3309</v>
      </c>
      <c r="H1149" s="598" t="s">
        <v>3309</v>
      </c>
      <c r="I1149" s="598" t="s">
        <v>3309</v>
      </c>
      <c r="J1149" s="598" t="s">
        <v>3309</v>
      </c>
      <c r="K1149" s="598" t="s">
        <v>321</v>
      </c>
      <c r="L1149" s="598" t="s">
        <v>321</v>
      </c>
      <c r="M1149" s="598" t="s">
        <v>3309</v>
      </c>
      <c r="N1149" s="598" t="s">
        <v>3309</v>
      </c>
      <c r="O1149" s="598" t="s">
        <v>3309</v>
      </c>
      <c r="P1149" s="598" t="s">
        <v>3309</v>
      </c>
      <c r="Q1149" s="598" t="s">
        <v>3309</v>
      </c>
      <c r="R1149" s="598" t="s">
        <v>321</v>
      </c>
      <c r="S1149" s="598" t="s">
        <v>321</v>
      </c>
      <c r="T1149" s="598" t="s">
        <v>3309</v>
      </c>
      <c r="U1149" s="598" t="s">
        <v>3309</v>
      </c>
      <c r="V1149" s="598" t="s">
        <v>3309</v>
      </c>
      <c r="W1149" s="598" t="s">
        <v>3309</v>
      </c>
      <c r="X1149" s="598" t="s">
        <v>3309</v>
      </c>
      <c r="Y1149" s="598" t="s">
        <v>321</v>
      </c>
      <c r="Z1149" s="598" t="s">
        <v>321</v>
      </c>
      <c r="AA1149" s="598" t="s">
        <v>3309</v>
      </c>
      <c r="AB1149" s="598" t="s">
        <v>3309</v>
      </c>
      <c r="AC1149" s="598" t="s">
        <v>3309</v>
      </c>
      <c r="AD1149" s="598" t="s">
        <v>3309</v>
      </c>
      <c r="AE1149" s="598" t="s">
        <v>3309</v>
      </c>
      <c r="AF1149" s="598" t="s">
        <v>321</v>
      </c>
      <c r="AG1149" s="598" t="s">
        <v>321</v>
      </c>
      <c r="AH1149" s="598" t="s">
        <v>3309</v>
      </c>
      <c r="AI1149" s="598" t="s">
        <v>321</v>
      </c>
      <c r="AJ1149" s="599">
        <v>21</v>
      </c>
      <c r="AK1149" s="600">
        <v>21</v>
      </c>
      <c r="AL1149" s="601">
        <v>0</v>
      </c>
      <c r="AM1149" s="601">
        <v>0</v>
      </c>
      <c r="AN1149" s="599">
        <v>21</v>
      </c>
    </row>
    <row r="1150" spans="1:40" ht="16.5" customHeight="1">
      <c r="A1150" s="598" t="s">
        <v>3360</v>
      </c>
      <c r="B1150" s="598" t="s">
        <v>3364</v>
      </c>
      <c r="C1150" s="598" t="s">
        <v>2783</v>
      </c>
      <c r="D1150" s="598" t="s">
        <v>2784</v>
      </c>
      <c r="E1150" s="598" t="s">
        <v>321</v>
      </c>
      <c r="F1150" s="598" t="s">
        <v>3309</v>
      </c>
      <c r="G1150" s="598" t="s">
        <v>3309</v>
      </c>
      <c r="H1150" s="598" t="s">
        <v>3309</v>
      </c>
      <c r="I1150" s="598" t="s">
        <v>3309</v>
      </c>
      <c r="J1150" s="598" t="s">
        <v>3309</v>
      </c>
      <c r="K1150" s="598" t="s">
        <v>321</v>
      </c>
      <c r="L1150" s="598" t="s">
        <v>321</v>
      </c>
      <c r="M1150" s="598" t="s">
        <v>3309</v>
      </c>
      <c r="N1150" s="598" t="s">
        <v>3309</v>
      </c>
      <c r="O1150" s="598" t="s">
        <v>3309</v>
      </c>
      <c r="P1150" s="598" t="s">
        <v>3309</v>
      </c>
      <c r="Q1150" s="598" t="s">
        <v>3309</v>
      </c>
      <c r="R1150" s="598" t="s">
        <v>321</v>
      </c>
      <c r="S1150" s="598" t="s">
        <v>321</v>
      </c>
      <c r="T1150" s="598" t="s">
        <v>3309</v>
      </c>
      <c r="U1150" s="598" t="s">
        <v>3309</v>
      </c>
      <c r="V1150" s="598" t="s">
        <v>3309</v>
      </c>
      <c r="W1150" s="598" t="s">
        <v>3309</v>
      </c>
      <c r="X1150" s="598" t="s">
        <v>3309</v>
      </c>
      <c r="Y1150" s="598" t="s">
        <v>321</v>
      </c>
      <c r="Z1150" s="598" t="s">
        <v>321</v>
      </c>
      <c r="AA1150" s="598" t="s">
        <v>3309</v>
      </c>
      <c r="AB1150" s="598" t="s">
        <v>3309</v>
      </c>
      <c r="AC1150" s="598" t="s">
        <v>3309</v>
      </c>
      <c r="AD1150" s="598" t="s">
        <v>3309</v>
      </c>
      <c r="AE1150" s="598" t="s">
        <v>3309</v>
      </c>
      <c r="AF1150" s="598" t="s">
        <v>321</v>
      </c>
      <c r="AG1150" s="598" t="s">
        <v>321</v>
      </c>
      <c r="AH1150" s="598" t="s">
        <v>3309</v>
      </c>
      <c r="AI1150" s="598" t="s">
        <v>321</v>
      </c>
      <c r="AJ1150" s="599">
        <v>21</v>
      </c>
      <c r="AK1150" s="600">
        <v>21</v>
      </c>
      <c r="AL1150" s="601">
        <v>0</v>
      </c>
      <c r="AM1150" s="601">
        <v>0</v>
      </c>
      <c r="AN1150" s="599">
        <v>21</v>
      </c>
    </row>
    <row r="1151" spans="1:40" ht="16.5" customHeight="1">
      <c r="A1151" s="598" t="s">
        <v>3360</v>
      </c>
      <c r="B1151" s="598" t="s">
        <v>3364</v>
      </c>
      <c r="C1151" s="598" t="s">
        <v>1644</v>
      </c>
      <c r="D1151" s="598" t="s">
        <v>1645</v>
      </c>
      <c r="E1151" s="598" t="s">
        <v>321</v>
      </c>
      <c r="F1151" s="598" t="s">
        <v>3309</v>
      </c>
      <c r="G1151" s="598" t="s">
        <v>3309</v>
      </c>
      <c r="H1151" s="598" t="s">
        <v>3309</v>
      </c>
      <c r="I1151" s="598" t="s">
        <v>3309</v>
      </c>
      <c r="J1151" s="598" t="s">
        <v>3309</v>
      </c>
      <c r="K1151" s="598" t="s">
        <v>321</v>
      </c>
      <c r="L1151" s="598" t="s">
        <v>321</v>
      </c>
      <c r="M1151" s="598" t="s">
        <v>3309</v>
      </c>
      <c r="N1151" s="598" t="s">
        <v>3309</v>
      </c>
      <c r="O1151" s="598" t="s">
        <v>3309</v>
      </c>
      <c r="P1151" s="598" t="s">
        <v>3309</v>
      </c>
      <c r="Q1151" s="598" t="s">
        <v>3309</v>
      </c>
      <c r="R1151" s="598" t="s">
        <v>321</v>
      </c>
      <c r="S1151" s="598" t="s">
        <v>321</v>
      </c>
      <c r="T1151" s="598" t="s">
        <v>3309</v>
      </c>
      <c r="U1151" s="598" t="s">
        <v>3309</v>
      </c>
      <c r="V1151" s="598" t="s">
        <v>3309</v>
      </c>
      <c r="W1151" s="598" t="s">
        <v>3309</v>
      </c>
      <c r="X1151" s="598" t="s">
        <v>3309</v>
      </c>
      <c r="Y1151" s="598" t="s">
        <v>321</v>
      </c>
      <c r="Z1151" s="598" t="s">
        <v>321</v>
      </c>
      <c r="AA1151" s="598" t="s">
        <v>3309</v>
      </c>
      <c r="AB1151" s="598" t="s">
        <v>3309</v>
      </c>
      <c r="AC1151" s="598" t="s">
        <v>3309</v>
      </c>
      <c r="AD1151" s="598" t="s">
        <v>3309</v>
      </c>
      <c r="AE1151" s="598" t="s">
        <v>3309</v>
      </c>
      <c r="AF1151" s="598" t="s">
        <v>321</v>
      </c>
      <c r="AG1151" s="598" t="s">
        <v>321</v>
      </c>
      <c r="AH1151" s="598" t="s">
        <v>3309</v>
      </c>
      <c r="AI1151" s="598" t="s">
        <v>321</v>
      </c>
      <c r="AJ1151" s="599">
        <v>21</v>
      </c>
      <c r="AK1151" s="600">
        <v>21</v>
      </c>
      <c r="AL1151" s="601">
        <v>0</v>
      </c>
      <c r="AM1151" s="601">
        <v>0</v>
      </c>
      <c r="AN1151" s="599">
        <v>21</v>
      </c>
    </row>
    <row r="1152" spans="1:40" ht="16.5" customHeight="1">
      <c r="A1152" s="598" t="s">
        <v>3360</v>
      </c>
      <c r="B1152" s="598" t="s">
        <v>3364</v>
      </c>
      <c r="C1152" s="598" t="s">
        <v>2510</v>
      </c>
      <c r="D1152" s="598" t="s">
        <v>2076</v>
      </c>
      <c r="E1152" s="598" t="s">
        <v>321</v>
      </c>
      <c r="F1152" s="598" t="s">
        <v>3309</v>
      </c>
      <c r="G1152" s="598" t="s">
        <v>3309</v>
      </c>
      <c r="H1152" s="598" t="s">
        <v>3309</v>
      </c>
      <c r="I1152" s="598" t="s">
        <v>3309</v>
      </c>
      <c r="J1152" s="598" t="s">
        <v>3309</v>
      </c>
      <c r="K1152" s="598" t="s">
        <v>321</v>
      </c>
      <c r="L1152" s="598" t="s">
        <v>321</v>
      </c>
      <c r="M1152" s="598" t="s">
        <v>3309</v>
      </c>
      <c r="N1152" s="598" t="s">
        <v>3309</v>
      </c>
      <c r="O1152" s="598" t="s">
        <v>3309</v>
      </c>
      <c r="P1152" s="598" t="s">
        <v>3309</v>
      </c>
      <c r="Q1152" s="598" t="s">
        <v>3309</v>
      </c>
      <c r="R1152" s="598" t="s">
        <v>321</v>
      </c>
      <c r="S1152" s="598" t="s">
        <v>321</v>
      </c>
      <c r="T1152" s="598" t="s">
        <v>3309</v>
      </c>
      <c r="U1152" s="598" t="s">
        <v>3312</v>
      </c>
      <c r="V1152" s="598" t="s">
        <v>3309</v>
      </c>
      <c r="W1152" s="598" t="s">
        <v>3309</v>
      </c>
      <c r="X1152" s="598" t="s">
        <v>3309</v>
      </c>
      <c r="Y1152" s="598" t="s">
        <v>321</v>
      </c>
      <c r="Z1152" s="598" t="s">
        <v>321</v>
      </c>
      <c r="AA1152" s="598" t="s">
        <v>3309</v>
      </c>
      <c r="AB1152" s="598" t="s">
        <v>3309</v>
      </c>
      <c r="AC1152" s="598" t="s">
        <v>3309</v>
      </c>
      <c r="AD1152" s="598" t="s">
        <v>3309</v>
      </c>
      <c r="AE1152" s="598" t="s">
        <v>3309</v>
      </c>
      <c r="AF1152" s="598" t="s">
        <v>321</v>
      </c>
      <c r="AG1152" s="598" t="s">
        <v>321</v>
      </c>
      <c r="AH1152" s="598" t="s">
        <v>3309</v>
      </c>
      <c r="AI1152" s="598" t="s">
        <v>321</v>
      </c>
      <c r="AJ1152" s="599">
        <v>21</v>
      </c>
      <c r="AK1152" s="600">
        <v>20</v>
      </c>
      <c r="AL1152" s="602">
        <v>1</v>
      </c>
      <c r="AM1152" s="601">
        <v>0</v>
      </c>
      <c r="AN1152" s="599">
        <v>21</v>
      </c>
    </row>
    <row r="1153" spans="1:40" ht="16.5" customHeight="1">
      <c r="A1153" s="598" t="s">
        <v>3360</v>
      </c>
      <c r="B1153" s="598" t="s">
        <v>3364</v>
      </c>
      <c r="C1153" s="598" t="s">
        <v>2498</v>
      </c>
      <c r="D1153" s="598" t="s">
        <v>2499</v>
      </c>
      <c r="E1153" s="598" t="s">
        <v>321</v>
      </c>
      <c r="F1153" s="598" t="s">
        <v>3309</v>
      </c>
      <c r="G1153" s="598" t="s">
        <v>3309</v>
      </c>
      <c r="H1153" s="598" t="s">
        <v>3309</v>
      </c>
      <c r="I1153" s="598" t="s">
        <v>3309</v>
      </c>
      <c r="J1153" s="598" t="s">
        <v>3309</v>
      </c>
      <c r="K1153" s="598" t="s">
        <v>321</v>
      </c>
      <c r="L1153" s="598" t="s">
        <v>321</v>
      </c>
      <c r="M1153" s="598" t="s">
        <v>3309</v>
      </c>
      <c r="N1153" s="598" t="s">
        <v>3309</v>
      </c>
      <c r="O1153" s="598" t="s">
        <v>3309</v>
      </c>
      <c r="P1153" s="598" t="s">
        <v>3309</v>
      </c>
      <c r="Q1153" s="598" t="s">
        <v>3309</v>
      </c>
      <c r="R1153" s="598" t="s">
        <v>321</v>
      </c>
      <c r="S1153" s="598" t="s">
        <v>321</v>
      </c>
      <c r="T1153" s="598" t="s">
        <v>3309</v>
      </c>
      <c r="U1153" s="598" t="s">
        <v>3309</v>
      </c>
      <c r="V1153" s="598" t="s">
        <v>3365</v>
      </c>
      <c r="W1153" s="598" t="s">
        <v>3365</v>
      </c>
      <c r="X1153" s="598" t="s">
        <v>3365</v>
      </c>
      <c r="Y1153" s="598" t="s">
        <v>321</v>
      </c>
      <c r="Z1153" s="598" t="s">
        <v>321</v>
      </c>
      <c r="AA1153" s="598" t="s">
        <v>3313</v>
      </c>
      <c r="AB1153" s="598" t="s">
        <v>3313</v>
      </c>
      <c r="AC1153" s="598" t="s">
        <v>3313</v>
      </c>
      <c r="AD1153" s="598" t="s">
        <v>3309</v>
      </c>
      <c r="AE1153" s="598" t="s">
        <v>3309</v>
      </c>
      <c r="AF1153" s="598" t="s">
        <v>321</v>
      </c>
      <c r="AG1153" s="598" t="s">
        <v>321</v>
      </c>
      <c r="AH1153" s="598" t="s">
        <v>3309</v>
      </c>
      <c r="AI1153" s="598" t="s">
        <v>321</v>
      </c>
      <c r="AJ1153" s="599">
        <v>21</v>
      </c>
      <c r="AK1153" s="600">
        <v>18</v>
      </c>
      <c r="AL1153" s="601">
        <v>0</v>
      </c>
      <c r="AM1153" s="602">
        <v>3</v>
      </c>
      <c r="AN1153" s="599">
        <v>21</v>
      </c>
    </row>
    <row r="1154" spans="1:40" ht="16.5" customHeight="1">
      <c r="A1154" s="598" t="s">
        <v>3360</v>
      </c>
      <c r="B1154" s="598" t="s">
        <v>3364</v>
      </c>
      <c r="C1154" s="598" t="s">
        <v>2689</v>
      </c>
      <c r="D1154" s="598" t="s">
        <v>2690</v>
      </c>
      <c r="E1154" s="598" t="s">
        <v>321</v>
      </c>
      <c r="F1154" s="598" t="s">
        <v>3309</v>
      </c>
      <c r="G1154" s="598" t="s">
        <v>3309</v>
      </c>
      <c r="H1154" s="598" t="s">
        <v>3309</v>
      </c>
      <c r="I1154" s="598" t="s">
        <v>3309</v>
      </c>
      <c r="J1154" s="598" t="s">
        <v>3309</v>
      </c>
      <c r="K1154" s="598" t="s">
        <v>321</v>
      </c>
      <c r="L1154" s="598" t="s">
        <v>321</v>
      </c>
      <c r="M1154" s="598" t="s">
        <v>3309</v>
      </c>
      <c r="N1154" s="598" t="s">
        <v>3309</v>
      </c>
      <c r="O1154" s="598" t="s">
        <v>3309</v>
      </c>
      <c r="P1154" s="598" t="s">
        <v>3309</v>
      </c>
      <c r="Q1154" s="598" t="s">
        <v>3309</v>
      </c>
      <c r="R1154" s="598" t="s">
        <v>321</v>
      </c>
      <c r="S1154" s="598" t="s">
        <v>321</v>
      </c>
      <c r="T1154" s="598" t="s">
        <v>3309</v>
      </c>
      <c r="U1154" s="598" t="s">
        <v>3309</v>
      </c>
      <c r="V1154" s="598" t="s">
        <v>3309</v>
      </c>
      <c r="W1154" s="598" t="s">
        <v>3309</v>
      </c>
      <c r="X1154" s="598" t="s">
        <v>3309</v>
      </c>
      <c r="Y1154" s="598" t="s">
        <v>321</v>
      </c>
      <c r="Z1154" s="598" t="s">
        <v>321</v>
      </c>
      <c r="AA1154" s="598" t="s">
        <v>3309</v>
      </c>
      <c r="AB1154" s="598" t="s">
        <v>3309</v>
      </c>
      <c r="AC1154" s="598" t="s">
        <v>3309</v>
      </c>
      <c r="AD1154" s="598" t="s">
        <v>3309</v>
      </c>
      <c r="AE1154" s="598" t="s">
        <v>3309</v>
      </c>
      <c r="AF1154" s="598" t="s">
        <v>321</v>
      </c>
      <c r="AG1154" s="598" t="s">
        <v>321</v>
      </c>
      <c r="AH1154" s="598" t="s">
        <v>3309</v>
      </c>
      <c r="AI1154" s="598" t="s">
        <v>321</v>
      </c>
      <c r="AJ1154" s="599">
        <v>21</v>
      </c>
      <c r="AK1154" s="600">
        <v>21</v>
      </c>
      <c r="AL1154" s="601">
        <v>0</v>
      </c>
      <c r="AM1154" s="601">
        <v>0</v>
      </c>
      <c r="AN1154" s="599">
        <v>21</v>
      </c>
    </row>
    <row r="1155" spans="1:40" ht="16.5" customHeight="1">
      <c r="A1155" s="598" t="s">
        <v>3360</v>
      </c>
      <c r="B1155" s="598" t="s">
        <v>3366</v>
      </c>
      <c r="C1155" s="598" t="s">
        <v>2460</v>
      </c>
      <c r="D1155" s="598" t="s">
        <v>2461</v>
      </c>
      <c r="E1155" s="598" t="s">
        <v>321</v>
      </c>
      <c r="F1155" s="598" t="s">
        <v>3309</v>
      </c>
      <c r="G1155" s="598" t="s">
        <v>3309</v>
      </c>
      <c r="H1155" s="598" t="s">
        <v>3309</v>
      </c>
      <c r="I1155" s="598" t="s">
        <v>3309</v>
      </c>
      <c r="J1155" s="598" t="s">
        <v>3309</v>
      </c>
      <c r="K1155" s="598" t="s">
        <v>321</v>
      </c>
      <c r="L1155" s="598" t="s">
        <v>321</v>
      </c>
      <c r="M1155" s="598" t="s">
        <v>3309</v>
      </c>
      <c r="N1155" s="598" t="s">
        <v>3309</v>
      </c>
      <c r="O1155" s="598" t="s">
        <v>3309</v>
      </c>
      <c r="P1155" s="598" t="s">
        <v>3309</v>
      </c>
      <c r="Q1155" s="598" t="s">
        <v>3309</v>
      </c>
      <c r="R1155" s="598" t="s">
        <v>321</v>
      </c>
      <c r="S1155" s="598" t="s">
        <v>321</v>
      </c>
      <c r="T1155" s="598" t="s">
        <v>3309</v>
      </c>
      <c r="U1155" s="598" t="s">
        <v>3309</v>
      </c>
      <c r="V1155" s="598" t="s">
        <v>3309</v>
      </c>
      <c r="W1155" s="598" t="s">
        <v>3309</v>
      </c>
      <c r="X1155" s="598" t="s">
        <v>3309</v>
      </c>
      <c r="Y1155" s="598" t="s">
        <v>321</v>
      </c>
      <c r="Z1155" s="598" t="s">
        <v>321</v>
      </c>
      <c r="AA1155" s="598" t="s">
        <v>3309</v>
      </c>
      <c r="AB1155" s="598" t="s">
        <v>3309</v>
      </c>
      <c r="AC1155" s="598" t="s">
        <v>3309</v>
      </c>
      <c r="AD1155" s="598" t="s">
        <v>3309</v>
      </c>
      <c r="AE1155" s="598" t="s">
        <v>3309</v>
      </c>
      <c r="AF1155" s="598" t="s">
        <v>321</v>
      </c>
      <c r="AG1155" s="598" t="s">
        <v>321</v>
      </c>
      <c r="AH1155" s="598" t="s">
        <v>3309</v>
      </c>
      <c r="AI1155" s="598" t="s">
        <v>321</v>
      </c>
      <c r="AJ1155" s="599">
        <v>21</v>
      </c>
      <c r="AK1155" s="600">
        <v>21</v>
      </c>
      <c r="AL1155" s="601">
        <v>0</v>
      </c>
      <c r="AM1155" s="601">
        <v>0</v>
      </c>
      <c r="AN1155" s="599">
        <v>21</v>
      </c>
    </row>
    <row r="1156" spans="1:40" ht="16.5" customHeight="1">
      <c r="A1156" s="598" t="s">
        <v>3360</v>
      </c>
      <c r="B1156" s="598" t="s">
        <v>3366</v>
      </c>
      <c r="C1156" s="598" t="s">
        <v>1510</v>
      </c>
      <c r="D1156" s="598" t="s">
        <v>1511</v>
      </c>
      <c r="E1156" s="598" t="s">
        <v>321</v>
      </c>
      <c r="F1156" s="598" t="s">
        <v>3309</v>
      </c>
      <c r="G1156" s="598" t="s">
        <v>3309</v>
      </c>
      <c r="H1156" s="598" t="s">
        <v>3309</v>
      </c>
      <c r="I1156" s="598" t="s">
        <v>3309</v>
      </c>
      <c r="J1156" s="598" t="s">
        <v>3309</v>
      </c>
      <c r="K1156" s="598" t="s">
        <v>321</v>
      </c>
      <c r="L1156" s="598" t="s">
        <v>321</v>
      </c>
      <c r="M1156" s="598" t="s">
        <v>3309</v>
      </c>
      <c r="N1156" s="598" t="s">
        <v>3309</v>
      </c>
      <c r="O1156" s="598" t="s">
        <v>3309</v>
      </c>
      <c r="P1156" s="598" t="s">
        <v>3309</v>
      </c>
      <c r="Q1156" s="598" t="s">
        <v>3309</v>
      </c>
      <c r="R1156" s="598" t="s">
        <v>321</v>
      </c>
      <c r="S1156" s="598" t="s">
        <v>321</v>
      </c>
      <c r="T1156" s="598" t="s">
        <v>3309</v>
      </c>
      <c r="U1156" s="598" t="s">
        <v>3309</v>
      </c>
      <c r="V1156" s="598" t="s">
        <v>3309</v>
      </c>
      <c r="W1156" s="598" t="s">
        <v>3309</v>
      </c>
      <c r="X1156" s="598" t="s">
        <v>3309</v>
      </c>
      <c r="Y1156" s="598" t="s">
        <v>321</v>
      </c>
      <c r="Z1156" s="598" t="s">
        <v>321</v>
      </c>
      <c r="AA1156" s="598" t="s">
        <v>3309</v>
      </c>
      <c r="AB1156" s="598" t="s">
        <v>3309</v>
      </c>
      <c r="AC1156" s="598" t="s">
        <v>3309</v>
      </c>
      <c r="AD1156" s="598" t="s">
        <v>3309</v>
      </c>
      <c r="AE1156" s="598" t="s">
        <v>3309</v>
      </c>
      <c r="AF1156" s="598" t="s">
        <v>321</v>
      </c>
      <c r="AG1156" s="598" t="s">
        <v>321</v>
      </c>
      <c r="AH1156" s="598" t="s">
        <v>3309</v>
      </c>
      <c r="AI1156" s="598" t="s">
        <v>321</v>
      </c>
      <c r="AJ1156" s="599">
        <v>21</v>
      </c>
      <c r="AK1156" s="600">
        <v>21</v>
      </c>
      <c r="AL1156" s="601">
        <v>0</v>
      </c>
      <c r="AM1156" s="601">
        <v>0</v>
      </c>
      <c r="AN1156" s="599">
        <v>21</v>
      </c>
    </row>
    <row r="1157" spans="1:40" ht="16.5" customHeight="1">
      <c r="A1157" s="598" t="s">
        <v>3360</v>
      </c>
      <c r="B1157" s="598" t="s">
        <v>3366</v>
      </c>
      <c r="C1157" s="598" t="s">
        <v>2697</v>
      </c>
      <c r="D1157" s="598" t="s">
        <v>2698</v>
      </c>
      <c r="E1157" s="598" t="s">
        <v>321</v>
      </c>
      <c r="F1157" s="598" t="s">
        <v>3309</v>
      </c>
      <c r="G1157" s="598" t="s">
        <v>3309</v>
      </c>
      <c r="H1157" s="598" t="s">
        <v>3309</v>
      </c>
      <c r="I1157" s="598" t="s">
        <v>3309</v>
      </c>
      <c r="J1157" s="598" t="s">
        <v>3309</v>
      </c>
      <c r="K1157" s="598" t="s">
        <v>321</v>
      </c>
      <c r="L1157" s="598" t="s">
        <v>321</v>
      </c>
      <c r="M1157" s="598" t="s">
        <v>3309</v>
      </c>
      <c r="N1157" s="598" t="s">
        <v>3309</v>
      </c>
      <c r="O1157" s="598" t="s">
        <v>3309</v>
      </c>
      <c r="P1157" s="598" t="s">
        <v>3309</v>
      </c>
      <c r="Q1157" s="598" t="s">
        <v>3309</v>
      </c>
      <c r="R1157" s="598" t="s">
        <v>321</v>
      </c>
      <c r="S1157" s="598" t="s">
        <v>321</v>
      </c>
      <c r="T1157" s="598" t="s">
        <v>3309</v>
      </c>
      <c r="U1157" s="598" t="s">
        <v>3309</v>
      </c>
      <c r="V1157" s="598" t="s">
        <v>3309</v>
      </c>
      <c r="W1157" s="598" t="s">
        <v>3309</v>
      </c>
      <c r="X1157" s="598" t="s">
        <v>3309</v>
      </c>
      <c r="Y1157" s="598" t="s">
        <v>321</v>
      </c>
      <c r="Z1157" s="598" t="s">
        <v>321</v>
      </c>
      <c r="AA1157" s="598" t="s">
        <v>3309</v>
      </c>
      <c r="AB1157" s="598" t="s">
        <v>3309</v>
      </c>
      <c r="AC1157" s="598" t="s">
        <v>3309</v>
      </c>
      <c r="AD1157" s="598" t="s">
        <v>3309</v>
      </c>
      <c r="AE1157" s="598" t="s">
        <v>3309</v>
      </c>
      <c r="AF1157" s="598" t="s">
        <v>321</v>
      </c>
      <c r="AG1157" s="598" t="s">
        <v>321</v>
      </c>
      <c r="AH1157" s="598" t="s">
        <v>3309</v>
      </c>
      <c r="AI1157" s="598" t="s">
        <v>321</v>
      </c>
      <c r="AJ1157" s="599">
        <v>21</v>
      </c>
      <c r="AK1157" s="600">
        <v>21</v>
      </c>
      <c r="AL1157" s="601">
        <v>0</v>
      </c>
      <c r="AM1157" s="601">
        <v>0</v>
      </c>
      <c r="AN1157" s="599">
        <v>21</v>
      </c>
    </row>
    <row r="1158" spans="1:40" ht="16.5" customHeight="1">
      <c r="A1158" s="598" t="s">
        <v>3360</v>
      </c>
      <c r="B1158" s="598" t="s">
        <v>3367</v>
      </c>
      <c r="C1158" s="598" t="s">
        <v>473</v>
      </c>
      <c r="D1158" s="598" t="s">
        <v>474</v>
      </c>
      <c r="E1158" s="598" t="s">
        <v>321</v>
      </c>
      <c r="F1158" s="598" t="s">
        <v>3309</v>
      </c>
      <c r="G1158" s="598" t="s">
        <v>3309</v>
      </c>
      <c r="H1158" s="598" t="s">
        <v>3309</v>
      </c>
      <c r="I1158" s="598" t="s">
        <v>3312</v>
      </c>
      <c r="J1158" s="598" t="s">
        <v>3312</v>
      </c>
      <c r="K1158" s="598" t="s">
        <v>321</v>
      </c>
      <c r="L1158" s="598" t="s">
        <v>321</v>
      </c>
      <c r="M1158" s="598" t="s">
        <v>3309</v>
      </c>
      <c r="N1158" s="598" t="s">
        <v>3309</v>
      </c>
      <c r="O1158" s="598" t="s">
        <v>3309</v>
      </c>
      <c r="P1158" s="598" t="s">
        <v>3309</v>
      </c>
      <c r="Q1158" s="598" t="s">
        <v>3309</v>
      </c>
      <c r="R1158" s="598" t="s">
        <v>321</v>
      </c>
      <c r="S1158" s="598" t="s">
        <v>321</v>
      </c>
      <c r="T1158" s="598" t="s">
        <v>3309</v>
      </c>
      <c r="U1158" s="598" t="s">
        <v>3309</v>
      </c>
      <c r="V1158" s="598" t="s">
        <v>3309</v>
      </c>
      <c r="W1158" s="598" t="s">
        <v>3309</v>
      </c>
      <c r="X1158" s="598" t="s">
        <v>3309</v>
      </c>
      <c r="Y1158" s="598" t="s">
        <v>321</v>
      </c>
      <c r="Z1158" s="598" t="s">
        <v>321</v>
      </c>
      <c r="AA1158" s="598" t="s">
        <v>3313</v>
      </c>
      <c r="AB1158" s="598" t="s">
        <v>3313</v>
      </c>
      <c r="AC1158" s="598" t="s">
        <v>3313</v>
      </c>
      <c r="AD1158" s="598" t="s">
        <v>3309</v>
      </c>
      <c r="AE1158" s="598" t="s">
        <v>3309</v>
      </c>
      <c r="AF1158" s="598" t="s">
        <v>321</v>
      </c>
      <c r="AG1158" s="598" t="s">
        <v>321</v>
      </c>
      <c r="AH1158" s="598" t="s">
        <v>3309</v>
      </c>
      <c r="AI1158" s="598" t="s">
        <v>321</v>
      </c>
      <c r="AJ1158" s="599">
        <v>21</v>
      </c>
      <c r="AK1158" s="600">
        <v>19</v>
      </c>
      <c r="AL1158" s="602">
        <v>2</v>
      </c>
      <c r="AM1158" s="601">
        <v>0</v>
      </c>
      <c r="AN1158" s="599">
        <v>21</v>
      </c>
    </row>
    <row r="1159" spans="1:40" ht="16.5" customHeight="1">
      <c r="A1159" s="598" t="s">
        <v>3360</v>
      </c>
      <c r="B1159" s="598" t="s">
        <v>3367</v>
      </c>
      <c r="C1159" s="598" t="s">
        <v>2647</v>
      </c>
      <c r="D1159" s="598" t="s">
        <v>2648</v>
      </c>
      <c r="E1159" s="598" t="s">
        <v>321</v>
      </c>
      <c r="F1159" s="598" t="s">
        <v>3309</v>
      </c>
      <c r="G1159" s="598" t="s">
        <v>3309</v>
      </c>
      <c r="H1159" s="598" t="s">
        <v>3309</v>
      </c>
      <c r="I1159" s="598" t="s">
        <v>3309</v>
      </c>
      <c r="J1159" s="598" t="s">
        <v>3309</v>
      </c>
      <c r="K1159" s="598" t="s">
        <v>321</v>
      </c>
      <c r="L1159" s="598" t="s">
        <v>321</v>
      </c>
      <c r="M1159" s="598" t="s">
        <v>3309</v>
      </c>
      <c r="N1159" s="598" t="s">
        <v>3309</v>
      </c>
      <c r="O1159" s="598" t="s">
        <v>3309</v>
      </c>
      <c r="P1159" s="598" t="s">
        <v>3309</v>
      </c>
      <c r="Q1159" s="598" t="s">
        <v>3309</v>
      </c>
      <c r="R1159" s="598" t="s">
        <v>321</v>
      </c>
      <c r="S1159" s="598" t="s">
        <v>321</v>
      </c>
      <c r="T1159" s="598" t="s">
        <v>3309</v>
      </c>
      <c r="U1159" s="598" t="s">
        <v>3309</v>
      </c>
      <c r="V1159" s="598" t="s">
        <v>3309</v>
      </c>
      <c r="W1159" s="598" t="s">
        <v>3309</v>
      </c>
      <c r="X1159" s="598" t="s">
        <v>3309</v>
      </c>
      <c r="Y1159" s="598" t="s">
        <v>321</v>
      </c>
      <c r="Z1159" s="598" t="s">
        <v>321</v>
      </c>
      <c r="AA1159" s="598" t="s">
        <v>3309</v>
      </c>
      <c r="AB1159" s="598" t="s">
        <v>3309</v>
      </c>
      <c r="AC1159" s="598" t="s">
        <v>3309</v>
      </c>
      <c r="AD1159" s="598" t="s">
        <v>3309</v>
      </c>
      <c r="AE1159" s="598" t="s">
        <v>3309</v>
      </c>
      <c r="AF1159" s="598" t="s">
        <v>321</v>
      </c>
      <c r="AG1159" s="598" t="s">
        <v>321</v>
      </c>
      <c r="AH1159" s="598" t="s">
        <v>3309</v>
      </c>
      <c r="AI1159" s="598" t="s">
        <v>321</v>
      </c>
      <c r="AJ1159" s="599">
        <v>21</v>
      </c>
      <c r="AK1159" s="600">
        <v>21</v>
      </c>
      <c r="AL1159" s="601">
        <v>0</v>
      </c>
      <c r="AM1159" s="601">
        <v>0</v>
      </c>
      <c r="AN1159" s="599">
        <v>21</v>
      </c>
    </row>
    <row r="1160" spans="1:40" ht="16.5" customHeight="1">
      <c r="A1160" s="598" t="s">
        <v>3360</v>
      </c>
      <c r="B1160" s="598" t="s">
        <v>3367</v>
      </c>
      <c r="C1160" s="598" t="s">
        <v>2039</v>
      </c>
      <c r="D1160" s="598" t="s">
        <v>731</v>
      </c>
      <c r="E1160" s="598" t="s">
        <v>321</v>
      </c>
      <c r="F1160" s="598" t="s">
        <v>3309</v>
      </c>
      <c r="G1160" s="598" t="s">
        <v>3309</v>
      </c>
      <c r="H1160" s="598" t="s">
        <v>3309</v>
      </c>
      <c r="I1160" s="598" t="s">
        <v>3309</v>
      </c>
      <c r="J1160" s="598" t="s">
        <v>3309</v>
      </c>
      <c r="K1160" s="598" t="s">
        <v>321</v>
      </c>
      <c r="L1160" s="598" t="s">
        <v>321</v>
      </c>
      <c r="M1160" s="598" t="s">
        <v>3309</v>
      </c>
      <c r="N1160" s="598" t="s">
        <v>3309</v>
      </c>
      <c r="O1160" s="598" t="s">
        <v>3309</v>
      </c>
      <c r="P1160" s="598" t="s">
        <v>3309</v>
      </c>
      <c r="Q1160" s="598" t="s">
        <v>3309</v>
      </c>
      <c r="R1160" s="598" t="s">
        <v>321</v>
      </c>
      <c r="S1160" s="598" t="s">
        <v>321</v>
      </c>
      <c r="T1160" s="598" t="s">
        <v>3309</v>
      </c>
      <c r="U1160" s="598" t="s">
        <v>3309</v>
      </c>
      <c r="V1160" s="598" t="s">
        <v>3309</v>
      </c>
      <c r="W1160" s="598" t="s">
        <v>3309</v>
      </c>
      <c r="X1160" s="598" t="s">
        <v>3309</v>
      </c>
      <c r="Y1160" s="598" t="s">
        <v>321</v>
      </c>
      <c r="Z1160" s="598" t="s">
        <v>321</v>
      </c>
      <c r="AA1160" s="598" t="s">
        <v>3309</v>
      </c>
      <c r="AB1160" s="598" t="s">
        <v>3309</v>
      </c>
      <c r="AC1160" s="598" t="s">
        <v>3309</v>
      </c>
      <c r="AD1160" s="598" t="s">
        <v>3309</v>
      </c>
      <c r="AE1160" s="598" t="s">
        <v>3309</v>
      </c>
      <c r="AF1160" s="598" t="s">
        <v>321</v>
      </c>
      <c r="AG1160" s="598" t="s">
        <v>321</v>
      </c>
      <c r="AH1160" s="598" t="s">
        <v>3309</v>
      </c>
      <c r="AI1160" s="598" t="s">
        <v>321</v>
      </c>
      <c r="AJ1160" s="599">
        <v>21</v>
      </c>
      <c r="AK1160" s="600">
        <v>21</v>
      </c>
      <c r="AL1160" s="601">
        <v>0</v>
      </c>
      <c r="AM1160" s="601">
        <v>0</v>
      </c>
      <c r="AN1160" s="599">
        <v>21</v>
      </c>
    </row>
    <row r="1161" spans="1:40" ht="16.5" customHeight="1">
      <c r="A1161" s="598" t="s">
        <v>3360</v>
      </c>
      <c r="B1161" s="598" t="s">
        <v>3367</v>
      </c>
      <c r="C1161" s="598" t="s">
        <v>1946</v>
      </c>
      <c r="D1161" s="598" t="s">
        <v>1947</v>
      </c>
      <c r="E1161" s="598" t="s">
        <v>321</v>
      </c>
      <c r="F1161" s="598" t="s">
        <v>3309</v>
      </c>
      <c r="G1161" s="598" t="s">
        <v>3309</v>
      </c>
      <c r="H1161" s="598" t="s">
        <v>3309</v>
      </c>
      <c r="I1161" s="598" t="s">
        <v>3309</v>
      </c>
      <c r="J1161" s="598" t="s">
        <v>3309</v>
      </c>
      <c r="K1161" s="598" t="s">
        <v>321</v>
      </c>
      <c r="L1161" s="598" t="s">
        <v>321</v>
      </c>
      <c r="M1161" s="598" t="s">
        <v>3313</v>
      </c>
      <c r="N1161" s="598" t="s">
        <v>3313</v>
      </c>
      <c r="O1161" s="598" t="s">
        <v>3313</v>
      </c>
      <c r="P1161" s="598" t="s">
        <v>3312</v>
      </c>
      <c r="Q1161" s="598" t="s">
        <v>3312</v>
      </c>
      <c r="R1161" s="598" t="s">
        <v>321</v>
      </c>
      <c r="S1161" s="598" t="s">
        <v>321</v>
      </c>
      <c r="T1161" s="598" t="s">
        <v>3317</v>
      </c>
      <c r="U1161" s="598" t="s">
        <v>3317</v>
      </c>
      <c r="V1161" s="598" t="s">
        <v>3317</v>
      </c>
      <c r="W1161" s="598" t="s">
        <v>3317</v>
      </c>
      <c r="X1161" s="598" t="s">
        <v>3317</v>
      </c>
      <c r="Y1161" s="598" t="s">
        <v>321</v>
      </c>
      <c r="Z1161" s="598" t="s">
        <v>321</v>
      </c>
      <c r="AA1161" s="598" t="s">
        <v>3317</v>
      </c>
      <c r="AB1161" s="598" t="s">
        <v>3317</v>
      </c>
      <c r="AC1161" s="598" t="s">
        <v>3317</v>
      </c>
      <c r="AD1161" s="598" t="s">
        <v>3317</v>
      </c>
      <c r="AE1161" s="598" t="s">
        <v>3317</v>
      </c>
      <c r="AF1161" s="598" t="s">
        <v>321</v>
      </c>
      <c r="AG1161" s="598" t="s">
        <v>321</v>
      </c>
      <c r="AH1161" s="598" t="s">
        <v>3317</v>
      </c>
      <c r="AI1161" s="598" t="s">
        <v>321</v>
      </c>
      <c r="AJ1161" s="599">
        <v>21</v>
      </c>
      <c r="AK1161" s="602">
        <v>8</v>
      </c>
      <c r="AL1161" s="602">
        <v>2</v>
      </c>
      <c r="AM1161" s="601">
        <v>0</v>
      </c>
      <c r="AN1161" s="599">
        <v>10</v>
      </c>
    </row>
    <row r="1162" spans="1:40" ht="16.5" customHeight="1">
      <c r="A1162" s="598" t="s">
        <v>3360</v>
      </c>
      <c r="B1162" s="598" t="s">
        <v>3367</v>
      </c>
      <c r="C1162" s="598" t="s">
        <v>2609</v>
      </c>
      <c r="D1162" s="598" t="s">
        <v>2610</v>
      </c>
      <c r="E1162" s="598" t="s">
        <v>321</v>
      </c>
      <c r="F1162" s="598" t="s">
        <v>3309</v>
      </c>
      <c r="G1162" s="598" t="s">
        <v>3309</v>
      </c>
      <c r="H1162" s="598" t="s">
        <v>3309</v>
      </c>
      <c r="I1162" s="598" t="s">
        <v>3309</v>
      </c>
      <c r="J1162" s="598" t="s">
        <v>3309</v>
      </c>
      <c r="K1162" s="598" t="s">
        <v>321</v>
      </c>
      <c r="L1162" s="598" t="s">
        <v>321</v>
      </c>
      <c r="M1162" s="598" t="s">
        <v>3309</v>
      </c>
      <c r="N1162" s="598" t="s">
        <v>3309</v>
      </c>
      <c r="O1162" s="598" t="s">
        <v>3309</v>
      </c>
      <c r="P1162" s="598" t="s">
        <v>3309</v>
      </c>
      <c r="Q1162" s="598" t="s">
        <v>3309</v>
      </c>
      <c r="R1162" s="598" t="s">
        <v>321</v>
      </c>
      <c r="S1162" s="598" t="s">
        <v>321</v>
      </c>
      <c r="T1162" s="598" t="s">
        <v>3309</v>
      </c>
      <c r="U1162" s="598" t="s">
        <v>3309</v>
      </c>
      <c r="V1162" s="598" t="s">
        <v>3309</v>
      </c>
      <c r="W1162" s="598" t="s">
        <v>3309</v>
      </c>
      <c r="X1162" s="598" t="s">
        <v>3309</v>
      </c>
      <c r="Y1162" s="598" t="s">
        <v>321</v>
      </c>
      <c r="Z1162" s="598" t="s">
        <v>321</v>
      </c>
      <c r="AA1162" s="598" t="s">
        <v>3309</v>
      </c>
      <c r="AB1162" s="598" t="s">
        <v>3309</v>
      </c>
      <c r="AC1162" s="598" t="s">
        <v>3309</v>
      </c>
      <c r="AD1162" s="598" t="s">
        <v>3309</v>
      </c>
      <c r="AE1162" s="598" t="s">
        <v>3309</v>
      </c>
      <c r="AF1162" s="598" t="s">
        <v>321</v>
      </c>
      <c r="AG1162" s="598" t="s">
        <v>321</v>
      </c>
      <c r="AH1162" s="598" t="s">
        <v>3309</v>
      </c>
      <c r="AI1162" s="598" t="s">
        <v>321</v>
      </c>
      <c r="AJ1162" s="599">
        <v>21</v>
      </c>
      <c r="AK1162" s="600">
        <v>21</v>
      </c>
      <c r="AL1162" s="601">
        <v>0</v>
      </c>
      <c r="AM1162" s="601">
        <v>0</v>
      </c>
      <c r="AN1162" s="599">
        <v>21</v>
      </c>
    </row>
    <row r="1163" spans="1:40" ht="16.5" customHeight="1">
      <c r="A1163" s="598" t="s">
        <v>3360</v>
      </c>
      <c r="B1163" s="598" t="s">
        <v>3367</v>
      </c>
      <c r="C1163" s="598" t="s">
        <v>549</v>
      </c>
      <c r="D1163" s="598" t="s">
        <v>550</v>
      </c>
      <c r="E1163" s="598" t="s">
        <v>321</v>
      </c>
      <c r="F1163" s="598" t="s">
        <v>3309</v>
      </c>
      <c r="G1163" s="598" t="s">
        <v>3309</v>
      </c>
      <c r="H1163" s="598" t="s">
        <v>3309</v>
      </c>
      <c r="I1163" s="598" t="s">
        <v>3309</v>
      </c>
      <c r="J1163" s="598" t="s">
        <v>3309</v>
      </c>
      <c r="K1163" s="598" t="s">
        <v>321</v>
      </c>
      <c r="L1163" s="598" t="s">
        <v>321</v>
      </c>
      <c r="M1163" s="598" t="s">
        <v>3312</v>
      </c>
      <c r="N1163" s="598" t="s">
        <v>3309</v>
      </c>
      <c r="O1163" s="598" t="s">
        <v>3309</v>
      </c>
      <c r="P1163" s="598" t="s">
        <v>3309</v>
      </c>
      <c r="Q1163" s="598" t="s">
        <v>3309</v>
      </c>
      <c r="R1163" s="598" t="s">
        <v>321</v>
      </c>
      <c r="S1163" s="598" t="s">
        <v>321</v>
      </c>
      <c r="T1163" s="598" t="s">
        <v>3309</v>
      </c>
      <c r="U1163" s="598" t="s">
        <v>3309</v>
      </c>
      <c r="V1163" s="598" t="s">
        <v>3309</v>
      </c>
      <c r="W1163" s="598" t="s">
        <v>3309</v>
      </c>
      <c r="X1163" s="598" t="s">
        <v>3309</v>
      </c>
      <c r="Y1163" s="598" t="s">
        <v>321</v>
      </c>
      <c r="Z1163" s="598" t="s">
        <v>321</v>
      </c>
      <c r="AA1163" s="598" t="s">
        <v>3309</v>
      </c>
      <c r="AB1163" s="598" t="s">
        <v>3309</v>
      </c>
      <c r="AC1163" s="598" t="s">
        <v>3309</v>
      </c>
      <c r="AD1163" s="598" t="s">
        <v>3309</v>
      </c>
      <c r="AE1163" s="598" t="s">
        <v>3309</v>
      </c>
      <c r="AF1163" s="598" t="s">
        <v>321</v>
      </c>
      <c r="AG1163" s="598" t="s">
        <v>321</v>
      </c>
      <c r="AH1163" s="598" t="s">
        <v>3309</v>
      </c>
      <c r="AI1163" s="598" t="s">
        <v>321</v>
      </c>
      <c r="AJ1163" s="599">
        <v>21</v>
      </c>
      <c r="AK1163" s="600">
        <v>20</v>
      </c>
      <c r="AL1163" s="602">
        <v>1</v>
      </c>
      <c r="AM1163" s="601">
        <v>0</v>
      </c>
      <c r="AN1163" s="599">
        <v>21</v>
      </c>
    </row>
    <row r="1164" spans="1:40" ht="16.5" customHeight="1">
      <c r="A1164" s="598" t="s">
        <v>3360</v>
      </c>
      <c r="B1164" s="598" t="s">
        <v>3367</v>
      </c>
      <c r="C1164" s="598" t="s">
        <v>2220</v>
      </c>
      <c r="D1164" s="598" t="s">
        <v>2221</v>
      </c>
      <c r="E1164" s="598" t="s">
        <v>321</v>
      </c>
      <c r="F1164" s="598" t="s">
        <v>3309</v>
      </c>
      <c r="G1164" s="598" t="s">
        <v>3312</v>
      </c>
      <c r="H1164" s="598" t="s">
        <v>3309</v>
      </c>
      <c r="I1164" s="598" t="s">
        <v>3309</v>
      </c>
      <c r="J1164" s="598" t="s">
        <v>3309</v>
      </c>
      <c r="K1164" s="598" t="s">
        <v>321</v>
      </c>
      <c r="L1164" s="598" t="s">
        <v>321</v>
      </c>
      <c r="M1164" s="598" t="s">
        <v>3309</v>
      </c>
      <c r="N1164" s="598" t="s">
        <v>3309</v>
      </c>
      <c r="O1164" s="598" t="s">
        <v>3309</v>
      </c>
      <c r="P1164" s="598" t="s">
        <v>3309</v>
      </c>
      <c r="Q1164" s="598" t="s">
        <v>3309</v>
      </c>
      <c r="R1164" s="598" t="s">
        <v>321</v>
      </c>
      <c r="S1164" s="598" t="s">
        <v>321</v>
      </c>
      <c r="T1164" s="598" t="s">
        <v>3313</v>
      </c>
      <c r="U1164" s="598" t="s">
        <v>3313</v>
      </c>
      <c r="V1164" s="598" t="s">
        <v>3309</v>
      </c>
      <c r="W1164" s="598" t="s">
        <v>3309</v>
      </c>
      <c r="X1164" s="598" t="s">
        <v>3309</v>
      </c>
      <c r="Y1164" s="598" t="s">
        <v>321</v>
      </c>
      <c r="Z1164" s="598" t="s">
        <v>321</v>
      </c>
      <c r="AA1164" s="598" t="s">
        <v>3309</v>
      </c>
      <c r="AB1164" s="598" t="s">
        <v>3309</v>
      </c>
      <c r="AC1164" s="598" t="s">
        <v>3309</v>
      </c>
      <c r="AD1164" s="598" t="s">
        <v>3309</v>
      </c>
      <c r="AE1164" s="598" t="s">
        <v>3309</v>
      </c>
      <c r="AF1164" s="598" t="s">
        <v>321</v>
      </c>
      <c r="AG1164" s="598" t="s">
        <v>321</v>
      </c>
      <c r="AH1164" s="598" t="s">
        <v>3309</v>
      </c>
      <c r="AI1164" s="598" t="s">
        <v>321</v>
      </c>
      <c r="AJ1164" s="599">
        <v>21</v>
      </c>
      <c r="AK1164" s="600">
        <v>20</v>
      </c>
      <c r="AL1164" s="602">
        <v>1</v>
      </c>
      <c r="AM1164" s="601">
        <v>0</v>
      </c>
      <c r="AN1164" s="599">
        <v>21</v>
      </c>
    </row>
    <row r="1165" spans="1:40" ht="16.5" customHeight="1">
      <c r="A1165" s="598" t="s">
        <v>3360</v>
      </c>
      <c r="B1165" s="598" t="s">
        <v>3367</v>
      </c>
      <c r="C1165" s="598" t="s">
        <v>1550</v>
      </c>
      <c r="D1165" s="598" t="s">
        <v>1551</v>
      </c>
      <c r="E1165" s="598" t="s">
        <v>321</v>
      </c>
      <c r="F1165" s="598" t="s">
        <v>3309</v>
      </c>
      <c r="G1165" s="598" t="s">
        <v>3309</v>
      </c>
      <c r="H1165" s="598" t="s">
        <v>3309</v>
      </c>
      <c r="I1165" s="598" t="s">
        <v>3309</v>
      </c>
      <c r="J1165" s="598" t="s">
        <v>3309</v>
      </c>
      <c r="K1165" s="598" t="s">
        <v>321</v>
      </c>
      <c r="L1165" s="598" t="s">
        <v>321</v>
      </c>
      <c r="M1165" s="598" t="s">
        <v>3309</v>
      </c>
      <c r="N1165" s="598" t="s">
        <v>3309</v>
      </c>
      <c r="O1165" s="598" t="s">
        <v>3312</v>
      </c>
      <c r="P1165" s="598" t="s">
        <v>3309</v>
      </c>
      <c r="Q1165" s="598" t="s">
        <v>3309</v>
      </c>
      <c r="R1165" s="598" t="s">
        <v>321</v>
      </c>
      <c r="S1165" s="598" t="s">
        <v>321</v>
      </c>
      <c r="T1165" s="598" t="s">
        <v>3309</v>
      </c>
      <c r="U1165" s="598" t="s">
        <v>3309</v>
      </c>
      <c r="V1165" s="598" t="s">
        <v>3309</v>
      </c>
      <c r="W1165" s="598" t="s">
        <v>3309</v>
      </c>
      <c r="X1165" s="598" t="s">
        <v>3309</v>
      </c>
      <c r="Y1165" s="598" t="s">
        <v>321</v>
      </c>
      <c r="Z1165" s="598" t="s">
        <v>321</v>
      </c>
      <c r="AA1165" s="598" t="s">
        <v>3309</v>
      </c>
      <c r="AB1165" s="598" t="s">
        <v>3309</v>
      </c>
      <c r="AC1165" s="598" t="s">
        <v>3309</v>
      </c>
      <c r="AD1165" s="598" t="s">
        <v>3309</v>
      </c>
      <c r="AE1165" s="598" t="s">
        <v>3309</v>
      </c>
      <c r="AF1165" s="598" t="s">
        <v>321</v>
      </c>
      <c r="AG1165" s="598" t="s">
        <v>321</v>
      </c>
      <c r="AH1165" s="598" t="s">
        <v>3309</v>
      </c>
      <c r="AI1165" s="598" t="s">
        <v>321</v>
      </c>
      <c r="AJ1165" s="599">
        <v>21</v>
      </c>
      <c r="AK1165" s="600">
        <v>20</v>
      </c>
      <c r="AL1165" s="602">
        <v>1</v>
      </c>
      <c r="AM1165" s="601">
        <v>0</v>
      </c>
      <c r="AN1165" s="599">
        <v>21</v>
      </c>
    </row>
    <row r="1166" spans="1:40" ht="16.5" customHeight="1">
      <c r="A1166" s="598" t="s">
        <v>3360</v>
      </c>
      <c r="B1166" s="598" t="s">
        <v>3367</v>
      </c>
      <c r="C1166" s="598" t="s">
        <v>1387</v>
      </c>
      <c r="D1166" s="598" t="s">
        <v>1388</v>
      </c>
      <c r="E1166" s="598" t="s">
        <v>321</v>
      </c>
      <c r="F1166" s="598" t="s">
        <v>3309</v>
      </c>
      <c r="G1166" s="598" t="s">
        <v>3309</v>
      </c>
      <c r="H1166" s="598" t="s">
        <v>3309</v>
      </c>
      <c r="I1166" s="598" t="s">
        <v>3309</v>
      </c>
      <c r="J1166" s="598" t="s">
        <v>3309</v>
      </c>
      <c r="K1166" s="598" t="s">
        <v>321</v>
      </c>
      <c r="L1166" s="598" t="s">
        <v>321</v>
      </c>
      <c r="M1166" s="598" t="s">
        <v>3309</v>
      </c>
      <c r="N1166" s="598" t="s">
        <v>3309</v>
      </c>
      <c r="O1166" s="598" t="s">
        <v>3309</v>
      </c>
      <c r="P1166" s="598" t="s">
        <v>3309</v>
      </c>
      <c r="Q1166" s="598" t="s">
        <v>3309</v>
      </c>
      <c r="R1166" s="598" t="s">
        <v>321</v>
      </c>
      <c r="S1166" s="598" t="s">
        <v>321</v>
      </c>
      <c r="T1166" s="598" t="s">
        <v>3309</v>
      </c>
      <c r="U1166" s="598" t="s">
        <v>3309</v>
      </c>
      <c r="V1166" s="598" t="s">
        <v>3309</v>
      </c>
      <c r="W1166" s="598" t="s">
        <v>3309</v>
      </c>
      <c r="X1166" s="598" t="s">
        <v>3309</v>
      </c>
      <c r="Y1166" s="598" t="s">
        <v>321</v>
      </c>
      <c r="Z1166" s="598" t="s">
        <v>321</v>
      </c>
      <c r="AA1166" s="598" t="s">
        <v>3309</v>
      </c>
      <c r="AB1166" s="598" t="s">
        <v>3309</v>
      </c>
      <c r="AC1166" s="598" t="s">
        <v>3309</v>
      </c>
      <c r="AD1166" s="598" t="s">
        <v>3309</v>
      </c>
      <c r="AE1166" s="598" t="s">
        <v>3309</v>
      </c>
      <c r="AF1166" s="598" t="s">
        <v>321</v>
      </c>
      <c r="AG1166" s="598" t="s">
        <v>321</v>
      </c>
      <c r="AH1166" s="598" t="s">
        <v>3309</v>
      </c>
      <c r="AI1166" s="598" t="s">
        <v>321</v>
      </c>
      <c r="AJ1166" s="599">
        <v>21</v>
      </c>
      <c r="AK1166" s="600">
        <v>21</v>
      </c>
      <c r="AL1166" s="601">
        <v>0</v>
      </c>
      <c r="AM1166" s="601">
        <v>0</v>
      </c>
      <c r="AN1166" s="599">
        <v>21</v>
      </c>
    </row>
    <row r="1167" spans="1:40" ht="16.5" customHeight="1">
      <c r="A1167" s="598" t="s">
        <v>3368</v>
      </c>
      <c r="B1167" s="598" t="s">
        <v>3369</v>
      </c>
      <c r="C1167" s="598" t="s">
        <v>615</v>
      </c>
      <c r="D1167" s="598" t="s">
        <v>616</v>
      </c>
      <c r="E1167" s="598" t="s">
        <v>321</v>
      </c>
      <c r="F1167" s="598" t="s">
        <v>3309</v>
      </c>
      <c r="G1167" s="598" t="s">
        <v>3309</v>
      </c>
      <c r="H1167" s="598" t="s">
        <v>3309</v>
      </c>
      <c r="I1167" s="598" t="s">
        <v>3309</v>
      </c>
      <c r="J1167" s="598" t="s">
        <v>3309</v>
      </c>
      <c r="K1167" s="598" t="s">
        <v>321</v>
      </c>
      <c r="L1167" s="598" t="s">
        <v>321</v>
      </c>
      <c r="M1167" s="598" t="s">
        <v>3309</v>
      </c>
      <c r="N1167" s="598" t="s">
        <v>3309</v>
      </c>
      <c r="O1167" s="598" t="s">
        <v>3309</v>
      </c>
      <c r="P1167" s="598" t="s">
        <v>3309</v>
      </c>
      <c r="Q1167" s="598" t="s">
        <v>3309</v>
      </c>
      <c r="R1167" s="598" t="s">
        <v>321</v>
      </c>
      <c r="S1167" s="598" t="s">
        <v>321</v>
      </c>
      <c r="T1167" s="598" t="s">
        <v>3309</v>
      </c>
      <c r="U1167" s="598" t="s">
        <v>3309</v>
      </c>
      <c r="V1167" s="598" t="s">
        <v>3309</v>
      </c>
      <c r="W1167" s="598" t="s">
        <v>3309</v>
      </c>
      <c r="X1167" s="598" t="s">
        <v>3309</v>
      </c>
      <c r="Y1167" s="598" t="s">
        <v>321</v>
      </c>
      <c r="Z1167" s="598" t="s">
        <v>321</v>
      </c>
      <c r="AA1167" s="598" t="s">
        <v>3309</v>
      </c>
      <c r="AB1167" s="598" t="s">
        <v>3309</v>
      </c>
      <c r="AC1167" s="598" t="s">
        <v>3309</v>
      </c>
      <c r="AD1167" s="598" t="s">
        <v>3309</v>
      </c>
      <c r="AE1167" s="598" t="s">
        <v>3309</v>
      </c>
      <c r="AF1167" s="598" t="s">
        <v>321</v>
      </c>
      <c r="AG1167" s="598" t="s">
        <v>321</v>
      </c>
      <c r="AH1167" s="598" t="s">
        <v>3309</v>
      </c>
      <c r="AI1167" s="598" t="s">
        <v>321</v>
      </c>
      <c r="AJ1167" s="599">
        <v>21</v>
      </c>
      <c r="AK1167" s="600">
        <v>21</v>
      </c>
      <c r="AL1167" s="601">
        <v>0</v>
      </c>
      <c r="AM1167" s="601">
        <v>0</v>
      </c>
      <c r="AN1167" s="599">
        <v>21</v>
      </c>
    </row>
    <row r="1168" spans="1:40" ht="16.5" customHeight="1">
      <c r="A1168" s="598" t="s">
        <v>3368</v>
      </c>
      <c r="B1168" s="598" t="s">
        <v>3369</v>
      </c>
      <c r="C1168" s="598" t="s">
        <v>907</v>
      </c>
      <c r="D1168" s="598" t="s">
        <v>908</v>
      </c>
      <c r="E1168" s="598" t="s">
        <v>321</v>
      </c>
      <c r="F1168" s="598" t="s">
        <v>3309</v>
      </c>
      <c r="G1168" s="598" t="s">
        <v>3309</v>
      </c>
      <c r="H1168" s="598" t="s">
        <v>3309</v>
      </c>
      <c r="I1168" s="598" t="s">
        <v>3309</v>
      </c>
      <c r="J1168" s="598" t="s">
        <v>3309</v>
      </c>
      <c r="K1168" s="598" t="s">
        <v>321</v>
      </c>
      <c r="L1168" s="598" t="s">
        <v>321</v>
      </c>
      <c r="M1168" s="598" t="s">
        <v>3309</v>
      </c>
      <c r="N1168" s="598" t="s">
        <v>3309</v>
      </c>
      <c r="O1168" s="598" t="s">
        <v>3309</v>
      </c>
      <c r="P1168" s="598" t="s">
        <v>3309</v>
      </c>
      <c r="Q1168" s="598" t="s">
        <v>3309</v>
      </c>
      <c r="R1168" s="598" t="s">
        <v>321</v>
      </c>
      <c r="S1168" s="598" t="s">
        <v>321</v>
      </c>
      <c r="T1168" s="598" t="s">
        <v>3309</v>
      </c>
      <c r="U1168" s="598" t="s">
        <v>3309</v>
      </c>
      <c r="V1168" s="598" t="s">
        <v>3309</v>
      </c>
      <c r="W1168" s="598" t="s">
        <v>3309</v>
      </c>
      <c r="X1168" s="598" t="s">
        <v>3309</v>
      </c>
      <c r="Y1168" s="598" t="s">
        <v>321</v>
      </c>
      <c r="Z1168" s="598" t="s">
        <v>321</v>
      </c>
      <c r="AA1168" s="598" t="s">
        <v>3309</v>
      </c>
      <c r="AB1168" s="598" t="s">
        <v>3309</v>
      </c>
      <c r="AC1168" s="598" t="s">
        <v>3309</v>
      </c>
      <c r="AD1168" s="598" t="s">
        <v>3309</v>
      </c>
      <c r="AE1168" s="598" t="s">
        <v>3309</v>
      </c>
      <c r="AF1168" s="598" t="s">
        <v>321</v>
      </c>
      <c r="AG1168" s="598" t="s">
        <v>321</v>
      </c>
      <c r="AH1168" s="598" t="s">
        <v>3309</v>
      </c>
      <c r="AI1168" s="598" t="s">
        <v>321</v>
      </c>
      <c r="AJ1168" s="599">
        <v>21</v>
      </c>
      <c r="AK1168" s="600">
        <v>21</v>
      </c>
      <c r="AL1168" s="601">
        <v>0</v>
      </c>
      <c r="AM1168" s="601">
        <v>0</v>
      </c>
      <c r="AN1168" s="599">
        <v>21</v>
      </c>
    </row>
    <row r="1169" spans="1:40" ht="16.5" customHeight="1">
      <c r="A1169" s="598" t="s">
        <v>3368</v>
      </c>
      <c r="B1169" s="598" t="s">
        <v>3370</v>
      </c>
      <c r="C1169" s="598" t="s">
        <v>1541</v>
      </c>
      <c r="D1169" s="598" t="s">
        <v>1438</v>
      </c>
      <c r="E1169" s="598" t="s">
        <v>321</v>
      </c>
      <c r="F1169" s="598" t="s">
        <v>3309</v>
      </c>
      <c r="G1169" s="598" t="s">
        <v>3309</v>
      </c>
      <c r="H1169" s="598" t="s">
        <v>3309</v>
      </c>
      <c r="I1169" s="598" t="s">
        <v>3309</v>
      </c>
      <c r="J1169" s="598" t="s">
        <v>3309</v>
      </c>
      <c r="K1169" s="598" t="s">
        <v>321</v>
      </c>
      <c r="L1169" s="598" t="s">
        <v>321</v>
      </c>
      <c r="M1169" s="598" t="s">
        <v>3309</v>
      </c>
      <c r="N1169" s="598" t="s">
        <v>3309</v>
      </c>
      <c r="O1169" s="598" t="s">
        <v>3309</v>
      </c>
      <c r="P1169" s="598" t="s">
        <v>3309</v>
      </c>
      <c r="Q1169" s="598" t="s">
        <v>3309</v>
      </c>
      <c r="R1169" s="598" t="s">
        <v>321</v>
      </c>
      <c r="S1169" s="598" t="s">
        <v>321</v>
      </c>
      <c r="T1169" s="598" t="s">
        <v>3309</v>
      </c>
      <c r="U1169" s="598" t="s">
        <v>3309</v>
      </c>
      <c r="V1169" s="598" t="s">
        <v>3309</v>
      </c>
      <c r="W1169" s="598" t="s">
        <v>3309</v>
      </c>
      <c r="X1169" s="598" t="s">
        <v>3309</v>
      </c>
      <c r="Y1169" s="598" t="s">
        <v>321</v>
      </c>
      <c r="Z1169" s="598" t="s">
        <v>321</v>
      </c>
      <c r="AA1169" s="598" t="s">
        <v>3309</v>
      </c>
      <c r="AB1169" s="598" t="s">
        <v>3309</v>
      </c>
      <c r="AC1169" s="598" t="s">
        <v>3309</v>
      </c>
      <c r="AD1169" s="598" t="s">
        <v>3309</v>
      </c>
      <c r="AE1169" s="598" t="s">
        <v>3309</v>
      </c>
      <c r="AF1169" s="598" t="s">
        <v>321</v>
      </c>
      <c r="AG1169" s="598" t="s">
        <v>321</v>
      </c>
      <c r="AH1169" s="598" t="s">
        <v>3309</v>
      </c>
      <c r="AI1169" s="598" t="s">
        <v>321</v>
      </c>
      <c r="AJ1169" s="599">
        <v>21</v>
      </c>
      <c r="AK1169" s="600">
        <v>21</v>
      </c>
      <c r="AL1169" s="601">
        <v>0</v>
      </c>
      <c r="AM1169" s="601">
        <v>0</v>
      </c>
      <c r="AN1169" s="599">
        <v>21</v>
      </c>
    </row>
    <row r="1170" spans="1:40" ht="16.5" customHeight="1">
      <c r="A1170" s="598" t="s">
        <v>3368</v>
      </c>
      <c r="B1170" s="598" t="s">
        <v>3370</v>
      </c>
      <c r="C1170" s="598" t="s">
        <v>403</v>
      </c>
      <c r="D1170" s="598" t="s">
        <v>404</v>
      </c>
      <c r="E1170" s="598" t="s">
        <v>321</v>
      </c>
      <c r="F1170" s="598" t="s">
        <v>3309</v>
      </c>
      <c r="G1170" s="598" t="s">
        <v>3309</v>
      </c>
      <c r="H1170" s="598" t="s">
        <v>3309</v>
      </c>
      <c r="I1170" s="598" t="s">
        <v>3309</v>
      </c>
      <c r="J1170" s="598" t="s">
        <v>3309</v>
      </c>
      <c r="K1170" s="598" t="s">
        <v>321</v>
      </c>
      <c r="L1170" s="598" t="s">
        <v>321</v>
      </c>
      <c r="M1170" s="598" t="s">
        <v>3309</v>
      </c>
      <c r="N1170" s="598" t="s">
        <v>3309</v>
      </c>
      <c r="O1170" s="598" t="s">
        <v>3309</v>
      </c>
      <c r="P1170" s="598" t="s">
        <v>3309</v>
      </c>
      <c r="Q1170" s="598" t="s">
        <v>3309</v>
      </c>
      <c r="R1170" s="598" t="s">
        <v>321</v>
      </c>
      <c r="S1170" s="598" t="s">
        <v>321</v>
      </c>
      <c r="T1170" s="598" t="s">
        <v>3309</v>
      </c>
      <c r="U1170" s="598" t="s">
        <v>3309</v>
      </c>
      <c r="V1170" s="598" t="s">
        <v>3309</v>
      </c>
      <c r="W1170" s="598" t="s">
        <v>3309</v>
      </c>
      <c r="X1170" s="598" t="s">
        <v>3309</v>
      </c>
      <c r="Y1170" s="598" t="s">
        <v>321</v>
      </c>
      <c r="Z1170" s="598" t="s">
        <v>321</v>
      </c>
      <c r="AA1170" s="598" t="s">
        <v>3309</v>
      </c>
      <c r="AB1170" s="598" t="s">
        <v>3309</v>
      </c>
      <c r="AC1170" s="598" t="s">
        <v>3309</v>
      </c>
      <c r="AD1170" s="598" t="s">
        <v>3309</v>
      </c>
      <c r="AE1170" s="598" t="s">
        <v>3309</v>
      </c>
      <c r="AF1170" s="598" t="s">
        <v>321</v>
      </c>
      <c r="AG1170" s="598" t="s">
        <v>321</v>
      </c>
      <c r="AH1170" s="598" t="s">
        <v>3309</v>
      </c>
      <c r="AI1170" s="598" t="s">
        <v>321</v>
      </c>
      <c r="AJ1170" s="599">
        <v>21</v>
      </c>
      <c r="AK1170" s="600">
        <v>21</v>
      </c>
      <c r="AL1170" s="601">
        <v>0</v>
      </c>
      <c r="AM1170" s="601">
        <v>0</v>
      </c>
      <c r="AN1170" s="599">
        <v>21</v>
      </c>
    </row>
    <row r="1171" spans="1:40" ht="16.5" customHeight="1">
      <c r="A1171" s="598" t="s">
        <v>3368</v>
      </c>
      <c r="B1171" s="598" t="s">
        <v>3371</v>
      </c>
      <c r="C1171" s="598" t="s">
        <v>1322</v>
      </c>
      <c r="D1171" s="598" t="s">
        <v>1323</v>
      </c>
      <c r="E1171" s="598" t="s">
        <v>321</v>
      </c>
      <c r="F1171" s="598" t="s">
        <v>3309</v>
      </c>
      <c r="G1171" s="598" t="s">
        <v>3309</v>
      </c>
      <c r="H1171" s="598" t="s">
        <v>3309</v>
      </c>
      <c r="I1171" s="598" t="s">
        <v>3309</v>
      </c>
      <c r="J1171" s="598" t="s">
        <v>3309</v>
      </c>
      <c r="K1171" s="598" t="s">
        <v>321</v>
      </c>
      <c r="L1171" s="598" t="s">
        <v>321</v>
      </c>
      <c r="M1171" s="598" t="s">
        <v>3309</v>
      </c>
      <c r="N1171" s="598" t="s">
        <v>3309</v>
      </c>
      <c r="O1171" s="598" t="s">
        <v>3309</v>
      </c>
      <c r="P1171" s="598" t="s">
        <v>3309</v>
      </c>
      <c r="Q1171" s="598" t="s">
        <v>3309</v>
      </c>
      <c r="R1171" s="598" t="s">
        <v>321</v>
      </c>
      <c r="S1171" s="598" t="s">
        <v>321</v>
      </c>
      <c r="T1171" s="598" t="s">
        <v>3309</v>
      </c>
      <c r="U1171" s="598" t="s">
        <v>3309</v>
      </c>
      <c r="V1171" s="598" t="s">
        <v>3309</v>
      </c>
      <c r="W1171" s="598" t="s">
        <v>3312</v>
      </c>
      <c r="X1171" s="598" t="s">
        <v>3309</v>
      </c>
      <c r="Y1171" s="598" t="s">
        <v>321</v>
      </c>
      <c r="Z1171" s="598" t="s">
        <v>321</v>
      </c>
      <c r="AA1171" s="598" t="s">
        <v>3309</v>
      </c>
      <c r="AB1171" s="598" t="s">
        <v>3309</v>
      </c>
      <c r="AC1171" s="598" t="s">
        <v>3309</v>
      </c>
      <c r="AD1171" s="598" t="s">
        <v>3309</v>
      </c>
      <c r="AE1171" s="598" t="s">
        <v>3309</v>
      </c>
      <c r="AF1171" s="598" t="s">
        <v>321</v>
      </c>
      <c r="AG1171" s="598" t="s">
        <v>321</v>
      </c>
      <c r="AH1171" s="598" t="s">
        <v>3309</v>
      </c>
      <c r="AI1171" s="598" t="s">
        <v>321</v>
      </c>
      <c r="AJ1171" s="599">
        <v>21</v>
      </c>
      <c r="AK1171" s="600">
        <v>20</v>
      </c>
      <c r="AL1171" s="602">
        <v>1</v>
      </c>
      <c r="AM1171" s="601">
        <v>0</v>
      </c>
      <c r="AN1171" s="599">
        <v>21</v>
      </c>
    </row>
    <row r="1172" spans="1:40" ht="16.5" customHeight="1">
      <c r="A1172" s="598" t="s">
        <v>3368</v>
      </c>
      <c r="B1172" s="598" t="s">
        <v>3371</v>
      </c>
      <c r="C1172" s="598" t="s">
        <v>1181</v>
      </c>
      <c r="D1172" s="598" t="s">
        <v>1182</v>
      </c>
      <c r="E1172" s="598" t="s">
        <v>321</v>
      </c>
      <c r="F1172" s="598" t="s">
        <v>3309</v>
      </c>
      <c r="G1172" s="598" t="s">
        <v>3309</v>
      </c>
      <c r="H1172" s="598" t="s">
        <v>3309</v>
      </c>
      <c r="I1172" s="598" t="s">
        <v>3309</v>
      </c>
      <c r="J1172" s="598" t="s">
        <v>3309</v>
      </c>
      <c r="K1172" s="598" t="s">
        <v>321</v>
      </c>
      <c r="L1172" s="598" t="s">
        <v>321</v>
      </c>
      <c r="M1172" s="598" t="s">
        <v>3309</v>
      </c>
      <c r="N1172" s="598" t="s">
        <v>3309</v>
      </c>
      <c r="O1172" s="598" t="s">
        <v>3309</v>
      </c>
      <c r="P1172" s="598" t="s">
        <v>3309</v>
      </c>
      <c r="Q1172" s="598" t="s">
        <v>3309</v>
      </c>
      <c r="R1172" s="598" t="s">
        <v>321</v>
      </c>
      <c r="S1172" s="598" t="s">
        <v>321</v>
      </c>
      <c r="T1172" s="598" t="s">
        <v>3309</v>
      </c>
      <c r="U1172" s="598" t="s">
        <v>3309</v>
      </c>
      <c r="V1172" s="598" t="s">
        <v>3309</v>
      </c>
      <c r="W1172" s="598" t="s">
        <v>3309</v>
      </c>
      <c r="X1172" s="598" t="s">
        <v>3309</v>
      </c>
      <c r="Y1172" s="598" t="s">
        <v>321</v>
      </c>
      <c r="Z1172" s="598" t="s">
        <v>321</v>
      </c>
      <c r="AA1172" s="598" t="s">
        <v>3309</v>
      </c>
      <c r="AB1172" s="598" t="s">
        <v>3309</v>
      </c>
      <c r="AC1172" s="598" t="s">
        <v>3309</v>
      </c>
      <c r="AD1172" s="598" t="s">
        <v>3309</v>
      </c>
      <c r="AE1172" s="598" t="s">
        <v>3309</v>
      </c>
      <c r="AF1172" s="598" t="s">
        <v>321</v>
      </c>
      <c r="AG1172" s="598" t="s">
        <v>321</v>
      </c>
      <c r="AH1172" s="598" t="s">
        <v>3309</v>
      </c>
      <c r="AI1172" s="598" t="s">
        <v>321</v>
      </c>
      <c r="AJ1172" s="599">
        <v>21</v>
      </c>
      <c r="AK1172" s="600">
        <v>21</v>
      </c>
      <c r="AL1172" s="601">
        <v>0</v>
      </c>
      <c r="AM1172" s="601">
        <v>0</v>
      </c>
      <c r="AN1172" s="599">
        <v>21</v>
      </c>
    </row>
    <row r="1173" spans="1:40" ht="16.5" customHeight="1">
      <c r="A1173" s="598" t="s">
        <v>3368</v>
      </c>
      <c r="B1173" s="598" t="s">
        <v>3371</v>
      </c>
      <c r="C1173" s="598" t="s">
        <v>1597</v>
      </c>
      <c r="D1173" s="598" t="s">
        <v>1038</v>
      </c>
      <c r="E1173" s="598" t="s">
        <v>321</v>
      </c>
      <c r="F1173" s="598" t="s">
        <v>3309</v>
      </c>
      <c r="G1173" s="598" t="s">
        <v>3309</v>
      </c>
      <c r="H1173" s="598" t="s">
        <v>3309</v>
      </c>
      <c r="I1173" s="598" t="s">
        <v>3309</v>
      </c>
      <c r="J1173" s="598" t="s">
        <v>3309</v>
      </c>
      <c r="K1173" s="598" t="s">
        <v>321</v>
      </c>
      <c r="L1173" s="598" t="s">
        <v>321</v>
      </c>
      <c r="M1173" s="598" t="s">
        <v>3309</v>
      </c>
      <c r="N1173" s="598" t="s">
        <v>3309</v>
      </c>
      <c r="O1173" s="598" t="s">
        <v>3309</v>
      </c>
      <c r="P1173" s="598" t="s">
        <v>3309</v>
      </c>
      <c r="Q1173" s="598" t="s">
        <v>3309</v>
      </c>
      <c r="R1173" s="598" t="s">
        <v>321</v>
      </c>
      <c r="S1173" s="598" t="s">
        <v>321</v>
      </c>
      <c r="T1173" s="598" t="s">
        <v>3309</v>
      </c>
      <c r="U1173" s="598" t="s">
        <v>3309</v>
      </c>
      <c r="V1173" s="598" t="s">
        <v>3309</v>
      </c>
      <c r="W1173" s="598" t="s">
        <v>3309</v>
      </c>
      <c r="X1173" s="598" t="s">
        <v>3309</v>
      </c>
      <c r="Y1173" s="598" t="s">
        <v>321</v>
      </c>
      <c r="Z1173" s="598" t="s">
        <v>321</v>
      </c>
      <c r="AA1173" s="598" t="s">
        <v>3309</v>
      </c>
      <c r="AB1173" s="598" t="s">
        <v>3309</v>
      </c>
      <c r="AC1173" s="598" t="s">
        <v>3309</v>
      </c>
      <c r="AD1173" s="598" t="s">
        <v>3309</v>
      </c>
      <c r="AE1173" s="598" t="s">
        <v>3309</v>
      </c>
      <c r="AF1173" s="598" t="s">
        <v>321</v>
      </c>
      <c r="AG1173" s="598" t="s">
        <v>321</v>
      </c>
      <c r="AH1173" s="598" t="s">
        <v>3309</v>
      </c>
      <c r="AI1173" s="598" t="s">
        <v>321</v>
      </c>
      <c r="AJ1173" s="599">
        <v>21</v>
      </c>
      <c r="AK1173" s="600">
        <v>21</v>
      </c>
      <c r="AL1173" s="601">
        <v>0</v>
      </c>
      <c r="AM1173" s="601">
        <v>0</v>
      </c>
      <c r="AN1173" s="599">
        <v>21</v>
      </c>
    </row>
    <row r="1174" spans="1:40" ht="16.5" customHeight="1">
      <c r="A1174" s="598" t="s">
        <v>3368</v>
      </c>
      <c r="B1174" s="598" t="s">
        <v>3371</v>
      </c>
      <c r="C1174" s="598" t="s">
        <v>697</v>
      </c>
      <c r="D1174" s="598" t="s">
        <v>698</v>
      </c>
      <c r="E1174" s="598" t="s">
        <v>321</v>
      </c>
      <c r="F1174" s="598" t="s">
        <v>3309</v>
      </c>
      <c r="G1174" s="598" t="s">
        <v>3309</v>
      </c>
      <c r="H1174" s="598" t="s">
        <v>3309</v>
      </c>
      <c r="I1174" s="598" t="s">
        <v>3309</v>
      </c>
      <c r="J1174" s="598" t="s">
        <v>3309</v>
      </c>
      <c r="K1174" s="598" t="s">
        <v>321</v>
      </c>
      <c r="L1174" s="598" t="s">
        <v>321</v>
      </c>
      <c r="M1174" s="598" t="s">
        <v>3309</v>
      </c>
      <c r="N1174" s="598" t="s">
        <v>3309</v>
      </c>
      <c r="O1174" s="598" t="s">
        <v>3309</v>
      </c>
      <c r="P1174" s="598" t="s">
        <v>3309</v>
      </c>
      <c r="Q1174" s="598" t="s">
        <v>3309</v>
      </c>
      <c r="R1174" s="598" t="s">
        <v>321</v>
      </c>
      <c r="S1174" s="598" t="s">
        <v>321</v>
      </c>
      <c r="T1174" s="598" t="s">
        <v>3309</v>
      </c>
      <c r="U1174" s="598" t="s">
        <v>3309</v>
      </c>
      <c r="V1174" s="598" t="s">
        <v>3309</v>
      </c>
      <c r="W1174" s="598" t="s">
        <v>3309</v>
      </c>
      <c r="X1174" s="598" t="s">
        <v>3309</v>
      </c>
      <c r="Y1174" s="598" t="s">
        <v>321</v>
      </c>
      <c r="Z1174" s="598" t="s">
        <v>321</v>
      </c>
      <c r="AA1174" s="598" t="s">
        <v>3309</v>
      </c>
      <c r="AB1174" s="598" t="s">
        <v>3309</v>
      </c>
      <c r="AC1174" s="598" t="s">
        <v>3309</v>
      </c>
      <c r="AD1174" s="598" t="s">
        <v>3309</v>
      </c>
      <c r="AE1174" s="598" t="s">
        <v>3309</v>
      </c>
      <c r="AF1174" s="598" t="s">
        <v>321</v>
      </c>
      <c r="AG1174" s="598" t="s">
        <v>321</v>
      </c>
      <c r="AH1174" s="598" t="s">
        <v>3309</v>
      </c>
      <c r="AI1174" s="598" t="s">
        <v>321</v>
      </c>
      <c r="AJ1174" s="599">
        <v>21</v>
      </c>
      <c r="AK1174" s="600">
        <v>21</v>
      </c>
      <c r="AL1174" s="601">
        <v>0</v>
      </c>
      <c r="AM1174" s="601">
        <v>0</v>
      </c>
      <c r="AN1174" s="599">
        <v>21</v>
      </c>
    </row>
    <row r="1175" spans="1:40" ht="16.5" customHeight="1">
      <c r="A1175" s="598" t="s">
        <v>3368</v>
      </c>
      <c r="B1175" s="598" t="s">
        <v>3371</v>
      </c>
      <c r="C1175" s="598" t="s">
        <v>1429</v>
      </c>
      <c r="D1175" s="598" t="s">
        <v>1430</v>
      </c>
      <c r="E1175" s="598" t="s">
        <v>321</v>
      </c>
      <c r="F1175" s="598" t="s">
        <v>3309</v>
      </c>
      <c r="G1175" s="598" t="s">
        <v>3309</v>
      </c>
      <c r="H1175" s="598" t="s">
        <v>3309</v>
      </c>
      <c r="I1175" s="598" t="s">
        <v>3309</v>
      </c>
      <c r="J1175" s="598" t="s">
        <v>3309</v>
      </c>
      <c r="K1175" s="598" t="s">
        <v>321</v>
      </c>
      <c r="L1175" s="598" t="s">
        <v>321</v>
      </c>
      <c r="M1175" s="598" t="s">
        <v>3309</v>
      </c>
      <c r="N1175" s="598" t="s">
        <v>3309</v>
      </c>
      <c r="O1175" s="598" t="s">
        <v>3309</v>
      </c>
      <c r="P1175" s="598" t="s">
        <v>3309</v>
      </c>
      <c r="Q1175" s="598" t="s">
        <v>3309</v>
      </c>
      <c r="R1175" s="598" t="s">
        <v>321</v>
      </c>
      <c r="S1175" s="598" t="s">
        <v>321</v>
      </c>
      <c r="T1175" s="598" t="s">
        <v>3309</v>
      </c>
      <c r="U1175" s="598" t="s">
        <v>3309</v>
      </c>
      <c r="V1175" s="598" t="s">
        <v>3309</v>
      </c>
      <c r="W1175" s="598" t="s">
        <v>3309</v>
      </c>
      <c r="X1175" s="598" t="s">
        <v>3309</v>
      </c>
      <c r="Y1175" s="598" t="s">
        <v>321</v>
      </c>
      <c r="Z1175" s="598" t="s">
        <v>321</v>
      </c>
      <c r="AA1175" s="598" t="s">
        <v>3309</v>
      </c>
      <c r="AB1175" s="598" t="s">
        <v>3309</v>
      </c>
      <c r="AC1175" s="598" t="s">
        <v>3309</v>
      </c>
      <c r="AD1175" s="598" t="s">
        <v>3309</v>
      </c>
      <c r="AE1175" s="598" t="s">
        <v>3309</v>
      </c>
      <c r="AF1175" s="598" t="s">
        <v>321</v>
      </c>
      <c r="AG1175" s="598" t="s">
        <v>321</v>
      </c>
      <c r="AH1175" s="598" t="s">
        <v>3309</v>
      </c>
      <c r="AI1175" s="598" t="s">
        <v>321</v>
      </c>
      <c r="AJ1175" s="599">
        <v>21</v>
      </c>
      <c r="AK1175" s="600">
        <v>21</v>
      </c>
      <c r="AL1175" s="601">
        <v>0</v>
      </c>
      <c r="AM1175" s="601">
        <v>0</v>
      </c>
      <c r="AN1175" s="599">
        <v>21</v>
      </c>
    </row>
    <row r="1176" spans="1:40" ht="16.5" customHeight="1">
      <c r="A1176" s="598" t="s">
        <v>3368</v>
      </c>
      <c r="B1176" s="598" t="s">
        <v>3372</v>
      </c>
      <c r="C1176" s="598" t="s">
        <v>1111</v>
      </c>
      <c r="D1176" s="598" t="s">
        <v>1112</v>
      </c>
      <c r="E1176" s="598" t="s">
        <v>321</v>
      </c>
      <c r="F1176" s="598" t="s">
        <v>3312</v>
      </c>
      <c r="G1176" s="598" t="s">
        <v>3309</v>
      </c>
      <c r="H1176" s="598" t="s">
        <v>3309</v>
      </c>
      <c r="I1176" s="598" t="s">
        <v>3309</v>
      </c>
      <c r="J1176" s="598" t="s">
        <v>3309</v>
      </c>
      <c r="K1176" s="598" t="s">
        <v>321</v>
      </c>
      <c r="L1176" s="598" t="s">
        <v>321</v>
      </c>
      <c r="M1176" s="598" t="s">
        <v>3309</v>
      </c>
      <c r="N1176" s="598" t="s">
        <v>3309</v>
      </c>
      <c r="O1176" s="598" t="s">
        <v>3309</v>
      </c>
      <c r="P1176" s="598" t="s">
        <v>3309</v>
      </c>
      <c r="Q1176" s="598" t="s">
        <v>3309</v>
      </c>
      <c r="R1176" s="598" t="s">
        <v>321</v>
      </c>
      <c r="S1176" s="598" t="s">
        <v>321</v>
      </c>
      <c r="T1176" s="598" t="s">
        <v>3309</v>
      </c>
      <c r="U1176" s="598" t="s">
        <v>3309</v>
      </c>
      <c r="V1176" s="598" t="s">
        <v>3309</v>
      </c>
      <c r="W1176" s="598" t="s">
        <v>3309</v>
      </c>
      <c r="X1176" s="598" t="s">
        <v>3309</v>
      </c>
      <c r="Y1176" s="598" t="s">
        <v>321</v>
      </c>
      <c r="Z1176" s="598" t="s">
        <v>321</v>
      </c>
      <c r="AA1176" s="598" t="s">
        <v>3309</v>
      </c>
      <c r="AB1176" s="598" t="s">
        <v>3309</v>
      </c>
      <c r="AC1176" s="598" t="s">
        <v>3309</v>
      </c>
      <c r="AD1176" s="598" t="s">
        <v>3309</v>
      </c>
      <c r="AE1176" s="598" t="s">
        <v>3309</v>
      </c>
      <c r="AF1176" s="598" t="s">
        <v>321</v>
      </c>
      <c r="AG1176" s="598" t="s">
        <v>321</v>
      </c>
      <c r="AH1176" s="598" t="s">
        <v>3309</v>
      </c>
      <c r="AI1176" s="598" t="s">
        <v>321</v>
      </c>
      <c r="AJ1176" s="599">
        <v>21</v>
      </c>
      <c r="AK1176" s="600">
        <v>20</v>
      </c>
      <c r="AL1176" s="602">
        <v>1</v>
      </c>
      <c r="AM1176" s="601">
        <v>0</v>
      </c>
      <c r="AN1176" s="599">
        <v>21</v>
      </c>
    </row>
    <row r="1177" spans="1:40" ht="16.5" customHeight="1">
      <c r="A1177" s="598" t="s">
        <v>3368</v>
      </c>
      <c r="B1177" s="598" t="s">
        <v>3372</v>
      </c>
      <c r="C1177" s="598" t="s">
        <v>1930</v>
      </c>
      <c r="D1177" s="598" t="s">
        <v>1931</v>
      </c>
      <c r="E1177" s="598" t="s">
        <v>321</v>
      </c>
      <c r="F1177" s="598" t="s">
        <v>3309</v>
      </c>
      <c r="G1177" s="598" t="s">
        <v>3309</v>
      </c>
      <c r="H1177" s="598" t="s">
        <v>3309</v>
      </c>
      <c r="I1177" s="598" t="s">
        <v>3309</v>
      </c>
      <c r="J1177" s="598" t="s">
        <v>3309</v>
      </c>
      <c r="K1177" s="598" t="s">
        <v>321</v>
      </c>
      <c r="L1177" s="598" t="s">
        <v>321</v>
      </c>
      <c r="M1177" s="598" t="s">
        <v>3309</v>
      </c>
      <c r="N1177" s="598" t="s">
        <v>3309</v>
      </c>
      <c r="O1177" s="598" t="s">
        <v>3309</v>
      </c>
      <c r="P1177" s="598" t="s">
        <v>3309</v>
      </c>
      <c r="Q1177" s="598" t="s">
        <v>3309</v>
      </c>
      <c r="R1177" s="598" t="s">
        <v>321</v>
      </c>
      <c r="S1177" s="598" t="s">
        <v>321</v>
      </c>
      <c r="T1177" s="598" t="s">
        <v>3309</v>
      </c>
      <c r="U1177" s="598" t="s">
        <v>3309</v>
      </c>
      <c r="V1177" s="598" t="s">
        <v>3309</v>
      </c>
      <c r="W1177" s="598" t="s">
        <v>3309</v>
      </c>
      <c r="X1177" s="598" t="s">
        <v>3309</v>
      </c>
      <c r="Y1177" s="598" t="s">
        <v>321</v>
      </c>
      <c r="Z1177" s="598" t="s">
        <v>321</v>
      </c>
      <c r="AA1177" s="598" t="s">
        <v>3309</v>
      </c>
      <c r="AB1177" s="598" t="s">
        <v>3309</v>
      </c>
      <c r="AC1177" s="598" t="s">
        <v>3309</v>
      </c>
      <c r="AD1177" s="598" t="s">
        <v>3309</v>
      </c>
      <c r="AE1177" s="598" t="s">
        <v>3309</v>
      </c>
      <c r="AF1177" s="598" t="s">
        <v>321</v>
      </c>
      <c r="AG1177" s="598" t="s">
        <v>321</v>
      </c>
      <c r="AH1177" s="598" t="s">
        <v>3309</v>
      </c>
      <c r="AI1177" s="598" t="s">
        <v>321</v>
      </c>
      <c r="AJ1177" s="599">
        <v>21</v>
      </c>
      <c r="AK1177" s="600">
        <v>21</v>
      </c>
      <c r="AL1177" s="601">
        <v>0</v>
      </c>
      <c r="AM1177" s="601">
        <v>0</v>
      </c>
      <c r="AN1177" s="599">
        <v>21</v>
      </c>
    </row>
    <row r="1178" spans="1:40" ht="16.5" customHeight="1">
      <c r="A1178" s="598" t="s">
        <v>3368</v>
      </c>
      <c r="B1178" s="598" t="s">
        <v>3372</v>
      </c>
      <c r="C1178" s="598" t="s">
        <v>900</v>
      </c>
      <c r="D1178" s="598" t="s">
        <v>901</v>
      </c>
      <c r="E1178" s="598" t="s">
        <v>321</v>
      </c>
      <c r="F1178" s="598" t="s">
        <v>3309</v>
      </c>
      <c r="G1178" s="598" t="s">
        <v>3309</v>
      </c>
      <c r="H1178" s="598" t="s">
        <v>3309</v>
      </c>
      <c r="I1178" s="598" t="s">
        <v>3309</v>
      </c>
      <c r="J1178" s="598" t="s">
        <v>3309</v>
      </c>
      <c r="K1178" s="598" t="s">
        <v>321</v>
      </c>
      <c r="L1178" s="598" t="s">
        <v>321</v>
      </c>
      <c r="M1178" s="598" t="s">
        <v>3309</v>
      </c>
      <c r="N1178" s="598" t="s">
        <v>3309</v>
      </c>
      <c r="O1178" s="598" t="s">
        <v>3309</v>
      </c>
      <c r="P1178" s="598" t="s">
        <v>3309</v>
      </c>
      <c r="Q1178" s="598" t="s">
        <v>3309</v>
      </c>
      <c r="R1178" s="598" t="s">
        <v>321</v>
      </c>
      <c r="S1178" s="598" t="s">
        <v>321</v>
      </c>
      <c r="T1178" s="598" t="s">
        <v>3309</v>
      </c>
      <c r="U1178" s="598" t="s">
        <v>3309</v>
      </c>
      <c r="V1178" s="598" t="s">
        <v>3309</v>
      </c>
      <c r="W1178" s="598" t="s">
        <v>3309</v>
      </c>
      <c r="X1178" s="598" t="s">
        <v>3309</v>
      </c>
      <c r="Y1178" s="598" t="s">
        <v>321</v>
      </c>
      <c r="Z1178" s="598" t="s">
        <v>321</v>
      </c>
      <c r="AA1178" s="598" t="s">
        <v>3309</v>
      </c>
      <c r="AB1178" s="598" t="s">
        <v>3309</v>
      </c>
      <c r="AC1178" s="598" t="s">
        <v>3309</v>
      </c>
      <c r="AD1178" s="598" t="s">
        <v>3309</v>
      </c>
      <c r="AE1178" s="598" t="s">
        <v>3309</v>
      </c>
      <c r="AF1178" s="598" t="s">
        <v>321</v>
      </c>
      <c r="AG1178" s="598" t="s">
        <v>321</v>
      </c>
      <c r="AH1178" s="598" t="s">
        <v>3309</v>
      </c>
      <c r="AI1178" s="598" t="s">
        <v>321</v>
      </c>
      <c r="AJ1178" s="599">
        <v>21</v>
      </c>
      <c r="AK1178" s="600">
        <v>21</v>
      </c>
      <c r="AL1178" s="601">
        <v>0</v>
      </c>
      <c r="AM1178" s="601">
        <v>0</v>
      </c>
      <c r="AN1178" s="599">
        <v>21</v>
      </c>
    </row>
    <row r="1179" spans="1:40" ht="16.5" customHeight="1">
      <c r="A1179" s="598" t="s">
        <v>3368</v>
      </c>
      <c r="B1179" s="598" t="s">
        <v>3372</v>
      </c>
      <c r="C1179" s="598" t="s">
        <v>489</v>
      </c>
      <c r="D1179" s="598" t="s">
        <v>490</v>
      </c>
      <c r="E1179" s="598" t="s">
        <v>321</v>
      </c>
      <c r="F1179" s="598" t="s">
        <v>3309</v>
      </c>
      <c r="G1179" s="598" t="s">
        <v>3309</v>
      </c>
      <c r="H1179" s="598" t="s">
        <v>3309</v>
      </c>
      <c r="I1179" s="598" t="s">
        <v>3309</v>
      </c>
      <c r="J1179" s="598" t="s">
        <v>3309</v>
      </c>
      <c r="K1179" s="598" t="s">
        <v>321</v>
      </c>
      <c r="L1179" s="598" t="s">
        <v>321</v>
      </c>
      <c r="M1179" s="598" t="s">
        <v>3309</v>
      </c>
      <c r="N1179" s="598" t="s">
        <v>3309</v>
      </c>
      <c r="O1179" s="598" t="s">
        <v>3309</v>
      </c>
      <c r="P1179" s="598" t="s">
        <v>3309</v>
      </c>
      <c r="Q1179" s="598" t="s">
        <v>3309</v>
      </c>
      <c r="R1179" s="598" t="s">
        <v>321</v>
      </c>
      <c r="S1179" s="598" t="s">
        <v>321</v>
      </c>
      <c r="T1179" s="598" t="s">
        <v>3313</v>
      </c>
      <c r="U1179" s="598" t="s">
        <v>3313</v>
      </c>
      <c r="V1179" s="598" t="s">
        <v>3313</v>
      </c>
      <c r="W1179" s="598" t="s">
        <v>3309</v>
      </c>
      <c r="X1179" s="598" t="s">
        <v>3309</v>
      </c>
      <c r="Y1179" s="598" t="s">
        <v>321</v>
      </c>
      <c r="Z1179" s="598" t="s">
        <v>321</v>
      </c>
      <c r="AA1179" s="598" t="s">
        <v>3309</v>
      </c>
      <c r="AB1179" s="598" t="s">
        <v>3309</v>
      </c>
      <c r="AC1179" s="598" t="s">
        <v>3309</v>
      </c>
      <c r="AD1179" s="598" t="s">
        <v>3309</v>
      </c>
      <c r="AE1179" s="598" t="s">
        <v>3309</v>
      </c>
      <c r="AF1179" s="598" t="s">
        <v>321</v>
      </c>
      <c r="AG1179" s="598" t="s">
        <v>321</v>
      </c>
      <c r="AH1179" s="598" t="s">
        <v>3309</v>
      </c>
      <c r="AI1179" s="598" t="s">
        <v>321</v>
      </c>
      <c r="AJ1179" s="599">
        <v>21</v>
      </c>
      <c r="AK1179" s="600">
        <v>21</v>
      </c>
      <c r="AL1179" s="601">
        <v>0</v>
      </c>
      <c r="AM1179" s="601">
        <v>0</v>
      </c>
      <c r="AN1179" s="599">
        <v>21</v>
      </c>
    </row>
  </sheetData>
  <autoFilter ref="A3:AN1179" xr:uid="{00000000-0009-0000-0000-000008000000}"/>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499984740745262"/>
  </sheetPr>
  <dimension ref="A1:G20"/>
  <sheetViews>
    <sheetView workbookViewId="0">
      <selection activeCell="E43" sqref="E43"/>
    </sheetView>
  </sheetViews>
  <sheetFormatPr defaultColWidth="9.140625" defaultRowHeight="15"/>
  <cols>
    <col min="1" max="1" width="5.85546875" style="15" customWidth="1"/>
    <col min="2" max="2" width="14.140625" style="16" customWidth="1"/>
    <col min="3" max="3" width="13" style="16" customWidth="1"/>
    <col min="4" max="4" width="18" style="15" customWidth="1"/>
    <col min="5" max="5" width="24.5703125" style="15" customWidth="1"/>
    <col min="6" max="6" width="18.42578125" style="15" customWidth="1"/>
    <col min="7" max="7" width="43.140625" style="15" customWidth="1"/>
    <col min="8" max="16384" width="9.140625" style="15"/>
  </cols>
  <sheetData>
    <row r="1" spans="1:7">
      <c r="G1" s="17" t="s">
        <v>47</v>
      </c>
    </row>
    <row r="2" spans="1:7" ht="16.5">
      <c r="A2" s="18" t="s">
        <v>48</v>
      </c>
      <c r="B2" s="15"/>
      <c r="E2" s="19"/>
      <c r="F2" s="690" t="s">
        <v>49</v>
      </c>
      <c r="G2" s="690"/>
    </row>
    <row r="3" spans="1:7" ht="16.5">
      <c r="B3" s="21" t="s">
        <v>50</v>
      </c>
      <c r="C3" s="21"/>
      <c r="D3" s="21"/>
      <c r="E3" s="19"/>
      <c r="F3" s="690" t="s">
        <v>51</v>
      </c>
      <c r="G3" s="690"/>
    </row>
    <row r="4" spans="1:7" ht="16.5">
      <c r="B4" s="21"/>
      <c r="C4" s="21"/>
      <c r="D4" s="21"/>
      <c r="E4" s="22"/>
      <c r="F4" s="22"/>
      <c r="G4" s="22"/>
    </row>
    <row r="5" spans="1:7" ht="16.5">
      <c r="A5" s="23"/>
      <c r="B5" s="23"/>
      <c r="C5" s="23"/>
      <c r="D5" s="23"/>
      <c r="E5" s="691" t="s">
        <v>52</v>
      </c>
      <c r="F5" s="691"/>
      <c r="G5" s="691"/>
    </row>
    <row r="6" spans="1:7">
      <c r="A6" s="692"/>
      <c r="B6" s="692"/>
      <c r="C6" s="692"/>
      <c r="D6" s="692"/>
      <c r="E6" s="692"/>
      <c r="F6" s="692"/>
      <c r="G6" s="692"/>
    </row>
    <row r="7" spans="1:7" ht="18.75">
      <c r="A7" s="693" t="s">
        <v>86</v>
      </c>
      <c r="B7" s="693"/>
      <c r="C7" s="693"/>
      <c r="D7" s="693"/>
      <c r="E7" s="693"/>
      <c r="F7" s="693"/>
      <c r="G7" s="693"/>
    </row>
    <row r="8" spans="1:7" ht="16.5">
      <c r="A8" s="24"/>
      <c r="B8" s="25" t="s">
        <v>53</v>
      </c>
      <c r="C8" s="24"/>
      <c r="D8" s="24"/>
      <c r="E8" s="24"/>
      <c r="F8" s="24"/>
      <c r="G8" s="24"/>
    </row>
    <row r="9" spans="1:7" ht="16.5">
      <c r="A9" s="24"/>
      <c r="B9" s="25" t="s">
        <v>54</v>
      </c>
      <c r="C9" s="24"/>
      <c r="D9" s="24"/>
      <c r="E9" s="24"/>
      <c r="F9" s="24"/>
      <c r="G9" s="24"/>
    </row>
    <row r="10" spans="1:7" ht="16.5">
      <c r="A10" s="24"/>
      <c r="B10" s="25"/>
      <c r="C10" s="24"/>
      <c r="D10" s="24"/>
      <c r="E10" s="24"/>
      <c r="F10" s="24"/>
      <c r="G10" s="24"/>
    </row>
    <row r="11" spans="1:7" ht="25.5">
      <c r="A11" s="176" t="s">
        <v>55</v>
      </c>
      <c r="B11" s="176" t="s">
        <v>56</v>
      </c>
      <c r="C11" s="176" t="s">
        <v>57</v>
      </c>
      <c r="D11" s="176" t="s">
        <v>58</v>
      </c>
      <c r="E11" s="176" t="s">
        <v>59</v>
      </c>
      <c r="F11" s="176" t="s">
        <v>60</v>
      </c>
      <c r="G11" s="176" t="s">
        <v>61</v>
      </c>
    </row>
    <row r="12" spans="1:7" ht="30">
      <c r="A12" s="26">
        <v>1</v>
      </c>
      <c r="B12" s="27" t="s">
        <v>62</v>
      </c>
      <c r="C12" s="27" t="s">
        <v>63</v>
      </c>
      <c r="D12" s="28" t="s">
        <v>64</v>
      </c>
      <c r="E12" s="29" t="s">
        <v>65</v>
      </c>
      <c r="F12" s="30" t="s">
        <v>66</v>
      </c>
      <c r="G12" s="31"/>
    </row>
    <row r="13" spans="1:7" ht="30">
      <c r="A13" s="26">
        <v>2</v>
      </c>
      <c r="B13" s="27" t="s">
        <v>67</v>
      </c>
      <c r="C13" s="27" t="s">
        <v>68</v>
      </c>
      <c r="D13" s="28" t="str">
        <f>+VLOOKUP(B13,[3]Sheet1!C$18:J$782,8,0)</f>
        <v>Phó Trưởng phòng</v>
      </c>
      <c r="E13" s="29" t="s">
        <v>126</v>
      </c>
      <c r="F13" s="30" t="s">
        <v>69</v>
      </c>
      <c r="G13" s="31"/>
    </row>
    <row r="14" spans="1:7" ht="30">
      <c r="A14" s="26">
        <v>3</v>
      </c>
      <c r="B14" s="27" t="s">
        <v>70</v>
      </c>
      <c r="C14" s="27" t="s">
        <v>71</v>
      </c>
      <c r="D14" s="28" t="s">
        <v>72</v>
      </c>
      <c r="E14" s="29" t="s">
        <v>126</v>
      </c>
      <c r="F14" s="30"/>
      <c r="G14" s="31"/>
    </row>
    <row r="15" spans="1:7" ht="30">
      <c r="A15" s="26">
        <v>4</v>
      </c>
      <c r="B15" s="27" t="s">
        <v>73</v>
      </c>
      <c r="C15" s="27" t="s">
        <v>74</v>
      </c>
      <c r="D15" s="28" t="s">
        <v>75</v>
      </c>
      <c r="E15" s="29" t="s">
        <v>76</v>
      </c>
      <c r="F15" s="30"/>
      <c r="G15" s="31" t="s">
        <v>77</v>
      </c>
    </row>
    <row r="16" spans="1:7" ht="30">
      <c r="A16" s="26">
        <v>5</v>
      </c>
      <c r="B16" s="27" t="s">
        <v>78</v>
      </c>
      <c r="C16" s="27" t="s">
        <v>79</v>
      </c>
      <c r="D16" s="28" t="s">
        <v>80</v>
      </c>
      <c r="E16" s="29" t="s">
        <v>76</v>
      </c>
      <c r="F16" s="30"/>
      <c r="G16" s="31" t="s">
        <v>81</v>
      </c>
    </row>
    <row r="17" spans="1:7" ht="30">
      <c r="A17" s="26">
        <v>6</v>
      </c>
      <c r="B17" s="27" t="s">
        <v>82</v>
      </c>
      <c r="C17" s="27" t="s">
        <v>83</v>
      </c>
      <c r="D17" s="28" t="s">
        <v>80</v>
      </c>
      <c r="E17" s="29" t="s">
        <v>76</v>
      </c>
      <c r="F17" s="30"/>
      <c r="G17" s="32"/>
    </row>
    <row r="19" spans="1:7" s="19" customFormat="1" ht="16.5">
      <c r="A19" s="33"/>
      <c r="B19" s="33" t="s">
        <v>84</v>
      </c>
      <c r="D19" s="33"/>
      <c r="E19" s="33" t="s">
        <v>111</v>
      </c>
      <c r="F19" s="34"/>
      <c r="G19" s="34" t="s">
        <v>85</v>
      </c>
    </row>
    <row r="20" spans="1:7" s="19" customFormat="1" ht="16.5">
      <c r="A20" s="21"/>
      <c r="B20" s="35"/>
      <c r="D20" s="21"/>
      <c r="G20" s="36"/>
    </row>
  </sheetData>
  <mergeCells count="5">
    <mergeCell ref="F2:G2"/>
    <mergeCell ref="F3:G3"/>
    <mergeCell ref="E5:G5"/>
    <mergeCell ref="A6:G6"/>
    <mergeCell ref="A7:G7"/>
  </mergeCell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499984740745262"/>
    <pageSetUpPr fitToPage="1"/>
  </sheetPr>
  <dimension ref="A1:AU233"/>
  <sheetViews>
    <sheetView view="pageBreakPreview" zoomScale="85" zoomScaleNormal="70" zoomScaleSheetLayoutView="85" workbookViewId="0">
      <selection activeCell="K15" sqref="K15"/>
    </sheetView>
  </sheetViews>
  <sheetFormatPr defaultColWidth="9.140625" defaultRowHeight="15"/>
  <cols>
    <col min="1" max="1" width="8.140625" style="15" customWidth="1"/>
    <col min="2" max="2" width="22.42578125" style="70" customWidth="1"/>
    <col min="3" max="3" width="9.140625" style="15" customWidth="1"/>
    <col min="4" max="4" width="16.42578125" style="15" customWidth="1"/>
    <col min="5" max="35" width="4.85546875" style="15" customWidth="1"/>
    <col min="36" max="36" width="5.42578125" style="15" customWidth="1"/>
    <col min="37" max="37" width="9" style="22" customWidth="1"/>
    <col min="38" max="38" width="19" style="99" customWidth="1"/>
    <col min="39" max="39" width="9.140625" style="15"/>
    <col min="40" max="40" width="48.85546875" style="72" customWidth="1"/>
    <col min="41" max="42" width="18.140625" style="73" customWidth="1"/>
    <col min="43" max="43" width="18.140625" style="74" customWidth="1"/>
    <col min="44" max="44" width="15.140625" style="15" customWidth="1"/>
    <col min="45" max="16384" width="9.140625" style="15"/>
  </cols>
  <sheetData>
    <row r="1" spans="1:47">
      <c r="AL1" s="71" t="s">
        <v>110</v>
      </c>
      <c r="AS1" s="75"/>
      <c r="AT1" s="75"/>
      <c r="AU1" s="76"/>
    </row>
    <row r="2" spans="1:47" ht="16.5">
      <c r="A2" s="69" t="s">
        <v>112</v>
      </c>
      <c r="B2" s="69"/>
      <c r="C2" s="69"/>
      <c r="D2" s="69"/>
      <c r="E2" s="69"/>
      <c r="F2" s="69"/>
      <c r="J2" s="652" t="s">
        <v>3433</v>
      </c>
      <c r="K2" s="652" t="s">
        <v>3513</v>
      </c>
      <c r="AA2" s="22"/>
      <c r="AB2" s="22"/>
      <c r="AC2" s="690" t="s">
        <v>49</v>
      </c>
      <c r="AD2" s="690"/>
      <c r="AE2" s="690"/>
      <c r="AF2" s="690"/>
      <c r="AG2" s="690"/>
      <c r="AH2" s="690"/>
      <c r="AI2" s="690"/>
      <c r="AJ2" s="690"/>
      <c r="AK2" s="690"/>
      <c r="AL2" s="690"/>
    </row>
    <row r="3" spans="1:47" ht="16.5">
      <c r="A3" s="694" t="s">
        <v>87</v>
      </c>
      <c r="B3" s="694"/>
      <c r="C3" s="694"/>
      <c r="D3" s="694"/>
      <c r="K3" s="652" t="s">
        <v>3514</v>
      </c>
      <c r="Y3" s="19"/>
      <c r="Z3" s="19"/>
      <c r="AA3" s="19"/>
      <c r="AB3" s="19"/>
      <c r="AC3" s="690" t="s">
        <v>51</v>
      </c>
      <c r="AD3" s="690"/>
      <c r="AE3" s="690"/>
      <c r="AF3" s="690"/>
      <c r="AG3" s="690"/>
      <c r="AH3" s="690"/>
      <c r="AI3" s="690"/>
      <c r="AJ3" s="690"/>
      <c r="AK3" s="690"/>
      <c r="AL3" s="690"/>
    </row>
    <row r="5" spans="1:47" ht="18.75">
      <c r="A5" s="695" t="s">
        <v>113</v>
      </c>
      <c r="B5" s="695"/>
      <c r="C5" s="695"/>
      <c r="D5" s="695"/>
      <c r="E5" s="695"/>
      <c r="F5" s="695"/>
      <c r="G5" s="695"/>
      <c r="H5" s="695"/>
      <c r="I5" s="695"/>
      <c r="J5" s="695"/>
      <c r="K5" s="695"/>
      <c r="L5" s="695"/>
      <c r="M5" s="695"/>
      <c r="N5" s="695"/>
      <c r="O5" s="695"/>
      <c r="P5" s="695"/>
      <c r="Q5" s="695"/>
      <c r="R5" s="695"/>
      <c r="S5" s="695"/>
      <c r="T5" s="695"/>
      <c r="U5" s="695"/>
      <c r="V5" s="77">
        <v>5</v>
      </c>
      <c r="W5" s="78" t="s">
        <v>114</v>
      </c>
      <c r="X5" s="696">
        <v>2025</v>
      </c>
      <c r="Y5" s="696"/>
      <c r="Z5" s="79"/>
      <c r="AA5" s="79"/>
      <c r="AB5" s="79"/>
      <c r="AC5" s="79"/>
      <c r="AD5" s="79"/>
      <c r="AE5" s="79"/>
      <c r="AF5" s="79"/>
      <c r="AG5" s="79"/>
      <c r="AH5" s="79"/>
      <c r="AI5" s="79"/>
      <c r="AJ5" s="79"/>
      <c r="AK5" s="79"/>
      <c r="AL5" s="79"/>
    </row>
    <row r="6" spans="1:47">
      <c r="A6" s="68"/>
      <c r="B6" s="80" t="s">
        <v>115</v>
      </c>
      <c r="C6" s="698"/>
      <c r="D6" s="698"/>
      <c r="E6" s="698"/>
      <c r="F6" s="698"/>
      <c r="G6" s="698"/>
      <c r="H6" s="698"/>
      <c r="I6" s="698"/>
      <c r="J6" s="698"/>
      <c r="K6" s="698"/>
      <c r="L6" s="698"/>
      <c r="M6" s="698"/>
      <c r="N6" s="698"/>
      <c r="O6" s="698"/>
      <c r="P6" s="698"/>
      <c r="Q6" s="698"/>
      <c r="R6" s="698"/>
      <c r="S6" s="698"/>
      <c r="T6" s="698"/>
      <c r="U6" s="698"/>
      <c r="V6" s="698"/>
      <c r="W6" s="698"/>
      <c r="X6" s="698"/>
      <c r="Y6" s="698"/>
      <c r="Z6" s="698"/>
      <c r="AA6" s="698"/>
      <c r="AB6" s="698"/>
      <c r="AC6" s="698"/>
      <c r="AD6" s="698"/>
      <c r="AE6" s="698"/>
      <c r="AF6" s="698"/>
      <c r="AG6" s="698"/>
      <c r="AH6" s="698"/>
      <c r="AI6" s="698"/>
      <c r="AJ6" s="698"/>
      <c r="AK6" s="698"/>
      <c r="AL6" s="698"/>
    </row>
    <row r="7" spans="1:47" s="81" customFormat="1" ht="24" customHeight="1">
      <c r="B7" s="82" t="s">
        <v>116</v>
      </c>
      <c r="C7" s="83"/>
      <c r="D7" s="83"/>
      <c r="E7" s="83"/>
      <c r="F7" s="83"/>
      <c r="G7" s="83"/>
      <c r="H7" s="83"/>
      <c r="I7" s="83"/>
      <c r="J7" s="83"/>
      <c r="K7" s="83"/>
      <c r="L7" s="83"/>
      <c r="M7" s="83"/>
      <c r="N7" s="83"/>
      <c r="O7" s="83"/>
      <c r="P7" s="83"/>
      <c r="Q7" s="83"/>
      <c r="R7" s="83"/>
      <c r="S7" s="83"/>
      <c r="T7" s="83"/>
      <c r="U7" s="83"/>
      <c r="V7" s="83"/>
      <c r="W7" s="83"/>
      <c r="X7" s="83"/>
      <c r="Y7" s="83"/>
      <c r="Z7" s="83"/>
      <c r="AA7" s="83"/>
      <c r="AB7" s="83"/>
      <c r="AC7" s="83"/>
      <c r="AD7" s="83"/>
      <c r="AE7" s="83"/>
      <c r="AF7" s="83"/>
      <c r="AG7" s="83"/>
      <c r="AH7" s="83"/>
      <c r="AI7" s="83"/>
      <c r="AJ7" s="83"/>
      <c r="AK7" s="84"/>
      <c r="AL7" s="85"/>
    </row>
    <row r="8" spans="1:47" ht="15" customHeight="1">
      <c r="A8" s="699" t="s">
        <v>36</v>
      </c>
      <c r="B8" s="700" t="s">
        <v>108</v>
      </c>
      <c r="C8" s="701" t="s">
        <v>107</v>
      </c>
      <c r="D8" s="702"/>
      <c r="E8" s="86"/>
      <c r="F8" s="87"/>
      <c r="G8" s="87"/>
      <c r="H8" s="87"/>
      <c r="I8" s="87"/>
      <c r="J8" s="87"/>
      <c r="K8" s="87"/>
      <c r="L8" s="87"/>
      <c r="M8" s="87"/>
      <c r="N8" s="703" t="s">
        <v>117</v>
      </c>
      <c r="O8" s="703"/>
      <c r="P8" s="703"/>
      <c r="Q8" s="88">
        <f>V5</f>
        <v>5</v>
      </c>
      <c r="R8" s="89" t="str">
        <f t="shared" ref="R8:S8" si="0">W5</f>
        <v>/</v>
      </c>
      <c r="S8" s="704">
        <f t="shared" si="0"/>
        <v>2025</v>
      </c>
      <c r="T8" s="704"/>
      <c r="U8" s="87"/>
      <c r="V8" s="87"/>
      <c r="W8" s="87"/>
      <c r="X8" s="87"/>
      <c r="Y8" s="87"/>
      <c r="Z8" s="87"/>
      <c r="AA8" s="87"/>
      <c r="AB8" s="87"/>
      <c r="AC8" s="87"/>
      <c r="AD8" s="87"/>
      <c r="AE8" s="87"/>
      <c r="AF8" s="87"/>
      <c r="AG8" s="87"/>
      <c r="AH8" s="87"/>
      <c r="AI8" s="87"/>
      <c r="AJ8" s="87"/>
      <c r="AK8" s="90"/>
      <c r="AL8" s="705" t="s">
        <v>61</v>
      </c>
    </row>
    <row r="9" spans="1:47" s="64" customFormat="1" ht="14.25">
      <c r="A9" s="699"/>
      <c r="B9" s="700"/>
      <c r="C9" s="699" t="s">
        <v>106</v>
      </c>
      <c r="D9" s="699" t="s">
        <v>57</v>
      </c>
      <c r="E9" s="91">
        <f>DATE($X$5,$V$5,1)</f>
        <v>45778</v>
      </c>
      <c r="F9" s="91">
        <f>E9+1</f>
        <v>45779</v>
      </c>
      <c r="G9" s="91">
        <f t="shared" ref="G9:AF9" si="1">F9+1</f>
        <v>45780</v>
      </c>
      <c r="H9" s="91">
        <f t="shared" si="1"/>
        <v>45781</v>
      </c>
      <c r="I9" s="91">
        <f t="shared" si="1"/>
        <v>45782</v>
      </c>
      <c r="J9" s="91">
        <f t="shared" si="1"/>
        <v>45783</v>
      </c>
      <c r="K9" s="91">
        <f t="shared" si="1"/>
        <v>45784</v>
      </c>
      <c r="L9" s="91">
        <f t="shared" si="1"/>
        <v>45785</v>
      </c>
      <c r="M9" s="91">
        <f t="shared" si="1"/>
        <v>45786</v>
      </c>
      <c r="N9" s="91">
        <f t="shared" si="1"/>
        <v>45787</v>
      </c>
      <c r="O9" s="91">
        <f t="shared" si="1"/>
        <v>45788</v>
      </c>
      <c r="P9" s="91">
        <f t="shared" si="1"/>
        <v>45789</v>
      </c>
      <c r="Q9" s="91">
        <f t="shared" si="1"/>
        <v>45790</v>
      </c>
      <c r="R9" s="91">
        <f t="shared" si="1"/>
        <v>45791</v>
      </c>
      <c r="S9" s="91">
        <f t="shared" si="1"/>
        <v>45792</v>
      </c>
      <c r="T9" s="91">
        <f t="shared" si="1"/>
        <v>45793</v>
      </c>
      <c r="U9" s="91">
        <f t="shared" si="1"/>
        <v>45794</v>
      </c>
      <c r="V9" s="91">
        <f t="shared" si="1"/>
        <v>45795</v>
      </c>
      <c r="W9" s="91">
        <f t="shared" si="1"/>
        <v>45796</v>
      </c>
      <c r="X9" s="91">
        <f t="shared" si="1"/>
        <v>45797</v>
      </c>
      <c r="Y9" s="91">
        <f t="shared" si="1"/>
        <v>45798</v>
      </c>
      <c r="Z9" s="91">
        <f t="shared" si="1"/>
        <v>45799</v>
      </c>
      <c r="AA9" s="91">
        <f t="shared" si="1"/>
        <v>45800</v>
      </c>
      <c r="AB9" s="91">
        <f t="shared" si="1"/>
        <v>45801</v>
      </c>
      <c r="AC9" s="91">
        <f t="shared" si="1"/>
        <v>45802</v>
      </c>
      <c r="AD9" s="91">
        <f t="shared" si="1"/>
        <v>45803</v>
      </c>
      <c r="AE9" s="91">
        <f t="shared" si="1"/>
        <v>45804</v>
      </c>
      <c r="AF9" s="91">
        <f t="shared" si="1"/>
        <v>45805</v>
      </c>
      <c r="AG9" s="91">
        <f>IF(EOMONTH(E9,0)&gt;AF9,AF9+1,"")</f>
        <v>45806</v>
      </c>
      <c r="AH9" s="91">
        <f t="shared" ref="AH9:AI9" si="2">IF(EOMONTH(F9,0)&gt;AG9,AG9+1,"")</f>
        <v>45807</v>
      </c>
      <c r="AI9" s="91">
        <f t="shared" si="2"/>
        <v>45808</v>
      </c>
      <c r="AJ9" s="701" t="s">
        <v>105</v>
      </c>
      <c r="AK9" s="702"/>
      <c r="AL9" s="706"/>
    </row>
    <row r="10" spans="1:47" s="64" customFormat="1" ht="28.5">
      <c r="A10" s="699"/>
      <c r="B10" s="700"/>
      <c r="C10" s="699"/>
      <c r="D10" s="699"/>
      <c r="E10" s="66" t="str">
        <f>TEXT(E9,"[$-42A]ddd")</f>
        <v>T5</v>
      </c>
      <c r="F10" s="66" t="str">
        <f t="shared" ref="F10:AI10" si="3">TEXT(F9,"[$-42A]ddd")</f>
        <v>T6</v>
      </c>
      <c r="G10" s="66" t="str">
        <f t="shared" si="3"/>
        <v>T7</v>
      </c>
      <c r="H10" s="66" t="str">
        <f t="shared" si="3"/>
        <v>CN</v>
      </c>
      <c r="I10" s="66" t="str">
        <f t="shared" si="3"/>
        <v>T2</v>
      </c>
      <c r="J10" s="66" t="str">
        <f t="shared" si="3"/>
        <v>T3</v>
      </c>
      <c r="K10" s="66" t="str">
        <f t="shared" si="3"/>
        <v>T4</v>
      </c>
      <c r="L10" s="66" t="str">
        <f t="shared" si="3"/>
        <v>T5</v>
      </c>
      <c r="M10" s="66" t="str">
        <f t="shared" si="3"/>
        <v>T6</v>
      </c>
      <c r="N10" s="66" t="str">
        <f t="shared" si="3"/>
        <v>T7</v>
      </c>
      <c r="O10" s="66" t="str">
        <f t="shared" si="3"/>
        <v>CN</v>
      </c>
      <c r="P10" s="66" t="str">
        <f t="shared" si="3"/>
        <v>T2</v>
      </c>
      <c r="Q10" s="66" t="str">
        <f t="shared" si="3"/>
        <v>T3</v>
      </c>
      <c r="R10" s="66" t="str">
        <f t="shared" si="3"/>
        <v>T4</v>
      </c>
      <c r="S10" s="66" t="str">
        <f t="shared" si="3"/>
        <v>T5</v>
      </c>
      <c r="T10" s="66" t="str">
        <f t="shared" si="3"/>
        <v>T6</v>
      </c>
      <c r="U10" s="66" t="str">
        <f t="shared" si="3"/>
        <v>T7</v>
      </c>
      <c r="V10" s="66" t="str">
        <f t="shared" si="3"/>
        <v>CN</v>
      </c>
      <c r="W10" s="66" t="str">
        <f t="shared" si="3"/>
        <v>T2</v>
      </c>
      <c r="X10" s="66" t="str">
        <f t="shared" si="3"/>
        <v>T3</v>
      </c>
      <c r="Y10" s="66" t="str">
        <f t="shared" si="3"/>
        <v>T4</v>
      </c>
      <c r="Z10" s="66" t="str">
        <f t="shared" si="3"/>
        <v>T5</v>
      </c>
      <c r="AA10" s="66" t="str">
        <f t="shared" si="3"/>
        <v>T6</v>
      </c>
      <c r="AB10" s="66" t="str">
        <f t="shared" si="3"/>
        <v>T7</v>
      </c>
      <c r="AC10" s="66" t="str">
        <f t="shared" si="3"/>
        <v>CN</v>
      </c>
      <c r="AD10" s="66" t="str">
        <f t="shared" si="3"/>
        <v>T2</v>
      </c>
      <c r="AE10" s="66" t="str">
        <f t="shared" si="3"/>
        <v>T3</v>
      </c>
      <c r="AF10" s="66" t="str">
        <f t="shared" si="3"/>
        <v>T4</v>
      </c>
      <c r="AG10" s="66" t="str">
        <f t="shared" si="3"/>
        <v>T5</v>
      </c>
      <c r="AH10" s="66" t="str">
        <f t="shared" si="3"/>
        <v>T6</v>
      </c>
      <c r="AI10" s="66" t="str">
        <f t="shared" si="3"/>
        <v>T7</v>
      </c>
      <c r="AJ10" s="65" t="s">
        <v>104</v>
      </c>
      <c r="AK10" s="65" t="s">
        <v>103</v>
      </c>
      <c r="AL10" s="707"/>
    </row>
    <row r="11" spans="1:47" s="56" customFormat="1" ht="14.25">
      <c r="A11" s="57" t="s">
        <v>102</v>
      </c>
      <c r="B11" s="92"/>
      <c r="C11" s="58"/>
      <c r="D11" s="58"/>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2"/>
      <c r="AK11" s="61"/>
      <c r="AL11" s="57"/>
    </row>
    <row r="12" spans="1:47" s="59" customFormat="1">
      <c r="A12" s="26">
        <v>1</v>
      </c>
      <c r="B12" s="93" t="s">
        <v>101</v>
      </c>
      <c r="C12" s="50" t="s">
        <v>100</v>
      </c>
      <c r="D12" s="26" t="s">
        <v>99</v>
      </c>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8">
        <f>SUM(E12:AI12)</f>
        <v>0</v>
      </c>
      <c r="AK12" s="54"/>
      <c r="AL12" s="94"/>
    </row>
    <row r="13" spans="1:47">
      <c r="A13" s="26">
        <v>2</v>
      </c>
      <c r="B13" s="95" t="s">
        <v>98</v>
      </c>
      <c r="C13" s="50" t="s">
        <v>97</v>
      </c>
      <c r="D13" s="26" t="s">
        <v>96</v>
      </c>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8">
        <f>SUM(E13:AI13)</f>
        <v>0</v>
      </c>
      <c r="AK13" s="47"/>
      <c r="AL13" s="32"/>
    </row>
    <row r="14" spans="1:47" s="56" customFormat="1">
      <c r="A14" s="57" t="s">
        <v>95</v>
      </c>
      <c r="B14" s="92"/>
      <c r="C14" s="58"/>
      <c r="D14" s="58"/>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8"/>
      <c r="AK14" s="47"/>
      <c r="AL14" s="57"/>
    </row>
    <row r="15" spans="1:47" s="51" customFormat="1">
      <c r="A15" s="26">
        <v>1</v>
      </c>
      <c r="B15" s="96" t="str">
        <f>'[4]2.BTH cham cong'!C39</f>
        <v>Kiểm thử</v>
      </c>
      <c r="C15" s="53"/>
      <c r="D15" s="53"/>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8"/>
      <c r="AK15" s="47"/>
      <c r="AL15" s="52"/>
    </row>
    <row r="16" spans="1:47" ht="30">
      <c r="A16" s="26">
        <v>2</v>
      </c>
      <c r="B16" s="96" t="str">
        <f>'[4]2.BTH cham cong'!C40</f>
        <v>Nghiên cứu giải pháp</v>
      </c>
      <c r="C16" s="50" t="s">
        <v>94</v>
      </c>
      <c r="D16" s="28" t="s">
        <v>93</v>
      </c>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8">
        <f>SUM(E16:AI16)</f>
        <v>0</v>
      </c>
      <c r="AK16" s="54"/>
      <c r="AL16" s="32"/>
    </row>
    <row r="17" spans="1:43" s="51" customFormat="1">
      <c r="A17" s="26">
        <v>3</v>
      </c>
      <c r="B17" s="96" t="str">
        <f>'[4]2.BTH cham cong'!C41</f>
        <v>Thiết kế cơ khí</v>
      </c>
      <c r="C17" s="53"/>
      <c r="D17" s="53"/>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8"/>
      <c r="AK17" s="47"/>
      <c r="AL17" s="52"/>
    </row>
    <row r="18" spans="1:43">
      <c r="A18" s="26">
        <v>4</v>
      </c>
      <c r="B18" s="96">
        <f>'[4]2.BTH cham cong'!D62</f>
        <v>0</v>
      </c>
      <c r="C18" s="50" t="s">
        <v>92</v>
      </c>
      <c r="D18" s="26" t="s">
        <v>91</v>
      </c>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8">
        <f>SUM(E18:AI18)</f>
        <v>0</v>
      </c>
      <c r="AK18" s="47"/>
      <c r="AL18" s="32" t="s">
        <v>90</v>
      </c>
    </row>
    <row r="19" spans="1:43">
      <c r="A19" s="26">
        <v>5</v>
      </c>
      <c r="B19" s="96">
        <f>AN20</f>
        <v>0</v>
      </c>
      <c r="C19" s="53"/>
      <c r="D19" s="53"/>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8"/>
      <c r="AK19" s="47"/>
      <c r="AL19" s="52"/>
    </row>
    <row r="20" spans="1:43" ht="30">
      <c r="A20" s="26">
        <v>6</v>
      </c>
      <c r="B20" s="96">
        <f>AN21</f>
        <v>0</v>
      </c>
      <c r="C20" s="50" t="s">
        <v>94</v>
      </c>
      <c r="D20" s="28" t="s">
        <v>93</v>
      </c>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8">
        <f>SUM(E20:AI20)</f>
        <v>0</v>
      </c>
      <c r="AK20" s="54"/>
      <c r="AL20" s="32"/>
      <c r="AN20" s="97"/>
      <c r="AO20" s="97"/>
      <c r="AP20" s="97"/>
      <c r="AQ20" s="97"/>
    </row>
    <row r="21" spans="1:43">
      <c r="A21" s="26">
        <v>7</v>
      </c>
      <c r="B21" s="96">
        <f>AN32</f>
        <v>0</v>
      </c>
      <c r="C21" s="53"/>
      <c r="D21" s="53"/>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8"/>
      <c r="AK21" s="47"/>
      <c r="AL21" s="52"/>
      <c r="AN21" s="97"/>
      <c r="AO21" s="97"/>
      <c r="AP21" s="97"/>
      <c r="AQ21" s="97"/>
    </row>
    <row r="22" spans="1:43">
      <c r="A22" s="26">
        <v>8</v>
      </c>
      <c r="B22" s="96">
        <f t="shared" ref="B22:B25" si="4">AN23</f>
        <v>0</v>
      </c>
      <c r="C22" s="50"/>
      <c r="D22" s="26"/>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8">
        <f>SUM(E22:AI22)</f>
        <v>0</v>
      </c>
      <c r="AK22" s="47"/>
      <c r="AL22" s="32" t="s">
        <v>90</v>
      </c>
      <c r="AN22" s="97"/>
      <c r="AO22" s="97"/>
      <c r="AP22" s="97"/>
      <c r="AQ22" s="97"/>
    </row>
    <row r="23" spans="1:43">
      <c r="A23" s="26">
        <v>9</v>
      </c>
      <c r="B23" s="96">
        <f t="shared" si="4"/>
        <v>0</v>
      </c>
      <c r="C23" s="53"/>
      <c r="D23" s="53"/>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8"/>
      <c r="AK23" s="47"/>
      <c r="AL23" s="52"/>
      <c r="AN23" s="97"/>
      <c r="AO23" s="97"/>
      <c r="AP23" s="97"/>
      <c r="AQ23" s="97"/>
    </row>
    <row r="24" spans="1:43">
      <c r="A24" s="26">
        <v>10</v>
      </c>
      <c r="B24" s="96">
        <f t="shared" si="4"/>
        <v>0</v>
      </c>
      <c r="C24" s="50"/>
      <c r="D24" s="28"/>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8">
        <f>SUM(E24:AI24)</f>
        <v>0</v>
      </c>
      <c r="AK24" s="54"/>
      <c r="AL24" s="32"/>
      <c r="AN24" s="97"/>
      <c r="AO24" s="97"/>
      <c r="AP24" s="97"/>
      <c r="AQ24" s="97"/>
    </row>
    <row r="25" spans="1:43">
      <c r="A25" s="26">
        <v>11</v>
      </c>
      <c r="B25" s="96">
        <f t="shared" si="4"/>
        <v>0</v>
      </c>
      <c r="C25" s="53"/>
      <c r="D25" s="53"/>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8"/>
      <c r="AK25" s="47"/>
      <c r="AL25" s="52"/>
      <c r="AN25" s="97"/>
      <c r="AO25" s="97"/>
      <c r="AP25" s="97"/>
      <c r="AQ25" s="97"/>
    </row>
    <row r="26" spans="1:43">
      <c r="A26" s="26">
        <v>12</v>
      </c>
      <c r="B26" s="96">
        <f>AN32</f>
        <v>0</v>
      </c>
      <c r="C26" s="50"/>
      <c r="D26" s="26"/>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8">
        <f>SUM(E26:AI26)</f>
        <v>0</v>
      </c>
      <c r="AK26" s="47"/>
      <c r="AL26" s="32" t="s">
        <v>90</v>
      </c>
      <c r="AN26" s="97"/>
      <c r="AO26" s="97"/>
      <c r="AP26" s="97"/>
      <c r="AQ26" s="97"/>
    </row>
    <row r="27" spans="1:43">
      <c r="A27" s="26">
        <v>13</v>
      </c>
      <c r="B27" s="96">
        <f t="shared" ref="B27:B31" si="5">AN28</f>
        <v>0</v>
      </c>
      <c r="C27" s="50"/>
      <c r="D27" s="26"/>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8">
        <f>SUM(E27:AI27)</f>
        <v>0</v>
      </c>
      <c r="AK27" s="47"/>
      <c r="AL27" s="32" t="s">
        <v>90</v>
      </c>
      <c r="AN27" s="97"/>
      <c r="AO27" s="97"/>
      <c r="AP27" s="97"/>
      <c r="AQ27" s="97"/>
    </row>
    <row r="28" spans="1:43">
      <c r="A28" s="26">
        <v>14</v>
      </c>
      <c r="B28" s="96">
        <f t="shared" si="5"/>
        <v>0</v>
      </c>
      <c r="C28" s="53"/>
      <c r="D28" s="53"/>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8"/>
      <c r="AK28" s="47"/>
      <c r="AL28" s="52"/>
      <c r="AN28" s="97"/>
      <c r="AO28" s="97"/>
      <c r="AP28" s="97"/>
      <c r="AQ28" s="97"/>
    </row>
    <row r="29" spans="1:43">
      <c r="A29" s="26">
        <v>15</v>
      </c>
      <c r="B29" s="96">
        <f>AN30</f>
        <v>0</v>
      </c>
      <c r="C29" s="50"/>
      <c r="D29" s="28"/>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8">
        <f>SUM(E29:AI29)</f>
        <v>0</v>
      </c>
      <c r="AK29" s="54"/>
      <c r="AL29" s="32"/>
      <c r="AN29" s="97"/>
      <c r="AO29" s="97"/>
      <c r="AP29" s="97"/>
      <c r="AQ29" s="97"/>
    </row>
    <row r="30" spans="1:43">
      <c r="A30" s="26">
        <v>16</v>
      </c>
      <c r="B30" s="96">
        <f t="shared" si="5"/>
        <v>0</v>
      </c>
      <c r="C30" s="53"/>
      <c r="D30" s="53"/>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8"/>
      <c r="AK30" s="47"/>
      <c r="AL30" s="52"/>
      <c r="AN30" s="97"/>
      <c r="AO30" s="97"/>
      <c r="AP30" s="97"/>
      <c r="AQ30" s="97"/>
    </row>
    <row r="31" spans="1:43">
      <c r="A31" s="26">
        <v>17</v>
      </c>
      <c r="B31" s="96">
        <f t="shared" si="5"/>
        <v>0</v>
      </c>
      <c r="C31" s="50"/>
      <c r="D31" s="26"/>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8">
        <f>SUM(E31:AI31)</f>
        <v>0</v>
      </c>
      <c r="AK31" s="47"/>
      <c r="AL31" s="32" t="s">
        <v>90</v>
      </c>
      <c r="AN31" s="97"/>
      <c r="AO31" s="97"/>
      <c r="AP31" s="97"/>
      <c r="AQ31" s="97"/>
    </row>
    <row r="32" spans="1:43">
      <c r="A32" s="26">
        <v>18</v>
      </c>
      <c r="B32" s="96">
        <f>AN33</f>
        <v>0</v>
      </c>
      <c r="C32" s="50"/>
      <c r="D32" s="26"/>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8">
        <f>SUM(E32:AI32)</f>
        <v>0</v>
      </c>
      <c r="AK32" s="47"/>
      <c r="AL32" s="32" t="s">
        <v>90</v>
      </c>
      <c r="AN32" s="97"/>
      <c r="AO32" s="97"/>
      <c r="AP32" s="97"/>
      <c r="AQ32" s="97"/>
    </row>
    <row r="33" spans="1:43">
      <c r="A33" s="26">
        <v>19</v>
      </c>
      <c r="B33" s="96">
        <f>AN34</f>
        <v>0</v>
      </c>
      <c r="C33" s="53"/>
      <c r="D33" s="53"/>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8"/>
      <c r="AK33" s="47"/>
      <c r="AL33" s="52"/>
      <c r="AN33" s="97"/>
      <c r="AO33" s="97"/>
      <c r="AP33" s="97"/>
      <c r="AQ33" s="97"/>
    </row>
    <row r="34" spans="1:43">
      <c r="A34" s="26">
        <v>20</v>
      </c>
      <c r="B34" s="96">
        <f>AN35</f>
        <v>0</v>
      </c>
      <c r="C34" s="50"/>
      <c r="D34" s="28"/>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8">
        <f>SUM(E34:AI34)</f>
        <v>0</v>
      </c>
      <c r="AK34" s="54"/>
      <c r="AL34" s="32"/>
      <c r="AN34" s="97"/>
      <c r="AO34" s="97"/>
      <c r="AP34" s="97"/>
      <c r="AQ34" s="97"/>
    </row>
    <row r="35" spans="1:43">
      <c r="A35" s="697" t="s">
        <v>89</v>
      </c>
      <c r="B35" s="697"/>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5"/>
      <c r="AG35" s="45"/>
      <c r="AH35" s="43"/>
      <c r="AI35" s="43"/>
      <c r="AJ35" s="44">
        <f>SUM(AJ12:AJ34)</f>
        <v>0</v>
      </c>
      <c r="AK35" s="44"/>
      <c r="AL35" s="98"/>
      <c r="AN35" s="97"/>
      <c r="AO35" s="97"/>
      <c r="AP35" s="97"/>
      <c r="AQ35" s="97"/>
    </row>
    <row r="36" spans="1:43" ht="16.5">
      <c r="A36" s="22"/>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19"/>
      <c r="AI36" s="20"/>
      <c r="AJ36" s="20"/>
      <c r="AN36" s="97"/>
      <c r="AO36" s="97"/>
      <c r="AP36" s="97"/>
      <c r="AQ36" s="97"/>
    </row>
    <row r="37" spans="1:43" ht="16.5">
      <c r="C37" s="40" t="s">
        <v>88</v>
      </c>
      <c r="F37" s="41"/>
      <c r="G37" s="41"/>
      <c r="H37" s="41"/>
      <c r="I37" s="41"/>
      <c r="J37" s="41"/>
      <c r="K37" s="41"/>
      <c r="L37" s="41"/>
      <c r="M37" s="42" t="s">
        <v>84</v>
      </c>
      <c r="N37" s="41"/>
      <c r="P37" s="41"/>
      <c r="Q37" s="41"/>
      <c r="S37" s="41"/>
      <c r="T37" s="41"/>
      <c r="U37" s="41"/>
      <c r="V37" s="41"/>
      <c r="W37" s="41"/>
      <c r="X37" s="41"/>
      <c r="Y37" s="41"/>
      <c r="Z37" s="41"/>
      <c r="AA37" s="41"/>
      <c r="AB37" s="42" t="s">
        <v>87</v>
      </c>
      <c r="AC37" s="41"/>
      <c r="AD37" s="41"/>
      <c r="AE37" s="41"/>
      <c r="AF37" s="41"/>
      <c r="AG37" s="41"/>
      <c r="AH37" s="41"/>
      <c r="AI37" s="41"/>
      <c r="AJ37" s="41"/>
      <c r="AK37" s="40"/>
      <c r="AL37" s="100"/>
      <c r="AN37" s="97"/>
      <c r="AO37" s="97"/>
      <c r="AP37" s="97"/>
      <c r="AQ37" s="97"/>
    </row>
    <row r="38" spans="1:43" ht="16.5">
      <c r="C38" s="40"/>
      <c r="F38" s="41"/>
      <c r="G38" s="41"/>
      <c r="H38" s="41"/>
      <c r="I38" s="41"/>
      <c r="J38" s="41"/>
      <c r="K38" s="41"/>
      <c r="L38" s="41"/>
      <c r="M38" s="42"/>
      <c r="N38" s="41"/>
      <c r="P38" s="41"/>
      <c r="Q38" s="41"/>
      <c r="S38" s="41"/>
      <c r="T38" s="41"/>
      <c r="U38" s="41"/>
      <c r="V38" s="41"/>
      <c r="W38" s="41"/>
      <c r="X38" s="41"/>
      <c r="Y38" s="41"/>
      <c r="Z38" s="41"/>
      <c r="AA38" s="41"/>
      <c r="AB38" s="42"/>
      <c r="AC38" s="41"/>
      <c r="AD38" s="41"/>
      <c r="AE38" s="41"/>
      <c r="AF38" s="41"/>
      <c r="AG38" s="41"/>
      <c r="AH38" s="41"/>
      <c r="AI38" s="41"/>
      <c r="AJ38" s="41"/>
      <c r="AK38" s="40"/>
      <c r="AL38" s="100"/>
      <c r="AN38" s="97"/>
      <c r="AO38" s="97"/>
      <c r="AP38" s="97"/>
      <c r="AQ38" s="97"/>
    </row>
    <row r="39" spans="1:43">
      <c r="A39" s="22"/>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N39" s="97"/>
      <c r="AO39" s="97"/>
      <c r="AP39" s="97"/>
      <c r="AQ39" s="97"/>
    </row>
    <row r="40" spans="1:43">
      <c r="B40" s="80"/>
      <c r="AN40" s="97"/>
      <c r="AO40" s="97"/>
      <c r="AP40" s="97"/>
      <c r="AQ40" s="97"/>
    </row>
    <row r="41" spans="1:43">
      <c r="B41" s="101"/>
      <c r="K41" s="37"/>
      <c r="AN41" s="97"/>
      <c r="AO41" s="97"/>
      <c r="AP41" s="97"/>
      <c r="AQ41" s="97"/>
    </row>
    <row r="42" spans="1:43">
      <c r="AN42" s="97"/>
      <c r="AO42" s="97"/>
      <c r="AP42" s="97"/>
      <c r="AQ42" s="97"/>
    </row>
    <row r="43" spans="1:43">
      <c r="AN43" s="97"/>
      <c r="AO43" s="97"/>
      <c r="AP43" s="97"/>
      <c r="AQ43" s="97"/>
    </row>
    <row r="44" spans="1:43">
      <c r="AN44" s="97"/>
      <c r="AO44" s="97"/>
      <c r="AP44" s="97"/>
      <c r="AQ44" s="97"/>
    </row>
    <row r="45" spans="1:43">
      <c r="AN45" s="97"/>
      <c r="AO45" s="97"/>
      <c r="AP45" s="97"/>
      <c r="AQ45" s="97"/>
    </row>
    <row r="46" spans="1:43">
      <c r="AN46" s="97"/>
      <c r="AO46" s="97"/>
      <c r="AP46" s="97"/>
      <c r="AQ46" s="97"/>
    </row>
    <row r="47" spans="1:43">
      <c r="AN47" s="97"/>
      <c r="AO47" s="97"/>
      <c r="AP47" s="97"/>
      <c r="AQ47" s="97"/>
    </row>
    <row r="48" spans="1:43">
      <c r="AN48" s="97"/>
      <c r="AO48" s="97"/>
      <c r="AP48" s="97"/>
      <c r="AQ48" s="97"/>
    </row>
    <row r="49" spans="40:43">
      <c r="AN49" s="97"/>
      <c r="AO49" s="97"/>
      <c r="AP49" s="97"/>
      <c r="AQ49" s="97"/>
    </row>
    <row r="50" spans="40:43">
      <c r="AN50" s="97"/>
      <c r="AO50" s="97"/>
      <c r="AP50" s="97"/>
      <c r="AQ50" s="97"/>
    </row>
    <row r="51" spans="40:43">
      <c r="AN51" s="97"/>
      <c r="AO51" s="97"/>
      <c r="AP51" s="97"/>
      <c r="AQ51" s="97"/>
    </row>
    <row r="52" spans="40:43">
      <c r="AN52" s="97"/>
      <c r="AO52" s="97"/>
      <c r="AP52" s="97"/>
      <c r="AQ52" s="97"/>
    </row>
    <row r="53" spans="40:43">
      <c r="AN53" s="97"/>
      <c r="AO53" s="97"/>
      <c r="AP53" s="97"/>
      <c r="AQ53" s="97"/>
    </row>
    <row r="54" spans="40:43">
      <c r="AN54" s="97"/>
      <c r="AO54" s="97"/>
      <c r="AP54" s="97"/>
      <c r="AQ54" s="97"/>
    </row>
    <row r="55" spans="40:43">
      <c r="AN55" s="97"/>
      <c r="AO55" s="97"/>
      <c r="AP55" s="97"/>
      <c r="AQ55" s="97"/>
    </row>
    <row r="56" spans="40:43">
      <c r="AN56" s="97"/>
      <c r="AO56" s="97"/>
      <c r="AP56" s="97"/>
      <c r="AQ56" s="97"/>
    </row>
    <row r="57" spans="40:43">
      <c r="AN57" s="97"/>
      <c r="AO57" s="97"/>
      <c r="AP57" s="97"/>
      <c r="AQ57" s="97"/>
    </row>
    <row r="58" spans="40:43">
      <c r="AN58" s="97"/>
      <c r="AO58" s="97"/>
      <c r="AP58" s="97"/>
      <c r="AQ58" s="97"/>
    </row>
    <row r="59" spans="40:43">
      <c r="AN59" s="97"/>
      <c r="AO59" s="97"/>
      <c r="AP59" s="97"/>
      <c r="AQ59" s="97"/>
    </row>
    <row r="60" spans="40:43">
      <c r="AN60" s="97"/>
      <c r="AO60" s="97"/>
      <c r="AP60" s="97"/>
      <c r="AQ60" s="97"/>
    </row>
    <row r="61" spans="40:43">
      <c r="AN61" s="97"/>
      <c r="AO61" s="97"/>
      <c r="AP61" s="97"/>
      <c r="AQ61" s="97"/>
    </row>
    <row r="62" spans="40:43">
      <c r="AN62" s="97"/>
      <c r="AO62" s="97"/>
      <c r="AP62" s="97"/>
      <c r="AQ62" s="97"/>
    </row>
    <row r="63" spans="40:43">
      <c r="AN63" s="97"/>
      <c r="AO63" s="97"/>
      <c r="AP63" s="97"/>
      <c r="AQ63" s="97"/>
    </row>
    <row r="64" spans="40:43">
      <c r="AN64" s="97"/>
      <c r="AO64" s="97"/>
      <c r="AP64" s="97"/>
      <c r="AQ64" s="97"/>
    </row>
    <row r="65" spans="40:43">
      <c r="AN65" s="97"/>
      <c r="AO65" s="97"/>
      <c r="AP65" s="97"/>
      <c r="AQ65" s="97"/>
    </row>
    <row r="66" spans="40:43">
      <c r="AN66" s="97"/>
      <c r="AO66" s="97"/>
      <c r="AP66" s="97"/>
      <c r="AQ66" s="97"/>
    </row>
    <row r="67" spans="40:43">
      <c r="AN67" s="97"/>
      <c r="AO67" s="97"/>
      <c r="AP67" s="97"/>
      <c r="AQ67" s="97"/>
    </row>
    <row r="68" spans="40:43">
      <c r="AN68" s="97"/>
      <c r="AO68" s="97"/>
      <c r="AP68" s="97"/>
      <c r="AQ68" s="97"/>
    </row>
    <row r="69" spans="40:43">
      <c r="AN69" s="97"/>
      <c r="AO69" s="97"/>
      <c r="AP69" s="97"/>
      <c r="AQ69" s="97"/>
    </row>
    <row r="70" spans="40:43">
      <c r="AN70" s="97"/>
      <c r="AO70" s="97"/>
      <c r="AP70" s="97"/>
      <c r="AQ70" s="97"/>
    </row>
    <row r="71" spans="40:43">
      <c r="AN71" s="97"/>
      <c r="AO71" s="97"/>
      <c r="AP71" s="97"/>
      <c r="AQ71" s="97"/>
    </row>
    <row r="72" spans="40:43">
      <c r="AN72" s="97"/>
      <c r="AO72" s="97"/>
      <c r="AP72" s="97"/>
      <c r="AQ72" s="97"/>
    </row>
    <row r="73" spans="40:43">
      <c r="AN73" s="97"/>
      <c r="AO73" s="97"/>
      <c r="AP73" s="97"/>
      <c r="AQ73" s="97"/>
    </row>
    <row r="74" spans="40:43">
      <c r="AN74" s="97"/>
      <c r="AO74" s="97"/>
      <c r="AP74" s="97"/>
      <c r="AQ74" s="97"/>
    </row>
    <row r="75" spans="40:43">
      <c r="AN75" s="97"/>
      <c r="AO75" s="97"/>
      <c r="AP75" s="97"/>
      <c r="AQ75" s="97"/>
    </row>
    <row r="76" spans="40:43">
      <c r="AN76" s="97"/>
      <c r="AO76" s="97"/>
      <c r="AP76" s="97"/>
      <c r="AQ76" s="97"/>
    </row>
    <row r="77" spans="40:43">
      <c r="AN77" s="97"/>
      <c r="AO77" s="97"/>
      <c r="AP77" s="97"/>
      <c r="AQ77" s="97"/>
    </row>
    <row r="78" spans="40:43">
      <c r="AN78" s="97"/>
      <c r="AO78" s="97"/>
      <c r="AP78" s="97"/>
      <c r="AQ78" s="97"/>
    </row>
    <row r="79" spans="40:43">
      <c r="AN79" s="97"/>
      <c r="AO79" s="97"/>
      <c r="AP79" s="97"/>
      <c r="AQ79" s="97"/>
    </row>
    <row r="80" spans="40:43">
      <c r="AN80" s="97"/>
      <c r="AO80" s="97"/>
      <c r="AP80" s="97"/>
      <c r="AQ80" s="97"/>
    </row>
    <row r="81" spans="40:43">
      <c r="AN81" s="97"/>
      <c r="AO81" s="97"/>
      <c r="AP81" s="97"/>
      <c r="AQ81" s="97"/>
    </row>
    <row r="82" spans="40:43">
      <c r="AN82" s="97"/>
      <c r="AO82" s="97"/>
      <c r="AP82" s="97"/>
      <c r="AQ82" s="97"/>
    </row>
    <row r="83" spans="40:43">
      <c r="AN83" s="97"/>
      <c r="AO83" s="97"/>
      <c r="AP83" s="97"/>
      <c r="AQ83" s="97"/>
    </row>
    <row r="84" spans="40:43">
      <c r="AN84" s="97"/>
      <c r="AO84" s="97"/>
      <c r="AP84" s="97"/>
      <c r="AQ84" s="97"/>
    </row>
    <row r="85" spans="40:43">
      <c r="AN85" s="97"/>
      <c r="AO85" s="97"/>
      <c r="AP85" s="97"/>
      <c r="AQ85" s="97"/>
    </row>
    <row r="86" spans="40:43">
      <c r="AN86" s="97"/>
      <c r="AO86" s="97"/>
      <c r="AP86" s="97"/>
      <c r="AQ86" s="97"/>
    </row>
    <row r="87" spans="40:43">
      <c r="AN87" s="97"/>
      <c r="AO87" s="97"/>
      <c r="AP87" s="97"/>
      <c r="AQ87" s="97"/>
    </row>
    <row r="88" spans="40:43">
      <c r="AN88" s="97"/>
      <c r="AO88" s="97"/>
      <c r="AP88" s="97"/>
      <c r="AQ88" s="97"/>
    </row>
    <row r="89" spans="40:43">
      <c r="AN89" s="97"/>
      <c r="AO89" s="97"/>
      <c r="AP89" s="97"/>
      <c r="AQ89" s="97"/>
    </row>
    <row r="90" spans="40:43">
      <c r="AN90" s="97"/>
      <c r="AO90" s="97"/>
      <c r="AP90" s="97"/>
      <c r="AQ90" s="97"/>
    </row>
    <row r="91" spans="40:43">
      <c r="AN91" s="97"/>
      <c r="AO91" s="97"/>
      <c r="AP91" s="97"/>
      <c r="AQ91" s="97"/>
    </row>
    <row r="92" spans="40:43">
      <c r="AN92" s="97"/>
      <c r="AO92" s="97"/>
      <c r="AP92" s="97"/>
      <c r="AQ92" s="97"/>
    </row>
    <row r="93" spans="40:43">
      <c r="AN93" s="97"/>
      <c r="AO93" s="97"/>
      <c r="AP93" s="97"/>
      <c r="AQ93" s="97"/>
    </row>
    <row r="94" spans="40:43">
      <c r="AN94" s="97"/>
      <c r="AO94" s="97"/>
      <c r="AP94" s="97"/>
      <c r="AQ94" s="97"/>
    </row>
    <row r="95" spans="40:43">
      <c r="AN95" s="97"/>
      <c r="AO95" s="97"/>
      <c r="AP95" s="97"/>
      <c r="AQ95" s="97"/>
    </row>
    <row r="96" spans="40:43">
      <c r="AN96" s="97"/>
      <c r="AO96" s="97"/>
      <c r="AP96" s="97"/>
      <c r="AQ96" s="97"/>
    </row>
    <row r="97" spans="40:43">
      <c r="AN97" s="97"/>
      <c r="AO97" s="97"/>
      <c r="AP97" s="97"/>
      <c r="AQ97" s="97"/>
    </row>
    <row r="98" spans="40:43">
      <c r="AN98" s="97"/>
      <c r="AO98" s="97"/>
      <c r="AP98" s="97"/>
      <c r="AQ98" s="97"/>
    </row>
    <row r="99" spans="40:43">
      <c r="AN99" s="97"/>
      <c r="AO99" s="97"/>
      <c r="AP99" s="97"/>
      <c r="AQ99" s="97"/>
    </row>
    <row r="100" spans="40:43">
      <c r="AN100" s="97"/>
      <c r="AO100" s="97"/>
      <c r="AP100" s="97"/>
      <c r="AQ100" s="97"/>
    </row>
    <row r="101" spans="40:43">
      <c r="AN101" s="97"/>
      <c r="AO101" s="97"/>
      <c r="AP101" s="97"/>
      <c r="AQ101" s="97"/>
    </row>
    <row r="102" spans="40:43">
      <c r="AN102" s="97"/>
      <c r="AO102" s="97"/>
      <c r="AP102" s="97"/>
      <c r="AQ102" s="97"/>
    </row>
    <row r="103" spans="40:43">
      <c r="AN103" s="97"/>
      <c r="AO103" s="97"/>
      <c r="AP103" s="97"/>
      <c r="AQ103" s="97"/>
    </row>
    <row r="104" spans="40:43">
      <c r="AN104" s="97"/>
      <c r="AO104" s="97"/>
      <c r="AP104" s="97"/>
      <c r="AQ104" s="97"/>
    </row>
    <row r="105" spans="40:43">
      <c r="AN105" s="97"/>
      <c r="AO105" s="97"/>
      <c r="AP105" s="97"/>
      <c r="AQ105" s="97"/>
    </row>
    <row r="106" spans="40:43">
      <c r="AN106" s="97"/>
      <c r="AO106" s="97"/>
      <c r="AP106" s="97"/>
      <c r="AQ106" s="97"/>
    </row>
    <row r="107" spans="40:43">
      <c r="AN107" s="97"/>
      <c r="AO107" s="97"/>
      <c r="AP107" s="97"/>
      <c r="AQ107" s="97"/>
    </row>
    <row r="108" spans="40:43">
      <c r="AN108" s="97"/>
      <c r="AO108" s="97"/>
      <c r="AP108" s="97"/>
      <c r="AQ108" s="97"/>
    </row>
    <row r="109" spans="40:43">
      <c r="AN109" s="97"/>
      <c r="AO109" s="97"/>
      <c r="AP109" s="97"/>
      <c r="AQ109" s="97"/>
    </row>
    <row r="110" spans="40:43">
      <c r="AN110" s="97"/>
      <c r="AO110" s="97"/>
      <c r="AP110" s="97"/>
      <c r="AQ110" s="97"/>
    </row>
    <row r="111" spans="40:43">
      <c r="AN111" s="97"/>
      <c r="AO111" s="97"/>
      <c r="AP111" s="97"/>
      <c r="AQ111" s="97"/>
    </row>
    <row r="112" spans="40:43">
      <c r="AN112" s="97"/>
      <c r="AO112" s="97"/>
      <c r="AP112" s="97"/>
      <c r="AQ112" s="97"/>
    </row>
    <row r="113" spans="40:43">
      <c r="AN113" s="97"/>
      <c r="AO113" s="97"/>
      <c r="AP113" s="97"/>
      <c r="AQ113" s="97"/>
    </row>
    <row r="114" spans="40:43">
      <c r="AN114" s="97"/>
      <c r="AO114" s="97"/>
      <c r="AP114" s="97"/>
      <c r="AQ114" s="97"/>
    </row>
    <row r="115" spans="40:43">
      <c r="AN115" s="97"/>
      <c r="AO115" s="97"/>
      <c r="AP115" s="97"/>
      <c r="AQ115" s="97"/>
    </row>
    <row r="116" spans="40:43">
      <c r="AN116" s="97"/>
      <c r="AO116" s="97"/>
      <c r="AP116" s="97"/>
      <c r="AQ116" s="97"/>
    </row>
    <row r="117" spans="40:43">
      <c r="AN117" s="97"/>
      <c r="AO117" s="97"/>
      <c r="AP117" s="97"/>
      <c r="AQ117" s="97"/>
    </row>
    <row r="118" spans="40:43">
      <c r="AN118" s="97"/>
      <c r="AO118" s="97"/>
      <c r="AP118" s="97"/>
      <c r="AQ118" s="97"/>
    </row>
    <row r="119" spans="40:43">
      <c r="AN119" s="97"/>
      <c r="AO119" s="97"/>
      <c r="AP119" s="97"/>
      <c r="AQ119" s="97"/>
    </row>
    <row r="120" spans="40:43">
      <c r="AN120" s="97"/>
      <c r="AO120" s="97"/>
      <c r="AP120" s="97"/>
      <c r="AQ120" s="97"/>
    </row>
    <row r="121" spans="40:43">
      <c r="AN121" s="97"/>
      <c r="AO121" s="97"/>
      <c r="AP121" s="97"/>
      <c r="AQ121" s="97"/>
    </row>
    <row r="122" spans="40:43">
      <c r="AN122" s="97"/>
      <c r="AO122" s="97"/>
      <c r="AP122" s="97"/>
      <c r="AQ122" s="97"/>
    </row>
    <row r="123" spans="40:43">
      <c r="AN123" s="97"/>
      <c r="AO123" s="97"/>
      <c r="AP123" s="97"/>
      <c r="AQ123" s="97"/>
    </row>
    <row r="124" spans="40:43">
      <c r="AN124" s="97"/>
      <c r="AO124" s="97"/>
      <c r="AP124" s="97"/>
      <c r="AQ124" s="97"/>
    </row>
    <row r="125" spans="40:43">
      <c r="AN125" s="97"/>
      <c r="AO125" s="97"/>
      <c r="AP125" s="97"/>
      <c r="AQ125" s="97"/>
    </row>
    <row r="126" spans="40:43">
      <c r="AN126" s="97"/>
      <c r="AO126" s="97"/>
      <c r="AP126" s="97"/>
      <c r="AQ126" s="97"/>
    </row>
    <row r="127" spans="40:43">
      <c r="AN127" s="97"/>
      <c r="AO127" s="97"/>
      <c r="AP127" s="97"/>
      <c r="AQ127" s="97"/>
    </row>
    <row r="128" spans="40:43">
      <c r="AN128" s="97"/>
      <c r="AO128" s="97"/>
      <c r="AP128" s="97"/>
      <c r="AQ128" s="97"/>
    </row>
    <row r="129" spans="40:43">
      <c r="AN129" s="97"/>
      <c r="AO129" s="97"/>
      <c r="AP129" s="97"/>
      <c r="AQ129" s="97"/>
    </row>
    <row r="130" spans="40:43">
      <c r="AN130" s="97"/>
      <c r="AO130" s="97"/>
      <c r="AP130" s="97"/>
      <c r="AQ130" s="97"/>
    </row>
    <row r="131" spans="40:43">
      <c r="AN131" s="97"/>
      <c r="AO131" s="97"/>
      <c r="AP131" s="97"/>
      <c r="AQ131" s="97"/>
    </row>
    <row r="132" spans="40:43">
      <c r="AN132" s="97"/>
      <c r="AO132" s="97"/>
      <c r="AP132" s="97"/>
      <c r="AQ132" s="97"/>
    </row>
    <row r="133" spans="40:43">
      <c r="AN133" s="97"/>
      <c r="AO133" s="97"/>
      <c r="AP133" s="97"/>
      <c r="AQ133" s="97"/>
    </row>
    <row r="134" spans="40:43">
      <c r="AN134" s="97"/>
      <c r="AO134" s="97"/>
      <c r="AP134" s="97"/>
      <c r="AQ134" s="97"/>
    </row>
    <row r="135" spans="40:43">
      <c r="AN135" s="97"/>
      <c r="AO135" s="97"/>
      <c r="AP135" s="97"/>
      <c r="AQ135" s="97"/>
    </row>
    <row r="136" spans="40:43">
      <c r="AN136" s="97"/>
      <c r="AO136" s="97"/>
      <c r="AP136" s="97"/>
      <c r="AQ136" s="97"/>
    </row>
    <row r="137" spans="40:43">
      <c r="AN137" s="97"/>
      <c r="AO137" s="97"/>
      <c r="AP137" s="97"/>
      <c r="AQ137" s="97"/>
    </row>
    <row r="138" spans="40:43">
      <c r="AN138" s="97"/>
      <c r="AO138" s="97"/>
      <c r="AP138" s="97"/>
      <c r="AQ138" s="97"/>
    </row>
    <row r="139" spans="40:43">
      <c r="AN139" s="97"/>
      <c r="AO139" s="97"/>
      <c r="AP139" s="97"/>
      <c r="AQ139" s="97"/>
    </row>
    <row r="140" spans="40:43">
      <c r="AN140" s="97"/>
      <c r="AO140" s="97"/>
      <c r="AP140" s="97"/>
      <c r="AQ140" s="97"/>
    </row>
    <row r="141" spans="40:43">
      <c r="AN141" s="97"/>
      <c r="AO141" s="97"/>
      <c r="AP141" s="97"/>
      <c r="AQ141" s="97"/>
    </row>
    <row r="142" spans="40:43">
      <c r="AN142" s="97"/>
      <c r="AO142" s="97"/>
      <c r="AP142" s="97"/>
      <c r="AQ142" s="97"/>
    </row>
    <row r="143" spans="40:43">
      <c r="AN143" s="97"/>
      <c r="AO143" s="97"/>
      <c r="AP143" s="97"/>
      <c r="AQ143" s="97"/>
    </row>
    <row r="144" spans="40:43">
      <c r="AN144" s="97"/>
      <c r="AO144" s="97"/>
      <c r="AP144" s="97"/>
      <c r="AQ144" s="97"/>
    </row>
    <row r="145" spans="40:43">
      <c r="AN145" s="97"/>
      <c r="AO145" s="97"/>
      <c r="AP145" s="97"/>
      <c r="AQ145" s="97"/>
    </row>
    <row r="146" spans="40:43">
      <c r="AN146" s="97"/>
      <c r="AO146" s="97"/>
      <c r="AP146" s="97"/>
      <c r="AQ146" s="97"/>
    </row>
    <row r="147" spans="40:43">
      <c r="AN147" s="97"/>
      <c r="AO147" s="97"/>
      <c r="AP147" s="97"/>
      <c r="AQ147" s="97"/>
    </row>
    <row r="148" spans="40:43">
      <c r="AN148" s="97"/>
      <c r="AO148" s="97"/>
      <c r="AP148" s="97"/>
      <c r="AQ148" s="97"/>
    </row>
    <row r="149" spans="40:43">
      <c r="AN149" s="97"/>
      <c r="AO149" s="97"/>
      <c r="AP149" s="97"/>
      <c r="AQ149" s="97"/>
    </row>
    <row r="150" spans="40:43">
      <c r="AN150" s="97"/>
      <c r="AO150" s="97"/>
      <c r="AP150" s="97"/>
      <c r="AQ150" s="97"/>
    </row>
    <row r="151" spans="40:43">
      <c r="AN151" s="97"/>
      <c r="AO151" s="97"/>
      <c r="AP151" s="97"/>
      <c r="AQ151" s="97"/>
    </row>
    <row r="152" spans="40:43">
      <c r="AN152" s="97"/>
      <c r="AO152" s="97"/>
      <c r="AP152" s="97"/>
      <c r="AQ152" s="97"/>
    </row>
    <row r="153" spans="40:43">
      <c r="AN153" s="97"/>
      <c r="AO153" s="97"/>
      <c r="AP153" s="97"/>
      <c r="AQ153" s="97"/>
    </row>
    <row r="154" spans="40:43">
      <c r="AN154" s="97"/>
      <c r="AO154" s="97"/>
      <c r="AP154" s="97"/>
      <c r="AQ154" s="97"/>
    </row>
    <row r="155" spans="40:43">
      <c r="AN155" s="97"/>
      <c r="AO155" s="97"/>
      <c r="AP155" s="97"/>
      <c r="AQ155" s="97"/>
    </row>
    <row r="156" spans="40:43">
      <c r="AN156" s="97"/>
      <c r="AO156" s="97"/>
      <c r="AP156" s="97"/>
      <c r="AQ156" s="97"/>
    </row>
    <row r="157" spans="40:43">
      <c r="AN157" s="97"/>
      <c r="AO157" s="97"/>
      <c r="AP157" s="97"/>
      <c r="AQ157" s="97"/>
    </row>
    <row r="158" spans="40:43">
      <c r="AN158" s="97"/>
      <c r="AO158" s="97"/>
      <c r="AP158" s="97"/>
      <c r="AQ158" s="97"/>
    </row>
    <row r="159" spans="40:43">
      <c r="AN159" s="97"/>
      <c r="AO159" s="97"/>
      <c r="AP159" s="97"/>
      <c r="AQ159" s="97"/>
    </row>
    <row r="160" spans="40:43">
      <c r="AN160" s="97"/>
      <c r="AO160" s="97"/>
      <c r="AP160" s="97"/>
      <c r="AQ160" s="97"/>
    </row>
    <row r="161" spans="40:43">
      <c r="AN161" s="97"/>
      <c r="AO161" s="97"/>
      <c r="AP161" s="97"/>
      <c r="AQ161" s="97"/>
    </row>
    <row r="162" spans="40:43">
      <c r="AN162" s="97"/>
      <c r="AO162" s="97"/>
      <c r="AP162" s="97"/>
      <c r="AQ162" s="97"/>
    </row>
    <row r="163" spans="40:43">
      <c r="AN163" s="97"/>
      <c r="AO163" s="97"/>
      <c r="AP163" s="97"/>
      <c r="AQ163" s="97"/>
    </row>
    <row r="164" spans="40:43">
      <c r="AN164" s="97"/>
      <c r="AO164" s="97"/>
      <c r="AP164" s="97"/>
      <c r="AQ164" s="97"/>
    </row>
    <row r="165" spans="40:43">
      <c r="AN165" s="97"/>
      <c r="AO165" s="97"/>
      <c r="AP165" s="97"/>
      <c r="AQ165" s="97"/>
    </row>
    <row r="166" spans="40:43">
      <c r="AN166" s="97"/>
      <c r="AO166" s="97"/>
      <c r="AP166" s="97"/>
      <c r="AQ166" s="97"/>
    </row>
    <row r="167" spans="40:43">
      <c r="AN167" s="97"/>
      <c r="AO167" s="97"/>
      <c r="AP167" s="97"/>
      <c r="AQ167" s="97"/>
    </row>
    <row r="168" spans="40:43">
      <c r="AN168" s="97"/>
      <c r="AO168" s="97"/>
      <c r="AP168" s="97"/>
      <c r="AQ168" s="97"/>
    </row>
    <row r="169" spans="40:43">
      <c r="AN169" s="97"/>
      <c r="AO169" s="97"/>
      <c r="AP169" s="97"/>
      <c r="AQ169" s="97"/>
    </row>
    <row r="170" spans="40:43">
      <c r="AN170" s="97"/>
      <c r="AO170" s="97"/>
      <c r="AP170" s="97"/>
      <c r="AQ170" s="97"/>
    </row>
    <row r="171" spans="40:43">
      <c r="AN171" s="97"/>
      <c r="AO171" s="97"/>
      <c r="AP171" s="97"/>
      <c r="AQ171" s="97"/>
    </row>
    <row r="172" spans="40:43">
      <c r="AN172" s="97"/>
      <c r="AO172" s="97"/>
      <c r="AP172" s="97"/>
      <c r="AQ172" s="97"/>
    </row>
    <row r="173" spans="40:43">
      <c r="AN173" s="97"/>
      <c r="AO173" s="97"/>
      <c r="AP173" s="97"/>
      <c r="AQ173" s="97"/>
    </row>
    <row r="174" spans="40:43">
      <c r="AN174" s="97"/>
      <c r="AO174" s="97"/>
      <c r="AP174" s="97"/>
      <c r="AQ174" s="97"/>
    </row>
    <row r="175" spans="40:43">
      <c r="AN175" s="97"/>
      <c r="AO175" s="97"/>
      <c r="AP175" s="97"/>
      <c r="AQ175" s="97"/>
    </row>
    <row r="176" spans="40:43">
      <c r="AN176" s="97"/>
      <c r="AO176" s="97"/>
      <c r="AP176" s="97"/>
      <c r="AQ176" s="97"/>
    </row>
    <row r="177" spans="40:43">
      <c r="AN177" s="97"/>
      <c r="AO177" s="97"/>
      <c r="AP177" s="97"/>
      <c r="AQ177" s="97"/>
    </row>
    <row r="178" spans="40:43">
      <c r="AN178" s="97"/>
      <c r="AO178" s="97"/>
      <c r="AP178" s="97"/>
      <c r="AQ178" s="97"/>
    </row>
    <row r="179" spans="40:43">
      <c r="AN179" s="97"/>
      <c r="AO179" s="97"/>
      <c r="AP179" s="97"/>
      <c r="AQ179" s="97"/>
    </row>
    <row r="180" spans="40:43">
      <c r="AN180" s="97"/>
      <c r="AO180" s="97"/>
      <c r="AP180" s="97"/>
      <c r="AQ180" s="97"/>
    </row>
    <row r="181" spans="40:43">
      <c r="AN181" s="97"/>
      <c r="AO181" s="97"/>
      <c r="AP181" s="97"/>
      <c r="AQ181" s="97"/>
    </row>
    <row r="182" spans="40:43">
      <c r="AN182" s="97"/>
      <c r="AO182" s="97"/>
      <c r="AP182" s="97"/>
      <c r="AQ182" s="97"/>
    </row>
    <row r="183" spans="40:43">
      <c r="AN183" s="97"/>
      <c r="AO183" s="97"/>
      <c r="AP183" s="97"/>
      <c r="AQ183" s="97"/>
    </row>
    <row r="184" spans="40:43">
      <c r="AN184" s="97"/>
      <c r="AO184" s="97"/>
      <c r="AP184" s="97"/>
      <c r="AQ184" s="97"/>
    </row>
    <row r="185" spans="40:43">
      <c r="AN185" s="97"/>
      <c r="AO185" s="97"/>
      <c r="AP185" s="97"/>
      <c r="AQ185" s="97"/>
    </row>
    <row r="186" spans="40:43">
      <c r="AN186" s="97"/>
      <c r="AO186" s="97"/>
      <c r="AP186" s="97"/>
      <c r="AQ186" s="97"/>
    </row>
    <row r="187" spans="40:43">
      <c r="AN187" s="97"/>
      <c r="AO187" s="97"/>
      <c r="AP187" s="97"/>
      <c r="AQ187" s="97"/>
    </row>
    <row r="188" spans="40:43">
      <c r="AN188" s="97"/>
      <c r="AO188" s="97"/>
      <c r="AP188" s="97"/>
      <c r="AQ188" s="97"/>
    </row>
    <row r="189" spans="40:43">
      <c r="AN189" s="97"/>
      <c r="AO189" s="97"/>
      <c r="AP189" s="97"/>
      <c r="AQ189" s="97"/>
    </row>
    <row r="190" spans="40:43">
      <c r="AN190" s="97"/>
      <c r="AO190" s="97"/>
      <c r="AP190" s="97"/>
      <c r="AQ190" s="97"/>
    </row>
    <row r="191" spans="40:43">
      <c r="AN191" s="97"/>
      <c r="AO191" s="97"/>
      <c r="AP191" s="97"/>
      <c r="AQ191" s="97"/>
    </row>
    <row r="192" spans="40:43">
      <c r="AN192" s="97"/>
      <c r="AO192" s="97"/>
      <c r="AP192" s="97"/>
      <c r="AQ192" s="97"/>
    </row>
    <row r="193" spans="40:43">
      <c r="AN193" s="97"/>
      <c r="AO193" s="97"/>
      <c r="AP193" s="97"/>
      <c r="AQ193" s="97"/>
    </row>
    <row r="194" spans="40:43">
      <c r="AN194" s="97"/>
      <c r="AO194" s="97"/>
      <c r="AP194" s="97"/>
      <c r="AQ194" s="97"/>
    </row>
    <row r="195" spans="40:43">
      <c r="AN195" s="97"/>
      <c r="AO195" s="97"/>
      <c r="AP195" s="97"/>
      <c r="AQ195" s="97"/>
    </row>
    <row r="196" spans="40:43">
      <c r="AN196" s="97"/>
      <c r="AO196" s="97"/>
      <c r="AP196" s="97"/>
      <c r="AQ196" s="97"/>
    </row>
    <row r="197" spans="40:43">
      <c r="AN197" s="97"/>
      <c r="AO197" s="97"/>
      <c r="AP197" s="97"/>
      <c r="AQ197" s="97"/>
    </row>
    <row r="198" spans="40:43">
      <c r="AN198" s="97"/>
      <c r="AO198" s="97"/>
      <c r="AP198" s="97"/>
      <c r="AQ198" s="97"/>
    </row>
    <row r="199" spans="40:43">
      <c r="AN199" s="97"/>
      <c r="AO199" s="97"/>
      <c r="AP199" s="97"/>
      <c r="AQ199" s="97"/>
    </row>
    <row r="200" spans="40:43">
      <c r="AN200" s="97"/>
      <c r="AO200" s="97"/>
      <c r="AP200" s="97"/>
      <c r="AQ200" s="97"/>
    </row>
    <row r="201" spans="40:43">
      <c r="AN201" s="97"/>
      <c r="AO201" s="97"/>
      <c r="AP201" s="97"/>
      <c r="AQ201" s="97"/>
    </row>
    <row r="202" spans="40:43">
      <c r="AN202" s="97"/>
      <c r="AO202" s="97"/>
      <c r="AP202" s="97"/>
      <c r="AQ202" s="97"/>
    </row>
    <row r="203" spans="40:43">
      <c r="AN203" s="97"/>
      <c r="AO203" s="97"/>
      <c r="AP203" s="97"/>
      <c r="AQ203" s="97"/>
    </row>
    <row r="204" spans="40:43">
      <c r="AN204" s="97"/>
      <c r="AO204" s="97"/>
      <c r="AP204" s="97"/>
      <c r="AQ204" s="97"/>
    </row>
    <row r="205" spans="40:43">
      <c r="AN205" s="97"/>
      <c r="AO205" s="97"/>
      <c r="AP205" s="97"/>
      <c r="AQ205" s="97"/>
    </row>
    <row r="206" spans="40:43">
      <c r="AN206" s="97"/>
      <c r="AO206" s="97"/>
      <c r="AP206" s="97"/>
      <c r="AQ206" s="97"/>
    </row>
    <row r="207" spans="40:43">
      <c r="AN207" s="97"/>
      <c r="AO207" s="97"/>
      <c r="AP207" s="97"/>
      <c r="AQ207" s="97"/>
    </row>
    <row r="208" spans="40:43">
      <c r="AN208" s="97"/>
      <c r="AO208" s="97"/>
      <c r="AP208" s="97"/>
      <c r="AQ208" s="97"/>
    </row>
    <row r="209" spans="40:43">
      <c r="AN209" s="97"/>
      <c r="AO209" s="97"/>
      <c r="AP209" s="97"/>
      <c r="AQ209" s="97"/>
    </row>
    <row r="210" spans="40:43">
      <c r="AN210" s="97"/>
      <c r="AO210" s="97"/>
      <c r="AP210" s="97"/>
      <c r="AQ210" s="97"/>
    </row>
    <row r="211" spans="40:43">
      <c r="AN211" s="97"/>
      <c r="AO211" s="97"/>
      <c r="AP211" s="97"/>
      <c r="AQ211" s="97"/>
    </row>
    <row r="212" spans="40:43">
      <c r="AN212" s="97"/>
      <c r="AO212" s="97"/>
      <c r="AP212" s="97"/>
      <c r="AQ212" s="97"/>
    </row>
    <row r="213" spans="40:43">
      <c r="AN213" s="97"/>
      <c r="AO213" s="97"/>
      <c r="AP213" s="97"/>
      <c r="AQ213" s="97"/>
    </row>
    <row r="214" spans="40:43">
      <c r="AN214" s="97"/>
      <c r="AO214" s="97"/>
      <c r="AP214" s="97"/>
      <c r="AQ214" s="97"/>
    </row>
    <row r="215" spans="40:43">
      <c r="AN215" s="97"/>
      <c r="AO215" s="97"/>
      <c r="AP215" s="97"/>
      <c r="AQ215" s="97"/>
    </row>
    <row r="216" spans="40:43">
      <c r="AN216" s="97"/>
      <c r="AO216" s="97"/>
      <c r="AP216" s="97"/>
      <c r="AQ216" s="97"/>
    </row>
    <row r="217" spans="40:43">
      <c r="AN217" s="97"/>
      <c r="AO217" s="97"/>
      <c r="AP217" s="97"/>
      <c r="AQ217" s="97"/>
    </row>
    <row r="218" spans="40:43">
      <c r="AN218" s="97"/>
      <c r="AO218" s="97"/>
      <c r="AP218" s="97"/>
      <c r="AQ218" s="97"/>
    </row>
    <row r="219" spans="40:43">
      <c r="AN219" s="97"/>
      <c r="AO219" s="97"/>
      <c r="AP219" s="97"/>
      <c r="AQ219" s="97"/>
    </row>
    <row r="220" spans="40:43">
      <c r="AN220" s="97"/>
      <c r="AO220" s="97"/>
      <c r="AP220" s="97"/>
      <c r="AQ220" s="97"/>
    </row>
    <row r="221" spans="40:43">
      <c r="AN221" s="97"/>
      <c r="AO221" s="97"/>
      <c r="AP221" s="97"/>
      <c r="AQ221" s="97"/>
    </row>
    <row r="222" spans="40:43">
      <c r="AN222" s="97"/>
      <c r="AO222" s="97"/>
      <c r="AP222" s="97"/>
      <c r="AQ222" s="97"/>
    </row>
    <row r="223" spans="40:43">
      <c r="AN223" s="97"/>
      <c r="AO223" s="97"/>
      <c r="AP223" s="97"/>
      <c r="AQ223" s="97"/>
    </row>
    <row r="224" spans="40:43">
      <c r="AN224" s="97"/>
      <c r="AO224" s="97"/>
      <c r="AP224" s="97"/>
      <c r="AQ224" s="97"/>
    </row>
    <row r="225" spans="40:43">
      <c r="AN225" s="97"/>
      <c r="AO225" s="97"/>
      <c r="AP225" s="97"/>
      <c r="AQ225" s="97"/>
    </row>
    <row r="226" spans="40:43">
      <c r="AN226" s="97"/>
      <c r="AO226" s="97"/>
      <c r="AP226" s="97"/>
      <c r="AQ226" s="97"/>
    </row>
    <row r="227" spans="40:43">
      <c r="AN227" s="97"/>
      <c r="AO227" s="97"/>
      <c r="AP227" s="97"/>
      <c r="AQ227" s="97"/>
    </row>
    <row r="228" spans="40:43">
      <c r="AN228" s="97"/>
      <c r="AO228" s="97"/>
      <c r="AP228" s="97"/>
      <c r="AQ228" s="97"/>
    </row>
    <row r="229" spans="40:43">
      <c r="AN229" s="97"/>
      <c r="AO229" s="97"/>
      <c r="AP229" s="97"/>
      <c r="AQ229" s="97"/>
    </row>
    <row r="230" spans="40:43">
      <c r="AN230" s="97"/>
      <c r="AO230" s="97"/>
      <c r="AP230" s="97"/>
      <c r="AQ230" s="97"/>
    </row>
    <row r="231" spans="40:43">
      <c r="AN231" s="97"/>
      <c r="AO231" s="97"/>
      <c r="AP231" s="97"/>
      <c r="AQ231" s="97"/>
    </row>
    <row r="232" spans="40:43">
      <c r="AN232" s="97"/>
      <c r="AO232" s="97"/>
      <c r="AP232" s="97"/>
      <c r="AQ232" s="97"/>
    </row>
    <row r="233" spans="40:43">
      <c r="AN233" s="102"/>
      <c r="AO233" s="102"/>
      <c r="AP233" s="102"/>
      <c r="AQ233" s="103"/>
    </row>
  </sheetData>
  <mergeCells count="16">
    <mergeCell ref="A35:B35"/>
    <mergeCell ref="C6:AL6"/>
    <mergeCell ref="A8:A10"/>
    <mergeCell ref="B8:B10"/>
    <mergeCell ref="C8:D8"/>
    <mergeCell ref="N8:P8"/>
    <mergeCell ref="S8:T8"/>
    <mergeCell ref="AL8:AL10"/>
    <mergeCell ref="C9:C10"/>
    <mergeCell ref="D9:D10"/>
    <mergeCell ref="AJ9:AK9"/>
    <mergeCell ref="AC2:AL2"/>
    <mergeCell ref="A3:D3"/>
    <mergeCell ref="AC3:AL3"/>
    <mergeCell ref="A5:U5"/>
    <mergeCell ref="X5:Y5"/>
  </mergeCells>
  <conditionalFormatting sqref="E11:AI34">
    <cfRule type="expression" dxfId="7" priority="1">
      <formula>OR(E$10="T7",E$10="CN")</formula>
    </cfRule>
  </conditionalFormatting>
  <conditionalFormatting sqref="AQ233:AQ1048576">
    <cfRule type="cellIs" dxfId="6" priority="2" operator="lessThan">
      <formula>0</formula>
    </cfRule>
  </conditionalFormatting>
  <conditionalFormatting sqref="AQ234:AQ1048576">
    <cfRule type="cellIs" dxfId="5" priority="6" operator="lessThan">
      <formula>767345397</formula>
    </cfRule>
  </conditionalFormatting>
  <pageMargins left="0.7" right="0.7" top="0.75" bottom="0.75" header="0.3" footer="0.3"/>
  <pageSetup paperSize="9" scale="61" fitToHeight="0" orientation="landscape" r:id="rId1"/>
  <colBreaks count="1" manualBreakCount="1">
    <brk id="38" max="40" man="1"/>
  </colBreaks>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499984740745262"/>
    <pageSetUpPr fitToPage="1"/>
  </sheetPr>
  <dimension ref="A2:AM45"/>
  <sheetViews>
    <sheetView view="pageBreakPreview" zoomScale="80" zoomScaleNormal="100" zoomScaleSheetLayoutView="80" workbookViewId="0">
      <selection activeCell="D8" sqref="D8"/>
    </sheetView>
  </sheetViews>
  <sheetFormatPr defaultColWidth="9.140625" defaultRowHeight="15"/>
  <cols>
    <col min="1" max="1" width="8.140625" style="15" customWidth="1"/>
    <col min="2" max="2" width="22.42578125" style="104" customWidth="1"/>
    <col min="3" max="3" width="10.42578125" style="15" customWidth="1"/>
    <col min="4" max="4" width="18.140625" style="15" customWidth="1"/>
    <col min="5" max="5" width="3.140625" style="15" customWidth="1"/>
    <col min="6" max="35" width="3.85546875" style="15" customWidth="1"/>
    <col min="36" max="36" width="5.42578125" style="15" customWidth="1"/>
    <col min="37" max="37" width="9" style="22" customWidth="1"/>
    <col min="38" max="38" width="19" style="99" customWidth="1"/>
    <col min="39" max="16384" width="9.140625" style="15"/>
  </cols>
  <sheetData>
    <row r="2" spans="1:39">
      <c r="AL2" s="71" t="s">
        <v>110</v>
      </c>
      <c r="AM2" s="15">
        <f>AN23</f>
        <v>0</v>
      </c>
    </row>
    <row r="3" spans="1:39" ht="16.5">
      <c r="A3" s="708" t="s">
        <v>109</v>
      </c>
      <c r="B3" s="708"/>
      <c r="C3" s="708"/>
      <c r="D3" s="708"/>
      <c r="AA3" s="22"/>
      <c r="AB3" s="22"/>
      <c r="AC3" s="690" t="s">
        <v>49</v>
      </c>
      <c r="AD3" s="690"/>
      <c r="AE3" s="690"/>
      <c r="AF3" s="690"/>
      <c r="AG3" s="690"/>
      <c r="AH3" s="690"/>
      <c r="AI3" s="690"/>
      <c r="AJ3" s="690"/>
      <c r="AK3" s="690"/>
      <c r="AL3" s="690"/>
    </row>
    <row r="4" spans="1:39" ht="16.5">
      <c r="A4" s="694" t="s">
        <v>87</v>
      </c>
      <c r="B4" s="694"/>
      <c r="C4" s="694"/>
      <c r="D4" s="694"/>
      <c r="Y4" s="19"/>
      <c r="Z4" s="19"/>
      <c r="AA4" s="19"/>
      <c r="AB4" s="19"/>
      <c r="AC4" s="690" t="s">
        <v>51</v>
      </c>
      <c r="AD4" s="690"/>
      <c r="AE4" s="690"/>
      <c r="AF4" s="690"/>
      <c r="AG4" s="690"/>
      <c r="AH4" s="690"/>
      <c r="AI4" s="690"/>
      <c r="AJ4" s="690"/>
      <c r="AK4" s="690"/>
      <c r="AL4" s="690"/>
    </row>
    <row r="6" spans="1:39" ht="18.75">
      <c r="A6" s="695" t="s">
        <v>113</v>
      </c>
      <c r="B6" s="695"/>
      <c r="C6" s="695"/>
      <c r="D6" s="695"/>
      <c r="E6" s="695"/>
      <c r="F6" s="695"/>
      <c r="G6" s="695"/>
      <c r="H6" s="695"/>
      <c r="I6" s="695"/>
      <c r="J6" s="695"/>
      <c r="K6" s="695"/>
      <c r="L6" s="695"/>
      <c r="M6" s="695"/>
      <c r="N6" s="695"/>
      <c r="O6" s="695"/>
      <c r="P6" s="695"/>
      <c r="Q6" s="695"/>
      <c r="R6" s="695"/>
      <c r="S6" s="695"/>
      <c r="T6" s="695"/>
      <c r="U6" s="695"/>
      <c r="V6" s="77">
        <v>5</v>
      </c>
      <c r="W6" s="78" t="s">
        <v>114</v>
      </c>
      <c r="X6" s="696">
        <v>2025</v>
      </c>
      <c r="Y6" s="696"/>
      <c r="Z6" s="79"/>
      <c r="AA6" s="79"/>
      <c r="AB6" s="79"/>
      <c r="AC6" s="79"/>
      <c r="AD6" s="79"/>
      <c r="AE6" s="79"/>
      <c r="AF6" s="79"/>
      <c r="AG6" s="79"/>
      <c r="AH6" s="79"/>
      <c r="AI6" s="79"/>
      <c r="AJ6" s="79"/>
      <c r="AK6" s="79"/>
      <c r="AL6" s="79"/>
    </row>
    <row r="7" spans="1:39">
      <c r="A7" s="68"/>
      <c r="B7" s="105" t="s">
        <v>118</v>
      </c>
      <c r="C7" s="698" t="s">
        <v>119</v>
      </c>
      <c r="D7" s="698"/>
      <c r="E7" s="698"/>
      <c r="F7" s="698"/>
      <c r="G7" s="698"/>
      <c r="H7" s="698"/>
      <c r="I7" s="698"/>
      <c r="J7" s="698"/>
      <c r="K7" s="698"/>
      <c r="L7" s="698"/>
      <c r="M7" s="698"/>
      <c r="N7" s="698"/>
      <c r="O7" s="698"/>
      <c r="P7" s="698"/>
      <c r="Q7" s="698"/>
      <c r="R7" s="698"/>
      <c r="S7" s="698"/>
      <c r="T7" s="698"/>
      <c r="U7" s="698"/>
      <c r="V7" s="698"/>
      <c r="W7" s="698"/>
      <c r="X7" s="698"/>
      <c r="Y7" s="698"/>
      <c r="Z7" s="698"/>
      <c r="AA7" s="698"/>
      <c r="AB7" s="698"/>
      <c r="AC7" s="698"/>
      <c r="AD7" s="698"/>
      <c r="AE7" s="698"/>
      <c r="AF7" s="698"/>
      <c r="AG7" s="698"/>
      <c r="AH7" s="698"/>
      <c r="AI7" s="698"/>
      <c r="AJ7" s="698"/>
      <c r="AK7" s="698"/>
      <c r="AL7" s="698"/>
    </row>
    <row r="8" spans="1:39" s="81" customFormat="1" ht="15" customHeight="1">
      <c r="B8" s="106" t="s">
        <v>120</v>
      </c>
      <c r="C8" s="83" t="s">
        <v>130</v>
      </c>
      <c r="D8" s="83"/>
      <c r="E8" s="83"/>
      <c r="F8" s="83"/>
      <c r="G8" s="83"/>
      <c r="H8" s="83"/>
      <c r="I8" s="83"/>
      <c r="J8" s="83"/>
      <c r="K8" s="83"/>
      <c r="L8" s="83"/>
      <c r="M8" s="83"/>
      <c r="N8" s="83"/>
      <c r="O8" s="83"/>
      <c r="P8" s="83"/>
      <c r="Q8" s="83"/>
      <c r="R8" s="83"/>
      <c r="S8" s="83"/>
      <c r="T8" s="83"/>
      <c r="U8" s="83"/>
      <c r="V8" s="83"/>
      <c r="W8" s="83"/>
      <c r="X8" s="83"/>
      <c r="Y8" s="83"/>
      <c r="Z8" s="83"/>
      <c r="AA8" s="83"/>
      <c r="AB8" s="83"/>
      <c r="AC8" s="83"/>
      <c r="AD8" s="83"/>
      <c r="AE8" s="83"/>
      <c r="AF8" s="83"/>
      <c r="AG8" s="83"/>
      <c r="AH8" s="83"/>
      <c r="AI8" s="83"/>
      <c r="AJ8" s="83"/>
      <c r="AK8" s="84"/>
      <c r="AL8" s="85"/>
    </row>
    <row r="9" spans="1:39" ht="17.25">
      <c r="B9" s="107"/>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67"/>
      <c r="AL9" s="108"/>
    </row>
    <row r="10" spans="1:39" ht="15" customHeight="1">
      <c r="A10" s="699" t="s">
        <v>36</v>
      </c>
      <c r="B10" s="699" t="s">
        <v>108</v>
      </c>
      <c r="C10" s="701" t="s">
        <v>107</v>
      </c>
      <c r="D10" s="702"/>
      <c r="E10" s="86"/>
      <c r="F10" s="87"/>
      <c r="G10" s="87"/>
      <c r="H10" s="87"/>
      <c r="I10" s="87"/>
      <c r="J10" s="87"/>
      <c r="K10" s="87"/>
      <c r="L10" s="87"/>
      <c r="M10" s="87"/>
      <c r="N10" s="703" t="s">
        <v>117</v>
      </c>
      <c r="O10" s="703"/>
      <c r="P10" s="703"/>
      <c r="Q10" s="88">
        <f>V6</f>
        <v>5</v>
      </c>
      <c r="R10" s="89" t="str">
        <f t="shared" ref="R10:S10" si="0">W6</f>
        <v>/</v>
      </c>
      <c r="S10" s="704">
        <f t="shared" si="0"/>
        <v>2025</v>
      </c>
      <c r="T10" s="704"/>
      <c r="U10" s="87"/>
      <c r="V10" s="87"/>
      <c r="W10" s="87"/>
      <c r="X10" s="87"/>
      <c r="Y10" s="87"/>
      <c r="Z10" s="87"/>
      <c r="AA10" s="87"/>
      <c r="AB10" s="87"/>
      <c r="AC10" s="87"/>
      <c r="AD10" s="87"/>
      <c r="AE10" s="87"/>
      <c r="AF10" s="87"/>
      <c r="AG10" s="87"/>
      <c r="AH10" s="87"/>
      <c r="AI10" s="87"/>
      <c r="AJ10" s="87"/>
      <c r="AK10" s="90"/>
      <c r="AL10" s="705" t="s">
        <v>61</v>
      </c>
    </row>
    <row r="11" spans="1:39" s="64" customFormat="1" ht="14.25">
      <c r="A11" s="699"/>
      <c r="B11" s="699"/>
      <c r="C11" s="699" t="s">
        <v>106</v>
      </c>
      <c r="D11" s="699" t="s">
        <v>57</v>
      </c>
      <c r="E11" s="91">
        <f>DATE($X$6,$V$6,1)</f>
        <v>45778</v>
      </c>
      <c r="F11" s="91">
        <f>E11+1</f>
        <v>45779</v>
      </c>
      <c r="G11" s="91">
        <f t="shared" ref="G11:AF11" si="1">F11+1</f>
        <v>45780</v>
      </c>
      <c r="H11" s="91">
        <f t="shared" si="1"/>
        <v>45781</v>
      </c>
      <c r="I11" s="91">
        <f t="shared" si="1"/>
        <v>45782</v>
      </c>
      <c r="J11" s="91">
        <f t="shared" si="1"/>
        <v>45783</v>
      </c>
      <c r="K11" s="91">
        <f t="shared" si="1"/>
        <v>45784</v>
      </c>
      <c r="L11" s="91">
        <f t="shared" si="1"/>
        <v>45785</v>
      </c>
      <c r="M11" s="91">
        <f t="shared" si="1"/>
        <v>45786</v>
      </c>
      <c r="N11" s="91">
        <f t="shared" si="1"/>
        <v>45787</v>
      </c>
      <c r="O11" s="91">
        <f t="shared" si="1"/>
        <v>45788</v>
      </c>
      <c r="P11" s="91">
        <f t="shared" si="1"/>
        <v>45789</v>
      </c>
      <c r="Q11" s="91">
        <f t="shared" si="1"/>
        <v>45790</v>
      </c>
      <c r="R11" s="91">
        <f t="shared" si="1"/>
        <v>45791</v>
      </c>
      <c r="S11" s="91">
        <f t="shared" si="1"/>
        <v>45792</v>
      </c>
      <c r="T11" s="91">
        <f t="shared" si="1"/>
        <v>45793</v>
      </c>
      <c r="U11" s="91">
        <f t="shared" si="1"/>
        <v>45794</v>
      </c>
      <c r="V11" s="91">
        <f t="shared" si="1"/>
        <v>45795</v>
      </c>
      <c r="W11" s="91">
        <f t="shared" si="1"/>
        <v>45796</v>
      </c>
      <c r="X11" s="91">
        <f t="shared" si="1"/>
        <v>45797</v>
      </c>
      <c r="Y11" s="91">
        <f t="shared" si="1"/>
        <v>45798</v>
      </c>
      <c r="Z11" s="91">
        <f t="shared" si="1"/>
        <v>45799</v>
      </c>
      <c r="AA11" s="91">
        <f t="shared" si="1"/>
        <v>45800</v>
      </c>
      <c r="AB11" s="91">
        <f t="shared" si="1"/>
        <v>45801</v>
      </c>
      <c r="AC11" s="91">
        <f t="shared" si="1"/>
        <v>45802</v>
      </c>
      <c r="AD11" s="91">
        <f t="shared" si="1"/>
        <v>45803</v>
      </c>
      <c r="AE11" s="91">
        <f t="shared" si="1"/>
        <v>45804</v>
      </c>
      <c r="AF11" s="91">
        <f t="shared" si="1"/>
        <v>45805</v>
      </c>
      <c r="AG11" s="91">
        <f>IF(EOMONTH(E11,0)&gt;AF11,AF11+1,"")</f>
        <v>45806</v>
      </c>
      <c r="AH11" s="91">
        <f t="shared" ref="AH11:AI11" si="2">IF(EOMONTH(F11,0)&gt;AG11,AG11+1,"")</f>
        <v>45807</v>
      </c>
      <c r="AI11" s="91">
        <f t="shared" si="2"/>
        <v>45808</v>
      </c>
      <c r="AJ11" s="701" t="s">
        <v>105</v>
      </c>
      <c r="AK11" s="702"/>
      <c r="AL11" s="706"/>
    </row>
    <row r="12" spans="1:39" s="64" customFormat="1" ht="28.5">
      <c r="A12" s="699"/>
      <c r="B12" s="699"/>
      <c r="C12" s="699"/>
      <c r="D12" s="699"/>
      <c r="E12" s="66" t="str">
        <f>TEXT(E11,"[$-42A]ddd")</f>
        <v>T5</v>
      </c>
      <c r="F12" s="66" t="str">
        <f t="shared" ref="F12:AI12" si="3">TEXT(F11,"[$-42A]ddd")</f>
        <v>T6</v>
      </c>
      <c r="G12" s="66" t="str">
        <f t="shared" si="3"/>
        <v>T7</v>
      </c>
      <c r="H12" s="66" t="str">
        <f t="shared" si="3"/>
        <v>CN</v>
      </c>
      <c r="I12" s="66" t="str">
        <f t="shared" si="3"/>
        <v>T2</v>
      </c>
      <c r="J12" s="66" t="str">
        <f t="shared" si="3"/>
        <v>T3</v>
      </c>
      <c r="K12" s="66" t="str">
        <f t="shared" si="3"/>
        <v>T4</v>
      </c>
      <c r="L12" s="66" t="str">
        <f t="shared" si="3"/>
        <v>T5</v>
      </c>
      <c r="M12" s="66" t="str">
        <f t="shared" si="3"/>
        <v>T6</v>
      </c>
      <c r="N12" s="66" t="str">
        <f t="shared" si="3"/>
        <v>T7</v>
      </c>
      <c r="O12" s="66" t="str">
        <f t="shared" si="3"/>
        <v>CN</v>
      </c>
      <c r="P12" s="66" t="str">
        <f t="shared" si="3"/>
        <v>T2</v>
      </c>
      <c r="Q12" s="66" t="str">
        <f t="shared" si="3"/>
        <v>T3</v>
      </c>
      <c r="R12" s="66" t="str">
        <f t="shared" si="3"/>
        <v>T4</v>
      </c>
      <c r="S12" s="66" t="str">
        <f t="shared" si="3"/>
        <v>T5</v>
      </c>
      <c r="T12" s="66" t="str">
        <f t="shared" si="3"/>
        <v>T6</v>
      </c>
      <c r="U12" s="66" t="str">
        <f t="shared" si="3"/>
        <v>T7</v>
      </c>
      <c r="V12" s="66" t="str">
        <f t="shared" si="3"/>
        <v>CN</v>
      </c>
      <c r="W12" s="66" t="str">
        <f t="shared" si="3"/>
        <v>T2</v>
      </c>
      <c r="X12" s="66" t="str">
        <f t="shared" si="3"/>
        <v>T3</v>
      </c>
      <c r="Y12" s="66" t="str">
        <f t="shared" si="3"/>
        <v>T4</v>
      </c>
      <c r="Z12" s="66" t="str">
        <f t="shared" si="3"/>
        <v>T5</v>
      </c>
      <c r="AA12" s="66" t="str">
        <f t="shared" si="3"/>
        <v>T6</v>
      </c>
      <c r="AB12" s="66" t="str">
        <f t="shared" si="3"/>
        <v>T7</v>
      </c>
      <c r="AC12" s="66" t="str">
        <f t="shared" si="3"/>
        <v>CN</v>
      </c>
      <c r="AD12" s="66" t="str">
        <f t="shared" si="3"/>
        <v>T2</v>
      </c>
      <c r="AE12" s="66" t="str">
        <f t="shared" si="3"/>
        <v>T3</v>
      </c>
      <c r="AF12" s="66" t="str">
        <f t="shared" si="3"/>
        <v>T4</v>
      </c>
      <c r="AG12" s="66" t="str">
        <f t="shared" si="3"/>
        <v>T5</v>
      </c>
      <c r="AH12" s="66" t="str">
        <f t="shared" si="3"/>
        <v>T6</v>
      </c>
      <c r="AI12" s="66" t="str">
        <f t="shared" si="3"/>
        <v>T7</v>
      </c>
      <c r="AJ12" s="65" t="s">
        <v>104</v>
      </c>
      <c r="AK12" s="65" t="s">
        <v>103</v>
      </c>
      <c r="AL12" s="707"/>
    </row>
    <row r="13" spans="1:39" s="56" customFormat="1" ht="14.25">
      <c r="A13" s="57" t="s">
        <v>121</v>
      </c>
      <c r="B13" s="109"/>
      <c r="C13" s="58"/>
      <c r="D13" s="58"/>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2"/>
      <c r="AK13" s="61"/>
      <c r="AL13" s="57"/>
    </row>
    <row r="14" spans="1:39" s="59" customFormat="1">
      <c r="A14" s="26">
        <v>1</v>
      </c>
      <c r="B14" s="110" t="s">
        <v>122</v>
      </c>
      <c r="C14" s="50" t="s">
        <v>100</v>
      </c>
      <c r="D14" s="26" t="s">
        <v>99</v>
      </c>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8">
        <f>SUM(E14:AI14)</f>
        <v>0</v>
      </c>
      <c r="AK14" s="54"/>
      <c r="AL14" s="94"/>
    </row>
    <row r="15" spans="1:39">
      <c r="A15" s="26">
        <v>2</v>
      </c>
      <c r="B15" s="46" t="s">
        <v>123</v>
      </c>
      <c r="C15" s="50" t="s">
        <v>97</v>
      </c>
      <c r="D15" s="26" t="s">
        <v>96</v>
      </c>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8">
        <f>SUM(E15:AI15)</f>
        <v>0</v>
      </c>
      <c r="AK15" s="47"/>
      <c r="AL15" s="32"/>
    </row>
    <row r="16" spans="1:39" s="56" customFormat="1">
      <c r="A16" s="57" t="s">
        <v>95</v>
      </c>
      <c r="B16" s="109"/>
      <c r="C16" s="58"/>
      <c r="D16" s="58"/>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8"/>
      <c r="AK16" s="47"/>
      <c r="AL16" s="57"/>
    </row>
    <row r="17" spans="1:38" s="56" customFormat="1">
      <c r="A17" s="111" t="s">
        <v>124</v>
      </c>
      <c r="B17" s="112" t="s">
        <v>125</v>
      </c>
      <c r="C17" s="58"/>
      <c r="D17" s="58"/>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8"/>
      <c r="AK17" s="47"/>
      <c r="AL17" s="57"/>
    </row>
    <row r="18" spans="1:38" s="51" customFormat="1">
      <c r="A18" s="26">
        <v>1</v>
      </c>
      <c r="B18" s="52" t="s">
        <v>65</v>
      </c>
      <c r="C18" s="50" t="s">
        <v>94</v>
      </c>
      <c r="D18" s="26" t="s">
        <v>93</v>
      </c>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8"/>
      <c r="AK18" s="47"/>
      <c r="AL18" s="52"/>
    </row>
    <row r="19" spans="1:38">
      <c r="A19" s="26">
        <v>2</v>
      </c>
      <c r="B19" s="55" t="s">
        <v>126</v>
      </c>
      <c r="C19" s="53"/>
      <c r="D19" s="53"/>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8">
        <f>SUM(E19:AI19)</f>
        <v>0</v>
      </c>
      <c r="AK19" s="54"/>
      <c r="AL19" s="32"/>
    </row>
    <row r="20" spans="1:38" ht="28.5">
      <c r="A20" s="111" t="s">
        <v>127</v>
      </c>
      <c r="B20" s="112" t="s">
        <v>128</v>
      </c>
      <c r="C20" s="53"/>
      <c r="D20" s="53"/>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8"/>
      <c r="AK20" s="54"/>
      <c r="AL20" s="32"/>
    </row>
    <row r="21" spans="1:38" s="51" customFormat="1">
      <c r="A21" s="26">
        <v>3</v>
      </c>
      <c r="B21" s="55" t="s">
        <v>76</v>
      </c>
      <c r="C21" s="50" t="s">
        <v>92</v>
      </c>
      <c r="D21" s="60" t="s">
        <v>91</v>
      </c>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8"/>
      <c r="AK21" s="47"/>
      <c r="AL21" s="52"/>
    </row>
    <row r="22" spans="1:38">
      <c r="A22" s="26">
        <v>4</v>
      </c>
      <c r="B22" s="55"/>
      <c r="C22" s="53"/>
      <c r="D22" s="53"/>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8">
        <f>SUM(E22:AI22)</f>
        <v>0</v>
      </c>
      <c r="AK22" s="47"/>
      <c r="AL22" s="32"/>
    </row>
    <row r="23" spans="1:38">
      <c r="A23" s="26">
        <v>5</v>
      </c>
      <c r="B23" s="55" t="s">
        <v>129</v>
      </c>
      <c r="C23" s="50"/>
      <c r="D23" s="26"/>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8"/>
      <c r="AK23" s="47"/>
      <c r="AL23" s="52"/>
    </row>
    <row r="24" spans="1:38">
      <c r="A24" s="26">
        <v>6</v>
      </c>
      <c r="B24" s="55"/>
      <c r="C24" s="50"/>
      <c r="D24" s="26"/>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8">
        <f>SUM(E24:AI24)</f>
        <v>0</v>
      </c>
      <c r="AK24" s="54"/>
      <c r="AL24" s="32"/>
    </row>
    <row r="25" spans="1:38">
      <c r="A25" s="26">
        <v>7</v>
      </c>
      <c r="B25" s="55"/>
      <c r="C25" s="53"/>
      <c r="D25" s="53"/>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8"/>
      <c r="AK25" s="47"/>
      <c r="AL25" s="52"/>
    </row>
    <row r="26" spans="1:38">
      <c r="A26" s="26">
        <v>8</v>
      </c>
      <c r="B26" s="55"/>
      <c r="C26" s="50"/>
      <c r="D26" s="26"/>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8">
        <f>SUM(E26:AI26)</f>
        <v>0</v>
      </c>
      <c r="AK26" s="47"/>
      <c r="AL26" s="32" t="s">
        <v>90</v>
      </c>
    </row>
    <row r="27" spans="1:38">
      <c r="A27" s="26">
        <v>9</v>
      </c>
      <c r="B27" s="55"/>
      <c r="C27" s="53"/>
      <c r="D27" s="53"/>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8"/>
      <c r="AK27" s="47"/>
      <c r="AL27" s="52"/>
    </row>
    <row r="28" spans="1:38">
      <c r="A28" s="26">
        <v>10</v>
      </c>
      <c r="B28" s="55"/>
      <c r="C28" s="50"/>
      <c r="D28" s="28"/>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8">
        <f>SUM(E28:AI28)</f>
        <v>0</v>
      </c>
      <c r="AK28" s="54"/>
      <c r="AL28" s="32"/>
    </row>
    <row r="29" spans="1:38">
      <c r="A29" s="26">
        <v>11</v>
      </c>
      <c r="B29" s="55"/>
      <c r="C29" s="50"/>
      <c r="D29" s="28"/>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8">
        <f>SUM(E29:AI29)</f>
        <v>0</v>
      </c>
      <c r="AK29" s="54"/>
      <c r="AL29" s="32"/>
    </row>
    <row r="30" spans="1:38">
      <c r="A30" s="26">
        <v>12</v>
      </c>
      <c r="B30" s="55"/>
      <c r="C30" s="53"/>
      <c r="D30" s="53"/>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8"/>
      <c r="AK30" s="47"/>
      <c r="AL30" s="52"/>
    </row>
    <row r="31" spans="1:38">
      <c r="A31" s="26">
        <v>13</v>
      </c>
      <c r="B31" s="55"/>
      <c r="C31" s="50"/>
      <c r="D31" s="28"/>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8">
        <f>SUM(E31:AI31)</f>
        <v>0</v>
      </c>
      <c r="AK31" s="54"/>
      <c r="AL31" s="32"/>
    </row>
    <row r="32" spans="1:38">
      <c r="A32" s="26">
        <v>14</v>
      </c>
      <c r="B32" s="55"/>
      <c r="C32" s="50"/>
      <c r="D32" s="28"/>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8">
        <f>SUM(E32:AI32)</f>
        <v>0</v>
      </c>
      <c r="AK32" s="54"/>
      <c r="AL32" s="32"/>
    </row>
    <row r="33" spans="1:38">
      <c r="A33" s="26">
        <v>15</v>
      </c>
      <c r="B33" s="55"/>
      <c r="C33" s="53"/>
      <c r="D33" s="53"/>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8"/>
      <c r="AK33" s="47"/>
      <c r="AL33" s="52"/>
    </row>
    <row r="34" spans="1:38">
      <c r="A34" s="26">
        <v>16</v>
      </c>
      <c r="B34" s="55"/>
      <c r="C34" s="50"/>
      <c r="D34" s="26"/>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8">
        <f>SUM(E34:AI34)</f>
        <v>0</v>
      </c>
      <c r="AK34" s="47"/>
      <c r="AL34" s="32" t="s">
        <v>90</v>
      </c>
    </row>
    <row r="35" spans="1:38">
      <c r="A35" s="26">
        <v>17</v>
      </c>
      <c r="B35" s="55"/>
      <c r="C35" s="50"/>
      <c r="D35" s="26"/>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8">
        <f>SUM(E35:AI35)</f>
        <v>0</v>
      </c>
      <c r="AK35" s="47"/>
      <c r="AL35" s="32" t="s">
        <v>90</v>
      </c>
    </row>
    <row r="36" spans="1:38">
      <c r="A36" s="26">
        <v>18</v>
      </c>
      <c r="B36" s="55"/>
      <c r="C36" s="53"/>
      <c r="D36" s="53"/>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8"/>
      <c r="AK36" s="47"/>
      <c r="AL36" s="52"/>
    </row>
    <row r="37" spans="1:38">
      <c r="A37" s="26">
        <v>19</v>
      </c>
      <c r="B37" s="55"/>
      <c r="C37" s="50"/>
      <c r="D37" s="28"/>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8">
        <f>SUM(E37:AI37)</f>
        <v>0</v>
      </c>
      <c r="AK37" s="54"/>
      <c r="AL37" s="32"/>
    </row>
    <row r="38" spans="1:38">
      <c r="A38" s="26">
        <v>20</v>
      </c>
      <c r="B38" s="55"/>
      <c r="C38" s="50"/>
      <c r="D38" s="28"/>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8">
        <f>SUM(E38:AI38)</f>
        <v>0</v>
      </c>
      <c r="AK38" s="54"/>
      <c r="AL38" s="32"/>
    </row>
    <row r="39" spans="1:38">
      <c r="A39" s="697" t="s">
        <v>89</v>
      </c>
      <c r="B39" s="697"/>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5"/>
      <c r="AG39" s="45"/>
      <c r="AH39" s="43"/>
      <c r="AI39" s="43"/>
      <c r="AJ39" s="44">
        <f>SUM(AJ14:AJ38)</f>
        <v>0</v>
      </c>
      <c r="AK39" s="44"/>
      <c r="AL39" s="98"/>
    </row>
    <row r="40" spans="1:38" ht="16.5">
      <c r="A40" s="22"/>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19"/>
      <c r="AI40" s="20"/>
      <c r="AJ40" s="20"/>
    </row>
    <row r="41" spans="1:38" ht="16.5">
      <c r="C41" s="40" t="s">
        <v>88</v>
      </c>
      <c r="F41" s="41"/>
      <c r="G41" s="41"/>
      <c r="H41" s="41"/>
      <c r="I41" s="41"/>
      <c r="J41" s="41"/>
      <c r="K41" s="41"/>
      <c r="L41" s="41"/>
      <c r="M41" s="42" t="s">
        <v>84</v>
      </c>
      <c r="N41" s="41"/>
      <c r="P41" s="41"/>
      <c r="Q41" s="41"/>
      <c r="S41" s="41"/>
      <c r="T41" s="41"/>
      <c r="U41" s="41"/>
      <c r="V41" s="41"/>
      <c r="W41" s="41"/>
      <c r="X41" s="41"/>
      <c r="Y41" s="41"/>
      <c r="Z41" s="41"/>
      <c r="AA41" s="41"/>
      <c r="AB41" s="42" t="s">
        <v>87</v>
      </c>
      <c r="AC41" s="41"/>
      <c r="AD41" s="41"/>
      <c r="AE41" s="41"/>
      <c r="AF41" s="41"/>
      <c r="AG41" s="41"/>
      <c r="AH41" s="41"/>
      <c r="AI41" s="41"/>
      <c r="AJ41" s="41"/>
      <c r="AK41" s="40"/>
      <c r="AL41" s="100"/>
    </row>
    <row r="42" spans="1:38" ht="16.5">
      <c r="C42" s="40"/>
      <c r="F42" s="41"/>
      <c r="G42" s="41"/>
      <c r="H42" s="41"/>
      <c r="I42" s="41"/>
      <c r="J42" s="41"/>
      <c r="K42" s="41"/>
      <c r="L42" s="41"/>
      <c r="M42" s="42"/>
      <c r="N42" s="41"/>
      <c r="P42" s="41"/>
      <c r="Q42" s="41"/>
      <c r="S42" s="41"/>
      <c r="T42" s="41"/>
      <c r="U42" s="41"/>
      <c r="V42" s="41"/>
      <c r="W42" s="41"/>
      <c r="X42" s="41"/>
      <c r="Y42" s="41"/>
      <c r="Z42" s="41"/>
      <c r="AA42" s="41"/>
      <c r="AB42" s="42"/>
      <c r="AC42" s="41"/>
      <c r="AD42" s="41"/>
      <c r="AE42" s="41"/>
      <c r="AF42" s="41"/>
      <c r="AG42" s="41"/>
      <c r="AH42" s="41"/>
      <c r="AI42" s="41"/>
      <c r="AJ42" s="41"/>
      <c r="AK42" s="40"/>
      <c r="AL42" s="100"/>
    </row>
    <row r="43" spans="1:38">
      <c r="A43" s="22"/>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row>
    <row r="44" spans="1:38">
      <c r="B44" s="105"/>
    </row>
    <row r="45" spans="1:38">
      <c r="B45" s="113"/>
      <c r="K45" s="37"/>
    </row>
  </sheetData>
  <mergeCells count="17">
    <mergeCell ref="AJ11:AK11"/>
    <mergeCell ref="A39:B39"/>
    <mergeCell ref="C7:AL7"/>
    <mergeCell ref="A10:A12"/>
    <mergeCell ref="B10:B12"/>
    <mergeCell ref="C10:D10"/>
    <mergeCell ref="N10:P10"/>
    <mergeCell ref="S10:T10"/>
    <mergeCell ref="AL10:AL12"/>
    <mergeCell ref="C11:C12"/>
    <mergeCell ref="D11:D12"/>
    <mergeCell ref="A3:D3"/>
    <mergeCell ref="AC3:AL3"/>
    <mergeCell ref="A4:D4"/>
    <mergeCell ref="AC4:AL4"/>
    <mergeCell ref="A6:U6"/>
    <mergeCell ref="X6:Y6"/>
  </mergeCells>
  <conditionalFormatting sqref="E13:AI38">
    <cfRule type="expression" dxfId="4" priority="1">
      <formula>OR(E$12="T7",E$12="CN")</formula>
    </cfRule>
  </conditionalFormatting>
  <pageMargins left="0.7" right="0.7" top="0.75" bottom="0.75" header="0.3" footer="0.3"/>
  <pageSetup paperSize="9" scale="69" fitToHeight="0" orientation="landscape" r:id="rId1"/>
  <drawing r:id="rId2"/>
  <legacy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499984740745262"/>
  </sheetPr>
  <dimension ref="A1:AY13"/>
  <sheetViews>
    <sheetView zoomScale="85" zoomScaleNormal="85" workbookViewId="0">
      <pane xSplit="3" ySplit="4" topLeftCell="D5" activePane="bottomRight" state="frozen"/>
      <selection activeCell="E43" sqref="E43"/>
      <selection pane="topRight" activeCell="E43" sqref="E43"/>
      <selection pane="bottomLeft" activeCell="E43" sqref="E43"/>
      <selection pane="bottomRight" activeCell="E43" sqref="E43"/>
    </sheetView>
  </sheetViews>
  <sheetFormatPr defaultColWidth="8.85546875" defaultRowHeight="15"/>
  <cols>
    <col min="1" max="1" width="7" style="410" customWidth="1"/>
    <col min="2" max="2" width="8.85546875" style="411"/>
    <col min="3" max="3" width="23.85546875" style="412" customWidth="1"/>
    <col min="4" max="4" width="101.42578125" style="413" customWidth="1"/>
    <col min="5" max="5" width="20.28515625" style="414" customWidth="1"/>
    <col min="6" max="6" width="41.42578125" style="415" customWidth="1"/>
    <col min="7" max="7" width="11.42578125" style="416" customWidth="1"/>
    <col min="8" max="8" width="28.42578125" style="410" customWidth="1"/>
    <col min="9" max="9" width="8.85546875" style="410"/>
    <col min="10" max="10" width="14.5703125" style="412" customWidth="1"/>
    <col min="11" max="11" width="9.140625" style="410" hidden="1" customWidth="1"/>
    <col min="12" max="12" width="8" style="409" customWidth="1"/>
    <col min="13" max="13" width="8.85546875" style="417"/>
    <col min="14" max="14" width="9.42578125" style="400" bestFit="1" customWidth="1"/>
    <col min="15" max="16" width="8.85546875" style="400"/>
    <col min="17" max="31" width="15.28515625" style="418" bestFit="1" customWidth="1"/>
    <col min="32" max="32" width="13" style="418" customWidth="1"/>
    <col min="33" max="33" width="17" style="418" customWidth="1"/>
    <col min="34" max="35" width="9.28515625" style="418" bestFit="1" customWidth="1"/>
    <col min="36" max="36" width="14" style="418" bestFit="1" customWidth="1"/>
    <col min="37" max="37" width="9.28515625" style="418" bestFit="1" customWidth="1"/>
    <col min="38" max="39" width="12.85546875" style="418" bestFit="1" customWidth="1"/>
    <col min="40" max="44" width="11.42578125" style="418" bestFit="1" customWidth="1"/>
    <col min="45" max="45" width="12.85546875" style="418" bestFit="1" customWidth="1"/>
    <col min="46" max="46" width="16.7109375" style="419" customWidth="1"/>
    <col min="47" max="47" width="11.5703125" style="400" hidden="1" customWidth="1"/>
    <col min="48" max="48" width="11.42578125" style="400" hidden="1" customWidth="1"/>
    <col min="49" max="49" width="16.85546875" style="400" hidden="1" customWidth="1"/>
    <col min="50" max="50" width="12.5703125" style="400" hidden="1" customWidth="1"/>
    <col min="51" max="51" width="12.5703125" style="400" bestFit="1" customWidth="1"/>
    <col min="52" max="52" width="11.5703125" style="400" bestFit="1" customWidth="1"/>
    <col min="53" max="16384" width="8.85546875" style="400"/>
  </cols>
  <sheetData>
    <row r="1" spans="1:51">
      <c r="A1" s="712" t="s">
        <v>36</v>
      </c>
      <c r="B1" s="713" t="s">
        <v>284</v>
      </c>
      <c r="C1" s="712" t="s">
        <v>57</v>
      </c>
      <c r="D1" s="714" t="s">
        <v>3149</v>
      </c>
      <c r="E1" s="712" t="s">
        <v>3150</v>
      </c>
      <c r="F1" s="715" t="s">
        <v>3151</v>
      </c>
      <c r="G1" s="712" t="s">
        <v>3152</v>
      </c>
      <c r="H1" s="714" t="s">
        <v>3153</v>
      </c>
      <c r="I1" s="709" t="s">
        <v>3154</v>
      </c>
      <c r="J1" s="712" t="s">
        <v>3155</v>
      </c>
      <c r="K1" s="709"/>
      <c r="L1" s="712" t="s">
        <v>303</v>
      </c>
      <c r="M1" s="716" t="s">
        <v>3156</v>
      </c>
      <c r="N1" s="712" t="s">
        <v>3157</v>
      </c>
      <c r="O1" s="712" t="s">
        <v>3158</v>
      </c>
      <c r="P1" s="712" t="s">
        <v>3159</v>
      </c>
      <c r="Q1" s="717" t="s">
        <v>3160</v>
      </c>
      <c r="R1" s="717"/>
      <c r="S1" s="717"/>
      <c r="T1" s="717"/>
      <c r="U1" s="717"/>
      <c r="V1" s="717"/>
      <c r="W1" s="717"/>
      <c r="X1" s="717"/>
      <c r="Y1" s="717"/>
      <c r="Z1" s="717"/>
      <c r="AA1" s="717"/>
      <c r="AB1" s="717"/>
      <c r="AC1" s="717"/>
      <c r="AD1" s="717"/>
      <c r="AE1" s="717"/>
      <c r="AF1" s="717" t="s">
        <v>3161</v>
      </c>
      <c r="AG1" s="717"/>
      <c r="AH1" s="717"/>
      <c r="AI1" s="717"/>
      <c r="AJ1" s="717"/>
      <c r="AK1" s="717"/>
      <c r="AL1" s="717"/>
      <c r="AM1" s="717"/>
      <c r="AN1" s="717"/>
      <c r="AO1" s="717"/>
      <c r="AP1" s="717"/>
      <c r="AQ1" s="717"/>
      <c r="AR1" s="717"/>
      <c r="AS1" s="717"/>
      <c r="AT1" s="717"/>
      <c r="AU1" s="362"/>
      <c r="AV1" s="362"/>
    </row>
    <row r="2" spans="1:51">
      <c r="A2" s="712"/>
      <c r="B2" s="713"/>
      <c r="C2" s="712"/>
      <c r="D2" s="714"/>
      <c r="E2" s="712"/>
      <c r="F2" s="715"/>
      <c r="G2" s="712"/>
      <c r="H2" s="714"/>
      <c r="I2" s="710"/>
      <c r="J2" s="712"/>
      <c r="K2" s="710"/>
      <c r="L2" s="712"/>
      <c r="M2" s="716"/>
      <c r="N2" s="712"/>
      <c r="O2" s="712"/>
      <c r="P2" s="712"/>
      <c r="Q2" s="717" t="s">
        <v>293</v>
      </c>
      <c r="R2" s="717" t="s">
        <v>378</v>
      </c>
      <c r="S2" s="717" t="s">
        <v>379</v>
      </c>
      <c r="T2" s="717" t="s">
        <v>380</v>
      </c>
      <c r="U2" s="717" t="s">
        <v>381</v>
      </c>
      <c r="V2" s="717" t="s">
        <v>382</v>
      </c>
      <c r="W2" s="717" t="s">
        <v>298</v>
      </c>
      <c r="X2" s="717"/>
      <c r="Y2" s="717" t="s">
        <v>299</v>
      </c>
      <c r="Z2" s="717"/>
      <c r="AA2" s="717" t="s">
        <v>300</v>
      </c>
      <c r="AB2" s="717"/>
      <c r="AC2" s="717" t="s">
        <v>301</v>
      </c>
      <c r="AD2" s="717" t="s">
        <v>3162</v>
      </c>
      <c r="AE2" s="717" t="s">
        <v>393</v>
      </c>
      <c r="AF2" s="717" t="s">
        <v>293</v>
      </c>
      <c r="AG2" s="717" t="s">
        <v>378</v>
      </c>
      <c r="AH2" s="717" t="s">
        <v>379</v>
      </c>
      <c r="AI2" s="717" t="s">
        <v>380</v>
      </c>
      <c r="AJ2" s="717" t="s">
        <v>381</v>
      </c>
      <c r="AK2" s="717" t="s">
        <v>382</v>
      </c>
      <c r="AL2" s="717" t="s">
        <v>298</v>
      </c>
      <c r="AM2" s="717"/>
      <c r="AN2" s="717" t="s">
        <v>299</v>
      </c>
      <c r="AO2" s="717"/>
      <c r="AP2" s="717" t="s">
        <v>300</v>
      </c>
      <c r="AQ2" s="717"/>
      <c r="AR2" s="717" t="s">
        <v>301</v>
      </c>
      <c r="AS2" s="717" t="s">
        <v>3162</v>
      </c>
      <c r="AT2" s="717" t="s">
        <v>393</v>
      </c>
      <c r="AU2" s="362"/>
      <c r="AV2" s="362"/>
    </row>
    <row r="3" spans="1:51" ht="66.75" customHeight="1">
      <c r="A3" s="712"/>
      <c r="B3" s="713"/>
      <c r="C3" s="712"/>
      <c r="D3" s="714"/>
      <c r="E3" s="712"/>
      <c r="F3" s="715"/>
      <c r="G3" s="712"/>
      <c r="H3" s="714"/>
      <c r="I3" s="711"/>
      <c r="J3" s="712"/>
      <c r="K3" s="711"/>
      <c r="L3" s="712"/>
      <c r="M3" s="716"/>
      <c r="N3" s="712"/>
      <c r="O3" s="712"/>
      <c r="P3" s="712"/>
      <c r="Q3" s="717"/>
      <c r="R3" s="717"/>
      <c r="S3" s="717"/>
      <c r="T3" s="717"/>
      <c r="U3" s="717"/>
      <c r="V3" s="717"/>
      <c r="W3" s="401" t="s">
        <v>391</v>
      </c>
      <c r="X3" s="401" t="s">
        <v>386</v>
      </c>
      <c r="Y3" s="401" t="s">
        <v>391</v>
      </c>
      <c r="Z3" s="401" t="s">
        <v>386</v>
      </c>
      <c r="AA3" s="401" t="s">
        <v>391</v>
      </c>
      <c r="AB3" s="401" t="s">
        <v>386</v>
      </c>
      <c r="AC3" s="717"/>
      <c r="AD3" s="717"/>
      <c r="AE3" s="717"/>
      <c r="AF3" s="717"/>
      <c r="AG3" s="717"/>
      <c r="AH3" s="717"/>
      <c r="AI3" s="717"/>
      <c r="AJ3" s="717"/>
      <c r="AK3" s="717"/>
      <c r="AL3" s="401" t="s">
        <v>391</v>
      </c>
      <c r="AM3" s="401" t="s">
        <v>386</v>
      </c>
      <c r="AN3" s="401" t="s">
        <v>391</v>
      </c>
      <c r="AO3" s="401" t="s">
        <v>386</v>
      </c>
      <c r="AP3" s="401" t="s">
        <v>391</v>
      </c>
      <c r="AQ3" s="401" t="s">
        <v>386</v>
      </c>
      <c r="AR3" s="717"/>
      <c r="AS3" s="717"/>
      <c r="AT3" s="717"/>
      <c r="AU3" s="362"/>
      <c r="AV3" s="362"/>
    </row>
    <row r="4" spans="1:51" ht="66.75" hidden="1" customHeight="1">
      <c r="A4" s="402" t="s">
        <v>36</v>
      </c>
      <c r="B4" s="403" t="s">
        <v>284</v>
      </c>
      <c r="C4" s="402" t="s">
        <v>57</v>
      </c>
      <c r="D4" s="404" t="s">
        <v>3149</v>
      </c>
      <c r="E4" s="402" t="s">
        <v>3150</v>
      </c>
      <c r="F4" s="405" t="s">
        <v>3151</v>
      </c>
      <c r="G4" s="402" t="s">
        <v>3152</v>
      </c>
      <c r="H4" s="404" t="s">
        <v>3153</v>
      </c>
      <c r="I4" s="402" t="s">
        <v>3154</v>
      </c>
      <c r="J4" s="402" t="s">
        <v>3155</v>
      </c>
      <c r="K4" s="402" t="s">
        <v>302</v>
      </c>
      <c r="L4" s="402" t="s">
        <v>303</v>
      </c>
      <c r="M4" s="402" t="s">
        <v>3156</v>
      </c>
      <c r="N4" s="402" t="s">
        <v>3157</v>
      </c>
      <c r="O4" s="402" t="s">
        <v>3158</v>
      </c>
      <c r="P4" s="402" t="s">
        <v>3159</v>
      </c>
      <c r="Q4" s="406" t="s">
        <v>293</v>
      </c>
      <c r="R4" s="406" t="s">
        <v>378</v>
      </c>
      <c r="S4" s="406" t="s">
        <v>379</v>
      </c>
      <c r="T4" s="406" t="s">
        <v>380</v>
      </c>
      <c r="U4" s="406" t="s">
        <v>381</v>
      </c>
      <c r="V4" s="406" t="s">
        <v>382</v>
      </c>
      <c r="W4" s="401" t="s">
        <v>391</v>
      </c>
      <c r="X4" s="401" t="s">
        <v>386</v>
      </c>
      <c r="Y4" s="401" t="s">
        <v>391</v>
      </c>
      <c r="Z4" s="401" t="s">
        <v>386</v>
      </c>
      <c r="AA4" s="401" t="s">
        <v>391</v>
      </c>
      <c r="AB4" s="401" t="s">
        <v>386</v>
      </c>
      <c r="AC4" s="401" t="s">
        <v>301</v>
      </c>
      <c r="AD4" s="401" t="s">
        <v>3162</v>
      </c>
      <c r="AE4" s="401" t="s">
        <v>393</v>
      </c>
      <c r="AF4" s="401" t="s">
        <v>293</v>
      </c>
      <c r="AG4" s="401" t="s">
        <v>378</v>
      </c>
      <c r="AH4" s="401" t="s">
        <v>379</v>
      </c>
      <c r="AI4" s="401" t="s">
        <v>380</v>
      </c>
      <c r="AJ4" s="401" t="s">
        <v>381</v>
      </c>
      <c r="AK4" s="401" t="s">
        <v>382</v>
      </c>
      <c r="AL4" s="401" t="s">
        <v>391</v>
      </c>
      <c r="AM4" s="401" t="s">
        <v>386</v>
      </c>
      <c r="AN4" s="401" t="s">
        <v>391</v>
      </c>
      <c r="AO4" s="401" t="s">
        <v>386</v>
      </c>
      <c r="AP4" s="401" t="s">
        <v>391</v>
      </c>
      <c r="AQ4" s="401" t="s">
        <v>386</v>
      </c>
      <c r="AR4" s="401" t="s">
        <v>301</v>
      </c>
      <c r="AS4" s="401" t="s">
        <v>3162</v>
      </c>
      <c r="AT4" s="401" t="s">
        <v>393</v>
      </c>
      <c r="AU4" s="362"/>
      <c r="AV4" s="362"/>
      <c r="AW4" s="407" t="s">
        <v>3163</v>
      </c>
    </row>
    <row r="5" spans="1:51" s="425" customFormat="1" ht="21" customHeight="1">
      <c r="A5" s="422">
        <f>SUBTOTAL(3,$B$5:B5)</f>
        <v>1</v>
      </c>
      <c r="B5" s="428" t="s">
        <v>860</v>
      </c>
      <c r="C5" s="429" t="s">
        <v>861</v>
      </c>
      <c r="D5" s="430" t="s">
        <v>3164</v>
      </c>
      <c r="E5" s="431" t="str">
        <f>VLOOKUP(D5,'[5]Mail list'!$A$2:$B$302,2,0)</f>
        <v>011-24-TĐ-RDP-QS</v>
      </c>
      <c r="F5" s="429" t="s">
        <v>318</v>
      </c>
      <c r="G5" s="422" t="s">
        <v>249</v>
      </c>
      <c r="H5" s="429" t="s">
        <v>166</v>
      </c>
      <c r="I5" s="422" t="s">
        <v>3165</v>
      </c>
      <c r="J5" s="429" t="str">
        <f>+VLOOKUP($B5,'BM0.Bang luong thang import'!$B:$X,23,0)</f>
        <v>Khối 1 - TCT CNC</v>
      </c>
      <c r="K5" s="408">
        <v>21</v>
      </c>
      <c r="L5" s="420">
        <f>SUMIF('BM0.Bang luong thang import'!B:B,'BM3.Bang TH phan bo'!B5,'BM0.Bang luong thang import'!F:F)</f>
        <v>21</v>
      </c>
      <c r="M5" s="421">
        <v>6</v>
      </c>
      <c r="N5" s="420" t="str">
        <f>B5&amp;L5</f>
        <v>12126221</v>
      </c>
      <c r="O5" s="422">
        <f>COUNTIF(N:N,N5)</f>
        <v>2</v>
      </c>
      <c r="P5" s="422">
        <f>COUNTIF($N$5:N5,N5)</f>
        <v>1</v>
      </c>
      <c r="Q5" s="423">
        <f>SUMIF('BM0.Bang luong thang import'!$B:$B,'BM3.Bang TH phan bo'!$B5,'BM0.Bang luong thang import'!G:G)</f>
        <v>113316438</v>
      </c>
      <c r="R5" s="423">
        <f>SUMIF('BM0.Bang luong thang import'!$B:$B,'BM3.Bang TH phan bo'!$B5,'BM0.Bang luong thang import'!H:H)</f>
        <v>111813222</v>
      </c>
      <c r="S5" s="423">
        <f>SUMIF('BM0.Bang luong thang import'!$B:$B,'BM3.Bang TH phan bo'!$B5,'BM0.Bang luong thang import'!I:I)</f>
        <v>0</v>
      </c>
      <c r="T5" s="423">
        <f>SUMIF('BM0.Bang luong thang import'!$B:$B,'BM3.Bang TH phan bo'!$B5,'BM0.Bang luong thang import'!J:J)</f>
        <v>0</v>
      </c>
      <c r="U5" s="423">
        <f>SUMIF('BM0.Bang luong thang import'!$B:$B,'BM3.Bang TH phan bo'!$B5,'BM0.Bang luong thang import'!K:K)</f>
        <v>0</v>
      </c>
      <c r="V5" s="423">
        <f>SUMIF('BM0.Bang luong thang import'!$B:$B,'BM3.Bang TH phan bo'!$B5,'BM0.Bang luong thang import'!L:L)</f>
        <v>0</v>
      </c>
      <c r="W5" s="423">
        <f>SUMIF('BM0.Bang luong thang import'!$B:$B,'BM3.Bang TH phan bo'!$B5,'BM0.Bang luong thang import'!M:M)</f>
        <v>1503216</v>
      </c>
      <c r="X5" s="423">
        <f>SUMIF('BM0.Bang luong thang import'!$B:$B,'BM3.Bang TH phan bo'!$B5,'BM0.Bang luong thang import'!N:N)</f>
        <v>3288285</v>
      </c>
      <c r="Y5" s="423">
        <f>SUMIF('BM0.Bang luong thang import'!$B:$B,'BM3.Bang TH phan bo'!$B5,'BM0.Bang luong thang import'!O:O)</f>
        <v>0</v>
      </c>
      <c r="Z5" s="423">
        <f>SUMIF('BM0.Bang luong thang import'!$B:$B,'BM3.Bang TH phan bo'!$B5,'BM0.Bang luong thang import'!P:P)</f>
        <v>0</v>
      </c>
      <c r="AA5" s="423">
        <f>SUMIF('BM0.Bang luong thang import'!$B:$B,'BM3.Bang TH phan bo'!$B5,'BM0.Bang luong thang import'!Q:Q)</f>
        <v>0</v>
      </c>
      <c r="AB5" s="423">
        <f>SUMIF('BM0.Bang luong thang import'!$B:$B,'BM3.Bang TH phan bo'!$B5,'BM0.Bang luong thang import'!R:R)</f>
        <v>0</v>
      </c>
      <c r="AC5" s="423">
        <f>SUMIF('BM0.Bang luong thang import'!$B:$B,'BM3.Bang TH phan bo'!$B5,'BM0.Bang luong thang import'!S:S)</f>
        <v>375804</v>
      </c>
      <c r="AD5" s="423">
        <f>SUMIF('BM0.Bang luong thang import'!$B:$B,'BM3.Bang TH phan bo'!$B5,'BM0.Bang luong thang import'!T:T)</f>
        <v>1730000</v>
      </c>
      <c r="AE5" s="423">
        <f>SUMIF('BM0.Bang luong thang import'!$B:$B,'BM3.Bang TH phan bo'!$B5,'BM0.Bang luong thang import'!U:U)</f>
        <v>118710527</v>
      </c>
      <c r="AF5" s="423">
        <f>ROUND(IF($O5&lt;&gt;$P5,Q5*$M5/$L5,Q5-SUMIF($N$1:$N4,$N5,AF$1:AF4)),0)</f>
        <v>32376125</v>
      </c>
      <c r="AG5" s="423">
        <f>AF5-AL5-AN5-AP5</f>
        <v>31946635</v>
      </c>
      <c r="AH5" s="423">
        <f>ROUND(IF($O5&lt;&gt;$P5,S5*$M5/$L5,S5-SUMIF($N$1:$N4,$N5,AH$1:AH4)),0)</f>
        <v>0</v>
      </c>
      <c r="AI5" s="423">
        <f>ROUND(IF($O5&lt;&gt;$P5,T5*$M5/$L5,T5-SUMIF($N$1:$N4,$N5,AI$1:AI4)),0)</f>
        <v>0</v>
      </c>
      <c r="AJ5" s="423">
        <f>ROUND(IF($O5&lt;&gt;$P5,U5*$M5/$L5,U5-SUMIF($N$1:$N4,$N5,AJ$1:AJ4)),0)</f>
        <v>0</v>
      </c>
      <c r="AK5" s="423">
        <f>ROUND(IF($O5&lt;&gt;$P5,V5*$M5/$L5,V5-SUMIF($N$1:$N4,$N5,AK$1:AK4)),0)</f>
        <v>0</v>
      </c>
      <c r="AL5" s="423">
        <f>ROUND(IF($O5&lt;&gt;$P5,W5*$M5/$L5,W5-SUMIF($N$1:$N4,$N5,AL$1:AL4)),0)</f>
        <v>429490</v>
      </c>
      <c r="AM5" s="423">
        <f>ROUND(IF($O5&lt;&gt;$P5,X5*$M5/$L5,X5-SUMIF($N$1:$N4,$N5,AM$1:AM4)),0)</f>
        <v>939510</v>
      </c>
      <c r="AN5" s="423">
        <f>ROUND(IF($O5&lt;&gt;$P5,Y5*$M5/$L5,Y5-SUMIF($N$1:$N4,$N5,AN$1:AN4)),0)</f>
        <v>0</v>
      </c>
      <c r="AO5" s="423">
        <f>ROUND(IF($O5&lt;&gt;$P5,Z5*$M5/$L5,Z5-SUMIF($N$1:$N4,$N5,AO$1:AO4)),0)</f>
        <v>0</v>
      </c>
      <c r="AP5" s="423">
        <f>ROUND(IF($O5&lt;&gt;$P5,AA5*$M5/$L5,AA5-SUMIF($N$1:$N4,$N5,AP$1:AP4)),0)</f>
        <v>0</v>
      </c>
      <c r="AQ5" s="423">
        <f>ROUND(IF($O5&lt;&gt;$P5,AB5*$M5/$L5,AB5-SUMIF($N$1:$N4,$N5,AQ$1:AQ4)),0)</f>
        <v>0</v>
      </c>
      <c r="AR5" s="423">
        <f>ROUND(IF($O5&lt;&gt;$P5,AC5*$M5/$L5,AC5-SUMIF($N$1:$N4,$N5,AR$1:AR4)),0)</f>
        <v>107373</v>
      </c>
      <c r="AS5" s="423">
        <f>ROUND(IF($O5&lt;&gt;$P5,AD5*$M5/$L5,AD5-SUMIF($N$1:$N4,$N5,AS$1:AS4)),0)</f>
        <v>494286</v>
      </c>
      <c r="AT5" s="424">
        <f>SUM(AG5:AS5)</f>
        <v>33917294</v>
      </c>
      <c r="AU5" s="423"/>
      <c r="AV5" s="420"/>
      <c r="AW5" s="425" t="str">
        <f>+VLOOKUP(B5,'BM0.Bang luong thang import'!B:C,2,0)</f>
        <v>Lê Trần Sự</v>
      </c>
      <c r="AX5" s="425" t="b">
        <f>+VLOOKUP(B5,'BM0.Bang luong thang import'!B:C,2,0)=C5</f>
        <v>1</v>
      </c>
      <c r="AY5" s="426"/>
    </row>
    <row r="6" spans="1:51" s="425" customFormat="1" ht="21" customHeight="1">
      <c r="A6" s="422">
        <f>SUBTOTAL(3,$B$5:B6)</f>
        <v>2</v>
      </c>
      <c r="B6" s="428" t="s">
        <v>413</v>
      </c>
      <c r="C6" s="429" t="s">
        <v>414</v>
      </c>
      <c r="D6" s="430" t="s">
        <v>3164</v>
      </c>
      <c r="E6" s="431" t="str">
        <f>VLOOKUP(D6,'[5]Mail list'!$A$2:$B$302,2,0)</f>
        <v>011-24-TĐ-RDP-QS</v>
      </c>
      <c r="F6" s="429" t="s">
        <v>318</v>
      </c>
      <c r="G6" s="422" t="s">
        <v>249</v>
      </c>
      <c r="H6" s="429" t="s">
        <v>166</v>
      </c>
      <c r="I6" s="422" t="s">
        <v>3165</v>
      </c>
      <c r="J6" s="429" t="str">
        <f>+VLOOKUP($B6,'BM0.Bang luong thang import'!$B:$X,23,0)</f>
        <v>Khối 1 - TCT CNC</v>
      </c>
      <c r="K6" s="408">
        <v>21</v>
      </c>
      <c r="L6" s="420">
        <f>SUMIF('BM0.Bang luong thang import'!B:B,'BM3.Bang TH phan bo'!B6,'BM0.Bang luong thang import'!F:F)</f>
        <v>21</v>
      </c>
      <c r="M6" s="421">
        <v>4</v>
      </c>
      <c r="N6" s="420" t="str">
        <f>B6&amp;L6</f>
        <v>00399021</v>
      </c>
      <c r="O6" s="422">
        <f>COUNTIF(N:N,N6)</f>
        <v>3</v>
      </c>
      <c r="P6" s="422">
        <f>COUNTIF($N$5:N6,N6)</f>
        <v>1</v>
      </c>
      <c r="Q6" s="423">
        <f>SUMIF('BM0.Bang luong thang import'!$B:$B,'BM3.Bang TH phan bo'!$B6,'BM0.Bang luong thang import'!G:G)</f>
        <v>97935011</v>
      </c>
      <c r="R6" s="423">
        <f>SUMIF('BM0.Bang luong thang import'!$B:$B,'BM3.Bang TH phan bo'!$B6,'BM0.Bang luong thang import'!H:H)</f>
        <v>96438909</v>
      </c>
      <c r="S6" s="423">
        <f>SUMIF('BM0.Bang luong thang import'!$B:$B,'BM3.Bang TH phan bo'!$B6,'BM0.Bang luong thang import'!I:I)</f>
        <v>0</v>
      </c>
      <c r="T6" s="423">
        <f>SUMIF('BM0.Bang luong thang import'!$B:$B,'BM3.Bang TH phan bo'!$B6,'BM0.Bang luong thang import'!J:J)</f>
        <v>0</v>
      </c>
      <c r="U6" s="423">
        <f>SUMIF('BM0.Bang luong thang import'!$B:$B,'BM3.Bang TH phan bo'!$B6,'BM0.Bang luong thang import'!K:K)</f>
        <v>0</v>
      </c>
      <c r="V6" s="423">
        <f>SUMIF('BM0.Bang luong thang import'!$B:$B,'BM3.Bang TH phan bo'!$B6,'BM0.Bang luong thang import'!L:L)</f>
        <v>0</v>
      </c>
      <c r="W6" s="423">
        <f>SUMIF('BM0.Bang luong thang import'!$B:$B,'BM3.Bang TH phan bo'!$B6,'BM0.Bang luong thang import'!M:M)</f>
        <v>1496102</v>
      </c>
      <c r="X6" s="423">
        <f>SUMIF('BM0.Bang luong thang import'!$B:$B,'BM3.Bang TH phan bo'!$B6,'BM0.Bang luong thang import'!N:N)</f>
        <v>3272724</v>
      </c>
      <c r="Y6" s="423">
        <f>SUMIF('BM0.Bang luong thang import'!$B:$B,'BM3.Bang TH phan bo'!$B6,'BM0.Bang luong thang import'!O:O)</f>
        <v>0</v>
      </c>
      <c r="Z6" s="423">
        <f>SUMIF('BM0.Bang luong thang import'!$B:$B,'BM3.Bang TH phan bo'!$B6,'BM0.Bang luong thang import'!P:P)</f>
        <v>0</v>
      </c>
      <c r="AA6" s="423">
        <f>SUMIF('BM0.Bang luong thang import'!$B:$B,'BM3.Bang TH phan bo'!$B6,'BM0.Bang luong thang import'!Q:Q)</f>
        <v>0</v>
      </c>
      <c r="AB6" s="423">
        <f>SUMIF('BM0.Bang luong thang import'!$B:$B,'BM3.Bang TH phan bo'!$B6,'BM0.Bang luong thang import'!R:R)</f>
        <v>0</v>
      </c>
      <c r="AC6" s="423">
        <f>SUMIF('BM0.Bang luong thang import'!$B:$B,'BM3.Bang TH phan bo'!$B6,'BM0.Bang luong thang import'!S:S)</f>
        <v>374026</v>
      </c>
      <c r="AD6" s="423">
        <f>SUMIF('BM0.Bang luong thang import'!$B:$B,'BM3.Bang TH phan bo'!$B6,'BM0.Bang luong thang import'!T:T)</f>
        <v>1230000</v>
      </c>
      <c r="AE6" s="423">
        <f>SUMIF('BM0.Bang luong thang import'!$B:$B,'BM3.Bang TH phan bo'!$B6,'BM0.Bang luong thang import'!U:U)</f>
        <v>102811761</v>
      </c>
      <c r="AF6" s="423">
        <f>ROUND(IF($O6&lt;&gt;$P6,Q6*$M6/$L6,Q6-SUMIF($N$1:$N5,$N6,AF$1:AF5)),0)</f>
        <v>18654288</v>
      </c>
      <c r="AG6" s="423">
        <f t="shared" ref="AG6:AG7" si="0">AF6-AL6-AN6-AP6</f>
        <v>18369316</v>
      </c>
      <c r="AH6" s="423">
        <f>ROUND(IF($O6&lt;&gt;$P6,S6*$M6/$L6,S6-SUMIF($N$1:$N5,$N6,AH$1:AH5)),0)</f>
        <v>0</v>
      </c>
      <c r="AI6" s="423">
        <f>ROUND(IF($O6&lt;&gt;$P6,T6*$M6/$L6,T6-SUMIF($N$1:$N5,$N6,AI$1:AI5)),0)</f>
        <v>0</v>
      </c>
      <c r="AJ6" s="423">
        <f>ROUND(IF($O6&lt;&gt;$P6,U6*$M6/$L6,U6-SUMIF($N$1:$N5,$N6,AJ$1:AJ5)),0)</f>
        <v>0</v>
      </c>
      <c r="AK6" s="423">
        <f>ROUND(IF($O6&lt;&gt;$P6,V6*$M6/$L6,V6-SUMIF($N$1:$N5,$N6,AK$1:AK5)),0)</f>
        <v>0</v>
      </c>
      <c r="AL6" s="423">
        <f>ROUND(IF($O6&lt;&gt;$P6,W6*$M6/$L6,W6-SUMIF($N$1:$N5,$N6,AL$1:AL5)),0)</f>
        <v>284972</v>
      </c>
      <c r="AM6" s="423">
        <f>ROUND(IF($O6&lt;&gt;$P6,X6*$M6/$L6,X6-SUMIF($N$1:$N5,$N6,AM$1:AM5)),0)</f>
        <v>623376</v>
      </c>
      <c r="AN6" s="423">
        <f>ROUND(IF($O6&lt;&gt;$P6,Y6*$M6/$L6,Y6-SUMIF($N$1:$N5,$N6,AN$1:AN5)),0)</f>
        <v>0</v>
      </c>
      <c r="AO6" s="423">
        <f>ROUND(IF($O6&lt;&gt;$P6,Z6*$M6/$L6,Z6-SUMIF($N$1:$N5,$N6,AO$1:AO5)),0)</f>
        <v>0</v>
      </c>
      <c r="AP6" s="423">
        <f>ROUND(IF($O6&lt;&gt;$P6,AA6*$M6/$L6,AA6-SUMIF($N$1:$N5,$N6,AP$1:AP5)),0)</f>
        <v>0</v>
      </c>
      <c r="AQ6" s="423">
        <f>ROUND(IF($O6&lt;&gt;$P6,AB6*$M6/$L6,AB6-SUMIF($N$1:$N5,$N6,AQ$1:AQ5)),0)</f>
        <v>0</v>
      </c>
      <c r="AR6" s="423">
        <f>ROUND(IF($O6&lt;&gt;$P6,AC6*$M6/$L6,AC6-SUMIF($N$1:$N5,$N6,AR$1:AR5)),0)</f>
        <v>71243</v>
      </c>
      <c r="AS6" s="423">
        <f>ROUND(IF($O6&lt;&gt;$P6,AD6*$M6/$L6,AD6-SUMIF($N$1:$N5,$N6,AS$1:AS5)),0)</f>
        <v>234286</v>
      </c>
      <c r="AT6" s="424">
        <f t="shared" ref="AT6:AT7" si="1">SUM(AG6:AS6)</f>
        <v>19583193</v>
      </c>
      <c r="AU6" s="423"/>
      <c r="AV6" s="420"/>
      <c r="AW6" s="425" t="str">
        <f>+VLOOKUP(B6,'BM0.Bang luong thang import'!B:C,2,0)</f>
        <v>Vũ Ngọc Vinh</v>
      </c>
      <c r="AX6" s="425" t="b">
        <f>+VLOOKUP(B6,'BM0.Bang luong thang import'!B:C,2,0)=C6</f>
        <v>1</v>
      </c>
      <c r="AY6" s="426"/>
    </row>
    <row r="7" spans="1:51" s="425" customFormat="1" ht="21" customHeight="1">
      <c r="A7" s="422">
        <f>SUBTOTAL(3,$B$5:B7)</f>
        <v>3</v>
      </c>
      <c r="B7" s="428" t="s">
        <v>413</v>
      </c>
      <c r="C7" s="432" t="s">
        <v>414</v>
      </c>
      <c r="D7" s="430" t="s">
        <v>3166</v>
      </c>
      <c r="E7" s="431" t="str">
        <f>VLOOKUP(D7,'[5]Mail list'!$A$2:$B$302,2,0)</f>
        <v>PO-92157</v>
      </c>
      <c r="F7" s="429"/>
      <c r="G7" s="422" t="s">
        <v>142</v>
      </c>
      <c r="H7" s="429" t="s">
        <v>166</v>
      </c>
      <c r="I7" s="422" t="s">
        <v>3165</v>
      </c>
      <c r="J7" s="429" t="str">
        <f>+VLOOKUP($B7,'BM0.Bang luong thang import'!$B:$X,23,0)</f>
        <v>Khối 1 - TCT CNC</v>
      </c>
      <c r="K7" s="408">
        <v>21</v>
      </c>
      <c r="L7" s="420">
        <f>SUMIF('BM0.Bang luong thang import'!B:B,'BM3.Bang TH phan bo'!B7,'BM0.Bang luong thang import'!F:F)</f>
        <v>21</v>
      </c>
      <c r="M7" s="421">
        <v>4</v>
      </c>
      <c r="N7" s="420" t="str">
        <f>B7&amp;L7</f>
        <v>00399021</v>
      </c>
      <c r="O7" s="422">
        <f>COUNTIF(N:N,N7)</f>
        <v>3</v>
      </c>
      <c r="P7" s="422">
        <f>COUNTIF($N$5:N7,N7)</f>
        <v>2</v>
      </c>
      <c r="Q7" s="423">
        <f>SUMIF('BM0.Bang luong thang import'!$B:$B,'BM3.Bang TH phan bo'!$B7,'BM0.Bang luong thang import'!G:G)</f>
        <v>97935011</v>
      </c>
      <c r="R7" s="423">
        <f>SUMIF('BM0.Bang luong thang import'!$B:$B,'BM3.Bang TH phan bo'!$B7,'BM0.Bang luong thang import'!H:H)</f>
        <v>96438909</v>
      </c>
      <c r="S7" s="423">
        <f>SUMIF('BM0.Bang luong thang import'!$B:$B,'BM3.Bang TH phan bo'!$B7,'BM0.Bang luong thang import'!I:I)</f>
        <v>0</v>
      </c>
      <c r="T7" s="423">
        <f>SUMIF('BM0.Bang luong thang import'!$B:$B,'BM3.Bang TH phan bo'!$B7,'BM0.Bang luong thang import'!J:J)</f>
        <v>0</v>
      </c>
      <c r="U7" s="423">
        <f>SUMIF('BM0.Bang luong thang import'!$B:$B,'BM3.Bang TH phan bo'!$B7,'BM0.Bang luong thang import'!K:K)</f>
        <v>0</v>
      </c>
      <c r="V7" s="423">
        <f>SUMIF('BM0.Bang luong thang import'!$B:$B,'BM3.Bang TH phan bo'!$B7,'BM0.Bang luong thang import'!L:L)</f>
        <v>0</v>
      </c>
      <c r="W7" s="423">
        <f>SUMIF('BM0.Bang luong thang import'!$B:$B,'BM3.Bang TH phan bo'!$B7,'BM0.Bang luong thang import'!M:M)</f>
        <v>1496102</v>
      </c>
      <c r="X7" s="423">
        <f>SUMIF('BM0.Bang luong thang import'!$B:$B,'BM3.Bang TH phan bo'!$B7,'BM0.Bang luong thang import'!N:N)</f>
        <v>3272724</v>
      </c>
      <c r="Y7" s="423">
        <f>SUMIF('BM0.Bang luong thang import'!$B:$B,'BM3.Bang TH phan bo'!$B7,'BM0.Bang luong thang import'!O:O)</f>
        <v>0</v>
      </c>
      <c r="Z7" s="423">
        <f>SUMIF('BM0.Bang luong thang import'!$B:$B,'BM3.Bang TH phan bo'!$B7,'BM0.Bang luong thang import'!P:P)</f>
        <v>0</v>
      </c>
      <c r="AA7" s="423">
        <f>SUMIF('BM0.Bang luong thang import'!$B:$B,'BM3.Bang TH phan bo'!$B7,'BM0.Bang luong thang import'!Q:Q)</f>
        <v>0</v>
      </c>
      <c r="AB7" s="423">
        <f>SUMIF('BM0.Bang luong thang import'!$B:$B,'BM3.Bang TH phan bo'!$B7,'BM0.Bang luong thang import'!R:R)</f>
        <v>0</v>
      </c>
      <c r="AC7" s="423">
        <f>SUMIF('BM0.Bang luong thang import'!$B:$B,'BM3.Bang TH phan bo'!$B7,'BM0.Bang luong thang import'!S:S)</f>
        <v>374026</v>
      </c>
      <c r="AD7" s="423">
        <f>SUMIF('BM0.Bang luong thang import'!$B:$B,'BM3.Bang TH phan bo'!$B7,'BM0.Bang luong thang import'!T:T)</f>
        <v>1230000</v>
      </c>
      <c r="AE7" s="423">
        <f>SUMIF('BM0.Bang luong thang import'!$B:$B,'BM3.Bang TH phan bo'!$B7,'BM0.Bang luong thang import'!U:U)</f>
        <v>102811761</v>
      </c>
      <c r="AF7" s="423">
        <f>ROUND(IF($O7&lt;&gt;$P7,Q7*$M7/$L7,Q7-SUMIF($N$1:$N6,$N7,AF$1:AF6)),0)</f>
        <v>18654288</v>
      </c>
      <c r="AG7" s="423">
        <f t="shared" si="0"/>
        <v>18369316</v>
      </c>
      <c r="AH7" s="423">
        <f>ROUND(IF($O7&lt;&gt;$P7,S7*$M7/$L7,S7-SUMIF($N$1:$N6,$N7,AH$1:AH6)),0)</f>
        <v>0</v>
      </c>
      <c r="AI7" s="423">
        <f>ROUND(IF($O7&lt;&gt;$P7,T7*$M7/$L7,T7-SUMIF($N$1:$N6,$N7,AI$1:AI6)),0)</f>
        <v>0</v>
      </c>
      <c r="AJ7" s="423">
        <f>ROUND(IF($O7&lt;&gt;$P7,U7*$M7/$L7,U7-SUMIF($N$1:$N6,$N7,AJ$1:AJ6)),0)</f>
        <v>0</v>
      </c>
      <c r="AK7" s="423">
        <f>ROUND(IF($O7&lt;&gt;$P7,V7*$M7/$L7,V7-SUMIF($N$1:$N6,$N7,AK$1:AK6)),0)</f>
        <v>0</v>
      </c>
      <c r="AL7" s="423">
        <f>ROUND(IF($O7&lt;&gt;$P7,W7*$M7/$L7,W7-SUMIF($N$1:$N6,$N7,AL$1:AL6)),0)</f>
        <v>284972</v>
      </c>
      <c r="AM7" s="423">
        <f>ROUND(IF($O7&lt;&gt;$P7,X7*$M7/$L7,X7-SUMIF($N$1:$N6,$N7,AM$1:AM6)),0)</f>
        <v>623376</v>
      </c>
      <c r="AN7" s="423">
        <f>ROUND(IF($O7&lt;&gt;$P7,Y7*$M7/$L7,Y7-SUMIF($N$1:$N6,$N7,AN$1:AN6)),0)</f>
        <v>0</v>
      </c>
      <c r="AO7" s="423">
        <f>ROUND(IF($O7&lt;&gt;$P7,Z7*$M7/$L7,Z7-SUMIF($N$1:$N6,$N7,AO$1:AO6)),0)</f>
        <v>0</v>
      </c>
      <c r="AP7" s="423">
        <f>ROUND(IF($O7&lt;&gt;$P7,AA7*$M7/$L7,AA7-SUMIF($N$1:$N6,$N7,AP$1:AP6)),0)</f>
        <v>0</v>
      </c>
      <c r="AQ7" s="423">
        <f>ROUND(IF($O7&lt;&gt;$P7,AB7*$M7/$L7,AB7-SUMIF($N$1:$N6,$N7,AQ$1:AQ6)),0)</f>
        <v>0</v>
      </c>
      <c r="AR7" s="423">
        <f>ROUND(IF($O7&lt;&gt;$P7,AC7*$M7/$L7,AC7-SUMIF($N$1:$N6,$N7,AR$1:AR6)),0)</f>
        <v>71243</v>
      </c>
      <c r="AS7" s="423">
        <f>ROUND(IF($O7&lt;&gt;$P7,AD7*$M7/$L7,AD7-SUMIF($N$1:$N6,$N7,AS$1:AS6)),0)</f>
        <v>234286</v>
      </c>
      <c r="AT7" s="424">
        <f t="shared" si="1"/>
        <v>19583193</v>
      </c>
      <c r="AU7" s="423"/>
      <c r="AV7" s="420"/>
      <c r="AW7" s="425" t="str">
        <f>+VLOOKUP(B7,'BM0.Bang luong thang import'!B:C,2,0)</f>
        <v>Vũ Ngọc Vinh</v>
      </c>
      <c r="AX7" s="425" t="b">
        <f>+VLOOKUP(B7,'BM0.Bang luong thang import'!B:C,2,0)=C7</f>
        <v>1</v>
      </c>
      <c r="AY7" s="426"/>
    </row>
    <row r="8" spans="1:51" s="427" customFormat="1" ht="21" customHeight="1">
      <c r="A8" s="422">
        <f>SUBTOTAL(3,$B$5:B8)</f>
        <v>4</v>
      </c>
      <c r="B8" s="428" t="s">
        <v>413</v>
      </c>
      <c r="C8" s="612" t="s">
        <v>414</v>
      </c>
      <c r="D8" s="611" t="s">
        <v>3400</v>
      </c>
      <c r="E8" s="613"/>
      <c r="F8" s="433"/>
      <c r="G8" s="610" t="str">
        <f t="shared" ref="G8:G9" si="2">+IF(H8="Phòng Kinh doanh","Bán hàng","Quản lý")</f>
        <v>Quản lý</v>
      </c>
      <c r="H8" s="429" t="s">
        <v>166</v>
      </c>
      <c r="I8" s="434"/>
      <c r="J8" s="429" t="str">
        <f>+VLOOKUP($B8,'BM0.Bang luong thang import'!$B:$X,23,0)</f>
        <v>Khối 1 - TCT CNC</v>
      </c>
      <c r="K8" s="408"/>
      <c r="L8" s="420">
        <f>SUMIF('BM0.Bang luong thang import'!B:B,'BM3.Bang TH phan bo'!B8,'BM0.Bang luong thang import'!F:F)</f>
        <v>21</v>
      </c>
      <c r="M8" s="421">
        <f>L8-SUMIF($B$5:$B$7,B8,$M$5:$M$7)</f>
        <v>13</v>
      </c>
      <c r="N8" s="420" t="str">
        <f>B8&amp;L8</f>
        <v>00399021</v>
      </c>
      <c r="O8" s="422">
        <f>COUNTIF(N:N,N8)</f>
        <v>3</v>
      </c>
      <c r="P8" s="422">
        <f>COUNTIF($N$5:N8,N8)</f>
        <v>3</v>
      </c>
      <c r="Q8" s="423">
        <f>SUMIF('BM0.Bang luong thang import'!$B:$B,'BM3.Bang TH phan bo'!$B8,'BM0.Bang luong thang import'!G:G)</f>
        <v>97935011</v>
      </c>
      <c r="R8" s="423">
        <f>SUMIF('BM0.Bang luong thang import'!$B:$B,'BM3.Bang TH phan bo'!$B8,'BM0.Bang luong thang import'!H:H)</f>
        <v>96438909</v>
      </c>
      <c r="S8" s="423">
        <f>SUMIF('BM0.Bang luong thang import'!$B:$B,'BM3.Bang TH phan bo'!$B8,'BM0.Bang luong thang import'!I:I)</f>
        <v>0</v>
      </c>
      <c r="T8" s="423">
        <f>SUMIF('BM0.Bang luong thang import'!$B:$B,'BM3.Bang TH phan bo'!$B8,'BM0.Bang luong thang import'!J:J)</f>
        <v>0</v>
      </c>
      <c r="U8" s="423">
        <f>SUMIF('BM0.Bang luong thang import'!$B:$B,'BM3.Bang TH phan bo'!$B8,'BM0.Bang luong thang import'!K:K)</f>
        <v>0</v>
      </c>
      <c r="V8" s="423">
        <f>SUMIF('BM0.Bang luong thang import'!$B:$B,'BM3.Bang TH phan bo'!$B8,'BM0.Bang luong thang import'!L:L)</f>
        <v>0</v>
      </c>
      <c r="W8" s="423">
        <f>SUMIF('BM0.Bang luong thang import'!$B:$B,'BM3.Bang TH phan bo'!$B8,'BM0.Bang luong thang import'!M:M)</f>
        <v>1496102</v>
      </c>
      <c r="X8" s="423">
        <f>SUMIF('BM0.Bang luong thang import'!$B:$B,'BM3.Bang TH phan bo'!$B8,'BM0.Bang luong thang import'!N:N)</f>
        <v>3272724</v>
      </c>
      <c r="Y8" s="423">
        <f>SUMIF('BM0.Bang luong thang import'!$B:$B,'BM3.Bang TH phan bo'!$B8,'BM0.Bang luong thang import'!O:O)</f>
        <v>0</v>
      </c>
      <c r="Z8" s="423">
        <f>SUMIF('BM0.Bang luong thang import'!$B:$B,'BM3.Bang TH phan bo'!$B8,'BM0.Bang luong thang import'!P:P)</f>
        <v>0</v>
      </c>
      <c r="AA8" s="423">
        <f>SUMIF('BM0.Bang luong thang import'!$B:$B,'BM3.Bang TH phan bo'!$B8,'BM0.Bang luong thang import'!Q:Q)</f>
        <v>0</v>
      </c>
      <c r="AB8" s="423">
        <f>SUMIF('BM0.Bang luong thang import'!$B:$B,'BM3.Bang TH phan bo'!$B8,'BM0.Bang luong thang import'!R:R)</f>
        <v>0</v>
      </c>
      <c r="AC8" s="423">
        <f>SUMIF('BM0.Bang luong thang import'!$B:$B,'BM3.Bang TH phan bo'!$B8,'BM0.Bang luong thang import'!S:S)</f>
        <v>374026</v>
      </c>
      <c r="AD8" s="423">
        <f>SUMIF('BM0.Bang luong thang import'!$B:$B,'BM3.Bang TH phan bo'!$B8,'BM0.Bang luong thang import'!T:T)</f>
        <v>1230000</v>
      </c>
      <c r="AE8" s="423">
        <f>SUMIF('BM0.Bang luong thang import'!$B:$B,'BM3.Bang TH phan bo'!$B8,'BM0.Bang luong thang import'!U:U)</f>
        <v>102811761</v>
      </c>
      <c r="AF8" s="423">
        <f>ROUND(IF($O8&lt;&gt;$P8,Q8*$M8/$L8,Q8-SUMIF($N$1:$N7,$N8,AF$1:AF7)),0)</f>
        <v>60626435</v>
      </c>
      <c r="AG8" s="423">
        <f t="shared" ref="AG8" si="3">AF8-AL8-AN8-AP8</f>
        <v>59700277</v>
      </c>
      <c r="AH8" s="423">
        <f>ROUND(IF($O8&lt;&gt;$P8,S8*$M8/$L8,S8-SUMIF($N$1:$N7,$N8,AH$1:AH7)),0)</f>
        <v>0</v>
      </c>
      <c r="AI8" s="423">
        <f>ROUND(IF($O8&lt;&gt;$P8,T8*$M8/$L8,T8-SUMIF($N$1:$N7,$N8,AI$1:AI7)),0)</f>
        <v>0</v>
      </c>
      <c r="AJ8" s="423">
        <f>ROUND(IF($O8&lt;&gt;$P8,U8*$M8/$L8,U8-SUMIF($N$1:$N7,$N8,AJ$1:AJ7)),0)</f>
        <v>0</v>
      </c>
      <c r="AK8" s="423">
        <f>ROUND(IF($O8&lt;&gt;$P8,V8*$M8/$L8,V8-SUMIF($N$1:$N7,$N8,AK$1:AK7)),0)</f>
        <v>0</v>
      </c>
      <c r="AL8" s="423">
        <f>ROUND(IF($O8&lt;&gt;$P8,W8*$M8/$L8,W8-SUMIF($N$1:$N7,$N8,AL$1:AL7)),0)</f>
        <v>926158</v>
      </c>
      <c r="AM8" s="423">
        <f>ROUND(IF($O8&lt;&gt;$P8,X8*$M8/$L8,X8-SUMIF($N$1:$N7,$N8,AM$1:AM7)),0)</f>
        <v>2025972</v>
      </c>
      <c r="AN8" s="423">
        <f>ROUND(IF($O8&lt;&gt;$P8,Y8*$M8/$L8,Y8-SUMIF($N$1:$N7,$N8,AN$1:AN7)),0)</f>
        <v>0</v>
      </c>
      <c r="AO8" s="423">
        <f>ROUND(IF($O8&lt;&gt;$P8,Z8*$M8/$L8,Z8-SUMIF($N$1:$N7,$N8,AO$1:AO7)),0)</f>
        <v>0</v>
      </c>
      <c r="AP8" s="423">
        <f>ROUND(IF($O8&lt;&gt;$P8,AA8*$M8/$L8,AA8-SUMIF($N$1:$N7,$N8,AP$1:AP7)),0)</f>
        <v>0</v>
      </c>
      <c r="AQ8" s="423">
        <f>ROUND(IF($O8&lt;&gt;$P8,AB8*$M8/$L8,AB8-SUMIF($N$1:$N7,$N8,AQ$1:AQ7)),0)</f>
        <v>0</v>
      </c>
      <c r="AR8" s="423">
        <f>ROUND(IF($O8&lt;&gt;$P8,AC8*$M8/$L8,AC8-SUMIF($N$1:$N7,$N8,AR$1:AR7)),0)</f>
        <v>231540</v>
      </c>
      <c r="AS8" s="423">
        <f>ROUND(IF($O8&lt;&gt;$P8,AD8*$M8/$L8,AD8-SUMIF($N$1:$N7,$N8,AS$1:AS7)),0)</f>
        <v>761428</v>
      </c>
      <c r="AT8" s="424">
        <f t="shared" ref="AT8" si="4">SUM(AG8:AS8)</f>
        <v>63645375</v>
      </c>
      <c r="AU8" s="423"/>
      <c r="AV8" s="420"/>
      <c r="AW8" s="425" t="str">
        <f>+VLOOKUP(B8,'BM0.Bang luong thang import'!B:C,2,0)</f>
        <v>Vũ Ngọc Vinh</v>
      </c>
      <c r="AX8" s="425" t="b">
        <f>+VLOOKUP(B8,'BM0.Bang luong thang import'!B:C,2,0)=C8</f>
        <v>1</v>
      </c>
    </row>
    <row r="9" spans="1:51" s="377" customFormat="1" ht="15" customHeight="1">
      <c r="A9" s="422">
        <f>SUBTOTAL(3,$B$5:B9)</f>
        <v>5</v>
      </c>
      <c r="B9" s="435" t="s">
        <v>860</v>
      </c>
      <c r="C9" s="436" t="s">
        <v>861</v>
      </c>
      <c r="D9" s="614" t="s">
        <v>3400</v>
      </c>
      <c r="E9" s="437"/>
      <c r="F9" s="436"/>
      <c r="G9" s="610" t="str">
        <f t="shared" si="2"/>
        <v>Quản lý</v>
      </c>
      <c r="H9" s="429" t="s">
        <v>166</v>
      </c>
      <c r="I9" s="434"/>
      <c r="J9" s="429" t="str">
        <f>+VLOOKUP($B9,'BM0.Bang luong thang import'!$B:$X,23,0)</f>
        <v>Khối 1 - TCT CNC</v>
      </c>
      <c r="K9" s="408"/>
      <c r="L9" s="420">
        <f>SUMIF('BM0.Bang luong thang import'!B:B,'BM3.Bang TH phan bo'!B9,'BM0.Bang luong thang import'!F:F)</f>
        <v>21</v>
      </c>
      <c r="M9" s="421">
        <f>L9-SUMIF($B$5:$B$7,B9,$M$5:$M$7)</f>
        <v>15</v>
      </c>
      <c r="N9" s="420" t="str">
        <f>B9&amp;L9</f>
        <v>12126221</v>
      </c>
      <c r="O9" s="422">
        <f>COUNTIF(N:N,N9)</f>
        <v>2</v>
      </c>
      <c r="P9" s="422">
        <f>COUNTIF($N$5:N9,N9)</f>
        <v>2</v>
      </c>
      <c r="Q9" s="423">
        <f>SUMIF('BM0.Bang luong thang import'!$B:$B,'BM3.Bang TH phan bo'!$B9,'BM0.Bang luong thang import'!G:G)</f>
        <v>113316438</v>
      </c>
      <c r="R9" s="423">
        <f>SUMIF('BM0.Bang luong thang import'!$B:$B,'BM3.Bang TH phan bo'!$B9,'BM0.Bang luong thang import'!H:H)</f>
        <v>111813222</v>
      </c>
      <c r="S9" s="423">
        <f>SUMIF('BM0.Bang luong thang import'!$B:$B,'BM3.Bang TH phan bo'!$B9,'BM0.Bang luong thang import'!I:I)</f>
        <v>0</v>
      </c>
      <c r="T9" s="423">
        <f>SUMIF('BM0.Bang luong thang import'!$B:$B,'BM3.Bang TH phan bo'!$B9,'BM0.Bang luong thang import'!J:J)</f>
        <v>0</v>
      </c>
      <c r="U9" s="423">
        <f>SUMIF('BM0.Bang luong thang import'!$B:$B,'BM3.Bang TH phan bo'!$B9,'BM0.Bang luong thang import'!K:K)</f>
        <v>0</v>
      </c>
      <c r="V9" s="423">
        <f>SUMIF('BM0.Bang luong thang import'!$B:$B,'BM3.Bang TH phan bo'!$B9,'BM0.Bang luong thang import'!L:L)</f>
        <v>0</v>
      </c>
      <c r="W9" s="423">
        <f>SUMIF('BM0.Bang luong thang import'!$B:$B,'BM3.Bang TH phan bo'!$B9,'BM0.Bang luong thang import'!M:M)</f>
        <v>1503216</v>
      </c>
      <c r="X9" s="423">
        <f>SUMIF('BM0.Bang luong thang import'!$B:$B,'BM3.Bang TH phan bo'!$B9,'BM0.Bang luong thang import'!N:N)</f>
        <v>3288285</v>
      </c>
      <c r="Y9" s="423">
        <f>SUMIF('BM0.Bang luong thang import'!$B:$B,'BM3.Bang TH phan bo'!$B9,'BM0.Bang luong thang import'!O:O)</f>
        <v>0</v>
      </c>
      <c r="Z9" s="423">
        <f>SUMIF('BM0.Bang luong thang import'!$B:$B,'BM3.Bang TH phan bo'!$B9,'BM0.Bang luong thang import'!P:P)</f>
        <v>0</v>
      </c>
      <c r="AA9" s="423">
        <f>SUMIF('BM0.Bang luong thang import'!$B:$B,'BM3.Bang TH phan bo'!$B9,'BM0.Bang luong thang import'!Q:Q)</f>
        <v>0</v>
      </c>
      <c r="AB9" s="423">
        <f>SUMIF('BM0.Bang luong thang import'!$B:$B,'BM3.Bang TH phan bo'!$B9,'BM0.Bang luong thang import'!R:R)</f>
        <v>0</v>
      </c>
      <c r="AC9" s="423">
        <f>SUMIF('BM0.Bang luong thang import'!$B:$B,'BM3.Bang TH phan bo'!$B9,'BM0.Bang luong thang import'!S:S)</f>
        <v>375804</v>
      </c>
      <c r="AD9" s="423">
        <f>SUMIF('BM0.Bang luong thang import'!$B:$B,'BM3.Bang TH phan bo'!$B9,'BM0.Bang luong thang import'!T:T)</f>
        <v>1730000</v>
      </c>
      <c r="AE9" s="423">
        <f>SUMIF('BM0.Bang luong thang import'!$B:$B,'BM3.Bang TH phan bo'!$B9,'BM0.Bang luong thang import'!U:U)</f>
        <v>118710527</v>
      </c>
      <c r="AF9" s="423">
        <f>ROUND(IF($O9&lt;&gt;$P9,Q9*$M9/$L9,Q9-SUMIF($N$1:$N8,$N9,AF$1:AF8)),0)</f>
        <v>80940313</v>
      </c>
      <c r="AG9" s="423">
        <f t="shared" ref="AG9" si="5">AF9-AL9-AN9-AP9</f>
        <v>79866587</v>
      </c>
      <c r="AH9" s="423">
        <f>ROUND(IF($O9&lt;&gt;$P9,S9*$M9/$L9,S9-SUMIF($N$1:$N8,$N9,AH$1:AH8)),0)</f>
        <v>0</v>
      </c>
      <c r="AI9" s="423">
        <f>ROUND(IF($O9&lt;&gt;$P9,T9*$M9/$L9,T9-SUMIF($N$1:$N8,$N9,AI$1:AI8)),0)</f>
        <v>0</v>
      </c>
      <c r="AJ9" s="423">
        <f>ROUND(IF($O9&lt;&gt;$P9,U9*$M9/$L9,U9-SUMIF($N$1:$N8,$N9,AJ$1:AJ8)),0)</f>
        <v>0</v>
      </c>
      <c r="AK9" s="423">
        <f>ROUND(IF($O9&lt;&gt;$P9,V9*$M9/$L9,V9-SUMIF($N$1:$N8,$N9,AK$1:AK8)),0)</f>
        <v>0</v>
      </c>
      <c r="AL9" s="423">
        <f>ROUND(IF($O9&lt;&gt;$P9,W9*$M9/$L9,W9-SUMIF($N$1:$N8,$N9,AL$1:AL8)),0)</f>
        <v>1073726</v>
      </c>
      <c r="AM9" s="423">
        <f>ROUND(IF($O9&lt;&gt;$P9,X9*$M9/$L9,X9-SUMIF($N$1:$N8,$N9,AM$1:AM8)),0)</f>
        <v>2348775</v>
      </c>
      <c r="AN9" s="423">
        <f>ROUND(IF($O9&lt;&gt;$P9,Y9*$M9/$L9,Y9-SUMIF($N$1:$N8,$N9,AN$1:AN8)),0)</f>
        <v>0</v>
      </c>
      <c r="AO9" s="423">
        <f>ROUND(IF($O9&lt;&gt;$P9,Z9*$M9/$L9,Z9-SUMIF($N$1:$N8,$N9,AO$1:AO8)),0)</f>
        <v>0</v>
      </c>
      <c r="AP9" s="423">
        <f>ROUND(IF($O9&lt;&gt;$P9,AA9*$M9/$L9,AA9-SUMIF($N$1:$N8,$N9,AP$1:AP8)),0)</f>
        <v>0</v>
      </c>
      <c r="AQ9" s="423">
        <f>ROUND(IF($O9&lt;&gt;$P9,AB9*$M9/$L9,AB9-SUMIF($N$1:$N8,$N9,AQ$1:AQ8)),0)</f>
        <v>0</v>
      </c>
      <c r="AR9" s="423">
        <f>ROUND(IF($O9&lt;&gt;$P9,AC9*$M9/$L9,AC9-SUMIF($N$1:$N8,$N9,AR$1:AR8)),0)</f>
        <v>268431</v>
      </c>
      <c r="AS9" s="423">
        <f>ROUND(IF($O9&lt;&gt;$P9,AD9*$M9/$L9,AD9-SUMIF($N$1:$N8,$N9,AS$1:AS8)),0)</f>
        <v>1235714</v>
      </c>
      <c r="AT9" s="424">
        <f t="shared" ref="AT9" si="6">SUM(AG9:AS9)</f>
        <v>84793233</v>
      </c>
      <c r="AU9" s="423"/>
      <c r="AV9" s="420"/>
      <c r="AW9" s="425" t="str">
        <f>+VLOOKUP(B9,'BM0.Bang luong thang import'!B:C,2,0)</f>
        <v>Lê Trần Sự</v>
      </c>
      <c r="AX9" s="425" t="b">
        <f>+VLOOKUP(B9,'BM0.Bang luong thang import'!B:C,2,0)=C9</f>
        <v>1</v>
      </c>
    </row>
    <row r="13" spans="1:51" ht="18.75">
      <c r="C13" s="616" t="s">
        <v>3399</v>
      </c>
      <c r="D13" s="615" t="s">
        <v>3401</v>
      </c>
    </row>
  </sheetData>
  <autoFilter ref="A4:AZ9" xr:uid="{00000000-0009-0000-0000-00000C000000}"/>
  <mergeCells count="42">
    <mergeCell ref="AL2:AM2"/>
    <mergeCell ref="AN2:AO2"/>
    <mergeCell ref="AP2:AQ2"/>
    <mergeCell ref="AR2:AR3"/>
    <mergeCell ref="AS2:AS3"/>
    <mergeCell ref="AG2:AG3"/>
    <mergeCell ref="AH2:AH3"/>
    <mergeCell ref="AI2:AI3"/>
    <mergeCell ref="AJ2:AJ3"/>
    <mergeCell ref="AK2:AK3"/>
    <mergeCell ref="AF1:AT1"/>
    <mergeCell ref="Q2:Q3"/>
    <mergeCell ref="R2:R3"/>
    <mergeCell ref="S2:S3"/>
    <mergeCell ref="T2:T3"/>
    <mergeCell ref="U2:U3"/>
    <mergeCell ref="V2:V3"/>
    <mergeCell ref="W2:X2"/>
    <mergeCell ref="Y2:Z2"/>
    <mergeCell ref="AA2:AB2"/>
    <mergeCell ref="Q1:AE1"/>
    <mergeCell ref="AC2:AC3"/>
    <mergeCell ref="AD2:AD3"/>
    <mergeCell ref="AE2:AE3"/>
    <mergeCell ref="AT2:AT3"/>
    <mergeCell ref="AF2:AF3"/>
    <mergeCell ref="L1:L3"/>
    <mergeCell ref="M1:M3"/>
    <mergeCell ref="N1:N3"/>
    <mergeCell ref="O1:O3"/>
    <mergeCell ref="P1:P3"/>
    <mergeCell ref="K1:K3"/>
    <mergeCell ref="A1:A3"/>
    <mergeCell ref="B1:B3"/>
    <mergeCell ref="C1:C3"/>
    <mergeCell ref="D1:D3"/>
    <mergeCell ref="E1:E3"/>
    <mergeCell ref="F1:F3"/>
    <mergeCell ref="G1:G3"/>
    <mergeCell ref="H1:H3"/>
    <mergeCell ref="I1:I3"/>
    <mergeCell ref="J1:J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499984740745262"/>
    <pageSetUpPr fitToPage="1"/>
  </sheetPr>
  <dimension ref="A1:AA53"/>
  <sheetViews>
    <sheetView showZeros="0" view="pageBreakPreview" topLeftCell="A28" zoomScale="85" zoomScaleNormal="85" zoomScaleSheetLayoutView="85" workbookViewId="0">
      <selection activeCell="P39" sqref="P39"/>
    </sheetView>
  </sheetViews>
  <sheetFormatPr defaultRowHeight="15"/>
  <cols>
    <col min="1" max="1" width="5.7109375" style="184" customWidth="1"/>
    <col min="2" max="2" width="34.5703125" style="184" customWidth="1"/>
    <col min="3" max="3" width="9.5703125" style="184" customWidth="1"/>
    <col min="4" max="4" width="19.7109375" style="184" customWidth="1"/>
    <col min="5" max="5" width="16.7109375" style="184" customWidth="1"/>
    <col min="6" max="6" width="9.28515625" style="184" customWidth="1"/>
    <col min="7" max="7" width="7.5703125" style="184" customWidth="1"/>
    <col min="8" max="8" width="11" style="184" customWidth="1"/>
    <col min="9" max="9" width="14.5703125" style="184" customWidth="1"/>
    <col min="10" max="10" width="16" style="184" customWidth="1"/>
    <col min="11" max="11" width="10.5703125" style="184" customWidth="1"/>
    <col min="12" max="13" width="12.140625" style="184" customWidth="1"/>
    <col min="14" max="14" width="13.140625" style="184" bestFit="1" customWidth="1"/>
    <col min="15" max="15" width="9.42578125" style="184" customWidth="1"/>
    <col min="16" max="16" width="12.42578125" style="184" customWidth="1"/>
    <col min="17" max="17" width="12.28515625" style="184" customWidth="1"/>
    <col min="18" max="18" width="11.140625" style="184" customWidth="1"/>
    <col min="19" max="19" width="12.28515625" style="184" customWidth="1"/>
    <col min="20" max="20" width="11.5703125" style="184" customWidth="1"/>
    <col min="21" max="21" width="12.28515625" style="184" customWidth="1"/>
    <col min="22" max="22" width="12.42578125" style="184" customWidth="1"/>
    <col min="23" max="23" width="11.5703125" style="184" customWidth="1"/>
    <col min="24" max="24" width="13.85546875" style="184" customWidth="1"/>
    <col min="25" max="25" width="14.28515625" style="231" customWidth="1"/>
    <col min="26" max="26" width="9.140625" style="184"/>
    <col min="27" max="27" width="9.140625" style="184" customWidth="1"/>
    <col min="28" max="16384" width="9.140625" style="184"/>
  </cols>
  <sheetData>
    <row r="1" spans="1:27" ht="16.5">
      <c r="A1" s="177"/>
      <c r="B1" s="178"/>
      <c r="C1" s="178"/>
      <c r="D1" s="179"/>
      <c r="E1" s="179"/>
      <c r="F1" s="180"/>
      <c r="G1" s="179"/>
      <c r="H1" s="179"/>
      <c r="I1" s="181"/>
      <c r="J1" s="179"/>
      <c r="K1" s="179"/>
      <c r="L1" s="179"/>
      <c r="M1" s="179"/>
      <c r="N1" s="179"/>
      <c r="O1" s="179"/>
      <c r="P1" s="179"/>
      <c r="Q1" s="179"/>
      <c r="R1" s="179"/>
      <c r="S1" s="182"/>
      <c r="T1" s="182"/>
      <c r="U1" s="182"/>
      <c r="V1" s="182"/>
      <c r="W1" s="182"/>
      <c r="X1" s="182"/>
      <c r="Y1" s="183" t="s">
        <v>281</v>
      </c>
    </row>
    <row r="2" spans="1:27" ht="16.5">
      <c r="A2" s="185"/>
      <c r="B2" s="751" t="s">
        <v>48</v>
      </c>
      <c r="C2" s="751"/>
      <c r="D2" s="751"/>
      <c r="E2" s="751"/>
      <c r="F2" s="180"/>
      <c r="G2" s="179"/>
      <c r="H2" s="179"/>
      <c r="I2" s="181"/>
      <c r="J2" s="179"/>
      <c r="K2" s="179"/>
      <c r="L2" s="179"/>
      <c r="M2" s="179"/>
      <c r="N2" s="179"/>
      <c r="O2" s="179"/>
      <c r="P2" s="179"/>
      <c r="Q2" s="179"/>
      <c r="R2" s="179"/>
      <c r="S2" s="752" t="s">
        <v>49</v>
      </c>
      <c r="T2" s="752"/>
      <c r="U2" s="752"/>
      <c r="V2" s="752"/>
      <c r="W2" s="752"/>
      <c r="X2" s="752"/>
      <c r="Y2" s="752"/>
    </row>
    <row r="3" spans="1:27" ht="16.5">
      <c r="A3" s="186"/>
      <c r="B3" s="753" t="s">
        <v>112</v>
      </c>
      <c r="C3" s="753"/>
      <c r="D3" s="753"/>
      <c r="E3" s="753"/>
      <c r="F3" s="187"/>
      <c r="G3" s="188"/>
      <c r="H3" s="188"/>
      <c r="I3" s="181"/>
      <c r="J3" s="179"/>
      <c r="K3" s="179"/>
      <c r="L3" s="179"/>
      <c r="M3" s="179"/>
      <c r="N3" s="179"/>
      <c r="O3" s="179"/>
      <c r="P3" s="179"/>
      <c r="Q3" s="179"/>
      <c r="R3" s="179"/>
      <c r="S3" s="752" t="s">
        <v>51</v>
      </c>
      <c r="T3" s="752"/>
      <c r="U3" s="752"/>
      <c r="V3" s="752"/>
      <c r="W3" s="752"/>
      <c r="X3" s="752"/>
      <c r="Y3" s="752"/>
    </row>
    <row r="4" spans="1:27">
      <c r="A4" s="177"/>
      <c r="B4" s="178"/>
      <c r="C4" s="178"/>
      <c r="D4" s="179"/>
      <c r="E4" s="179"/>
      <c r="F4" s="180"/>
      <c r="G4" s="179"/>
      <c r="H4" s="179"/>
      <c r="I4" s="181"/>
      <c r="J4" s="179"/>
      <c r="K4" s="179"/>
      <c r="L4" s="179"/>
      <c r="M4" s="179"/>
      <c r="N4" s="179"/>
      <c r="O4" s="179"/>
      <c r="P4" s="179"/>
      <c r="Q4" s="179"/>
      <c r="R4" s="179"/>
      <c r="S4" s="179"/>
      <c r="T4" s="179"/>
      <c r="U4" s="179"/>
      <c r="V4" s="179"/>
      <c r="W4" s="179"/>
      <c r="X4" s="179"/>
      <c r="Y4" s="177"/>
    </row>
    <row r="5" spans="1:27">
      <c r="A5" s="177"/>
      <c r="B5" s="178"/>
      <c r="C5" s="178"/>
      <c r="D5" s="179"/>
      <c r="E5" s="179"/>
      <c r="F5" s="180"/>
      <c r="G5" s="179"/>
      <c r="H5" s="179"/>
      <c r="I5" s="181"/>
      <c r="J5" s="179"/>
      <c r="K5" s="179"/>
      <c r="L5" s="179"/>
      <c r="M5" s="179"/>
      <c r="N5" s="179"/>
      <c r="O5" s="179"/>
      <c r="P5" s="179"/>
      <c r="Q5" s="179"/>
      <c r="R5" s="179"/>
      <c r="S5" s="179"/>
      <c r="T5" s="179"/>
      <c r="U5" s="179"/>
      <c r="V5" s="179"/>
      <c r="W5" s="179"/>
      <c r="X5" s="179"/>
      <c r="Y5" s="177"/>
    </row>
    <row r="6" spans="1:27" ht="18.75" customHeight="1">
      <c r="A6" s="754" t="s">
        <v>282</v>
      </c>
      <c r="B6" s="754"/>
      <c r="C6" s="754"/>
      <c r="D6" s="754"/>
      <c r="E6" s="754"/>
      <c r="F6" s="754"/>
      <c r="G6" s="754"/>
      <c r="H6" s="754"/>
      <c r="I6" s="754"/>
      <c r="J6" s="754"/>
      <c r="K6" s="754"/>
      <c r="L6" s="754"/>
      <c r="M6" s="754"/>
      <c r="N6" s="754"/>
      <c r="O6" s="754"/>
      <c r="P6" s="754"/>
      <c r="Q6" s="754"/>
      <c r="R6" s="754"/>
      <c r="S6" s="754"/>
      <c r="T6" s="754"/>
      <c r="U6" s="754"/>
      <c r="V6" s="754"/>
      <c r="W6" s="754"/>
      <c r="X6" s="754"/>
      <c r="Y6" s="754"/>
    </row>
    <row r="7" spans="1:27" ht="20.25">
      <c r="A7" s="177"/>
      <c r="B7" s="189" t="s">
        <v>283</v>
      </c>
      <c r="C7" s="189" t="str">
        <f>[6]PivotBangLuongKHCN!B1</f>
        <v>Nghiên cứu xây dựng công nghệ bản đồ không gian và định vị trực quan cho nền tảng thực tế tăng cường</v>
      </c>
      <c r="D7" s="190"/>
      <c r="E7" s="190"/>
      <c r="F7" s="191"/>
      <c r="G7" s="190"/>
      <c r="H7" s="190"/>
      <c r="I7" s="192"/>
      <c r="J7" s="190"/>
      <c r="K7" s="190"/>
      <c r="L7" s="190"/>
      <c r="M7" s="190"/>
      <c r="N7" s="190"/>
      <c r="O7" s="190"/>
      <c r="P7" s="190"/>
      <c r="Q7" s="190"/>
      <c r="R7" s="190"/>
      <c r="S7" s="190"/>
      <c r="T7" s="190"/>
      <c r="U7" s="190"/>
      <c r="V7" s="190"/>
      <c r="W7" s="190"/>
      <c r="X7" s="190"/>
      <c r="Y7" s="177"/>
    </row>
    <row r="8" spans="1:27" ht="20.25">
      <c r="A8" s="177"/>
      <c r="B8" s="189" t="s">
        <v>116</v>
      </c>
      <c r="C8" s="189" t="str">
        <f>[6]PivotBangLuongKHCN!B2</f>
        <v>003-24-VHT-RDP-DS</v>
      </c>
      <c r="D8" s="190"/>
      <c r="E8" s="190"/>
      <c r="F8" s="191"/>
      <c r="G8" s="190"/>
      <c r="H8" s="190"/>
      <c r="I8" s="192"/>
      <c r="J8" s="190"/>
      <c r="K8" s="190"/>
      <c r="L8" s="190"/>
      <c r="M8" s="190"/>
      <c r="N8" s="190"/>
      <c r="O8" s="190"/>
      <c r="P8" s="190"/>
      <c r="Q8" s="190"/>
      <c r="R8" s="190"/>
      <c r="S8" s="190"/>
      <c r="T8" s="190"/>
      <c r="U8" s="190"/>
      <c r="V8" s="190"/>
      <c r="W8" s="190"/>
      <c r="X8" s="190"/>
      <c r="Y8" s="177"/>
    </row>
    <row r="9" spans="1:27">
      <c r="A9" s="193"/>
      <c r="B9" s="194"/>
      <c r="C9" s="194"/>
      <c r="D9" s="193"/>
      <c r="E9" s="193"/>
      <c r="F9" s="195"/>
      <c r="G9" s="193"/>
      <c r="H9" s="193"/>
      <c r="I9" s="196"/>
      <c r="J9" s="193"/>
      <c r="K9" s="193"/>
      <c r="L9" s="193"/>
      <c r="M9" s="193"/>
      <c r="N9" s="193"/>
      <c r="O9" s="193"/>
      <c r="P9" s="179"/>
      <c r="Q9" s="179"/>
      <c r="R9" s="179"/>
      <c r="S9" s="179"/>
      <c r="T9" s="179"/>
      <c r="U9" s="179"/>
      <c r="V9" s="179"/>
      <c r="W9" s="179"/>
      <c r="X9" s="179"/>
      <c r="Y9" s="177"/>
    </row>
    <row r="10" spans="1:27" ht="15" customHeight="1">
      <c r="A10" s="755" t="s">
        <v>36</v>
      </c>
      <c r="B10" s="755" t="s">
        <v>108</v>
      </c>
      <c r="C10" s="755" t="s">
        <v>284</v>
      </c>
      <c r="D10" s="755" t="s">
        <v>57</v>
      </c>
      <c r="E10" s="729" t="s">
        <v>285</v>
      </c>
      <c r="F10" s="718" t="s">
        <v>286</v>
      </c>
      <c r="G10" s="721" t="s">
        <v>287</v>
      </c>
      <c r="H10" s="722"/>
      <c r="I10" s="722"/>
      <c r="J10" s="722"/>
      <c r="K10" s="722"/>
      <c r="L10" s="722"/>
      <c r="M10" s="722"/>
      <c r="N10" s="722"/>
      <c r="O10" s="723"/>
      <c r="P10" s="721" t="s">
        <v>288</v>
      </c>
      <c r="Q10" s="722"/>
      <c r="R10" s="722"/>
      <c r="S10" s="722"/>
      <c r="T10" s="722"/>
      <c r="U10" s="722"/>
      <c r="V10" s="723"/>
      <c r="W10" s="744" t="s">
        <v>289</v>
      </c>
      <c r="X10" s="744" t="s">
        <v>290</v>
      </c>
      <c r="Y10" s="744" t="s">
        <v>291</v>
      </c>
    </row>
    <row r="11" spans="1:27" ht="15" customHeight="1">
      <c r="A11" s="756"/>
      <c r="B11" s="756"/>
      <c r="C11" s="756"/>
      <c r="D11" s="756"/>
      <c r="E11" s="734"/>
      <c r="F11" s="719"/>
      <c r="G11" s="747" t="s">
        <v>292</v>
      </c>
      <c r="H11" s="748"/>
      <c r="I11" s="726" t="s">
        <v>293</v>
      </c>
      <c r="J11" s="735" t="s">
        <v>294</v>
      </c>
      <c r="K11" s="736"/>
      <c r="L11" s="736"/>
      <c r="M11" s="737"/>
      <c r="N11" s="738" t="s">
        <v>295</v>
      </c>
      <c r="O11" s="729" t="s">
        <v>296</v>
      </c>
      <c r="P11" s="726" t="s">
        <v>293</v>
      </c>
      <c r="Q11" s="735" t="s">
        <v>294</v>
      </c>
      <c r="R11" s="736"/>
      <c r="S11" s="736"/>
      <c r="T11" s="737"/>
      <c r="U11" s="738" t="s">
        <v>295</v>
      </c>
      <c r="V11" s="741" t="s">
        <v>297</v>
      </c>
      <c r="W11" s="745"/>
      <c r="X11" s="745"/>
      <c r="Y11" s="745"/>
    </row>
    <row r="12" spans="1:27" ht="15" customHeight="1">
      <c r="A12" s="756"/>
      <c r="B12" s="756"/>
      <c r="C12" s="756"/>
      <c r="D12" s="756"/>
      <c r="E12" s="734"/>
      <c r="F12" s="719"/>
      <c r="G12" s="749"/>
      <c r="H12" s="750"/>
      <c r="I12" s="727"/>
      <c r="J12" s="726" t="s">
        <v>298</v>
      </c>
      <c r="K12" s="726" t="s">
        <v>299</v>
      </c>
      <c r="L12" s="726" t="s">
        <v>300</v>
      </c>
      <c r="M12" s="726" t="s">
        <v>301</v>
      </c>
      <c r="N12" s="739"/>
      <c r="O12" s="734"/>
      <c r="P12" s="727"/>
      <c r="Q12" s="726" t="s">
        <v>298</v>
      </c>
      <c r="R12" s="726" t="s">
        <v>299</v>
      </c>
      <c r="S12" s="726" t="s">
        <v>300</v>
      </c>
      <c r="T12" s="726" t="s">
        <v>301</v>
      </c>
      <c r="U12" s="739"/>
      <c r="V12" s="742"/>
      <c r="W12" s="745"/>
      <c r="X12" s="745"/>
      <c r="Y12" s="745"/>
    </row>
    <row r="13" spans="1:27" ht="15" customHeight="1">
      <c r="A13" s="756"/>
      <c r="B13" s="756"/>
      <c r="C13" s="756"/>
      <c r="D13" s="756"/>
      <c r="E13" s="734"/>
      <c r="F13" s="719"/>
      <c r="G13" s="729" t="s">
        <v>302</v>
      </c>
      <c r="H13" s="729" t="s">
        <v>303</v>
      </c>
      <c r="I13" s="727"/>
      <c r="J13" s="727"/>
      <c r="K13" s="727"/>
      <c r="L13" s="727"/>
      <c r="M13" s="727"/>
      <c r="N13" s="739"/>
      <c r="O13" s="734"/>
      <c r="P13" s="727"/>
      <c r="Q13" s="727"/>
      <c r="R13" s="727"/>
      <c r="S13" s="727"/>
      <c r="T13" s="727"/>
      <c r="U13" s="739"/>
      <c r="V13" s="742"/>
      <c r="W13" s="745"/>
      <c r="X13" s="745"/>
      <c r="Y13" s="745"/>
    </row>
    <row r="14" spans="1:27" ht="30.75" customHeight="1">
      <c r="A14" s="757"/>
      <c r="B14" s="757"/>
      <c r="C14" s="757"/>
      <c r="D14" s="757"/>
      <c r="E14" s="730"/>
      <c r="F14" s="720"/>
      <c r="G14" s="730"/>
      <c r="H14" s="730"/>
      <c r="I14" s="728"/>
      <c r="J14" s="728"/>
      <c r="K14" s="728"/>
      <c r="L14" s="728"/>
      <c r="M14" s="728"/>
      <c r="N14" s="740"/>
      <c r="O14" s="730"/>
      <c r="P14" s="728"/>
      <c r="Q14" s="728"/>
      <c r="R14" s="728"/>
      <c r="S14" s="728"/>
      <c r="T14" s="728"/>
      <c r="U14" s="740"/>
      <c r="V14" s="743"/>
      <c r="W14" s="746"/>
      <c r="X14" s="746"/>
      <c r="Y14" s="746"/>
    </row>
    <row r="15" spans="1:27" ht="18" customHeight="1">
      <c r="A15" s="197" t="s">
        <v>304</v>
      </c>
      <c r="B15" s="198"/>
      <c r="C15" s="199"/>
      <c r="D15" s="199"/>
      <c r="E15" s="200"/>
      <c r="F15" s="201"/>
      <c r="G15" s="200"/>
      <c r="H15" s="200"/>
      <c r="I15" s="202"/>
      <c r="J15" s="202"/>
      <c r="K15" s="202"/>
      <c r="L15" s="202"/>
      <c r="M15" s="202"/>
      <c r="N15" s="203"/>
      <c r="O15" s="200"/>
      <c r="P15" s="202"/>
      <c r="Q15" s="202"/>
      <c r="R15" s="202"/>
      <c r="S15" s="202"/>
      <c r="T15" s="202"/>
      <c r="U15" s="203"/>
      <c r="V15" s="204"/>
      <c r="W15" s="205"/>
      <c r="X15" s="206"/>
      <c r="Y15" s="206"/>
    </row>
    <row r="16" spans="1:27" s="217" customFormat="1">
      <c r="A16" s="268" t="s">
        <v>321</v>
      </c>
      <c r="B16" s="269" t="s">
        <v>326</v>
      </c>
      <c r="C16" s="270">
        <v>0</v>
      </c>
      <c r="D16" s="270">
        <v>0</v>
      </c>
      <c r="E16" s="210">
        <v>2070520946.7159564</v>
      </c>
      <c r="F16" s="211">
        <v>24</v>
      </c>
      <c r="G16" s="210">
        <v>0</v>
      </c>
      <c r="H16" s="210">
        <v>0</v>
      </c>
      <c r="I16" s="210">
        <v>0</v>
      </c>
      <c r="J16" s="210">
        <v>0</v>
      </c>
      <c r="K16" s="210">
        <v>0</v>
      </c>
      <c r="L16" s="210">
        <v>0</v>
      </c>
      <c r="M16" s="210">
        <v>0</v>
      </c>
      <c r="N16" s="210">
        <v>0</v>
      </c>
      <c r="O16" s="211">
        <v>0</v>
      </c>
      <c r="P16" s="210">
        <v>0</v>
      </c>
      <c r="Q16" s="210">
        <v>0</v>
      </c>
      <c r="R16" s="210">
        <v>0</v>
      </c>
      <c r="S16" s="210">
        <v>0</v>
      </c>
      <c r="T16" s="210">
        <v>0</v>
      </c>
      <c r="U16" s="210">
        <v>0</v>
      </c>
      <c r="V16" s="210">
        <v>84916463</v>
      </c>
      <c r="W16" s="271">
        <v>1.7142857142857142</v>
      </c>
      <c r="X16" s="210">
        <v>620669095</v>
      </c>
      <c r="Y16" s="215">
        <v>9.4244306418219459</v>
      </c>
      <c r="AA16" s="218" t="str">
        <f>$C$7&amp;B16</f>
        <v>Nghiên cứu xây dựng công nghệ bản đồ không gian và định vị trực quan cho nền tảng thực tế tăng cườngQuản lý đề tài Total</v>
      </c>
    </row>
    <row r="17" spans="1:27">
      <c r="A17" s="207">
        <v>1</v>
      </c>
      <c r="B17" s="208" t="s">
        <v>318</v>
      </c>
      <c r="C17" s="209" t="s">
        <v>319</v>
      </c>
      <c r="D17" s="209" t="s">
        <v>320</v>
      </c>
      <c r="E17" s="210" t="s">
        <v>321</v>
      </c>
      <c r="F17" s="211" t="s">
        <v>321</v>
      </c>
      <c r="G17" s="212">
        <v>21</v>
      </c>
      <c r="H17" s="212">
        <v>21</v>
      </c>
      <c r="I17" s="212">
        <v>61178312</v>
      </c>
      <c r="J17" s="212">
        <v>2291520</v>
      </c>
      <c r="K17" s="212">
        <v>392832</v>
      </c>
      <c r="L17" s="212">
        <v>130944</v>
      </c>
      <c r="M17" s="212">
        <v>261888</v>
      </c>
      <c r="N17" s="212">
        <v>1130000</v>
      </c>
      <c r="O17" s="213">
        <v>21</v>
      </c>
      <c r="P17" s="212">
        <v>61178312</v>
      </c>
      <c r="Q17" s="212">
        <v>2291520</v>
      </c>
      <c r="R17" s="212">
        <v>392832</v>
      </c>
      <c r="S17" s="212">
        <v>130944</v>
      </c>
      <c r="T17" s="212">
        <v>261888</v>
      </c>
      <c r="U17" s="212">
        <v>1130000</v>
      </c>
      <c r="V17" s="212">
        <v>65385496</v>
      </c>
      <c r="W17" s="214">
        <v>1</v>
      </c>
      <c r="X17" s="210" t="s">
        <v>321</v>
      </c>
      <c r="Y17" s="215" t="s">
        <v>321</v>
      </c>
      <c r="AA17" s="216" t="str">
        <f t="shared" ref="AA17:AA38" si="0">$C$7&amp;B17</f>
        <v>Nghiên cứu xây dựng công nghệ bản đồ không gian và định vị trực quan cho nền tảng thực tế tăng cườngQuản lý đề tài</v>
      </c>
    </row>
    <row r="18" spans="1:27" ht="30">
      <c r="A18" s="207">
        <v>2</v>
      </c>
      <c r="B18" s="208" t="s">
        <v>318</v>
      </c>
      <c r="C18" s="209" t="s">
        <v>322</v>
      </c>
      <c r="D18" s="209" t="s">
        <v>323</v>
      </c>
      <c r="E18" s="210" t="s">
        <v>321</v>
      </c>
      <c r="F18" s="211" t="s">
        <v>321</v>
      </c>
      <c r="G18" s="212">
        <v>21</v>
      </c>
      <c r="H18" s="212">
        <v>21</v>
      </c>
      <c r="I18" s="212">
        <v>20344177</v>
      </c>
      <c r="J18" s="212">
        <v>1527680</v>
      </c>
      <c r="K18" s="212">
        <v>261888</v>
      </c>
      <c r="L18" s="212">
        <v>87296</v>
      </c>
      <c r="M18" s="212">
        <v>174592</v>
      </c>
      <c r="N18" s="212">
        <v>1047000</v>
      </c>
      <c r="O18" s="213">
        <v>14</v>
      </c>
      <c r="P18" s="212">
        <v>13562785</v>
      </c>
      <c r="Q18" s="212">
        <v>1018453</v>
      </c>
      <c r="R18" s="212">
        <v>174592</v>
      </c>
      <c r="S18" s="212">
        <v>58197</v>
      </c>
      <c r="T18" s="212">
        <v>116395</v>
      </c>
      <c r="U18" s="212">
        <v>698000</v>
      </c>
      <c r="V18" s="212">
        <v>15628422</v>
      </c>
      <c r="W18" s="214">
        <v>0.66666666666666663</v>
      </c>
      <c r="X18" s="210" t="s">
        <v>321</v>
      </c>
      <c r="Y18" s="215" t="s">
        <v>321</v>
      </c>
      <c r="AA18" s="216" t="str">
        <f t="shared" si="0"/>
        <v>Nghiên cứu xây dựng công nghệ bản đồ không gian và định vị trực quan cho nền tảng thực tế tăng cườngQuản lý đề tài</v>
      </c>
    </row>
    <row r="19" spans="1:27" s="217" customFormat="1">
      <c r="A19" s="207">
        <v>3</v>
      </c>
      <c r="B19" s="208" t="s">
        <v>318</v>
      </c>
      <c r="C19" s="209" t="s">
        <v>324</v>
      </c>
      <c r="D19" s="209" t="s">
        <v>325</v>
      </c>
      <c r="E19" s="210" t="s">
        <v>321</v>
      </c>
      <c r="F19" s="211" t="s">
        <v>321</v>
      </c>
      <c r="G19" s="212">
        <v>21</v>
      </c>
      <c r="H19" s="212">
        <v>21</v>
      </c>
      <c r="I19" s="212">
        <v>77894397</v>
      </c>
      <c r="J19" s="212">
        <v>2538900</v>
      </c>
      <c r="K19" s="212">
        <v>0</v>
      </c>
      <c r="L19" s="212">
        <v>0</v>
      </c>
      <c r="M19" s="212">
        <v>290160</v>
      </c>
      <c r="N19" s="212">
        <v>1230000</v>
      </c>
      <c r="O19" s="213">
        <v>1</v>
      </c>
      <c r="P19" s="212">
        <v>3709257</v>
      </c>
      <c r="Q19" s="212">
        <v>120900</v>
      </c>
      <c r="R19" s="212">
        <v>0</v>
      </c>
      <c r="S19" s="212">
        <v>0</v>
      </c>
      <c r="T19" s="212">
        <v>13817</v>
      </c>
      <c r="U19" s="212">
        <v>58571</v>
      </c>
      <c r="V19" s="212">
        <v>3902545</v>
      </c>
      <c r="W19" s="214">
        <v>4.7619047619047616E-2</v>
      </c>
      <c r="X19" s="210" t="s">
        <v>321</v>
      </c>
      <c r="Y19" s="215" t="s">
        <v>321</v>
      </c>
      <c r="AA19" s="218" t="str">
        <f t="shared" si="0"/>
        <v>Nghiên cứu xây dựng công nghệ bản đồ không gian và định vị trực quan cho nền tảng thực tế tăng cườngQuản lý đề tài</v>
      </c>
    </row>
    <row r="20" spans="1:27" s="217" customFormat="1" ht="30">
      <c r="A20" s="268" t="s">
        <v>321</v>
      </c>
      <c r="B20" s="269" t="s">
        <v>334</v>
      </c>
      <c r="C20" s="270">
        <v>0</v>
      </c>
      <c r="D20" s="270">
        <v>0</v>
      </c>
      <c r="E20" s="210">
        <v>2609273142.3444004</v>
      </c>
      <c r="F20" s="211">
        <v>80</v>
      </c>
      <c r="G20" s="210">
        <v>0</v>
      </c>
      <c r="H20" s="210">
        <v>0</v>
      </c>
      <c r="I20" s="210">
        <v>0</v>
      </c>
      <c r="J20" s="210">
        <v>0</v>
      </c>
      <c r="K20" s="210">
        <v>0</v>
      </c>
      <c r="L20" s="210">
        <v>0</v>
      </c>
      <c r="M20" s="210">
        <v>0</v>
      </c>
      <c r="N20" s="210">
        <v>0</v>
      </c>
      <c r="O20" s="211">
        <v>0</v>
      </c>
      <c r="P20" s="210">
        <v>0</v>
      </c>
      <c r="Q20" s="210">
        <v>0</v>
      </c>
      <c r="R20" s="210">
        <v>0</v>
      </c>
      <c r="S20" s="210">
        <v>0</v>
      </c>
      <c r="T20" s="210">
        <v>0</v>
      </c>
      <c r="U20" s="210">
        <v>0</v>
      </c>
      <c r="V20" s="210">
        <v>59517243</v>
      </c>
      <c r="W20" s="271">
        <v>3</v>
      </c>
      <c r="X20" s="210">
        <v>358499234</v>
      </c>
      <c r="Y20" s="215">
        <v>12.862939958592133</v>
      </c>
      <c r="AA20" s="218" t="str">
        <f>$C$7&amp;B20</f>
        <v>Nghiên cứu xây dựng công nghệ bản đồ không gian và định vị trực quan cho nền tảng thực tế tăng cườngPhát triển ứng dụng dẫn xuất và triển khai thử nghiệm Total</v>
      </c>
    </row>
    <row r="21" spans="1:27" s="217" customFormat="1" ht="30">
      <c r="A21" s="207">
        <v>4</v>
      </c>
      <c r="B21" s="208" t="s">
        <v>327</v>
      </c>
      <c r="C21" s="209" t="s">
        <v>328</v>
      </c>
      <c r="D21" s="209" t="s">
        <v>329</v>
      </c>
      <c r="E21" s="210" t="s">
        <v>321</v>
      </c>
      <c r="F21" s="211" t="s">
        <v>321</v>
      </c>
      <c r="G21" s="212">
        <v>21</v>
      </c>
      <c r="H21" s="212">
        <v>21</v>
      </c>
      <c r="I21" s="212">
        <v>25582231</v>
      </c>
      <c r="J21" s="212">
        <v>1692600</v>
      </c>
      <c r="K21" s="212">
        <v>290160</v>
      </c>
      <c r="L21" s="212">
        <v>96720</v>
      </c>
      <c r="M21" s="212">
        <v>193440</v>
      </c>
      <c r="N21" s="212">
        <v>930000</v>
      </c>
      <c r="O21" s="213">
        <v>21</v>
      </c>
      <c r="P21" s="212">
        <v>25582231</v>
      </c>
      <c r="Q21" s="212">
        <v>1692600</v>
      </c>
      <c r="R21" s="212">
        <v>290160</v>
      </c>
      <c r="S21" s="212">
        <v>96720</v>
      </c>
      <c r="T21" s="212">
        <v>193440</v>
      </c>
      <c r="U21" s="212">
        <v>930000</v>
      </c>
      <c r="V21" s="212">
        <v>28785151</v>
      </c>
      <c r="W21" s="214">
        <v>1</v>
      </c>
      <c r="X21" s="210" t="s">
        <v>321</v>
      </c>
      <c r="Y21" s="215" t="s">
        <v>321</v>
      </c>
      <c r="AA21" s="218" t="str">
        <f t="shared" si="0"/>
        <v>Nghiên cứu xây dựng công nghệ bản đồ không gian và định vị trực quan cho nền tảng thực tế tăng cườngPhát triển ứng dụng dẫn xuất và triển khai thử nghiệm</v>
      </c>
    </row>
    <row r="22" spans="1:27" ht="30">
      <c r="A22" s="207">
        <v>5</v>
      </c>
      <c r="B22" s="208" t="s">
        <v>327</v>
      </c>
      <c r="C22" s="209" t="s">
        <v>330</v>
      </c>
      <c r="D22" s="209" t="s">
        <v>331</v>
      </c>
      <c r="E22" s="210" t="s">
        <v>321</v>
      </c>
      <c r="F22" s="211" t="s">
        <v>321</v>
      </c>
      <c r="G22" s="212">
        <v>21</v>
      </c>
      <c r="H22" s="212">
        <v>21</v>
      </c>
      <c r="I22" s="212">
        <v>14433380</v>
      </c>
      <c r="J22" s="212">
        <v>1310680</v>
      </c>
      <c r="K22" s="212">
        <v>224688</v>
      </c>
      <c r="L22" s="212">
        <v>74896</v>
      </c>
      <c r="M22" s="212">
        <v>149792</v>
      </c>
      <c r="N22" s="212">
        <v>1047000</v>
      </c>
      <c r="O22" s="213">
        <v>20</v>
      </c>
      <c r="P22" s="212">
        <v>13746076</v>
      </c>
      <c r="Q22" s="212">
        <v>1248267</v>
      </c>
      <c r="R22" s="212">
        <v>213989</v>
      </c>
      <c r="S22" s="212">
        <v>71330</v>
      </c>
      <c r="T22" s="212">
        <v>142659</v>
      </c>
      <c r="U22" s="212">
        <v>997143</v>
      </c>
      <c r="V22" s="212">
        <v>16419464</v>
      </c>
      <c r="W22" s="214">
        <v>1</v>
      </c>
      <c r="X22" s="210" t="s">
        <v>321</v>
      </c>
      <c r="Y22" s="215" t="s">
        <v>321</v>
      </c>
      <c r="AA22" s="216" t="str">
        <f t="shared" si="0"/>
        <v>Nghiên cứu xây dựng công nghệ bản đồ không gian và định vị trực quan cho nền tảng thực tế tăng cườngPhát triển ứng dụng dẫn xuất và triển khai thử nghiệm</v>
      </c>
    </row>
    <row r="23" spans="1:27" ht="30">
      <c r="A23" s="207">
        <v>6</v>
      </c>
      <c r="B23" s="208" t="s">
        <v>327</v>
      </c>
      <c r="C23" s="209" t="s">
        <v>332</v>
      </c>
      <c r="D23" s="209" t="s">
        <v>333</v>
      </c>
      <c r="E23" s="210" t="s">
        <v>321</v>
      </c>
      <c r="F23" s="211" t="s">
        <v>321</v>
      </c>
      <c r="G23" s="212">
        <v>21</v>
      </c>
      <c r="H23" s="212">
        <v>21</v>
      </c>
      <c r="I23" s="212">
        <v>11598820</v>
      </c>
      <c r="J23" s="212">
        <v>1241240</v>
      </c>
      <c r="K23" s="212">
        <v>212784</v>
      </c>
      <c r="L23" s="212">
        <v>70928</v>
      </c>
      <c r="M23" s="212">
        <v>141856</v>
      </c>
      <c r="N23" s="212">
        <v>1047000</v>
      </c>
      <c r="O23" s="213">
        <v>21</v>
      </c>
      <c r="P23" s="212">
        <v>11598820</v>
      </c>
      <c r="Q23" s="212">
        <v>1241240</v>
      </c>
      <c r="R23" s="212">
        <v>212784</v>
      </c>
      <c r="S23" s="212">
        <v>70928</v>
      </c>
      <c r="T23" s="212">
        <v>141856</v>
      </c>
      <c r="U23" s="212">
        <v>1047000</v>
      </c>
      <c r="V23" s="212">
        <v>14312628</v>
      </c>
      <c r="W23" s="214">
        <v>1</v>
      </c>
      <c r="X23" s="210" t="s">
        <v>321</v>
      </c>
      <c r="Y23" s="215" t="s">
        <v>321</v>
      </c>
      <c r="AA23" s="218" t="str">
        <f t="shared" si="0"/>
        <v>Nghiên cứu xây dựng công nghệ bản đồ không gian và định vị trực quan cho nền tảng thực tế tăng cườngPhát triển ứng dụng dẫn xuất và triển khai thử nghiệm</v>
      </c>
    </row>
    <row r="24" spans="1:27" s="217" customFormat="1" ht="45">
      <c r="A24" s="268" t="s">
        <v>321</v>
      </c>
      <c r="B24" s="269" t="s">
        <v>350</v>
      </c>
      <c r="C24" s="270">
        <v>0</v>
      </c>
      <c r="D24" s="270">
        <v>0</v>
      </c>
      <c r="E24" s="210">
        <v>4063061192.0668006</v>
      </c>
      <c r="F24" s="211">
        <v>112</v>
      </c>
      <c r="G24" s="210">
        <v>0</v>
      </c>
      <c r="H24" s="210">
        <v>0</v>
      </c>
      <c r="I24" s="210">
        <v>0</v>
      </c>
      <c r="J24" s="210">
        <v>0</v>
      </c>
      <c r="K24" s="210">
        <v>0</v>
      </c>
      <c r="L24" s="210">
        <v>0</v>
      </c>
      <c r="M24" s="210">
        <v>0</v>
      </c>
      <c r="N24" s="210">
        <v>0</v>
      </c>
      <c r="O24" s="211">
        <v>0</v>
      </c>
      <c r="P24" s="210">
        <v>0</v>
      </c>
      <c r="Q24" s="210">
        <v>0</v>
      </c>
      <c r="R24" s="210">
        <v>0</v>
      </c>
      <c r="S24" s="210">
        <v>0</v>
      </c>
      <c r="T24" s="210">
        <v>0</v>
      </c>
      <c r="U24" s="210">
        <v>0</v>
      </c>
      <c r="V24" s="210">
        <v>160328840</v>
      </c>
      <c r="W24" s="271">
        <v>6.9523809523809526</v>
      </c>
      <c r="X24" s="210">
        <v>1094065639</v>
      </c>
      <c r="Y24" s="215">
        <v>37.24803312629399</v>
      </c>
      <c r="AA24" s="218" t="str">
        <f>$C$7&amp;B24</f>
        <v>Nghiên cứu xây dựng công nghệ bản đồ không gian và định vị trực quan cho nền tảng thực tế tăng cườngNghiên cứu, phát triển công nghệ bản đồ không gian và định vị trực quan Total</v>
      </c>
    </row>
    <row r="25" spans="1:27" ht="45">
      <c r="A25" s="207">
        <v>7</v>
      </c>
      <c r="B25" s="208" t="s">
        <v>335</v>
      </c>
      <c r="C25" s="209" t="s">
        <v>336</v>
      </c>
      <c r="D25" s="209" t="s">
        <v>337</v>
      </c>
      <c r="E25" s="210" t="s">
        <v>321</v>
      </c>
      <c r="F25" s="211" t="s">
        <v>321</v>
      </c>
      <c r="G25" s="212">
        <v>21</v>
      </c>
      <c r="H25" s="212">
        <v>21</v>
      </c>
      <c r="I25" s="212">
        <v>40554274</v>
      </c>
      <c r="J25" s="212">
        <v>1874880</v>
      </c>
      <c r="K25" s="212">
        <v>321408</v>
      </c>
      <c r="L25" s="212">
        <v>107136</v>
      </c>
      <c r="M25" s="212">
        <v>214272</v>
      </c>
      <c r="N25" s="212">
        <v>1030000</v>
      </c>
      <c r="O25" s="213">
        <v>21</v>
      </c>
      <c r="P25" s="212">
        <v>40554274</v>
      </c>
      <c r="Q25" s="212">
        <v>1874880</v>
      </c>
      <c r="R25" s="212">
        <v>321408</v>
      </c>
      <c r="S25" s="212">
        <v>107136</v>
      </c>
      <c r="T25" s="212">
        <v>214272</v>
      </c>
      <c r="U25" s="212">
        <v>1030000</v>
      </c>
      <c r="V25" s="212">
        <v>44101970</v>
      </c>
      <c r="W25" s="214">
        <v>1</v>
      </c>
      <c r="X25" s="210" t="s">
        <v>321</v>
      </c>
      <c r="Y25" s="215" t="s">
        <v>321</v>
      </c>
      <c r="AA25" s="216" t="str">
        <f t="shared" si="0"/>
        <v>Nghiên cứu xây dựng công nghệ bản đồ không gian và định vị trực quan cho nền tảng thực tế tăng cườngNghiên cứu, phát triển công nghệ bản đồ không gian và định vị trực quan</v>
      </c>
    </row>
    <row r="26" spans="1:27" ht="45">
      <c r="A26" s="207">
        <v>8</v>
      </c>
      <c r="B26" s="208" t="s">
        <v>335</v>
      </c>
      <c r="C26" s="209" t="s">
        <v>338</v>
      </c>
      <c r="D26" s="209" t="s">
        <v>339</v>
      </c>
      <c r="E26" s="210" t="s">
        <v>321</v>
      </c>
      <c r="F26" s="211" t="s">
        <v>321</v>
      </c>
      <c r="G26" s="212">
        <v>21</v>
      </c>
      <c r="H26" s="212">
        <v>21</v>
      </c>
      <c r="I26" s="212">
        <v>25051680</v>
      </c>
      <c r="J26" s="212">
        <v>1692600</v>
      </c>
      <c r="K26" s="212">
        <v>290160</v>
      </c>
      <c r="L26" s="212">
        <v>96720</v>
      </c>
      <c r="M26" s="212">
        <v>193440</v>
      </c>
      <c r="N26" s="212">
        <v>930000</v>
      </c>
      <c r="O26" s="213">
        <v>21</v>
      </c>
      <c r="P26" s="212">
        <v>25051680</v>
      </c>
      <c r="Q26" s="212">
        <v>1692600</v>
      </c>
      <c r="R26" s="212">
        <v>290160</v>
      </c>
      <c r="S26" s="212">
        <v>96720</v>
      </c>
      <c r="T26" s="212">
        <v>193440</v>
      </c>
      <c r="U26" s="212">
        <v>930000</v>
      </c>
      <c r="V26" s="212">
        <v>28254600</v>
      </c>
      <c r="W26" s="214">
        <v>1</v>
      </c>
      <c r="X26" s="210" t="s">
        <v>321</v>
      </c>
      <c r="Y26" s="215" t="s">
        <v>321</v>
      </c>
      <c r="AA26" s="216" t="str">
        <f t="shared" si="0"/>
        <v>Nghiên cứu xây dựng công nghệ bản đồ không gian và định vị trực quan cho nền tảng thực tế tăng cườngNghiên cứu, phát triển công nghệ bản đồ không gian và định vị trực quan</v>
      </c>
    </row>
    <row r="27" spans="1:27" s="217" customFormat="1" ht="45">
      <c r="A27" s="207">
        <v>9</v>
      </c>
      <c r="B27" s="208" t="s">
        <v>335</v>
      </c>
      <c r="C27" s="209" t="s">
        <v>340</v>
      </c>
      <c r="D27" s="209" t="s">
        <v>341</v>
      </c>
      <c r="E27" s="210" t="s">
        <v>321</v>
      </c>
      <c r="F27" s="211" t="s">
        <v>321</v>
      </c>
      <c r="G27" s="212">
        <v>21</v>
      </c>
      <c r="H27" s="212">
        <v>21</v>
      </c>
      <c r="I27" s="212">
        <v>15051720</v>
      </c>
      <c r="J27" s="212">
        <v>1310680</v>
      </c>
      <c r="K27" s="212">
        <v>224688</v>
      </c>
      <c r="L27" s="212">
        <v>74896</v>
      </c>
      <c r="M27" s="212">
        <v>149792</v>
      </c>
      <c r="N27" s="212">
        <v>930000</v>
      </c>
      <c r="O27" s="213">
        <v>21</v>
      </c>
      <c r="P27" s="212">
        <v>15051720</v>
      </c>
      <c r="Q27" s="212">
        <v>1310680</v>
      </c>
      <c r="R27" s="212">
        <v>224688</v>
      </c>
      <c r="S27" s="212">
        <v>74896</v>
      </c>
      <c r="T27" s="212">
        <v>149792</v>
      </c>
      <c r="U27" s="212">
        <v>930000</v>
      </c>
      <c r="V27" s="212">
        <v>17741776</v>
      </c>
      <c r="W27" s="214">
        <v>1</v>
      </c>
      <c r="X27" s="210" t="s">
        <v>321</v>
      </c>
      <c r="Y27" s="215" t="s">
        <v>321</v>
      </c>
      <c r="AA27" s="216" t="str">
        <f t="shared" si="0"/>
        <v>Nghiên cứu xây dựng công nghệ bản đồ không gian và định vị trực quan cho nền tảng thực tế tăng cườngNghiên cứu, phát triển công nghệ bản đồ không gian và định vị trực quan</v>
      </c>
    </row>
    <row r="28" spans="1:27" s="217" customFormat="1" ht="45">
      <c r="A28" s="207">
        <v>10</v>
      </c>
      <c r="B28" s="208" t="s">
        <v>335</v>
      </c>
      <c r="C28" s="209" t="s">
        <v>342</v>
      </c>
      <c r="D28" s="209" t="s">
        <v>343</v>
      </c>
      <c r="E28" s="210" t="s">
        <v>321</v>
      </c>
      <c r="F28" s="211" t="s">
        <v>321</v>
      </c>
      <c r="G28" s="212">
        <v>21</v>
      </c>
      <c r="H28" s="212">
        <v>21</v>
      </c>
      <c r="I28" s="212">
        <v>16029540</v>
      </c>
      <c r="J28" s="212">
        <v>1380120</v>
      </c>
      <c r="K28" s="212">
        <v>236592</v>
      </c>
      <c r="L28" s="212">
        <v>78864</v>
      </c>
      <c r="M28" s="212">
        <v>157728</v>
      </c>
      <c r="N28" s="212">
        <v>930000</v>
      </c>
      <c r="O28" s="213">
        <v>21</v>
      </c>
      <c r="P28" s="212">
        <v>16029540</v>
      </c>
      <c r="Q28" s="212">
        <v>1380120</v>
      </c>
      <c r="R28" s="212">
        <v>236592</v>
      </c>
      <c r="S28" s="212">
        <v>78864</v>
      </c>
      <c r="T28" s="212">
        <v>157728</v>
      </c>
      <c r="U28" s="212">
        <v>930000</v>
      </c>
      <c r="V28" s="212">
        <v>18812844</v>
      </c>
      <c r="W28" s="214">
        <v>1</v>
      </c>
      <c r="X28" s="210" t="s">
        <v>321</v>
      </c>
      <c r="Y28" s="215" t="s">
        <v>321</v>
      </c>
      <c r="AA28" s="216" t="str">
        <f t="shared" si="0"/>
        <v>Nghiên cứu xây dựng công nghệ bản đồ không gian và định vị trực quan cho nền tảng thực tế tăng cườngNghiên cứu, phát triển công nghệ bản đồ không gian và định vị trực quan</v>
      </c>
    </row>
    <row r="29" spans="1:27" s="217" customFormat="1" ht="45">
      <c r="A29" s="207">
        <v>11</v>
      </c>
      <c r="B29" s="208" t="s">
        <v>335</v>
      </c>
      <c r="C29" s="209" t="s">
        <v>344</v>
      </c>
      <c r="D29" s="209" t="s">
        <v>345</v>
      </c>
      <c r="E29" s="210" t="s">
        <v>321</v>
      </c>
      <c r="F29" s="211" t="s">
        <v>321</v>
      </c>
      <c r="G29" s="212">
        <v>21</v>
      </c>
      <c r="H29" s="212">
        <v>21</v>
      </c>
      <c r="I29" s="212">
        <v>16029540</v>
      </c>
      <c r="J29" s="212">
        <v>1380120</v>
      </c>
      <c r="K29" s="212">
        <v>236592</v>
      </c>
      <c r="L29" s="212">
        <v>78864</v>
      </c>
      <c r="M29" s="212">
        <v>157728</v>
      </c>
      <c r="N29" s="212">
        <v>930000</v>
      </c>
      <c r="O29" s="213">
        <v>21</v>
      </c>
      <c r="P29" s="212">
        <v>16029540</v>
      </c>
      <c r="Q29" s="212">
        <v>1380120</v>
      </c>
      <c r="R29" s="212">
        <v>236592</v>
      </c>
      <c r="S29" s="212">
        <v>78864</v>
      </c>
      <c r="T29" s="212">
        <v>157728</v>
      </c>
      <c r="U29" s="212">
        <v>930000</v>
      </c>
      <c r="V29" s="212">
        <v>18812844</v>
      </c>
      <c r="W29" s="214">
        <v>1</v>
      </c>
      <c r="X29" s="210" t="s">
        <v>321</v>
      </c>
      <c r="Y29" s="215" t="s">
        <v>321</v>
      </c>
      <c r="AA29" s="216" t="str">
        <f t="shared" si="0"/>
        <v>Nghiên cứu xây dựng công nghệ bản đồ không gian và định vị trực quan cho nền tảng thực tế tăng cườngNghiên cứu, phát triển công nghệ bản đồ không gian và định vị trực quan</v>
      </c>
    </row>
    <row r="30" spans="1:27" s="217" customFormat="1" ht="45">
      <c r="A30" s="207">
        <v>12</v>
      </c>
      <c r="B30" s="208" t="s">
        <v>335</v>
      </c>
      <c r="C30" s="209" t="s">
        <v>346</v>
      </c>
      <c r="D30" s="209" t="s">
        <v>347</v>
      </c>
      <c r="E30" s="210" t="s">
        <v>321</v>
      </c>
      <c r="F30" s="211" t="s">
        <v>321</v>
      </c>
      <c r="G30" s="212">
        <v>21</v>
      </c>
      <c r="H30" s="212">
        <v>21</v>
      </c>
      <c r="I30" s="212">
        <v>15051720</v>
      </c>
      <c r="J30" s="212">
        <v>1310680</v>
      </c>
      <c r="K30" s="212">
        <v>224688</v>
      </c>
      <c r="L30" s="212">
        <v>74896</v>
      </c>
      <c r="M30" s="212">
        <v>149792</v>
      </c>
      <c r="N30" s="212">
        <v>930000</v>
      </c>
      <c r="O30" s="213">
        <v>20</v>
      </c>
      <c r="P30" s="212">
        <v>14334971</v>
      </c>
      <c r="Q30" s="212">
        <v>1248267</v>
      </c>
      <c r="R30" s="212">
        <v>213989</v>
      </c>
      <c r="S30" s="212">
        <v>71330</v>
      </c>
      <c r="T30" s="212">
        <v>142659</v>
      </c>
      <c r="U30" s="212">
        <v>885714</v>
      </c>
      <c r="V30" s="212">
        <v>16896930</v>
      </c>
      <c r="W30" s="214">
        <v>0.95238095238095233</v>
      </c>
      <c r="X30" s="210" t="s">
        <v>321</v>
      </c>
      <c r="Y30" s="215" t="s">
        <v>321</v>
      </c>
      <c r="AA30" s="216" t="str">
        <f t="shared" si="0"/>
        <v>Nghiên cứu xây dựng công nghệ bản đồ không gian và định vị trực quan cho nền tảng thực tế tăng cườngNghiên cứu, phát triển công nghệ bản đồ không gian và định vị trực quan</v>
      </c>
    </row>
    <row r="31" spans="1:27" ht="45">
      <c r="A31" s="207">
        <v>13</v>
      </c>
      <c r="B31" s="208" t="s">
        <v>335</v>
      </c>
      <c r="C31" s="209" t="s">
        <v>348</v>
      </c>
      <c r="D31" s="209" t="s">
        <v>349</v>
      </c>
      <c r="E31" s="210" t="s">
        <v>321</v>
      </c>
      <c r="F31" s="211" t="s">
        <v>321</v>
      </c>
      <c r="G31" s="212">
        <v>21</v>
      </c>
      <c r="H31" s="212">
        <v>21</v>
      </c>
      <c r="I31" s="212">
        <v>13017820</v>
      </c>
      <c r="J31" s="212">
        <v>1310680</v>
      </c>
      <c r="K31" s="212">
        <v>224688</v>
      </c>
      <c r="L31" s="212">
        <v>74896</v>
      </c>
      <c r="M31" s="212">
        <v>149792</v>
      </c>
      <c r="N31" s="212">
        <v>930000</v>
      </c>
      <c r="O31" s="213">
        <v>21</v>
      </c>
      <c r="P31" s="212">
        <v>13017820</v>
      </c>
      <c r="Q31" s="212">
        <v>1310680</v>
      </c>
      <c r="R31" s="212">
        <v>224688</v>
      </c>
      <c r="S31" s="212">
        <v>74896</v>
      </c>
      <c r="T31" s="212">
        <v>149792</v>
      </c>
      <c r="U31" s="212">
        <v>930000</v>
      </c>
      <c r="V31" s="212">
        <v>15707876</v>
      </c>
      <c r="W31" s="214">
        <v>1</v>
      </c>
      <c r="X31" s="210" t="s">
        <v>321</v>
      </c>
      <c r="Y31" s="215" t="s">
        <v>321</v>
      </c>
      <c r="AA31" s="216" t="str">
        <f t="shared" si="0"/>
        <v>Nghiên cứu xây dựng công nghệ bản đồ không gian và định vị trực quan cho nền tảng thực tế tăng cườngNghiên cứu, phát triển công nghệ bản đồ không gian và định vị trực quan</v>
      </c>
    </row>
    <row r="32" spans="1:27" s="217" customFormat="1" ht="30">
      <c r="A32" s="268" t="s">
        <v>321</v>
      </c>
      <c r="B32" s="269" t="s">
        <v>360</v>
      </c>
      <c r="C32" s="270">
        <v>0</v>
      </c>
      <c r="D32" s="270">
        <v>0</v>
      </c>
      <c r="E32" s="210">
        <v>3115127528.545424</v>
      </c>
      <c r="F32" s="211">
        <v>87</v>
      </c>
      <c r="G32" s="210">
        <v>0</v>
      </c>
      <c r="H32" s="210">
        <v>0</v>
      </c>
      <c r="I32" s="210">
        <v>0</v>
      </c>
      <c r="J32" s="210">
        <v>0</v>
      </c>
      <c r="K32" s="210">
        <v>0</v>
      </c>
      <c r="L32" s="210">
        <v>0</v>
      </c>
      <c r="M32" s="210">
        <v>0</v>
      </c>
      <c r="N32" s="210">
        <v>0</v>
      </c>
      <c r="O32" s="211">
        <v>0</v>
      </c>
      <c r="P32" s="210">
        <v>0</v>
      </c>
      <c r="Q32" s="210">
        <v>0</v>
      </c>
      <c r="R32" s="210">
        <v>0</v>
      </c>
      <c r="S32" s="210">
        <v>0</v>
      </c>
      <c r="T32" s="210">
        <v>0</v>
      </c>
      <c r="U32" s="210">
        <v>0</v>
      </c>
      <c r="V32" s="210">
        <v>99353197</v>
      </c>
      <c r="W32" s="271">
        <v>3.9047619047619047</v>
      </c>
      <c r="X32" s="210">
        <v>692487876</v>
      </c>
      <c r="Y32" s="215">
        <v>21.613457556935817</v>
      </c>
      <c r="AA32" s="218" t="str">
        <f>$C$7&amp;B32</f>
        <v>Nghiên cứu xây dựng công nghệ bản đồ không gian và định vị trực quan cho nền tảng thực tế tăng cườngPhát triển công cụ tạo nội dung, và SDK cho các nền tảng Total</v>
      </c>
    </row>
    <row r="33" spans="1:27" ht="30">
      <c r="A33" s="207">
        <v>14</v>
      </c>
      <c r="B33" s="208" t="s">
        <v>351</v>
      </c>
      <c r="C33" s="209" t="s">
        <v>352</v>
      </c>
      <c r="D33" s="209" t="s">
        <v>353</v>
      </c>
      <c r="E33" s="210" t="s">
        <v>321</v>
      </c>
      <c r="F33" s="211" t="s">
        <v>321</v>
      </c>
      <c r="G33" s="212">
        <v>21</v>
      </c>
      <c r="H33" s="212">
        <v>21</v>
      </c>
      <c r="I33" s="212">
        <v>24718967</v>
      </c>
      <c r="J33" s="212">
        <v>1692600</v>
      </c>
      <c r="K33" s="212">
        <v>290160</v>
      </c>
      <c r="L33" s="212">
        <v>96720</v>
      </c>
      <c r="M33" s="212">
        <v>193440</v>
      </c>
      <c r="N33" s="212">
        <v>930000</v>
      </c>
      <c r="O33" s="213">
        <v>21</v>
      </c>
      <c r="P33" s="212">
        <v>24718967</v>
      </c>
      <c r="Q33" s="212">
        <v>1692600</v>
      </c>
      <c r="R33" s="212">
        <v>290160</v>
      </c>
      <c r="S33" s="212">
        <v>96720</v>
      </c>
      <c r="T33" s="212">
        <v>193440</v>
      </c>
      <c r="U33" s="212">
        <v>930000</v>
      </c>
      <c r="V33" s="212">
        <v>27921887</v>
      </c>
      <c r="W33" s="214">
        <v>1</v>
      </c>
      <c r="X33" s="210" t="s">
        <v>321</v>
      </c>
      <c r="Y33" s="215" t="s">
        <v>321</v>
      </c>
      <c r="AA33" s="216" t="str">
        <f t="shared" si="0"/>
        <v>Nghiên cứu xây dựng công nghệ bản đồ không gian và định vị trực quan cho nền tảng thực tế tăng cườngPhát triển công cụ tạo nội dung, và SDK cho các nền tảng</v>
      </c>
    </row>
    <row r="34" spans="1:27" ht="30">
      <c r="A34" s="207">
        <v>15</v>
      </c>
      <c r="B34" s="208" t="s">
        <v>351</v>
      </c>
      <c r="C34" s="209" t="s">
        <v>354</v>
      </c>
      <c r="D34" s="209" t="s">
        <v>355</v>
      </c>
      <c r="E34" s="210" t="s">
        <v>321</v>
      </c>
      <c r="F34" s="211" t="s">
        <v>321</v>
      </c>
      <c r="G34" s="212">
        <v>21</v>
      </c>
      <c r="H34" s="212">
        <v>21</v>
      </c>
      <c r="I34" s="212">
        <v>20250665</v>
      </c>
      <c r="J34" s="212">
        <v>1527680</v>
      </c>
      <c r="K34" s="212">
        <v>261888</v>
      </c>
      <c r="L34" s="212">
        <v>87296</v>
      </c>
      <c r="M34" s="212">
        <v>174592</v>
      </c>
      <c r="N34" s="212">
        <v>1515000</v>
      </c>
      <c r="O34" s="213">
        <v>20</v>
      </c>
      <c r="P34" s="212">
        <v>19286348</v>
      </c>
      <c r="Q34" s="212">
        <v>1454933</v>
      </c>
      <c r="R34" s="212">
        <v>249417</v>
      </c>
      <c r="S34" s="212">
        <v>83139</v>
      </c>
      <c r="T34" s="212">
        <v>166278</v>
      </c>
      <c r="U34" s="212">
        <v>1442857</v>
      </c>
      <c r="V34" s="212">
        <v>22682972</v>
      </c>
      <c r="W34" s="214">
        <v>0.95238095238095233</v>
      </c>
      <c r="X34" s="210" t="s">
        <v>321</v>
      </c>
      <c r="Y34" s="215" t="s">
        <v>321</v>
      </c>
      <c r="AA34" s="216" t="str">
        <f t="shared" si="0"/>
        <v>Nghiên cứu xây dựng công nghệ bản đồ không gian và định vị trực quan cho nền tảng thực tế tăng cườngPhát triển công cụ tạo nội dung, và SDK cho các nền tảng</v>
      </c>
    </row>
    <row r="35" spans="1:27" ht="30">
      <c r="A35" s="207">
        <v>16</v>
      </c>
      <c r="B35" s="208" t="s">
        <v>351</v>
      </c>
      <c r="C35" s="209" t="s">
        <v>356</v>
      </c>
      <c r="D35" s="209" t="s">
        <v>357</v>
      </c>
      <c r="E35" s="210" t="s">
        <v>321</v>
      </c>
      <c r="F35" s="211" t="s">
        <v>321</v>
      </c>
      <c r="G35" s="212">
        <v>21</v>
      </c>
      <c r="H35" s="212">
        <v>21</v>
      </c>
      <c r="I35" s="212">
        <v>25873100</v>
      </c>
      <c r="J35" s="212">
        <v>1692600</v>
      </c>
      <c r="K35" s="212">
        <v>290160</v>
      </c>
      <c r="L35" s="212">
        <v>96720</v>
      </c>
      <c r="M35" s="212">
        <v>193440</v>
      </c>
      <c r="N35" s="212">
        <v>1030000</v>
      </c>
      <c r="O35" s="213">
        <v>20</v>
      </c>
      <c r="P35" s="212">
        <v>24641048</v>
      </c>
      <c r="Q35" s="212">
        <v>1612000</v>
      </c>
      <c r="R35" s="212">
        <v>276343</v>
      </c>
      <c r="S35" s="212">
        <v>92114</v>
      </c>
      <c r="T35" s="212">
        <v>184229</v>
      </c>
      <c r="U35" s="212">
        <v>980952</v>
      </c>
      <c r="V35" s="212">
        <v>27786686</v>
      </c>
      <c r="W35" s="214">
        <v>0.95238095238095233</v>
      </c>
      <c r="X35" s="210" t="s">
        <v>321</v>
      </c>
      <c r="Y35" s="215" t="s">
        <v>321</v>
      </c>
      <c r="AA35" s="216" t="str">
        <f t="shared" si="0"/>
        <v>Nghiên cứu xây dựng công nghệ bản đồ không gian và định vị trực quan cho nền tảng thực tế tăng cườngPhát triển công cụ tạo nội dung, và SDK cho các nền tảng</v>
      </c>
    </row>
    <row r="36" spans="1:27" ht="30">
      <c r="A36" s="207">
        <v>17</v>
      </c>
      <c r="B36" s="208" t="s">
        <v>351</v>
      </c>
      <c r="C36" s="209" t="s">
        <v>358</v>
      </c>
      <c r="D36" s="209" t="s">
        <v>359</v>
      </c>
      <c r="E36" s="210" t="s">
        <v>321</v>
      </c>
      <c r="F36" s="211" t="s">
        <v>321</v>
      </c>
      <c r="G36" s="212">
        <v>21</v>
      </c>
      <c r="H36" s="212">
        <v>21</v>
      </c>
      <c r="I36" s="212">
        <v>17617100</v>
      </c>
      <c r="J36" s="212">
        <v>1449560</v>
      </c>
      <c r="K36" s="212">
        <v>248496</v>
      </c>
      <c r="L36" s="212">
        <v>82832</v>
      </c>
      <c r="M36" s="212">
        <v>165664</v>
      </c>
      <c r="N36" s="212">
        <v>1398000</v>
      </c>
      <c r="O36" s="213">
        <v>21</v>
      </c>
      <c r="P36" s="212">
        <v>17617100</v>
      </c>
      <c r="Q36" s="212">
        <v>1449560</v>
      </c>
      <c r="R36" s="212">
        <v>248496</v>
      </c>
      <c r="S36" s="212">
        <v>82832</v>
      </c>
      <c r="T36" s="212">
        <v>165664</v>
      </c>
      <c r="U36" s="212">
        <v>1398000</v>
      </c>
      <c r="V36" s="212">
        <v>20961652</v>
      </c>
      <c r="W36" s="214">
        <v>1</v>
      </c>
      <c r="X36" s="210" t="s">
        <v>321</v>
      </c>
      <c r="Y36" s="215" t="s">
        <v>321</v>
      </c>
      <c r="AA36" s="216" t="str">
        <f t="shared" si="0"/>
        <v>Nghiên cứu xây dựng công nghệ bản đồ không gian và định vị trực quan cho nền tảng thực tế tăng cườngPhát triển công cụ tạo nội dung, và SDK cho các nền tảng</v>
      </c>
    </row>
    <row r="37" spans="1:27" s="217" customFormat="1" ht="30">
      <c r="A37" s="268" t="s">
        <v>321</v>
      </c>
      <c r="B37" s="269" t="s">
        <v>364</v>
      </c>
      <c r="C37" s="270">
        <v>0</v>
      </c>
      <c r="D37" s="270">
        <v>0</v>
      </c>
      <c r="E37" s="210">
        <v>2033522683.3756239</v>
      </c>
      <c r="F37" s="211">
        <v>57</v>
      </c>
      <c r="G37" s="210">
        <v>0</v>
      </c>
      <c r="H37" s="210">
        <v>0</v>
      </c>
      <c r="I37" s="210">
        <v>0</v>
      </c>
      <c r="J37" s="210">
        <v>0</v>
      </c>
      <c r="K37" s="210">
        <v>0</v>
      </c>
      <c r="L37" s="210">
        <v>0</v>
      </c>
      <c r="M37" s="210">
        <v>0</v>
      </c>
      <c r="N37" s="210">
        <v>0</v>
      </c>
      <c r="O37" s="210">
        <v>0</v>
      </c>
      <c r="P37" s="210">
        <v>0</v>
      </c>
      <c r="Q37" s="210">
        <v>0</v>
      </c>
      <c r="R37" s="210">
        <v>0</v>
      </c>
      <c r="S37" s="210">
        <v>0</v>
      </c>
      <c r="T37" s="210">
        <v>0</v>
      </c>
      <c r="U37" s="210">
        <v>0</v>
      </c>
      <c r="V37" s="210">
        <v>15844616</v>
      </c>
      <c r="W37" s="271">
        <v>1</v>
      </c>
      <c r="X37" s="210">
        <v>110215892</v>
      </c>
      <c r="Y37" s="215">
        <v>5.9</v>
      </c>
      <c r="AA37" s="218" t="str">
        <f>$C$7&amp;B37</f>
        <v>Nghiên cứu xây dựng công nghệ bản đồ không gian và định vị trực quan cho nền tảng thực tế tăng cườngPhát triển cloud service AR và các công cụ quản trị, giám sát Total</v>
      </c>
    </row>
    <row r="38" spans="1:27" ht="30">
      <c r="A38" s="207">
        <v>18</v>
      </c>
      <c r="B38" s="208" t="s">
        <v>361</v>
      </c>
      <c r="C38" s="209" t="s">
        <v>362</v>
      </c>
      <c r="D38" s="209" t="s">
        <v>363</v>
      </c>
      <c r="E38" s="210" t="s">
        <v>321</v>
      </c>
      <c r="F38" s="211" t="s">
        <v>321</v>
      </c>
      <c r="G38" s="212">
        <v>21</v>
      </c>
      <c r="H38" s="212">
        <v>21</v>
      </c>
      <c r="I38" s="212">
        <v>13154560</v>
      </c>
      <c r="J38" s="212">
        <v>1310680</v>
      </c>
      <c r="K38" s="212">
        <v>224688</v>
      </c>
      <c r="L38" s="212">
        <v>74896</v>
      </c>
      <c r="M38" s="212">
        <v>149792</v>
      </c>
      <c r="N38" s="212">
        <v>930000</v>
      </c>
      <c r="O38" s="212">
        <v>21</v>
      </c>
      <c r="P38" s="212">
        <v>13154560</v>
      </c>
      <c r="Q38" s="212">
        <v>1310680</v>
      </c>
      <c r="R38" s="212">
        <v>224688</v>
      </c>
      <c r="S38" s="212">
        <v>74896</v>
      </c>
      <c r="T38" s="212">
        <v>149792</v>
      </c>
      <c r="U38" s="212">
        <v>930000</v>
      </c>
      <c r="V38" s="212">
        <v>15844616</v>
      </c>
      <c r="W38" s="214">
        <v>1</v>
      </c>
      <c r="X38" s="210" t="s">
        <v>321</v>
      </c>
      <c r="Y38" s="215" t="s">
        <v>321</v>
      </c>
      <c r="AA38" s="216" t="str">
        <f t="shared" si="0"/>
        <v>Nghiên cứu xây dựng công nghệ bản đồ không gian và định vị trực quan cho nền tảng thực tế tăng cườngPhát triển cloud service AR và các công cụ quản trị, giám sát</v>
      </c>
    </row>
    <row r="39" spans="1:27" s="227" customFormat="1">
      <c r="A39" s="731" t="s">
        <v>305</v>
      </c>
      <c r="B39" s="732"/>
      <c r="C39" s="733"/>
      <c r="D39" s="219"/>
      <c r="E39" s="219"/>
      <c r="F39" s="219"/>
      <c r="G39" s="220"/>
      <c r="H39" s="221"/>
      <c r="I39" s="222"/>
      <c r="J39" s="222"/>
      <c r="K39" s="222"/>
      <c r="L39" s="222"/>
      <c r="M39" s="222"/>
      <c r="N39" s="222"/>
      <c r="O39" s="222"/>
      <c r="P39" s="222">
        <v>18443252</v>
      </c>
      <c r="Q39" s="222">
        <v>1266505</v>
      </c>
      <c r="R39" s="222">
        <v>216079</v>
      </c>
      <c r="S39" s="222">
        <v>72026</v>
      </c>
      <c r="T39" s="222">
        <v>144743</v>
      </c>
      <c r="U39" s="222">
        <v>855412</v>
      </c>
      <c r="V39" s="222">
        <v>20998017</v>
      </c>
      <c r="W39" s="222"/>
      <c r="X39" s="223"/>
      <c r="Y39" s="224"/>
      <c r="Z39" s="225"/>
      <c r="AA39" s="226">
        <f>F39-Y39</f>
        <v>0</v>
      </c>
    </row>
    <row r="40" spans="1:27" s="227" customFormat="1" ht="14.25">
      <c r="A40" s="219"/>
      <c r="B40" s="228" t="s">
        <v>297</v>
      </c>
      <c r="C40" s="219"/>
      <c r="D40" s="219"/>
      <c r="E40" s="222"/>
      <c r="F40" s="222"/>
      <c r="G40" s="220"/>
      <c r="H40" s="222"/>
      <c r="I40" s="222"/>
      <c r="J40" s="222"/>
      <c r="K40" s="222"/>
      <c r="L40" s="222"/>
      <c r="M40" s="222"/>
      <c r="N40" s="222"/>
      <c r="O40" s="222"/>
      <c r="P40" s="222">
        <v>387308301</v>
      </c>
      <c r="Q40" s="222">
        <v>26596605</v>
      </c>
      <c r="R40" s="222">
        <v>4537657</v>
      </c>
      <c r="S40" s="222">
        <v>1512552</v>
      </c>
      <c r="T40" s="222">
        <v>3039612</v>
      </c>
      <c r="U40" s="222">
        <v>17963649</v>
      </c>
      <c r="V40" s="222">
        <v>440958376</v>
      </c>
      <c r="W40" s="229">
        <v>16.571428571428569</v>
      </c>
      <c r="X40" s="223">
        <v>2875937736</v>
      </c>
      <c r="Y40" s="224"/>
    </row>
    <row r="41" spans="1:27">
      <c r="X41" s="230"/>
    </row>
    <row r="42" spans="1:27">
      <c r="X42" s="230"/>
    </row>
    <row r="43" spans="1:27" s="186" customFormat="1" ht="21" customHeight="1">
      <c r="A43" s="232" t="s">
        <v>306</v>
      </c>
      <c r="B43" s="233"/>
      <c r="C43" s="233"/>
      <c r="E43" s="234"/>
      <c r="F43" s="235"/>
      <c r="G43" s="234"/>
      <c r="H43" s="234"/>
      <c r="I43" s="236"/>
      <c r="J43" s="237"/>
      <c r="K43" s="237"/>
      <c r="L43" s="237"/>
      <c r="M43" s="237"/>
      <c r="N43" s="238"/>
      <c r="O43" s="239"/>
      <c r="P43" s="240"/>
      <c r="Q43" s="240"/>
      <c r="R43" s="240"/>
      <c r="S43" s="240"/>
      <c r="T43" s="240"/>
      <c r="U43" s="240"/>
      <c r="V43" s="241"/>
      <c r="W43" s="241"/>
      <c r="X43" s="241"/>
      <c r="Y43" s="242"/>
    </row>
    <row r="44" spans="1:27" s="186" customFormat="1" ht="16.5" customHeight="1">
      <c r="A44" s="243" t="str">
        <f>C7</f>
        <v>Nghiên cứu xây dựng công nghệ bản đồ không gian và định vị trực quan cho nền tảng thực tế tăng cường</v>
      </c>
      <c r="B44" s="244" t="s">
        <v>124</v>
      </c>
      <c r="C44" s="724" t="s">
        <v>307</v>
      </c>
      <c r="D44" s="724"/>
      <c r="E44" s="724"/>
      <c r="F44" s="724"/>
      <c r="G44" s="724"/>
      <c r="H44" s="724"/>
      <c r="I44" s="724"/>
      <c r="J44" s="236">
        <v>13891505493.048204</v>
      </c>
      <c r="K44" s="237"/>
      <c r="L44" s="237"/>
      <c r="M44" s="237"/>
      <c r="N44" s="238"/>
      <c r="O44" s="239"/>
      <c r="P44" s="240"/>
      <c r="Q44" s="240"/>
      <c r="R44" s="240"/>
      <c r="S44" s="240"/>
      <c r="T44" s="240"/>
      <c r="U44" s="245"/>
      <c r="W44" s="241"/>
      <c r="X44" s="242"/>
    </row>
    <row r="45" spans="1:27" s="186" customFormat="1" ht="16.5">
      <c r="A45" s="243" t="str">
        <f>$A$44</f>
        <v>Nghiên cứu xây dựng công nghệ bản đồ không gian và định vị trực quan cho nền tảng thực tế tăng cường</v>
      </c>
      <c r="B45" s="244" t="s">
        <v>127</v>
      </c>
      <c r="C45" s="246" t="s">
        <v>308</v>
      </c>
      <c r="D45" s="247"/>
      <c r="F45" s="248"/>
      <c r="G45" s="249"/>
      <c r="H45" s="234"/>
      <c r="J45" s="234">
        <v>2578776243.4000001</v>
      </c>
      <c r="K45" s="237"/>
      <c r="L45" s="237"/>
      <c r="M45" s="237"/>
      <c r="N45" s="238"/>
      <c r="O45" s="239"/>
      <c r="P45" s="240"/>
      <c r="Q45" s="240"/>
      <c r="R45" s="240"/>
      <c r="S45" s="240"/>
      <c r="T45" s="240"/>
      <c r="U45" s="250"/>
      <c r="V45" s="251"/>
      <c r="W45" s="240"/>
      <c r="X45" s="242"/>
    </row>
    <row r="46" spans="1:27" s="186" customFormat="1" ht="16.5">
      <c r="A46" s="252"/>
      <c r="B46" s="244" t="s">
        <v>309</v>
      </c>
      <c r="C46" s="246" t="s">
        <v>310</v>
      </c>
      <c r="D46" s="247"/>
      <c r="F46" s="253" t="s">
        <v>311</v>
      </c>
      <c r="G46" s="249"/>
      <c r="H46" s="234"/>
      <c r="J46" s="254">
        <f>V40</f>
        <v>440958376</v>
      </c>
      <c r="K46" s="237"/>
      <c r="L46" s="237"/>
      <c r="M46" s="237"/>
      <c r="N46" s="238"/>
      <c r="O46" s="239"/>
      <c r="P46" s="240"/>
      <c r="Q46" s="240"/>
      <c r="R46" s="240"/>
      <c r="S46" s="240"/>
      <c r="T46" s="240"/>
      <c r="U46" s="240"/>
      <c r="V46" s="240"/>
      <c r="W46" s="240"/>
      <c r="X46" s="240"/>
      <c r="Y46" s="242"/>
    </row>
    <row r="47" spans="1:27" s="186" customFormat="1" ht="16.5">
      <c r="A47" s="252"/>
      <c r="B47" s="244" t="s">
        <v>312</v>
      </c>
      <c r="C47" s="246" t="s">
        <v>313</v>
      </c>
      <c r="D47" s="247"/>
      <c r="F47" s="248"/>
      <c r="G47" s="249"/>
      <c r="H47" s="234"/>
      <c r="J47" s="234">
        <f>J45+J46</f>
        <v>3019734619.4000001</v>
      </c>
      <c r="K47" s="237"/>
      <c r="L47" s="237"/>
      <c r="M47" s="237"/>
      <c r="N47" s="238"/>
      <c r="O47" s="239"/>
      <c r="P47" s="240"/>
      <c r="Q47" s="240"/>
      <c r="R47" s="240"/>
      <c r="S47" s="240"/>
      <c r="T47" s="240"/>
      <c r="U47" s="240"/>
      <c r="V47" s="240"/>
      <c r="W47" s="240"/>
      <c r="X47" s="240"/>
      <c r="Y47" s="242"/>
    </row>
    <row r="48" spans="1:27" s="186" customFormat="1" ht="20.25" customHeight="1">
      <c r="A48" s="252"/>
      <c r="B48" s="244" t="s">
        <v>314</v>
      </c>
      <c r="C48" s="246" t="s">
        <v>315</v>
      </c>
      <c r="D48" s="247"/>
      <c r="F48" s="255" t="str">
        <f>F46</f>
        <v>04/2025:</v>
      </c>
      <c r="G48" s="249"/>
      <c r="H48" s="234"/>
      <c r="J48" s="234">
        <f>J44-J47</f>
        <v>10871770873.648205</v>
      </c>
      <c r="K48" s="237"/>
      <c r="L48" s="237"/>
      <c r="M48" s="237"/>
      <c r="N48" s="238"/>
      <c r="O48" s="239"/>
      <c r="P48" s="240"/>
      <c r="Q48" s="240"/>
      <c r="R48" s="240"/>
      <c r="S48" s="240"/>
      <c r="T48" s="240"/>
      <c r="U48" s="240"/>
      <c r="V48" s="241"/>
      <c r="W48" s="241"/>
      <c r="X48" s="241"/>
      <c r="Y48" s="242"/>
    </row>
    <row r="49" spans="1:25" s="258" customFormat="1" ht="28.5" customHeight="1">
      <c r="A49" s="256" t="s">
        <v>316</v>
      </c>
      <c r="B49" s="257"/>
      <c r="C49" s="257"/>
      <c r="E49" s="186"/>
      <c r="F49" s="259"/>
      <c r="I49" s="260"/>
      <c r="Y49" s="261"/>
    </row>
    <row r="50" spans="1:25" s="179" customFormat="1" ht="15" customHeight="1">
      <c r="A50" s="262"/>
      <c r="B50" s="178"/>
      <c r="C50" s="178"/>
      <c r="F50" s="180"/>
      <c r="I50" s="181"/>
      <c r="Y50" s="177"/>
    </row>
    <row r="51" spans="1:25" s="265" customFormat="1" ht="19.5" customHeight="1">
      <c r="A51" s="263"/>
      <c r="B51" s="264" t="s">
        <v>84</v>
      </c>
      <c r="C51" s="264"/>
      <c r="F51" s="266"/>
      <c r="G51" s="264" t="s">
        <v>87</v>
      </c>
      <c r="I51" s="267"/>
      <c r="P51" s="265" t="s">
        <v>111</v>
      </c>
      <c r="T51" s="725" t="s">
        <v>85</v>
      </c>
      <c r="U51" s="725"/>
      <c r="V51" s="725"/>
      <c r="W51" s="725"/>
      <c r="X51" s="725"/>
      <c r="Y51" s="725"/>
    </row>
    <row r="52" spans="1:25" ht="6" customHeight="1"/>
    <row r="53" spans="1:25" hidden="1"/>
  </sheetData>
  <autoFilter ref="A14:AL39" xr:uid="{00000000-0009-0000-0000-00000D000000}"/>
  <mergeCells count="38">
    <mergeCell ref="A10:A14"/>
    <mergeCell ref="B10:B14"/>
    <mergeCell ref="C10:C14"/>
    <mergeCell ref="D10:D14"/>
    <mergeCell ref="E10:E14"/>
    <mergeCell ref="B2:E2"/>
    <mergeCell ref="S2:Y2"/>
    <mergeCell ref="B3:E3"/>
    <mergeCell ref="S3:Y3"/>
    <mergeCell ref="A6:Y6"/>
    <mergeCell ref="W10:W14"/>
    <mergeCell ref="X10:X14"/>
    <mergeCell ref="Y10:Y14"/>
    <mergeCell ref="G11:H12"/>
    <mergeCell ref="I11:I14"/>
    <mergeCell ref="J11:M11"/>
    <mergeCell ref="N11:N14"/>
    <mergeCell ref="M12:M14"/>
    <mergeCell ref="Q12:Q14"/>
    <mergeCell ref="J12:J14"/>
    <mergeCell ref="K12:K14"/>
    <mergeCell ref="L12:L14"/>
    <mergeCell ref="F10:F14"/>
    <mergeCell ref="G10:O10"/>
    <mergeCell ref="P10:V10"/>
    <mergeCell ref="C44:I44"/>
    <mergeCell ref="T51:Y51"/>
    <mergeCell ref="R12:R14"/>
    <mergeCell ref="S12:S14"/>
    <mergeCell ref="T12:T14"/>
    <mergeCell ref="G13:G14"/>
    <mergeCell ref="H13:H14"/>
    <mergeCell ref="A39:C39"/>
    <mergeCell ref="O11:O14"/>
    <mergeCell ref="P11:P14"/>
    <mergeCell ref="Q11:T11"/>
    <mergeCell ref="U11:U14"/>
    <mergeCell ref="V11:V14"/>
  </mergeCells>
  <pageMargins left="0.45" right="0.2" top="0.5" bottom="0.5" header="0.3" footer="0.3"/>
  <pageSetup paperSize="9" scale="48" fitToHeight="0" orientation="landscape" r:id="rId1"/>
  <colBreaks count="1" manualBreakCount="1">
    <brk id="25" max="1048575"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499984740745262"/>
    <pageSetUpPr fitToPage="1"/>
  </sheetPr>
  <dimension ref="A1:AP37"/>
  <sheetViews>
    <sheetView view="pageBreakPreview" zoomScale="85" zoomScaleNormal="85" zoomScaleSheetLayoutView="85" workbookViewId="0">
      <selection activeCell="S22" sqref="S22"/>
    </sheetView>
  </sheetViews>
  <sheetFormatPr defaultRowHeight="15"/>
  <cols>
    <col min="1" max="1" width="6.28515625" style="448" customWidth="1"/>
    <col min="2" max="2" width="8.5703125" style="448" customWidth="1"/>
    <col min="3" max="3" width="22.28515625" style="448" customWidth="1"/>
    <col min="4" max="4" width="9.85546875" style="448" customWidth="1"/>
    <col min="5" max="5" width="9.5703125" style="500" customWidth="1"/>
    <col min="6" max="6" width="11.140625" style="500" customWidth="1"/>
    <col min="7" max="7" width="12.140625" style="500" customWidth="1"/>
    <col min="8" max="10" width="13" style="448" customWidth="1"/>
    <col min="11" max="14" width="10" style="448" customWidth="1"/>
    <col min="15" max="15" width="10.42578125" style="448" customWidth="1"/>
    <col min="16" max="17" width="13" style="448" customWidth="1"/>
    <col min="18" max="18" width="11" style="500" customWidth="1"/>
    <col min="19" max="19" width="13.28515625" style="500" customWidth="1"/>
    <col min="20" max="22" width="13" style="448" customWidth="1"/>
    <col min="23" max="26" width="10.28515625" style="448" customWidth="1"/>
    <col min="27" max="28" width="13" style="448" customWidth="1"/>
    <col min="29" max="29" width="15.85546875" style="448" customWidth="1"/>
    <col min="30" max="16384" width="9.140625" style="448"/>
  </cols>
  <sheetData>
    <row r="1" spans="1:42" s="445" customFormat="1" ht="21.75" customHeight="1">
      <c r="B1" s="760" t="s">
        <v>3173</v>
      </c>
      <c r="C1" s="760"/>
      <c r="D1" s="760"/>
      <c r="E1" s="760"/>
      <c r="F1" s="760"/>
      <c r="G1" s="760"/>
      <c r="H1" s="760"/>
      <c r="I1" s="446"/>
      <c r="V1" s="671" t="s">
        <v>366</v>
      </c>
      <c r="W1" s="671"/>
      <c r="X1" s="671"/>
      <c r="Y1" s="671"/>
      <c r="Z1" s="671"/>
      <c r="AA1" s="671"/>
      <c r="AB1" s="447"/>
      <c r="AC1" s="447"/>
      <c r="AD1" s="447"/>
      <c r="AE1" s="447"/>
      <c r="AF1" s="447"/>
      <c r="AK1" s="447"/>
      <c r="AL1" s="447"/>
      <c r="AM1" s="447"/>
      <c r="AN1" s="333"/>
      <c r="AO1" s="333"/>
      <c r="AP1" s="334"/>
    </row>
    <row r="2" spans="1:42" s="445" customFormat="1" ht="20.25" customHeight="1">
      <c r="B2" s="761" t="s">
        <v>112</v>
      </c>
      <c r="C2" s="761"/>
      <c r="D2" s="761"/>
      <c r="E2" s="761"/>
      <c r="F2" s="761"/>
      <c r="G2" s="761"/>
      <c r="H2" s="761"/>
      <c r="I2" s="446"/>
      <c r="W2" s="762" t="s">
        <v>51</v>
      </c>
      <c r="X2" s="762"/>
      <c r="Y2" s="762"/>
      <c r="Z2" s="762"/>
      <c r="AA2" s="447"/>
      <c r="AB2" s="447"/>
      <c r="AC2" s="447"/>
      <c r="AD2" s="447"/>
      <c r="AE2" s="447"/>
      <c r="AF2" s="447"/>
      <c r="AK2" s="447"/>
      <c r="AL2" s="447"/>
      <c r="AM2" s="447"/>
      <c r="AN2" s="333"/>
      <c r="AO2" s="333"/>
      <c r="AP2" s="334"/>
    </row>
    <row r="3" spans="1:42" ht="20.25">
      <c r="A3" s="758" t="s">
        <v>3191</v>
      </c>
      <c r="B3" s="759"/>
      <c r="C3" s="759"/>
      <c r="D3" s="759"/>
      <c r="E3" s="759"/>
      <c r="F3" s="759"/>
      <c r="G3" s="759"/>
      <c r="H3" s="759"/>
      <c r="I3" s="759"/>
      <c r="J3" s="759"/>
      <c r="K3" s="759"/>
      <c r="L3" s="759"/>
      <c r="M3" s="759"/>
      <c r="N3" s="759"/>
      <c r="O3" s="759"/>
      <c r="P3" s="759"/>
      <c r="Q3" s="759"/>
      <c r="R3" s="759"/>
      <c r="S3" s="759"/>
      <c r="T3" s="759"/>
      <c r="U3" s="759"/>
      <c r="V3" s="759"/>
      <c r="W3" s="759"/>
      <c r="X3" s="759"/>
      <c r="Y3" s="759"/>
      <c r="Z3" s="759"/>
      <c r="AA3" s="759"/>
      <c r="AB3" s="759"/>
      <c r="AC3" s="759"/>
    </row>
    <row r="4" spans="1:42" ht="20.25">
      <c r="A4" s="758" t="s">
        <v>3192</v>
      </c>
      <c r="B4" s="759"/>
      <c r="C4" s="759"/>
      <c r="D4" s="759"/>
      <c r="E4" s="759"/>
      <c r="F4" s="759"/>
      <c r="G4" s="759"/>
      <c r="H4" s="759"/>
      <c r="I4" s="759"/>
      <c r="J4" s="759"/>
      <c r="K4" s="759"/>
      <c r="L4" s="759"/>
      <c r="M4" s="759"/>
      <c r="N4" s="759"/>
      <c r="O4" s="759"/>
      <c r="P4" s="759"/>
      <c r="Q4" s="759"/>
      <c r="R4" s="759"/>
      <c r="S4" s="759"/>
      <c r="T4" s="759"/>
      <c r="U4" s="759"/>
      <c r="V4" s="759"/>
      <c r="W4" s="759"/>
      <c r="X4" s="759"/>
      <c r="Y4" s="759"/>
      <c r="Z4" s="759"/>
      <c r="AA4" s="759"/>
      <c r="AB4" s="759"/>
      <c r="AC4" s="759"/>
    </row>
    <row r="5" spans="1:42" ht="19.5">
      <c r="A5" s="449"/>
      <c r="B5" s="450" t="s">
        <v>3174</v>
      </c>
      <c r="C5" s="451"/>
      <c r="D5" s="452" t="s">
        <v>3266</v>
      </c>
      <c r="E5" s="452"/>
      <c r="F5" s="452"/>
      <c r="G5" s="452"/>
      <c r="H5" s="452"/>
      <c r="I5" s="452"/>
      <c r="J5" s="452"/>
      <c r="K5" s="452"/>
      <c r="L5" s="452"/>
      <c r="M5" s="452"/>
      <c r="N5" s="452"/>
      <c r="O5" s="452"/>
      <c r="P5" s="452"/>
      <c r="Q5" s="452"/>
      <c r="R5" s="452"/>
      <c r="S5" s="452"/>
      <c r="T5" s="453"/>
      <c r="U5" s="453"/>
      <c r="V5" s="453"/>
      <c r="W5" s="453"/>
      <c r="X5" s="453"/>
      <c r="Y5" s="453"/>
      <c r="Z5" s="453"/>
      <c r="AA5" s="453"/>
      <c r="AB5" s="453"/>
      <c r="AC5" s="453"/>
      <c r="AD5" s="454"/>
    </row>
    <row r="6" spans="1:42" ht="19.5">
      <c r="A6" s="449"/>
      <c r="B6" s="450" t="s">
        <v>3265</v>
      </c>
      <c r="C6" s="451"/>
      <c r="D6" s="452" t="s">
        <v>3267</v>
      </c>
      <c r="E6" s="452"/>
      <c r="F6" s="452"/>
      <c r="G6" s="452"/>
      <c r="H6" s="452"/>
      <c r="I6" s="452"/>
      <c r="J6" s="452"/>
      <c r="K6" s="452"/>
      <c r="L6" s="452"/>
      <c r="M6" s="452"/>
      <c r="N6" s="452"/>
      <c r="O6" s="452"/>
      <c r="P6" s="452"/>
      <c r="Q6" s="452"/>
      <c r="R6" s="452"/>
      <c r="S6" s="452"/>
      <c r="T6" s="453"/>
      <c r="U6" s="453"/>
      <c r="V6" s="453"/>
      <c r="W6" s="453"/>
      <c r="X6" s="453"/>
      <c r="Y6" s="453"/>
      <c r="Z6" s="453"/>
      <c r="AA6" s="453"/>
      <c r="AB6" s="453"/>
      <c r="AC6" s="453"/>
      <c r="AD6" s="454"/>
    </row>
    <row r="7" spans="1:42" ht="19.5">
      <c r="A7" s="449"/>
      <c r="B7" s="450" t="s">
        <v>3175</v>
      </c>
      <c r="C7" s="453"/>
      <c r="D7" s="453" t="s">
        <v>142</v>
      </c>
      <c r="E7" s="455"/>
      <c r="F7" s="455"/>
      <c r="G7" s="455"/>
      <c r="H7" s="453"/>
      <c r="I7" s="453"/>
      <c r="J7" s="453"/>
      <c r="K7" s="453"/>
      <c r="L7" s="453"/>
      <c r="M7" s="453"/>
      <c r="N7" s="453"/>
      <c r="O7" s="453"/>
      <c r="P7" s="453"/>
      <c r="Q7" s="453"/>
      <c r="R7" s="455"/>
      <c r="S7" s="455"/>
      <c r="T7" s="453"/>
      <c r="U7" s="453"/>
      <c r="V7" s="453"/>
      <c r="W7" s="453"/>
      <c r="X7" s="453"/>
      <c r="Y7" s="453"/>
      <c r="Z7" s="453"/>
      <c r="AA7" s="453"/>
      <c r="AB7" s="453"/>
      <c r="AC7" s="453"/>
    </row>
    <row r="8" spans="1:42">
      <c r="A8" s="456"/>
      <c r="B8" s="457"/>
      <c r="C8" s="456"/>
      <c r="D8" s="456"/>
      <c r="E8" s="456"/>
      <c r="F8" s="456"/>
      <c r="G8" s="456"/>
      <c r="H8" s="456"/>
      <c r="I8" s="456"/>
      <c r="J8" s="456"/>
      <c r="K8" s="456"/>
      <c r="L8" s="456"/>
      <c r="M8" s="456"/>
      <c r="N8" s="456"/>
      <c r="O8" s="456"/>
      <c r="P8" s="456"/>
      <c r="Q8" s="456"/>
      <c r="R8" s="456"/>
      <c r="S8" s="456"/>
      <c r="T8" s="458"/>
      <c r="U8" s="458"/>
      <c r="V8" s="458"/>
      <c r="W8" s="458"/>
      <c r="X8" s="458"/>
      <c r="Y8" s="458"/>
      <c r="Z8" s="458"/>
      <c r="AA8" s="458"/>
      <c r="AB8" s="458"/>
      <c r="AC8" s="458"/>
    </row>
    <row r="9" spans="1:42">
      <c r="A9" s="780" t="s">
        <v>36</v>
      </c>
      <c r="B9" s="780" t="s">
        <v>284</v>
      </c>
      <c r="C9" s="780" t="s">
        <v>57</v>
      </c>
      <c r="D9" s="763" t="s">
        <v>3154</v>
      </c>
      <c r="E9" s="781" t="s">
        <v>3176</v>
      </c>
      <c r="F9" s="781"/>
      <c r="G9" s="781"/>
      <c r="H9" s="781"/>
      <c r="I9" s="781"/>
      <c r="J9" s="781"/>
      <c r="K9" s="781"/>
      <c r="L9" s="781"/>
      <c r="M9" s="781"/>
      <c r="N9" s="781"/>
      <c r="O9" s="781"/>
      <c r="P9" s="781"/>
      <c r="Q9" s="781"/>
      <c r="R9" s="781"/>
      <c r="S9" s="764" t="s">
        <v>3177</v>
      </c>
      <c r="T9" s="765"/>
      <c r="U9" s="765"/>
      <c r="V9" s="765"/>
      <c r="W9" s="765"/>
      <c r="X9" s="765"/>
      <c r="Y9" s="765"/>
      <c r="Z9" s="765"/>
      <c r="AA9" s="765"/>
      <c r="AB9" s="765"/>
      <c r="AC9" s="766"/>
    </row>
    <row r="10" spans="1:42">
      <c r="A10" s="780"/>
      <c r="B10" s="780"/>
      <c r="C10" s="780"/>
      <c r="D10" s="763"/>
      <c r="E10" s="763" t="s">
        <v>292</v>
      </c>
      <c r="F10" s="763"/>
      <c r="G10" s="767" t="s">
        <v>293</v>
      </c>
      <c r="H10" s="767" t="s">
        <v>3178</v>
      </c>
      <c r="I10" s="768" t="s">
        <v>3179</v>
      </c>
      <c r="J10" s="769"/>
      <c r="K10" s="769"/>
      <c r="L10" s="769"/>
      <c r="M10" s="769"/>
      <c r="N10" s="769"/>
      <c r="O10" s="767" t="s">
        <v>301</v>
      </c>
      <c r="P10" s="772" t="s">
        <v>3180</v>
      </c>
      <c r="Q10" s="772" t="s">
        <v>3181</v>
      </c>
      <c r="R10" s="763" t="s">
        <v>296</v>
      </c>
      <c r="S10" s="767" t="s">
        <v>293</v>
      </c>
      <c r="T10" s="767" t="s">
        <v>3178</v>
      </c>
      <c r="U10" s="768" t="s">
        <v>3182</v>
      </c>
      <c r="V10" s="769"/>
      <c r="W10" s="769"/>
      <c r="X10" s="769"/>
      <c r="Y10" s="769"/>
      <c r="Z10" s="775"/>
      <c r="AA10" s="777" t="s">
        <v>301</v>
      </c>
      <c r="AB10" s="772" t="s">
        <v>3183</v>
      </c>
      <c r="AC10" s="773" t="s">
        <v>3184</v>
      </c>
    </row>
    <row r="11" spans="1:42">
      <c r="A11" s="780"/>
      <c r="B11" s="780"/>
      <c r="C11" s="780"/>
      <c r="D11" s="763"/>
      <c r="E11" s="763"/>
      <c r="F11" s="763"/>
      <c r="G11" s="767"/>
      <c r="H11" s="767"/>
      <c r="I11" s="770"/>
      <c r="J11" s="771"/>
      <c r="K11" s="771"/>
      <c r="L11" s="771"/>
      <c r="M11" s="771"/>
      <c r="N11" s="771"/>
      <c r="O11" s="767"/>
      <c r="P11" s="772"/>
      <c r="Q11" s="772"/>
      <c r="R11" s="763"/>
      <c r="S11" s="767"/>
      <c r="T11" s="767"/>
      <c r="U11" s="770"/>
      <c r="V11" s="771"/>
      <c r="W11" s="771"/>
      <c r="X11" s="771"/>
      <c r="Y11" s="771"/>
      <c r="Z11" s="776"/>
      <c r="AA11" s="778"/>
      <c r="AB11" s="772"/>
      <c r="AC11" s="773"/>
    </row>
    <row r="12" spans="1:42">
      <c r="A12" s="780"/>
      <c r="B12" s="780"/>
      <c r="C12" s="780"/>
      <c r="D12" s="763"/>
      <c r="E12" s="763" t="s">
        <v>302</v>
      </c>
      <c r="F12" s="763" t="s">
        <v>303</v>
      </c>
      <c r="G12" s="767"/>
      <c r="H12" s="767"/>
      <c r="I12" s="767" t="s">
        <v>298</v>
      </c>
      <c r="J12" s="767"/>
      <c r="K12" s="767" t="s">
        <v>299</v>
      </c>
      <c r="L12" s="767"/>
      <c r="M12" s="767" t="s">
        <v>300</v>
      </c>
      <c r="N12" s="782"/>
      <c r="O12" s="767"/>
      <c r="P12" s="772"/>
      <c r="Q12" s="772"/>
      <c r="R12" s="763"/>
      <c r="S12" s="767"/>
      <c r="T12" s="767"/>
      <c r="U12" s="767" t="s">
        <v>298</v>
      </c>
      <c r="V12" s="767"/>
      <c r="W12" s="767" t="s">
        <v>299</v>
      </c>
      <c r="X12" s="767"/>
      <c r="Y12" s="767" t="s">
        <v>300</v>
      </c>
      <c r="Z12" s="767"/>
      <c r="AA12" s="778"/>
      <c r="AB12" s="772"/>
      <c r="AC12" s="773"/>
    </row>
    <row r="13" spans="1:42" ht="25.5" customHeight="1">
      <c r="A13" s="780"/>
      <c r="B13" s="780"/>
      <c r="C13" s="780"/>
      <c r="D13" s="763"/>
      <c r="E13" s="763"/>
      <c r="F13" s="763"/>
      <c r="G13" s="767"/>
      <c r="H13" s="767"/>
      <c r="I13" s="459" t="s">
        <v>391</v>
      </c>
      <c r="J13" s="459" t="s">
        <v>386</v>
      </c>
      <c r="K13" s="459" t="s">
        <v>391</v>
      </c>
      <c r="L13" s="459" t="s">
        <v>386</v>
      </c>
      <c r="M13" s="459" t="s">
        <v>391</v>
      </c>
      <c r="N13" s="460" t="s">
        <v>386</v>
      </c>
      <c r="O13" s="767"/>
      <c r="P13" s="772"/>
      <c r="Q13" s="772"/>
      <c r="R13" s="763"/>
      <c r="S13" s="767"/>
      <c r="T13" s="767"/>
      <c r="U13" s="459" t="s">
        <v>391</v>
      </c>
      <c r="V13" s="459" t="s">
        <v>386</v>
      </c>
      <c r="W13" s="459" t="s">
        <v>391</v>
      </c>
      <c r="X13" s="459" t="s">
        <v>386</v>
      </c>
      <c r="Y13" s="459" t="s">
        <v>391</v>
      </c>
      <c r="Z13" s="459" t="s">
        <v>386</v>
      </c>
      <c r="AA13" s="779"/>
      <c r="AB13" s="772"/>
      <c r="AC13" s="773"/>
    </row>
    <row r="14" spans="1:42">
      <c r="A14" s="461" t="s">
        <v>3185</v>
      </c>
      <c r="B14" s="462"/>
      <c r="C14" s="463" t="s">
        <v>3186</v>
      </c>
      <c r="D14" s="463"/>
      <c r="E14" s="464"/>
      <c r="F14" s="464"/>
      <c r="G14" s="464"/>
      <c r="H14" s="463"/>
      <c r="I14" s="465"/>
      <c r="J14" s="465"/>
      <c r="K14" s="465"/>
      <c r="L14" s="465"/>
      <c r="M14" s="465"/>
      <c r="N14" s="465"/>
      <c r="O14" s="465"/>
      <c r="P14" s="466"/>
      <c r="Q14" s="466"/>
      <c r="R14" s="467"/>
      <c r="S14" s="468">
        <v>160490817</v>
      </c>
      <c r="T14" s="468">
        <v>155147839</v>
      </c>
      <c r="U14" s="468">
        <v>4386405</v>
      </c>
      <c r="V14" s="468">
        <v>9595260</v>
      </c>
      <c r="W14" s="468">
        <v>573944</v>
      </c>
      <c r="X14" s="468">
        <v>1147885</v>
      </c>
      <c r="Y14" s="468">
        <v>382629</v>
      </c>
      <c r="Z14" s="468">
        <v>382629</v>
      </c>
      <c r="AA14" s="468">
        <v>1096600</v>
      </c>
      <c r="AB14" s="468">
        <v>4973809</v>
      </c>
      <c r="AC14" s="468">
        <v>177687000</v>
      </c>
    </row>
    <row r="15" spans="1:42">
      <c r="A15" s="469">
        <f>SUBTOTAL(103,$I$13:I14)</f>
        <v>1</v>
      </c>
      <c r="B15" s="470" t="s">
        <v>971</v>
      </c>
      <c r="C15" s="471" t="s">
        <v>972</v>
      </c>
      <c r="D15" s="472" t="s">
        <v>3170</v>
      </c>
      <c r="E15" s="473">
        <v>21</v>
      </c>
      <c r="F15" s="473">
        <v>21</v>
      </c>
      <c r="G15" s="473">
        <v>47887184</v>
      </c>
      <c r="H15" s="473">
        <v>46561808</v>
      </c>
      <c r="I15" s="473">
        <v>1325376</v>
      </c>
      <c r="J15" s="473">
        <v>2899260</v>
      </c>
      <c r="K15" s="473">
        <v>0</v>
      </c>
      <c r="L15" s="473">
        <v>0</v>
      </c>
      <c r="M15" s="473">
        <v>0</v>
      </c>
      <c r="N15" s="473">
        <v>0</v>
      </c>
      <c r="O15" s="473">
        <v>331344</v>
      </c>
      <c r="P15" s="473">
        <v>1030000</v>
      </c>
      <c r="Q15" s="473">
        <v>52147788</v>
      </c>
      <c r="R15" s="473">
        <v>21</v>
      </c>
      <c r="S15" s="473">
        <v>47887184</v>
      </c>
      <c r="T15" s="473">
        <v>46561808</v>
      </c>
      <c r="U15" s="473">
        <v>1325376</v>
      </c>
      <c r="V15" s="473">
        <v>2899260</v>
      </c>
      <c r="W15" s="473">
        <v>0</v>
      </c>
      <c r="X15" s="473">
        <v>0</v>
      </c>
      <c r="Y15" s="473">
        <v>0</v>
      </c>
      <c r="Z15" s="473">
        <v>0</v>
      </c>
      <c r="AA15" s="473">
        <v>331344</v>
      </c>
      <c r="AB15" s="473">
        <v>1030000</v>
      </c>
      <c r="AC15" s="474">
        <v>52147788</v>
      </c>
    </row>
    <row r="16" spans="1:42">
      <c r="A16" s="469">
        <f>SUBTOTAL(103,$I$13:I15)</f>
        <v>2</v>
      </c>
      <c r="B16" s="470" t="s">
        <v>1137</v>
      </c>
      <c r="C16" s="471" t="s">
        <v>1138</v>
      </c>
      <c r="D16" s="472" t="s">
        <v>3170</v>
      </c>
      <c r="E16" s="473">
        <v>21</v>
      </c>
      <c r="F16" s="473">
        <v>21</v>
      </c>
      <c r="G16" s="473">
        <v>41773944</v>
      </c>
      <c r="H16" s="473">
        <v>40649016</v>
      </c>
      <c r="I16" s="473">
        <v>857088</v>
      </c>
      <c r="J16" s="473">
        <v>1874880</v>
      </c>
      <c r="K16" s="473">
        <v>160704</v>
      </c>
      <c r="L16" s="473">
        <v>321408</v>
      </c>
      <c r="M16" s="473">
        <v>107136</v>
      </c>
      <c r="N16" s="473">
        <v>107136</v>
      </c>
      <c r="O16" s="473">
        <v>214272</v>
      </c>
      <c r="P16" s="473">
        <v>1030000</v>
      </c>
      <c r="Q16" s="473">
        <v>45321640</v>
      </c>
      <c r="R16" s="473">
        <v>4</v>
      </c>
      <c r="S16" s="473">
        <v>7956941</v>
      </c>
      <c r="T16" s="473">
        <v>7742668</v>
      </c>
      <c r="U16" s="473">
        <v>163255</v>
      </c>
      <c r="V16" s="473">
        <v>357120</v>
      </c>
      <c r="W16" s="473">
        <v>30611</v>
      </c>
      <c r="X16" s="473">
        <v>61220</v>
      </c>
      <c r="Y16" s="473">
        <v>20407</v>
      </c>
      <c r="Z16" s="473">
        <v>20407</v>
      </c>
      <c r="AA16" s="473">
        <v>40813</v>
      </c>
      <c r="AB16" s="473">
        <v>196190</v>
      </c>
      <c r="AC16" s="474">
        <v>8632691</v>
      </c>
    </row>
    <row r="17" spans="1:29">
      <c r="A17" s="469">
        <f>SUBTOTAL(103,$I$13:I16)</f>
        <v>3</v>
      </c>
      <c r="B17" s="470" t="s">
        <v>1666</v>
      </c>
      <c r="C17" s="471" t="s">
        <v>1667</v>
      </c>
      <c r="D17" s="472" t="s">
        <v>3170</v>
      </c>
      <c r="E17" s="473">
        <v>21</v>
      </c>
      <c r="F17" s="473">
        <v>21</v>
      </c>
      <c r="G17" s="473">
        <v>22088068</v>
      </c>
      <c r="H17" s="473">
        <v>21124588</v>
      </c>
      <c r="I17" s="473">
        <v>734080</v>
      </c>
      <c r="J17" s="473">
        <v>1605800</v>
      </c>
      <c r="K17" s="473">
        <v>137640</v>
      </c>
      <c r="L17" s="473">
        <v>275280</v>
      </c>
      <c r="M17" s="473">
        <v>91760</v>
      </c>
      <c r="N17" s="473">
        <v>91760</v>
      </c>
      <c r="O17" s="473">
        <v>183520</v>
      </c>
      <c r="P17" s="473">
        <v>930000</v>
      </c>
      <c r="Q17" s="473">
        <v>25174428</v>
      </c>
      <c r="R17" s="473">
        <v>21</v>
      </c>
      <c r="S17" s="473">
        <v>22088068</v>
      </c>
      <c r="T17" s="473">
        <v>21124588</v>
      </c>
      <c r="U17" s="473">
        <v>734080</v>
      </c>
      <c r="V17" s="473">
        <v>1605800</v>
      </c>
      <c r="W17" s="473">
        <v>137640</v>
      </c>
      <c r="X17" s="473">
        <v>275280</v>
      </c>
      <c r="Y17" s="473">
        <v>91760</v>
      </c>
      <c r="Z17" s="473">
        <v>91760</v>
      </c>
      <c r="AA17" s="473">
        <v>183520</v>
      </c>
      <c r="AB17" s="473">
        <v>930000</v>
      </c>
      <c r="AC17" s="474">
        <v>25174428</v>
      </c>
    </row>
    <row r="18" spans="1:29">
      <c r="A18" s="469">
        <f>SUBTOTAL(103,$I$13:I17)</f>
        <v>4</v>
      </c>
      <c r="B18" s="470" t="s">
        <v>2462</v>
      </c>
      <c r="C18" s="471" t="s">
        <v>2463</v>
      </c>
      <c r="D18" s="472" t="s">
        <v>3170</v>
      </c>
      <c r="E18" s="473">
        <v>21</v>
      </c>
      <c r="F18" s="473">
        <v>21</v>
      </c>
      <c r="G18" s="473">
        <v>20975400</v>
      </c>
      <c r="H18" s="473">
        <v>20058792</v>
      </c>
      <c r="I18" s="473">
        <v>698368</v>
      </c>
      <c r="J18" s="473">
        <v>1527680</v>
      </c>
      <c r="K18" s="473">
        <v>130944</v>
      </c>
      <c r="L18" s="473">
        <v>261888</v>
      </c>
      <c r="M18" s="473">
        <v>87296</v>
      </c>
      <c r="N18" s="473">
        <v>87296</v>
      </c>
      <c r="O18" s="473">
        <v>174592</v>
      </c>
      <c r="P18" s="473">
        <v>1030000</v>
      </c>
      <c r="Q18" s="473">
        <v>24056856</v>
      </c>
      <c r="R18" s="473">
        <v>6</v>
      </c>
      <c r="S18" s="473">
        <v>5992971</v>
      </c>
      <c r="T18" s="473">
        <v>5731082</v>
      </c>
      <c r="U18" s="473">
        <v>199534</v>
      </c>
      <c r="V18" s="473">
        <v>436480</v>
      </c>
      <c r="W18" s="473">
        <v>37413</v>
      </c>
      <c r="X18" s="473">
        <v>74825</v>
      </c>
      <c r="Y18" s="473">
        <v>24942</v>
      </c>
      <c r="Z18" s="473">
        <v>24942</v>
      </c>
      <c r="AA18" s="473">
        <v>49883</v>
      </c>
      <c r="AB18" s="473">
        <v>294286</v>
      </c>
      <c r="AC18" s="474">
        <v>6873387</v>
      </c>
    </row>
    <row r="19" spans="1:29">
      <c r="A19" s="469">
        <f>SUBTOTAL(103,$I$13:I18)</f>
        <v>5</v>
      </c>
      <c r="B19" s="472" t="s">
        <v>2504</v>
      </c>
      <c r="C19" s="475" t="s">
        <v>2505</v>
      </c>
      <c r="D19" s="472" t="s">
        <v>3170</v>
      </c>
      <c r="E19" s="473">
        <v>21</v>
      </c>
      <c r="F19" s="473">
        <v>21</v>
      </c>
      <c r="G19" s="473">
        <v>24395538</v>
      </c>
      <c r="H19" s="473">
        <v>23432058</v>
      </c>
      <c r="I19" s="473">
        <v>734080</v>
      </c>
      <c r="J19" s="473">
        <v>1605800</v>
      </c>
      <c r="K19" s="473">
        <v>137640</v>
      </c>
      <c r="L19" s="473">
        <v>275280</v>
      </c>
      <c r="M19" s="473">
        <v>91760</v>
      </c>
      <c r="N19" s="473">
        <v>91760</v>
      </c>
      <c r="O19" s="473">
        <v>183520</v>
      </c>
      <c r="P19" s="473">
        <v>1030000</v>
      </c>
      <c r="Q19" s="473">
        <v>27581898</v>
      </c>
      <c r="R19" s="473">
        <v>16</v>
      </c>
      <c r="S19" s="473">
        <v>18587077</v>
      </c>
      <c r="T19" s="473">
        <v>17852997</v>
      </c>
      <c r="U19" s="473">
        <v>559299</v>
      </c>
      <c r="V19" s="473">
        <v>1223467</v>
      </c>
      <c r="W19" s="473">
        <v>104869</v>
      </c>
      <c r="X19" s="473">
        <v>209737</v>
      </c>
      <c r="Y19" s="473">
        <v>69912</v>
      </c>
      <c r="Z19" s="473">
        <v>69912</v>
      </c>
      <c r="AA19" s="473">
        <v>139825</v>
      </c>
      <c r="AB19" s="473">
        <v>784762</v>
      </c>
      <c r="AC19" s="474">
        <v>21014780</v>
      </c>
    </row>
    <row r="20" spans="1:29">
      <c r="A20" s="469">
        <f>SUBTOTAL(103,$I$13:I19)</f>
        <v>6</v>
      </c>
      <c r="B20" s="472" t="s">
        <v>2633</v>
      </c>
      <c r="C20" s="475" t="s">
        <v>2634</v>
      </c>
      <c r="D20" s="472" t="s">
        <v>3170</v>
      </c>
      <c r="E20" s="473">
        <v>21</v>
      </c>
      <c r="F20" s="473">
        <v>21</v>
      </c>
      <c r="G20" s="473">
        <v>14009400</v>
      </c>
      <c r="H20" s="473">
        <v>13222992</v>
      </c>
      <c r="I20" s="473">
        <v>599168</v>
      </c>
      <c r="J20" s="473">
        <v>1310680</v>
      </c>
      <c r="K20" s="473">
        <v>112344</v>
      </c>
      <c r="L20" s="473">
        <v>224688</v>
      </c>
      <c r="M20" s="473">
        <v>74896</v>
      </c>
      <c r="N20" s="473">
        <v>74896</v>
      </c>
      <c r="O20" s="473">
        <v>149792</v>
      </c>
      <c r="P20" s="473">
        <v>930000</v>
      </c>
      <c r="Q20" s="473">
        <v>16699456</v>
      </c>
      <c r="R20" s="473">
        <v>16</v>
      </c>
      <c r="S20" s="473">
        <v>10673829</v>
      </c>
      <c r="T20" s="473">
        <v>10074661</v>
      </c>
      <c r="U20" s="473">
        <v>456509</v>
      </c>
      <c r="V20" s="473">
        <v>998613</v>
      </c>
      <c r="W20" s="473">
        <v>85595</v>
      </c>
      <c r="X20" s="473">
        <v>171191</v>
      </c>
      <c r="Y20" s="473">
        <v>57064</v>
      </c>
      <c r="Z20" s="473">
        <v>57064</v>
      </c>
      <c r="AA20" s="473">
        <v>114127</v>
      </c>
      <c r="AB20" s="473">
        <v>708571</v>
      </c>
      <c r="AC20" s="474">
        <v>12723395</v>
      </c>
    </row>
    <row r="21" spans="1:29">
      <c r="A21" s="469">
        <f>SUBTOTAL(103,$I$13:I20)</f>
        <v>7</v>
      </c>
      <c r="B21" s="472" t="s">
        <v>1232</v>
      </c>
      <c r="C21" s="475" t="s">
        <v>1233</v>
      </c>
      <c r="D21" s="472" t="s">
        <v>3170</v>
      </c>
      <c r="E21" s="473">
        <v>21</v>
      </c>
      <c r="F21" s="473">
        <v>21</v>
      </c>
      <c r="G21" s="473">
        <v>47304747</v>
      </c>
      <c r="H21" s="473">
        <v>46060035</v>
      </c>
      <c r="I21" s="473">
        <v>948352</v>
      </c>
      <c r="J21" s="473">
        <v>2074520</v>
      </c>
      <c r="K21" s="473">
        <v>177816</v>
      </c>
      <c r="L21" s="473">
        <v>355632</v>
      </c>
      <c r="M21" s="473">
        <v>118544</v>
      </c>
      <c r="N21" s="473">
        <v>118544</v>
      </c>
      <c r="O21" s="473">
        <v>237088</v>
      </c>
      <c r="P21" s="473">
        <v>1030000</v>
      </c>
      <c r="Q21" s="473">
        <v>51120531</v>
      </c>
      <c r="R21" s="473">
        <v>21</v>
      </c>
      <c r="S21" s="473">
        <v>47304747</v>
      </c>
      <c r="T21" s="473">
        <v>46060035</v>
      </c>
      <c r="U21" s="473">
        <v>948352</v>
      </c>
      <c r="V21" s="473">
        <v>2074520</v>
      </c>
      <c r="W21" s="473">
        <v>177816</v>
      </c>
      <c r="X21" s="473">
        <v>355632</v>
      </c>
      <c r="Y21" s="473">
        <v>118544</v>
      </c>
      <c r="Z21" s="473">
        <v>118544</v>
      </c>
      <c r="AA21" s="473">
        <v>237088</v>
      </c>
      <c r="AB21" s="473">
        <v>1030000</v>
      </c>
      <c r="AC21" s="474">
        <v>51120531</v>
      </c>
    </row>
    <row r="22" spans="1:29">
      <c r="A22" s="476" t="s">
        <v>3187</v>
      </c>
      <c r="B22" s="477"/>
      <c r="C22" s="478" t="s">
        <v>3188</v>
      </c>
      <c r="D22" s="478"/>
      <c r="E22" s="476"/>
      <c r="F22" s="476"/>
      <c r="G22" s="476"/>
      <c r="H22" s="479"/>
      <c r="I22" s="479"/>
      <c r="J22" s="479"/>
      <c r="K22" s="479"/>
      <c r="L22" s="479"/>
      <c r="M22" s="479"/>
      <c r="N22" s="479"/>
      <c r="O22" s="479"/>
      <c r="P22" s="479"/>
      <c r="Q22" s="479"/>
      <c r="R22" s="480"/>
      <c r="S22" s="481">
        <f>ROUND(S14*5%,0)</f>
        <v>8024541</v>
      </c>
      <c r="T22" s="481">
        <f>S22-U22-W22-Y22</f>
        <v>7757393</v>
      </c>
      <c r="U22" s="481">
        <f t="shared" ref="U22:AB22" si="0">ROUND(U14*5%,0)</f>
        <v>219320</v>
      </c>
      <c r="V22" s="481">
        <f t="shared" si="0"/>
        <v>479763</v>
      </c>
      <c r="W22" s="481">
        <f t="shared" si="0"/>
        <v>28697</v>
      </c>
      <c r="X22" s="481">
        <f t="shared" si="0"/>
        <v>57394</v>
      </c>
      <c r="Y22" s="481">
        <f t="shared" si="0"/>
        <v>19131</v>
      </c>
      <c r="Z22" s="481">
        <f t="shared" si="0"/>
        <v>19131</v>
      </c>
      <c r="AA22" s="481">
        <f t="shared" si="0"/>
        <v>54830</v>
      </c>
      <c r="AB22" s="481">
        <f t="shared" si="0"/>
        <v>248690</v>
      </c>
      <c r="AC22" s="481">
        <f>SUBTOTAL(9,T22:AB22)</f>
        <v>8884349</v>
      </c>
    </row>
    <row r="23" spans="1:29">
      <c r="A23" s="476" t="s">
        <v>3189</v>
      </c>
      <c r="B23" s="477"/>
      <c r="C23" s="477" t="s">
        <v>3190</v>
      </c>
      <c r="D23" s="476"/>
      <c r="E23" s="476"/>
      <c r="F23" s="476"/>
      <c r="G23" s="476"/>
      <c r="H23" s="479"/>
      <c r="I23" s="479"/>
      <c r="J23" s="479"/>
      <c r="K23" s="479"/>
      <c r="L23" s="479"/>
      <c r="M23" s="479"/>
      <c r="N23" s="479"/>
      <c r="O23" s="479"/>
      <c r="P23" s="479"/>
      <c r="Q23" s="479"/>
      <c r="R23" s="480"/>
      <c r="S23" s="481">
        <f>S22+S14</f>
        <v>168515358</v>
      </c>
      <c r="T23" s="481">
        <f>S23-U23-W23-Y23</f>
        <v>162905232</v>
      </c>
      <c r="U23" s="481">
        <f t="shared" ref="U23:AB23" si="1">U22+U14</f>
        <v>4605725</v>
      </c>
      <c r="V23" s="481">
        <f t="shared" si="1"/>
        <v>10075023</v>
      </c>
      <c r="W23" s="482">
        <f t="shared" si="1"/>
        <v>602641</v>
      </c>
      <c r="X23" s="482">
        <f t="shared" si="1"/>
        <v>1205279</v>
      </c>
      <c r="Y23" s="482">
        <f t="shared" si="1"/>
        <v>401760</v>
      </c>
      <c r="Z23" s="482">
        <f t="shared" si="1"/>
        <v>401760</v>
      </c>
      <c r="AA23" s="481">
        <f t="shared" si="1"/>
        <v>1151430</v>
      </c>
      <c r="AB23" s="481">
        <f t="shared" si="1"/>
        <v>5222499</v>
      </c>
      <c r="AC23" s="481">
        <f>(+AC22+AC14)</f>
        <v>186571349</v>
      </c>
    </row>
    <row r="24" spans="1:29">
      <c r="A24" s="483"/>
      <c r="B24" s="483"/>
      <c r="C24" s="483"/>
      <c r="D24" s="483"/>
      <c r="E24" s="483"/>
      <c r="F24" s="483"/>
      <c r="G24" s="483"/>
      <c r="H24" s="483"/>
      <c r="I24" s="483"/>
      <c r="J24" s="483"/>
      <c r="K24" s="483"/>
      <c r="L24" s="483"/>
      <c r="M24" s="483"/>
      <c r="N24" s="483"/>
      <c r="O24" s="483"/>
      <c r="P24" s="483"/>
      <c r="Q24" s="483"/>
      <c r="R24" s="483"/>
      <c r="S24" s="483"/>
      <c r="T24" s="483"/>
      <c r="U24" s="483"/>
      <c r="V24" s="483"/>
      <c r="W24" s="483"/>
      <c r="X24" s="483"/>
      <c r="Y24" s="483"/>
      <c r="Z24" s="483"/>
      <c r="AA24" s="483"/>
      <c r="AB24" s="483"/>
      <c r="AC24" s="483"/>
    </row>
    <row r="25" spans="1:29" s="486" customFormat="1" ht="19.5">
      <c r="A25" s="484"/>
      <c r="B25" s="485"/>
      <c r="D25" s="487" t="s">
        <v>84</v>
      </c>
      <c r="E25" s="487"/>
      <c r="F25" s="488"/>
      <c r="G25" s="488"/>
      <c r="H25" s="489"/>
      <c r="J25" s="487" t="s">
        <v>87</v>
      </c>
      <c r="K25" s="490"/>
      <c r="L25" s="488"/>
      <c r="M25" s="488"/>
      <c r="N25" s="488"/>
      <c r="O25" s="488"/>
      <c r="P25" s="488"/>
      <c r="Q25" s="488"/>
      <c r="R25" s="488" t="s">
        <v>111</v>
      </c>
      <c r="S25" s="488"/>
      <c r="T25" s="488"/>
      <c r="U25" s="488"/>
      <c r="V25" s="774" t="s">
        <v>85</v>
      </c>
      <c r="W25" s="774"/>
      <c r="X25" s="774"/>
      <c r="Y25" s="774"/>
      <c r="Z25" s="774"/>
      <c r="AA25" s="774"/>
      <c r="AB25" s="491"/>
    </row>
    <row r="26" spans="1:29">
      <c r="A26" s="492"/>
      <c r="B26" s="493"/>
      <c r="C26" s="494"/>
      <c r="D26" s="494"/>
      <c r="E26" s="495"/>
      <c r="F26" s="495"/>
      <c r="G26" s="495"/>
      <c r="H26" s="496"/>
      <c r="I26" s="494"/>
      <c r="J26" s="494"/>
      <c r="K26" s="494"/>
      <c r="L26" s="494"/>
      <c r="M26" s="494"/>
      <c r="N26" s="494"/>
      <c r="O26" s="494"/>
      <c r="P26" s="494"/>
      <c r="Q26" s="494"/>
      <c r="R26" s="495"/>
      <c r="S26" s="495"/>
      <c r="T26" s="494"/>
      <c r="U26" s="494"/>
      <c r="V26" s="494"/>
      <c r="W26" s="494"/>
      <c r="X26" s="494"/>
      <c r="Y26" s="494"/>
      <c r="Z26" s="494"/>
      <c r="AA26" s="494"/>
      <c r="AB26" s="494"/>
      <c r="AC26" s="494"/>
    </row>
    <row r="28" spans="1:29">
      <c r="A28" s="495"/>
      <c r="B28" s="493"/>
      <c r="C28" s="494"/>
      <c r="D28" s="494"/>
      <c r="E28" s="495"/>
      <c r="F28" s="495"/>
      <c r="G28" s="495"/>
      <c r="H28" s="496"/>
      <c r="I28" s="494"/>
      <c r="J28" s="494"/>
      <c r="K28" s="494"/>
      <c r="L28" s="494"/>
      <c r="M28" s="494"/>
      <c r="N28" s="494"/>
      <c r="O28" s="494"/>
      <c r="P28" s="494"/>
      <c r="Q28" s="494"/>
      <c r="R28" s="495"/>
      <c r="S28" s="495"/>
      <c r="T28" s="494"/>
      <c r="U28" s="494"/>
      <c r="V28" s="494"/>
      <c r="W28" s="494"/>
      <c r="X28" s="494"/>
      <c r="Y28" s="494"/>
      <c r="Z28" s="494"/>
      <c r="AA28" s="494"/>
      <c r="AB28" s="494"/>
      <c r="AC28" s="494"/>
    </row>
    <row r="29" spans="1:29">
      <c r="A29" s="495"/>
      <c r="B29" s="493"/>
      <c r="C29" s="494"/>
      <c r="D29" s="494"/>
      <c r="E29" s="495"/>
      <c r="F29" s="495"/>
      <c r="G29" s="495"/>
      <c r="H29" s="496"/>
      <c r="I29" s="494"/>
      <c r="J29" s="494"/>
      <c r="K29" s="494"/>
      <c r="L29" s="494"/>
      <c r="M29" s="494"/>
      <c r="N29" s="494"/>
      <c r="O29" s="494"/>
      <c r="P29" s="494"/>
      <c r="Q29" s="494"/>
      <c r="R29" s="495"/>
      <c r="S29" s="495"/>
      <c r="T29" s="497"/>
      <c r="U29" s="497"/>
      <c r="V29" s="497"/>
      <c r="W29" s="497"/>
      <c r="X29" s="497"/>
      <c r="Y29" s="497"/>
      <c r="Z29" s="497"/>
      <c r="AA29" s="497"/>
      <c r="AB29" s="497"/>
      <c r="AC29" s="497"/>
    </row>
    <row r="30" spans="1:29">
      <c r="A30" s="498"/>
      <c r="B30" s="499"/>
      <c r="C30" s="458"/>
      <c r="D30" s="458"/>
      <c r="E30" s="498"/>
      <c r="F30" s="498"/>
      <c r="G30" s="498"/>
      <c r="H30" s="237"/>
      <c r="I30" s="458"/>
      <c r="J30" s="458"/>
      <c r="K30" s="458"/>
      <c r="L30" s="458"/>
      <c r="M30" s="458"/>
      <c r="N30" s="458"/>
      <c r="O30" s="458"/>
      <c r="P30" s="458"/>
      <c r="Q30" s="458"/>
      <c r="R30" s="498"/>
      <c r="S30" s="498"/>
      <c r="T30" s="458"/>
      <c r="U30" s="458"/>
      <c r="V30" s="458"/>
      <c r="W30" s="458"/>
      <c r="X30" s="458"/>
      <c r="Y30" s="458"/>
      <c r="Z30" s="458"/>
      <c r="AA30" s="458"/>
      <c r="AB30" s="458"/>
      <c r="AC30" s="458"/>
    </row>
    <row r="31" spans="1:29">
      <c r="A31" s="498"/>
      <c r="B31" s="499"/>
      <c r="C31" s="458"/>
      <c r="D31" s="458"/>
      <c r="E31" s="498"/>
      <c r="F31" s="498"/>
      <c r="G31" s="498"/>
      <c r="H31" s="237"/>
      <c r="I31" s="458"/>
      <c r="J31" s="458"/>
      <c r="K31" s="458"/>
      <c r="L31" s="458"/>
      <c r="M31" s="458"/>
      <c r="N31" s="458"/>
      <c r="O31" s="458"/>
      <c r="P31" s="458"/>
      <c r="Q31" s="458"/>
      <c r="R31" s="498"/>
      <c r="S31" s="498"/>
      <c r="T31" s="458"/>
      <c r="U31" s="458"/>
      <c r="V31" s="458"/>
      <c r="W31" s="458"/>
      <c r="X31" s="458"/>
      <c r="Y31" s="458"/>
      <c r="Z31" s="458"/>
      <c r="AA31" s="458"/>
      <c r="AB31" s="458"/>
      <c r="AC31" s="458"/>
    </row>
    <row r="32" spans="1:29">
      <c r="A32" s="498"/>
      <c r="B32" s="499"/>
      <c r="C32" s="458"/>
      <c r="D32" s="458"/>
      <c r="E32" s="498"/>
      <c r="F32" s="498"/>
      <c r="G32" s="498"/>
      <c r="H32" s="458"/>
      <c r="I32" s="458"/>
      <c r="J32" s="458"/>
      <c r="K32" s="458"/>
      <c r="L32" s="458"/>
      <c r="M32" s="458"/>
      <c r="N32" s="458"/>
      <c r="O32" s="458"/>
      <c r="P32" s="458"/>
      <c r="Q32" s="458"/>
      <c r="R32" s="498"/>
      <c r="S32" s="498"/>
      <c r="T32" s="458"/>
      <c r="U32" s="458"/>
      <c r="V32" s="458"/>
      <c r="W32" s="458"/>
      <c r="X32" s="458"/>
      <c r="Y32" s="458"/>
      <c r="Z32" s="458"/>
      <c r="AA32" s="458"/>
      <c r="AB32" s="458"/>
      <c r="AC32" s="458"/>
    </row>
    <row r="33" spans="1:29">
      <c r="A33" s="498"/>
      <c r="B33" s="499"/>
      <c r="C33" s="458"/>
      <c r="D33" s="458"/>
      <c r="E33" s="498"/>
      <c r="F33" s="498"/>
      <c r="G33" s="498"/>
      <c r="H33" s="458"/>
      <c r="I33" s="458"/>
      <c r="J33" s="458"/>
      <c r="K33" s="458"/>
      <c r="L33" s="458"/>
      <c r="M33" s="458"/>
      <c r="N33" s="458"/>
      <c r="O33" s="458"/>
      <c r="P33" s="458"/>
      <c r="Q33" s="458"/>
      <c r="R33" s="498"/>
      <c r="S33" s="498"/>
      <c r="T33" s="458"/>
      <c r="U33" s="458"/>
      <c r="V33" s="458"/>
      <c r="W33" s="458"/>
      <c r="X33" s="458"/>
      <c r="Y33" s="458"/>
      <c r="Z33" s="458"/>
      <c r="AA33" s="458"/>
      <c r="AB33" s="458"/>
      <c r="AC33" s="458"/>
    </row>
    <row r="34" spans="1:29">
      <c r="A34" s="498"/>
      <c r="B34" s="499"/>
      <c r="C34" s="458"/>
      <c r="D34" s="458"/>
      <c r="E34" s="498"/>
      <c r="F34" s="498"/>
      <c r="G34" s="498"/>
      <c r="H34" s="458"/>
      <c r="I34" s="458"/>
      <c r="J34" s="458"/>
      <c r="K34" s="458"/>
      <c r="L34" s="458"/>
      <c r="M34" s="458"/>
      <c r="N34" s="458"/>
      <c r="O34" s="458"/>
      <c r="P34" s="458"/>
      <c r="Q34" s="458"/>
      <c r="R34" s="498"/>
      <c r="S34" s="498"/>
      <c r="T34" s="458"/>
      <c r="U34" s="458"/>
      <c r="V34" s="458"/>
      <c r="W34" s="458"/>
      <c r="X34" s="458"/>
      <c r="Y34" s="458"/>
      <c r="Z34" s="458"/>
      <c r="AA34" s="458"/>
      <c r="AB34" s="458"/>
      <c r="AC34" s="458"/>
    </row>
    <row r="35" spans="1:29">
      <c r="A35" s="498"/>
      <c r="B35" s="499"/>
      <c r="C35" s="458"/>
      <c r="D35" s="458"/>
      <c r="E35" s="498"/>
      <c r="F35" s="498"/>
      <c r="G35" s="498"/>
      <c r="H35" s="458"/>
      <c r="I35" s="458"/>
      <c r="J35" s="458"/>
      <c r="K35" s="458"/>
      <c r="L35" s="458"/>
      <c r="M35" s="458"/>
      <c r="N35" s="458"/>
      <c r="O35" s="458"/>
      <c r="P35" s="458"/>
      <c r="Q35" s="458"/>
      <c r="R35" s="498"/>
      <c r="S35" s="498"/>
      <c r="T35" s="458"/>
      <c r="U35" s="458"/>
      <c r="V35" s="458"/>
      <c r="W35" s="458"/>
      <c r="X35" s="458"/>
      <c r="Y35" s="458"/>
      <c r="Z35" s="458"/>
      <c r="AA35" s="458"/>
      <c r="AB35" s="458"/>
      <c r="AC35" s="458"/>
    </row>
    <row r="36" spans="1:29">
      <c r="A36" s="498"/>
      <c r="B36" s="499"/>
      <c r="C36" s="458"/>
      <c r="D36" s="458"/>
      <c r="E36" s="498"/>
      <c r="F36" s="498"/>
      <c r="G36" s="498"/>
      <c r="H36" s="458"/>
      <c r="I36" s="458"/>
      <c r="J36" s="458"/>
      <c r="K36" s="458"/>
      <c r="L36" s="458"/>
      <c r="M36" s="458"/>
      <c r="N36" s="458"/>
      <c r="O36" s="458"/>
      <c r="P36" s="458"/>
      <c r="Q36" s="458"/>
      <c r="R36" s="498"/>
      <c r="S36" s="498"/>
      <c r="T36" s="458"/>
      <c r="U36" s="458"/>
      <c r="V36" s="458"/>
      <c r="W36" s="458"/>
      <c r="X36" s="458"/>
      <c r="Y36" s="458"/>
      <c r="Z36" s="458"/>
      <c r="AA36" s="458"/>
      <c r="AB36" s="458"/>
      <c r="AC36" s="458"/>
    </row>
    <row r="37" spans="1:29">
      <c r="A37" s="498"/>
      <c r="B37" s="499"/>
      <c r="C37" s="458"/>
      <c r="D37" s="458"/>
      <c r="E37" s="498"/>
      <c r="F37" s="498"/>
      <c r="G37" s="498"/>
      <c r="H37" s="458"/>
      <c r="I37" s="458"/>
      <c r="J37" s="458"/>
      <c r="K37" s="458"/>
      <c r="L37" s="458"/>
      <c r="M37" s="458"/>
      <c r="N37" s="458"/>
      <c r="O37" s="458"/>
      <c r="P37" s="458"/>
      <c r="Q37" s="458"/>
      <c r="R37" s="498"/>
      <c r="S37" s="498"/>
      <c r="T37" s="458"/>
      <c r="U37" s="458"/>
      <c r="V37" s="458"/>
      <c r="W37" s="458"/>
      <c r="X37" s="458"/>
      <c r="Y37" s="458"/>
      <c r="Z37" s="458"/>
      <c r="AA37" s="458"/>
      <c r="AB37" s="458"/>
      <c r="AC37" s="458"/>
    </row>
  </sheetData>
  <autoFilter ref="A13:AD23" xr:uid="{00000000-0009-0000-0000-00000E000000}"/>
  <mergeCells count="35">
    <mergeCell ref="V25:AA25"/>
    <mergeCell ref="U10:Z11"/>
    <mergeCell ref="AA10:AA13"/>
    <mergeCell ref="A9:A13"/>
    <mergeCell ref="B9:B13"/>
    <mergeCell ref="C9:C13"/>
    <mergeCell ref="D9:D13"/>
    <mergeCell ref="E9:R9"/>
    <mergeCell ref="E12:E13"/>
    <mergeCell ref="F12:F13"/>
    <mergeCell ref="I12:J12"/>
    <mergeCell ref="K12:L12"/>
    <mergeCell ref="M12:N12"/>
    <mergeCell ref="O10:O13"/>
    <mergeCell ref="P10:P13"/>
    <mergeCell ref="Q10:Q13"/>
    <mergeCell ref="R10:R13"/>
    <mergeCell ref="S9:AC9"/>
    <mergeCell ref="E10:F11"/>
    <mergeCell ref="G10:G13"/>
    <mergeCell ref="H10:H13"/>
    <mergeCell ref="I10:N11"/>
    <mergeCell ref="AB10:AB13"/>
    <mergeCell ref="AC10:AC13"/>
    <mergeCell ref="U12:V12"/>
    <mergeCell ref="S10:S13"/>
    <mergeCell ref="T10:T13"/>
    <mergeCell ref="W12:X12"/>
    <mergeCell ref="Y12:Z12"/>
    <mergeCell ref="A4:AC4"/>
    <mergeCell ref="B1:H1"/>
    <mergeCell ref="V1:AA1"/>
    <mergeCell ref="B2:H2"/>
    <mergeCell ref="W2:Z2"/>
    <mergeCell ref="A3:AC3"/>
  </mergeCells>
  <pageMargins left="0.45" right="0.2" top="0.5" bottom="0.5" header="0.3" footer="0.3"/>
  <pageSetup paperSize="9" scale="46" fitToHeight="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tint="-0.499984740745262"/>
  </sheetPr>
  <dimension ref="A1:S21"/>
  <sheetViews>
    <sheetView workbookViewId="0">
      <selection activeCell="O24" sqref="O24"/>
    </sheetView>
  </sheetViews>
  <sheetFormatPr defaultColWidth="9.140625" defaultRowHeight="15"/>
  <cols>
    <col min="1" max="1" width="5.28515625" style="498" customWidth="1"/>
    <col min="2" max="2" width="26.85546875" style="540" customWidth="1"/>
    <col min="3" max="3" width="10.85546875" style="458" customWidth="1"/>
    <col min="4" max="4" width="12.7109375" style="458" customWidth="1"/>
    <col min="5" max="5" width="9.85546875" style="458" customWidth="1"/>
    <col min="6" max="8" width="9.28515625" style="458" customWidth="1"/>
    <col min="9" max="9" width="10.140625" style="458" customWidth="1"/>
    <col min="10" max="10" width="9.140625" style="458" customWidth="1"/>
    <col min="11" max="11" width="10" style="458" customWidth="1"/>
    <col min="12" max="12" width="8" style="458" customWidth="1"/>
    <col min="13" max="13" width="20.140625" style="458" customWidth="1"/>
    <col min="14" max="14" width="9.140625" style="458" customWidth="1"/>
    <col min="15" max="15" width="17.42578125" style="458" customWidth="1"/>
    <col min="16" max="16384" width="9.140625" style="458"/>
  </cols>
  <sheetData>
    <row r="1" spans="1:19" ht="16.5">
      <c r="O1" s="541" t="s">
        <v>3220</v>
      </c>
    </row>
    <row r="2" spans="1:19" ht="16.5">
      <c r="A2" s="542" t="s">
        <v>48</v>
      </c>
      <c r="B2" s="543"/>
      <c r="K2" s="783" t="s">
        <v>49</v>
      </c>
      <c r="L2" s="783"/>
      <c r="M2" s="783"/>
      <c r="N2" s="783"/>
      <c r="O2" s="783"/>
      <c r="P2" s="544"/>
      <c r="Q2" s="544"/>
      <c r="R2" s="544"/>
      <c r="S2" s="544"/>
    </row>
    <row r="3" spans="1:19" ht="16.5">
      <c r="A3" s="545"/>
      <c r="B3" s="546" t="s">
        <v>109</v>
      </c>
      <c r="K3" s="783" t="s">
        <v>51</v>
      </c>
      <c r="L3" s="783"/>
      <c r="M3" s="783"/>
      <c r="N3" s="783"/>
      <c r="O3" s="783"/>
      <c r="P3" s="544"/>
      <c r="Q3" s="544"/>
      <c r="R3" s="544"/>
      <c r="S3" s="544"/>
    </row>
    <row r="5" spans="1:19" ht="18.75">
      <c r="A5" s="784" t="s">
        <v>3221</v>
      </c>
      <c r="B5" s="784"/>
      <c r="C5" s="784"/>
      <c r="D5" s="784"/>
      <c r="E5" s="784"/>
      <c r="F5" s="784"/>
      <c r="G5" s="784"/>
      <c r="H5" s="784"/>
      <c r="I5" s="784"/>
      <c r="J5" s="784"/>
      <c r="K5" s="784"/>
      <c r="L5" s="784"/>
      <c r="M5" s="784"/>
      <c r="N5" s="784"/>
      <c r="O5" s="784"/>
    </row>
    <row r="6" spans="1:19">
      <c r="A6" s="456"/>
      <c r="B6" s="457"/>
      <c r="C6" s="456"/>
      <c r="D6" s="456"/>
    </row>
    <row r="7" spans="1:19">
      <c r="A7" s="785" t="s">
        <v>36</v>
      </c>
      <c r="B7" s="785" t="s">
        <v>3222</v>
      </c>
      <c r="C7" s="785" t="s">
        <v>3223</v>
      </c>
      <c r="D7" s="785" t="s">
        <v>3224</v>
      </c>
      <c r="E7" s="788" t="s">
        <v>293</v>
      </c>
      <c r="F7" s="788" t="s">
        <v>3225</v>
      </c>
      <c r="G7" s="788" t="s">
        <v>3226</v>
      </c>
      <c r="H7" s="788" t="s">
        <v>3227</v>
      </c>
      <c r="I7" s="790" t="s">
        <v>294</v>
      </c>
      <c r="J7" s="790"/>
      <c r="K7" s="790"/>
      <c r="L7" s="790"/>
      <c r="M7" s="791" t="s">
        <v>295</v>
      </c>
      <c r="N7" s="792" t="s">
        <v>297</v>
      </c>
      <c r="O7" s="793" t="s">
        <v>3228</v>
      </c>
    </row>
    <row r="8" spans="1:19">
      <c r="A8" s="786"/>
      <c r="B8" s="786"/>
      <c r="C8" s="786"/>
      <c r="D8" s="786"/>
      <c r="E8" s="788"/>
      <c r="F8" s="788"/>
      <c r="G8" s="788"/>
      <c r="H8" s="788"/>
      <c r="I8" s="788" t="s">
        <v>298</v>
      </c>
      <c r="J8" s="788" t="s">
        <v>299</v>
      </c>
      <c r="K8" s="788" t="s">
        <v>300</v>
      </c>
      <c r="L8" s="788" t="s">
        <v>301</v>
      </c>
      <c r="M8" s="791"/>
      <c r="N8" s="792"/>
      <c r="O8" s="794"/>
    </row>
    <row r="9" spans="1:19" ht="15" customHeight="1">
      <c r="A9" s="786"/>
      <c r="B9" s="786"/>
      <c r="C9" s="786"/>
      <c r="D9" s="786"/>
      <c r="E9" s="788"/>
      <c r="F9" s="788"/>
      <c r="G9" s="788"/>
      <c r="H9" s="788"/>
      <c r="I9" s="788"/>
      <c r="J9" s="788"/>
      <c r="K9" s="788"/>
      <c r="L9" s="788"/>
      <c r="M9" s="791"/>
      <c r="N9" s="792"/>
      <c r="O9" s="794"/>
    </row>
    <row r="10" spans="1:19">
      <c r="A10" s="787"/>
      <c r="B10" s="787"/>
      <c r="C10" s="787"/>
      <c r="D10" s="787"/>
      <c r="E10" s="788"/>
      <c r="F10" s="788"/>
      <c r="G10" s="788"/>
      <c r="H10" s="788"/>
      <c r="I10" s="788"/>
      <c r="J10" s="788"/>
      <c r="K10" s="788"/>
      <c r="L10" s="788"/>
      <c r="M10" s="791"/>
      <c r="N10" s="792"/>
      <c r="O10" s="795"/>
    </row>
    <row r="11" spans="1:19" s="550" customFormat="1" ht="14.25">
      <c r="A11" s="547" t="s">
        <v>124</v>
      </c>
      <c r="B11" s="796" t="s">
        <v>3229</v>
      </c>
      <c r="C11" s="797"/>
      <c r="D11" s="798"/>
      <c r="E11" s="548" t="s">
        <v>129</v>
      </c>
      <c r="F11" s="548" t="s">
        <v>129</v>
      </c>
      <c r="G11" s="548" t="s">
        <v>129</v>
      </c>
      <c r="H11" s="548" t="s">
        <v>129</v>
      </c>
      <c r="I11" s="548" t="s">
        <v>129</v>
      </c>
      <c r="J11" s="548" t="s">
        <v>129</v>
      </c>
      <c r="K11" s="548" t="s">
        <v>129</v>
      </c>
      <c r="L11" s="548" t="s">
        <v>129</v>
      </c>
      <c r="M11" s="548" t="s">
        <v>129</v>
      </c>
      <c r="N11" s="548" t="s">
        <v>129</v>
      </c>
      <c r="O11" s="549"/>
    </row>
    <row r="12" spans="1:19" s="550" customFormat="1" ht="14.25">
      <c r="A12" s="551" t="s">
        <v>127</v>
      </c>
      <c r="B12" s="799" t="s">
        <v>3230</v>
      </c>
      <c r="C12" s="800"/>
      <c r="D12" s="801"/>
      <c r="E12" s="552">
        <f>SUBTOTAL(9,E13:E15)</f>
        <v>0</v>
      </c>
      <c r="F12" s="552">
        <f t="shared" ref="F12:N12" si="0">SUBTOTAL(9,F13:F15)</f>
        <v>0</v>
      </c>
      <c r="G12" s="552">
        <f t="shared" si="0"/>
        <v>0</v>
      </c>
      <c r="H12" s="552">
        <f t="shared" si="0"/>
        <v>0</v>
      </c>
      <c r="I12" s="552">
        <f t="shared" si="0"/>
        <v>0</v>
      </c>
      <c r="J12" s="552">
        <f t="shared" si="0"/>
        <v>0</v>
      </c>
      <c r="K12" s="552">
        <f t="shared" si="0"/>
        <v>0</v>
      </c>
      <c r="L12" s="552">
        <f t="shared" si="0"/>
        <v>0</v>
      </c>
      <c r="M12" s="552">
        <f t="shared" si="0"/>
        <v>0</v>
      </c>
      <c r="N12" s="552">
        <f t="shared" si="0"/>
        <v>0</v>
      </c>
      <c r="O12" s="553"/>
    </row>
    <row r="13" spans="1:19" s="558" customFormat="1">
      <c r="A13" s="554">
        <v>1</v>
      </c>
      <c r="B13" s="555" t="s">
        <v>3231</v>
      </c>
      <c r="C13" s="556" t="s">
        <v>129</v>
      </c>
      <c r="D13" s="557" t="s">
        <v>129</v>
      </c>
      <c r="E13" s="557" t="s">
        <v>129</v>
      </c>
      <c r="F13" s="557" t="s">
        <v>129</v>
      </c>
      <c r="G13" s="557" t="s">
        <v>129</v>
      </c>
      <c r="H13" s="557" t="s">
        <v>129</v>
      </c>
      <c r="I13" s="557" t="s">
        <v>129</v>
      </c>
      <c r="J13" s="557" t="s">
        <v>129</v>
      </c>
      <c r="K13" s="557" t="s">
        <v>129</v>
      </c>
      <c r="L13" s="557" t="s">
        <v>129</v>
      </c>
      <c r="M13" s="557" t="s">
        <v>129</v>
      </c>
      <c r="N13" s="557" t="s">
        <v>129</v>
      </c>
      <c r="O13" s="557" t="s">
        <v>129</v>
      </c>
    </row>
    <row r="14" spans="1:19" s="558" customFormat="1">
      <c r="A14" s="554">
        <v>2</v>
      </c>
      <c r="B14" s="555" t="s">
        <v>3232</v>
      </c>
      <c r="C14" s="556" t="s">
        <v>129</v>
      </c>
      <c r="D14" s="557" t="s">
        <v>129</v>
      </c>
      <c r="E14" s="557" t="s">
        <v>129</v>
      </c>
      <c r="F14" s="557" t="s">
        <v>129</v>
      </c>
      <c r="G14" s="557" t="s">
        <v>129</v>
      </c>
      <c r="H14" s="557" t="s">
        <v>129</v>
      </c>
      <c r="I14" s="557" t="s">
        <v>129</v>
      </c>
      <c r="J14" s="557" t="s">
        <v>129</v>
      </c>
      <c r="K14" s="557" t="s">
        <v>129</v>
      </c>
      <c r="L14" s="557" t="s">
        <v>129</v>
      </c>
      <c r="M14" s="557" t="s">
        <v>129</v>
      </c>
      <c r="N14" s="557" t="s">
        <v>129</v>
      </c>
      <c r="O14" s="557" t="s">
        <v>129</v>
      </c>
    </row>
    <row r="15" spans="1:19" s="558" customFormat="1">
      <c r="A15" s="554"/>
      <c r="B15" s="559" t="s">
        <v>129</v>
      </c>
      <c r="C15" s="556"/>
      <c r="D15" s="557"/>
      <c r="E15" s="557"/>
      <c r="F15" s="557"/>
      <c r="G15" s="557"/>
      <c r="H15" s="557"/>
      <c r="I15" s="557"/>
      <c r="J15" s="557"/>
      <c r="K15" s="557"/>
      <c r="L15" s="557"/>
      <c r="M15" s="557"/>
      <c r="N15" s="557"/>
      <c r="O15" s="557"/>
    </row>
    <row r="16" spans="1:19" s="550" customFormat="1" ht="14.25">
      <c r="A16" s="551" t="s">
        <v>309</v>
      </c>
      <c r="B16" s="799" t="s">
        <v>3233</v>
      </c>
      <c r="C16" s="800"/>
      <c r="D16" s="801"/>
      <c r="E16" s="552"/>
      <c r="F16" s="552"/>
      <c r="G16" s="552"/>
      <c r="H16" s="552"/>
      <c r="I16" s="552"/>
      <c r="J16" s="552"/>
      <c r="K16" s="552"/>
      <c r="L16" s="552"/>
      <c r="M16" s="552"/>
      <c r="N16" s="552"/>
      <c r="O16" s="553"/>
    </row>
    <row r="17" spans="1:15" s="550" customFormat="1" ht="14.25">
      <c r="A17" s="560"/>
      <c r="B17" s="802"/>
      <c r="C17" s="802"/>
      <c r="D17" s="802"/>
      <c r="E17" s="802"/>
      <c r="F17" s="802"/>
      <c r="G17" s="802"/>
      <c r="H17" s="802"/>
      <c r="I17" s="802"/>
      <c r="J17" s="802"/>
      <c r="K17" s="802"/>
      <c r="L17" s="802"/>
      <c r="M17" s="802"/>
      <c r="N17" s="802"/>
      <c r="O17" s="802"/>
    </row>
    <row r="18" spans="1:15" s="541" customFormat="1" ht="16.5">
      <c r="A18" s="561"/>
      <c r="B18" s="546" t="s">
        <v>3234</v>
      </c>
      <c r="F18" s="541" t="s">
        <v>3235</v>
      </c>
      <c r="L18" s="803" t="s">
        <v>85</v>
      </c>
      <c r="M18" s="803"/>
      <c r="N18" s="803"/>
      <c r="O18" s="803"/>
    </row>
    <row r="19" spans="1:15" s="488" customFormat="1" ht="20.25">
      <c r="A19" s="562"/>
      <c r="B19" s="563"/>
      <c r="C19" s="541"/>
      <c r="F19" s="564"/>
      <c r="G19" s="564"/>
      <c r="H19" s="564"/>
      <c r="I19" s="541"/>
      <c r="K19" s="541"/>
      <c r="L19" s="789"/>
      <c r="M19" s="789"/>
      <c r="N19" s="789"/>
      <c r="O19" s="789"/>
    </row>
    <row r="21" spans="1:15">
      <c r="E21" s="565"/>
      <c r="F21" s="565"/>
      <c r="G21" s="565"/>
      <c r="H21" s="565"/>
      <c r="I21" s="565"/>
      <c r="J21" s="565"/>
      <c r="K21" s="565"/>
      <c r="L21" s="565"/>
      <c r="M21" s="565"/>
      <c r="N21" s="565"/>
    </row>
  </sheetData>
  <mergeCells count="25">
    <mergeCell ref="B11:D11"/>
    <mergeCell ref="B12:D12"/>
    <mergeCell ref="B16:D16"/>
    <mergeCell ref="B17:O17"/>
    <mergeCell ref="L18:O18"/>
    <mergeCell ref="L19:O19"/>
    <mergeCell ref="H7:H10"/>
    <mergeCell ref="I7:L7"/>
    <mergeCell ref="M7:M10"/>
    <mergeCell ref="N7:N10"/>
    <mergeCell ref="O7:O10"/>
    <mergeCell ref="I8:I10"/>
    <mergeCell ref="J8:J10"/>
    <mergeCell ref="K8:K10"/>
    <mergeCell ref="L8:L10"/>
    <mergeCell ref="K2:O2"/>
    <mergeCell ref="K3:O3"/>
    <mergeCell ref="A5:O5"/>
    <mergeCell ref="A7:A10"/>
    <mergeCell ref="B7:B10"/>
    <mergeCell ref="C7:C10"/>
    <mergeCell ref="D7:D10"/>
    <mergeCell ref="E7:E10"/>
    <mergeCell ref="F7:F10"/>
    <mergeCell ref="G7:G10"/>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tint="-0.499984740745262"/>
  </sheetPr>
  <dimension ref="A1:Z10"/>
  <sheetViews>
    <sheetView topLeftCell="G1" zoomScale="85" zoomScaleNormal="85" workbookViewId="0">
      <selection activeCell="P21" sqref="P21"/>
    </sheetView>
  </sheetViews>
  <sheetFormatPr defaultRowHeight="12.75"/>
  <cols>
    <col min="1" max="1" width="6.28515625" bestFit="1" customWidth="1"/>
    <col min="2" max="2" width="8.42578125" customWidth="1"/>
    <col min="3" max="3" width="8" customWidth="1"/>
    <col min="4" max="4" width="9.140625" customWidth="1"/>
    <col min="5" max="5" width="61.28515625" customWidth="1"/>
    <col min="6" max="6" width="10.42578125" customWidth="1"/>
    <col min="7" max="7" width="13.42578125" customWidth="1"/>
    <col min="8" max="8" width="21.42578125" customWidth="1"/>
    <col min="9" max="9" width="15.85546875" customWidth="1"/>
    <col min="10" max="10" width="17.28515625" customWidth="1"/>
    <col min="11" max="12" width="12.42578125" customWidth="1"/>
    <col min="13" max="14" width="9.28515625" customWidth="1"/>
    <col min="15" max="15" width="9.42578125" customWidth="1"/>
    <col min="16" max="17" width="18.42578125" customWidth="1"/>
    <col min="18" max="18" width="16.140625" customWidth="1"/>
    <col min="19" max="23" width="16.85546875" customWidth="1"/>
    <col min="24" max="24" width="18.42578125" customWidth="1"/>
    <col min="25" max="26" width="16.85546875" customWidth="1"/>
  </cols>
  <sheetData>
    <row r="1" spans="1:26" ht="30">
      <c r="A1" s="567" t="s">
        <v>55</v>
      </c>
      <c r="B1" s="567" t="s">
        <v>3239</v>
      </c>
      <c r="C1" s="567" t="s">
        <v>3238</v>
      </c>
      <c r="D1" s="567" t="s">
        <v>3240</v>
      </c>
      <c r="E1" s="568" t="s">
        <v>3241</v>
      </c>
      <c r="F1" s="567" t="s">
        <v>3242</v>
      </c>
      <c r="G1" s="567" t="s">
        <v>3243</v>
      </c>
      <c r="H1" s="568" t="s">
        <v>3244</v>
      </c>
      <c r="I1" s="568" t="s">
        <v>3245</v>
      </c>
      <c r="J1" s="569" t="s">
        <v>3246</v>
      </c>
      <c r="K1" s="570" t="s">
        <v>3247</v>
      </c>
      <c r="L1" s="570" t="s">
        <v>3248</v>
      </c>
      <c r="M1" s="567" t="s">
        <v>213</v>
      </c>
      <c r="N1" s="567" t="s">
        <v>3259</v>
      </c>
      <c r="O1" s="567" t="s">
        <v>3249</v>
      </c>
      <c r="P1" s="569" t="s">
        <v>3250</v>
      </c>
      <c r="Q1" s="569" t="s">
        <v>3251</v>
      </c>
      <c r="R1" s="571">
        <v>45627</v>
      </c>
      <c r="S1" s="571">
        <v>45658</v>
      </c>
      <c r="T1" s="571">
        <v>45689</v>
      </c>
      <c r="U1" s="571">
        <v>45717</v>
      </c>
      <c r="V1" s="571">
        <v>45748</v>
      </c>
      <c r="W1" s="571">
        <v>45778</v>
      </c>
      <c r="X1" s="571">
        <v>45809</v>
      </c>
      <c r="Y1" s="571" t="s">
        <v>3258</v>
      </c>
      <c r="Z1" s="571" t="s">
        <v>3257</v>
      </c>
    </row>
    <row r="2" spans="1:26" ht="30">
      <c r="A2" s="572">
        <v>1</v>
      </c>
      <c r="B2" s="573" t="s">
        <v>157</v>
      </c>
      <c r="C2" s="573" t="s">
        <v>3165</v>
      </c>
      <c r="D2" s="572" t="s">
        <v>3165</v>
      </c>
      <c r="E2" s="574" t="s">
        <v>3164</v>
      </c>
      <c r="F2" s="572" t="s">
        <v>249</v>
      </c>
      <c r="G2" s="575" t="s">
        <v>3252</v>
      </c>
      <c r="H2" s="575" t="s">
        <v>3254</v>
      </c>
      <c r="I2" s="576">
        <v>64780261308</v>
      </c>
      <c r="J2" s="577">
        <v>23043245371.650002</v>
      </c>
      <c r="K2" s="578">
        <v>45597</v>
      </c>
      <c r="L2" s="578">
        <v>46327</v>
      </c>
      <c r="M2" s="579" t="s">
        <v>3255</v>
      </c>
      <c r="N2" s="592" t="s">
        <v>3260</v>
      </c>
      <c r="O2" s="579" t="s">
        <v>3256</v>
      </c>
      <c r="P2" s="580">
        <f>J2-Q2</f>
        <v>18178975900.650002</v>
      </c>
      <c r="Q2" s="580">
        <f>SUM(R2:X2)</f>
        <v>4864269471</v>
      </c>
      <c r="R2" s="581">
        <v>1398307276</v>
      </c>
      <c r="S2" s="581">
        <v>401579906</v>
      </c>
      <c r="T2" s="581">
        <v>508062719</v>
      </c>
      <c r="U2" s="581">
        <v>587091041</v>
      </c>
      <c r="V2" s="581">
        <v>634810896</v>
      </c>
      <c r="W2" s="581">
        <v>634168482</v>
      </c>
      <c r="X2" s="580">
        <v>700249151</v>
      </c>
      <c r="Y2" s="581">
        <f>SUM(S2:X2)/6</f>
        <v>577660365.83333337</v>
      </c>
      <c r="Z2" s="581">
        <f>(SUM(S2:X2)/12)*5.5</f>
        <v>1588566006.0416667</v>
      </c>
    </row>
    <row r="3" spans="1:26" ht="15">
      <c r="A3" s="572" t="s">
        <v>321</v>
      </c>
      <c r="B3" s="582" t="s">
        <v>157</v>
      </c>
      <c r="C3" s="582" t="s">
        <v>3165</v>
      </c>
      <c r="D3" s="583" t="s">
        <v>3165</v>
      </c>
      <c r="E3" s="584" t="s">
        <v>148</v>
      </c>
      <c r="F3" s="583" t="s">
        <v>249</v>
      </c>
      <c r="G3" s="585" t="s">
        <v>3253</v>
      </c>
      <c r="H3" s="585" t="s">
        <v>3254</v>
      </c>
      <c r="I3" s="585"/>
      <c r="J3" s="586"/>
      <c r="K3" s="587">
        <v>45597</v>
      </c>
      <c r="L3" s="587">
        <v>46327</v>
      </c>
      <c r="M3" s="531"/>
      <c r="N3" s="531"/>
      <c r="O3" s="531"/>
      <c r="P3" s="588"/>
      <c r="Q3" s="589">
        <f>SUM(R3:X3)</f>
        <v>4699636487</v>
      </c>
      <c r="R3" s="590">
        <v>1398307276</v>
      </c>
      <c r="S3" s="591">
        <v>401579906</v>
      </c>
      <c r="T3" s="591">
        <v>465988541</v>
      </c>
      <c r="U3" s="591">
        <v>541089318</v>
      </c>
      <c r="V3" s="591">
        <v>607673995</v>
      </c>
      <c r="W3" s="591">
        <v>605743221</v>
      </c>
      <c r="X3" s="589">
        <v>679254230</v>
      </c>
      <c r="Y3" s="591"/>
      <c r="Z3" s="591"/>
    </row>
    <row r="4" spans="1:26" ht="15">
      <c r="A4" s="572" t="s">
        <v>321</v>
      </c>
      <c r="B4" s="582" t="s">
        <v>157</v>
      </c>
      <c r="C4" s="582" t="s">
        <v>3165</v>
      </c>
      <c r="D4" s="583" t="s">
        <v>3169</v>
      </c>
      <c r="E4" s="584" t="s">
        <v>149</v>
      </c>
      <c r="F4" s="583" t="s">
        <v>249</v>
      </c>
      <c r="G4" s="585" t="s">
        <v>3253</v>
      </c>
      <c r="H4" s="585" t="s">
        <v>3254</v>
      </c>
      <c r="I4" s="585"/>
      <c r="J4" s="586"/>
      <c r="K4" s="587">
        <v>45597</v>
      </c>
      <c r="L4" s="587">
        <v>46327</v>
      </c>
      <c r="M4" s="531"/>
      <c r="N4" s="531"/>
      <c r="O4" s="531"/>
      <c r="P4" s="588"/>
      <c r="Q4" s="589">
        <f t="shared" ref="Q4:Q10" si="0">SUM(R4:X4)</f>
        <v>24053891</v>
      </c>
      <c r="R4" s="590">
        <v>0</v>
      </c>
      <c r="S4" s="591"/>
      <c r="T4" s="591">
        <v>7773539</v>
      </c>
      <c r="U4" s="591">
        <v>16280352</v>
      </c>
      <c r="V4" s="591">
        <v>0</v>
      </c>
      <c r="W4" s="591">
        <v>0</v>
      </c>
      <c r="X4" s="589">
        <v>0</v>
      </c>
      <c r="Y4" s="591"/>
      <c r="Z4" s="591"/>
    </row>
    <row r="5" spans="1:26" ht="15">
      <c r="A5" s="572" t="s">
        <v>321</v>
      </c>
      <c r="B5" s="582" t="s">
        <v>157</v>
      </c>
      <c r="C5" s="582" t="s">
        <v>3165</v>
      </c>
      <c r="D5" s="583" t="s">
        <v>3168</v>
      </c>
      <c r="E5" s="584" t="s">
        <v>150</v>
      </c>
      <c r="F5" s="583" t="s">
        <v>249</v>
      </c>
      <c r="G5" s="585" t="s">
        <v>3253</v>
      </c>
      <c r="H5" s="585" t="s">
        <v>3254</v>
      </c>
      <c r="I5" s="585"/>
      <c r="J5" s="586"/>
      <c r="K5" s="587">
        <v>45597</v>
      </c>
      <c r="L5" s="587">
        <v>46327</v>
      </c>
      <c r="M5" s="531"/>
      <c r="N5" s="531"/>
      <c r="O5" s="531"/>
      <c r="P5" s="588"/>
      <c r="Q5" s="589">
        <f t="shared" si="0"/>
        <v>140579093</v>
      </c>
      <c r="R5" s="590">
        <v>0</v>
      </c>
      <c r="S5" s="591"/>
      <c r="T5" s="591">
        <v>34300639</v>
      </c>
      <c r="U5" s="591">
        <v>29721371</v>
      </c>
      <c r="V5" s="591">
        <v>27136901</v>
      </c>
      <c r="W5" s="591">
        <v>28425261</v>
      </c>
      <c r="X5" s="589">
        <v>20994921</v>
      </c>
      <c r="Y5" s="591"/>
      <c r="Z5" s="591"/>
    </row>
    <row r="6" spans="1:26" ht="15">
      <c r="A6" s="572">
        <v>4</v>
      </c>
      <c r="B6" s="573" t="s">
        <v>157</v>
      </c>
      <c r="C6" s="573" t="s">
        <v>3165</v>
      </c>
      <c r="D6" s="572" t="s">
        <v>3165</v>
      </c>
      <c r="E6" s="574" t="s">
        <v>3167</v>
      </c>
      <c r="F6" s="572" t="s">
        <v>142</v>
      </c>
      <c r="G6" s="575" t="s">
        <v>3252</v>
      </c>
      <c r="H6" s="575" t="s">
        <v>3254</v>
      </c>
      <c r="I6" s="576">
        <v>269732596503</v>
      </c>
      <c r="J6" s="577">
        <v>12145857200</v>
      </c>
      <c r="K6" s="578">
        <v>45755</v>
      </c>
      <c r="L6" s="578">
        <v>46357</v>
      </c>
      <c r="M6" s="579" t="s">
        <v>3255</v>
      </c>
      <c r="N6" s="592" t="s">
        <v>3260</v>
      </c>
      <c r="O6" s="579" t="s">
        <v>3261</v>
      </c>
      <c r="P6" s="580">
        <v>11031203072</v>
      </c>
      <c r="Q6" s="580">
        <f t="shared" si="0"/>
        <v>723660586</v>
      </c>
      <c r="R6" s="581"/>
      <c r="S6" s="581"/>
      <c r="T6" s="581"/>
      <c r="U6" s="581">
        <v>0</v>
      </c>
      <c r="V6" s="581">
        <v>0</v>
      </c>
      <c r="W6" s="581">
        <v>274724250</v>
      </c>
      <c r="X6" s="580">
        <v>448936336</v>
      </c>
      <c r="Y6" s="581">
        <f>SUM(S6:X6)/6</f>
        <v>120610097.66666667</v>
      </c>
      <c r="Z6" s="581">
        <f>(SUM(S6:X6)/12)*5.5</f>
        <v>331677768.58333337</v>
      </c>
    </row>
    <row r="7" spans="1:26" ht="15">
      <c r="A7" s="572" t="s">
        <v>321</v>
      </c>
      <c r="B7" s="582" t="s">
        <v>157</v>
      </c>
      <c r="C7" s="582" t="s">
        <v>3165</v>
      </c>
      <c r="D7" s="583" t="s">
        <v>3165</v>
      </c>
      <c r="E7" s="584" t="s">
        <v>3167</v>
      </c>
      <c r="F7" s="583" t="s">
        <v>142</v>
      </c>
      <c r="G7" s="585" t="s">
        <v>3253</v>
      </c>
      <c r="H7" s="585" t="s">
        <v>3254</v>
      </c>
      <c r="I7" s="585"/>
      <c r="J7" s="586">
        <v>11578669200</v>
      </c>
      <c r="K7" s="587">
        <v>45755</v>
      </c>
      <c r="L7" s="587">
        <v>46722</v>
      </c>
      <c r="M7" s="531"/>
      <c r="N7" s="531"/>
      <c r="O7" s="531" t="s">
        <v>3261</v>
      </c>
      <c r="P7" s="588">
        <f>J7-SUM(Q7:Q8)</f>
        <v>10855008614</v>
      </c>
      <c r="Q7" s="589">
        <f t="shared" si="0"/>
        <v>711348332</v>
      </c>
      <c r="R7" s="590"/>
      <c r="S7" s="591"/>
      <c r="T7" s="591"/>
      <c r="U7" s="591"/>
      <c r="V7" s="591">
        <v>0</v>
      </c>
      <c r="W7" s="591">
        <v>274724250</v>
      </c>
      <c r="X7" s="589">
        <v>436624082</v>
      </c>
      <c r="Y7" s="591"/>
      <c r="Z7" s="591"/>
    </row>
    <row r="8" spans="1:26" ht="15">
      <c r="A8" s="572"/>
      <c r="B8" s="582" t="s">
        <v>157</v>
      </c>
      <c r="C8" s="582" t="s">
        <v>3165</v>
      </c>
      <c r="D8" s="583" t="s">
        <v>3169</v>
      </c>
      <c r="E8" s="584" t="s">
        <v>3167</v>
      </c>
      <c r="F8" s="583" t="s">
        <v>142</v>
      </c>
      <c r="G8" s="585" t="s">
        <v>3253</v>
      </c>
      <c r="H8" s="585" t="s">
        <v>3254</v>
      </c>
      <c r="I8" s="585"/>
      <c r="J8" s="586"/>
      <c r="K8" s="587">
        <v>45755</v>
      </c>
      <c r="L8" s="587">
        <v>46722</v>
      </c>
      <c r="M8" s="531"/>
      <c r="N8" s="531"/>
      <c r="O8" s="531" t="s">
        <v>3261</v>
      </c>
      <c r="P8" s="588"/>
      <c r="Q8" s="589">
        <f t="shared" si="0"/>
        <v>12312254</v>
      </c>
      <c r="R8" s="590"/>
      <c r="S8" s="591"/>
      <c r="T8" s="591"/>
      <c r="U8" s="591"/>
      <c r="V8" s="591"/>
      <c r="W8" s="591"/>
      <c r="X8" s="589">
        <v>12312254</v>
      </c>
      <c r="Y8" s="591"/>
      <c r="Z8" s="591"/>
    </row>
    <row r="9" spans="1:26" ht="15">
      <c r="A9" s="572" t="s">
        <v>321</v>
      </c>
      <c r="B9" s="582" t="s">
        <v>157</v>
      </c>
      <c r="C9" s="582" t="s">
        <v>3165</v>
      </c>
      <c r="D9" s="583" t="s">
        <v>3165</v>
      </c>
      <c r="E9" s="584" t="s">
        <v>3167</v>
      </c>
      <c r="F9" s="583" t="s">
        <v>143</v>
      </c>
      <c r="G9" s="585" t="s">
        <v>3253</v>
      </c>
      <c r="H9" s="585" t="s">
        <v>3254</v>
      </c>
      <c r="I9" s="585"/>
      <c r="J9" s="586">
        <v>567188000</v>
      </c>
      <c r="K9" s="587">
        <v>45755</v>
      </c>
      <c r="L9" s="587">
        <v>46722</v>
      </c>
      <c r="M9" s="531"/>
      <c r="N9" s="531"/>
      <c r="O9" s="531" t="s">
        <v>3261</v>
      </c>
      <c r="P9" s="588">
        <f>J9-SUM(Q9)</f>
        <v>567188000</v>
      </c>
      <c r="Q9" s="589">
        <f t="shared" si="0"/>
        <v>0</v>
      </c>
      <c r="R9" s="590"/>
      <c r="S9" s="591"/>
      <c r="T9" s="591"/>
      <c r="U9" s="591"/>
      <c r="V9" s="591">
        <v>0</v>
      </c>
      <c r="W9" s="591">
        <v>0</v>
      </c>
      <c r="X9" s="589">
        <v>0</v>
      </c>
      <c r="Y9" s="591">
        <v>0</v>
      </c>
      <c r="Z9" s="591"/>
    </row>
    <row r="10" spans="1:26" s="13" customFormat="1" ht="15">
      <c r="A10" s="583" t="s">
        <v>321</v>
      </c>
      <c r="B10" s="582" t="s">
        <v>157</v>
      </c>
      <c r="C10" s="582" t="s">
        <v>3165</v>
      </c>
      <c r="D10" s="583" t="s">
        <v>3165</v>
      </c>
      <c r="E10" s="584" t="s">
        <v>3167</v>
      </c>
      <c r="F10" s="583" t="s">
        <v>144</v>
      </c>
      <c r="G10" s="585" t="s">
        <v>3253</v>
      </c>
      <c r="H10" s="585" t="s">
        <v>3254</v>
      </c>
      <c r="I10" s="593"/>
      <c r="J10" s="586"/>
      <c r="K10" s="587">
        <v>45755</v>
      </c>
      <c r="L10" s="587">
        <v>47088</v>
      </c>
      <c r="M10" s="531"/>
      <c r="N10" s="592"/>
      <c r="O10" s="531" t="s">
        <v>3261</v>
      </c>
      <c r="P10" s="588"/>
      <c r="Q10" s="588">
        <f t="shared" si="0"/>
        <v>0</v>
      </c>
      <c r="R10" s="590"/>
      <c r="S10" s="590"/>
      <c r="T10" s="590"/>
      <c r="U10" s="590"/>
      <c r="V10" s="590">
        <v>0</v>
      </c>
      <c r="W10" s="590">
        <v>0</v>
      </c>
      <c r="X10" s="588">
        <v>0</v>
      </c>
      <c r="Y10" s="590">
        <v>0</v>
      </c>
      <c r="Z10" s="590"/>
    </row>
  </sheetData>
  <conditionalFormatting sqref="A1:Z10">
    <cfRule type="expression" dxfId="3" priority="1">
      <formula>$H1="Đã hết hạn"</formula>
    </cfRule>
  </conditionalFormatting>
  <conditionalFormatting sqref="A2:Z10">
    <cfRule type="expression" dxfId="2" priority="2">
      <formula>$G2="Chính"</formula>
    </cfRule>
  </conditionalFormatting>
  <conditionalFormatting sqref="P1:P10">
    <cfRule type="cellIs" dxfId="1" priority="6" operator="lessThan">
      <formula>0</formula>
    </cfRule>
    <cfRule type="cellIs" dxfId="0" priority="7" operator="lessThan">
      <formula>0</formula>
    </cfRule>
  </conditionalFormatting>
  <hyperlinks>
    <hyperlink ref="N2" r:id="rId1" xr:uid="{00000000-0004-0000-1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'C:\Users\thulh\Desktop\DATABASE_Temp\[DATABASE_20250624.xlsx]LIST'!#REF!</xm:f>
          </x14:formula1>
          <xm:sqref>F1:F3 C1:C3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vt:i4>
      </vt:variant>
    </vt:vector>
  </HeadingPairs>
  <TitlesOfParts>
    <vt:vector size="23" baseType="lpstr">
      <vt:lpstr>Estimate HR KH</vt:lpstr>
      <vt:lpstr>Sheet1</vt:lpstr>
      <vt:lpstr>0.QuyTrinh</vt:lpstr>
      <vt:lpstr>1.DS Nhân sự</vt:lpstr>
      <vt:lpstr>2.Chấm công</vt:lpstr>
      <vt:lpstr>3.Báo cáo</vt:lpstr>
      <vt:lpstr>4. Trình ký</vt:lpstr>
      <vt:lpstr>List</vt:lpstr>
      <vt:lpstr>BM0.Bang luong thang import</vt:lpstr>
      <vt:lpstr>BM0.Bang cong thang import</vt:lpstr>
      <vt:lpstr>BM1.DSNhanSu</vt:lpstr>
      <vt:lpstr>BM2.1.Bang cham cong_KHCN</vt:lpstr>
      <vt:lpstr>BM2.2.Bang cham cong_SXKD</vt:lpstr>
      <vt:lpstr>BM3.Bang TH phan bo</vt:lpstr>
      <vt:lpstr>BM3.1.Bang luong_KHCN</vt:lpstr>
      <vt:lpstr>BM3.2.Bang luong_SXKD</vt:lpstr>
      <vt:lpstr>BM4. BTH phan bo CPNC</vt:lpstr>
      <vt:lpstr>BM5.DS Nhiem vu</vt:lpstr>
      <vt:lpstr>'BM2.1.Bang cham cong_KHCN'!Print_Area</vt:lpstr>
      <vt:lpstr>'BM2.2.Bang cham cong_SXKD'!Print_Area</vt:lpstr>
      <vt:lpstr>'BM3.1.Bang luong_KHCN'!Print_Area</vt:lpstr>
      <vt:lpstr>'BM3.2.Bang luong_SXKD'!Print_Area</vt:lpstr>
      <vt:lpstr>'BM3.1.Bang luong_KHCN'!Print_Titles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huonghtt22</dc:creator>
  <cp:lastModifiedBy>Vũ Thị Lan Anh (280298)</cp:lastModifiedBy>
  <dcterms:created xsi:type="dcterms:W3CDTF">2025-03-13T07:36:27Z</dcterms:created>
  <dcterms:modified xsi:type="dcterms:W3CDTF">2026-01-10T02:00:46Z</dcterms:modified>
</cp:coreProperties>
</file>